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79C48C3B-6A68-4046-9C02-321A09C5927F}" xr6:coauthVersionLast="47" xr6:coauthVersionMax="47" xr10:uidLastSave="{00000000-0000-0000-0000-000000000000}"/>
  <bookViews>
    <workbookView xWindow="-103" yWindow="-103" windowWidth="24144" windowHeight="14447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F12" i="1"/>
  <c r="F11" i="1"/>
  <c r="BI5" i="1"/>
  <c r="BH5" i="1"/>
  <c r="BG5" i="1"/>
  <c r="F7" i="1"/>
  <c r="BG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<sst xmlns="http://schemas.openxmlformats.org/spreadsheetml/2006/main" count="1030" uniqueCount="649">
  <si>
    <t>Id</t>
  </si>
  <si>
    <t>units</t>
  </si>
  <si>
    <t>string</t>
  </si>
  <si>
    <t>UnitData[]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</si>
  <si>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</si>
  <si>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</si>
  <si>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</si>
  <si>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</si>
  <si>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</si>
  <si>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</si>
  <si>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</si>
  <si>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</si>
  <si>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</si>
  <si>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</si>
  <si>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</si>
  <si>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</si>
  <si>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</si>
  <si>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</si>
  <si>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</si>
  <si>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</si>
  <si>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</si>
  <si>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</si>
  <si>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</si>
  <si>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</si>
  <si>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</si>
  <si>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</si>
  <si>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</si>
  <si>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</si>
  <si>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</si>
  <si>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</si>
  <si>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</si>
  <si>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</si>
  <si>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</si>
  <si>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</si>
  <si>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</si>
  <si>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</si>
  <si>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</si>
  <si>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</si>
  <si>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</si>
  <si>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</si>
  <si>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</si>
  <si>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</si>
  <si>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</si>
  <si>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</si>
  <si>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</si>
  <si>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</si>
  <si>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</si>
  <si>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</si>
  <si>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</si>
  <si>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</si>
  <si>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</si>
  <si>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</si>
  <si>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</si>
  <si>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</si>
  <si>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</si>
  <si>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</si>
  <si>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</si>
  <si>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</si>
  <si>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</si>
  <si>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</si>
  <si>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</si>
  <si>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</si>
  <si>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</si>
  <si>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</si>
  <si>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</si>
  <si>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</si>
  <si>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</si>
  <si>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</si>
  <si>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</si>
  <si>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</si>
  <si>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</si>
  <si>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</si>
  <si>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</si>
  <si>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</si>
  <si>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</si>
  <si>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</si>
  <si>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</si>
  <si>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</si>
  <si>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</si>
  <si>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</si>
  <si>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</si>
  <si>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</si>
  <si>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</si>
  <si>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</si>
  <si>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</si>
  <si>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</si>
  <si>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</si>
  <si>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</si>
  <si>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</si>
  <si>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</si>
  <si>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</si>
  <si>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</si>
  <si>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</si>
  <si>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</si>
  <si>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</si>
  <si>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</si>
  <si>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</si>
  <si>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</si>
  <si>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</si>
  <si>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</si>
  <si>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</si>
  <si>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</si>
  <si>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</si>
  <si>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</si>
  <si>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</si>
  <si>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</si>
  <si>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</si>
  <si>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</si>
  <si>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</si>
  <si>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</si>
  <si>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</si>
  <si>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</si>
  <si>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</si>
  <si>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</si>
  <si>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</si>
  <si>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</si>
  <si>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</si>
  <si>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</si>
  <si>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</si>
  <si>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</si>
  <si>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</si>
  <si>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</si>
  <si>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</si>
  <si>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</si>
  <si>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</si>
  <si>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</si>
  <si>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</si>
  <si>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</si>
  <si>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</si>
  <si>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</si>
  <si>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</si>
  <si>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</si>
  <si>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</si>
  <si>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</si>
  <si>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</si>
  <si>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char_4182_oblvns_avemujica_1</t>
  </si>
  <si>
    <t>Hip</t>
  </si>
  <si>
    <t>211,81,1500,1500</t>
  </si>
  <si>
    <t>近战位</t>
  </si>
  <si>
    <t>费用回复</t>
  </si>
  <si>
    <t>Default</t>
  </si>
  <si>
    <t>Idle</t>
  </si>
  <si>
    <t>Die</t>
  </si>
  <si>
    <t>Skill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</si>
  <si>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</si>
  <si>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</si>
  <si>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</si>
  <si>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</si>
  <si>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</si>
  <si>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</si>
  <si>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</si>
  <si>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</si>
  <si>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</si>
  <si>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</si>
  <si>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</si>
  <si>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</si>
  <si>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</si>
  <si>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</si>
  <si>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</si>
  <si>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</si>
  <si>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</si>
  <si>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</si>
  <si>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</si>
  <si>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</si>
  <si>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</si>
  <si>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</si>
  <si>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</si>
  <si>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</si>
  <si>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</si>
  <si>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</si>
  <si>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</si>
  <si>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</si>
  <si>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</si>
  <si>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</si>
  <si>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</si>
  <si>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</si>
  <si>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</si>
  <si>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</si>
  <si>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</si>
  <si>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</si>
  <si>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</si>
  <si>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</si>
  <si>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</si>
  <si>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</si>
  <si>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</si>
  <si>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</si>
  <si>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</si>
  <si>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</si>
  <si>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</si>
  <si>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</si>
  <si>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</si>
  <si>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</si>
  <si>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</si>
  <si>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</si>
  <si>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</si>
  <si>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</si>
  <si>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</si>
  <si>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</si>
  <si>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</si>
  <si>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</si>
  <si>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</si>
  <si>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</si>
  <si>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</si>
  <si>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</si>
  <si>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</si>
  <si>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</si>
  <si>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</si>
  <si>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</si>
  <si>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</si>
  <si>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</si>
  <si>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</si>
  <si>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</si>
  <si>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</si>
  <si>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</si>
  <si>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</si>
  <si>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</si>
  <si>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</si>
  <si>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</si>
  <si>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</si>
  <si>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</si>
  <si>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</si>
  <si>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</si>
  <si>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</si>
  <si>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</si>
  <si>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</si>
  <si>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</si>
  <si>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</si>
  <si>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</si>
  <si>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</si>
  <si>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</si>
  <si>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</si>
  <si>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</si>
  <si>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</si>
  <si>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</si>
  <si>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</si>
  <si>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</si>
  <si>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</si>
  <si>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</si>
  <si>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</si>
  <si>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</si>
  <si>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</si>
  <si>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</si>
  <si>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</si>
  <si>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</si>
  <si>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</si>
  <si>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</si>
  <si>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</si>
  <si>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</si>
  <si>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</si>
  <si>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</si>
  <si>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</si>
  <si>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</si>
  <si>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</si>
  <si>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</si>
  <si>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</si>
  <si>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</si>
  <si>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</si>
  <si>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</si>
  <si>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</si>
  <si>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</si>
  <si>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</si>
  <si>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</si>
  <si>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</si>
  <si>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</si>
  <si>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</si>
  <si>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</si>
  <si>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</si>
  <si>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</si>
  <si>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</si>
  <si>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</si>
  <si>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</si>
  <si>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</si>
  <si>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</si>
  <si>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</si>
  <si>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</si>
  <si>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</si>
  <si>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</si>
  <si>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</si>
  <si>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</si>
  <si>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</si>
  <si>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</si>
  <si>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</si>
  <si>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</si>
  <si>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</si>
  <si>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</si>
  <si>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</si>
  <si>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</si>
  <si>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</si>
  <si>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</si>
  <si>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</si>
  <si>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</si>
  <si>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</si>
  <si>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</si>
  <si>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</si>
  <si>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</si>
  <si>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</si>
  <si>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</si>
  <si>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</si>
  <si>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</si>
  <si>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</si>
  <si>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</si>
  <si>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</si>
  <si>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</si>
  <si>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</si>
  <si>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</si>
  <si>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</si>
  <si>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</si>
  <si>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</si>
  <si>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</si>
  <si>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</si>
  <si>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</si>
  <si>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</si>
  <si>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</si>
  <si>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</si>
  <si>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</si>
  <si>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</si>
  <si>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</si>
  <si>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</si>
  <si>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</si>
  <si>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</si>
  <si>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</si>
  <si>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</si>
  <si>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</si>
  <si>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</si>
  <si>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</si>
  <si>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</si>
  <si>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</si>
  <si>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</si>
  <si>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</si>
  <si>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</si>
  <si>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</si>
  <si>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</si>
  <si>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</si>
  <si>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</si>
  <si>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</si>
  <si>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</si>
  <si>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</si>
  <si>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</si>
  <si>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</si>
  <si>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</si>
  <si>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</si>
  <si>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</si>
  <si>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</si>
  <si>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</si>
  <si>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</si>
  <si>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</si>
  <si>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</si>
  <si>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</si>
  <si>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</si>
  <si>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</si>
  <si>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</si>
  <si>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</si>
  <si>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</si>
  <si>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</si>
  <si>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</si>
  <si>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</si>
  <si>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</si>
  <si>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</si>
  <si>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</si>
  <si>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</si>
  <si>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</si>
  <si>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</si>
  <si>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</si>
  <si>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</si>
  <si>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</si>
  <si>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</si>
  <si>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</si>
  <si>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</si>
  <si>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</si>
  <si>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</si>
  <si>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</si>
  <si>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CCB普攻</t>
  </si>
  <si>
    <t>普通技能</t>
  </si>
  <si>
    <t>自动</t>
  </si>
  <si>
    <t>自身距离升序</t>
  </si>
  <si>
    <t>Normal</t>
  </si>
  <si>
    <t>跟随攻击</t>
  </si>
  <si>
    <t>真言天赋弹道</t>
  </si>
  <si>
    <t>Muzzle</t>
  </si>
  <si>
    <t>拉普兰德近战击中</t>
  </si>
  <si>
    <t>禁止主动</t>
  </si>
  <si>
    <t>被动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</si>
  <si>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</si>
  <si>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</si>
  <si>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</si>
  <si>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</si>
  <si>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</si>
  <si>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</si>
  <si>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</si>
  <si>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</si>
  <si>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</si>
  <si>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</si>
  <si>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</si>
  <si>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</si>
  <si>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</si>
  <si>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</si>
  <si>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</si>
  <si>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</si>
  <si>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</si>
  <si>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</si>
  <si>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</si>
  <si>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</si>
  <si>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</si>
  <si>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</si>
  <si>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</si>
  <si>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</si>
  <si>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</si>
  <si>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</si>
  <si>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</si>
  <si>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</si>
  <si>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</si>
  <si>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</si>
  <si>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</si>
  <si>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</si>
  <si>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</si>
  <si>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相关buff</t>
  </si>
  <si>
    <t>Buff</t>
  </si>
  <si>
    <t>Line</t>
  </si>
  <si>
    <t>FaceCamera</t>
  </si>
  <si>
    <t>ScaleX</t>
  </si>
  <si>
    <t>EffectBase</t>
  </si>
  <si>
    <t>CCB链式弹道</t>
  </si>
  <si>
    <t>链式弹道</t>
  </si>
  <si>
    <t>frostl_attack_01_trail</t>
  </si>
  <si>
    <t>大飞镖</t>
  </si>
  <si>
    <t>{"LifeTime":99999,"Radius":0.5,"Trigger":0.02,"MoveHeight":2,"TriggerTimes":9999,"TargetTeam":2,"MaxTargetCount":9999}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</si>
  <si>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</si>
  <si>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</si>
  <si>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</si>
  <si>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</si>
  <si>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</si>
  <si>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</si>
  <si>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</si>
  <si>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</si>
  <si>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</si>
  <si>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</si>
  <si>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</si>
  <si>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</si>
  <si>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</si>
  <si>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</si>
  <si>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</si>
  <si>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</si>
  <si>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</si>
  <si>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</si>
  <si>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</si>
  <si>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</si>
  <si>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</si>
  <si>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</si>
  <si>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</si>
  <si>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</si>
  <si>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</si>
  <si>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</si>
  <si>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</si>
  <si>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</si>
  <si>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</si>
  <si>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</si>
  <si>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</si>
  <si>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</si>
  <si>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</si>
  <si>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</si>
  <si>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</si>
  <si>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</si>
  <si>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</si>
  <si>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</si>
  <si>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</si>
  <si>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</si>
  <si>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</si>
  <si>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</si>
  <si>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</si>
  <si>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</si>
  <si>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</si>
  <si>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</si>
  <si>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</si>
  <si>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小型:红</t>
    <phoneticPr fontId="0" type="noConversion"/>
  </si>
  <si>
    <t>CCB强力击</t>
    <phoneticPr fontId="0" type="noConversion"/>
  </si>
  <si>
    <t>普通技能</t>
    <phoneticPr fontId="0" type="noConversion"/>
  </si>
  <si>
    <t>自动</t>
    <phoneticPr fontId="0" type="noConversion"/>
  </si>
  <si>
    <t>Normal</t>
    <phoneticPr fontId="0" type="noConversion"/>
  </si>
  <si>
    <t>攻击</t>
    <phoneticPr fontId="0" type="noConversion"/>
  </si>
  <si>
    <t>StopOtherSkill</t>
    <phoneticPr fontId="0" type="noConversion"/>
  </si>
  <si>
    <t>CCB呼吸强化</t>
    <phoneticPr fontId="0" type="noConversion"/>
  </si>
  <si>
    <t>充能释放</t>
    <phoneticPr fontId="0" type="noConversion"/>
  </si>
  <si>
    <t>仅自己</t>
    <phoneticPr fontId="0" type="noConversion"/>
  </si>
  <si>
    <t>CCB加攻速</t>
    <phoneticPr fontId="0" type="noConversion"/>
  </si>
  <si>
    <t>数值变化</t>
    <phoneticPr fontId="0" type="noConversion"/>
  </si>
  <si>
    <t>攻击强化</t>
  </si>
  <si>
    <t>{"t":["AgiAddFin"]}</t>
  </si>
  <si>
    <t>CCB攻击叠层</t>
    <phoneticPr fontId="0" type="noConversion"/>
  </si>
  <si>
    <t>CCB叠层</t>
  </si>
  <si>
    <t>CCB叠层</t>
    <phoneticPr fontId="0" type="noConversion"/>
  </si>
  <si>
    <t>叠层转化</t>
    <phoneticPr fontId="0" type="noConversion"/>
  </si>
  <si>
    <t>{"绑定进度条":"弹药"}</t>
    <phoneticPr fontId="0" type="noConversion"/>
  </si>
  <si>
    <t>{"Expression":"Buff.Skill.SkillData.DamageRate = Buff.Duration.value","绑定进度条":"圆"}</t>
    <phoneticPr fontId="0" type="noConversion"/>
  </si>
  <si>
    <t>{"绑定进度条":"三角"}</t>
    <phoneticPr fontId="0" type="noConversion"/>
  </si>
  <si>
    <t>召唤小弟</t>
    <phoneticPr fontId="0" type="noConversion"/>
  </si>
  <si>
    <t>召唤</t>
    <phoneticPr fontId="0" type="noConversion"/>
  </si>
  <si>
    <t>敌人</t>
  </si>
  <si>
    <t>普通,远程,海怪</t>
  </si>
  <si>
    <t>神秘的恐鱼。在海中能以更快的初速喷吐，足以摧毁礁石。</t>
  </si>
  <si>
    <t>Move</t>
  </si>
  <si>
    <t>CCB小弟</t>
    <phoneticPr fontId="0" type="noConversion"/>
  </si>
  <si>
    <t>小型:蓝</t>
    <phoneticPr fontId="6" type="noConversion"/>
  </si>
  <si>
    <t>小弟普攻</t>
    <phoneticPr fontId="0" type="noConversion"/>
  </si>
  <si>
    <t>普通法球</t>
    <phoneticPr fontId="0" type="noConversion"/>
  </si>
  <si>
    <t>小弟技能</t>
    <phoneticPr fontId="0" type="noConversion"/>
  </si>
  <si>
    <t>自身距离降序</t>
    <phoneticPr fontId="0" type="noConversion"/>
  </si>
  <si>
    <t>CCB攻击印记</t>
  </si>
  <si>
    <t>CCB攻击印记</t>
    <phoneticPr fontId="0" type="noConversion"/>
  </si>
  <si>
    <t>普通Buff</t>
    <phoneticPr fontId="0" type="noConversion"/>
  </si>
  <si>
    <t>冒黑雾</t>
  </si>
  <si>
    <t>CCB回血</t>
    <phoneticPr fontId="0" type="noConversion"/>
  </si>
  <si>
    <t>治愈</t>
    <phoneticPr fontId="0" type="noConversion"/>
  </si>
  <si>
    <t>{"DamageBase":1,"TriggerTime":0.5,"HpLess":0.5,"HpLessRate":1.5}</t>
    <phoneticPr fontId="0" type="noConversion"/>
  </si>
  <si>
    <t>CCB加攻速,CCB回血</t>
    <phoneticPr fontId="0" type="noConversion"/>
  </si>
  <si>
    <t>-CCB攻击印记</t>
    <phoneticPr fontId="0" type="noConversion"/>
  </si>
  <si>
    <t>dsjely</t>
  </si>
  <si>
    <t>位移</t>
    <phoneticPr fontId="0" type="noConversion"/>
  </si>
  <si>
    <t>CCB链式弹道</t>
    <phoneticPr fontId="0" type="noConversion"/>
  </si>
  <si>
    <t>移动弹道</t>
    <phoneticPr fontId="0" type="noConversion"/>
  </si>
  <si>
    <t>棘刺2</t>
    <phoneticPr fontId="0" type="noConversion"/>
  </si>
  <si>
    <t>aglina_attack_01_trail</t>
  </si>
  <si>
    <t>amiya_skill_03_trail</t>
  </si>
  <si>
    <t>移动弹道</t>
    <phoneticPr fontId="0" type="noConversion"/>
  </si>
  <si>
    <t>{"MoveHeight":0,"MaxRadius":1.5,"InitRadius":1.5}</t>
    <phoneticPr fontId="0" type="noConversion"/>
  </si>
  <si>
    <t>CCB减攻速</t>
    <phoneticPr fontId="0" type="noConversion"/>
  </si>
  <si>
    <t>Magic</t>
    <phoneticPr fontId="0" type="noConversion"/>
  </si>
  <si>
    <t>降防</t>
  </si>
  <si>
    <t>CCB弹道索敌</t>
    <phoneticPr fontId="0" type="noConversion"/>
  </si>
  <si>
    <t>CCB强力击标记</t>
  </si>
  <si>
    <t>CCB强力击标记</t>
    <phoneticPr fontId="0" type="noConversion"/>
  </si>
  <si>
    <t>燃烧</t>
  </si>
  <si>
    <t>CCB增伤</t>
    <phoneticPr fontId="0" type="noConversion"/>
  </si>
  <si>
    <t>CCB减攻速</t>
  </si>
  <si>
    <t>{"DamageRate":1.5}</t>
    <phoneticPr fontId="0" type="noConversion"/>
  </si>
  <si>
    <t>弱点伤害</t>
    <phoneticPr fontId="0" type="noConversion"/>
  </si>
  <si>
    <t>隐身</t>
  </si>
  <si>
    <t>对buff伤害</t>
    <phoneticPr fontId="0" type="noConversion"/>
  </si>
  <si>
    <t>CCB隐身</t>
    <phoneticPr fontId="0" type="noConversion"/>
  </si>
  <si>
    <t>{"HideTime":0,"无视阻挡":1}</t>
    <phoneticPr fontId="6" type="noConversion"/>
  </si>
  <si>
    <t>{"maxLevel":3,"BuffId":"CCB隐身","LastTime":6,"绑定进度条":"恐惧"}</t>
    <phoneticPr fontId="0" type="noConversion"/>
  </si>
  <si>
    <t>CCB减攻速,减速</t>
    <phoneticPr fontId="0" type="noConversion"/>
  </si>
  <si>
    <t>被动</t>
    <phoneticPr fontId="0" type="noConversion"/>
  </si>
  <si>
    <t>小弟自流血</t>
    <phoneticPr fontId="0" type="noConversion"/>
  </si>
  <si>
    <t>LoseHP</t>
    <phoneticPr fontId="0" type="noConversion"/>
  </si>
  <si>
    <t>诅咒</t>
    <phoneticPr fontId="0" type="noConversion"/>
  </si>
  <si>
    <t>{"召唤物ID":"CCB小弟","召唤位置":"使用本技能索敌位置","范围":0.5,"数量":1}</t>
    <phoneticPr fontId="0" type="noConversion"/>
  </si>
  <si>
    <t>被击</t>
    <phoneticPr fontId="0" type="noConversion"/>
  </si>
  <si>
    <t>小弟减速</t>
    <phoneticPr fontId="0" type="noConversion"/>
  </si>
  <si>
    <t>数值变化</t>
    <phoneticPr fontId="0" type="noConversion"/>
  </si>
  <si>
    <t>小弟减速,CCB攻击印记</t>
    <phoneticPr fontId="0" type="noConversion"/>
  </si>
  <si>
    <t>{"ShowRange":1,"Color":"#45b787","Alpha":0.25}</t>
    <phoneticPr fontId="0" type="noConversion"/>
  </si>
  <si>
    <t>{"t":["SpeedRate"]}</t>
    <phoneticPr fontId="0" type="noConversion"/>
  </si>
  <si>
    <t>小弟技能</t>
  </si>
  <si>
    <t>小弟普攻,小弟自流血</t>
    <phoneticPr fontId="0" type="noConversion"/>
  </si>
  <si>
    <t>小型:绿</t>
    <phoneticPr fontId="0" type="noConversion"/>
  </si>
  <si>
    <t>{"召唤位置":"使用本技能索敌位置","部署模式":"位移","位移速度":"10"}</t>
    <phoneticPr fontId="0" type="noConversion"/>
  </si>
  <si>
    <t>涨潮</t>
    <phoneticPr fontId="0" type="noConversion"/>
  </si>
  <si>
    <t>中立单位</t>
  </si>
  <si>
    <t>通用地板</t>
  </si>
  <si>
    <t>全地形</t>
  </si>
  <si>
    <t>辅助</t>
  </si>
  <si>
    <t>海水</t>
    <phoneticPr fontId="0" type="noConversion"/>
  </si>
  <si>
    <t>召唤地板</t>
    <phoneticPr fontId="0" type="noConversion"/>
  </si>
  <si>
    <t>部署装置</t>
    <phoneticPr fontId="0" type="noConversion"/>
  </si>
  <si>
    <t>手动</t>
    <phoneticPr fontId="0" type="noConversion"/>
  </si>
  <si>
    <t>自动</t>
    <phoneticPr fontId="0" type="noConversion"/>
  </si>
  <si>
    <t>CCB普攻,起飞,CCB强力击,CCB攻击叠层,位移,召唤小弟,CCB呼吸强化</t>
    <phoneticPr fontId="0" type="noConversion"/>
  </si>
  <si>
    <t>潮起</t>
    <phoneticPr fontId="0" type="noConversion"/>
  </si>
  <si>
    <t>普通技能</t>
    <phoneticPr fontId="0" type="noConversion"/>
  </si>
  <si>
    <t>仅自己</t>
    <phoneticPr fontId="0" type="noConversion"/>
  </si>
  <si>
    <t>涨潮</t>
    <phoneticPr fontId="0" type="noConversion"/>
  </si>
  <si>
    <t>{"召唤物ID":"涨潮","召唤位置":"使用自身位置","持续":20}</t>
    <phoneticPr fontId="0" type="noConversion"/>
  </si>
  <si>
    <t>重设高度</t>
    <phoneticPr fontId="0" type="noConversion"/>
  </si>
  <si>
    <t>萃蔓无敌</t>
    <phoneticPr fontId="0" type="noConversion"/>
  </si>
  <si>
    <t>潮起</t>
  </si>
  <si>
    <t>{"TexturePath":"Icon/otto.png","Alpha":0.5}</t>
    <phoneticPr fontId="0" type="noConversion"/>
  </si>
  <si>
    <t>{"Fly":4,"Time":2}</t>
    <phoneticPr fontId="0" type="noConversion"/>
  </si>
  <si>
    <t>自己入场</t>
    <phoneticPr fontId="0" type="noConversion"/>
  </si>
  <si>
    <t>纯烬艾雅法拉3加成</t>
    <phoneticPr fontId="6" type="noConversion"/>
  </si>
  <si>
    <t>纯烬艾雅法拉3加成</t>
    <phoneticPr fontId="0" type="noConversion"/>
  </si>
  <si>
    <t>enemy_1350_mgcshp_2</t>
    <phoneticPr fontId="0" type="noConversion"/>
  </si>
  <si>
    <t>ShootPoint</t>
    <phoneticPr fontId="0" type="noConversion"/>
  </si>
  <si>
    <t>AttackRange</t>
    <phoneticPr fontId="0" type="noConversion"/>
  </si>
  <si>
    <t>自身距离升序</t>
    <phoneticPr fontId="0" type="noConversion"/>
  </si>
  <si>
    <t>CCB棘刺2弹道</t>
  </si>
  <si>
    <t>CCB棘刺2弹道</t>
    <phoneticPr fontId="0" type="noConversion"/>
  </si>
  <si>
    <t>电大</t>
    <phoneticPr fontId="0" type="noConversion"/>
  </si>
  <si>
    <t>弩箭</t>
    <phoneticPr fontId="0" type="noConversion"/>
  </si>
  <si>
    <t>{"MoveHeight":0,"MaxLinkNum":6,"SkillId":"CCB弹道索敌","CanBack":0,"ShowRange":0,"Color":"#EE3527","Homing":1,"LifeTime":30,"NavigationConstant":3,"HomingDelay":0.5,"MaxTurnRate":2160}</t>
    <phoneticPr fontId="0" type="noConversion"/>
  </si>
  <si>
    <t>跟随攻击</t>
    <phoneticPr fontId="0" type="noConversion"/>
  </si>
  <si>
    <t>被动</t>
    <phoneticPr fontId="0" type="noConversion"/>
  </si>
  <si>
    <t>Normal</t>
    <phoneticPr fontId="0" type="noConversion"/>
  </si>
  <si>
    <t>弱点伤害</t>
    <phoneticPr fontId="0" type="noConversion"/>
  </si>
  <si>
    <t>电大普攻</t>
  </si>
  <si>
    <t>电大普攻</t>
    <phoneticPr fontId="0" type="noConversion"/>
  </si>
  <si>
    <t>禁止普攻</t>
    <phoneticPr fontId="0" type="noConversion"/>
  </si>
  <si>
    <t>普通技能</t>
    <phoneticPr fontId="0" type="noConversion"/>
  </si>
  <si>
    <t>被动</t>
    <phoneticPr fontId="0" type="noConversion"/>
  </si>
  <si>
    <t>仅自己</t>
    <phoneticPr fontId="0" type="noConversion"/>
  </si>
  <si>
    <t>自动</t>
    <phoneticPr fontId="0" type="noConversion"/>
  </si>
  <si>
    <t>禁止普攻buff</t>
    <phoneticPr fontId="0" type="noConversion"/>
  </si>
  <si>
    <t>禁止普攻buff</t>
    <phoneticPr fontId="0" type="noConversion"/>
  </si>
  <si>
    <t>0,0#0,-1#1,-1#2,-1#3,-1#4,-1#5,-1#6,-1#7,-1#8,-1#9,-1#10,-1#1,0#2,0#3,0#4,0#5,0#6,0#7,0#8,0#9,0#10,0#0,1#1,1#2,1#3,1#4,1#5,1#6,1#7,1#8,1#9,1#10,1#11,1#11,0#11,-1#12,1#12,0#12,-1</t>
    <phoneticPr fontId="0" type="noConversion"/>
  </si>
  <si>
    <t>{"ShowRange":1,"Line":1}</t>
    <phoneticPr fontId="0" type="noConversion"/>
  </si>
  <si>
    <t>无</t>
    <phoneticPr fontId="0" type="noConversion"/>
  </si>
  <si>
    <t>电大</t>
    <phoneticPr fontId="0" type="noConversion"/>
  </si>
  <si>
    <t>站位技能</t>
    <phoneticPr fontId="0" type="noConversion"/>
  </si>
  <si>
    <t>站位技能</t>
    <phoneticPr fontId="0" type="noConversion"/>
  </si>
  <si>
    <t>充能释放</t>
    <phoneticPr fontId="0" type="noConversion"/>
  </si>
  <si>
    <t>{"Line":3,"MaxLine":60,"BaseAngle": 0,"FanRange":60}</t>
    <phoneticPr fontId="0" type="noConversion"/>
  </si>
  <si>
    <t>无敌</t>
    <phoneticPr fontId="0" type="noConversion"/>
  </si>
  <si>
    <t>1,4</t>
    <phoneticPr fontId="0" type="noConversion"/>
  </si>
  <si>
    <t>电豌豆</t>
    <phoneticPr fontId="0" type="noConversion"/>
  </si>
  <si>
    <t>stward_skill_01_trail</t>
  </si>
  <si>
    <t>棘刺</t>
    <phoneticPr fontId="0" type="noConversion"/>
  </si>
  <si>
    <t>293</t>
  </si>
  <si>
    <t>近卫</t>
  </si>
  <si>
    <t>领主</t>
  </si>
  <si>
    <t>thorns</t>
    <phoneticPr fontId="0" type="noConversion"/>
  </si>
  <si>
    <t>CCB</t>
    <phoneticPr fontId="0" type="noConversion"/>
  </si>
  <si>
    <t>thorns_attack_02_trail</t>
  </si>
  <si>
    <t>common_item_recycle_trail_01</t>
  </si>
  <si>
    <t>milu_attack_01_trail</t>
  </si>
  <si>
    <t>char_1039_thorn2</t>
  </si>
  <si>
    <t>Skill_2</t>
    <phoneticPr fontId="0" type="noConversion"/>
  </si>
  <si>
    <t>Skill_3_Loop</t>
    <phoneticPr fontId="0" type="noConversion"/>
  </si>
  <si>
    <t>C_Equipment_01</t>
  </si>
  <si>
    <t>L_Hand_1</t>
    <phoneticPr fontId="0" type="noConversion"/>
  </si>
  <si>
    <t>落地</t>
    <phoneticPr fontId="0" type="noConversion"/>
  </si>
  <si>
    <t>{"MoveHeight":0,"MaxRadius":1.5,"InitRadius":0.75,"RadiusExponentRate":0.25,"Trigger":0.15,"LifeTime":6,"Alpha":0.1,"Color":"#f8bc31"}</t>
    <phoneticPr fontId="0" type="noConversion"/>
  </si>
  <si>
    <t>{"MoveHeight":0,"InitRadius":1.5,"Trigger":0.5,"LifeTime":5,"Alpha":0.25,"Color":"#f8c387"}</t>
    <phoneticPr fontId="0" type="noConversion"/>
  </si>
  <si>
    <t>点赞</t>
    <phoneticPr fontId="0" type="noConversion"/>
  </si>
  <si>
    <t>投币</t>
    <phoneticPr fontId="0" type="noConversion"/>
  </si>
  <si>
    <t>收藏</t>
    <phoneticPr fontId="0" type="noConversion"/>
  </si>
  <si>
    <t>Extexture:点赞.png</t>
    <phoneticPr fontId="0" type="noConversion"/>
  </si>
  <si>
    <t>Extexture:投币.png</t>
    <phoneticPr fontId="0" type="noConversion"/>
  </si>
  <si>
    <t>Extexture:收藏.png</t>
    <phoneticPr fontId="0" type="noConversion"/>
  </si>
  <si>
    <t>获取单位</t>
  </si>
  <si>
    <t>获得点赞</t>
    <phoneticPr fontId="0" type="noConversion"/>
  </si>
  <si>
    <t>{"Count":1,"UnitId":"点赞"}</t>
    <phoneticPr fontId="0" type="noConversion"/>
  </si>
  <si>
    <t>获得收藏</t>
    <phoneticPr fontId="0" type="noConversion"/>
  </si>
  <si>
    <t>获得投币</t>
    <phoneticPr fontId="0" type="noConversion"/>
  </si>
  <si>
    <t>{"Count":1,"UnitId":"收藏"}</t>
    <phoneticPr fontId="0" type="noConversion"/>
  </si>
  <si>
    <t>{"Count":1,"UnitId":"投币"}</t>
    <phoneticPr fontId="0" type="noConversion"/>
  </si>
  <si>
    <t>干员</t>
    <phoneticPr fontId="0" type="noConversion"/>
  </si>
  <si>
    <t>入场</t>
    <phoneticPr fontId="0" type="noConversion"/>
  </si>
  <si>
    <t>纯烬艾雅法拉3加成</t>
  </si>
  <si>
    <t>agoat2_skill_03_buff_01</t>
    <phoneticPr fontId="0" type="noConversion"/>
  </si>
  <si>
    <t>CCB普攻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</si>
</sst>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宋体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 tint="0.79998168889431442"/>
        <bgColor indexed="65"/>
      </patternFill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7" fillId="2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2" fillId="0" borderId="0" xfId="1">
      <alignment vertical="center"/>
    </xf>
    <xf numFmtId="0" fontId="5" fillId="0" borderId="0" xfId="0" applyFont="1">
      <alignment vertical="center"/>
    </xf>
    <xf numFmtId="0" fontId="5" fillId="0" borderId="0" xfId="1" applyFont="1">
      <alignment vertical="center"/>
    </xf>
    <xf numFmtId="49" fontId="5" fillId="0" borderId="0" xfId="0" applyNumberFormat="1" applyFont="1">
      <alignment vertical="center"/>
    </xf>
    <xf numFmtId="0" fontId="9" fillId="0" borderId="0" xfId="0" applyFont="1">
      <alignment vertical="center"/>
    </xf>
    <xf numFmtId="0" fontId="1" fillId="4" borderId="0" xfId="4">
      <alignment vertical="center"/>
    </xf>
    <xf numFmtId="0" fontId="8" fillId="3" borderId="0" xfId="3">
      <alignment vertical="center"/>
    </xf>
    <xf numFmtId="0" fontId="10" fillId="0" borderId="0" xfId="0" applyFont="1">
      <alignment vertical="center"/>
    </xf>
    <xf numFmtId="0" fontId="7" fillId="2" borderId="0" xfId="2">
      <alignment vertical="center"/>
    </xf>
  </cellXfs>
  <cellStyles count="5">
    <cellStyle name="20% - 着色 3" xfId="4" builtinId="38"/>
    <cellStyle name="差" xfId="2" builtinId="27"/>
    <cellStyle name="常规" xfId="0" builtinId="0"/>
    <cellStyle name="常规 2" xfId="1" xr:uid="{00000000-0005-0000-0000-000001000000}"/>
    <cellStyle name="适中" xfId="3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B4" sqref="B4"/>
    </sheetView>
  </sheetViews>
  <sheetFormatPr defaultColWidth="9" defaultRowHeight="14.05" x14ac:dyDescent="0.25"/>
  <cols>
    <col min="1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2" t="s">
        <v>614</v>
      </c>
      <c r="B4" s="2" t="s">
        <v>619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13"/>
  <sheetViews>
    <sheetView tabSelected="1" workbookViewId="0">
      <pane xSplit="1" ySplit="3" topLeftCell="AJ4" activePane="bottomRight" state="frozen"/>
      <selection pane="topRight"/>
      <selection pane="bottomLeft"/>
      <selection pane="bottomRight" activeCell="AL5" sqref="AL5"/>
    </sheetView>
  </sheetViews>
  <sheetFormatPr defaultColWidth="9" defaultRowHeight="14.05" x14ac:dyDescent="0.25"/>
  <cols>
    <col min="1" max="1" width="22.58203125" customWidth="1"/>
    <col min="2" max="3" width="9" customWidth="1"/>
    <col min="4" max="5" width="8.58203125" customWidth="1"/>
    <col min="6" max="6" width="19.58203125" customWidth="1"/>
    <col min="7" max="7" width="8.25" customWidth="1"/>
    <col min="8" max="11" width="9" customWidth="1"/>
    <col min="12" max="12" width="6" customWidth="1"/>
    <col min="13" max="13" width="4.08203125" customWidth="1"/>
    <col min="14" max="14" width="5.58203125" customWidth="1"/>
    <col min="15" max="15" width="4" customWidth="1"/>
    <col min="16" max="16" width="7.75" customWidth="1"/>
    <col min="17" max="17" width="10.83203125" customWidth="1"/>
    <col min="18" max="19" width="3.83203125" customWidth="1"/>
    <col min="20" max="21" width="3.58203125" customWidth="1"/>
    <col min="22" max="22" width="10.25" customWidth="1"/>
    <col min="23" max="23" width="9.58203125" customWidth="1"/>
    <col min="24" max="24" width="10.75" customWidth="1"/>
    <col min="25" max="25" width="12.83203125" customWidth="1"/>
    <col min="26" max="26" width="13.08203125" customWidth="1"/>
    <col min="27" max="27" width="10.75" customWidth="1"/>
    <col min="28" max="29" width="9" customWidth="1"/>
    <col min="30" max="30" width="8" customWidth="1"/>
    <col min="31" max="31" width="17.08203125" customWidth="1"/>
    <col min="32" max="33" width="9" customWidth="1"/>
    <col min="34" max="34" width="9.75" customWidth="1"/>
    <col min="35" max="35" width="7.83203125" customWidth="1"/>
    <col min="36" max="36" width="15.83203125" customWidth="1"/>
    <col min="37" max="37" width="13.83203125" customWidth="1"/>
    <col min="38" max="38" width="34.5" customWidth="1"/>
    <col min="39" max="39" width="16.5" customWidth="1"/>
    <col min="40" max="41" width="9.83203125" customWidth="1"/>
    <col min="42" max="45" width="9" customWidth="1"/>
    <col min="46" max="46" width="12.5" customWidth="1"/>
    <col min="47" max="52" width="9" customWidth="1"/>
    <col min="53" max="53" width="24.33203125" customWidth="1"/>
    <col min="54" max="54" width="9" customWidth="1"/>
    <col min="55" max="55" width="17.75" customWidth="1"/>
    <col min="56" max="56" width="7.83203125" customWidth="1"/>
    <col min="57" max="58" width="9" customWidth="1"/>
    <col min="59" max="59" width="24.25" customWidth="1"/>
    <col min="60" max="60" width="13.25" customWidth="1"/>
    <col min="61" max="61" width="16.08203125" customWidth="1"/>
    <col min="62" max="62" width="8" customWidth="1"/>
    <col min="63" max="66" width="9" customWidth="1"/>
    <col min="67" max="67" width="39.58203125" customWidth="1"/>
    <col min="68" max="68" width="9" customWidth="1"/>
    <col min="69" max="69" width="14" customWidth="1"/>
    <col min="70" max="70" width="14.83203125" customWidth="1"/>
    <col min="71" max="74" width="14" customWidth="1"/>
    <col min="75" max="75" width="9" customWidth="1"/>
    <col min="76" max="76" width="19.1640625" customWidth="1"/>
  </cols>
  <sheetData>
    <row r="1" spans="1:76" x14ac:dyDescent="0.25">
      <c r="D1" t="s">
        <v>4</v>
      </c>
      <c r="E1" t="s">
        <v>4</v>
      </c>
      <c r="G1" t="s">
        <v>5</v>
      </c>
      <c r="H1" t="s">
        <v>6</v>
      </c>
      <c r="J1" t="s">
        <v>7</v>
      </c>
      <c r="K1" t="s">
        <v>8</v>
      </c>
      <c r="L1" t="s">
        <v>9</v>
      </c>
      <c r="N1" t="s">
        <v>10</v>
      </c>
      <c r="P1" t="s">
        <v>11</v>
      </c>
      <c r="R1" t="s">
        <v>12</v>
      </c>
      <c r="T1" t="s">
        <v>13</v>
      </c>
      <c r="V1" t="s">
        <v>14</v>
      </c>
      <c r="W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F1" t="s">
        <v>23</v>
      </c>
      <c r="AG1" t="s">
        <v>24</v>
      </c>
      <c r="AH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  <c r="AT1" t="s">
        <v>35</v>
      </c>
      <c r="AV1" t="s">
        <v>36</v>
      </c>
      <c r="AW1" t="s">
        <v>37</v>
      </c>
      <c r="AX1" t="s">
        <v>38</v>
      </c>
      <c r="AY1" t="s">
        <v>39</v>
      </c>
      <c r="AZ1" t="s">
        <v>40</v>
      </c>
      <c r="BA1" t="s">
        <v>41</v>
      </c>
      <c r="BB1" t="s">
        <v>42</v>
      </c>
      <c r="BC1" t="s">
        <v>43</v>
      </c>
      <c r="BD1" t="s">
        <v>44</v>
      </c>
      <c r="BG1" t="s">
        <v>45</v>
      </c>
      <c r="BH1" t="s">
        <v>46</v>
      </c>
      <c r="BI1" t="s">
        <v>47</v>
      </c>
      <c r="BJ1" t="s">
        <v>48</v>
      </c>
      <c r="BK1" t="s">
        <v>49</v>
      </c>
    </row>
    <row r="2" spans="1:76" x14ac:dyDescent="0.25">
      <c r="A2" t="s">
        <v>0</v>
      </c>
      <c r="B2" t="s">
        <v>50</v>
      </c>
      <c r="C2" t="s">
        <v>51</v>
      </c>
      <c r="F2" t="s">
        <v>52</v>
      </c>
      <c r="G2" t="s">
        <v>53</v>
      </c>
      <c r="H2" t="s">
        <v>54</v>
      </c>
      <c r="I2" t="s">
        <v>55</v>
      </c>
      <c r="J2" t="s">
        <v>56</v>
      </c>
      <c r="K2" t="s">
        <v>57</v>
      </c>
      <c r="L2" t="s">
        <v>58</v>
      </c>
      <c r="M2" t="s">
        <v>59</v>
      </c>
      <c r="N2" t="s">
        <v>60</v>
      </c>
      <c r="O2" t="s">
        <v>61</v>
      </c>
      <c r="P2" t="s">
        <v>62</v>
      </c>
      <c r="Q2" t="s">
        <v>63</v>
      </c>
      <c r="R2" t="s">
        <v>64</v>
      </c>
      <c r="S2" t="s">
        <v>65</v>
      </c>
      <c r="T2" t="s">
        <v>66</v>
      </c>
      <c r="U2" t="s">
        <v>67</v>
      </c>
      <c r="V2" t="s">
        <v>68</v>
      </c>
      <c r="W2" t="s">
        <v>69</v>
      </c>
      <c r="X2" t="s">
        <v>70</v>
      </c>
      <c r="Y2" t="s">
        <v>71</v>
      </c>
      <c r="Z2" t="s">
        <v>72</v>
      </c>
      <c r="AA2" t="s">
        <v>73</v>
      </c>
      <c r="AB2" t="s">
        <v>74</v>
      </c>
      <c r="AC2" t="s">
        <v>75</v>
      </c>
      <c r="AD2" t="s">
        <v>76</v>
      </c>
      <c r="AE2" t="s">
        <v>77</v>
      </c>
      <c r="AF2" t="s">
        <v>78</v>
      </c>
      <c r="AG2" t="s">
        <v>79</v>
      </c>
      <c r="AH2" t="s">
        <v>80</v>
      </c>
      <c r="AI2" t="s">
        <v>81</v>
      </c>
      <c r="AJ2" t="s">
        <v>82</v>
      </c>
      <c r="AK2" t="s">
        <v>83</v>
      </c>
      <c r="AL2" t="s">
        <v>84</v>
      </c>
      <c r="AM2" t="s">
        <v>85</v>
      </c>
      <c r="AN2" t="s">
        <v>86</v>
      </c>
      <c r="AO2" t="s">
        <v>87</v>
      </c>
      <c r="AP2" t="s">
        <v>88</v>
      </c>
      <c r="AQ2" t="s">
        <v>89</v>
      </c>
      <c r="AR2" t="s">
        <v>90</v>
      </c>
      <c r="AS2" t="s">
        <v>91</v>
      </c>
      <c r="AT2" t="s">
        <v>92</v>
      </c>
      <c r="AU2" t="s">
        <v>93</v>
      </c>
      <c r="AV2" t="s">
        <v>94</v>
      </c>
      <c r="AW2" t="s">
        <v>95</v>
      </c>
      <c r="AX2" t="s">
        <v>96</v>
      </c>
      <c r="AY2" t="s">
        <v>97</v>
      </c>
      <c r="AZ2" t="s">
        <v>98</v>
      </c>
      <c r="BA2" t="s">
        <v>99</v>
      </c>
      <c r="BB2" t="s">
        <v>100</v>
      </c>
      <c r="BC2" t="s">
        <v>101</v>
      </c>
      <c r="BD2" t="s">
        <v>102</v>
      </c>
      <c r="BE2" t="s">
        <v>103</v>
      </c>
      <c r="BF2" t="s">
        <v>104</v>
      </c>
      <c r="BG2" t="s">
        <v>105</v>
      </c>
      <c r="BH2" t="s">
        <v>106</v>
      </c>
      <c r="BI2" t="s">
        <v>107</v>
      </c>
      <c r="BJ2" t="s">
        <v>108</v>
      </c>
      <c r="BK2" t="s">
        <v>109</v>
      </c>
      <c r="BL2" t="s">
        <v>110</v>
      </c>
      <c r="BM2" t="s">
        <v>111</v>
      </c>
      <c r="BN2" t="s">
        <v>112</v>
      </c>
      <c r="BO2" t="s">
        <v>113</v>
      </c>
      <c r="BP2" t="s">
        <v>114</v>
      </c>
      <c r="BQ2" t="s">
        <v>115</v>
      </c>
      <c r="BR2" t="s">
        <v>116</v>
      </c>
      <c r="BS2" t="s">
        <v>117</v>
      </c>
      <c r="BT2" t="s">
        <v>118</v>
      </c>
      <c r="BU2" t="s">
        <v>119</v>
      </c>
      <c r="BV2" t="s">
        <v>120</v>
      </c>
      <c r="BW2" t="s">
        <v>121</v>
      </c>
      <c r="BX2" t="s">
        <v>122</v>
      </c>
    </row>
    <row r="3" spans="1:76" x14ac:dyDescent="0.25">
      <c r="A3" t="s">
        <v>2</v>
      </c>
      <c r="B3" t="s">
        <v>2</v>
      </c>
      <c r="C3" t="s">
        <v>123</v>
      </c>
      <c r="F3" t="s">
        <v>2</v>
      </c>
      <c r="G3" t="s">
        <v>124</v>
      </c>
      <c r="H3" t="s">
        <v>125</v>
      </c>
      <c r="I3" t="s">
        <v>2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124</v>
      </c>
      <c r="W3" t="s">
        <v>126</v>
      </c>
      <c r="X3" t="s">
        <v>126</v>
      </c>
      <c r="Y3" t="s">
        <v>124</v>
      </c>
      <c r="Z3" t="s">
        <v>124</v>
      </c>
      <c r="AA3" t="s">
        <v>124</v>
      </c>
      <c r="AB3" t="s">
        <v>126</v>
      </c>
      <c r="AC3" t="s">
        <v>124</v>
      </c>
      <c r="AD3" t="s">
        <v>126</v>
      </c>
      <c r="AE3" t="s">
        <v>123</v>
      </c>
      <c r="AF3" t="s">
        <v>2</v>
      </c>
      <c r="AG3" t="s">
        <v>126</v>
      </c>
      <c r="AH3" t="s">
        <v>126</v>
      </c>
      <c r="AI3" t="s">
        <v>126</v>
      </c>
      <c r="AJ3" t="s">
        <v>2</v>
      </c>
      <c r="AK3" t="s">
        <v>2</v>
      </c>
      <c r="AL3" t="s">
        <v>127</v>
      </c>
      <c r="AM3" t="s">
        <v>127</v>
      </c>
      <c r="AN3" t="s">
        <v>2</v>
      </c>
      <c r="AO3" t="s">
        <v>2</v>
      </c>
      <c r="AP3" t="s">
        <v>124</v>
      </c>
      <c r="AQ3" t="s">
        <v>128</v>
      </c>
      <c r="AR3" t="s">
        <v>126</v>
      </c>
      <c r="AS3" t="s">
        <v>124</v>
      </c>
      <c r="AT3" t="s">
        <v>123</v>
      </c>
      <c r="AV3" t="s">
        <v>124</v>
      </c>
      <c r="AW3" t="s">
        <v>123</v>
      </c>
      <c r="AX3" t="s">
        <v>126</v>
      </c>
      <c r="AY3" t="s">
        <v>129</v>
      </c>
      <c r="AZ3" t="s">
        <v>124</v>
      </c>
      <c r="BA3" t="s">
        <v>130</v>
      </c>
      <c r="BB3" t="s">
        <v>123</v>
      </c>
      <c r="BC3" t="s">
        <v>123</v>
      </c>
      <c r="BD3" t="s">
        <v>124</v>
      </c>
      <c r="BE3" t="s">
        <v>131</v>
      </c>
      <c r="BF3" t="s">
        <v>2</v>
      </c>
      <c r="BG3" t="s">
        <v>2</v>
      </c>
      <c r="BH3" t="s">
        <v>2</v>
      </c>
      <c r="BI3" t="s">
        <v>2</v>
      </c>
      <c r="BJ3" t="s">
        <v>132</v>
      </c>
      <c r="BK3" t="s">
        <v>126</v>
      </c>
      <c r="BL3" t="s">
        <v>2</v>
      </c>
      <c r="BM3" t="s">
        <v>128</v>
      </c>
      <c r="BN3" t="s">
        <v>2</v>
      </c>
      <c r="BO3" t="s">
        <v>133</v>
      </c>
      <c r="BP3" t="s">
        <v>128</v>
      </c>
      <c r="BQ3" t="s">
        <v>128</v>
      </c>
      <c r="BR3" t="s">
        <v>128</v>
      </c>
      <c r="BS3" t="s">
        <v>128</v>
      </c>
      <c r="BT3" t="s">
        <v>128</v>
      </c>
      <c r="BU3" t="s">
        <v>128</v>
      </c>
      <c r="BV3" t="s">
        <v>128</v>
      </c>
      <c r="BW3" t="s">
        <v>128</v>
      </c>
      <c r="BX3" t="s">
        <v>124</v>
      </c>
    </row>
    <row r="5" spans="1:76" x14ac:dyDescent="0.25">
      <c r="A5" s="2" t="s">
        <v>619</v>
      </c>
      <c r="B5" t="s">
        <v>134</v>
      </c>
      <c r="D5" s="1" t="s">
        <v>618</v>
      </c>
      <c r="E5" s="1" t="s">
        <v>615</v>
      </c>
      <c r="F5" s="1" t="s">
        <v>623</v>
      </c>
      <c r="G5">
        <v>1</v>
      </c>
      <c r="H5" s="2"/>
      <c r="J5">
        <v>2</v>
      </c>
      <c r="K5">
        <v>90</v>
      </c>
      <c r="L5">
        <v>10000</v>
      </c>
      <c r="N5">
        <v>1000</v>
      </c>
      <c r="P5">
        <v>500</v>
      </c>
      <c r="R5">
        <v>20</v>
      </c>
      <c r="T5">
        <v>10</v>
      </c>
      <c r="V5">
        <v>0.5</v>
      </c>
      <c r="W5">
        <v>70</v>
      </c>
      <c r="Z5">
        <v>0.05</v>
      </c>
      <c r="AA5">
        <v>1.5</v>
      </c>
      <c r="AD5">
        <v>1</v>
      </c>
      <c r="AJ5" s="2" t="s">
        <v>614</v>
      </c>
      <c r="AK5" t="s">
        <v>136</v>
      </c>
      <c r="AL5" s="2" t="s">
        <v>648</v>
      </c>
      <c r="AM5" s="2" t="s">
        <v>607</v>
      </c>
      <c r="AN5" s="2" t="s">
        <v>473</v>
      </c>
      <c r="AO5" s="2" t="s">
        <v>554</v>
      </c>
      <c r="AQ5" t="s">
        <v>559</v>
      </c>
      <c r="AR5">
        <v>2</v>
      </c>
      <c r="AS5">
        <v>0.5</v>
      </c>
      <c r="AZ5">
        <v>0.25</v>
      </c>
      <c r="BE5" s="1" t="s">
        <v>616</v>
      </c>
      <c r="BF5" s="1" t="s">
        <v>617</v>
      </c>
      <c r="BG5" s="1" t="str">
        <f t="shared" ref="BG5" si="0">"icon_"&amp;D5</f>
        <v>icon_thorns</v>
      </c>
      <c r="BH5" s="1" t="str">
        <f t="shared" ref="BH5" si="1">"half_"&amp;D5</f>
        <v>half_thorns</v>
      </c>
      <c r="BI5" s="1" t="str">
        <f t="shared" ref="BI5" si="2">D5</f>
        <v>thorns</v>
      </c>
      <c r="BJ5" s="1" t="s">
        <v>137</v>
      </c>
      <c r="BK5">
        <v>6</v>
      </c>
      <c r="BL5" t="s">
        <v>138</v>
      </c>
      <c r="BM5" t="s">
        <v>139</v>
      </c>
      <c r="BQ5" t="s">
        <v>140</v>
      </c>
      <c r="BR5" t="s">
        <v>141</v>
      </c>
      <c r="BT5" t="s">
        <v>142</v>
      </c>
      <c r="BU5" t="s">
        <v>142</v>
      </c>
      <c r="BV5" t="s">
        <v>143</v>
      </c>
      <c r="BX5">
        <v>1</v>
      </c>
    </row>
    <row r="6" spans="1:76" x14ac:dyDescent="0.25">
      <c r="F6" t="s">
        <v>135</v>
      </c>
      <c r="AL6" s="2" t="s">
        <v>566</v>
      </c>
      <c r="AM6" s="2"/>
    </row>
    <row r="7" spans="1:76" s="1" customFormat="1" x14ac:dyDescent="0.25">
      <c r="A7" s="1" t="s">
        <v>500</v>
      </c>
      <c r="B7" s="1" t="s">
        <v>496</v>
      </c>
      <c r="D7" s="1" t="s">
        <v>515</v>
      </c>
      <c r="E7" s="1">
        <v>1150</v>
      </c>
      <c r="F7" s="1" t="str">
        <f t="shared" ref="F7" si="3">"enemy_"&amp;E7&amp;"_"&amp;D7</f>
        <v>enemy_1150_dsjely</v>
      </c>
      <c r="G7" s="1">
        <v>1</v>
      </c>
      <c r="L7" s="1">
        <v>4400</v>
      </c>
      <c r="N7" s="1">
        <v>480</v>
      </c>
      <c r="P7" s="1">
        <v>160</v>
      </c>
      <c r="R7" s="1">
        <v>20</v>
      </c>
      <c r="Z7" s="1">
        <v>0.05</v>
      </c>
      <c r="AA7" s="1">
        <v>3</v>
      </c>
      <c r="AB7" s="1">
        <v>1</v>
      </c>
      <c r="AC7" s="1">
        <v>0.75</v>
      </c>
      <c r="AJ7" s="1" t="s">
        <v>500</v>
      </c>
      <c r="AK7" s="1" t="s">
        <v>136</v>
      </c>
      <c r="AL7" s="1" t="s">
        <v>553</v>
      </c>
      <c r="AM7" s="1" t="s">
        <v>552</v>
      </c>
      <c r="AN7" s="3" t="s">
        <v>501</v>
      </c>
      <c r="AO7" s="1" t="s">
        <v>554</v>
      </c>
      <c r="AP7" s="1">
        <v>1</v>
      </c>
      <c r="AR7" s="1">
        <v>1</v>
      </c>
      <c r="AW7" s="1">
        <v>1</v>
      </c>
      <c r="AZ7" s="1">
        <v>0.25</v>
      </c>
      <c r="BG7" s="1" t="str">
        <f t="shared" ref="BG7" si="4">"enemy_"&amp;E7&amp;"_"&amp;D7</f>
        <v>enemy_1150_dsjely</v>
      </c>
      <c r="BM7" s="1" t="s">
        <v>497</v>
      </c>
      <c r="BN7" s="1" t="s">
        <v>498</v>
      </c>
      <c r="BP7"/>
      <c r="BQ7" s="1" t="s">
        <v>140</v>
      </c>
      <c r="BR7" s="1" t="s">
        <v>141</v>
      </c>
      <c r="BS7" s="1" t="s">
        <v>499</v>
      </c>
      <c r="BT7" s="1" t="s">
        <v>142</v>
      </c>
      <c r="BX7" s="1">
        <v>1</v>
      </c>
    </row>
    <row r="9" spans="1:76" x14ac:dyDescent="0.25">
      <c r="A9" s="2" t="s">
        <v>556</v>
      </c>
      <c r="B9" t="s">
        <v>557</v>
      </c>
      <c r="F9" t="s">
        <v>558</v>
      </c>
      <c r="G9">
        <v>10</v>
      </c>
      <c r="J9">
        <v>2</v>
      </c>
      <c r="K9">
        <v>90</v>
      </c>
      <c r="L9">
        <v>100</v>
      </c>
      <c r="N9">
        <v>0</v>
      </c>
      <c r="P9">
        <v>0</v>
      </c>
      <c r="R9">
        <v>0</v>
      </c>
      <c r="T9">
        <v>0</v>
      </c>
      <c r="V9">
        <v>0</v>
      </c>
      <c r="W9">
        <v>0</v>
      </c>
      <c r="Z9">
        <v>0.05</v>
      </c>
      <c r="AA9">
        <v>0</v>
      </c>
      <c r="AB9">
        <v>0</v>
      </c>
      <c r="AD9">
        <v>0</v>
      </c>
      <c r="AJ9" s="2" t="s">
        <v>561</v>
      </c>
      <c r="AK9" t="s">
        <v>136</v>
      </c>
      <c r="AL9" s="2" t="s">
        <v>573</v>
      </c>
      <c r="AM9" t="s">
        <v>574</v>
      </c>
      <c r="AO9" s="1"/>
      <c r="AQ9" t="s">
        <v>559</v>
      </c>
      <c r="AR9">
        <v>0</v>
      </c>
      <c r="AS9">
        <v>0.5</v>
      </c>
      <c r="AT9">
        <v>1</v>
      </c>
      <c r="AZ9">
        <v>0.25</v>
      </c>
      <c r="BE9" t="s">
        <v>560</v>
      </c>
      <c r="BO9" s="2" t="s">
        <v>575</v>
      </c>
    </row>
    <row r="10" spans="1:76" x14ac:dyDescent="0.25">
      <c r="E10" s="2" t="s">
        <v>580</v>
      </c>
    </row>
    <row r="11" spans="1:76" s="1" customFormat="1" x14ac:dyDescent="0.25">
      <c r="A11" s="1" t="s">
        <v>631</v>
      </c>
      <c r="B11" s="1" t="s">
        <v>644</v>
      </c>
      <c r="D11" s="1" t="s">
        <v>515</v>
      </c>
      <c r="E11" s="1">
        <v>1150</v>
      </c>
      <c r="F11" s="1" t="str">
        <f t="shared" ref="F11:F13" si="5">"enemy_"&amp;E11&amp;"_"&amp;D11</f>
        <v>enemy_1150_dsjely</v>
      </c>
      <c r="G11" s="1">
        <v>1</v>
      </c>
      <c r="L11" s="1">
        <v>4400</v>
      </c>
      <c r="N11" s="1">
        <v>480</v>
      </c>
      <c r="P11" s="1">
        <v>160</v>
      </c>
      <c r="R11" s="1">
        <v>20</v>
      </c>
      <c r="Z11" s="1">
        <v>0.05</v>
      </c>
      <c r="AA11" s="1">
        <v>3</v>
      </c>
      <c r="AB11" s="1">
        <v>1</v>
      </c>
      <c r="AC11" s="1">
        <v>0.75</v>
      </c>
      <c r="AJ11" s="1" t="s">
        <v>500</v>
      </c>
      <c r="AK11" s="1" t="s">
        <v>136</v>
      </c>
      <c r="AL11" s="1" t="s">
        <v>553</v>
      </c>
      <c r="AM11" s="1" t="s">
        <v>552</v>
      </c>
      <c r="AN11" s="3" t="s">
        <v>501</v>
      </c>
      <c r="AO11" s="1" t="s">
        <v>554</v>
      </c>
      <c r="AP11" s="1">
        <v>1</v>
      </c>
      <c r="AR11" s="1">
        <v>1</v>
      </c>
      <c r="AW11" s="1">
        <v>1</v>
      </c>
      <c r="AZ11" s="1">
        <v>0.25</v>
      </c>
      <c r="BG11" s="1" t="s">
        <v>634</v>
      </c>
      <c r="BM11" s="1" t="s">
        <v>497</v>
      </c>
      <c r="BN11" s="1" t="s">
        <v>498</v>
      </c>
      <c r="BP11"/>
      <c r="BQ11" s="1" t="s">
        <v>140</v>
      </c>
      <c r="BR11" s="1" t="s">
        <v>141</v>
      </c>
      <c r="BS11" s="1" t="s">
        <v>499</v>
      </c>
      <c r="BT11" s="1" t="s">
        <v>142</v>
      </c>
      <c r="BX11" s="1">
        <v>1</v>
      </c>
    </row>
    <row r="12" spans="1:76" s="1" customFormat="1" x14ac:dyDescent="0.25">
      <c r="A12" s="1" t="s">
        <v>632</v>
      </c>
      <c r="B12" s="1" t="s">
        <v>644</v>
      </c>
      <c r="D12" s="1" t="s">
        <v>515</v>
      </c>
      <c r="E12" s="1">
        <v>1150</v>
      </c>
      <c r="F12" s="1" t="str">
        <f t="shared" si="5"/>
        <v>enemy_1150_dsjely</v>
      </c>
      <c r="G12" s="1">
        <v>1</v>
      </c>
      <c r="L12" s="1">
        <v>4400</v>
      </c>
      <c r="N12" s="1">
        <v>480</v>
      </c>
      <c r="P12" s="1">
        <v>160</v>
      </c>
      <c r="R12" s="1">
        <v>20</v>
      </c>
      <c r="Z12" s="1">
        <v>0.05</v>
      </c>
      <c r="AA12" s="1">
        <v>3</v>
      </c>
      <c r="AB12" s="1">
        <v>1</v>
      </c>
      <c r="AC12" s="1">
        <v>0.75</v>
      </c>
      <c r="AJ12" s="1" t="s">
        <v>500</v>
      </c>
      <c r="AK12" s="1" t="s">
        <v>136</v>
      </c>
      <c r="AL12" s="1" t="s">
        <v>553</v>
      </c>
      <c r="AM12" s="1" t="s">
        <v>552</v>
      </c>
      <c r="AN12" s="3" t="s">
        <v>501</v>
      </c>
      <c r="AO12" s="1" t="s">
        <v>554</v>
      </c>
      <c r="AP12" s="1">
        <v>1</v>
      </c>
      <c r="AR12" s="1">
        <v>1</v>
      </c>
      <c r="AW12" s="1">
        <v>1</v>
      </c>
      <c r="AZ12" s="1">
        <v>0.25</v>
      </c>
      <c r="BG12" s="1" t="s">
        <v>635</v>
      </c>
      <c r="BM12" s="1" t="s">
        <v>497</v>
      </c>
      <c r="BN12" s="1" t="s">
        <v>498</v>
      </c>
      <c r="BP12"/>
      <c r="BQ12" s="1" t="s">
        <v>140</v>
      </c>
      <c r="BR12" s="1" t="s">
        <v>141</v>
      </c>
      <c r="BS12" s="1" t="s">
        <v>499</v>
      </c>
      <c r="BT12" s="1" t="s">
        <v>142</v>
      </c>
      <c r="BX12" s="1">
        <v>1</v>
      </c>
    </row>
    <row r="13" spans="1:76" s="1" customFormat="1" x14ac:dyDescent="0.25">
      <c r="A13" s="1" t="s">
        <v>633</v>
      </c>
      <c r="B13" s="1" t="s">
        <v>644</v>
      </c>
      <c r="D13" s="1" t="s">
        <v>515</v>
      </c>
      <c r="E13" s="1">
        <v>1150</v>
      </c>
      <c r="F13" s="1" t="str">
        <f t="shared" si="5"/>
        <v>enemy_1150_dsjely</v>
      </c>
      <c r="G13" s="1">
        <v>1</v>
      </c>
      <c r="L13" s="1">
        <v>4400</v>
      </c>
      <c r="N13" s="1">
        <v>480</v>
      </c>
      <c r="P13" s="1">
        <v>160</v>
      </c>
      <c r="R13" s="1">
        <v>20</v>
      </c>
      <c r="Z13" s="1">
        <v>0.05</v>
      </c>
      <c r="AA13" s="1">
        <v>3</v>
      </c>
      <c r="AB13" s="1">
        <v>1</v>
      </c>
      <c r="AC13" s="1">
        <v>0.75</v>
      </c>
      <c r="AJ13" s="1" t="s">
        <v>500</v>
      </c>
      <c r="AK13" s="1" t="s">
        <v>136</v>
      </c>
      <c r="AL13" s="1" t="s">
        <v>553</v>
      </c>
      <c r="AM13" s="1" t="s">
        <v>552</v>
      </c>
      <c r="AN13" s="3" t="s">
        <v>501</v>
      </c>
      <c r="AO13" s="1" t="s">
        <v>554</v>
      </c>
      <c r="AP13" s="1">
        <v>1</v>
      </c>
      <c r="AR13" s="1">
        <v>1</v>
      </c>
      <c r="AW13" s="1">
        <v>1</v>
      </c>
      <c r="AZ13" s="1">
        <v>0.25</v>
      </c>
      <c r="BG13" s="1" t="s">
        <v>636</v>
      </c>
      <c r="BM13" s="1" t="s">
        <v>497</v>
      </c>
      <c r="BN13" s="1" t="s">
        <v>498</v>
      </c>
      <c r="BP13"/>
      <c r="BQ13" s="1" t="s">
        <v>140</v>
      </c>
      <c r="BR13" s="1" t="s">
        <v>141</v>
      </c>
      <c r="BS13" s="1" t="s">
        <v>499</v>
      </c>
      <c r="BT13" s="1" t="s">
        <v>142</v>
      </c>
      <c r="BX13" s="1">
        <v>1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I704"/>
  <sheetViews>
    <sheetView workbookViewId="0">
      <pane xSplit="1" ySplit="3" topLeftCell="CD6" activePane="bottomRight" state="frozen"/>
      <selection pane="topRight"/>
      <selection pane="bottomLeft"/>
      <selection pane="bottomRight" activeCell="O16" sqref="O16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20.58203125" customWidth="1"/>
    <col min="9" max="9" width="10.75" customWidth="1"/>
    <col min="10" max="10" width="15.75" customWidth="1"/>
    <col min="11" max="13" width="8.33203125" customWidth="1"/>
    <col min="14" max="14" width="11.75" customWidth="1"/>
    <col min="15" max="15" width="13.08203125" customWidth="1"/>
    <col min="16" max="16" width="11.58203125" customWidth="1"/>
    <col min="17" max="17" width="21.5" customWidth="1"/>
    <col min="18" max="18" width="19.83203125" customWidth="1"/>
    <col min="19" max="19" width="16.58203125" customWidth="1"/>
    <col min="20" max="20" width="19.08203125" customWidth="1"/>
    <col min="21" max="21" width="18.33203125" customWidth="1"/>
    <col min="22" max="22" width="17.75" customWidth="1"/>
    <col min="23" max="23" width="8.33203125" customWidth="1"/>
    <col min="24" max="24" width="18.5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1" max="51" width="9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customWidth="1"/>
    <col min="75" max="76" width="8.5" customWidth="1"/>
    <col min="77" max="78" width="7.83203125" customWidth="1"/>
    <col min="79" max="79" width="22.164062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6" max="86" width="9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8" width="9" customWidth="1"/>
    <col min="99" max="99" width="14" customWidth="1"/>
    <col min="100" max="100" width="8" customWidth="1"/>
    <col min="101" max="101" width="9" customWidth="1"/>
    <col min="102" max="102" width="11.08203125" customWidth="1"/>
    <col min="103" max="103" width="13.75" customWidth="1"/>
    <col min="104" max="109" width="9" customWidth="1"/>
    <col min="110" max="110" width="15.5" customWidth="1"/>
    <col min="111" max="113" width="9" customWidth="1"/>
  </cols>
  <sheetData>
    <row r="1" spans="1:113" x14ac:dyDescent="0.25">
      <c r="B1" t="s">
        <v>144</v>
      </c>
      <c r="D1" t="s">
        <v>145</v>
      </c>
      <c r="E1" t="s">
        <v>146</v>
      </c>
      <c r="F1" t="s">
        <v>147</v>
      </c>
      <c r="G1" t="s">
        <v>148</v>
      </c>
      <c r="H1" t="s">
        <v>149</v>
      </c>
      <c r="I1" t="s">
        <v>150</v>
      </c>
      <c r="J1" t="s">
        <v>151</v>
      </c>
      <c r="K1" t="s">
        <v>152</v>
      </c>
      <c r="L1" t="s">
        <v>153</v>
      </c>
      <c r="M1" t="s">
        <v>154</v>
      </c>
      <c r="N1" t="s">
        <v>155</v>
      </c>
      <c r="O1" t="s">
        <v>156</v>
      </c>
      <c r="P1" t="s">
        <v>157</v>
      </c>
      <c r="Q1" t="s">
        <v>158</v>
      </c>
      <c r="R1" t="s">
        <v>159</v>
      </c>
      <c r="S1" t="s">
        <v>160</v>
      </c>
      <c r="T1" t="s">
        <v>161</v>
      </c>
      <c r="U1" t="s">
        <v>161</v>
      </c>
      <c r="V1" t="s">
        <v>162</v>
      </c>
      <c r="W1" t="s">
        <v>163</v>
      </c>
      <c r="X1" t="s">
        <v>164</v>
      </c>
      <c r="Y1" t="s">
        <v>165</v>
      </c>
      <c r="Z1" t="s">
        <v>166</v>
      </c>
      <c r="AA1" t="s">
        <v>167</v>
      </c>
      <c r="AB1" t="s">
        <v>168</v>
      </c>
      <c r="AC1" t="s">
        <v>169</v>
      </c>
      <c r="AD1" t="s">
        <v>170</v>
      </c>
      <c r="AE1" t="s">
        <v>171</v>
      </c>
      <c r="AF1" t="s">
        <v>172</v>
      </c>
      <c r="AG1" t="s">
        <v>173</v>
      </c>
      <c r="AH1" t="s">
        <v>174</v>
      </c>
      <c r="AI1" t="s">
        <v>175</v>
      </c>
      <c r="AJ1" t="s">
        <v>176</v>
      </c>
      <c r="AK1" t="s">
        <v>177</v>
      </c>
      <c r="AL1" t="s">
        <v>178</v>
      </c>
      <c r="AM1" t="s">
        <v>179</v>
      </c>
      <c r="AN1" t="s">
        <v>180</v>
      </c>
      <c r="AO1" t="s">
        <v>181</v>
      </c>
      <c r="AP1" t="s">
        <v>182</v>
      </c>
      <c r="AQ1" t="s">
        <v>183</v>
      </c>
      <c r="AR1" t="s">
        <v>184</v>
      </c>
      <c r="AS1" t="s">
        <v>185</v>
      </c>
      <c r="AT1" t="s">
        <v>186</v>
      </c>
      <c r="AU1" t="s">
        <v>187</v>
      </c>
      <c r="AV1" t="s">
        <v>188</v>
      </c>
      <c r="AW1" t="s">
        <v>189</v>
      </c>
      <c r="AX1" t="s">
        <v>190</v>
      </c>
      <c r="AY1" t="s">
        <v>191</v>
      </c>
      <c r="AZ1" t="s">
        <v>192</v>
      </c>
      <c r="BA1" t="s">
        <v>193</v>
      </c>
      <c r="BB1" t="s">
        <v>194</v>
      </c>
      <c r="BC1" t="s">
        <v>195</v>
      </c>
      <c r="BD1" t="s">
        <v>196</v>
      </c>
      <c r="BE1" t="s">
        <v>197</v>
      </c>
      <c r="BF1" t="s">
        <v>198</v>
      </c>
      <c r="BG1" t="s">
        <v>199</v>
      </c>
      <c r="BH1" t="s">
        <v>200</v>
      </c>
      <c r="BJ1" t="s">
        <v>200</v>
      </c>
      <c r="BK1" t="s">
        <v>201</v>
      </c>
      <c r="BL1" t="s">
        <v>202</v>
      </c>
      <c r="BM1" t="s">
        <v>203</v>
      </c>
      <c r="BN1" t="s">
        <v>204</v>
      </c>
      <c r="BO1" t="s">
        <v>205</v>
      </c>
      <c r="BP1" t="s">
        <v>206</v>
      </c>
      <c r="BQ1" t="s">
        <v>207</v>
      </c>
      <c r="BR1" t="s">
        <v>208</v>
      </c>
      <c r="BS1" t="s">
        <v>209</v>
      </c>
      <c r="BT1" t="s">
        <v>210</v>
      </c>
      <c r="BU1" t="s">
        <v>211</v>
      </c>
      <c r="BV1" t="s">
        <v>212</v>
      </c>
      <c r="BW1" t="s">
        <v>213</v>
      </c>
      <c r="BX1" t="s">
        <v>214</v>
      </c>
      <c r="BY1" t="s">
        <v>215</v>
      </c>
      <c r="BZ1" t="s">
        <v>216</v>
      </c>
      <c r="CA1" t="s">
        <v>217</v>
      </c>
      <c r="CB1" t="s">
        <v>218</v>
      </c>
      <c r="CC1" t="s">
        <v>219</v>
      </c>
      <c r="CD1" t="s">
        <v>220</v>
      </c>
      <c r="CE1" t="s">
        <v>221</v>
      </c>
      <c r="CF1" t="s">
        <v>222</v>
      </c>
      <c r="CG1" t="s">
        <v>223</v>
      </c>
      <c r="CH1" t="s">
        <v>224</v>
      </c>
      <c r="CI1" t="s">
        <v>225</v>
      </c>
      <c r="CJ1" t="s">
        <v>226</v>
      </c>
      <c r="CK1" t="s">
        <v>227</v>
      </c>
      <c r="CL1" t="s">
        <v>228</v>
      </c>
      <c r="CM1" t="s">
        <v>229</v>
      </c>
      <c r="CN1" t="s">
        <v>230</v>
      </c>
      <c r="CO1" t="s">
        <v>231</v>
      </c>
      <c r="CP1" t="s">
        <v>232</v>
      </c>
      <c r="CQ1" t="s">
        <v>233</v>
      </c>
      <c r="CR1" t="s">
        <v>210</v>
      </c>
      <c r="CS1" t="s">
        <v>234</v>
      </c>
      <c r="CT1" t="s">
        <v>235</v>
      </c>
      <c r="CU1" t="s">
        <v>236</v>
      </c>
      <c r="CV1" t="s">
        <v>237</v>
      </c>
      <c r="CW1" t="s">
        <v>238</v>
      </c>
      <c r="CX1" t="s">
        <v>239</v>
      </c>
      <c r="CY1" t="s">
        <v>240</v>
      </c>
      <c r="CZ1" t="s">
        <v>239</v>
      </c>
      <c r="DA1" t="s">
        <v>241</v>
      </c>
      <c r="DB1" t="s">
        <v>242</v>
      </c>
      <c r="DC1" t="s">
        <v>243</v>
      </c>
      <c r="DD1" t="s">
        <v>244</v>
      </c>
      <c r="DE1" t="s">
        <v>245</v>
      </c>
      <c r="DF1" t="s">
        <v>246</v>
      </c>
      <c r="DG1" t="s">
        <v>247</v>
      </c>
      <c r="DH1" t="s">
        <v>248</v>
      </c>
      <c r="DI1" t="s">
        <v>249</v>
      </c>
    </row>
    <row r="2" spans="1:113" x14ac:dyDescent="0.25">
      <c r="A2" t="s">
        <v>0</v>
      </c>
      <c r="C2" t="s">
        <v>50</v>
      </c>
      <c r="D2" t="s">
        <v>82</v>
      </c>
      <c r="E2" t="s">
        <v>250</v>
      </c>
      <c r="F2" t="s">
        <v>251</v>
      </c>
      <c r="G2" t="s">
        <v>56</v>
      </c>
      <c r="H2" t="s">
        <v>252</v>
      </c>
      <c r="I2" t="s">
        <v>253</v>
      </c>
      <c r="J2" t="s">
        <v>254</v>
      </c>
      <c r="K2" t="s">
        <v>255</v>
      </c>
      <c r="L2" t="s">
        <v>256</v>
      </c>
      <c r="M2" t="s">
        <v>257</v>
      </c>
      <c r="N2" t="s">
        <v>258</v>
      </c>
      <c r="O2" t="s">
        <v>259</v>
      </c>
      <c r="P2" t="s">
        <v>260</v>
      </c>
      <c r="Q2" t="s">
        <v>261</v>
      </c>
      <c r="R2" t="s">
        <v>262</v>
      </c>
      <c r="S2" t="s">
        <v>263</v>
      </c>
      <c r="T2" t="s">
        <v>264</v>
      </c>
      <c r="U2" t="s">
        <v>265</v>
      </c>
      <c r="V2" t="s">
        <v>266</v>
      </c>
      <c r="W2" t="s">
        <v>267</v>
      </c>
      <c r="X2" t="s">
        <v>268</v>
      </c>
      <c r="Y2" t="s">
        <v>269</v>
      </c>
      <c r="Z2" t="s">
        <v>270</v>
      </c>
      <c r="AA2" t="s">
        <v>271</v>
      </c>
      <c r="AB2" s="2" t="s">
        <v>479</v>
      </c>
      <c r="AC2" t="s">
        <v>272</v>
      </c>
      <c r="AD2" t="s">
        <v>273</v>
      </c>
      <c r="AE2" t="s">
        <v>274</v>
      </c>
      <c r="AF2" t="s">
        <v>275</v>
      </c>
      <c r="AG2" t="s">
        <v>276</v>
      </c>
      <c r="AH2" t="s">
        <v>277</v>
      </c>
      <c r="AI2" t="s">
        <v>278</v>
      </c>
      <c r="AJ2" t="s">
        <v>279</v>
      </c>
      <c r="AK2" t="s">
        <v>280</v>
      </c>
      <c r="AL2" t="s">
        <v>281</v>
      </c>
      <c r="AM2" t="s">
        <v>282</v>
      </c>
      <c r="AN2" t="s">
        <v>283</v>
      </c>
      <c r="AO2" t="s">
        <v>284</v>
      </c>
      <c r="AP2" t="s">
        <v>285</v>
      </c>
      <c r="AQ2" t="s">
        <v>286</v>
      </c>
      <c r="AR2" t="s">
        <v>287</v>
      </c>
      <c r="AS2" t="s">
        <v>288</v>
      </c>
      <c r="AT2" t="s">
        <v>289</v>
      </c>
      <c r="AU2" t="s">
        <v>290</v>
      </c>
      <c r="AV2" s="2" t="s">
        <v>582</v>
      </c>
      <c r="AW2" t="s">
        <v>291</v>
      </c>
      <c r="AX2" t="s">
        <v>292</v>
      </c>
      <c r="AY2" t="s">
        <v>293</v>
      </c>
      <c r="AZ2" t="s">
        <v>294</v>
      </c>
      <c r="BA2" t="s">
        <v>295</v>
      </c>
      <c r="BB2" t="s">
        <v>296</v>
      </c>
      <c r="BC2" t="s">
        <v>297</v>
      </c>
      <c r="BD2" t="s">
        <v>298</v>
      </c>
      <c r="BE2" t="s">
        <v>299</v>
      </c>
      <c r="BF2" t="s">
        <v>300</v>
      </c>
      <c r="BG2" t="s">
        <v>301</v>
      </c>
      <c r="BH2" t="s">
        <v>302</v>
      </c>
      <c r="BI2" t="s">
        <v>303</v>
      </c>
      <c r="BJ2" t="s">
        <v>304</v>
      </c>
      <c r="BK2" t="s">
        <v>305</v>
      </c>
      <c r="BL2" t="s">
        <v>306</v>
      </c>
      <c r="BM2" t="s">
        <v>307</v>
      </c>
      <c r="BN2" t="s">
        <v>308</v>
      </c>
      <c r="BO2" t="s">
        <v>84</v>
      </c>
      <c r="BP2" t="s">
        <v>309</v>
      </c>
      <c r="BQ2" t="s">
        <v>310</v>
      </c>
      <c r="BR2" t="s">
        <v>311</v>
      </c>
      <c r="BS2" t="s">
        <v>312</v>
      </c>
      <c r="BT2" t="s">
        <v>313</v>
      </c>
      <c r="BU2" t="s">
        <v>100</v>
      </c>
      <c r="BV2" t="s">
        <v>314</v>
      </c>
      <c r="BW2" t="s">
        <v>315</v>
      </c>
      <c r="BX2" t="s">
        <v>316</v>
      </c>
      <c r="BY2" t="s">
        <v>317</v>
      </c>
      <c r="BZ2" t="s">
        <v>318</v>
      </c>
      <c r="CA2" t="s">
        <v>319</v>
      </c>
      <c r="CB2" t="s">
        <v>320</v>
      </c>
      <c r="CC2" t="s">
        <v>321</v>
      </c>
      <c r="CD2" t="s">
        <v>322</v>
      </c>
      <c r="CE2" t="s">
        <v>323</v>
      </c>
      <c r="CF2" t="s">
        <v>324</v>
      </c>
      <c r="CG2" t="s">
        <v>325</v>
      </c>
      <c r="CH2" t="s">
        <v>326</v>
      </c>
      <c r="CI2" s="2" t="s">
        <v>581</v>
      </c>
      <c r="CJ2" t="s">
        <v>327</v>
      </c>
      <c r="CK2" t="s">
        <v>328</v>
      </c>
      <c r="CL2" t="s">
        <v>329</v>
      </c>
      <c r="CM2" t="s">
        <v>330</v>
      </c>
      <c r="CN2" t="s">
        <v>331</v>
      </c>
      <c r="CO2" t="s">
        <v>332</v>
      </c>
      <c r="CP2" t="s">
        <v>333</v>
      </c>
      <c r="CQ2" t="s">
        <v>334</v>
      </c>
      <c r="CR2" t="s">
        <v>335</v>
      </c>
      <c r="CS2" t="s">
        <v>336</v>
      </c>
      <c r="CT2" t="s">
        <v>337</v>
      </c>
      <c r="CU2" t="s">
        <v>338</v>
      </c>
      <c r="CV2" t="s">
        <v>339</v>
      </c>
      <c r="CW2" t="s">
        <v>340</v>
      </c>
      <c r="CX2" t="s">
        <v>341</v>
      </c>
      <c r="CY2" t="s">
        <v>342</v>
      </c>
      <c r="CZ2" t="s">
        <v>343</v>
      </c>
      <c r="DA2" t="s">
        <v>344</v>
      </c>
      <c r="DB2" t="s">
        <v>345</v>
      </c>
      <c r="DC2" t="s">
        <v>346</v>
      </c>
      <c r="DD2" t="s">
        <v>347</v>
      </c>
      <c r="DE2" t="s">
        <v>348</v>
      </c>
      <c r="DF2" t="s">
        <v>349</v>
      </c>
      <c r="DG2" t="s">
        <v>350</v>
      </c>
      <c r="DH2" t="s">
        <v>351</v>
      </c>
      <c r="DI2" t="s">
        <v>352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126</v>
      </c>
      <c r="H3" t="s">
        <v>2</v>
      </c>
      <c r="I3" t="s">
        <v>123</v>
      </c>
      <c r="J3" t="s">
        <v>353</v>
      </c>
      <c r="K3" t="s">
        <v>354</v>
      </c>
      <c r="L3" t="s">
        <v>355</v>
      </c>
      <c r="M3" t="s">
        <v>126</v>
      </c>
      <c r="N3" t="s">
        <v>126</v>
      </c>
      <c r="O3" t="s">
        <v>129</v>
      </c>
      <c r="P3" t="s">
        <v>129</v>
      </c>
      <c r="Q3" t="s">
        <v>129</v>
      </c>
      <c r="R3" t="s">
        <v>129</v>
      </c>
      <c r="S3" t="s">
        <v>123</v>
      </c>
      <c r="T3" t="s">
        <v>124</v>
      </c>
      <c r="U3" t="s">
        <v>124</v>
      </c>
      <c r="V3" t="s">
        <v>124</v>
      </c>
      <c r="W3" t="s">
        <v>123</v>
      </c>
      <c r="X3" t="s">
        <v>123</v>
      </c>
      <c r="Y3" t="s">
        <v>123</v>
      </c>
      <c r="Z3" t="s">
        <v>123</v>
      </c>
      <c r="AA3" t="s">
        <v>124</v>
      </c>
      <c r="AB3" t="s">
        <v>123</v>
      </c>
      <c r="AC3" t="s">
        <v>126</v>
      </c>
      <c r="AD3" t="s">
        <v>123</v>
      </c>
      <c r="AE3" t="s">
        <v>123</v>
      </c>
      <c r="AF3" t="s">
        <v>123</v>
      </c>
      <c r="AG3" t="s">
        <v>356</v>
      </c>
      <c r="AH3" t="s">
        <v>123</v>
      </c>
      <c r="AI3" t="s">
        <v>131</v>
      </c>
      <c r="AJ3" t="s">
        <v>3</v>
      </c>
      <c r="AK3" t="s">
        <v>126</v>
      </c>
      <c r="AL3" t="s">
        <v>126</v>
      </c>
      <c r="AM3" t="s">
        <v>126</v>
      </c>
      <c r="AN3" t="s">
        <v>123</v>
      </c>
      <c r="AO3" t="s">
        <v>357</v>
      </c>
      <c r="AP3" t="s">
        <v>358</v>
      </c>
      <c r="AQ3" t="s">
        <v>2</v>
      </c>
      <c r="AR3" t="s">
        <v>2</v>
      </c>
      <c r="AS3" t="s">
        <v>2</v>
      </c>
      <c r="AT3" t="s">
        <v>359</v>
      </c>
      <c r="AU3" t="s">
        <v>123</v>
      </c>
      <c r="AV3" t="s">
        <v>124</v>
      </c>
      <c r="AW3" t="s">
        <v>123</v>
      </c>
      <c r="AX3" t="s">
        <v>360</v>
      </c>
      <c r="AY3" t="s">
        <v>123</v>
      </c>
      <c r="AZ3" t="s">
        <v>124</v>
      </c>
      <c r="BA3" t="s">
        <v>123</v>
      </c>
      <c r="BB3" t="s">
        <v>126</v>
      </c>
      <c r="BC3" t="s">
        <v>124</v>
      </c>
      <c r="BD3" t="s">
        <v>126</v>
      </c>
      <c r="BE3" t="s">
        <v>126</v>
      </c>
      <c r="BF3" t="s">
        <v>124</v>
      </c>
      <c r="BG3" t="s">
        <v>123</v>
      </c>
      <c r="BH3" t="s">
        <v>359</v>
      </c>
      <c r="BI3" t="s">
        <v>123</v>
      </c>
      <c r="BJ3" t="s">
        <v>124</v>
      </c>
      <c r="BK3" t="s">
        <v>124</v>
      </c>
      <c r="BL3" t="s">
        <v>124</v>
      </c>
      <c r="BM3" t="s">
        <v>126</v>
      </c>
      <c r="BN3" t="s">
        <v>126</v>
      </c>
      <c r="BO3" t="s">
        <v>127</v>
      </c>
      <c r="BP3" t="s">
        <v>127</v>
      </c>
      <c r="BQ3" t="s">
        <v>361</v>
      </c>
      <c r="BR3" t="s">
        <v>362</v>
      </c>
      <c r="BS3" t="s">
        <v>124</v>
      </c>
      <c r="BT3" t="s">
        <v>124</v>
      </c>
      <c r="BU3" t="s">
        <v>123</v>
      </c>
      <c r="BV3" t="s">
        <v>124</v>
      </c>
      <c r="BW3" t="s">
        <v>124</v>
      </c>
      <c r="BX3" t="s">
        <v>126</v>
      </c>
      <c r="BY3" t="s">
        <v>363</v>
      </c>
      <c r="BZ3" t="s">
        <v>123</v>
      </c>
      <c r="CA3" t="s">
        <v>363</v>
      </c>
      <c r="CB3" t="s">
        <v>128</v>
      </c>
      <c r="CC3" t="s">
        <v>364</v>
      </c>
      <c r="CD3" t="s">
        <v>128</v>
      </c>
      <c r="CE3" t="s">
        <v>128</v>
      </c>
      <c r="CF3" t="s">
        <v>128</v>
      </c>
      <c r="CG3" t="s">
        <v>365</v>
      </c>
      <c r="CH3" t="s">
        <v>366</v>
      </c>
      <c r="CI3" t="s">
        <v>2</v>
      </c>
      <c r="CJ3" t="s">
        <v>367</v>
      </c>
      <c r="CK3" t="s">
        <v>367</v>
      </c>
      <c r="CL3" t="s">
        <v>133</v>
      </c>
      <c r="CM3" t="s">
        <v>129</v>
      </c>
      <c r="CN3" t="s">
        <v>129</v>
      </c>
      <c r="CO3" t="s">
        <v>132</v>
      </c>
      <c r="CP3" t="s">
        <v>132</v>
      </c>
      <c r="CQ3" t="s">
        <v>132</v>
      </c>
      <c r="CR3" t="s">
        <v>364</v>
      </c>
      <c r="CS3" t="s">
        <v>132</v>
      </c>
      <c r="CT3" t="s">
        <v>123</v>
      </c>
      <c r="CU3" t="s">
        <v>133</v>
      </c>
      <c r="CV3" t="s">
        <v>368</v>
      </c>
      <c r="CW3" t="s">
        <v>369</v>
      </c>
      <c r="CX3" t="s">
        <v>369</v>
      </c>
      <c r="CY3" t="s">
        <v>368</v>
      </c>
      <c r="CZ3" t="s">
        <v>368</v>
      </c>
      <c r="DA3" t="s">
        <v>368</v>
      </c>
      <c r="DB3" t="s">
        <v>368</v>
      </c>
      <c r="DC3" t="s">
        <v>368</v>
      </c>
      <c r="DD3" t="s">
        <v>123</v>
      </c>
      <c r="DE3" t="s">
        <v>123</v>
      </c>
      <c r="DF3" t="s">
        <v>123</v>
      </c>
      <c r="DG3" t="s">
        <v>123</v>
      </c>
      <c r="DH3" t="s">
        <v>123</v>
      </c>
      <c r="DI3" t="s">
        <v>123</v>
      </c>
    </row>
    <row r="4" spans="1:113" x14ac:dyDescent="0.25">
      <c r="A4" t="s">
        <v>370</v>
      </c>
    </row>
    <row r="6" spans="1:113" x14ac:dyDescent="0.25">
      <c r="A6" t="s">
        <v>371</v>
      </c>
      <c r="C6" s="2" t="s">
        <v>587</v>
      </c>
      <c r="K6" t="s">
        <v>373</v>
      </c>
      <c r="P6" s="2" t="s">
        <v>600</v>
      </c>
      <c r="AC6">
        <v>2</v>
      </c>
      <c r="AD6">
        <v>1</v>
      </c>
      <c r="AO6" t="s">
        <v>374</v>
      </c>
      <c r="AT6" s="2" t="s">
        <v>602</v>
      </c>
      <c r="AX6" t="s">
        <v>375</v>
      </c>
      <c r="AZ6">
        <v>1</v>
      </c>
      <c r="BD6">
        <v>1</v>
      </c>
      <c r="BE6">
        <v>4</v>
      </c>
      <c r="BF6">
        <v>0.25</v>
      </c>
      <c r="BP6" s="2" t="s">
        <v>605</v>
      </c>
      <c r="BQ6" s="2" t="s">
        <v>611</v>
      </c>
      <c r="CB6" s="2" t="s">
        <v>624</v>
      </c>
      <c r="CG6" t="s">
        <v>376</v>
      </c>
      <c r="CH6" s="2" t="s">
        <v>593</v>
      </c>
      <c r="CI6" s="2" t="s">
        <v>627</v>
      </c>
      <c r="CJ6" s="2" t="s">
        <v>531</v>
      </c>
      <c r="CN6" s="2" t="s">
        <v>507</v>
      </c>
      <c r="CR6">
        <v>12</v>
      </c>
      <c r="CU6" s="2" t="s">
        <v>603</v>
      </c>
      <c r="CY6" t="s">
        <v>379</v>
      </c>
      <c r="DD6">
        <v>1</v>
      </c>
      <c r="DG6">
        <v>1</v>
      </c>
      <c r="DH6">
        <v>1</v>
      </c>
    </row>
    <row r="7" spans="1:113" x14ac:dyDescent="0.25">
      <c r="A7" s="2" t="s">
        <v>527</v>
      </c>
      <c r="C7" t="s">
        <v>372</v>
      </c>
      <c r="J7" t="s">
        <v>380</v>
      </c>
      <c r="K7" t="s">
        <v>381</v>
      </c>
      <c r="R7" t="s">
        <v>528</v>
      </c>
      <c r="AC7">
        <v>2</v>
      </c>
      <c r="AD7">
        <v>1</v>
      </c>
      <c r="AO7" s="2" t="s">
        <v>583</v>
      </c>
      <c r="AV7">
        <v>16</v>
      </c>
      <c r="BD7">
        <v>99</v>
      </c>
      <c r="CH7" s="2" t="s">
        <v>503</v>
      </c>
      <c r="CU7" s="2"/>
    </row>
    <row r="8" spans="1:113" x14ac:dyDescent="0.25">
      <c r="A8" t="s">
        <v>382</v>
      </c>
      <c r="C8" t="s">
        <v>383</v>
      </c>
      <c r="K8" t="s">
        <v>381</v>
      </c>
      <c r="L8" t="s">
        <v>384</v>
      </c>
      <c r="AC8">
        <v>2</v>
      </c>
      <c r="AO8" t="s">
        <v>385</v>
      </c>
      <c r="AX8" t="s">
        <v>375</v>
      </c>
      <c r="AZ8">
        <v>0</v>
      </c>
      <c r="BB8">
        <v>2</v>
      </c>
      <c r="BD8">
        <v>1</v>
      </c>
      <c r="CL8" t="s">
        <v>386</v>
      </c>
      <c r="CY8" t="s">
        <v>387</v>
      </c>
    </row>
    <row r="10" spans="1:113" x14ac:dyDescent="0.25">
      <c r="A10" t="s">
        <v>388</v>
      </c>
      <c r="C10" t="s">
        <v>372</v>
      </c>
      <c r="K10" t="s">
        <v>381</v>
      </c>
      <c r="L10" t="s">
        <v>389</v>
      </c>
      <c r="AC10">
        <v>1</v>
      </c>
      <c r="AG10" t="s">
        <v>390</v>
      </c>
      <c r="BD10">
        <v>1</v>
      </c>
      <c r="BT10">
        <v>0.1</v>
      </c>
      <c r="CN10" t="s">
        <v>391</v>
      </c>
    </row>
    <row r="12" spans="1:113" x14ac:dyDescent="0.25">
      <c r="A12" s="2" t="s">
        <v>474</v>
      </c>
      <c r="C12" s="2" t="s">
        <v>475</v>
      </c>
      <c r="J12" s="2" t="s">
        <v>481</v>
      </c>
      <c r="K12" s="2" t="s">
        <v>476</v>
      </c>
      <c r="AC12">
        <v>2</v>
      </c>
      <c r="AO12" t="s">
        <v>374</v>
      </c>
      <c r="AV12">
        <v>8</v>
      </c>
      <c r="AX12" s="2" t="s">
        <v>477</v>
      </c>
      <c r="AZ12">
        <v>2.5</v>
      </c>
      <c r="BD12">
        <v>2</v>
      </c>
      <c r="BP12" s="2"/>
      <c r="BT12">
        <v>0.1</v>
      </c>
      <c r="BV12">
        <v>0</v>
      </c>
      <c r="BW12">
        <v>3</v>
      </c>
      <c r="BX12">
        <v>1</v>
      </c>
      <c r="BY12" s="2" t="s">
        <v>478</v>
      </c>
      <c r="CB12" t="s">
        <v>60</v>
      </c>
      <c r="CG12" t="s">
        <v>376</v>
      </c>
      <c r="CH12" t="s">
        <v>421</v>
      </c>
      <c r="CI12" t="s">
        <v>378</v>
      </c>
      <c r="CJ12" s="2" t="s">
        <v>534</v>
      </c>
      <c r="CN12" s="2" t="s">
        <v>529</v>
      </c>
      <c r="CU12" s="2" t="s">
        <v>493</v>
      </c>
      <c r="CY12" t="s">
        <v>379</v>
      </c>
    </row>
    <row r="13" spans="1:113" x14ac:dyDescent="0.25">
      <c r="A13" s="2" t="s">
        <v>480</v>
      </c>
      <c r="C13" s="2" t="s">
        <v>475</v>
      </c>
      <c r="J13" s="2" t="s">
        <v>481</v>
      </c>
      <c r="K13" s="2" t="s">
        <v>476</v>
      </c>
      <c r="AC13">
        <v>1</v>
      </c>
      <c r="AG13" s="2" t="s">
        <v>482</v>
      </c>
      <c r="BD13">
        <v>1</v>
      </c>
      <c r="BT13">
        <v>3</v>
      </c>
      <c r="BV13">
        <v>0</v>
      </c>
      <c r="BW13">
        <v>5</v>
      </c>
      <c r="BX13">
        <v>1</v>
      </c>
      <c r="BY13" s="2" t="s">
        <v>476</v>
      </c>
      <c r="CN13" s="2" t="s">
        <v>513</v>
      </c>
      <c r="CO13">
        <v>200</v>
      </c>
      <c r="CP13">
        <v>0.8</v>
      </c>
      <c r="CR13">
        <v>5</v>
      </c>
      <c r="CU13" s="2"/>
    </row>
    <row r="14" spans="1:113" x14ac:dyDescent="0.25">
      <c r="A14" s="2" t="s">
        <v>487</v>
      </c>
      <c r="C14" s="2" t="s">
        <v>475</v>
      </c>
      <c r="J14" s="2" t="s">
        <v>481</v>
      </c>
      <c r="K14" s="2" t="s">
        <v>476</v>
      </c>
      <c r="AC14">
        <v>1</v>
      </c>
      <c r="AG14" s="2" t="s">
        <v>482</v>
      </c>
      <c r="BD14">
        <v>1</v>
      </c>
      <c r="BT14">
        <v>0.1</v>
      </c>
      <c r="BV14">
        <v>0</v>
      </c>
      <c r="BW14">
        <v>2</v>
      </c>
      <c r="BX14">
        <v>1</v>
      </c>
      <c r="BY14" s="2" t="s">
        <v>478</v>
      </c>
      <c r="CN14" t="s">
        <v>488</v>
      </c>
      <c r="CU14" s="2" t="s">
        <v>491</v>
      </c>
    </row>
    <row r="16" spans="1:113" x14ac:dyDescent="0.25">
      <c r="A16" s="2" t="s">
        <v>516</v>
      </c>
      <c r="C16" s="2" t="s">
        <v>495</v>
      </c>
      <c r="J16" s="2"/>
      <c r="K16" s="2" t="s">
        <v>476</v>
      </c>
      <c r="O16" s="2"/>
      <c r="AC16">
        <v>2</v>
      </c>
      <c r="AO16" s="2" t="s">
        <v>505</v>
      </c>
      <c r="AR16" s="4" t="s">
        <v>514</v>
      </c>
      <c r="AV16">
        <v>8</v>
      </c>
      <c r="AX16" s="2" t="s">
        <v>525</v>
      </c>
      <c r="AZ16">
        <v>1.5</v>
      </c>
      <c r="BD16">
        <v>1</v>
      </c>
      <c r="BS16">
        <v>6</v>
      </c>
      <c r="BY16" s="2"/>
      <c r="CH16" s="2" t="s">
        <v>522</v>
      </c>
      <c r="CN16" s="2" t="s">
        <v>540</v>
      </c>
      <c r="CO16">
        <v>-50</v>
      </c>
      <c r="CP16">
        <v>-0.8</v>
      </c>
      <c r="CR16">
        <v>3</v>
      </c>
      <c r="CU16" s="2" t="s">
        <v>555</v>
      </c>
    </row>
    <row r="17" spans="1:112" x14ac:dyDescent="0.25">
      <c r="A17" s="2" t="s">
        <v>494</v>
      </c>
      <c r="C17" s="2" t="s">
        <v>495</v>
      </c>
      <c r="J17" s="2"/>
      <c r="K17" s="2" t="s">
        <v>541</v>
      </c>
      <c r="L17" s="2" t="s">
        <v>546</v>
      </c>
      <c r="Q17" s="2" t="s">
        <v>506</v>
      </c>
      <c r="AC17">
        <v>2</v>
      </c>
      <c r="AE17">
        <v>1</v>
      </c>
      <c r="AO17" s="2"/>
      <c r="AR17" s="4"/>
      <c r="AT17" s="2"/>
      <c r="BD17">
        <v>1</v>
      </c>
      <c r="BY17" s="2"/>
      <c r="CU17" s="2" t="s">
        <v>545</v>
      </c>
    </row>
    <row r="18" spans="1:112" x14ac:dyDescent="0.25">
      <c r="A18" s="2" t="s">
        <v>502</v>
      </c>
      <c r="C18" s="2" t="s">
        <v>475</v>
      </c>
      <c r="J18" s="2"/>
      <c r="K18" s="2" t="s">
        <v>476</v>
      </c>
      <c r="AC18">
        <v>2</v>
      </c>
      <c r="AO18" t="s">
        <v>374</v>
      </c>
      <c r="AR18" s="4" t="s">
        <v>514</v>
      </c>
      <c r="AV18">
        <v>3.5</v>
      </c>
      <c r="AX18" s="2" t="s">
        <v>477</v>
      </c>
      <c r="AZ18">
        <v>1</v>
      </c>
      <c r="BD18">
        <v>2</v>
      </c>
      <c r="BY18" s="2"/>
      <c r="CB18" t="s">
        <v>60</v>
      </c>
      <c r="CG18" t="s">
        <v>376</v>
      </c>
      <c r="CH18" s="2" t="s">
        <v>503</v>
      </c>
      <c r="CI18" t="s">
        <v>378</v>
      </c>
      <c r="CN18" s="2" t="s">
        <v>549</v>
      </c>
      <c r="CO18">
        <v>-0.8</v>
      </c>
      <c r="CU18" s="2" t="s">
        <v>550</v>
      </c>
      <c r="CY18" t="s">
        <v>379</v>
      </c>
    </row>
    <row r="19" spans="1:112" x14ac:dyDescent="0.25">
      <c r="A19" s="2" t="s">
        <v>504</v>
      </c>
      <c r="C19" s="2" t="s">
        <v>475</v>
      </c>
      <c r="J19" s="2" t="s">
        <v>481</v>
      </c>
      <c r="K19" s="2" t="s">
        <v>476</v>
      </c>
      <c r="AC19">
        <v>1</v>
      </c>
      <c r="AG19" s="2" t="s">
        <v>482</v>
      </c>
      <c r="BD19">
        <v>1</v>
      </c>
      <c r="BT19">
        <v>3</v>
      </c>
      <c r="BV19">
        <v>0</v>
      </c>
      <c r="BW19">
        <v>5</v>
      </c>
      <c r="BX19">
        <v>1</v>
      </c>
      <c r="BY19" s="2" t="s">
        <v>476</v>
      </c>
      <c r="CN19" s="2" t="s">
        <v>483</v>
      </c>
      <c r="CO19">
        <v>100</v>
      </c>
      <c r="CR19">
        <v>5</v>
      </c>
    </row>
    <row r="20" spans="1:112" x14ac:dyDescent="0.25">
      <c r="A20" s="2" t="s">
        <v>542</v>
      </c>
      <c r="C20" s="2" t="s">
        <v>475</v>
      </c>
      <c r="I20">
        <v>1</v>
      </c>
      <c r="K20" s="2" t="s">
        <v>476</v>
      </c>
      <c r="AC20">
        <v>1</v>
      </c>
      <c r="AD20">
        <v>1</v>
      </c>
      <c r="AG20" s="2" t="s">
        <v>482</v>
      </c>
      <c r="AX20" s="2" t="s">
        <v>543</v>
      </c>
      <c r="AZ20">
        <v>0.05</v>
      </c>
      <c r="BB20">
        <v>1</v>
      </c>
      <c r="BD20">
        <v>1</v>
      </c>
      <c r="BS20">
        <v>0.5</v>
      </c>
      <c r="CY20" s="2" t="s">
        <v>544</v>
      </c>
      <c r="DD20">
        <v>1</v>
      </c>
      <c r="DG20">
        <v>1</v>
      </c>
      <c r="DH20">
        <v>1</v>
      </c>
    </row>
    <row r="22" spans="1:112" x14ac:dyDescent="0.25">
      <c r="A22" s="2" t="s">
        <v>562</v>
      </c>
      <c r="C22" s="2" t="s">
        <v>563</v>
      </c>
      <c r="J22" s="2" t="s">
        <v>481</v>
      </c>
      <c r="K22" s="2" t="s">
        <v>564</v>
      </c>
      <c r="X22">
        <v>1</v>
      </c>
      <c r="AC22">
        <v>1</v>
      </c>
      <c r="BT22">
        <v>0.1</v>
      </c>
      <c r="BV22">
        <v>0</v>
      </c>
      <c r="BW22">
        <v>1</v>
      </c>
      <c r="BX22">
        <v>1</v>
      </c>
      <c r="BY22" s="2" t="s">
        <v>565</v>
      </c>
      <c r="CU22" s="2" t="s">
        <v>571</v>
      </c>
    </row>
    <row r="23" spans="1:112" x14ac:dyDescent="0.25">
      <c r="A23" s="2" t="s">
        <v>567</v>
      </c>
      <c r="C23" s="2" t="s">
        <v>568</v>
      </c>
      <c r="J23" s="2"/>
      <c r="K23" s="2" t="s">
        <v>541</v>
      </c>
      <c r="L23" s="2" t="s">
        <v>577</v>
      </c>
      <c r="AC23">
        <v>7</v>
      </c>
      <c r="AD23">
        <v>1</v>
      </c>
      <c r="AG23" s="2" t="s">
        <v>569</v>
      </c>
      <c r="AN23">
        <v>1</v>
      </c>
      <c r="BD23">
        <v>1</v>
      </c>
      <c r="BY23" s="2"/>
      <c r="CN23" s="2" t="s">
        <v>570</v>
      </c>
      <c r="CR23">
        <v>10</v>
      </c>
      <c r="DH23">
        <v>1</v>
      </c>
    </row>
    <row r="25" spans="1:112" x14ac:dyDescent="0.25">
      <c r="A25" s="2" t="s">
        <v>586</v>
      </c>
      <c r="C25" s="2" t="s">
        <v>587</v>
      </c>
      <c r="J25" s="2"/>
      <c r="K25" s="2" t="s">
        <v>590</v>
      </c>
      <c r="L25" s="2" t="s">
        <v>628</v>
      </c>
      <c r="X25">
        <v>1</v>
      </c>
      <c r="Y25">
        <v>1</v>
      </c>
      <c r="AB25">
        <v>1</v>
      </c>
      <c r="AC25">
        <v>2</v>
      </c>
      <c r="AD25">
        <v>1</v>
      </c>
      <c r="AX25" s="2" t="s">
        <v>591</v>
      </c>
      <c r="AZ25">
        <v>1.5</v>
      </c>
      <c r="BD25">
        <v>1</v>
      </c>
      <c r="BE25">
        <v>60</v>
      </c>
      <c r="BF25">
        <v>0.04</v>
      </c>
      <c r="BP25" s="2" t="s">
        <v>595</v>
      </c>
      <c r="BT25">
        <v>2.5</v>
      </c>
      <c r="BV25">
        <v>0</v>
      </c>
      <c r="BW25">
        <v>1</v>
      </c>
      <c r="BX25">
        <v>1</v>
      </c>
      <c r="BY25" s="2" t="s">
        <v>604</v>
      </c>
      <c r="CB25" s="2" t="s">
        <v>625</v>
      </c>
      <c r="CE25" s="2" t="s">
        <v>625</v>
      </c>
      <c r="CF25" s="2" t="s">
        <v>625</v>
      </c>
      <c r="CG25" s="2" t="s">
        <v>589</v>
      </c>
      <c r="CH25" s="2" t="s">
        <v>584</v>
      </c>
      <c r="CI25" s="2" t="s">
        <v>626</v>
      </c>
      <c r="CJ25" s="2" t="s">
        <v>592</v>
      </c>
      <c r="CU25" s="2" t="s">
        <v>609</v>
      </c>
      <c r="CY25" s="2"/>
    </row>
    <row r="26" spans="1:112" x14ac:dyDescent="0.25">
      <c r="A26" s="2" t="s">
        <v>595</v>
      </c>
      <c r="C26" s="2" t="s">
        <v>596</v>
      </c>
      <c r="K26" s="2" t="s">
        <v>597</v>
      </c>
      <c r="AC26">
        <v>1</v>
      </c>
      <c r="AG26" s="2" t="s">
        <v>598</v>
      </c>
      <c r="BD26">
        <v>1</v>
      </c>
      <c r="CN26" s="2" t="s">
        <v>600</v>
      </c>
      <c r="CR26">
        <v>3</v>
      </c>
    </row>
    <row r="28" spans="1:112" x14ac:dyDescent="0.25">
      <c r="A28" s="2" t="s">
        <v>606</v>
      </c>
      <c r="C28" s="2" t="s">
        <v>596</v>
      </c>
      <c r="J28" s="2" t="s">
        <v>608</v>
      </c>
      <c r="K28" s="2" t="s">
        <v>599</v>
      </c>
      <c r="O28" s="2" t="s">
        <v>600</v>
      </c>
      <c r="AC28">
        <v>1</v>
      </c>
      <c r="AG28" s="2" t="s">
        <v>598</v>
      </c>
      <c r="BT28">
        <v>2.5</v>
      </c>
      <c r="BV28">
        <v>1</v>
      </c>
      <c r="BW28">
        <v>1</v>
      </c>
      <c r="BX28">
        <v>1</v>
      </c>
      <c r="BY28" s="2" t="s">
        <v>599</v>
      </c>
    </row>
    <row r="31" spans="1:112" x14ac:dyDescent="0.25">
      <c r="A31" s="2" t="s">
        <v>640</v>
      </c>
      <c r="C31" t="s">
        <v>637</v>
      </c>
      <c r="K31" s="5" t="s">
        <v>381</v>
      </c>
      <c r="L31" s="2" t="s">
        <v>645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AC31">
        <v>1</v>
      </c>
      <c r="AF31">
        <v>1</v>
      </c>
      <c r="AG31" t="s">
        <v>390</v>
      </c>
      <c r="AW31" s="6"/>
      <c r="BD31">
        <v>1</v>
      </c>
      <c r="BO31" s="7"/>
      <c r="BP31" s="7"/>
      <c r="BV31" s="8"/>
      <c r="BW31" s="8"/>
      <c r="BX31" s="8"/>
      <c r="BY31" s="8"/>
      <c r="BZ31" s="8"/>
      <c r="CA31" s="8"/>
      <c r="CN31" s="9"/>
      <c r="CU31" s="2" t="s">
        <v>642</v>
      </c>
    </row>
    <row r="32" spans="1:112" x14ac:dyDescent="0.25">
      <c r="A32" s="2" t="s">
        <v>641</v>
      </c>
      <c r="C32" t="s">
        <v>637</v>
      </c>
      <c r="K32" s="5" t="s">
        <v>381</v>
      </c>
      <c r="L32" s="2" t="s">
        <v>645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AC32">
        <v>1</v>
      </c>
      <c r="AF32">
        <v>1</v>
      </c>
      <c r="AG32" t="s">
        <v>390</v>
      </c>
      <c r="AW32" s="6"/>
      <c r="BD32">
        <v>1</v>
      </c>
      <c r="BO32" s="7"/>
      <c r="BP32" s="7"/>
      <c r="BV32" s="8"/>
      <c r="BW32" s="8"/>
      <c r="BX32" s="8"/>
      <c r="BY32" s="8"/>
      <c r="BZ32" s="8"/>
      <c r="CA32" s="8"/>
      <c r="CN32" s="9"/>
      <c r="CU32" s="2" t="s">
        <v>643</v>
      </c>
    </row>
    <row r="33" spans="1:99" x14ac:dyDescent="0.25">
      <c r="A33" s="2" t="s">
        <v>638</v>
      </c>
      <c r="C33" t="s">
        <v>637</v>
      </c>
      <c r="K33" s="5" t="s">
        <v>381</v>
      </c>
      <c r="L33" s="2" t="s">
        <v>645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AC33">
        <v>1</v>
      </c>
      <c r="AF33">
        <v>1</v>
      </c>
      <c r="AG33" t="s">
        <v>390</v>
      </c>
      <c r="AW33" s="6"/>
      <c r="BD33">
        <v>1</v>
      </c>
      <c r="BO33" s="7"/>
      <c r="BP33" s="7"/>
      <c r="BV33" s="8"/>
      <c r="BW33" s="8"/>
      <c r="BX33" s="8"/>
      <c r="BY33" s="8"/>
      <c r="BZ33" s="8"/>
      <c r="CA33" s="8"/>
      <c r="CN33" s="9"/>
      <c r="CU33" s="2" t="s">
        <v>639</v>
      </c>
    </row>
    <row r="684" spans="90:90" x14ac:dyDescent="0.25">
      <c r="CL684">
        <v>0.15</v>
      </c>
    </row>
    <row r="686" spans="90:90" x14ac:dyDescent="0.25">
      <c r="CL686">
        <v>0.2</v>
      </c>
    </row>
    <row r="687" spans="90:90" x14ac:dyDescent="0.25">
      <c r="CL687">
        <v>0.1</v>
      </c>
    </row>
    <row r="689" spans="90:90" x14ac:dyDescent="0.25">
      <c r="CL689">
        <v>0.2</v>
      </c>
    </row>
    <row r="696" spans="90:90" x14ac:dyDescent="0.25">
      <c r="CL696">
        <v>1</v>
      </c>
    </row>
    <row r="698" spans="90:90" x14ac:dyDescent="0.25">
      <c r="CL698">
        <v>0.4</v>
      </c>
    </row>
    <row r="699" spans="90:90" x14ac:dyDescent="0.25">
      <c r="CL699">
        <v>0.6</v>
      </c>
    </row>
    <row r="702" spans="90:90" x14ac:dyDescent="0.25">
      <c r="CL702">
        <v>0.5</v>
      </c>
    </row>
    <row r="703" spans="90:90" x14ac:dyDescent="0.25">
      <c r="CL703">
        <v>0.66700000000000004</v>
      </c>
    </row>
    <row r="704" spans="90:90" x14ac:dyDescent="0.25">
      <c r="CL704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6"/>
  <sheetViews>
    <sheetView workbookViewId="0">
      <pane xSplit="1" ySplit="3" topLeftCell="B4" activePane="bottomRight" state="frozen"/>
      <selection pane="topRight"/>
      <selection pane="bottomLeft"/>
      <selection pane="bottomRight" activeCell="J16" sqref="J16"/>
    </sheetView>
  </sheetViews>
  <sheetFormatPr defaultColWidth="9" defaultRowHeight="14.05" x14ac:dyDescent="0.25"/>
  <cols>
    <col min="1" max="1" width="13" customWidth="1"/>
    <col min="2" max="2" width="31.25" customWidth="1"/>
    <col min="3" max="6" width="9" customWidth="1"/>
    <col min="7" max="7" width="18.75" customWidth="1"/>
    <col min="8" max="8" width="15" customWidth="1"/>
    <col min="9" max="13" width="9" customWidth="1"/>
    <col min="14" max="14" width="16.08203125" customWidth="1"/>
    <col min="15" max="15" width="9.5" customWidth="1"/>
    <col min="16" max="16" width="22.1640625" customWidth="1"/>
    <col min="17" max="17" width="12.83203125" customWidth="1"/>
  </cols>
  <sheetData>
    <row r="1" spans="1:17" x14ac:dyDescent="0.25">
      <c r="A1" t="s">
        <v>0</v>
      </c>
      <c r="B1" t="s">
        <v>4</v>
      </c>
      <c r="E1" t="s">
        <v>392</v>
      </c>
      <c r="F1" t="s">
        <v>393</v>
      </c>
      <c r="G1" t="s">
        <v>394</v>
      </c>
      <c r="H1" t="s">
        <v>395</v>
      </c>
      <c r="I1" t="s">
        <v>396</v>
      </c>
      <c r="J1" t="s">
        <v>397</v>
      </c>
      <c r="L1" t="s">
        <v>398</v>
      </c>
      <c r="M1" t="s">
        <v>399</v>
      </c>
      <c r="N1" t="s">
        <v>400</v>
      </c>
      <c r="O1" t="s">
        <v>401</v>
      </c>
      <c r="P1" t="s">
        <v>402</v>
      </c>
    </row>
    <row r="2" spans="1:17" x14ac:dyDescent="0.25">
      <c r="A2" t="s">
        <v>0</v>
      </c>
      <c r="C2" t="s">
        <v>50</v>
      </c>
      <c r="D2" t="s">
        <v>82</v>
      </c>
      <c r="E2" t="s">
        <v>403</v>
      </c>
      <c r="F2" t="s">
        <v>404</v>
      </c>
      <c r="G2" t="s">
        <v>405</v>
      </c>
      <c r="H2" t="s">
        <v>406</v>
      </c>
      <c r="I2" t="s">
        <v>407</v>
      </c>
      <c r="J2" t="s">
        <v>408</v>
      </c>
      <c r="K2" t="s">
        <v>409</v>
      </c>
      <c r="L2" t="s">
        <v>56</v>
      </c>
      <c r="M2" t="s">
        <v>410</v>
      </c>
      <c r="N2" t="s">
        <v>411</v>
      </c>
      <c r="O2" t="s">
        <v>412</v>
      </c>
      <c r="P2" t="s">
        <v>413</v>
      </c>
      <c r="Q2" t="s">
        <v>338</v>
      </c>
    </row>
    <row r="3" spans="1:17" x14ac:dyDescent="0.25">
      <c r="A3" t="s">
        <v>2</v>
      </c>
      <c r="C3" t="s">
        <v>2</v>
      </c>
      <c r="D3" t="s">
        <v>2</v>
      </c>
      <c r="E3" t="s">
        <v>126</v>
      </c>
      <c r="F3" t="s">
        <v>126</v>
      </c>
      <c r="G3" t="s">
        <v>126</v>
      </c>
      <c r="H3" t="s">
        <v>123</v>
      </c>
      <c r="I3" t="s">
        <v>123</v>
      </c>
      <c r="J3" t="s">
        <v>368</v>
      </c>
      <c r="K3" t="s">
        <v>124</v>
      </c>
      <c r="L3" t="s">
        <v>332</v>
      </c>
      <c r="M3" t="s">
        <v>123</v>
      </c>
      <c r="N3" t="s">
        <v>123</v>
      </c>
      <c r="O3" t="s">
        <v>332</v>
      </c>
      <c r="P3" t="s">
        <v>123</v>
      </c>
      <c r="Q3" t="s">
        <v>133</v>
      </c>
    </row>
    <row r="4" spans="1:17" x14ac:dyDescent="0.25">
      <c r="A4" t="s">
        <v>391</v>
      </c>
      <c r="C4" t="s">
        <v>414</v>
      </c>
      <c r="K4">
        <v>5</v>
      </c>
      <c r="Q4" s="2" t="s">
        <v>492</v>
      </c>
    </row>
    <row r="5" spans="1:17" x14ac:dyDescent="0.25">
      <c r="A5" s="2" t="s">
        <v>483</v>
      </c>
      <c r="C5" s="2" t="s">
        <v>484</v>
      </c>
      <c r="J5" t="s">
        <v>485</v>
      </c>
      <c r="Q5" t="s">
        <v>486</v>
      </c>
    </row>
    <row r="6" spans="1:17" x14ac:dyDescent="0.25">
      <c r="A6" s="2" t="s">
        <v>489</v>
      </c>
      <c r="C6" s="2" t="s">
        <v>490</v>
      </c>
      <c r="K6">
        <v>99999</v>
      </c>
      <c r="Q6" s="2" t="s">
        <v>539</v>
      </c>
    </row>
    <row r="7" spans="1:17" x14ac:dyDescent="0.25">
      <c r="A7" s="2" t="s">
        <v>507</v>
      </c>
      <c r="C7" s="2" t="s">
        <v>508</v>
      </c>
      <c r="J7" t="s">
        <v>509</v>
      </c>
      <c r="K7">
        <v>12</v>
      </c>
    </row>
    <row r="8" spans="1:17" x14ac:dyDescent="0.25">
      <c r="A8" s="2" t="s">
        <v>510</v>
      </c>
      <c r="C8" s="2" t="s">
        <v>511</v>
      </c>
      <c r="J8" s="2" t="s">
        <v>579</v>
      </c>
      <c r="Q8" s="2" t="s">
        <v>512</v>
      </c>
    </row>
    <row r="9" spans="1:17" x14ac:dyDescent="0.25">
      <c r="A9" s="2" t="s">
        <v>529</v>
      </c>
      <c r="C9" s="2" t="s">
        <v>508</v>
      </c>
      <c r="J9" t="s">
        <v>530</v>
      </c>
    </row>
    <row r="10" spans="1:17" x14ac:dyDescent="0.25">
      <c r="A10" s="2" t="s">
        <v>524</v>
      </c>
      <c r="C10" s="2" t="s">
        <v>484</v>
      </c>
      <c r="J10" t="s">
        <v>526</v>
      </c>
      <c r="Q10" t="s">
        <v>486</v>
      </c>
    </row>
    <row r="11" spans="1:17" x14ac:dyDescent="0.25">
      <c r="A11" s="2" t="s">
        <v>547</v>
      </c>
      <c r="C11" s="2" t="s">
        <v>548</v>
      </c>
      <c r="K11">
        <v>0.8</v>
      </c>
      <c r="Q11" s="2" t="s">
        <v>551</v>
      </c>
    </row>
    <row r="12" spans="1:17" x14ac:dyDescent="0.25">
      <c r="A12" s="2" t="s">
        <v>537</v>
      </c>
      <c r="C12" t="s">
        <v>535</v>
      </c>
      <c r="J12" t="s">
        <v>535</v>
      </c>
      <c r="Q12" s="2" t="s">
        <v>538</v>
      </c>
    </row>
    <row r="14" spans="1:17" x14ac:dyDescent="0.25">
      <c r="A14" s="2" t="s">
        <v>570</v>
      </c>
      <c r="C14" s="2" t="s">
        <v>572</v>
      </c>
      <c r="Q14" s="2" t="s">
        <v>576</v>
      </c>
    </row>
    <row r="16" spans="1:17" x14ac:dyDescent="0.25">
      <c r="A16" s="2" t="s">
        <v>601</v>
      </c>
      <c r="C16" s="2" t="s">
        <v>610</v>
      </c>
      <c r="J16" t="s">
        <v>646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workbookViewId="0">
      <selection activeCell="B5" sqref="B5"/>
    </sheetView>
  </sheetViews>
  <sheetFormatPr defaultColWidth="9" defaultRowHeight="14.05" x14ac:dyDescent="0.25"/>
  <cols>
    <col min="1" max="1" width="11.33203125" customWidth="1"/>
    <col min="2" max="2" width="11.25" customWidth="1"/>
    <col min="3" max="3" width="9" customWidth="1"/>
    <col min="4" max="4" width="27.5" customWidth="1"/>
  </cols>
  <sheetData>
    <row r="1" spans="1:4" x14ac:dyDescent="0.25">
      <c r="A1" t="s">
        <v>0</v>
      </c>
      <c r="C1" t="s">
        <v>415</v>
      </c>
    </row>
    <row r="2" spans="1:4" x14ac:dyDescent="0.25">
      <c r="A2" t="s">
        <v>0</v>
      </c>
      <c r="B2" t="s">
        <v>50</v>
      </c>
      <c r="C2" t="s">
        <v>416</v>
      </c>
      <c r="D2" t="s">
        <v>338</v>
      </c>
    </row>
    <row r="3" spans="1:4" x14ac:dyDescent="0.25">
      <c r="A3" t="s">
        <v>2</v>
      </c>
      <c r="B3" t="s">
        <v>2</v>
      </c>
      <c r="C3" t="s">
        <v>332</v>
      </c>
      <c r="D3" t="s">
        <v>133</v>
      </c>
    </row>
    <row r="5" spans="1:4" x14ac:dyDescent="0.25">
      <c r="A5" s="2" t="s">
        <v>531</v>
      </c>
      <c r="B5" s="2" t="s">
        <v>536</v>
      </c>
      <c r="C5" t="s">
        <v>532</v>
      </c>
      <c r="D5" s="2" t="s">
        <v>533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"/>
  <sheetViews>
    <sheetView workbookViewId="0">
      <selection activeCell="C6" sqref="C6"/>
    </sheetView>
  </sheetViews>
  <sheetFormatPr defaultColWidth="9" defaultRowHeight="14.05" x14ac:dyDescent="0.25"/>
  <cols>
    <col min="1" max="1" width="15.25" customWidth="1"/>
    <col min="2" max="2" width="9" customWidth="1"/>
    <col min="3" max="3" width="27.25" customWidth="1"/>
    <col min="4" max="4" width="10.83203125" customWidth="1"/>
    <col min="5" max="7" width="9" customWidth="1"/>
    <col min="8" max="8" width="12" customWidth="1"/>
    <col min="9" max="10" width="9" customWidth="1"/>
  </cols>
  <sheetData>
    <row r="1" spans="1:10" x14ac:dyDescent="0.25">
      <c r="I1" t="s">
        <v>226</v>
      </c>
    </row>
    <row r="2" spans="1:10" x14ac:dyDescent="0.25">
      <c r="A2" t="s">
        <v>0</v>
      </c>
      <c r="B2" t="s">
        <v>50</v>
      </c>
      <c r="C2" t="s">
        <v>52</v>
      </c>
      <c r="D2" t="s">
        <v>417</v>
      </c>
      <c r="E2" t="s">
        <v>75</v>
      </c>
      <c r="F2" t="s">
        <v>418</v>
      </c>
      <c r="G2" t="s">
        <v>419</v>
      </c>
      <c r="H2" t="s">
        <v>420</v>
      </c>
      <c r="I2" t="s">
        <v>327</v>
      </c>
      <c r="J2" t="s">
        <v>338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124</v>
      </c>
      <c r="F3" t="s">
        <v>126</v>
      </c>
      <c r="G3" t="s">
        <v>126</v>
      </c>
      <c r="H3" t="s">
        <v>126</v>
      </c>
      <c r="I3" t="s">
        <v>367</v>
      </c>
      <c r="J3" t="s">
        <v>133</v>
      </c>
    </row>
    <row r="4" spans="1:10" x14ac:dyDescent="0.25">
      <c r="A4" s="2" t="s">
        <v>517</v>
      </c>
      <c r="B4" t="s">
        <v>422</v>
      </c>
      <c r="C4" t="s">
        <v>520</v>
      </c>
      <c r="E4">
        <v>4</v>
      </c>
      <c r="J4" s="2" t="s">
        <v>588</v>
      </c>
    </row>
    <row r="5" spans="1:10" x14ac:dyDescent="0.25">
      <c r="A5" t="s">
        <v>377</v>
      </c>
      <c r="B5" t="s">
        <v>424</v>
      </c>
      <c r="C5" t="s">
        <v>423</v>
      </c>
      <c r="E5">
        <v>10</v>
      </c>
      <c r="J5" t="s">
        <v>425</v>
      </c>
    </row>
    <row r="6" spans="1:10" x14ac:dyDescent="0.25">
      <c r="A6" s="2" t="s">
        <v>518</v>
      </c>
      <c r="B6" s="2" t="s">
        <v>519</v>
      </c>
      <c r="C6" t="s">
        <v>521</v>
      </c>
      <c r="E6">
        <v>10</v>
      </c>
      <c r="J6" s="2" t="s">
        <v>523</v>
      </c>
    </row>
    <row r="7" spans="1:10" x14ac:dyDescent="0.25">
      <c r="A7" s="2" t="s">
        <v>585</v>
      </c>
      <c r="B7" s="2" t="s">
        <v>519</v>
      </c>
      <c r="C7" t="s">
        <v>621</v>
      </c>
      <c r="E7">
        <v>2.25</v>
      </c>
      <c r="F7">
        <v>2</v>
      </c>
      <c r="J7" s="2" t="s">
        <v>629</v>
      </c>
    </row>
    <row r="8" spans="1:10" x14ac:dyDescent="0.25">
      <c r="A8" s="2" t="s">
        <v>594</v>
      </c>
      <c r="B8" s="2" t="s">
        <v>519</v>
      </c>
      <c r="C8" t="s">
        <v>622</v>
      </c>
      <c r="E8">
        <v>3</v>
      </c>
      <c r="F8">
        <v>2</v>
      </c>
      <c r="J8" s="2" t="s">
        <v>630</v>
      </c>
    </row>
    <row r="12" spans="1:10" x14ac:dyDescent="0.25">
      <c r="C12" t="s">
        <v>620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"/>
  <sheetViews>
    <sheetView workbookViewId="0">
      <pane xSplit="1" ySplit="3" topLeftCell="B4" activePane="bottomRight" state="frozen"/>
      <selection pane="topRight"/>
      <selection pane="bottomLeft"/>
      <selection pane="bottomRight" activeCell="B5" sqref="B5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  <col min="12" max="12" width="9" customWidth="1"/>
  </cols>
  <sheetData>
    <row r="1" spans="1:12" x14ac:dyDescent="0.25">
      <c r="A1" t="s">
        <v>0</v>
      </c>
      <c r="B1" t="s">
        <v>426</v>
      </c>
      <c r="C1" t="s">
        <v>427</v>
      </c>
      <c r="D1" t="s">
        <v>428</v>
      </c>
      <c r="E1" t="s">
        <v>429</v>
      </c>
      <c r="F1" t="s">
        <v>430</v>
      </c>
      <c r="H1" t="s">
        <v>431</v>
      </c>
      <c r="I1" t="s">
        <v>432</v>
      </c>
      <c r="J1" t="s">
        <v>433</v>
      </c>
      <c r="K1" t="s">
        <v>434</v>
      </c>
      <c r="L1" t="s">
        <v>435</v>
      </c>
    </row>
    <row r="2" spans="1:12" x14ac:dyDescent="0.25">
      <c r="A2" t="s">
        <v>0</v>
      </c>
      <c r="B2" t="s">
        <v>436</v>
      </c>
      <c r="C2" t="s">
        <v>437</v>
      </c>
      <c r="D2" t="s">
        <v>438</v>
      </c>
      <c r="E2" t="s">
        <v>439</v>
      </c>
      <c r="F2" t="s">
        <v>440</v>
      </c>
      <c r="G2" t="s">
        <v>441</v>
      </c>
      <c r="H2" t="s">
        <v>442</v>
      </c>
      <c r="I2" t="s">
        <v>443</v>
      </c>
      <c r="J2" t="s">
        <v>444</v>
      </c>
      <c r="K2" t="s">
        <v>418</v>
      </c>
      <c r="L2" t="s">
        <v>102</v>
      </c>
    </row>
    <row r="3" spans="1:12" x14ac:dyDescent="0.25">
      <c r="A3" t="s">
        <v>2</v>
      </c>
      <c r="B3" t="s">
        <v>2</v>
      </c>
      <c r="C3" t="s">
        <v>126</v>
      </c>
      <c r="D3" t="s">
        <v>125</v>
      </c>
      <c r="E3" t="s">
        <v>2</v>
      </c>
      <c r="F3" t="s">
        <v>123</v>
      </c>
      <c r="G3" t="s">
        <v>123</v>
      </c>
      <c r="H3" t="s">
        <v>126</v>
      </c>
      <c r="I3" t="s">
        <v>126</v>
      </c>
      <c r="J3" t="s">
        <v>126</v>
      </c>
      <c r="K3" t="s">
        <v>124</v>
      </c>
      <c r="L3" t="s">
        <v>124</v>
      </c>
    </row>
    <row r="4" spans="1:12" x14ac:dyDescent="0.25">
      <c r="B4" s="2"/>
    </row>
    <row r="5" spans="1:12" x14ac:dyDescent="0.25">
      <c r="A5" s="2" t="s">
        <v>578</v>
      </c>
      <c r="B5" s="2" t="s">
        <v>647</v>
      </c>
      <c r="K5">
        <v>60</v>
      </c>
      <c r="L5">
        <v>5</v>
      </c>
    </row>
    <row r="7" spans="1:12" x14ac:dyDescent="0.25">
      <c r="A7" s="2" t="s">
        <v>612</v>
      </c>
      <c r="B7" t="s">
        <v>613</v>
      </c>
      <c r="K7">
        <v>60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7" max="9" width="9" customWidth="1"/>
    <col min="10" max="10" width="11.83203125" customWidth="1"/>
  </cols>
  <sheetData>
    <row r="2" spans="1:10" x14ac:dyDescent="0.25">
      <c r="A2" t="s">
        <v>0</v>
      </c>
      <c r="B2" t="s">
        <v>251</v>
      </c>
      <c r="C2" t="s">
        <v>82</v>
      </c>
      <c r="D2" t="s">
        <v>445</v>
      </c>
      <c r="E2" t="s">
        <v>446</v>
      </c>
      <c r="F2" t="s">
        <v>84</v>
      </c>
      <c r="G2" t="s">
        <v>447</v>
      </c>
      <c r="H2" t="s">
        <v>278</v>
      </c>
      <c r="I2" t="s">
        <v>448</v>
      </c>
      <c r="J2" t="s">
        <v>57</v>
      </c>
    </row>
    <row r="3" spans="1:10" s="1" customFormat="1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126</v>
      </c>
      <c r="F3" s="1" t="s">
        <v>127</v>
      </c>
      <c r="G3" s="1" t="s">
        <v>126</v>
      </c>
      <c r="H3" s="1" t="s">
        <v>449</v>
      </c>
      <c r="I3" s="1" t="s">
        <v>126</v>
      </c>
      <c r="J3" s="1" t="s">
        <v>126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customWidth="1"/>
    <col min="2" max="2" width="13.83203125" customWidth="1"/>
    <col min="3" max="3" width="20.58203125" customWidth="1"/>
    <col min="4" max="4" width="39.6640625" customWidth="1"/>
    <col min="5" max="5" width="37.58203125" customWidth="1"/>
    <col min="6" max="6" width="39.5" customWidth="1"/>
    <col min="7" max="7" width="38.58203125" customWidth="1"/>
    <col min="8" max="8" width="32.25" customWidth="1"/>
    <col min="9" max="9" width="39.9140625" customWidth="1"/>
  </cols>
  <sheetData>
    <row r="1" spans="1:9" x14ac:dyDescent="0.25">
      <c r="A1" t="s">
        <v>0</v>
      </c>
      <c r="B1" t="s">
        <v>450</v>
      </c>
      <c r="C1" t="s">
        <v>451</v>
      </c>
      <c r="D1" t="s">
        <v>452</v>
      </c>
      <c r="E1" t="s">
        <v>453</v>
      </c>
      <c r="F1" t="s">
        <v>454</v>
      </c>
      <c r="G1" t="s">
        <v>455</v>
      </c>
      <c r="H1" t="s">
        <v>456</v>
      </c>
      <c r="I1" t="s">
        <v>457</v>
      </c>
    </row>
    <row r="2" spans="1:9" x14ac:dyDescent="0.25">
      <c r="A2" t="s">
        <v>0</v>
      </c>
      <c r="B2" t="s">
        <v>458</v>
      </c>
      <c r="C2" t="s">
        <v>459</v>
      </c>
      <c r="D2" t="s">
        <v>460</v>
      </c>
      <c r="E2" t="s">
        <v>461</v>
      </c>
      <c r="F2" t="s">
        <v>462</v>
      </c>
      <c r="G2" t="s">
        <v>463</v>
      </c>
      <c r="H2" t="s">
        <v>464</v>
      </c>
      <c r="I2" t="s">
        <v>465</v>
      </c>
    </row>
    <row r="3" spans="1:9" x14ac:dyDescent="0.25">
      <c r="A3" t="s">
        <v>2</v>
      </c>
      <c r="B3" t="s">
        <v>123</v>
      </c>
      <c r="C3" t="s">
        <v>123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</row>
    <row r="4" spans="1:9" x14ac:dyDescent="0.25">
      <c r="A4" t="s">
        <v>466</v>
      </c>
      <c r="C4">
        <v>1</v>
      </c>
      <c r="D4" t="s">
        <v>467</v>
      </c>
      <c r="E4" t="s">
        <v>468</v>
      </c>
      <c r="F4" t="s">
        <v>469</v>
      </c>
      <c r="G4" t="s">
        <v>470</v>
      </c>
      <c r="H4" t="s">
        <v>471</v>
      </c>
      <c r="I4" t="s">
        <v>472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2026-09-17T09:55:02Z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