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D:\UnityWork\zhou-master\Excel\Test\"/>
    </mc:Choice>
  </mc:AlternateContent>
  <xr:revisionPtr revIDLastSave="0" documentId="13_ncr:1_{9632CE2A-A45D-492D-8B70-210129180336}" xr6:coauthVersionLast="47" xr6:coauthVersionMax="47" xr10:uidLastSave="{00000000-0000-0000-0000-000000000000}"/>
  <bookViews>
    <workbookView xWindow="-103" yWindow="-103" windowWidth="24144" windowHeight="14447" xr2:uid="{00000000-000D-0000-FFFF-FFFF00000000}"/>
  </bookViews>
  <sheets>
    <sheet name="CardData" sheetId="10" r:id="rId1"/>
    <sheet name="UnitData" sheetId="1" r:id="rId2"/>
    <sheet name="SkillData" sheetId="2" r:id="rId3"/>
    <sheet name="BuffData" sheetId="6" r:id="rId4"/>
    <sheet name="ModifyData" sheetId="8" r:id="rId5"/>
    <sheet name="BulletData" sheetId="4" r:id="rId6"/>
    <sheet name="EffectData" sheetId="9" r:id="rId7"/>
    <sheet name="ContractData" sheetId="11" r:id="rId8"/>
    <sheet name="SpineData" sheetId="12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3" i="1"/>
  <c r="F12" i="1"/>
  <c r="BG7" i="1"/>
  <c r="F7" i="1"/>
  <c r="BI5" i="1"/>
  <c r="BH5" i="1"/>
  <c r="B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K1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  <comment ref="AM1" authorId="0" shapeId="0" xr:uid="{E98F2C31-5FE6-49FE-8F71-0FCD7A097384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0:干员 1:敌人 2:仅技能条 3:技能+血条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  <author>Admin</author>
  </authors>
  <commentList>
    <comment ref="AC1" authorId="0" shapeId="0" xr:uid="{00000000-0006-0000-0200-000001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1:玩家 2:敌人 3:双方</t>
        </r>
      </text>
    </comment>
    <comment ref="BB1" authorId="0" shapeId="0" xr:uid="{00000000-0006-0000-0200-000002000000}">
      <text>
        <r>
          <rPr>
            <b/>
            <sz val="9"/>
            <rFont val="宋体"/>
            <family val="3"/>
            <charset val="134"/>
          </rPr>
          <t>PC:</t>
        </r>
        <r>
          <rPr>
            <sz val="9"/>
            <rFont val="宋体"/>
            <family val="3"/>
            <charset val="134"/>
          </rPr>
          <t xml:space="preserve">
0:基于单位攻击力
1:基于目标最大生命值
2:固定值
</t>
        </r>
      </text>
    </comment>
    <comment ref="BR1" authorId="1" shapeId="0" xr:uid="{00000000-0006-0000-02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技能持续结束后，将会转变为升级技能</t>
        </r>
      </text>
    </comment>
    <comment ref="CT1" authorId="1" shapeId="0" xr:uid="{00000000-0006-0000-02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被动技能的场合，不检查范围，只检查单位死亡和技能开启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C1" authorId="0" shapeId="0" xr:uid="{00000000-0006-0000-0600-000001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0：击中点
1：骨骼点</t>
        </r>
      </text>
    </comment>
    <comment ref="H1" authorId="0" shapeId="0" xr:uid="{00000000-0006-0000-0600-000002000000}">
      <text>
        <r>
          <rPr>
            <b/>
            <sz val="9"/>
            <rFont val="宋体"/>
            <family val="3"/>
            <charset val="134"/>
          </rPr>
          <t>Admin:
1会实时更新x缩放</t>
        </r>
        <r>
          <rPr>
            <sz val="9"/>
            <rFont val="宋体"/>
            <family val="3"/>
            <charset val="134"/>
          </rPr>
          <t xml:space="preserve">
2跟随使用者
3仅跟随位置
</t>
        </r>
      </text>
    </comment>
    <comment ref="I1" authorId="0" shapeId="0" xr:uid="{00000000-0006-0000-0600-000003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0：不修改
1：跟随接收者
2：跟随施法者
</t>
        </r>
      </text>
    </comment>
    <comment ref="J1" authorId="0" shapeId="0" xr:uid="{00000000-0006-0000-0600-000004000000}">
      <text>
        <r>
          <rPr>
            <b/>
            <sz val="9"/>
            <rFont val="宋体"/>
            <family val="3"/>
            <charset val="134"/>
          </rPr>
          <t>Admin:</t>
        </r>
        <r>
          <rPr>
            <sz val="9"/>
            <rFont val="宋体"/>
            <family val="3"/>
            <charset val="134"/>
          </rPr>
          <t xml:space="preserve">
是否允许特效旋转z轴</t>
        </r>
      </text>
    </comment>
  </commentList>
</comments>
</file>

<file path=xl/sharedStrings.xml><?xml version="1.0" encoding="utf-8"?>
<sst xmlns="http://schemas.openxmlformats.org/spreadsheetml/2006/main" count="1038" uniqueCount="622">
  <si>
    <t>Id</t>
  </si>
  <si>
    <t>units</t>
  </si>
  <si>
    <t>string</t>
  </si>
  <si>
    <t>UnitData[]</t>
  </si>
  <si>
    <t>棘刺</t>
  </si>
  <si>
    <t>CCB</t>
  </si>
  <si>
    <t>#</t>
  </si>
  <si>
    <t>模型大小倍率</t>
  </si>
  <si>
    <t>模型偏移</t>
  </si>
  <si>
    <t>精英化</t>
  </si>
  <si>
    <t>等级</t>
  </si>
  <si>
    <t>血</t>
  </si>
  <si>
    <t>攻</t>
  </si>
  <si>
    <t>防</t>
  </si>
  <si>
    <t>魔防</t>
  </si>
  <si>
    <t>消耗</t>
  </si>
  <si>
    <t>消耗增长</t>
  </si>
  <si>
    <t>复活时间</t>
  </si>
  <si>
    <t>额外攻速</t>
  </si>
  <si>
    <t>抛光系数</t>
  </si>
  <si>
    <t>攻击间隔</t>
  </si>
  <si>
    <t>重量</t>
  </si>
  <si>
    <t>移动速度</t>
  </si>
  <si>
    <t>部署占用数</t>
  </si>
  <si>
    <t>撤离后不返回</t>
  </si>
  <si>
    <t>部署策略</t>
  </si>
  <si>
    <t>可部署上限</t>
  </si>
  <si>
    <t>仇恨等级</t>
  </si>
  <si>
    <t>被攻击点</t>
  </si>
  <si>
    <t>常驻技能</t>
  </si>
  <si>
    <t>可选技能</t>
  </si>
  <si>
    <t>血条</t>
  </si>
  <si>
    <t>技力条</t>
  </si>
  <si>
    <t>高度</t>
  </si>
  <si>
    <t>可部署位</t>
  </si>
  <si>
    <t>阻挡个数</t>
  </si>
  <si>
    <t>返还倍率</t>
  </si>
  <si>
    <t>不占用地板</t>
  </si>
  <si>
    <t>生命恢复</t>
  </si>
  <si>
    <t>不参与击杀计数</t>
  </si>
  <si>
    <t>终点伤害</t>
  </si>
  <si>
    <t>抗性</t>
  </si>
  <si>
    <t>半径</t>
  </si>
  <si>
    <t>大小</t>
  </si>
  <si>
    <t>阻挡？</t>
  </si>
  <si>
    <t>仅阻挡时可被攻击</t>
  </si>
  <si>
    <t>存活时间</t>
  </si>
  <si>
    <t>头像</t>
  </si>
  <si>
    <t>半身像</t>
  </si>
  <si>
    <t>立绘</t>
  </si>
  <si>
    <t>立绘位置</t>
  </si>
  <si>
    <t>稀有</t>
  </si>
  <si>
    <t>Type</t>
  </si>
  <si>
    <t>Test</t>
  </si>
  <si>
    <t>Model</t>
  </si>
  <si>
    <t>ModelScale</t>
  </si>
  <si>
    <t>ModelOffset</t>
  </si>
  <si>
    <t>engName</t>
  </si>
  <si>
    <t>Upgrade</t>
  </si>
  <si>
    <t>Level</t>
  </si>
  <si>
    <t>Hp</t>
  </si>
  <si>
    <t>HpEx</t>
  </si>
  <si>
    <t>Attack</t>
  </si>
  <si>
    <t>AttackEx</t>
  </si>
  <si>
    <t>Defence</t>
  </si>
  <si>
    <t>DefenceEx</t>
  </si>
  <si>
    <t>MagicDefence</t>
  </si>
  <si>
    <t>MagicDefenceEx</t>
  </si>
  <si>
    <t>Cost</t>
  </si>
  <si>
    <t>CostEx</t>
  </si>
  <si>
    <t>CostAdd</t>
  </si>
  <si>
    <t>ResetTime</t>
  </si>
  <si>
    <t>ResetTimeEx</t>
  </si>
  <si>
    <t>ExAgi</t>
  </si>
  <si>
    <t>MinDamageRate</t>
  </si>
  <si>
    <t>AttackGap</t>
  </si>
  <si>
    <t>Weight</t>
  </si>
  <si>
    <t>Speed</t>
  </si>
  <si>
    <t>BuildCountCost</t>
  </si>
  <si>
    <t>NotReturn</t>
  </si>
  <si>
    <t>RedeployPolicy</t>
  </si>
  <si>
    <t>BuildCountLimit</t>
  </si>
  <si>
    <t>Hatred</t>
  </si>
  <si>
    <t>Team</t>
  </si>
  <si>
    <t>Name</t>
  </si>
  <si>
    <t>HitPointName</t>
  </si>
  <si>
    <t>Skills</t>
  </si>
  <si>
    <t>MainSkill</t>
  </si>
  <si>
    <t>HpBarType</t>
  </si>
  <si>
    <t>SpBarType</t>
  </si>
  <si>
    <t>Height</t>
  </si>
  <si>
    <t>CanSetPos</t>
  </si>
  <si>
    <t>StopCount</t>
  </si>
  <si>
    <t>LeaveReturn</t>
  </si>
  <si>
    <t>NotUseTile</t>
  </si>
  <si>
    <t>#敌人用</t>
  </si>
  <si>
    <t>HpRecover</t>
  </si>
  <si>
    <t>WithoutCheckCount</t>
  </si>
  <si>
    <t>Damage</t>
  </si>
  <si>
    <t>IgnoreBuff</t>
  </si>
  <si>
    <t>Radius</t>
  </si>
  <si>
    <t>Size</t>
  </si>
  <si>
    <t>CanStop</t>
  </si>
  <si>
    <t>StopAttackOnly</t>
  </si>
  <si>
    <t>LifeTime</t>
  </si>
  <si>
    <t>Profession</t>
  </si>
  <si>
    <t>Profession2</t>
  </si>
  <si>
    <t>HeadIcon</t>
  </si>
  <si>
    <t>HalfIcon</t>
  </si>
  <si>
    <t>StandPic</t>
  </si>
  <si>
    <t>StandPicPos</t>
  </si>
  <si>
    <t>Rare</t>
  </si>
  <si>
    <t>SetPos</t>
  </si>
  <si>
    <t>Tags</t>
  </si>
  <si>
    <t>AblitityInfo</t>
  </si>
  <si>
    <t>Ablititys</t>
  </si>
  <si>
    <t>StartAnimation</t>
  </si>
  <si>
    <t>DefaultAnimation</t>
  </si>
  <si>
    <t>IdleAnimation</t>
  </si>
  <si>
    <t>MoveAnimation</t>
  </si>
  <si>
    <t>DeadAnimation</t>
  </si>
  <si>
    <t>StunAnimation</t>
  </si>
  <si>
    <t>ForwardAnimation</t>
  </si>
  <si>
    <t>DieAnimation</t>
  </si>
  <si>
    <t>MaxAnimationScale</t>
  </si>
  <si>
    <t>bool</t>
  </si>
  <si>
    <t>float</t>
  </si>
  <si>
    <t>UnityEngine.Vector3</t>
  </si>
  <si>
    <t>int</t>
  </si>
  <si>
    <t>SkillData[]</t>
  </si>
  <si>
    <t>string[]</t>
  </si>
  <si>
    <t>BuffData[]</t>
  </si>
  <si>
    <t>UnityEngine.Vector2Int</t>
  </si>
  <si>
    <t>UnitTypeEnum</t>
  </si>
  <si>
    <t>float[]</t>
  </si>
  <si>
    <t>System.Collections.Generic.Dictionary&lt;string,object&gt;</t>
  </si>
  <si>
    <t>干员</t>
  </si>
  <si>
    <t>Hip</t>
  </si>
  <si>
    <t>CCB普攻</t>
  </si>
  <si>
    <t>站位技能</t>
  </si>
  <si>
    <t>小型:红</t>
  </si>
  <si>
    <t>小型:绿</t>
  </si>
  <si>
    <t>全地形</t>
  </si>
  <si>
    <t>近卫</t>
  </si>
  <si>
    <t>领主</t>
  </si>
  <si>
    <t>211,81,1500,1500</t>
  </si>
  <si>
    <t>近战位</t>
  </si>
  <si>
    <t>费用回复</t>
  </si>
  <si>
    <t>Default</t>
  </si>
  <si>
    <t>Idle</t>
  </si>
  <si>
    <t>Die</t>
  </si>
  <si>
    <t>Skill</t>
  </si>
  <si>
    <t>char_4182_oblvns_avemujica_1</t>
  </si>
  <si>
    <t>CCB小弟</t>
  </si>
  <si>
    <t>敌人</t>
  </si>
  <si>
    <t>dsjely</t>
  </si>
  <si>
    <t>小弟普攻,小弟自流血</t>
  </si>
  <si>
    <t>小弟技能</t>
  </si>
  <si>
    <t>小型:蓝</t>
  </si>
  <si>
    <t>普通,远程,海怪</t>
  </si>
  <si>
    <t>神秘的恐鱼。在海中能以更快的初速喷吐，足以摧毁礁石。</t>
  </si>
  <si>
    <t>Move</t>
  </si>
  <si>
    <t>涨潮</t>
  </si>
  <si>
    <t>中立单位</t>
  </si>
  <si>
    <t>通用地板</t>
  </si>
  <si>
    <t>海水</t>
  </si>
  <si>
    <t>萃蔓无敌</t>
  </si>
  <si>
    <t>潮起</t>
  </si>
  <si>
    <t>辅助</t>
  </si>
  <si>
    <t>{"TexturePath":"Icon/otto.png","Alpha":0.5}</t>
  </si>
  <si>
    <t>enemy_1350_mgcshp_2</t>
  </si>
  <si>
    <t>点赞</t>
  </si>
  <si>
    <t>Extexture:点赞.png</t>
  </si>
  <si>
    <t>投币</t>
  </si>
  <si>
    <t>Extexture:投币.png</t>
  </si>
  <si>
    <t>收藏</t>
  </si>
  <si>
    <t>Extexture:收藏.png</t>
  </si>
  <si>
    <t>#备注</t>
  </si>
  <si>
    <t>技能名</t>
  </si>
  <si>
    <t>描述</t>
  </si>
  <si>
    <t>图标</t>
  </si>
  <si>
    <t>专精程度</t>
  </si>
  <si>
    <t>使用条件</t>
  </si>
  <si>
    <t>无视眩晕</t>
  </si>
  <si>
    <t>激活方式</t>
  </si>
  <si>
    <t>使用方式</t>
  </si>
  <si>
    <t>激活时点</t>
  </si>
  <si>
    <t>技能消耗</t>
  </si>
  <si>
    <t>最大使用次数</t>
  </si>
  <si>
    <t>有buff则启用</t>
  </si>
  <si>
    <t>有buff则禁用</t>
  </si>
  <si>
    <t>目标有buff则启用</t>
  </si>
  <si>
    <t>目标有buff则禁用</t>
  </si>
  <si>
    <t>技能开启禁用</t>
  </si>
  <si>
    <t>自身血量低于启用</t>
  </si>
  <si>
    <t>目标血量高于启用</t>
  </si>
  <si>
    <t>自动开启</t>
  </si>
  <si>
    <t>无目标照样启动</t>
  </si>
  <si>
    <t>生效时重取目标</t>
  </si>
  <si>
    <t>阻挡时打断</t>
  </si>
  <si>
    <t>生效概率</t>
  </si>
  <si>
    <t>开启时打断其他</t>
  </si>
  <si>
    <t>敌对组</t>
  </si>
  <si>
    <t>对空</t>
  </si>
  <si>
    <t>使用事件来源</t>
  </si>
  <si>
    <t>使用事件目标</t>
  </si>
  <si>
    <t>过滤器</t>
  </si>
  <si>
    <t>是否包括死亡单位</t>
  </si>
  <si>
    <t>职业限定</t>
  </si>
  <si>
    <t>单位限定</t>
  </si>
  <si>
    <t>星级限定</t>
  </si>
  <si>
    <t>位置限定</t>
  </si>
  <si>
    <t>费用限定</t>
  </si>
  <si>
    <t>可否攻击装置</t>
  </si>
  <si>
    <t>攻击优先级</t>
  </si>
  <si>
    <t>攻击优先级2</t>
  </si>
  <si>
    <t>优先tag</t>
  </si>
  <si>
    <t>优先Buff</t>
  </si>
  <si>
    <t>自定义优先级</t>
  </si>
  <si>
    <t>干员攻击范围</t>
  </si>
  <si>
    <t>攻击地板</t>
  </si>
  <si>
    <t>攻击范围</t>
  </si>
  <si>
    <t>跟随普攻的攻击范围</t>
  </si>
  <si>
    <t>伤害类型</t>
  </si>
  <si>
    <t>是否治疗</t>
  </si>
  <si>
    <t>倍率</t>
  </si>
  <si>
    <t>倍率乘以cd</t>
  </si>
  <si>
    <t>伤害基准</t>
  </si>
  <si>
    <t>吸血</t>
  </si>
  <si>
    <t>伤害个数</t>
  </si>
  <si>
    <t>连发次数</t>
  </si>
  <si>
    <t>连发间隔</t>
  </si>
  <si>
    <t>连发重新索敌</t>
  </si>
  <si>
    <t>溅射范围</t>
  </si>
  <si>
    <t>溅射主体伤害</t>
  </si>
  <si>
    <t>溅射伤害</t>
  </si>
  <si>
    <t>推力</t>
  </si>
  <si>
    <t>费用获取</t>
  </si>
  <si>
    <t>关联技能</t>
  </si>
  <si>
    <t>附加技能</t>
  </si>
  <si>
    <t>权重</t>
  </si>
  <si>
    <t>技能升级</t>
  </si>
  <si>
    <t>冷却</t>
  </si>
  <si>
    <t>持续时间</t>
  </si>
  <si>
    <t>可停止</t>
  </si>
  <si>
    <t>初始技力</t>
  </si>
  <si>
    <t>最大技力</t>
  </si>
  <si>
    <t>囤积次数</t>
  </si>
  <si>
    <t>回复方式</t>
  </si>
  <si>
    <t>需阻挡</t>
  </si>
  <si>
    <t>消耗方式</t>
  </si>
  <si>
    <t>攻击动作</t>
  </si>
  <si>
    <t>攻击动作轮换播放</t>
  </si>
  <si>
    <t>攻击动作强制抬手时间</t>
  </si>
  <si>
    <t>向下攻击动作</t>
  </si>
  <si>
    <t>覆盖动作</t>
  </si>
  <si>
    <t>向下覆盖动作</t>
  </si>
  <si>
    <t>攻击模式</t>
  </si>
  <si>
    <t>子弹</t>
  </si>
  <si>
    <t>子弹起始点</t>
  </si>
  <si>
    <t>修饰器</t>
  </si>
  <si>
    <t>修饰器信息</t>
  </si>
  <si>
    <t>元素损伤</t>
  </si>
  <si>
    <t>消去buff</t>
  </si>
  <si>
    <t>关联Buff</t>
  </si>
  <si>
    <t>buff数值</t>
  </si>
  <si>
    <t>buff数值2</t>
  </si>
  <si>
    <t>buff数值3</t>
  </si>
  <si>
    <t>Buff几率</t>
  </si>
  <si>
    <t>Buff依赖技能范围</t>
  </si>
  <si>
    <t>自定数据</t>
  </si>
  <si>
    <t>就绪动画</t>
  </si>
  <si>
    <t>启动动画</t>
  </si>
  <si>
    <t>生效动画</t>
  </si>
  <si>
    <t>命中动画</t>
  </si>
  <si>
    <t>聚集动画</t>
  </si>
  <si>
    <t>循环启动动画</t>
  </si>
  <si>
    <t>循环生效动画</t>
  </si>
  <si>
    <t>反隐</t>
  </si>
  <si>
    <t>可破坏</t>
  </si>
  <si>
    <t>是隐藏主动技能</t>
  </si>
  <si>
    <t>无视睡眠</t>
  </si>
  <si>
    <t>无视无敌</t>
  </si>
  <si>
    <t>禁用转身</t>
  </si>
  <si>
    <t>Desc</t>
  </si>
  <si>
    <t>Icon</t>
  </si>
  <si>
    <t>SkillCondition</t>
  </si>
  <si>
    <t>IgnoreStun</t>
  </si>
  <si>
    <t>ReadyType</t>
  </si>
  <si>
    <t>UseType</t>
  </si>
  <si>
    <t>Trigger</t>
  </si>
  <si>
    <t>SkillCost</t>
  </si>
  <si>
    <t>MaxUseCount</t>
  </si>
  <si>
    <t>EnableBuff</t>
  </si>
  <si>
    <t>DisableBuff</t>
  </si>
  <si>
    <t>TargetEnableBuff</t>
  </si>
  <si>
    <t>TargetDisableBuff</t>
  </si>
  <si>
    <t>OpenDisable</t>
  </si>
  <si>
    <t>SelfHpLess</t>
  </si>
  <si>
    <t>TargetHpLess</t>
  </si>
  <si>
    <t>TargetHpMore</t>
  </si>
  <si>
    <t>AutoUse</t>
  </si>
  <si>
    <t>NoTargetAlsoUse</t>
  </si>
  <si>
    <t>RegetTarget</t>
  </si>
  <si>
    <t>StopBreak</t>
  </si>
  <si>
    <t>EffectiveRate</t>
  </si>
  <si>
    <t>StopOtherSkill</t>
  </si>
  <si>
    <t>TargetTeam</t>
  </si>
  <si>
    <t>AttackFly</t>
  </si>
  <si>
    <t>UseEventUser</t>
  </si>
  <si>
    <t>UseEventTarget</t>
  </si>
  <si>
    <t>TargetFilter</t>
  </si>
  <si>
    <t>DeadFind</t>
  </si>
  <si>
    <t>ProfessionLimit</t>
  </si>
  <si>
    <t>UnitLimit</t>
  </si>
  <si>
    <t>RareLimit</t>
  </si>
  <si>
    <t>PosLimit</t>
  </si>
  <si>
    <t>CostLimit</t>
  </si>
  <si>
    <t>MidLimit</t>
  </si>
  <si>
    <t>AttackOrder</t>
  </si>
  <si>
    <t>AttackOrder2</t>
  </si>
  <si>
    <t>OrderTag</t>
  </si>
  <si>
    <t>OrderBuff</t>
  </si>
  <si>
    <t>OrderExpression</t>
  </si>
  <si>
    <t>AttackPoints</t>
  </si>
  <si>
    <t>AttackPoint</t>
  </si>
  <si>
    <t>AttackRange</t>
  </si>
  <si>
    <t>AttackAreaWithMain</t>
  </si>
  <si>
    <t>DamageType</t>
  </si>
  <si>
    <t>IfHeal</t>
  </si>
  <si>
    <t>DamageRate</t>
  </si>
  <si>
    <t>DamageWithFrameRate</t>
  </si>
  <si>
    <t>DamageBase</t>
  </si>
  <si>
    <t>LifeSteal</t>
  </si>
  <si>
    <t>DamageCount</t>
  </si>
  <si>
    <t>BurstCount</t>
  </si>
  <si>
    <t>BurstDelay</t>
  </si>
  <si>
    <t>BurstFind</t>
  </si>
  <si>
    <t>AreaPoints</t>
  </si>
  <si>
    <t>AreaNoCheck</t>
  </si>
  <si>
    <t>AreaRange</t>
  </si>
  <si>
    <t>AreaMainDamage</t>
  </si>
  <si>
    <t>AreaDamage</t>
  </si>
  <si>
    <t>PushPower</t>
  </si>
  <si>
    <t>CostCount</t>
  </si>
  <si>
    <t>ExSkills</t>
  </si>
  <si>
    <t>ExSkillWeight</t>
  </si>
  <si>
    <t>UpgradeSkill</t>
  </si>
  <si>
    <t>Cooldown</t>
  </si>
  <si>
    <t>OpenTime</t>
  </si>
  <si>
    <t>StartPower</t>
  </si>
  <si>
    <t>MaxPower</t>
  </si>
  <si>
    <t>PowerCount</t>
  </si>
  <si>
    <t>PowerType</t>
  </si>
  <si>
    <t>PowerStopNeed</t>
  </si>
  <si>
    <t>PowerUseType</t>
  </si>
  <si>
    <t>ModelAnimation</t>
  </si>
  <si>
    <t>RotatingAnimation</t>
  </si>
  <si>
    <t>AnimationTime</t>
  </si>
  <si>
    <t>ModelAnimationDown</t>
  </si>
  <si>
    <t>OverwriteAnimation</t>
  </si>
  <si>
    <t>OverwriteAnimationDown</t>
  </si>
  <si>
    <t>AttackMode</t>
  </si>
  <si>
    <t>Bullet</t>
  </si>
  <si>
    <t>ShootPoint</t>
  </si>
  <si>
    <t>Modifys</t>
  </si>
  <si>
    <t>ModifyDatas</t>
  </si>
  <si>
    <t>ElementInjure</t>
  </si>
  <si>
    <t>BuffRemoves</t>
  </si>
  <si>
    <t>Buffs</t>
  </si>
  <si>
    <t>BuffData</t>
  </si>
  <si>
    <t>BuffData2</t>
  </si>
  <si>
    <t>BuffData3</t>
  </si>
  <si>
    <t>BuffLastTime</t>
  </si>
  <si>
    <t>BuffChance</t>
  </si>
  <si>
    <t>BuffRely</t>
  </si>
  <si>
    <t>Data</t>
  </si>
  <si>
    <t>ReadyEffect</t>
  </si>
  <si>
    <t>StartEffect</t>
  </si>
  <si>
    <t>CastEffect</t>
  </si>
  <si>
    <t>HitEffect</t>
  </si>
  <si>
    <t>EffectEffect</t>
  </si>
  <si>
    <t>GatherEffect</t>
  </si>
  <si>
    <t>LoopStartEffect</t>
  </si>
  <si>
    <t>LoopCastEffect</t>
  </si>
  <si>
    <t>AntiHide</t>
  </si>
  <si>
    <t>CanDestory</t>
  </si>
  <si>
    <t>NotAttackFlag</t>
  </si>
  <si>
    <t>IgnoreSleep</t>
  </si>
  <si>
    <t>IgnoreSelectable</t>
  </si>
  <si>
    <t>DisableScaleX</t>
  </si>
  <si>
    <t>SkillReadyEnum</t>
  </si>
  <si>
    <t>SkillUseTypeEnum</t>
  </si>
  <si>
    <t>TriggerEnum</t>
  </si>
  <si>
    <t>SkillTargetFilterEnum</t>
  </si>
  <si>
    <t>AttackTargetOrderEnum</t>
  </si>
  <si>
    <t>AttackTargetOrder2Enum</t>
  </si>
  <si>
    <t>UnityEngine.Vector2Int[]</t>
  </si>
  <si>
    <t>DamageTypeEnum</t>
  </si>
  <si>
    <t>int[]</t>
  </si>
  <si>
    <t>SkillData</t>
  </si>
  <si>
    <t>PowerRecoverTypeEnum</t>
  </si>
  <si>
    <t>float?</t>
  </si>
  <si>
    <t>AttackModeEnum</t>
  </si>
  <si>
    <t>BulletData</t>
  </si>
  <si>
    <t>ModifyData[]</t>
  </si>
  <si>
    <t>EffectData</t>
  </si>
  <si>
    <t>EffectData[]</t>
  </si>
  <si>
    <t>#注意！！！技能的优先顺序是按照此表的顺序来的，排越靠下优先级越高#</t>
  </si>
  <si>
    <t>弩箭</t>
  </si>
  <si>
    <t>自动</t>
  </si>
  <si>
    <t>禁止普攻buff</t>
  </si>
  <si>
    <t>自身距离升序</t>
  </si>
  <si>
    <t>0,0#0,-1#1,-1#2,-1#3,-1#4,-1#5,-1#6,-1#7,-1#8,-1#9,-1#10,-1#1,0#2,0#3,0#4,0#5,0#6,0#7,0#8,0#9,0#10,0#0,1#1,1#2,1#3,1#4,1#5,1#6,1#7,1#8,1#9,1#10,1#11,1#11,0#11,-1#12,1#12,0#12,-1</t>
  </si>
  <si>
    <t>Normal</t>
  </si>
  <si>
    <t>1,4</t>
  </si>
  <si>
    <t>跟随攻击</t>
  </si>
  <si>
    <t>电大普攻</t>
  </si>
  <si>
    <t>L_Hand_1</t>
  </si>
  <si>
    <t>CCB增伤</t>
  </si>
  <si>
    <t>CCB攻击印记</t>
  </si>
  <si>
    <t>{"ShowRange":1,"Line":1}</t>
  </si>
  <si>
    <t>拉普兰德近战击中</t>
  </si>
  <si>
    <t>CCB弹道索敌</t>
  </si>
  <si>
    <t>普通技能</t>
  </si>
  <si>
    <t>禁止主动</t>
  </si>
  <si>
    <t>被动</t>
  </si>
  <si>
    <t>CCB强力击标记</t>
  </si>
  <si>
    <t>普通法球</t>
  </si>
  <si>
    <t>火墙附魔</t>
  </si>
  <si>
    <t>余火墙</t>
  </si>
  <si>
    <t>弹道命中</t>
  </si>
  <si>
    <t>终点距离</t>
  </si>
  <si>
    <t>{"Fire":600}</t>
  </si>
  <si>
    <t>治疗2</t>
  </si>
  <si>
    <t>起飞</t>
  </si>
  <si>
    <t>落地</t>
  </si>
  <si>
    <t>仅自己</t>
  </si>
  <si>
    <t>测试buff</t>
  </si>
  <si>
    <t>CCB强力击</t>
  </si>
  <si>
    <t>充能释放</t>
  </si>
  <si>
    <t>攻击</t>
  </si>
  <si>
    <t>CCB链式弹道</t>
  </si>
  <si>
    <t>Muzzle</t>
  </si>
  <si>
    <t>弱点伤害</t>
  </si>
  <si>
    <t>{"绑定进度条":"三角"}</t>
  </si>
  <si>
    <t>CCB呼吸强化</t>
  </si>
  <si>
    <t>CCB加攻速,CCB回血</t>
  </si>
  <si>
    <t>CCB攻击叠层</t>
  </si>
  <si>
    <t>CCB叠层</t>
  </si>
  <si>
    <t>{"绑定进度条":"弹药"}</t>
  </si>
  <si>
    <t>位移</t>
  </si>
  <si>
    <t>召唤</t>
  </si>
  <si>
    <t>自身距离降序</t>
  </si>
  <si>
    <t>-CCB攻击印记</t>
  </si>
  <si>
    <t>Magic</t>
  </si>
  <si>
    <t>移动弹道</t>
  </si>
  <si>
    <t>CCB减攻速,减速</t>
  </si>
  <si>
    <t>{"召唤位置":"使用本技能索敌位置","部署模式":"位移","位移速度":"10"}</t>
  </si>
  <si>
    <t>召唤小弟</t>
  </si>
  <si>
    <t>被击</t>
  </si>
  <si>
    <t>{"召唤物ID":"CCB小弟","召唤位置":"使用本技能索敌位置","范围":0.5,"数量":1}</t>
  </si>
  <si>
    <t>小弟普攻</t>
  </si>
  <si>
    <t>小弟减速,CCB攻击印记</t>
  </si>
  <si>
    <t>{"ShowRange":1,"Color":"#45b787","Alpha":0.25}</t>
  </si>
  <si>
    <t>CCB加攻速</t>
  </si>
  <si>
    <t>小弟自流血</t>
  </si>
  <si>
    <t>LoseHP</t>
  </si>
  <si>
    <t>诅咒</t>
  </si>
  <si>
    <t>召唤地板</t>
  </si>
  <si>
    <t>部署装置</t>
  </si>
  <si>
    <t>手动</t>
  </si>
  <si>
    <t>{"召唤物ID":"涨潮","召唤位置":"使用自身位置","持续":20}</t>
  </si>
  <si>
    <t>自己入场</t>
  </si>
  <si>
    <t>禁止普攻</t>
  </si>
  <si>
    <t>无</t>
  </si>
  <si>
    <t>Skill_3_Loop</t>
  </si>
  <si>
    <t>CCB棘刺2弹道</t>
  </si>
  <si>
    <t>C_Equipment_01</t>
  </si>
  <si>
    <t>{"Line":3,"MaxLine":60,"BaseAngle": 0,"FanRange":60}</t>
  </si>
  <si>
    <t>获得收藏</t>
  </si>
  <si>
    <t>获取单位</t>
  </si>
  <si>
    <t>入场</t>
  </si>
  <si>
    <t>{"Count":1,"UnitId":"收藏"}</t>
  </si>
  <si>
    <t>获得投币</t>
  </si>
  <si>
    <t>{"Count":1,"UnitId":"投币"}</t>
  </si>
  <si>
    <t>获得点赞</t>
  </si>
  <si>
    <t>{"Count":1,"UnitId":"点赞"}</t>
  </si>
  <si>
    <t>阻挡小于</t>
  </si>
  <si>
    <t>阻挡需求</t>
  </si>
  <si>
    <t>周围单位需求</t>
  </si>
  <si>
    <t>不同源覆盖</t>
  </si>
  <si>
    <t>切换类buff</t>
  </si>
  <si>
    <t>持续特效</t>
  </si>
  <si>
    <t>升级</t>
  </si>
  <si>
    <t>能否被抵抗</t>
  </si>
  <si>
    <t>死亡不消去</t>
  </si>
  <si>
    <t>依赖buff</t>
  </si>
  <si>
    <t>不可被抵挡</t>
  </si>
  <si>
    <t>StopLess</t>
  </si>
  <si>
    <t>StopNeed</t>
  </si>
  <si>
    <t>RoundNeed</t>
  </si>
  <si>
    <t>UnSourceCheck</t>
  </si>
  <si>
    <t>IfSwitch</t>
  </si>
  <si>
    <t>LastingEffect</t>
  </si>
  <si>
    <t>LastTime</t>
  </si>
  <si>
    <t>Resist</t>
  </si>
  <si>
    <t>DeadRemain</t>
  </si>
  <si>
    <t>RelyBuff</t>
  </si>
  <si>
    <t>NotCancelable</t>
  </si>
  <si>
    <t>数值变化依表达式</t>
  </si>
  <si>
    <t>数值变化</t>
  </si>
  <si>
    <t>攻击强化</t>
  </si>
  <si>
    <t>{"t":["AgiAddFin"]}</t>
  </si>
  <si>
    <t>叠层转化</t>
  </si>
  <si>
    <t>{"maxLevel":3,"BuffId":"CCB隐身","LastTime":6,"绑定进度条":"恐惧"}</t>
  </si>
  <si>
    <t>普通Buff</t>
  </si>
  <si>
    <t>冒黑雾</t>
  </si>
  <si>
    <t>CCB回血</t>
  </si>
  <si>
    <t>治愈</t>
  </si>
  <si>
    <t>纯烬艾雅法拉3加成</t>
  </si>
  <si>
    <t>{"DamageBase":1,"TriggerTime":0.5,"HpLess":0.5,"HpLessRate":1.5}</t>
  </si>
  <si>
    <t>燃烧</t>
  </si>
  <si>
    <t>CCB减攻速</t>
  </si>
  <si>
    <t>降防</t>
  </si>
  <si>
    <t>小弟减速</t>
  </si>
  <si>
    <t>{"t":["SpeedRate"]}</t>
  </si>
  <si>
    <t>CCB隐身</t>
  </si>
  <si>
    <t>隐身</t>
  </si>
  <si>
    <t>{"HideTime":0,"无视阻挡":1}</t>
  </si>
  <si>
    <t>重设高度</t>
  </si>
  <si>
    <t>{"Fly":4,"Time":2}</t>
  </si>
  <si>
    <t>无敌</t>
  </si>
  <si>
    <t>相关buff</t>
  </si>
  <si>
    <t>Buff</t>
  </si>
  <si>
    <t>对buff伤害</t>
  </si>
  <si>
    <t>{"DamageRate":1.5}</t>
  </si>
  <si>
    <t>Line</t>
  </si>
  <si>
    <t>FaceCamera</t>
  </si>
  <si>
    <t>ScaleX</t>
  </si>
  <si>
    <t>EffectBase</t>
  </si>
  <si>
    <t>链式弹道</t>
  </si>
  <si>
    <t>aglina_attack_01_trail</t>
  </si>
  <si>
    <t>{"MoveHeight":0,"MaxLinkNum":6,"SkillId":"CCB弹道索敌","CanBack":0,"ShowRange":0,"Color":"#EE3527","Homing":1,"LifeTime":30,"NavigationConstant":3,"HomingDelay":0.5,"MaxTurnRate":2160}</t>
  </si>
  <si>
    <t>真言天赋弹道</t>
  </si>
  <si>
    <t>大飞镖</t>
  </si>
  <si>
    <t>frostl_attack_01_trail</t>
  </si>
  <si>
    <t>{"LifeTime":99999,"Radius":0.5,"Trigger":0.02,"MoveHeight":2,"TriggerTimes":9999,"TargetTeam":2,"MaxTargetCount":9999}</t>
  </si>
  <si>
    <t>棘刺2</t>
  </si>
  <si>
    <t>amiya_skill_03_trail</t>
  </si>
  <si>
    <t>{"MoveHeight":0,"MaxRadius":1.5,"InitRadius":1.5}</t>
  </si>
  <si>
    <t>common_item_recycle_trail_01</t>
  </si>
  <si>
    <t>{"MoveHeight":0,"MaxRadius":1.5,"InitRadius":0.75,"RadiusExponentRate":0.25,"Trigger":0.15,"LifeTime":6,"Alpha":0.1,"Color":"#f8bc31"}</t>
  </si>
  <si>
    <t>milu_attack_01_trail</t>
  </si>
  <si>
    <t>{"MoveHeight":0,"InitRadius":1.5,"Trigger":0.5,"LifeTime":5,"Alpha":0.25,"Color":"#f8c387"}</t>
  </si>
  <si>
    <t>thorns_attack_02_trail</t>
  </si>
  <si>
    <t>模型</t>
  </si>
  <si>
    <t>起始位置</t>
  </si>
  <si>
    <t>偏移</t>
  </si>
  <si>
    <t>绑点</t>
  </si>
  <si>
    <t>跟随骨骼</t>
  </si>
  <si>
    <t>父级</t>
  </si>
  <si>
    <t>朝向</t>
  </si>
  <si>
    <t>跟随方向</t>
  </si>
  <si>
    <t>朝向相机</t>
  </si>
  <si>
    <t>生命周期</t>
  </si>
  <si>
    <t>Prefab</t>
  </si>
  <si>
    <t>StartPos</t>
  </si>
  <si>
    <t>Offset</t>
  </si>
  <si>
    <t>BindPoint</t>
  </si>
  <si>
    <t>BoneFollow</t>
  </si>
  <si>
    <t>ForwardOnly</t>
  </si>
  <si>
    <t>ParentFollow</t>
  </si>
  <si>
    <t>ScaleXFollow</t>
  </si>
  <si>
    <t>ForwordDirection</t>
  </si>
  <si>
    <t>agoat2_skill_03_buff_01</t>
  </si>
  <si>
    <t>电豌豆</t>
  </si>
  <si>
    <t>stward_skill_01_trail</t>
  </si>
  <si>
    <t>Description</t>
  </si>
  <si>
    <t>Group</t>
  </si>
  <si>
    <t>TeamLimit</t>
  </si>
  <si>
    <t>MapHp</t>
  </si>
  <si>
    <t>UnitTypeEnum[]</t>
  </si>
  <si>
    <t>仅单面</t>
  </si>
  <si>
    <t>相对路径</t>
  </si>
  <si>
    <t>正面atlas</t>
  </si>
  <si>
    <t>正面png</t>
  </si>
  <si>
    <t>正面skel</t>
  </si>
  <si>
    <t>背面atlas</t>
  </si>
  <si>
    <t>背面png</t>
  </si>
  <si>
    <t>背面skel</t>
  </si>
  <si>
    <t>OnlyFront</t>
  </si>
  <si>
    <t>UseAppHotfixResPath</t>
  </si>
  <si>
    <t>FrontAtlasPath</t>
  </si>
  <si>
    <t>FrontPngPath</t>
  </si>
  <si>
    <t>FrontSkelPath</t>
  </si>
  <si>
    <t>BackAtlasPath</t>
  </si>
  <si>
    <t>BackPngPath</t>
  </si>
  <si>
    <t>BackSkelPath</t>
  </si>
  <si>
    <t>丰川祥子</t>
  </si>
  <si>
    <t>/Spine/丰川祥子/front/char_4182_oblvns_avemujica_1.atlas.txt</t>
  </si>
  <si>
    <t>/Spine/丰川祥子/front/char_4182_oblvns_avemujica_1.png</t>
  </si>
  <si>
    <t>/Spine/丰川祥子/front/char_4182_oblvns_avemujica_1.skel.bytes</t>
  </si>
  <si>
    <t>/Spine/丰川祥子/back/char_4182_oblvns_avemujica_1.atlas.txt</t>
  </si>
  <si>
    <t>/Spine/丰川祥子/back/char_4182_oblvns_avemujica_1.png</t>
  </si>
  <si>
    <t>/Spine/丰川祥子/back/char_4182_oblvns_avemujica_1.skel.bytes</t>
  </si>
  <si>
    <t>自动</t>
    <phoneticPr fontId="0" type="noConversion"/>
  </si>
  <si>
    <t>充能释放</t>
    <phoneticPr fontId="0" type="noConversion"/>
  </si>
  <si>
    <t>CCB普攻,起飞,CCB强力击,CCB攻击叠层,位移,召唤小弟,CCB呼吸强化</t>
    <phoneticPr fontId="0" type="noConversion"/>
  </si>
  <si>
    <t>CCB普攻,起飞</t>
    <phoneticPr fontId="0" type="noConversion"/>
  </si>
  <si>
    <t>手动</t>
    <phoneticPr fontId="0" type="noConversion"/>
  </si>
  <si>
    <t>{"Expression":"Target.MainSkill.Power = Target.MainSkill.Power - 1f / 60 * (Target.MainSkill.Power &lt; 1f / 60 ? 0 : 2)","绑定进度条":"圆"}</t>
    <phoneticPr fontId="0" type="noConversion"/>
  </si>
  <si>
    <t>电大</t>
    <phoneticPr fontId="0" type="noConversion"/>
  </si>
  <si>
    <t>洁哥2抬手</t>
  </si>
  <si>
    <t>aglina_skill_03_start_summer#5</t>
    <phoneticPr fontId="0" type="noConversion"/>
  </si>
  <si>
    <t>myrtle_attack_01_start_taiko#1</t>
    <phoneticPr fontId="0" type="noConversion"/>
  </si>
  <si>
    <t>agoat2_skill_03_buff_01</t>
    <phoneticPr fontId="0" type="noConversion"/>
  </si>
  <si>
    <t>乌尔比安3爆炸</t>
  </si>
  <si>
    <t>clemnt</t>
    <phoneticPr fontId="0" type="noConversion"/>
  </si>
  <si>
    <t>char_4231_clemnt</t>
    <phoneticPr fontId="0" type="noConversion"/>
  </si>
  <si>
    <t>Skill_2_Loop</t>
    <phoneticPr fontId="0" type="noConversion"/>
  </si>
  <si>
    <t>CCB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</si>
</sst>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3"/>
      <scheme val="minor"/>
    </font>
    <font>
      <sz val="11"/>
      <color theme="1"/>
      <name val="宋体"/>
      <family val="3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2" borderId="0">
      <alignment vertical="center"/>
    </xf>
    <xf numFmtId="0" fontId="2" fillId="0" borderId="0">
      <alignment vertical="center"/>
    </xf>
  </cellStyleXfs>
  <cellXfs count="7">
    <xf numFmtId="0" fontId="1" fillId="2" borderId="0" xfId="0" applyFont="1">
      <alignment vertical="center"/>
    </xf>
    <xf numFmtId="0" fontId="0" fillId="2" borderId="0" xfId="0">
      <alignment vertical="center"/>
    </xf>
    <xf numFmtId="0" fontId="2" fillId="0" borderId="0" xfId="1">
      <alignment vertical="center"/>
    </xf>
    <xf numFmtId="0" fontId="3" fillId="2" borderId="0" xfId="0" applyFont="1">
      <alignment vertical="center"/>
    </xf>
    <xf numFmtId="0" fontId="3" fillId="0" borderId="0" xfId="1" applyFont="1">
      <alignment vertical="center"/>
    </xf>
    <xf numFmtId="0" fontId="2" fillId="2" borderId="0" xfId="0" applyFont="1">
      <alignment vertical="center"/>
    </xf>
    <xf numFmtId="0" fontId="6" fillId="2" borderId="0" xfId="0" applyFont="1">
      <alignment vertical="center"/>
    </xf>
  </cellXfs>
  <cellStyles count="2">
    <cellStyle name="常规" xfId="0" builtinId="0"/>
    <cellStyle name="常规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4"/>
  <sheetViews>
    <sheetView tabSelected="1" workbookViewId="0">
      <selection activeCell="A4" sqref="A4"/>
    </sheetView>
  </sheetViews>
  <sheetFormatPr defaultColWidth="9" defaultRowHeight="14.05" x14ac:dyDescent="0.25"/>
  <cols>
    <col min="1" max="2" width="9" style="1" customWidth="1"/>
  </cols>
  <sheetData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5" t="s">
        <v>621</v>
      </c>
      <c r="B4" s="3" t="s">
        <v>5</v>
      </c>
    </row>
  </sheetData>
  <phoneticPr fontId="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X13"/>
  <sheetViews>
    <sheetView workbookViewId="0">
      <pane xSplit="1" ySplit="3" topLeftCell="AE4" activePane="bottomRight" state="frozen"/>
      <selection pane="topRight"/>
      <selection pane="bottomLeft"/>
      <selection pane="bottomRight" activeCell="F5" sqref="F5"/>
    </sheetView>
  </sheetViews>
  <sheetFormatPr defaultColWidth="9" defaultRowHeight="14.05" x14ac:dyDescent="0.25"/>
  <cols>
    <col min="1" max="1" width="22.58203125" style="1" customWidth="1"/>
    <col min="2" max="3" width="9" style="1" customWidth="1"/>
    <col min="4" max="5" width="8.58203125" style="1" customWidth="1"/>
    <col min="6" max="6" width="19.58203125" style="1" customWidth="1"/>
    <col min="7" max="7" width="8.25" style="1" customWidth="1"/>
    <col min="8" max="11" width="9" style="1" customWidth="1"/>
    <col min="12" max="12" width="6" style="1" customWidth="1"/>
    <col min="13" max="13" width="4.08203125" style="1" customWidth="1"/>
    <col min="14" max="14" width="5.58203125" style="1" customWidth="1"/>
    <col min="15" max="15" width="4" style="1" customWidth="1"/>
    <col min="16" max="16" width="7.75" style="1" customWidth="1"/>
    <col min="17" max="17" width="10.83203125" style="1" customWidth="1"/>
    <col min="18" max="19" width="3.83203125" style="1" customWidth="1"/>
    <col min="20" max="21" width="3.58203125" style="1" customWidth="1"/>
    <col min="22" max="22" width="10.25" style="1" customWidth="1"/>
    <col min="23" max="23" width="9.58203125" style="1" customWidth="1"/>
    <col min="24" max="24" width="10.75" style="1" customWidth="1"/>
    <col min="25" max="25" width="12.83203125" style="1" customWidth="1"/>
    <col min="26" max="26" width="13.08203125" style="1" customWidth="1"/>
    <col min="27" max="27" width="10.75" style="1" customWidth="1"/>
    <col min="28" max="29" width="9" style="1" customWidth="1"/>
    <col min="30" max="30" width="8" style="1" customWidth="1"/>
    <col min="31" max="31" width="17.08203125" style="1" customWidth="1"/>
    <col min="32" max="33" width="9" style="1" customWidth="1"/>
    <col min="34" max="34" width="9.75" style="1" customWidth="1"/>
    <col min="35" max="35" width="7.83203125" style="1" customWidth="1"/>
    <col min="36" max="36" width="15.83203125" style="1" customWidth="1"/>
    <col min="37" max="37" width="13.83203125" style="1" customWidth="1"/>
    <col min="38" max="38" width="34.5" style="1" customWidth="1"/>
    <col min="39" max="39" width="16.5" style="1" customWidth="1"/>
    <col min="40" max="41" width="9.83203125" style="1" customWidth="1"/>
    <col min="42" max="45" width="9" style="1" customWidth="1"/>
    <col min="46" max="46" width="12.5" style="1" customWidth="1"/>
    <col min="47" max="52" width="9" style="1" customWidth="1"/>
    <col min="53" max="53" width="24.33203125" style="1" customWidth="1"/>
    <col min="54" max="54" width="9" style="1" customWidth="1"/>
    <col min="55" max="55" width="17.75" style="1" customWidth="1"/>
    <col min="56" max="56" width="7.83203125" style="1" customWidth="1"/>
    <col min="57" max="58" width="9" style="1" customWidth="1"/>
    <col min="59" max="59" width="24.25" style="1" customWidth="1"/>
    <col min="60" max="60" width="13.25" style="1" customWidth="1"/>
    <col min="61" max="61" width="16.08203125" style="1" customWidth="1"/>
    <col min="62" max="62" width="8" style="1" customWidth="1"/>
    <col min="63" max="66" width="9" style="1" customWidth="1"/>
    <col min="67" max="67" width="39.58203125" style="1" customWidth="1"/>
    <col min="68" max="68" width="9" style="1" customWidth="1"/>
    <col min="69" max="69" width="14" style="1" customWidth="1"/>
    <col min="70" max="70" width="14.83203125" style="1" customWidth="1"/>
    <col min="71" max="74" width="14" style="1" customWidth="1"/>
    <col min="75" max="75" width="9" style="1" customWidth="1"/>
    <col min="76" max="76" width="19.1640625" style="1" customWidth="1"/>
  </cols>
  <sheetData>
    <row r="1" spans="1:76" x14ac:dyDescent="0.25">
      <c r="D1" s="1" t="s">
        <v>6</v>
      </c>
      <c r="E1" s="1" t="s">
        <v>6</v>
      </c>
      <c r="G1" s="1" t="s">
        <v>7</v>
      </c>
      <c r="H1" s="1" t="s">
        <v>8</v>
      </c>
      <c r="J1" s="1" t="s">
        <v>9</v>
      </c>
      <c r="K1" s="1" t="s">
        <v>10</v>
      </c>
      <c r="L1" s="1" t="s">
        <v>11</v>
      </c>
      <c r="N1" s="1" t="s">
        <v>12</v>
      </c>
      <c r="P1" s="1" t="s">
        <v>13</v>
      </c>
      <c r="R1" s="1" t="s">
        <v>14</v>
      </c>
      <c r="T1" s="1" t="s">
        <v>15</v>
      </c>
      <c r="V1" s="1" t="s">
        <v>16</v>
      </c>
      <c r="W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G1" s="1" t="s">
        <v>47</v>
      </c>
      <c r="BH1" s="1" t="s">
        <v>48</v>
      </c>
      <c r="BI1" s="1" t="s">
        <v>49</v>
      </c>
      <c r="BJ1" s="1" t="s">
        <v>50</v>
      </c>
      <c r="BK1" s="1" t="s">
        <v>51</v>
      </c>
    </row>
    <row r="2" spans="1:76" x14ac:dyDescent="0.25">
      <c r="A2" s="1" t="s">
        <v>0</v>
      </c>
      <c r="B2" s="1" t="s">
        <v>52</v>
      </c>
      <c r="C2" s="1" t="s">
        <v>53</v>
      </c>
      <c r="F2" s="1" t="s">
        <v>54</v>
      </c>
      <c r="G2" s="1" t="s">
        <v>55</v>
      </c>
      <c r="H2" s="1" t="s">
        <v>56</v>
      </c>
      <c r="I2" s="1" t="s">
        <v>57</v>
      </c>
      <c r="J2" s="1" t="s">
        <v>58</v>
      </c>
      <c r="K2" s="1" t="s">
        <v>59</v>
      </c>
      <c r="L2" s="1" t="s">
        <v>60</v>
      </c>
      <c r="M2" s="1" t="s">
        <v>61</v>
      </c>
      <c r="N2" s="1" t="s">
        <v>62</v>
      </c>
      <c r="O2" s="1" t="s">
        <v>63</v>
      </c>
      <c r="P2" s="1" t="s">
        <v>64</v>
      </c>
      <c r="Q2" s="1" t="s">
        <v>65</v>
      </c>
      <c r="R2" s="1" t="s">
        <v>66</v>
      </c>
      <c r="S2" s="1" t="s">
        <v>67</v>
      </c>
      <c r="T2" s="1" t="s">
        <v>68</v>
      </c>
      <c r="U2" s="1" t="s">
        <v>69</v>
      </c>
      <c r="V2" s="1" t="s">
        <v>70</v>
      </c>
      <c r="W2" s="1" t="s">
        <v>71</v>
      </c>
      <c r="X2" s="1" t="s">
        <v>72</v>
      </c>
      <c r="Y2" s="1" t="s">
        <v>73</v>
      </c>
      <c r="Z2" s="1" t="s">
        <v>74</v>
      </c>
      <c r="AA2" s="1" t="s">
        <v>75</v>
      </c>
      <c r="AB2" s="1" t="s">
        <v>76</v>
      </c>
      <c r="AC2" s="1" t="s">
        <v>77</v>
      </c>
      <c r="AD2" s="1" t="s">
        <v>78</v>
      </c>
      <c r="AE2" s="1" t="s">
        <v>79</v>
      </c>
      <c r="AF2" s="1" t="s">
        <v>80</v>
      </c>
      <c r="AG2" s="1" t="s">
        <v>81</v>
      </c>
      <c r="AH2" s="1" t="s">
        <v>82</v>
      </c>
      <c r="AI2" s="1" t="s">
        <v>83</v>
      </c>
      <c r="AJ2" s="1" t="s">
        <v>84</v>
      </c>
      <c r="AK2" s="1" t="s">
        <v>85</v>
      </c>
      <c r="AL2" s="1" t="s">
        <v>86</v>
      </c>
      <c r="AM2" s="1" t="s">
        <v>87</v>
      </c>
      <c r="AN2" s="1" t="s">
        <v>88</v>
      </c>
      <c r="AO2" s="1" t="s">
        <v>89</v>
      </c>
      <c r="AP2" s="1" t="s">
        <v>90</v>
      </c>
      <c r="AQ2" s="1" t="s">
        <v>91</v>
      </c>
      <c r="AR2" s="1" t="s">
        <v>92</v>
      </c>
      <c r="AS2" s="1" t="s">
        <v>93</v>
      </c>
      <c r="AT2" s="1" t="s">
        <v>94</v>
      </c>
      <c r="AU2" s="1" t="s">
        <v>95</v>
      </c>
      <c r="AV2" s="1" t="s">
        <v>96</v>
      </c>
      <c r="AW2" s="1" t="s">
        <v>97</v>
      </c>
      <c r="AX2" s="1" t="s">
        <v>98</v>
      </c>
      <c r="AY2" s="1" t="s">
        <v>99</v>
      </c>
      <c r="AZ2" s="1" t="s">
        <v>100</v>
      </c>
      <c r="BA2" s="1" t="s">
        <v>101</v>
      </c>
      <c r="BB2" s="1" t="s">
        <v>102</v>
      </c>
      <c r="BC2" s="1" t="s">
        <v>103</v>
      </c>
      <c r="BD2" s="1" t="s">
        <v>104</v>
      </c>
      <c r="BE2" s="1" t="s">
        <v>105</v>
      </c>
      <c r="BF2" s="1" t="s">
        <v>106</v>
      </c>
      <c r="BG2" s="1" t="s">
        <v>107</v>
      </c>
      <c r="BH2" s="1" t="s">
        <v>108</v>
      </c>
      <c r="BI2" s="1" t="s">
        <v>109</v>
      </c>
      <c r="BJ2" s="1" t="s">
        <v>110</v>
      </c>
      <c r="BK2" s="1" t="s">
        <v>111</v>
      </c>
      <c r="BL2" s="1" t="s">
        <v>112</v>
      </c>
      <c r="BM2" s="1" t="s">
        <v>113</v>
      </c>
      <c r="BN2" s="1" t="s">
        <v>114</v>
      </c>
      <c r="BO2" s="1" t="s">
        <v>115</v>
      </c>
      <c r="BP2" s="1" t="s">
        <v>116</v>
      </c>
      <c r="BQ2" s="1" t="s">
        <v>117</v>
      </c>
      <c r="BR2" s="1" t="s">
        <v>118</v>
      </c>
      <c r="BS2" s="1" t="s">
        <v>119</v>
      </c>
      <c r="BT2" s="1" t="s">
        <v>120</v>
      </c>
      <c r="BU2" s="1" t="s">
        <v>121</v>
      </c>
      <c r="BV2" s="1" t="s">
        <v>122</v>
      </c>
      <c r="BW2" s="1" t="s">
        <v>123</v>
      </c>
      <c r="BX2" s="1" t="s">
        <v>124</v>
      </c>
    </row>
    <row r="3" spans="1:76" x14ac:dyDescent="0.25">
      <c r="A3" s="1" t="s">
        <v>2</v>
      </c>
      <c r="B3" s="1" t="s">
        <v>2</v>
      </c>
      <c r="C3" s="1" t="s">
        <v>125</v>
      </c>
      <c r="F3" s="1" t="s">
        <v>2</v>
      </c>
      <c r="G3" s="1" t="s">
        <v>126</v>
      </c>
      <c r="H3" s="1" t="s">
        <v>127</v>
      </c>
      <c r="I3" s="1" t="s">
        <v>2</v>
      </c>
      <c r="J3" s="1" t="s">
        <v>128</v>
      </c>
      <c r="K3" s="1" t="s">
        <v>128</v>
      </c>
      <c r="L3" s="1" t="s">
        <v>128</v>
      </c>
      <c r="M3" s="1" t="s">
        <v>128</v>
      </c>
      <c r="N3" s="1" t="s">
        <v>128</v>
      </c>
      <c r="O3" s="1" t="s">
        <v>128</v>
      </c>
      <c r="P3" s="1" t="s">
        <v>128</v>
      </c>
      <c r="Q3" s="1" t="s">
        <v>128</v>
      </c>
      <c r="R3" s="1" t="s">
        <v>128</v>
      </c>
      <c r="S3" s="1" t="s">
        <v>128</v>
      </c>
      <c r="T3" s="1" t="s">
        <v>128</v>
      </c>
      <c r="U3" s="1" t="s">
        <v>128</v>
      </c>
      <c r="V3" s="1" t="s">
        <v>126</v>
      </c>
      <c r="W3" s="1" t="s">
        <v>128</v>
      </c>
      <c r="X3" s="1" t="s">
        <v>128</v>
      </c>
      <c r="Y3" s="1" t="s">
        <v>126</v>
      </c>
      <c r="Z3" s="1" t="s">
        <v>126</v>
      </c>
      <c r="AA3" s="1" t="s">
        <v>126</v>
      </c>
      <c r="AB3" s="1" t="s">
        <v>128</v>
      </c>
      <c r="AC3" s="1" t="s">
        <v>126</v>
      </c>
      <c r="AD3" s="1" t="s">
        <v>128</v>
      </c>
      <c r="AE3" s="1" t="s">
        <v>125</v>
      </c>
      <c r="AF3" s="1" t="s">
        <v>2</v>
      </c>
      <c r="AG3" s="1" t="s">
        <v>128</v>
      </c>
      <c r="AH3" s="1" t="s">
        <v>128</v>
      </c>
      <c r="AI3" s="1" t="s">
        <v>128</v>
      </c>
      <c r="AJ3" s="1" t="s">
        <v>2</v>
      </c>
      <c r="AK3" s="1" t="s">
        <v>2</v>
      </c>
      <c r="AL3" s="1" t="s">
        <v>129</v>
      </c>
      <c r="AM3" s="1" t="s">
        <v>129</v>
      </c>
      <c r="AN3" s="1" t="s">
        <v>2</v>
      </c>
      <c r="AO3" s="1" t="s">
        <v>2</v>
      </c>
      <c r="AP3" s="1" t="s">
        <v>126</v>
      </c>
      <c r="AQ3" s="1" t="s">
        <v>130</v>
      </c>
      <c r="AR3" s="1" t="s">
        <v>128</v>
      </c>
      <c r="AS3" s="1" t="s">
        <v>126</v>
      </c>
      <c r="AT3" s="1" t="s">
        <v>125</v>
      </c>
      <c r="AV3" s="1" t="s">
        <v>126</v>
      </c>
      <c r="AW3" s="1" t="s">
        <v>125</v>
      </c>
      <c r="AX3" s="1" t="s">
        <v>128</v>
      </c>
      <c r="AY3" s="1" t="s">
        <v>131</v>
      </c>
      <c r="AZ3" s="1" t="s">
        <v>126</v>
      </c>
      <c r="BA3" s="1" t="s">
        <v>132</v>
      </c>
      <c r="BB3" s="1" t="s">
        <v>125</v>
      </c>
      <c r="BC3" s="1" t="s">
        <v>125</v>
      </c>
      <c r="BD3" s="1" t="s">
        <v>126</v>
      </c>
      <c r="BE3" s="1" t="s">
        <v>133</v>
      </c>
      <c r="BF3" s="1" t="s">
        <v>2</v>
      </c>
      <c r="BG3" s="1" t="s">
        <v>2</v>
      </c>
      <c r="BH3" s="1" t="s">
        <v>2</v>
      </c>
      <c r="BI3" s="1" t="s">
        <v>2</v>
      </c>
      <c r="BJ3" s="1" t="s">
        <v>134</v>
      </c>
      <c r="BK3" s="1" t="s">
        <v>128</v>
      </c>
      <c r="BL3" s="1" t="s">
        <v>2</v>
      </c>
      <c r="BM3" s="1" t="s">
        <v>130</v>
      </c>
      <c r="BN3" s="1" t="s">
        <v>2</v>
      </c>
      <c r="BO3" s="1" t="s">
        <v>135</v>
      </c>
      <c r="BP3" s="1" t="s">
        <v>130</v>
      </c>
      <c r="BQ3" s="1" t="s">
        <v>130</v>
      </c>
      <c r="BR3" s="1" t="s">
        <v>130</v>
      </c>
      <c r="BS3" s="1" t="s">
        <v>130</v>
      </c>
      <c r="BT3" s="1" t="s">
        <v>130</v>
      </c>
      <c r="BU3" s="1" t="s">
        <v>130</v>
      </c>
      <c r="BV3" s="1" t="s">
        <v>130</v>
      </c>
      <c r="BW3" s="1" t="s">
        <v>130</v>
      </c>
      <c r="BX3" s="1" t="s">
        <v>126</v>
      </c>
    </row>
    <row r="5" spans="1:76" x14ac:dyDescent="0.25">
      <c r="A5" s="3" t="s">
        <v>5</v>
      </c>
      <c r="B5" s="1" t="s">
        <v>136</v>
      </c>
      <c r="D5" s="2" t="s">
        <v>618</v>
      </c>
      <c r="E5" s="2">
        <v>4231</v>
      </c>
      <c r="F5" s="2" t="s">
        <v>619</v>
      </c>
      <c r="G5" s="1">
        <v>1</v>
      </c>
      <c r="H5" s="3"/>
      <c r="J5" s="1">
        <v>2</v>
      </c>
      <c r="K5" s="1">
        <v>90</v>
      </c>
      <c r="L5" s="1">
        <v>10000</v>
      </c>
      <c r="N5" s="1">
        <v>1000</v>
      </c>
      <c r="P5" s="1">
        <v>500</v>
      </c>
      <c r="R5" s="1">
        <v>20</v>
      </c>
      <c r="T5" s="1">
        <v>10</v>
      </c>
      <c r="V5" s="1">
        <v>0.5</v>
      </c>
      <c r="W5" s="1">
        <v>70</v>
      </c>
      <c r="Z5" s="1">
        <v>0.05</v>
      </c>
      <c r="AA5" s="1">
        <v>1.5</v>
      </c>
      <c r="AD5" s="1">
        <v>1</v>
      </c>
      <c r="AJ5" s="3" t="s">
        <v>4</v>
      </c>
      <c r="AK5" s="1" t="s">
        <v>137</v>
      </c>
      <c r="AL5" s="5" t="s">
        <v>609</v>
      </c>
      <c r="AM5" s="3" t="s">
        <v>139</v>
      </c>
      <c r="AN5" s="3" t="s">
        <v>140</v>
      </c>
      <c r="AO5" s="3" t="s">
        <v>141</v>
      </c>
      <c r="AQ5" s="1" t="s">
        <v>142</v>
      </c>
      <c r="AR5" s="1">
        <v>2</v>
      </c>
      <c r="AS5" s="1">
        <v>0.5</v>
      </c>
      <c r="AZ5" s="1">
        <v>0.25</v>
      </c>
      <c r="BE5" s="2" t="s">
        <v>143</v>
      </c>
      <c r="BF5" s="2" t="s">
        <v>144</v>
      </c>
      <c r="BG5" s="2" t="str">
        <f>"icon_"&amp;D5</f>
        <v>icon_clemnt</v>
      </c>
      <c r="BH5" s="2" t="str">
        <f>"half_"&amp;D5</f>
        <v>half_clemnt</v>
      </c>
      <c r="BI5" s="2" t="str">
        <f>D5</f>
        <v>clemnt</v>
      </c>
      <c r="BJ5" s="2" t="s">
        <v>145</v>
      </c>
      <c r="BK5" s="1">
        <v>6</v>
      </c>
      <c r="BL5" s="1" t="s">
        <v>146</v>
      </c>
      <c r="BM5" s="1" t="s">
        <v>147</v>
      </c>
      <c r="BQ5" s="1" t="s">
        <v>148</v>
      </c>
      <c r="BR5" s="1" t="s">
        <v>149</v>
      </c>
      <c r="BT5" s="1" t="s">
        <v>150</v>
      </c>
      <c r="BU5" s="1" t="s">
        <v>150</v>
      </c>
      <c r="BV5" s="1" t="s">
        <v>151</v>
      </c>
      <c r="BX5" s="1">
        <v>1</v>
      </c>
    </row>
    <row r="6" spans="1:76" x14ac:dyDescent="0.25">
      <c r="F6" s="1" t="s">
        <v>152</v>
      </c>
      <c r="AL6" s="5" t="s">
        <v>608</v>
      </c>
      <c r="AM6" s="3"/>
    </row>
    <row r="7" spans="1:76" s="2" customFormat="1" x14ac:dyDescent="0.25">
      <c r="A7" s="2" t="s">
        <v>153</v>
      </c>
      <c r="B7" s="2" t="s">
        <v>154</v>
      </c>
      <c r="D7" s="2" t="s">
        <v>155</v>
      </c>
      <c r="E7" s="2">
        <v>1150</v>
      </c>
      <c r="F7" s="2" t="str">
        <f>"enemy_"&amp;E7&amp;"_"&amp;D7</f>
        <v>enemy_1150_dsjely</v>
      </c>
      <c r="G7" s="2">
        <v>1</v>
      </c>
      <c r="L7" s="2">
        <v>4400</v>
      </c>
      <c r="N7" s="2">
        <v>480</v>
      </c>
      <c r="P7" s="2">
        <v>160</v>
      </c>
      <c r="R7" s="2">
        <v>20</v>
      </c>
      <c r="Z7" s="2">
        <v>0.05</v>
      </c>
      <c r="AA7" s="2">
        <v>3</v>
      </c>
      <c r="AB7" s="2">
        <v>1</v>
      </c>
      <c r="AC7" s="2">
        <v>0.75</v>
      </c>
      <c r="AJ7" s="2" t="s">
        <v>153</v>
      </c>
      <c r="AK7" s="2" t="s">
        <v>137</v>
      </c>
      <c r="AL7" s="2" t="s">
        <v>156</v>
      </c>
      <c r="AM7" s="2" t="s">
        <v>157</v>
      </c>
      <c r="AN7" s="4" t="s">
        <v>158</v>
      </c>
      <c r="AO7" s="2" t="s">
        <v>141</v>
      </c>
      <c r="AP7" s="2">
        <v>1</v>
      </c>
      <c r="AR7" s="2">
        <v>1</v>
      </c>
      <c r="AW7" s="2">
        <v>1</v>
      </c>
      <c r="AZ7" s="2">
        <v>0.25</v>
      </c>
      <c r="BG7" s="2" t="str">
        <f>"enemy_"&amp;E7&amp;"_"&amp;D7</f>
        <v>enemy_1150_dsjely</v>
      </c>
      <c r="BM7" s="2" t="s">
        <v>159</v>
      </c>
      <c r="BN7" s="2" t="s">
        <v>160</v>
      </c>
      <c r="BQ7" s="2" t="s">
        <v>148</v>
      </c>
      <c r="BR7" s="2" t="s">
        <v>149</v>
      </c>
      <c r="BS7" s="2" t="s">
        <v>161</v>
      </c>
      <c r="BT7" s="2" t="s">
        <v>150</v>
      </c>
      <c r="BX7" s="2">
        <v>1</v>
      </c>
    </row>
    <row r="9" spans="1:76" x14ac:dyDescent="0.25">
      <c r="A9" s="3" t="s">
        <v>162</v>
      </c>
      <c r="B9" s="1" t="s">
        <v>163</v>
      </c>
      <c r="F9" s="1" t="s">
        <v>164</v>
      </c>
      <c r="G9" s="1">
        <v>10</v>
      </c>
      <c r="J9" s="1">
        <v>2</v>
      </c>
      <c r="K9" s="1">
        <v>90</v>
      </c>
      <c r="L9" s="1">
        <v>100</v>
      </c>
      <c r="N9" s="1">
        <v>0</v>
      </c>
      <c r="P9" s="1">
        <v>0</v>
      </c>
      <c r="R9" s="1">
        <v>0</v>
      </c>
      <c r="T9" s="1">
        <v>0</v>
      </c>
      <c r="V9" s="1">
        <v>0</v>
      </c>
      <c r="W9" s="1">
        <v>0</v>
      </c>
      <c r="Z9" s="1">
        <v>0.05</v>
      </c>
      <c r="AA9" s="1">
        <v>0</v>
      </c>
      <c r="AB9" s="1">
        <v>0</v>
      </c>
      <c r="AD9" s="1">
        <v>0</v>
      </c>
      <c r="AJ9" s="3" t="s">
        <v>165</v>
      </c>
      <c r="AK9" s="1" t="s">
        <v>137</v>
      </c>
      <c r="AL9" s="3" t="s">
        <v>166</v>
      </c>
      <c r="AM9" s="1" t="s">
        <v>167</v>
      </c>
      <c r="AO9" s="2"/>
      <c r="AQ9" s="1" t="s">
        <v>142</v>
      </c>
      <c r="AR9" s="1">
        <v>0</v>
      </c>
      <c r="AS9" s="1">
        <v>0.5</v>
      </c>
      <c r="AT9" s="1">
        <v>1</v>
      </c>
      <c r="AZ9" s="1">
        <v>0.25</v>
      </c>
      <c r="BE9" s="1" t="s">
        <v>168</v>
      </c>
      <c r="BO9" s="3" t="s">
        <v>169</v>
      </c>
    </row>
    <row r="10" spans="1:76" x14ac:dyDescent="0.25">
      <c r="E10" s="3" t="s">
        <v>170</v>
      </c>
    </row>
    <row r="11" spans="1:76" s="2" customFormat="1" x14ac:dyDescent="0.25">
      <c r="A11" s="2" t="s">
        <v>171</v>
      </c>
      <c r="B11" s="2" t="s">
        <v>136</v>
      </c>
      <c r="D11" s="2" t="s">
        <v>155</v>
      </c>
      <c r="E11" s="2">
        <v>1150</v>
      </c>
      <c r="F11" s="2" t="str">
        <f>"enemy_"&amp;E11&amp;"_"&amp;D11</f>
        <v>enemy_1150_dsjely</v>
      </c>
      <c r="G11" s="2">
        <v>1</v>
      </c>
      <c r="L11" s="2">
        <v>4400</v>
      </c>
      <c r="N11" s="2">
        <v>480</v>
      </c>
      <c r="P11" s="2">
        <v>160</v>
      </c>
      <c r="R11" s="2">
        <v>20</v>
      </c>
      <c r="Z11" s="2">
        <v>0.05</v>
      </c>
      <c r="AA11" s="2">
        <v>3</v>
      </c>
      <c r="AB11" s="2">
        <v>1</v>
      </c>
      <c r="AC11" s="2">
        <v>0.75</v>
      </c>
      <c r="AJ11" s="2" t="s">
        <v>153</v>
      </c>
      <c r="AK11" s="2" t="s">
        <v>137</v>
      </c>
      <c r="AL11" s="2" t="s">
        <v>156</v>
      </c>
      <c r="AM11" s="2" t="s">
        <v>157</v>
      </c>
      <c r="AN11" s="4" t="s">
        <v>158</v>
      </c>
      <c r="AO11" s="2" t="s">
        <v>141</v>
      </c>
      <c r="AP11" s="2">
        <v>1</v>
      </c>
      <c r="AR11" s="2">
        <v>1</v>
      </c>
      <c r="AW11" s="2">
        <v>1</v>
      </c>
      <c r="AZ11" s="2">
        <v>0.25</v>
      </c>
      <c r="BG11" s="2" t="s">
        <v>172</v>
      </c>
      <c r="BM11" s="2" t="s">
        <v>159</v>
      </c>
      <c r="BN11" s="2" t="s">
        <v>160</v>
      </c>
      <c r="BQ11" s="2" t="s">
        <v>148</v>
      </c>
      <c r="BR11" s="2" t="s">
        <v>149</v>
      </c>
      <c r="BS11" s="2" t="s">
        <v>161</v>
      </c>
      <c r="BT11" s="2" t="s">
        <v>150</v>
      </c>
      <c r="BX11" s="2">
        <v>1</v>
      </c>
    </row>
    <row r="12" spans="1:76" s="2" customFormat="1" x14ac:dyDescent="0.25">
      <c r="A12" s="2" t="s">
        <v>173</v>
      </c>
      <c r="B12" s="2" t="s">
        <v>136</v>
      </c>
      <c r="D12" s="2" t="s">
        <v>155</v>
      </c>
      <c r="E12" s="2">
        <v>1150</v>
      </c>
      <c r="F12" s="2" t="str">
        <f t="shared" ref="F12:F13" si="0">"enemy_"&amp;E12&amp;"_"&amp;D12</f>
        <v>enemy_1150_dsjely</v>
      </c>
      <c r="G12" s="2">
        <v>1</v>
      </c>
      <c r="L12" s="2">
        <v>4400</v>
      </c>
      <c r="N12" s="2">
        <v>480</v>
      </c>
      <c r="P12" s="2">
        <v>160</v>
      </c>
      <c r="R12" s="2">
        <v>20</v>
      </c>
      <c r="Z12" s="2">
        <v>0.05</v>
      </c>
      <c r="AA12" s="2">
        <v>3</v>
      </c>
      <c r="AB12" s="2">
        <v>1</v>
      </c>
      <c r="AC12" s="2">
        <v>0.75</v>
      </c>
      <c r="AJ12" s="2" t="s">
        <v>153</v>
      </c>
      <c r="AK12" s="2" t="s">
        <v>137</v>
      </c>
      <c r="AL12" s="2" t="s">
        <v>156</v>
      </c>
      <c r="AM12" s="2" t="s">
        <v>157</v>
      </c>
      <c r="AN12" s="4" t="s">
        <v>158</v>
      </c>
      <c r="AO12" s="2" t="s">
        <v>141</v>
      </c>
      <c r="AP12" s="2">
        <v>1</v>
      </c>
      <c r="AR12" s="2">
        <v>1</v>
      </c>
      <c r="AW12" s="2">
        <v>1</v>
      </c>
      <c r="AZ12" s="2">
        <v>0.25</v>
      </c>
      <c r="BG12" s="2" t="s">
        <v>174</v>
      </c>
      <c r="BM12" s="2" t="s">
        <v>159</v>
      </c>
      <c r="BN12" s="2" t="s">
        <v>160</v>
      </c>
      <c r="BQ12" s="2" t="s">
        <v>148</v>
      </c>
      <c r="BR12" s="2" t="s">
        <v>149</v>
      </c>
      <c r="BS12" s="2" t="s">
        <v>161</v>
      </c>
      <c r="BT12" s="2" t="s">
        <v>150</v>
      </c>
      <c r="BX12" s="2">
        <v>1</v>
      </c>
    </row>
    <row r="13" spans="1:76" s="2" customFormat="1" x14ac:dyDescent="0.25">
      <c r="A13" s="2" t="s">
        <v>175</v>
      </c>
      <c r="B13" s="2" t="s">
        <v>136</v>
      </c>
      <c r="D13" s="2" t="s">
        <v>155</v>
      </c>
      <c r="E13" s="2">
        <v>1150</v>
      </c>
      <c r="F13" s="2" t="str">
        <f t="shared" si="0"/>
        <v>enemy_1150_dsjely</v>
      </c>
      <c r="G13" s="2">
        <v>1</v>
      </c>
      <c r="L13" s="2">
        <v>4400</v>
      </c>
      <c r="N13" s="2">
        <v>480</v>
      </c>
      <c r="P13" s="2">
        <v>160</v>
      </c>
      <c r="R13" s="2">
        <v>20</v>
      </c>
      <c r="Z13" s="2">
        <v>0.05</v>
      </c>
      <c r="AA13" s="2">
        <v>3</v>
      </c>
      <c r="AB13" s="2">
        <v>1</v>
      </c>
      <c r="AC13" s="2">
        <v>0.75</v>
      </c>
      <c r="AJ13" s="2" t="s">
        <v>153</v>
      </c>
      <c r="AK13" s="2" t="s">
        <v>137</v>
      </c>
      <c r="AL13" s="2" t="s">
        <v>156</v>
      </c>
      <c r="AM13" s="2" t="s">
        <v>157</v>
      </c>
      <c r="AN13" s="4" t="s">
        <v>158</v>
      </c>
      <c r="AO13" s="2" t="s">
        <v>141</v>
      </c>
      <c r="AP13" s="2">
        <v>1</v>
      </c>
      <c r="AR13" s="2">
        <v>1</v>
      </c>
      <c r="AW13" s="2">
        <v>1</v>
      </c>
      <c r="AZ13" s="2">
        <v>0.25</v>
      </c>
      <c r="BG13" s="2" t="s">
        <v>176</v>
      </c>
      <c r="BM13" s="2" t="s">
        <v>159</v>
      </c>
      <c r="BN13" s="2" t="s">
        <v>160</v>
      </c>
      <c r="BQ13" s="2" t="s">
        <v>148</v>
      </c>
      <c r="BR13" s="2" t="s">
        <v>149</v>
      </c>
      <c r="BS13" s="2" t="s">
        <v>161</v>
      </c>
      <c r="BT13" s="2" t="s">
        <v>150</v>
      </c>
      <c r="BX13" s="2">
        <v>1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J704"/>
  <sheetViews>
    <sheetView workbookViewId="0">
      <pane xSplit="1" ySplit="3" topLeftCell="BU6" activePane="bottomRight" state="frozen"/>
      <selection pane="topRight"/>
      <selection pane="bottomLeft"/>
      <selection pane="bottomRight" activeCell="CB25" sqref="CB25"/>
    </sheetView>
  </sheetViews>
  <sheetFormatPr defaultColWidth="9" defaultRowHeight="14.05" x14ac:dyDescent="0.25"/>
  <cols>
    <col min="1" max="1" width="21.08203125" style="1" customWidth="1"/>
    <col min="2" max="2" width="15.58203125" style="1" customWidth="1"/>
    <col min="3" max="3" width="7.75" style="1" customWidth="1"/>
    <col min="4" max="4" width="16.58203125" style="1" customWidth="1"/>
    <col min="5" max="5" width="16.83203125" style="1" customWidth="1"/>
    <col min="6" max="6" width="31.33203125" style="1" customWidth="1"/>
    <col min="7" max="7" width="7.33203125" style="1" customWidth="1"/>
    <col min="8" max="8" width="20.58203125" style="1" customWidth="1"/>
    <col min="9" max="9" width="10.75" style="1" customWidth="1"/>
    <col min="10" max="10" width="15.75" style="1" customWidth="1"/>
    <col min="11" max="13" width="8.33203125" style="1" customWidth="1"/>
    <col min="14" max="14" width="11.75" style="1" customWidth="1"/>
    <col min="15" max="15" width="13.08203125" style="1" customWidth="1"/>
    <col min="16" max="16" width="11.58203125" style="1" customWidth="1"/>
    <col min="17" max="17" width="21.5" style="1" customWidth="1"/>
    <col min="18" max="18" width="19.83203125" style="1" customWidth="1"/>
    <col min="19" max="19" width="16.58203125" style="1" customWidth="1"/>
    <col min="20" max="20" width="19.08203125" style="1" customWidth="1"/>
    <col min="21" max="21" width="18.33203125" style="1" customWidth="1"/>
    <col min="22" max="22" width="17.75" style="1" customWidth="1"/>
    <col min="23" max="23" width="8.33203125" style="1" customWidth="1"/>
    <col min="24" max="24" width="18.5" style="1" customWidth="1"/>
    <col min="25" max="25" width="16.58203125" style="1" customWidth="1"/>
    <col min="26" max="26" width="10.6640625" style="1" customWidth="1"/>
    <col min="27" max="27" width="8.33203125" style="1" customWidth="1"/>
    <col min="28" max="28" width="15.1640625" style="1" customWidth="1"/>
    <col min="29" max="30" width="8.58203125" style="1" customWidth="1"/>
    <col min="31" max="31" width="13.4140625" style="1" customWidth="1"/>
    <col min="32" max="32" width="13.75" style="1" customWidth="1"/>
    <col min="33" max="33" width="14.58203125" style="1" customWidth="1"/>
    <col min="34" max="34" width="17.4140625" style="1" customWidth="1"/>
    <col min="35" max="35" width="8.58203125" style="1" customWidth="1"/>
    <col min="36" max="36" width="12.5" style="1" customWidth="1"/>
    <col min="37" max="37" width="8.58203125" style="1" customWidth="1"/>
    <col min="38" max="39" width="8.33203125" style="1" customWidth="1"/>
    <col min="40" max="40" width="15" style="1" customWidth="1"/>
    <col min="41" max="41" width="13.25" style="1" customWidth="1"/>
    <col min="42" max="45" width="11.83203125" style="1" customWidth="1"/>
    <col min="46" max="46" width="18.4140625" style="1" customWidth="1"/>
    <col min="47" max="47" width="12.25" style="1" customWidth="1"/>
    <col min="48" max="48" width="11.9140625" style="1" customWidth="1"/>
    <col min="49" max="49" width="19.58203125" style="1" customWidth="1"/>
    <col min="50" max="50" width="12.6640625" style="1" customWidth="1"/>
    <col min="51" max="51" width="9" style="1" customWidth="1"/>
    <col min="52" max="52" width="7" style="1" customWidth="1"/>
    <col min="53" max="53" width="11.75" style="1" customWidth="1"/>
    <col min="54" max="54" width="19.75" style="1" customWidth="1"/>
    <col min="55" max="55" width="5.08203125" style="1" customWidth="1"/>
    <col min="56" max="56" width="8.5" style="1" customWidth="1"/>
    <col min="57" max="57" width="13.5" style="1" customWidth="1"/>
    <col min="58" max="58" width="14.6640625" style="1" customWidth="1"/>
    <col min="59" max="59" width="10.1640625" style="1" customWidth="1"/>
    <col min="60" max="60" width="8.25" style="1" customWidth="1"/>
    <col min="61" max="67" width="8.33203125" style="1" customWidth="1"/>
    <col min="68" max="70" width="11.25" style="1" customWidth="1"/>
    <col min="71" max="71" width="6.58203125" style="1" customWidth="1"/>
    <col min="72" max="73" width="8" style="1" customWidth="1"/>
    <col min="74" max="74" width="7.33203125" style="1" customWidth="1"/>
    <col min="75" max="76" width="8.5" style="1" customWidth="1"/>
    <col min="77" max="78" width="7.83203125" style="1" customWidth="1"/>
    <col min="79" max="79" width="22.1640625" style="1" customWidth="1"/>
    <col min="80" max="80" width="13.5" style="1" customWidth="1"/>
    <col min="81" max="81" width="9" style="1" customWidth="1"/>
    <col min="82" max="82" width="21.1640625" style="1" customWidth="1"/>
    <col min="83" max="83" width="15.75" style="1" customWidth="1"/>
    <col min="84" max="84" width="15.58203125" style="1" customWidth="1"/>
    <col min="85" max="85" width="12.83203125" style="1" customWidth="1"/>
    <col min="86" max="86" width="16.1640625" style="1" customWidth="1"/>
    <col min="87" max="87" width="9" style="1" customWidth="1"/>
    <col min="88" max="88" width="16" style="1" customWidth="1"/>
    <col min="89" max="90" width="12.83203125" style="1" customWidth="1"/>
    <col min="91" max="91" width="23.58203125" style="1" customWidth="1"/>
    <col min="92" max="92" width="12.83203125" style="1" customWidth="1"/>
    <col min="93" max="93" width="17.08203125" style="1" customWidth="1"/>
    <col min="94" max="99" width="9" style="1" customWidth="1"/>
    <col min="100" max="100" width="14" style="1" customWidth="1"/>
    <col min="101" max="101" width="8" style="1" customWidth="1"/>
    <col min="102" max="102" width="9" style="1" customWidth="1"/>
    <col min="103" max="103" width="11.08203125" style="1" customWidth="1"/>
    <col min="104" max="104" width="13.75" style="1" customWidth="1"/>
    <col min="105" max="110" width="9" style="1" customWidth="1"/>
    <col min="111" max="111" width="15.5" style="1" customWidth="1"/>
    <col min="112" max="114" width="9" style="1" customWidth="1"/>
  </cols>
  <sheetData>
    <row r="1" spans="1:114" x14ac:dyDescent="0.25">
      <c r="B1" s="1" t="s">
        <v>177</v>
      </c>
      <c r="D1" s="1" t="s">
        <v>178</v>
      </c>
      <c r="E1" s="1" t="s">
        <v>179</v>
      </c>
      <c r="F1" s="1" t="s">
        <v>180</v>
      </c>
      <c r="G1" s="1" t="s">
        <v>181</v>
      </c>
      <c r="H1" s="1" t="s">
        <v>182</v>
      </c>
      <c r="I1" s="1" t="s">
        <v>183</v>
      </c>
      <c r="J1" s="1" t="s">
        <v>184</v>
      </c>
      <c r="K1" s="1" t="s">
        <v>185</v>
      </c>
      <c r="L1" s="1" t="s">
        <v>186</v>
      </c>
      <c r="M1" s="1" t="s">
        <v>187</v>
      </c>
      <c r="N1" s="1" t="s">
        <v>188</v>
      </c>
      <c r="O1" s="1" t="s">
        <v>189</v>
      </c>
      <c r="P1" s="1" t="s">
        <v>190</v>
      </c>
      <c r="Q1" s="1" t="s">
        <v>191</v>
      </c>
      <c r="R1" s="1" t="s">
        <v>192</v>
      </c>
      <c r="S1" s="1" t="s">
        <v>193</v>
      </c>
      <c r="T1" s="1" t="s">
        <v>194</v>
      </c>
      <c r="U1" s="1" t="s">
        <v>194</v>
      </c>
      <c r="V1" s="1" t="s">
        <v>195</v>
      </c>
      <c r="W1" s="1" t="s">
        <v>196</v>
      </c>
      <c r="X1" s="1" t="s">
        <v>197</v>
      </c>
      <c r="Y1" s="1" t="s">
        <v>198</v>
      </c>
      <c r="Z1" s="1" t="s">
        <v>199</v>
      </c>
      <c r="AA1" s="1" t="s">
        <v>200</v>
      </c>
      <c r="AB1" s="1" t="s">
        <v>201</v>
      </c>
      <c r="AC1" s="1" t="s">
        <v>202</v>
      </c>
      <c r="AD1" s="1" t="s">
        <v>203</v>
      </c>
      <c r="AE1" s="1" t="s">
        <v>204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212</v>
      </c>
      <c r="AN1" s="1" t="s">
        <v>213</v>
      </c>
      <c r="AO1" s="1" t="s">
        <v>214</v>
      </c>
      <c r="AP1" s="1" t="s">
        <v>215</v>
      </c>
      <c r="AQ1" s="1" t="s">
        <v>216</v>
      </c>
      <c r="AR1" s="1" t="s">
        <v>217</v>
      </c>
      <c r="AS1" s="1" t="s">
        <v>218</v>
      </c>
      <c r="AT1" s="1" t="s">
        <v>219</v>
      </c>
      <c r="AU1" s="1" t="s">
        <v>220</v>
      </c>
      <c r="AV1" s="1" t="s">
        <v>221</v>
      </c>
      <c r="AW1" s="1" t="s">
        <v>222</v>
      </c>
      <c r="AX1" s="1" t="s">
        <v>223</v>
      </c>
      <c r="AY1" s="1" t="s">
        <v>224</v>
      </c>
      <c r="AZ1" s="1" t="s">
        <v>225</v>
      </c>
      <c r="BA1" s="1" t="s">
        <v>226</v>
      </c>
      <c r="BB1" s="1" t="s">
        <v>227</v>
      </c>
      <c r="BC1" s="1" t="s">
        <v>228</v>
      </c>
      <c r="BD1" s="1" t="s">
        <v>229</v>
      </c>
      <c r="BE1" s="1" t="s">
        <v>230</v>
      </c>
      <c r="BF1" s="1" t="s">
        <v>231</v>
      </c>
      <c r="BG1" s="1" t="s">
        <v>232</v>
      </c>
      <c r="BH1" s="1" t="s">
        <v>233</v>
      </c>
      <c r="BJ1" s="1" t="s">
        <v>233</v>
      </c>
      <c r="BK1" s="1" t="s">
        <v>234</v>
      </c>
      <c r="BL1" s="1" t="s">
        <v>235</v>
      </c>
      <c r="BM1" s="1" t="s">
        <v>236</v>
      </c>
      <c r="BN1" s="1" t="s">
        <v>237</v>
      </c>
      <c r="BO1" s="1" t="s">
        <v>238</v>
      </c>
      <c r="BP1" s="1" t="s">
        <v>239</v>
      </c>
      <c r="BQ1" s="1" t="s">
        <v>240</v>
      </c>
      <c r="BR1" s="1" t="s">
        <v>241</v>
      </c>
      <c r="BS1" s="1" t="s">
        <v>242</v>
      </c>
      <c r="BT1" s="1" t="s">
        <v>243</v>
      </c>
      <c r="BU1" s="1" t="s">
        <v>244</v>
      </c>
      <c r="BV1" s="1" t="s">
        <v>245</v>
      </c>
      <c r="BW1" s="1" t="s">
        <v>246</v>
      </c>
      <c r="BX1" s="1" t="s">
        <v>247</v>
      </c>
      <c r="BY1" s="1" t="s">
        <v>248</v>
      </c>
      <c r="BZ1" s="1" t="s">
        <v>249</v>
      </c>
      <c r="CA1" s="1" t="s">
        <v>250</v>
      </c>
      <c r="CB1" s="1" t="s">
        <v>251</v>
      </c>
      <c r="CC1" s="1" t="s">
        <v>252</v>
      </c>
      <c r="CD1" s="1" t="s">
        <v>253</v>
      </c>
      <c r="CE1" s="1" t="s">
        <v>254</v>
      </c>
      <c r="CF1" s="1" t="s">
        <v>255</v>
      </c>
      <c r="CG1" s="1" t="s">
        <v>256</v>
      </c>
      <c r="CH1" s="1" t="s">
        <v>257</v>
      </c>
      <c r="CI1" s="1" t="s">
        <v>258</v>
      </c>
      <c r="CJ1" s="1" t="s">
        <v>259</v>
      </c>
      <c r="CK1" s="1" t="s">
        <v>260</v>
      </c>
      <c r="CL1" s="1" t="s">
        <v>261</v>
      </c>
      <c r="CM1" s="1" t="s">
        <v>262</v>
      </c>
      <c r="CN1" s="1" t="s">
        <v>263</v>
      </c>
      <c r="CO1" s="1" t="s">
        <v>264</v>
      </c>
      <c r="CP1" s="1" t="s">
        <v>265</v>
      </c>
      <c r="CQ1" s="1" t="s">
        <v>266</v>
      </c>
      <c r="CR1" s="1" t="s">
        <v>267</v>
      </c>
      <c r="CS1" s="1" t="s">
        <v>243</v>
      </c>
      <c r="CT1" s="1" t="s">
        <v>268</v>
      </c>
      <c r="CU1" s="1" t="s">
        <v>269</v>
      </c>
      <c r="CV1" s="1" t="s">
        <v>270</v>
      </c>
      <c r="CW1" s="1" t="s">
        <v>271</v>
      </c>
      <c r="CX1" s="1" t="s">
        <v>272</v>
      </c>
      <c r="CY1" s="1" t="s">
        <v>273</v>
      </c>
      <c r="CZ1" s="1" t="s">
        <v>274</v>
      </c>
      <c r="DA1" s="1" t="s">
        <v>273</v>
      </c>
      <c r="DB1" s="1" t="s">
        <v>275</v>
      </c>
      <c r="DC1" s="1" t="s">
        <v>276</v>
      </c>
      <c r="DD1" s="1" t="s">
        <v>277</v>
      </c>
      <c r="DE1" s="1" t="s">
        <v>278</v>
      </c>
      <c r="DF1" s="1" t="s">
        <v>279</v>
      </c>
      <c r="DG1" s="1" t="s">
        <v>280</v>
      </c>
      <c r="DH1" s="1" t="s">
        <v>281</v>
      </c>
      <c r="DI1" s="1" t="s">
        <v>282</v>
      </c>
      <c r="DJ1" s="1" t="s">
        <v>283</v>
      </c>
    </row>
    <row r="2" spans="1:114" x14ac:dyDescent="0.25">
      <c r="A2" s="1" t="s">
        <v>0</v>
      </c>
      <c r="C2" s="1" t="s">
        <v>52</v>
      </c>
      <c r="D2" s="1" t="s">
        <v>84</v>
      </c>
      <c r="E2" s="1" t="s">
        <v>284</v>
      </c>
      <c r="F2" s="1" t="s">
        <v>285</v>
      </c>
      <c r="G2" s="1" t="s">
        <v>58</v>
      </c>
      <c r="H2" s="1" t="s">
        <v>286</v>
      </c>
      <c r="I2" s="1" t="s">
        <v>287</v>
      </c>
      <c r="J2" s="1" t="s">
        <v>288</v>
      </c>
      <c r="K2" s="1" t="s">
        <v>289</v>
      </c>
      <c r="L2" s="1" t="s">
        <v>290</v>
      </c>
      <c r="M2" s="1" t="s">
        <v>291</v>
      </c>
      <c r="N2" s="1" t="s">
        <v>292</v>
      </c>
      <c r="O2" s="1" t="s">
        <v>293</v>
      </c>
      <c r="P2" s="1" t="s">
        <v>294</v>
      </c>
      <c r="Q2" s="1" t="s">
        <v>295</v>
      </c>
      <c r="R2" s="1" t="s">
        <v>296</v>
      </c>
      <c r="S2" s="1" t="s">
        <v>297</v>
      </c>
      <c r="T2" s="1" t="s">
        <v>298</v>
      </c>
      <c r="U2" s="1" t="s">
        <v>299</v>
      </c>
      <c r="V2" s="1" t="s">
        <v>300</v>
      </c>
      <c r="W2" s="1" t="s">
        <v>301</v>
      </c>
      <c r="X2" s="1" t="s">
        <v>302</v>
      </c>
      <c r="Y2" s="1" t="s">
        <v>303</v>
      </c>
      <c r="Z2" s="1" t="s">
        <v>304</v>
      </c>
      <c r="AA2" s="1" t="s">
        <v>305</v>
      </c>
      <c r="AB2" s="1" t="s">
        <v>306</v>
      </c>
      <c r="AC2" s="1" t="s">
        <v>307</v>
      </c>
      <c r="AD2" s="1" t="s">
        <v>308</v>
      </c>
      <c r="AE2" s="1" t="s">
        <v>309</v>
      </c>
      <c r="AF2" s="1" t="s">
        <v>310</v>
      </c>
      <c r="AG2" s="1" t="s">
        <v>311</v>
      </c>
      <c r="AH2" s="1" t="s">
        <v>312</v>
      </c>
      <c r="AI2" s="1" t="s">
        <v>313</v>
      </c>
      <c r="AJ2" s="1" t="s">
        <v>314</v>
      </c>
      <c r="AK2" s="1" t="s">
        <v>315</v>
      </c>
      <c r="AL2" s="1" t="s">
        <v>316</v>
      </c>
      <c r="AM2" s="1" t="s">
        <v>317</v>
      </c>
      <c r="AN2" s="1" t="s">
        <v>318</v>
      </c>
      <c r="AO2" s="1" t="s">
        <v>319</v>
      </c>
      <c r="AP2" s="1" t="s">
        <v>320</v>
      </c>
      <c r="AQ2" s="1" t="s">
        <v>321</v>
      </c>
      <c r="AR2" s="1" t="s">
        <v>322</v>
      </c>
      <c r="AS2" s="1" t="s">
        <v>323</v>
      </c>
      <c r="AT2" s="1" t="s">
        <v>324</v>
      </c>
      <c r="AU2" s="1" t="s">
        <v>325</v>
      </c>
      <c r="AV2" s="1" t="s">
        <v>326</v>
      </c>
      <c r="AW2" s="1" t="s">
        <v>327</v>
      </c>
      <c r="AX2" s="1" t="s">
        <v>328</v>
      </c>
      <c r="AY2" s="1" t="s">
        <v>329</v>
      </c>
      <c r="AZ2" s="1" t="s">
        <v>330</v>
      </c>
      <c r="BA2" s="1" t="s">
        <v>331</v>
      </c>
      <c r="BB2" s="1" t="s">
        <v>332</v>
      </c>
      <c r="BC2" s="1" t="s">
        <v>333</v>
      </c>
      <c r="BD2" s="1" t="s">
        <v>334</v>
      </c>
      <c r="BE2" s="1" t="s">
        <v>335</v>
      </c>
      <c r="BF2" s="1" t="s">
        <v>336</v>
      </c>
      <c r="BG2" s="1" t="s">
        <v>337</v>
      </c>
      <c r="BH2" s="1" t="s">
        <v>338</v>
      </c>
      <c r="BI2" s="1" t="s">
        <v>339</v>
      </c>
      <c r="BJ2" s="1" t="s">
        <v>340</v>
      </c>
      <c r="BK2" s="1" t="s">
        <v>341</v>
      </c>
      <c r="BL2" s="1" t="s">
        <v>342</v>
      </c>
      <c r="BM2" s="1" t="s">
        <v>343</v>
      </c>
      <c r="BN2" s="1" t="s">
        <v>344</v>
      </c>
      <c r="BO2" s="1" t="s">
        <v>86</v>
      </c>
      <c r="BP2" s="1" t="s">
        <v>345</v>
      </c>
      <c r="BQ2" s="1" t="s">
        <v>346</v>
      </c>
      <c r="BR2" s="1" t="s">
        <v>347</v>
      </c>
      <c r="BS2" s="1" t="s">
        <v>348</v>
      </c>
      <c r="BT2" s="1" t="s">
        <v>349</v>
      </c>
      <c r="BU2" s="1" t="s">
        <v>102</v>
      </c>
      <c r="BV2" s="1" t="s">
        <v>350</v>
      </c>
      <c r="BW2" s="1" t="s">
        <v>351</v>
      </c>
      <c r="BX2" s="1" t="s">
        <v>352</v>
      </c>
      <c r="BY2" s="1" t="s">
        <v>353</v>
      </c>
      <c r="BZ2" s="1" t="s">
        <v>354</v>
      </c>
      <c r="CA2" s="1" t="s">
        <v>355</v>
      </c>
      <c r="CB2" s="1" t="s">
        <v>356</v>
      </c>
      <c r="CC2" s="1" t="s">
        <v>357</v>
      </c>
      <c r="CD2" s="1" t="s">
        <v>358</v>
      </c>
      <c r="CE2" s="1" t="s">
        <v>359</v>
      </c>
      <c r="CF2" s="1" t="s">
        <v>360</v>
      </c>
      <c r="CG2" s="1" t="s">
        <v>361</v>
      </c>
      <c r="CH2" s="1" t="s">
        <v>362</v>
      </c>
      <c r="CI2" s="1" t="s">
        <v>363</v>
      </c>
      <c r="CJ2" s="1" t="s">
        <v>364</v>
      </c>
      <c r="CK2" s="1" t="s">
        <v>365</v>
      </c>
      <c r="CL2" s="1" t="s">
        <v>366</v>
      </c>
      <c r="CM2" s="1" t="s">
        <v>367</v>
      </c>
      <c r="CN2" s="1" t="s">
        <v>368</v>
      </c>
      <c r="CO2" s="1" t="s">
        <v>369</v>
      </c>
      <c r="CP2" s="1" t="s">
        <v>370</v>
      </c>
      <c r="CQ2" s="1" t="s">
        <v>371</v>
      </c>
      <c r="CR2" s="1" t="s">
        <v>372</v>
      </c>
      <c r="CS2" s="1" t="s">
        <v>373</v>
      </c>
      <c r="CT2" s="1" t="s">
        <v>374</v>
      </c>
      <c r="CU2" s="1" t="s">
        <v>375</v>
      </c>
      <c r="CV2" s="1" t="s">
        <v>376</v>
      </c>
      <c r="CW2" s="1" t="s">
        <v>377</v>
      </c>
      <c r="CX2" s="1" t="s">
        <v>378</v>
      </c>
      <c r="CY2" s="1" t="s">
        <v>379</v>
      </c>
      <c r="CZ2" s="1" t="s">
        <v>380</v>
      </c>
      <c r="DA2" s="1" t="s">
        <v>381</v>
      </c>
      <c r="DB2" s="1" t="s">
        <v>382</v>
      </c>
      <c r="DC2" s="1" t="s">
        <v>383</v>
      </c>
      <c r="DD2" s="1" t="s">
        <v>384</v>
      </c>
      <c r="DE2" s="1" t="s">
        <v>385</v>
      </c>
      <c r="DF2" s="1" t="s">
        <v>386</v>
      </c>
      <c r="DG2" s="1" t="s">
        <v>387</v>
      </c>
      <c r="DH2" s="1" t="s">
        <v>388</v>
      </c>
      <c r="DI2" s="1" t="s">
        <v>389</v>
      </c>
      <c r="DJ2" s="1" t="s">
        <v>390</v>
      </c>
    </row>
    <row r="3" spans="1:114" x14ac:dyDescent="0.25">
      <c r="A3" s="1" t="s">
        <v>2</v>
      </c>
      <c r="C3" s="1" t="s">
        <v>2</v>
      </c>
      <c r="D3" s="1" t="s">
        <v>2</v>
      </c>
      <c r="E3" s="1" t="s">
        <v>2</v>
      </c>
      <c r="F3" s="1" t="s">
        <v>2</v>
      </c>
      <c r="G3" s="1" t="s">
        <v>128</v>
      </c>
      <c r="H3" s="1" t="s">
        <v>2</v>
      </c>
      <c r="I3" s="1" t="s">
        <v>125</v>
      </c>
      <c r="J3" s="1" t="s">
        <v>391</v>
      </c>
      <c r="K3" s="1" t="s">
        <v>392</v>
      </c>
      <c r="L3" s="1" t="s">
        <v>393</v>
      </c>
      <c r="M3" s="1" t="s">
        <v>128</v>
      </c>
      <c r="N3" s="1" t="s">
        <v>128</v>
      </c>
      <c r="O3" s="1" t="s">
        <v>131</v>
      </c>
      <c r="P3" s="1" t="s">
        <v>131</v>
      </c>
      <c r="Q3" s="1" t="s">
        <v>131</v>
      </c>
      <c r="R3" s="1" t="s">
        <v>131</v>
      </c>
      <c r="S3" s="1" t="s">
        <v>125</v>
      </c>
      <c r="T3" s="1" t="s">
        <v>126</v>
      </c>
      <c r="U3" s="1" t="s">
        <v>126</v>
      </c>
      <c r="V3" s="1" t="s">
        <v>126</v>
      </c>
      <c r="W3" s="1" t="s">
        <v>125</v>
      </c>
      <c r="X3" s="1" t="s">
        <v>125</v>
      </c>
      <c r="Y3" s="1" t="s">
        <v>125</v>
      </c>
      <c r="Z3" s="1" t="s">
        <v>125</v>
      </c>
      <c r="AA3" s="1" t="s">
        <v>126</v>
      </c>
      <c r="AB3" s="1" t="s">
        <v>125</v>
      </c>
      <c r="AC3" s="1" t="s">
        <v>128</v>
      </c>
      <c r="AD3" s="1" t="s">
        <v>125</v>
      </c>
      <c r="AE3" s="1" t="s">
        <v>125</v>
      </c>
      <c r="AF3" s="1" t="s">
        <v>125</v>
      </c>
      <c r="AG3" s="1" t="s">
        <v>394</v>
      </c>
      <c r="AH3" s="1" t="s">
        <v>125</v>
      </c>
      <c r="AI3" s="1" t="s">
        <v>133</v>
      </c>
      <c r="AJ3" s="1" t="s">
        <v>3</v>
      </c>
      <c r="AK3" s="1" t="s">
        <v>128</v>
      </c>
      <c r="AL3" s="1" t="s">
        <v>128</v>
      </c>
      <c r="AM3" s="1" t="s">
        <v>128</v>
      </c>
      <c r="AN3" s="1" t="s">
        <v>125</v>
      </c>
      <c r="AO3" s="1" t="s">
        <v>395</v>
      </c>
      <c r="AP3" s="1" t="s">
        <v>396</v>
      </c>
      <c r="AQ3" s="1" t="s">
        <v>2</v>
      </c>
      <c r="AR3" s="1" t="s">
        <v>2</v>
      </c>
      <c r="AS3" s="1" t="s">
        <v>2</v>
      </c>
      <c r="AT3" s="1" t="s">
        <v>397</v>
      </c>
      <c r="AU3" s="1" t="s">
        <v>125</v>
      </c>
      <c r="AV3" s="1" t="s">
        <v>126</v>
      </c>
      <c r="AW3" s="1" t="s">
        <v>125</v>
      </c>
      <c r="AX3" s="1" t="s">
        <v>398</v>
      </c>
      <c r="AY3" s="1" t="s">
        <v>125</v>
      </c>
      <c r="AZ3" s="1" t="s">
        <v>126</v>
      </c>
      <c r="BA3" s="1" t="s">
        <v>125</v>
      </c>
      <c r="BB3" s="1" t="s">
        <v>128</v>
      </c>
      <c r="BC3" s="1" t="s">
        <v>126</v>
      </c>
      <c r="BD3" s="1" t="s">
        <v>128</v>
      </c>
      <c r="BE3" s="1" t="s">
        <v>128</v>
      </c>
      <c r="BF3" s="1" t="s">
        <v>126</v>
      </c>
      <c r="BG3" s="1" t="s">
        <v>125</v>
      </c>
      <c r="BH3" s="1" t="s">
        <v>397</v>
      </c>
      <c r="BI3" s="1" t="s">
        <v>125</v>
      </c>
      <c r="BJ3" s="1" t="s">
        <v>126</v>
      </c>
      <c r="BK3" s="1" t="s">
        <v>126</v>
      </c>
      <c r="BL3" s="1" t="s">
        <v>126</v>
      </c>
      <c r="BM3" s="1" t="s">
        <v>128</v>
      </c>
      <c r="BN3" s="1" t="s">
        <v>128</v>
      </c>
      <c r="BO3" s="1" t="s">
        <v>129</v>
      </c>
      <c r="BP3" s="1" t="s">
        <v>129</v>
      </c>
      <c r="BQ3" s="1" t="s">
        <v>399</v>
      </c>
      <c r="BR3" s="1" t="s">
        <v>400</v>
      </c>
      <c r="BS3" s="1" t="s">
        <v>126</v>
      </c>
      <c r="BT3" s="1" t="s">
        <v>126</v>
      </c>
      <c r="BU3" s="1" t="s">
        <v>125</v>
      </c>
      <c r="BV3" s="1" t="s">
        <v>126</v>
      </c>
      <c r="BW3" s="1" t="s">
        <v>126</v>
      </c>
      <c r="BX3" s="1" t="s">
        <v>128</v>
      </c>
      <c r="BY3" s="1" t="s">
        <v>401</v>
      </c>
      <c r="BZ3" s="1" t="s">
        <v>125</v>
      </c>
      <c r="CA3" s="1" t="s">
        <v>401</v>
      </c>
      <c r="CB3" s="1" t="s">
        <v>130</v>
      </c>
      <c r="CC3" s="1" t="s">
        <v>125</v>
      </c>
      <c r="CD3" s="1" t="s">
        <v>402</v>
      </c>
      <c r="CE3" s="1" t="s">
        <v>130</v>
      </c>
      <c r="CF3" s="1" t="s">
        <v>130</v>
      </c>
      <c r="CG3" s="1" t="s">
        <v>130</v>
      </c>
      <c r="CH3" s="1" t="s">
        <v>403</v>
      </c>
      <c r="CI3" s="1" t="s">
        <v>404</v>
      </c>
      <c r="CJ3" s="1" t="s">
        <v>2</v>
      </c>
      <c r="CK3" s="1" t="s">
        <v>405</v>
      </c>
      <c r="CL3" s="1" t="s">
        <v>405</v>
      </c>
      <c r="CM3" s="1" t="s">
        <v>135</v>
      </c>
      <c r="CN3" s="1" t="s">
        <v>131</v>
      </c>
      <c r="CO3" s="1" t="s">
        <v>131</v>
      </c>
      <c r="CP3" s="1" t="s">
        <v>134</v>
      </c>
      <c r="CQ3" s="1" t="s">
        <v>134</v>
      </c>
      <c r="CR3" s="1" t="s">
        <v>134</v>
      </c>
      <c r="CS3" s="1" t="s">
        <v>402</v>
      </c>
      <c r="CT3" s="1" t="s">
        <v>134</v>
      </c>
      <c r="CU3" s="1" t="s">
        <v>125</v>
      </c>
      <c r="CV3" s="1" t="s">
        <v>135</v>
      </c>
      <c r="CW3" s="1" t="s">
        <v>406</v>
      </c>
      <c r="CX3" s="1" t="s">
        <v>407</v>
      </c>
      <c r="CY3" s="1" t="s">
        <v>407</v>
      </c>
      <c r="CZ3" s="1" t="s">
        <v>406</v>
      </c>
      <c r="DA3" s="1" t="s">
        <v>406</v>
      </c>
      <c r="DB3" s="1" t="s">
        <v>406</v>
      </c>
      <c r="DC3" s="1" t="s">
        <v>406</v>
      </c>
      <c r="DD3" s="1" t="s">
        <v>406</v>
      </c>
      <c r="DE3" s="1" t="s">
        <v>125</v>
      </c>
      <c r="DF3" s="1" t="s">
        <v>125</v>
      </c>
      <c r="DG3" s="1" t="s">
        <v>125</v>
      </c>
      <c r="DH3" s="1" t="s">
        <v>125</v>
      </c>
      <c r="DI3" s="1" t="s">
        <v>125</v>
      </c>
      <c r="DJ3" s="1" t="s">
        <v>125</v>
      </c>
    </row>
    <row r="4" spans="1:114" x14ac:dyDescent="0.25">
      <c r="A4" s="1" t="s">
        <v>408</v>
      </c>
    </row>
    <row r="6" spans="1:114" x14ac:dyDescent="0.25">
      <c r="A6" s="1" t="s">
        <v>138</v>
      </c>
      <c r="C6" s="1" t="s">
        <v>409</v>
      </c>
      <c r="K6" s="1" t="s">
        <v>410</v>
      </c>
      <c r="P6" s="1" t="s">
        <v>411</v>
      </c>
      <c r="AC6" s="1">
        <v>2</v>
      </c>
      <c r="AD6" s="1">
        <v>1</v>
      </c>
      <c r="AO6" s="1" t="s">
        <v>412</v>
      </c>
      <c r="AT6" s="1" t="s">
        <v>413</v>
      </c>
      <c r="AX6" s="1" t="s">
        <v>414</v>
      </c>
      <c r="AZ6" s="1">
        <v>1</v>
      </c>
      <c r="BD6" s="1">
        <v>1</v>
      </c>
      <c r="BE6" s="1">
        <v>4</v>
      </c>
      <c r="BF6" s="1">
        <v>0.25</v>
      </c>
      <c r="BP6" s="1" t="s">
        <v>612</v>
      </c>
      <c r="BQ6" s="1" t="s">
        <v>415</v>
      </c>
      <c r="CB6" s="6" t="s">
        <v>620</v>
      </c>
      <c r="CH6" s="1" t="s">
        <v>416</v>
      </c>
      <c r="CI6" s="1" t="s">
        <v>417</v>
      </c>
      <c r="CJ6" s="1" t="s">
        <v>418</v>
      </c>
      <c r="CK6" s="1" t="s">
        <v>419</v>
      </c>
      <c r="CO6" s="1" t="s">
        <v>420</v>
      </c>
      <c r="CS6" s="1">
        <v>12</v>
      </c>
      <c r="CV6" s="1" t="s">
        <v>421</v>
      </c>
      <c r="CZ6" s="1" t="s">
        <v>422</v>
      </c>
      <c r="DE6" s="1">
        <v>1</v>
      </c>
      <c r="DH6" s="1">
        <v>1</v>
      </c>
      <c r="DI6" s="1">
        <v>1</v>
      </c>
    </row>
    <row r="7" spans="1:114" x14ac:dyDescent="0.25">
      <c r="A7" s="1" t="s">
        <v>423</v>
      </c>
      <c r="C7" s="1" t="s">
        <v>424</v>
      </c>
      <c r="J7" s="1" t="s">
        <v>425</v>
      </c>
      <c r="K7" s="1" t="s">
        <v>426</v>
      </c>
      <c r="R7" s="1" t="s">
        <v>427</v>
      </c>
      <c r="AC7" s="1">
        <v>2</v>
      </c>
      <c r="AD7" s="1">
        <v>1</v>
      </c>
      <c r="AO7" s="1" t="s">
        <v>412</v>
      </c>
      <c r="AV7" s="1">
        <v>16</v>
      </c>
      <c r="BD7" s="1">
        <v>99</v>
      </c>
      <c r="CI7" s="1" t="s">
        <v>428</v>
      </c>
    </row>
    <row r="8" spans="1:114" x14ac:dyDescent="0.25">
      <c r="A8" s="1" t="s">
        <v>429</v>
      </c>
      <c r="C8" s="1" t="s">
        <v>430</v>
      </c>
      <c r="K8" s="1" t="s">
        <v>426</v>
      </c>
      <c r="L8" s="1" t="s">
        <v>431</v>
      </c>
      <c r="AC8" s="1">
        <v>2</v>
      </c>
      <c r="AO8" s="1" t="s">
        <v>432</v>
      </c>
      <c r="AX8" s="1" t="s">
        <v>414</v>
      </c>
      <c r="AZ8" s="1">
        <v>0</v>
      </c>
      <c r="BB8" s="1">
        <v>2</v>
      </c>
      <c r="BD8" s="1">
        <v>1</v>
      </c>
      <c r="CM8" s="1" t="s">
        <v>433</v>
      </c>
      <c r="CZ8" s="1" t="s">
        <v>434</v>
      </c>
    </row>
    <row r="10" spans="1:114" x14ac:dyDescent="0.25">
      <c r="A10" s="1" t="s">
        <v>435</v>
      </c>
      <c r="C10" s="1" t="s">
        <v>424</v>
      </c>
      <c r="J10" s="6" t="s">
        <v>607</v>
      </c>
      <c r="K10" s="6" t="s">
        <v>606</v>
      </c>
      <c r="AC10" s="1">
        <v>1</v>
      </c>
      <c r="AG10" s="1" t="s">
        <v>437</v>
      </c>
      <c r="BD10" s="1">
        <v>1</v>
      </c>
      <c r="BT10" s="1">
        <v>10</v>
      </c>
      <c r="BV10" s="1">
        <v>0</v>
      </c>
      <c r="BW10" s="1">
        <v>5</v>
      </c>
      <c r="BX10" s="1">
        <v>1</v>
      </c>
      <c r="BY10" s="6" t="s">
        <v>606</v>
      </c>
      <c r="CO10" s="1" t="s">
        <v>438</v>
      </c>
    </row>
    <row r="12" spans="1:114" x14ac:dyDescent="0.25">
      <c r="A12" s="1" t="s">
        <v>439</v>
      </c>
      <c r="C12" s="1" t="s">
        <v>424</v>
      </c>
      <c r="J12" s="1" t="s">
        <v>440</v>
      </c>
      <c r="K12" s="1" t="s">
        <v>410</v>
      </c>
      <c r="AC12" s="1">
        <v>2</v>
      </c>
      <c r="AO12" s="1" t="s">
        <v>412</v>
      </c>
      <c r="AV12" s="1">
        <v>8</v>
      </c>
      <c r="AX12" s="1" t="s">
        <v>414</v>
      </c>
      <c r="AZ12" s="1">
        <v>2.5</v>
      </c>
      <c r="BD12" s="1">
        <v>2</v>
      </c>
      <c r="BT12" s="1">
        <v>0.1</v>
      </c>
      <c r="BV12" s="1">
        <v>0</v>
      </c>
      <c r="BW12" s="1">
        <v>3</v>
      </c>
      <c r="BX12" s="1">
        <v>1</v>
      </c>
      <c r="BY12" s="1" t="s">
        <v>441</v>
      </c>
      <c r="CB12" s="1" t="s">
        <v>62</v>
      </c>
      <c r="CH12" s="1" t="s">
        <v>416</v>
      </c>
      <c r="CI12" s="1" t="s">
        <v>442</v>
      </c>
      <c r="CJ12" s="1" t="s">
        <v>443</v>
      </c>
      <c r="CK12" s="1" t="s">
        <v>444</v>
      </c>
      <c r="CO12" s="1" t="s">
        <v>427</v>
      </c>
      <c r="CV12" s="1" t="s">
        <v>445</v>
      </c>
      <c r="CZ12" s="1" t="s">
        <v>422</v>
      </c>
    </row>
    <row r="13" spans="1:114" x14ac:dyDescent="0.25">
      <c r="A13" s="1" t="s">
        <v>446</v>
      </c>
      <c r="C13" s="1" t="s">
        <v>424</v>
      </c>
      <c r="J13" s="1" t="s">
        <v>440</v>
      </c>
      <c r="K13" s="1" t="s">
        <v>410</v>
      </c>
      <c r="AC13" s="1">
        <v>1</v>
      </c>
      <c r="AG13" s="1" t="s">
        <v>437</v>
      </c>
      <c r="BD13" s="1">
        <v>1</v>
      </c>
      <c r="BT13" s="1">
        <v>3</v>
      </c>
      <c r="BV13" s="1">
        <v>0</v>
      </c>
      <c r="BW13" s="1">
        <v>5</v>
      </c>
      <c r="BX13" s="1">
        <v>1</v>
      </c>
      <c r="BY13" s="1" t="s">
        <v>410</v>
      </c>
      <c r="CO13" s="1" t="s">
        <v>447</v>
      </c>
      <c r="CP13" s="1">
        <v>200</v>
      </c>
      <c r="CQ13" s="1">
        <v>0.8</v>
      </c>
      <c r="CS13" s="1">
        <v>5</v>
      </c>
    </row>
    <row r="14" spans="1:114" x14ac:dyDescent="0.25">
      <c r="A14" s="1" t="s">
        <v>448</v>
      </c>
      <c r="C14" s="1" t="s">
        <v>424</v>
      </c>
      <c r="J14" s="1" t="s">
        <v>440</v>
      </c>
      <c r="K14" s="1" t="s">
        <v>410</v>
      </c>
      <c r="AC14" s="1">
        <v>1</v>
      </c>
      <c r="AG14" s="1" t="s">
        <v>437</v>
      </c>
      <c r="BD14" s="1">
        <v>1</v>
      </c>
      <c r="BT14" s="1">
        <v>0.1</v>
      </c>
      <c r="BV14" s="1">
        <v>0</v>
      </c>
      <c r="BW14" s="1">
        <v>2</v>
      </c>
      <c r="BX14" s="1">
        <v>1</v>
      </c>
      <c r="BY14" s="1" t="s">
        <v>441</v>
      </c>
      <c r="CO14" s="1" t="s">
        <v>449</v>
      </c>
      <c r="CV14" s="1" t="s">
        <v>450</v>
      </c>
    </row>
    <row r="16" spans="1:114" x14ac:dyDescent="0.25">
      <c r="A16" s="1" t="s">
        <v>451</v>
      </c>
      <c r="C16" s="1" t="s">
        <v>452</v>
      </c>
      <c r="K16" s="1" t="s">
        <v>410</v>
      </c>
      <c r="AC16" s="1">
        <v>2</v>
      </c>
      <c r="AO16" s="1" t="s">
        <v>453</v>
      </c>
      <c r="AR16" s="1" t="s">
        <v>454</v>
      </c>
      <c r="AV16" s="1">
        <v>8</v>
      </c>
      <c r="AX16" s="1" t="s">
        <v>455</v>
      </c>
      <c r="AZ16" s="1">
        <v>1.5</v>
      </c>
      <c r="BD16" s="1">
        <v>1</v>
      </c>
      <c r="BS16" s="1">
        <v>6</v>
      </c>
      <c r="CI16" s="1" t="s">
        <v>456</v>
      </c>
      <c r="CO16" s="1" t="s">
        <v>457</v>
      </c>
      <c r="CP16" s="1">
        <v>-50</v>
      </c>
      <c r="CQ16" s="1">
        <v>-0.8</v>
      </c>
      <c r="CS16" s="1">
        <v>3</v>
      </c>
      <c r="CV16" s="1" t="s">
        <v>458</v>
      </c>
    </row>
    <row r="17" spans="1:113" x14ac:dyDescent="0.25">
      <c r="A17" s="1" t="s">
        <v>459</v>
      </c>
      <c r="C17" s="1" t="s">
        <v>452</v>
      </c>
      <c r="K17" s="1" t="s">
        <v>426</v>
      </c>
      <c r="L17" s="1" t="s">
        <v>460</v>
      </c>
      <c r="Q17" s="1" t="s">
        <v>420</v>
      </c>
      <c r="AC17" s="1">
        <v>2</v>
      </c>
      <c r="AE17" s="1">
        <v>1</v>
      </c>
      <c r="BD17" s="1">
        <v>1</v>
      </c>
      <c r="CV17" s="1" t="s">
        <v>461</v>
      </c>
    </row>
    <row r="18" spans="1:113" x14ac:dyDescent="0.25">
      <c r="A18" s="1" t="s">
        <v>462</v>
      </c>
      <c r="C18" s="1" t="s">
        <v>424</v>
      </c>
      <c r="K18" s="1" t="s">
        <v>410</v>
      </c>
      <c r="AC18" s="1">
        <v>2</v>
      </c>
      <c r="AO18" s="1" t="s">
        <v>412</v>
      </c>
      <c r="AR18" s="1" t="s">
        <v>454</v>
      </c>
      <c r="AV18" s="1">
        <v>3.5</v>
      </c>
      <c r="AX18" s="1" t="s">
        <v>414</v>
      </c>
      <c r="AZ18" s="1">
        <v>1</v>
      </c>
      <c r="BD18" s="1">
        <v>2</v>
      </c>
      <c r="CB18" s="1" t="s">
        <v>62</v>
      </c>
      <c r="CH18" s="1" t="s">
        <v>416</v>
      </c>
      <c r="CI18" s="1" t="s">
        <v>428</v>
      </c>
      <c r="CJ18" s="1" t="s">
        <v>443</v>
      </c>
      <c r="CO18" s="1" t="s">
        <v>463</v>
      </c>
      <c r="CP18" s="1">
        <v>-0.8</v>
      </c>
      <c r="CV18" s="1" t="s">
        <v>464</v>
      </c>
      <c r="CZ18" s="1" t="s">
        <v>422</v>
      </c>
    </row>
    <row r="19" spans="1:113" x14ac:dyDescent="0.25">
      <c r="A19" s="1" t="s">
        <v>157</v>
      </c>
      <c r="C19" s="1" t="s">
        <v>424</v>
      </c>
      <c r="J19" s="1" t="s">
        <v>440</v>
      </c>
      <c r="K19" s="1" t="s">
        <v>410</v>
      </c>
      <c r="AC19" s="1">
        <v>1</v>
      </c>
      <c r="AG19" s="1" t="s">
        <v>437</v>
      </c>
      <c r="BD19" s="1">
        <v>1</v>
      </c>
      <c r="BT19" s="1">
        <v>3</v>
      </c>
      <c r="BV19" s="1">
        <v>0</v>
      </c>
      <c r="BW19" s="1">
        <v>5</v>
      </c>
      <c r="BX19" s="1">
        <v>1</v>
      </c>
      <c r="BY19" s="1" t="s">
        <v>410</v>
      </c>
      <c r="CO19" s="1" t="s">
        <v>465</v>
      </c>
      <c r="CP19" s="1">
        <v>100</v>
      </c>
      <c r="CS19" s="1">
        <v>5</v>
      </c>
    </row>
    <row r="20" spans="1:113" x14ac:dyDescent="0.25">
      <c r="A20" s="1" t="s">
        <v>466</v>
      </c>
      <c r="C20" s="1" t="s">
        <v>424</v>
      </c>
      <c r="I20" s="1">
        <v>1</v>
      </c>
      <c r="K20" s="1" t="s">
        <v>410</v>
      </c>
      <c r="AC20" s="1">
        <v>1</v>
      </c>
      <c r="AD20" s="1">
        <v>1</v>
      </c>
      <c r="AG20" s="1" t="s">
        <v>437</v>
      </c>
      <c r="AX20" s="1" t="s">
        <v>467</v>
      </c>
      <c r="AZ20" s="1">
        <v>0.05</v>
      </c>
      <c r="BB20" s="1">
        <v>1</v>
      </c>
      <c r="BD20" s="1">
        <v>1</v>
      </c>
      <c r="BS20" s="1">
        <v>0.5</v>
      </c>
      <c r="CZ20" s="1" t="s">
        <v>468</v>
      </c>
      <c r="DE20" s="1">
        <v>1</v>
      </c>
      <c r="DH20" s="1">
        <v>1</v>
      </c>
      <c r="DI20" s="1">
        <v>1</v>
      </c>
    </row>
    <row r="22" spans="1:113" x14ac:dyDescent="0.25">
      <c r="A22" s="1" t="s">
        <v>469</v>
      </c>
      <c r="C22" s="1" t="s">
        <v>470</v>
      </c>
      <c r="J22" s="1" t="s">
        <v>440</v>
      </c>
      <c r="K22" s="1" t="s">
        <v>471</v>
      </c>
      <c r="X22" s="1">
        <v>1</v>
      </c>
      <c r="AC22" s="1">
        <v>1</v>
      </c>
      <c r="BT22" s="1">
        <v>0.1</v>
      </c>
      <c r="BV22" s="1">
        <v>0</v>
      </c>
      <c r="BW22" s="1">
        <v>1</v>
      </c>
      <c r="BX22" s="1">
        <v>1</v>
      </c>
      <c r="BY22" s="1" t="s">
        <v>410</v>
      </c>
      <c r="CV22" s="1" t="s">
        <v>472</v>
      </c>
    </row>
    <row r="23" spans="1:113" x14ac:dyDescent="0.25">
      <c r="A23" s="1" t="s">
        <v>167</v>
      </c>
      <c r="C23" s="1" t="s">
        <v>424</v>
      </c>
      <c r="K23" s="1" t="s">
        <v>426</v>
      </c>
      <c r="L23" s="1" t="s">
        <v>473</v>
      </c>
      <c r="AC23" s="1">
        <v>7</v>
      </c>
      <c r="AD23" s="1">
        <v>1</v>
      </c>
      <c r="AG23" s="1" t="s">
        <v>437</v>
      </c>
      <c r="AN23" s="1">
        <v>1</v>
      </c>
      <c r="BD23" s="1">
        <v>1</v>
      </c>
      <c r="CO23" s="1" t="s">
        <v>162</v>
      </c>
      <c r="CS23" s="1">
        <v>10</v>
      </c>
      <c r="DI23" s="1">
        <v>1</v>
      </c>
    </row>
    <row r="25" spans="1:113" x14ac:dyDescent="0.25">
      <c r="A25" s="6" t="s">
        <v>612</v>
      </c>
      <c r="C25" s="1" t="s">
        <v>409</v>
      </c>
      <c r="K25" s="1" t="s">
        <v>426</v>
      </c>
      <c r="L25" s="1" t="s">
        <v>436</v>
      </c>
      <c r="X25" s="1">
        <v>1</v>
      </c>
      <c r="Y25" s="1">
        <v>1</v>
      </c>
      <c r="AB25" s="1">
        <v>1</v>
      </c>
      <c r="AC25" s="1">
        <v>2</v>
      </c>
      <c r="AD25" s="1">
        <v>1</v>
      </c>
      <c r="AX25" s="1" t="s">
        <v>414</v>
      </c>
      <c r="AZ25" s="1">
        <v>1.5</v>
      </c>
      <c r="BD25" s="1">
        <v>1</v>
      </c>
      <c r="BE25" s="1">
        <v>60</v>
      </c>
      <c r="BF25" s="1">
        <v>0.04</v>
      </c>
      <c r="BP25" s="1" t="s">
        <v>474</v>
      </c>
      <c r="BT25" s="1">
        <v>2.5</v>
      </c>
      <c r="BV25" s="1">
        <v>0</v>
      </c>
      <c r="BW25" s="1">
        <v>1</v>
      </c>
      <c r="BX25" s="1">
        <v>1</v>
      </c>
      <c r="BY25" s="1" t="s">
        <v>475</v>
      </c>
      <c r="CB25" s="1" t="s">
        <v>476</v>
      </c>
      <c r="CF25" s="1" t="s">
        <v>476</v>
      </c>
      <c r="CG25" s="1" t="s">
        <v>476</v>
      </c>
      <c r="CH25" s="1" t="s">
        <v>416</v>
      </c>
      <c r="CI25" s="1" t="s">
        <v>477</v>
      </c>
      <c r="CJ25" s="1" t="s">
        <v>478</v>
      </c>
      <c r="CK25" s="1" t="s">
        <v>444</v>
      </c>
      <c r="CV25" s="1" t="s">
        <v>479</v>
      </c>
    </row>
    <row r="26" spans="1:113" x14ac:dyDescent="0.25">
      <c r="A26" s="1" t="s">
        <v>474</v>
      </c>
      <c r="C26" s="1" t="s">
        <v>424</v>
      </c>
      <c r="K26" s="1" t="s">
        <v>426</v>
      </c>
      <c r="AC26" s="1">
        <v>1</v>
      </c>
      <c r="AG26" s="1" t="s">
        <v>437</v>
      </c>
      <c r="BD26" s="1">
        <v>1</v>
      </c>
      <c r="CO26" s="1" t="s">
        <v>411</v>
      </c>
      <c r="CS26" s="1">
        <v>3</v>
      </c>
    </row>
    <row r="28" spans="1:113" x14ac:dyDescent="0.25">
      <c r="A28" s="1" t="s">
        <v>139</v>
      </c>
      <c r="C28" s="1" t="s">
        <v>424</v>
      </c>
      <c r="J28" s="1" t="s">
        <v>440</v>
      </c>
      <c r="K28" s="6" t="s">
        <v>610</v>
      </c>
      <c r="O28" s="1" t="s">
        <v>411</v>
      </c>
      <c r="AC28" s="1">
        <v>1</v>
      </c>
      <c r="AG28" s="1" t="s">
        <v>437</v>
      </c>
      <c r="BT28" s="1">
        <v>2.5</v>
      </c>
      <c r="BV28" s="1">
        <v>3</v>
      </c>
      <c r="BW28" s="1">
        <v>3</v>
      </c>
      <c r="BX28" s="1">
        <v>1</v>
      </c>
      <c r="BY28" s="1" t="s">
        <v>410</v>
      </c>
    </row>
    <row r="31" spans="1:113" x14ac:dyDescent="0.25">
      <c r="A31" s="1" t="s">
        <v>480</v>
      </c>
      <c r="C31" s="1" t="s">
        <v>481</v>
      </c>
      <c r="K31" s="1" t="s">
        <v>426</v>
      </c>
      <c r="L31" s="1" t="s">
        <v>482</v>
      </c>
      <c r="AC31" s="1">
        <v>1</v>
      </c>
      <c r="AF31" s="1">
        <v>1</v>
      </c>
      <c r="AG31" s="1" t="s">
        <v>437</v>
      </c>
      <c r="BD31" s="1">
        <v>1</v>
      </c>
      <c r="CV31" s="1" t="s">
        <v>483</v>
      </c>
    </row>
    <row r="32" spans="1:113" x14ac:dyDescent="0.25">
      <c r="A32" s="1" t="s">
        <v>484</v>
      </c>
      <c r="C32" s="1" t="s">
        <v>481</v>
      </c>
      <c r="K32" s="1" t="s">
        <v>426</v>
      </c>
      <c r="L32" s="1" t="s">
        <v>482</v>
      </c>
      <c r="AC32" s="1">
        <v>1</v>
      </c>
      <c r="AF32" s="1">
        <v>1</v>
      </c>
      <c r="AG32" s="1" t="s">
        <v>437</v>
      </c>
      <c r="BD32" s="1">
        <v>1</v>
      </c>
      <c r="CV32" s="1" t="s">
        <v>485</v>
      </c>
    </row>
    <row r="33" spans="1:100" x14ac:dyDescent="0.25">
      <c r="A33" s="1" t="s">
        <v>486</v>
      </c>
      <c r="C33" s="1" t="s">
        <v>481</v>
      </c>
      <c r="K33" s="1" t="s">
        <v>426</v>
      </c>
      <c r="L33" s="1" t="s">
        <v>482</v>
      </c>
      <c r="AC33" s="1">
        <v>1</v>
      </c>
      <c r="AF33" s="1">
        <v>1</v>
      </c>
      <c r="AG33" s="1" t="s">
        <v>437</v>
      </c>
      <c r="BD33" s="1">
        <v>1</v>
      </c>
      <c r="CV33" s="1" t="s">
        <v>487</v>
      </c>
    </row>
    <row r="684" spans="91:91" x14ac:dyDescent="0.25">
      <c r="CM684" s="1">
        <v>0.15</v>
      </c>
    </row>
    <row r="686" spans="91:91" x14ac:dyDescent="0.25">
      <c r="CM686" s="1">
        <v>0.2</v>
      </c>
    </row>
    <row r="687" spans="91:91" x14ac:dyDescent="0.25">
      <c r="CM687" s="1">
        <v>0.1</v>
      </c>
    </row>
    <row r="689" spans="91:91" x14ac:dyDescent="0.25">
      <c r="CM689" s="1">
        <v>0.2</v>
      </c>
    </row>
    <row r="696" spans="91:91" x14ac:dyDescent="0.25">
      <c r="CM696" s="1">
        <v>1</v>
      </c>
    </row>
    <row r="698" spans="91:91" x14ac:dyDescent="0.25">
      <c r="CM698" s="1">
        <v>0.4</v>
      </c>
    </row>
    <row r="699" spans="91:91" x14ac:dyDescent="0.25">
      <c r="CM699" s="1">
        <v>0.6</v>
      </c>
    </row>
    <row r="702" spans="91:91" x14ac:dyDescent="0.25">
      <c r="CM702" s="1">
        <v>0.5</v>
      </c>
    </row>
    <row r="703" spans="91:91" x14ac:dyDescent="0.25">
      <c r="CM703" s="1">
        <v>0.66700000000000004</v>
      </c>
    </row>
    <row r="704" spans="91:91" x14ac:dyDescent="0.25">
      <c r="CM704" s="1">
        <v>0.2</v>
      </c>
    </row>
  </sheetData>
  <phoneticPr fontId="0" type="noConversion"/>
  <pageMargins left="0.7" right="0.7" top="0.75" bottom="0.75" header="0.3" footer="0.3"/>
  <pageSetup paperSize="9" orientation="portrait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8"/>
  <sheetViews>
    <sheetView workbookViewId="0">
      <pane xSplit="1" ySplit="3" topLeftCell="F4" activePane="bottomRight" state="frozen"/>
      <selection pane="topRight"/>
      <selection pane="bottomLeft"/>
      <selection pane="bottomRight" activeCell="J16" sqref="J16"/>
    </sheetView>
  </sheetViews>
  <sheetFormatPr defaultColWidth="9" defaultRowHeight="14.05" x14ac:dyDescent="0.25"/>
  <cols>
    <col min="1" max="1" width="13" style="1" customWidth="1"/>
    <col min="2" max="2" width="31.25" style="1" customWidth="1"/>
    <col min="3" max="6" width="9" style="1" customWidth="1"/>
    <col min="7" max="7" width="18.75" style="1" customWidth="1"/>
    <col min="8" max="8" width="15" style="1" customWidth="1"/>
    <col min="9" max="13" width="9" style="1" customWidth="1"/>
    <col min="14" max="14" width="16.08203125" style="1" customWidth="1"/>
    <col min="15" max="15" width="9.5" style="1" customWidth="1"/>
    <col min="16" max="16" width="22.1640625" style="1" customWidth="1"/>
    <col min="17" max="17" width="12.83203125" style="1" customWidth="1"/>
  </cols>
  <sheetData>
    <row r="1" spans="1:17" x14ac:dyDescent="0.25">
      <c r="A1" s="1" t="s">
        <v>0</v>
      </c>
      <c r="B1" s="1" t="s">
        <v>6</v>
      </c>
      <c r="E1" s="1" t="s">
        <v>488</v>
      </c>
      <c r="F1" s="1" t="s">
        <v>489</v>
      </c>
      <c r="G1" s="1" t="s">
        <v>490</v>
      </c>
      <c r="H1" s="1" t="s">
        <v>491</v>
      </c>
      <c r="I1" s="1" t="s">
        <v>492</v>
      </c>
      <c r="J1" s="1" t="s">
        <v>493</v>
      </c>
      <c r="L1" s="1" t="s">
        <v>494</v>
      </c>
      <c r="M1" s="1" t="s">
        <v>495</v>
      </c>
      <c r="N1" s="1" t="s">
        <v>496</v>
      </c>
      <c r="O1" s="1" t="s">
        <v>497</v>
      </c>
      <c r="P1" s="1" t="s">
        <v>498</v>
      </c>
    </row>
    <row r="2" spans="1:17" x14ac:dyDescent="0.25">
      <c r="A2" s="1" t="s">
        <v>0</v>
      </c>
      <c r="C2" s="1" t="s">
        <v>52</v>
      </c>
      <c r="D2" s="1" t="s">
        <v>84</v>
      </c>
      <c r="E2" s="1" t="s">
        <v>499</v>
      </c>
      <c r="F2" s="1" t="s">
        <v>500</v>
      </c>
      <c r="G2" s="1" t="s">
        <v>501</v>
      </c>
      <c r="H2" s="1" t="s">
        <v>502</v>
      </c>
      <c r="I2" s="1" t="s">
        <v>503</v>
      </c>
      <c r="J2" s="1" t="s">
        <v>504</v>
      </c>
      <c r="K2" s="1" t="s">
        <v>505</v>
      </c>
      <c r="L2" s="1" t="s">
        <v>58</v>
      </c>
      <c r="M2" s="1" t="s">
        <v>506</v>
      </c>
      <c r="N2" s="1" t="s">
        <v>507</v>
      </c>
      <c r="O2" s="1" t="s">
        <v>508</v>
      </c>
      <c r="P2" s="1" t="s">
        <v>509</v>
      </c>
      <c r="Q2" s="1" t="s">
        <v>376</v>
      </c>
    </row>
    <row r="3" spans="1:17" x14ac:dyDescent="0.25">
      <c r="A3" s="1" t="s">
        <v>2</v>
      </c>
      <c r="C3" s="1" t="s">
        <v>2</v>
      </c>
      <c r="D3" s="1" t="s">
        <v>2</v>
      </c>
      <c r="E3" s="1" t="s">
        <v>128</v>
      </c>
      <c r="F3" s="1" t="s">
        <v>128</v>
      </c>
      <c r="G3" s="1" t="s">
        <v>128</v>
      </c>
      <c r="H3" s="1" t="s">
        <v>125</v>
      </c>
      <c r="I3" s="1" t="s">
        <v>125</v>
      </c>
      <c r="J3" s="1" t="s">
        <v>406</v>
      </c>
      <c r="K3" s="1" t="s">
        <v>126</v>
      </c>
      <c r="L3" s="1" t="s">
        <v>370</v>
      </c>
      <c r="M3" s="1" t="s">
        <v>125</v>
      </c>
      <c r="N3" s="1" t="s">
        <v>125</v>
      </c>
      <c r="O3" s="1" t="s">
        <v>370</v>
      </c>
      <c r="P3" s="1" t="s">
        <v>125</v>
      </c>
      <c r="Q3" s="1" t="s">
        <v>135</v>
      </c>
    </row>
    <row r="4" spans="1:17" x14ac:dyDescent="0.25">
      <c r="A4" s="1" t="s">
        <v>438</v>
      </c>
      <c r="C4" s="1" t="s">
        <v>510</v>
      </c>
      <c r="K4" s="1">
        <v>5</v>
      </c>
      <c r="Q4" s="5" t="s">
        <v>611</v>
      </c>
    </row>
    <row r="5" spans="1:17" x14ac:dyDescent="0.25">
      <c r="A5" s="3" t="s">
        <v>465</v>
      </c>
      <c r="C5" s="3" t="s">
        <v>511</v>
      </c>
      <c r="J5" s="1" t="s">
        <v>512</v>
      </c>
      <c r="Q5" s="1" t="s">
        <v>513</v>
      </c>
    </row>
    <row r="6" spans="1:17" x14ac:dyDescent="0.25">
      <c r="A6" s="3" t="s">
        <v>449</v>
      </c>
      <c r="C6" s="3" t="s">
        <v>514</v>
      </c>
      <c r="K6" s="1">
        <v>99999</v>
      </c>
      <c r="Q6" s="3" t="s">
        <v>515</v>
      </c>
    </row>
    <row r="7" spans="1:17" x14ac:dyDescent="0.25">
      <c r="A7" s="3" t="s">
        <v>420</v>
      </c>
      <c r="C7" s="3" t="s">
        <v>516</v>
      </c>
      <c r="J7" s="1" t="s">
        <v>517</v>
      </c>
      <c r="K7" s="1">
        <v>12</v>
      </c>
    </row>
    <row r="8" spans="1:17" x14ac:dyDescent="0.25">
      <c r="A8" s="3" t="s">
        <v>518</v>
      </c>
      <c r="C8" s="3" t="s">
        <v>519</v>
      </c>
      <c r="J8" s="1" t="s">
        <v>520</v>
      </c>
      <c r="Q8" s="3" t="s">
        <v>521</v>
      </c>
    </row>
    <row r="9" spans="1:17" x14ac:dyDescent="0.25">
      <c r="A9" s="3" t="s">
        <v>427</v>
      </c>
      <c r="C9" s="3" t="s">
        <v>516</v>
      </c>
      <c r="J9" s="1" t="s">
        <v>522</v>
      </c>
    </row>
    <row r="10" spans="1:17" x14ac:dyDescent="0.25">
      <c r="A10" s="3" t="s">
        <v>523</v>
      </c>
      <c r="C10" s="3" t="s">
        <v>511</v>
      </c>
      <c r="J10" s="1" t="s">
        <v>524</v>
      </c>
      <c r="Q10" s="1" t="s">
        <v>513</v>
      </c>
    </row>
    <row r="11" spans="1:17" x14ac:dyDescent="0.25">
      <c r="A11" s="3" t="s">
        <v>525</v>
      </c>
      <c r="C11" s="3" t="s">
        <v>511</v>
      </c>
      <c r="K11" s="1">
        <v>0.8</v>
      </c>
      <c r="Q11" s="3" t="s">
        <v>526</v>
      </c>
    </row>
    <row r="12" spans="1:17" x14ac:dyDescent="0.25">
      <c r="A12" s="3" t="s">
        <v>527</v>
      </c>
      <c r="C12" s="1" t="s">
        <v>528</v>
      </c>
      <c r="J12" s="1" t="s">
        <v>528</v>
      </c>
      <c r="Q12" s="3" t="s">
        <v>529</v>
      </c>
    </row>
    <row r="14" spans="1:17" x14ac:dyDescent="0.25">
      <c r="A14" s="3" t="s">
        <v>162</v>
      </c>
      <c r="C14" s="3" t="s">
        <v>530</v>
      </c>
      <c r="Q14" s="3" t="s">
        <v>531</v>
      </c>
    </row>
    <row r="16" spans="1:17" x14ac:dyDescent="0.25">
      <c r="A16" s="3" t="s">
        <v>411</v>
      </c>
      <c r="C16" s="3" t="s">
        <v>532</v>
      </c>
      <c r="J16" s="1" t="s">
        <v>617</v>
      </c>
    </row>
    <row r="17" spans="10:10" x14ac:dyDescent="0.25">
      <c r="J17" s="1" t="s">
        <v>613</v>
      </c>
    </row>
    <row r="18" spans="10:10" x14ac:dyDescent="0.25">
      <c r="J18" s="3" t="s">
        <v>520</v>
      </c>
    </row>
  </sheetData>
  <phoneticPr fontId="0" type="noConversion"/>
  <pageMargins left="0.75" right="0.75" top="1" bottom="1" header="0.5" footer="0.5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"/>
  <sheetViews>
    <sheetView workbookViewId="0">
      <selection activeCell="B5" sqref="B5"/>
    </sheetView>
  </sheetViews>
  <sheetFormatPr defaultColWidth="9" defaultRowHeight="14.05" x14ac:dyDescent="0.25"/>
  <cols>
    <col min="1" max="1" width="11.33203125" style="1" customWidth="1"/>
    <col min="2" max="2" width="11.25" style="1" customWidth="1"/>
    <col min="3" max="3" width="9" style="1" customWidth="1"/>
    <col min="4" max="4" width="27.5" style="1" customWidth="1"/>
  </cols>
  <sheetData>
    <row r="1" spans="1:4" x14ac:dyDescent="0.25">
      <c r="A1" s="1" t="s">
        <v>0</v>
      </c>
      <c r="C1" s="1" t="s">
        <v>533</v>
      </c>
    </row>
    <row r="2" spans="1:4" x14ac:dyDescent="0.25">
      <c r="A2" s="1" t="s">
        <v>0</v>
      </c>
      <c r="B2" s="1" t="s">
        <v>52</v>
      </c>
      <c r="C2" s="1" t="s">
        <v>534</v>
      </c>
      <c r="D2" s="1" t="s">
        <v>376</v>
      </c>
    </row>
    <row r="3" spans="1:4" x14ac:dyDescent="0.25">
      <c r="A3" s="1" t="s">
        <v>2</v>
      </c>
      <c r="B3" s="1" t="s">
        <v>2</v>
      </c>
      <c r="C3" s="1" t="s">
        <v>370</v>
      </c>
      <c r="D3" s="1" t="s">
        <v>135</v>
      </c>
    </row>
    <row r="5" spans="1:4" x14ac:dyDescent="0.25">
      <c r="A5" s="3" t="s">
        <v>419</v>
      </c>
      <c r="B5" s="3" t="s">
        <v>535</v>
      </c>
      <c r="C5" s="1" t="s">
        <v>523</v>
      </c>
      <c r="D5" s="3" t="s">
        <v>536</v>
      </c>
    </row>
  </sheetData>
  <phoneticPr fontId="0" type="noConversion"/>
  <pageMargins left="0.75" right="0.75" top="1" bottom="1" header="0.5" footer="0.5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2"/>
  <sheetViews>
    <sheetView workbookViewId="0">
      <selection activeCell="C6" sqref="C6"/>
    </sheetView>
  </sheetViews>
  <sheetFormatPr defaultColWidth="9" defaultRowHeight="14.05" x14ac:dyDescent="0.25"/>
  <cols>
    <col min="1" max="1" width="15.25" style="1" customWidth="1"/>
    <col min="2" max="2" width="9" style="1" customWidth="1"/>
    <col min="3" max="3" width="27.25" style="1" customWidth="1"/>
    <col min="4" max="4" width="10.83203125" style="1" customWidth="1"/>
    <col min="5" max="7" width="9" style="1" customWidth="1"/>
    <col min="8" max="8" width="12" style="1" customWidth="1"/>
    <col min="9" max="10" width="9" style="1" customWidth="1"/>
  </cols>
  <sheetData>
    <row r="1" spans="1:10" x14ac:dyDescent="0.25">
      <c r="I1" s="1" t="s">
        <v>260</v>
      </c>
    </row>
    <row r="2" spans="1:10" x14ac:dyDescent="0.25">
      <c r="A2" s="1" t="s">
        <v>0</v>
      </c>
      <c r="B2" s="1" t="s">
        <v>52</v>
      </c>
      <c r="C2" s="1" t="s">
        <v>54</v>
      </c>
      <c r="D2" s="1" t="s">
        <v>537</v>
      </c>
      <c r="E2" s="1" t="s">
        <v>77</v>
      </c>
      <c r="F2" s="1" t="s">
        <v>538</v>
      </c>
      <c r="G2" s="1" t="s">
        <v>539</v>
      </c>
      <c r="H2" s="1" t="s">
        <v>540</v>
      </c>
      <c r="I2" s="1" t="s">
        <v>365</v>
      </c>
      <c r="J2" s="1" t="s">
        <v>376</v>
      </c>
    </row>
    <row r="3" spans="1:10" x14ac:dyDescent="0.25">
      <c r="A3" s="1" t="s">
        <v>2</v>
      </c>
      <c r="B3" s="1" t="s">
        <v>2</v>
      </c>
      <c r="C3" s="1" t="s">
        <v>2</v>
      </c>
      <c r="D3" s="1" t="s">
        <v>2</v>
      </c>
      <c r="E3" s="1" t="s">
        <v>126</v>
      </c>
      <c r="F3" s="1" t="s">
        <v>128</v>
      </c>
      <c r="G3" s="1" t="s">
        <v>128</v>
      </c>
      <c r="H3" s="1" t="s">
        <v>128</v>
      </c>
      <c r="I3" s="1" t="s">
        <v>405</v>
      </c>
      <c r="J3" s="1" t="s">
        <v>135</v>
      </c>
    </row>
    <row r="4" spans="1:10" x14ac:dyDescent="0.25">
      <c r="A4" s="3" t="s">
        <v>442</v>
      </c>
      <c r="B4" s="1" t="s">
        <v>541</v>
      </c>
      <c r="C4" s="1" t="s">
        <v>542</v>
      </c>
      <c r="E4" s="1">
        <v>4</v>
      </c>
      <c r="J4" s="3" t="s">
        <v>543</v>
      </c>
    </row>
    <row r="5" spans="1:10" x14ac:dyDescent="0.25">
      <c r="A5" s="1" t="s">
        <v>544</v>
      </c>
      <c r="B5" s="1" t="s">
        <v>545</v>
      </c>
      <c r="C5" s="1" t="s">
        <v>546</v>
      </c>
      <c r="E5" s="1">
        <v>10</v>
      </c>
      <c r="J5" s="1" t="s">
        <v>547</v>
      </c>
    </row>
    <row r="6" spans="1:10" x14ac:dyDescent="0.25">
      <c r="A6" s="3" t="s">
        <v>456</v>
      </c>
      <c r="B6" s="3" t="s">
        <v>548</v>
      </c>
      <c r="C6" s="1" t="s">
        <v>549</v>
      </c>
      <c r="E6" s="1">
        <v>10</v>
      </c>
      <c r="J6" s="3" t="s">
        <v>550</v>
      </c>
    </row>
    <row r="7" spans="1:10" x14ac:dyDescent="0.25">
      <c r="A7" s="3" t="s">
        <v>477</v>
      </c>
      <c r="B7" s="3" t="s">
        <v>548</v>
      </c>
      <c r="C7" s="1" t="s">
        <v>551</v>
      </c>
      <c r="E7" s="1">
        <v>2.25</v>
      </c>
      <c r="F7" s="1">
        <v>2</v>
      </c>
      <c r="J7" s="3" t="s">
        <v>552</v>
      </c>
    </row>
    <row r="8" spans="1:10" x14ac:dyDescent="0.25">
      <c r="A8" s="3" t="s">
        <v>417</v>
      </c>
      <c r="B8" s="3" t="s">
        <v>548</v>
      </c>
      <c r="C8" s="1" t="s">
        <v>553</v>
      </c>
      <c r="E8" s="1">
        <v>3</v>
      </c>
      <c r="F8" s="1">
        <v>2</v>
      </c>
      <c r="J8" s="3" t="s">
        <v>554</v>
      </c>
    </row>
    <row r="12" spans="1:10" x14ac:dyDescent="0.25">
      <c r="C12" s="1" t="s">
        <v>555</v>
      </c>
    </row>
  </sheetData>
  <phoneticPr fontId="0" type="noConversion"/>
  <pageMargins left="0.75" right="0.75" top="1" bottom="1" header="0.5" footer="0.5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"/>
  <sheetViews>
    <sheetView workbookViewId="0">
      <pane xSplit="1" ySplit="3" topLeftCell="B4" activePane="bottomRight" state="frozen"/>
      <selection pane="topRight"/>
      <selection pane="bottomLeft"/>
      <selection pane="bottomRight" activeCell="F19" sqref="F19"/>
    </sheetView>
  </sheetViews>
  <sheetFormatPr defaultColWidth="9" defaultRowHeight="14.05" x14ac:dyDescent="0.25"/>
  <cols>
    <col min="1" max="1" width="15.25" style="1" customWidth="1"/>
    <col min="2" max="2" width="28" style="1" customWidth="1"/>
    <col min="3" max="4" width="10.08203125" style="1" customWidth="1"/>
    <col min="5" max="10" width="11.25" style="1" customWidth="1"/>
    <col min="11" max="11" width="6.33203125" style="1" customWidth="1"/>
    <col min="12" max="12" width="9" style="1" customWidth="1"/>
  </cols>
  <sheetData>
    <row r="1" spans="1:12" x14ac:dyDescent="0.25">
      <c r="A1" s="1" t="s">
        <v>0</v>
      </c>
      <c r="B1" s="1" t="s">
        <v>556</v>
      </c>
      <c r="C1" s="1" t="s">
        <v>557</v>
      </c>
      <c r="D1" s="1" t="s">
        <v>558</v>
      </c>
      <c r="E1" s="1" t="s">
        <v>559</v>
      </c>
      <c r="F1" s="1" t="s">
        <v>560</v>
      </c>
      <c r="H1" s="1" t="s">
        <v>561</v>
      </c>
      <c r="I1" s="1" t="s">
        <v>562</v>
      </c>
      <c r="J1" s="1" t="s">
        <v>563</v>
      </c>
      <c r="K1" s="1" t="s">
        <v>564</v>
      </c>
      <c r="L1" s="1" t="s">
        <v>565</v>
      </c>
    </row>
    <row r="2" spans="1:12" x14ac:dyDescent="0.25">
      <c r="A2" s="1" t="s">
        <v>0</v>
      </c>
      <c r="B2" s="1" t="s">
        <v>566</v>
      </c>
      <c r="C2" s="1" t="s">
        <v>567</v>
      </c>
      <c r="D2" s="1" t="s">
        <v>568</v>
      </c>
      <c r="E2" s="1" t="s">
        <v>569</v>
      </c>
      <c r="F2" s="1" t="s">
        <v>570</v>
      </c>
      <c r="G2" s="1" t="s">
        <v>571</v>
      </c>
      <c r="H2" s="1" t="s">
        <v>572</v>
      </c>
      <c r="I2" s="1" t="s">
        <v>573</v>
      </c>
      <c r="J2" s="1" t="s">
        <v>574</v>
      </c>
      <c r="K2" s="1" t="s">
        <v>538</v>
      </c>
      <c r="L2" s="1" t="s">
        <v>104</v>
      </c>
    </row>
    <row r="3" spans="1:12" x14ac:dyDescent="0.25">
      <c r="A3" s="1" t="s">
        <v>2</v>
      </c>
      <c r="B3" s="1" t="s">
        <v>2</v>
      </c>
      <c r="C3" s="1" t="s">
        <v>128</v>
      </c>
      <c r="D3" s="1" t="s">
        <v>127</v>
      </c>
      <c r="E3" s="1" t="s">
        <v>2</v>
      </c>
      <c r="F3" s="1" t="s">
        <v>125</v>
      </c>
      <c r="G3" s="1" t="s">
        <v>125</v>
      </c>
      <c r="H3" s="1" t="s">
        <v>128</v>
      </c>
      <c r="I3" s="1" t="s">
        <v>128</v>
      </c>
      <c r="J3" s="1" t="s">
        <v>128</v>
      </c>
      <c r="K3" s="1" t="s">
        <v>126</v>
      </c>
      <c r="L3" s="1" t="s">
        <v>126</v>
      </c>
    </row>
    <row r="4" spans="1:12" x14ac:dyDescent="0.25">
      <c r="B4" s="3"/>
    </row>
    <row r="5" spans="1:12" x14ac:dyDescent="0.25">
      <c r="A5" s="3" t="s">
        <v>520</v>
      </c>
      <c r="B5" s="5" t="s">
        <v>616</v>
      </c>
      <c r="K5" s="1">
        <v>60</v>
      </c>
      <c r="L5" s="1">
        <v>5</v>
      </c>
    </row>
    <row r="7" spans="1:12" x14ac:dyDescent="0.25">
      <c r="A7" s="3" t="s">
        <v>576</v>
      </c>
      <c r="B7" s="1" t="s">
        <v>577</v>
      </c>
      <c r="K7" s="1">
        <v>60</v>
      </c>
    </row>
    <row r="8" spans="1:12" x14ac:dyDescent="0.25">
      <c r="B8" s="3" t="s">
        <v>575</v>
      </c>
    </row>
    <row r="10" spans="1:12" x14ac:dyDescent="0.25">
      <c r="B10" s="5" t="s">
        <v>614</v>
      </c>
    </row>
    <row r="12" spans="1:12" x14ac:dyDescent="0.25">
      <c r="B12" s="6" t="s">
        <v>615</v>
      </c>
    </row>
  </sheetData>
  <phoneticPr fontId="0" type="noConversion"/>
  <pageMargins left="0.75" right="0.75" top="1" bottom="1" header="0.5" footer="0.5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J3"/>
  <sheetViews>
    <sheetView workbookViewId="0">
      <pane xSplit="1" ySplit="2" topLeftCell="B3" activePane="bottomRight" state="frozen"/>
      <selection pane="topRight"/>
      <selection pane="bottomLeft"/>
      <selection pane="bottomRight" activeCell="A3" sqref="A3:XFD3"/>
    </sheetView>
  </sheetViews>
  <sheetFormatPr defaultColWidth="9" defaultRowHeight="14.05" x14ac:dyDescent="0.25"/>
  <cols>
    <col min="1" max="1" width="19.08203125" style="1" customWidth="1"/>
    <col min="2" max="2" width="16.25" style="1" customWidth="1"/>
    <col min="3" max="3" width="16.33203125" style="1" customWidth="1"/>
    <col min="4" max="4" width="47.83203125" style="1" customWidth="1"/>
    <col min="5" max="5" width="10.25" style="1" customWidth="1"/>
    <col min="6" max="6" width="12.83203125" style="1" customWidth="1"/>
    <col min="7" max="9" width="9" style="1" customWidth="1"/>
    <col min="10" max="10" width="11.83203125" style="1" customWidth="1"/>
  </cols>
  <sheetData>
    <row r="2" spans="1:10" x14ac:dyDescent="0.25">
      <c r="A2" s="1" t="s">
        <v>0</v>
      </c>
      <c r="B2" s="1" t="s">
        <v>285</v>
      </c>
      <c r="C2" s="1" t="s">
        <v>84</v>
      </c>
      <c r="D2" s="1" t="s">
        <v>578</v>
      </c>
      <c r="E2" s="1" t="s">
        <v>579</v>
      </c>
      <c r="F2" s="1" t="s">
        <v>86</v>
      </c>
      <c r="G2" s="1" t="s">
        <v>580</v>
      </c>
      <c r="H2" s="1" t="s">
        <v>313</v>
      </c>
      <c r="I2" s="1" t="s">
        <v>581</v>
      </c>
      <c r="J2" s="1" t="s">
        <v>59</v>
      </c>
    </row>
    <row r="3" spans="1:10" s="2" customFormat="1" x14ac:dyDescent="0.25">
      <c r="A3" s="2" t="s">
        <v>2</v>
      </c>
      <c r="B3" s="2" t="s">
        <v>2</v>
      </c>
      <c r="C3" s="2" t="s">
        <v>2</v>
      </c>
      <c r="D3" s="2" t="s">
        <v>2</v>
      </c>
      <c r="E3" s="2" t="s">
        <v>128</v>
      </c>
      <c r="F3" s="2" t="s">
        <v>129</v>
      </c>
      <c r="G3" s="2" t="s">
        <v>128</v>
      </c>
      <c r="H3" s="2" t="s">
        <v>582</v>
      </c>
      <c r="I3" s="2" t="s">
        <v>128</v>
      </c>
      <c r="J3" s="2" t="s">
        <v>128</v>
      </c>
    </row>
  </sheetData>
  <phoneticPr fontId="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"/>
  <sheetViews>
    <sheetView workbookViewId="0">
      <selection activeCell="D4" sqref="D4"/>
    </sheetView>
  </sheetViews>
  <sheetFormatPr defaultColWidth="8.6640625" defaultRowHeight="14.05" x14ac:dyDescent="0.25"/>
  <cols>
    <col min="1" max="1" width="8.6640625" style="1" customWidth="1"/>
    <col min="2" max="2" width="13.83203125" style="1" customWidth="1"/>
    <col min="3" max="3" width="20.58203125" style="1" customWidth="1"/>
    <col min="4" max="4" width="39.6640625" style="1" customWidth="1"/>
    <col min="5" max="5" width="37.58203125" style="1" customWidth="1"/>
    <col min="6" max="6" width="39.5" style="1" customWidth="1"/>
    <col min="7" max="7" width="38.58203125" style="1" customWidth="1"/>
    <col min="8" max="8" width="32.25" style="1" customWidth="1"/>
    <col min="9" max="9" width="39.9140625" style="1" customWidth="1"/>
  </cols>
  <sheetData>
    <row r="1" spans="1:9" x14ac:dyDescent="0.25">
      <c r="A1" s="1" t="s">
        <v>0</v>
      </c>
      <c r="B1" s="1" t="s">
        <v>583</v>
      </c>
      <c r="C1" s="1" t="s">
        <v>584</v>
      </c>
      <c r="D1" s="1" t="s">
        <v>585</v>
      </c>
      <c r="E1" s="1" t="s">
        <v>586</v>
      </c>
      <c r="F1" s="1" t="s">
        <v>587</v>
      </c>
      <c r="G1" s="1" t="s">
        <v>588</v>
      </c>
      <c r="H1" s="1" t="s">
        <v>589</v>
      </c>
      <c r="I1" s="1" t="s">
        <v>590</v>
      </c>
    </row>
    <row r="2" spans="1:9" x14ac:dyDescent="0.25">
      <c r="A2" s="1" t="s">
        <v>0</v>
      </c>
      <c r="B2" s="1" t="s">
        <v>591</v>
      </c>
      <c r="C2" s="1" t="s">
        <v>592</v>
      </c>
      <c r="D2" s="1" t="s">
        <v>593</v>
      </c>
      <c r="E2" s="1" t="s">
        <v>594</v>
      </c>
      <c r="F2" s="1" t="s">
        <v>595</v>
      </c>
      <c r="G2" s="1" t="s">
        <v>596</v>
      </c>
      <c r="H2" s="1" t="s">
        <v>597</v>
      </c>
      <c r="I2" s="1" t="s">
        <v>598</v>
      </c>
    </row>
    <row r="3" spans="1:9" x14ac:dyDescent="0.25">
      <c r="A3" s="1" t="s">
        <v>2</v>
      </c>
      <c r="B3" s="1" t="s">
        <v>125</v>
      </c>
      <c r="C3" s="1" t="s">
        <v>125</v>
      </c>
      <c r="D3" s="1" t="s">
        <v>2</v>
      </c>
      <c r="E3" s="1" t="s">
        <v>2</v>
      </c>
      <c r="F3" s="1" t="s">
        <v>2</v>
      </c>
      <c r="G3" s="1" t="s">
        <v>2</v>
      </c>
      <c r="H3" s="1" t="s">
        <v>2</v>
      </c>
      <c r="I3" s="1" t="s">
        <v>2</v>
      </c>
    </row>
    <row r="4" spans="1:9" x14ac:dyDescent="0.25">
      <c r="A4" s="1" t="s">
        <v>599</v>
      </c>
      <c r="C4" s="1">
        <v>1</v>
      </c>
      <c r="D4" s="1" t="s">
        <v>600</v>
      </c>
      <c r="E4" s="1" t="s">
        <v>601</v>
      </c>
      <c r="F4" s="1" t="s">
        <v>602</v>
      </c>
      <c r="G4" s="1" t="s">
        <v>603</v>
      </c>
      <c r="H4" s="1" t="s">
        <v>604</v>
      </c>
      <c r="I4" s="1" t="s">
        <v>605</v>
      </c>
    </row>
  </sheetData>
  <phoneticPr fontId="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6">
    <comment s:ref="P248" rgbClr="98C86C"/>
  </commentList>
  <commentList sheetStid="9"/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CardData</vt:lpstr>
      <vt:lpstr>UnitData</vt:lpstr>
      <vt:lpstr>SkillData</vt:lpstr>
      <vt:lpstr>BuffData</vt:lpstr>
      <vt:lpstr>ModifyData</vt:lpstr>
      <vt:lpstr>BulletData</vt:lpstr>
      <vt:lpstr>EffectData</vt:lpstr>
      <vt:lpstr>ContractData</vt:lpstr>
      <vt:lpstr>SpineData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2r X</cp:lastModifiedBy>
  <dcterms:created xsi:type="dcterms:W3CDTF">2021-01-13T06:40:00Z</dcterms:created>
  <dcterms:modified xsi:type="dcterms:W3CDTF">2026-10-27T07:03:22Z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2052-12.1.0.16120</vt:lpwstr>
  </property>
  <property fmtid="{D5CDD505-2E9C-101B-9397-08002B2CF9AE}" pid="3" name="ICV">
    <vt:lpwstr>CB94523E41B44DAE99CC12982DC882B4</vt:lpwstr>
  </property>
</Properties>
</file>