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尊尼获加\"/>
    </mc:Choice>
  </mc:AlternateContent>
  <xr:revisionPtr revIDLastSave="0" documentId="13_ncr:1_{32183F2B-D7CA-4C78-9498-276C8B284C6B}" xr6:coauthVersionLast="47" xr6:coauthVersionMax="47" xr10:uidLastSave="{00000000-0000-0000-0000-000000000000}"/>
  <bookViews>
    <workbookView xWindow="-103" yWindow="-103" windowWidth="24144" windowHeight="14447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definedNames>
    <definedName name="_xlnm._FilterDatabase" localSheetId="1" hidden="1">UnitData!#REF!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4" i="1" l="1"/>
  <c r="BD14" i="1"/>
  <c r="BC14" i="1"/>
  <c r="F14" i="1"/>
  <c r="BC29" i="1"/>
  <c r="F29" i="1"/>
  <c r="BE25" i="1"/>
  <c r="BD25" i="1"/>
  <c r="BC25" i="1"/>
  <c r="F25" i="1"/>
  <c r="BE24" i="1"/>
  <c r="BD24" i="1"/>
  <c r="BC24" i="1"/>
  <c r="F24" i="1"/>
  <c r="BE23" i="1"/>
  <c r="BD23" i="1"/>
  <c r="BC23" i="1"/>
  <c r="F23" i="1"/>
  <c r="BE22" i="1"/>
  <c r="BD22" i="1"/>
  <c r="BC22" i="1"/>
  <c r="F22" i="1"/>
  <c r="BE20" i="1"/>
  <c r="BD20" i="1"/>
  <c r="BC20" i="1"/>
  <c r="BE19" i="1"/>
  <c r="BD19" i="1"/>
  <c r="BC19" i="1"/>
  <c r="F19" i="1"/>
  <c r="BE18" i="1"/>
  <c r="BD18" i="1"/>
  <c r="BC18" i="1"/>
  <c r="F18" i="1"/>
  <c r="BE17" i="1"/>
  <c r="BD17" i="1"/>
  <c r="BC17" i="1"/>
  <c r="F17" i="1"/>
  <c r="BE16" i="1"/>
  <c r="BD16" i="1"/>
  <c r="BC16" i="1"/>
  <c r="F16" i="1"/>
  <c r="BE15" i="1"/>
  <c r="BD15" i="1"/>
  <c r="BC15" i="1"/>
  <c r="F15" i="1"/>
  <c r="BE13" i="1"/>
  <c r="BD13" i="1"/>
  <c r="BC13" i="1"/>
  <c r="F13" i="1"/>
  <c r="BE12" i="1"/>
  <c r="BD12" i="1"/>
  <c r="BC12" i="1"/>
  <c r="F12" i="1"/>
  <c r="BE10" i="1"/>
  <c r="BD10" i="1"/>
  <c r="BC10" i="1"/>
  <c r="F10" i="1"/>
  <c r="BE9" i="1"/>
  <c r="BD9" i="1"/>
  <c r="BC9" i="1"/>
  <c r="F9" i="1"/>
  <c r="BE8" i="1"/>
  <c r="BD8" i="1"/>
  <c r="BC8" i="1"/>
  <c r="F8" i="1"/>
  <c r="BE7" i="1"/>
  <c r="BD7" i="1"/>
  <c r="BC7" i="1"/>
  <c r="F7" i="1"/>
  <c r="BE6" i="1"/>
  <c r="BD6" i="1"/>
  <c r="BC6" i="1"/>
  <c r="F6" i="1"/>
  <c r="BE4" i="1"/>
  <c r="BD4" i="1"/>
  <c r="BC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<sst xmlns="http://schemas.openxmlformats.org/spreadsheetml/2006/main" count="2582" uniqueCount="1149">
  <si>
    <t>Id</t>
  </si>
  <si>
    <t>units</t>
  </si>
  <si>
    <t>string</t>
  </si>
  <si>
    <t>UnitData[]</t>
  </si>
  <si>
    <t>12F</t>
  </si>
  <si>
    <t>#四星</t>
  </si>
  <si>
    <t>猎蜂</t>
  </si>
  <si>
    <t>格雷伊</t>
  </si>
  <si>
    <t>苏苏洛</t>
  </si>
  <si>
    <t>坚雷</t>
  </si>
  <si>
    <t>红云</t>
  </si>
  <si>
    <t>#五星</t>
  </si>
  <si>
    <t>暴行</t>
  </si>
  <si>
    <t>夜魔</t>
  </si>
  <si>
    <t>格拉尼</t>
  </si>
  <si>
    <t>诗怀雅</t>
  </si>
  <si>
    <t>锡兰</t>
  </si>
  <si>
    <t>格劳克斯</t>
  </si>
  <si>
    <t>星极</t>
  </si>
  <si>
    <t>炎客</t>
  </si>
  <si>
    <t>送葬人</t>
  </si>
  <si>
    <t>#六星</t>
  </si>
  <si>
    <t>斯卡蒂</t>
  </si>
  <si>
    <t>陈</t>
  </si>
  <si>
    <t>黑</t>
  </si>
  <si>
    <t>赫拉格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</si>
  <si>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</si>
  <si>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</si>
  <si>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</si>
  <si>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</si>
  <si>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</si>
  <si>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</si>
  <si>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</si>
  <si>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</si>
  <si>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</si>
  <si>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</si>
  <si>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</si>
  <si>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</si>
  <si>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</si>
  <si>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</si>
  <si>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</si>
  <si>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</si>
  <si>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</si>
  <si>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</si>
  <si>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</si>
  <si>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</si>
  <si>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</si>
  <si>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</si>
  <si>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</si>
  <si>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</si>
  <si>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</si>
  <si>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</si>
  <si>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</si>
  <si>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</si>
  <si>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</si>
  <si>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</si>
  <si>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</si>
  <si>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</si>
  <si>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</si>
  <si>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</si>
  <si>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</si>
  <si>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</si>
  <si>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</si>
  <si>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</si>
  <si>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</si>
  <si>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</si>
  <si>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</si>
  <si>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</si>
  <si>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</si>
  <si>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</si>
  <si>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</si>
  <si>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</si>
  <si>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</si>
  <si>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</si>
  <si>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</si>
  <si>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</si>
  <si>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</si>
  <si>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</si>
  <si>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</si>
  <si>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</si>
  <si>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</si>
  <si>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</si>
  <si>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</si>
  <si>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</si>
  <si>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</si>
  <si>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</si>
  <si>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</si>
  <si>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</si>
  <si>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</si>
  <si>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</si>
  <si>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</si>
  <si>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</si>
  <si>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</si>
  <si>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</si>
  <si>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</si>
  <si>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</si>
  <si>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</si>
  <si>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</si>
  <si>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</si>
  <si>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</si>
  <si>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</si>
  <si>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</si>
  <si>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</si>
  <si>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</si>
  <si>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</si>
  <si>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</si>
  <si>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</si>
  <si>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</si>
  <si>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</si>
  <si>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</si>
  <si>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</si>
  <si>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</si>
  <si>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</si>
  <si>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</si>
  <si>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</si>
  <si>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</si>
  <si>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</si>
  <si>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</si>
  <si>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</si>
  <si>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</si>
  <si>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</si>
  <si>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</si>
  <si>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</si>
  <si>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</si>
  <si>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</si>
  <si>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</si>
  <si>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</si>
  <si>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</si>
  <si>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</si>
  <si>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</si>
  <si>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</si>
  <si>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</si>
  <si>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</si>
  <si>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</si>
  <si>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</si>
  <si>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</si>
  <si>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</si>
  <si>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</si>
  <si>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</si>
  <si>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</si>
  <si>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</si>
  <si>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</si>
  <si>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</si>
  <si>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</si>
  <si>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12fce</t>
  </si>
  <si>
    <t>009</t>
  </si>
  <si>
    <t>char_009_12fce</t>
  </si>
  <si>
    <t>Hip</t>
  </si>
  <si>
    <t>12F攻击,12F闪避</t>
  </si>
  <si>
    <t>术士</t>
  </si>
  <si>
    <t>扩散术师</t>
  </si>
  <si>
    <t>211,81,1500,1500</t>
  </si>
  <si>
    <t>远程位</t>
  </si>
  <si>
    <t>罗德岛,远程</t>
  </si>
  <si>
    <t>攻击造成群体法术伤害</t>
  </si>
  <si>
    <t>{"闪避率提升":"获得50%的物理闪避"}</t>
  </si>
  <si>
    <t>Default</t>
  </si>
  <si>
    <t>Idle</t>
  </si>
  <si>
    <t>Die</t>
  </si>
  <si>
    <t>brownb</t>
  </si>
  <si>
    <t>137</t>
  </si>
  <si>
    <t>猎蜂攻击,猎蜂天赋</t>
  </si>
  <si>
    <t>猎蜂1,猎蜂2</t>
  </si>
  <si>
    <t>近卫</t>
  </si>
  <si>
    <t>斗士</t>
  </si>
  <si>
    <t>近战位</t>
  </si>
  <si>
    <t>乌萨斯,近战</t>
  </si>
  <si>
    <t>能够阻挡一个敌人,生命值高于50%时攻击速度+10</t>
  </si>
  <si>
    <t>{"竞技专注":"攻击相同目标时每次攻击可提高自身攻击力8%，最多可叠加5层。更换目标会失去之前叠加的效果（暂改为击杀目标会失去之前叠加的效果）"}</t>
  </si>
  <si>
    <t>greyy</t>
  </si>
  <si>
    <t>格雷伊攻击</t>
  </si>
  <si>
    <t>攻速强化2,格雷伊2</t>
  </si>
  <si>
    <t>玻利瓦尔,远程</t>
  </si>
  <si>
    <r>
      <rPr>
        <sz val="10.5"/>
        <color theme="1" tint="4.9989318521683403E-2"/>
        <rFont val="宋体"/>
        <family val="3"/>
        <charset val="134"/>
      </rPr>
      <t>攻击造成群体法术伤害</t>
    </r>
    <r>
      <rPr>
        <sz val="10.5"/>
        <color theme="1" tint="4.9989318521683403E-2"/>
        <rFont val="Arial"/>
        <family val="2"/>
      </rPr>
      <t>.</t>
    </r>
    <r>
      <rPr>
        <sz val="10.5"/>
        <color theme="1" tint="4.9989318521683403E-2"/>
        <rFont val="宋体"/>
        <family val="3"/>
        <charset val="134"/>
      </rPr>
      <t>部署费用减少</t>
    </r>
  </si>
  <si>
    <t>{"静电场":"攻击时对攻击目标造成1秒的停顿"}</t>
  </si>
  <si>
    <t>susuro</t>
  </si>
  <si>
    <t>苏苏洛攻击,苏苏洛天赋</t>
  </si>
  <si>
    <t>治疗强化2,苏苏洛2</t>
  </si>
  <si>
    <t>医疗</t>
  </si>
  <si>
    <t>医师</t>
  </si>
  <si>
    <t>罗德岛,叙拉古,远程</t>
  </si>
  <si>
    <t>恢复友方单位生命,治疗生命值低于50%的友方单位时治疗量提升15%</t>
  </si>
  <si>
    <t>{"微创治疗":"编入队伍时，所有初始费用不超过10的干员受到的治疗效果提升28%"}</t>
  </si>
  <si>
    <t>durnar</t>
  </si>
  <si>
    <t>坚雷攻击,坚雷天赋</t>
  </si>
  <si>
    <t>坚雷1,坚雷2</t>
  </si>
  <si>
    <t>重装</t>
  </si>
  <si>
    <t>驭法铁卫</t>
  </si>
  <si>
    <t>罗德岛,哥伦比亚,近战</t>
  </si>
  <si>
    <t>技能开启时普通攻击会造成法术伤害</t>
  </si>
  <si>
    <t>{"攻守兼备":"攻击力+7%，防御力+7%"}</t>
  </si>
  <si>
    <t>clour</t>
  </si>
  <si>
    <t>红云攻击,红云天赋</t>
  </si>
  <si>
    <t>攻击强化2,红云2</t>
  </si>
  <si>
    <t>狙击</t>
  </si>
  <si>
    <t>速射手</t>
  </si>
  <si>
    <t>叙拉古,远程</t>
  </si>
  <si>
    <t>优先攻击空中单位</t>
  </si>
  <si>
    <t>{"快速弹匣":"攻击速度+6"}</t>
  </si>
  <si>
    <t>savage</t>
  </si>
  <si>
    <t>暴行攻击,暴行天赋</t>
  </si>
  <si>
    <t>暴行1,暴行2</t>
  </si>
  <si>
    <t>强攻手</t>
  </si>
  <si>
    <t>雷姆必拓,近战</t>
  </si>
  <si>
    <t>同时攻击阻挡的所有敌人,攻击被阻挡的敌人攻击力提升至110%</t>
  </si>
  <si>
    <t>{"山谷":"周围四格中有两格以上的高地地形时攻击力和防御力+15%（暂默认永久生效）"}</t>
  </si>
  <si>
    <t>nightm</t>
  </si>
  <si>
    <t>164</t>
  </si>
  <si>
    <t>夜魔攻击</t>
  </si>
  <si>
    <t>夜魔1,夜魔2</t>
  </si>
  <si>
    <t>中坚术师</t>
  </si>
  <si>
    <t>维多利亚,远程</t>
  </si>
  <si>
    <t>攻击造成法术伤害,普通攻击命中精英或领袖敌人时获得1点技力（暂改为普通攻击命中敌人有50%概率获得1点技力）</t>
  </si>
  <si>
    <t>{"表里人格":"装备技能1时获得55%的物理和法术闪避，装备技能2时获得+23%攻击力"}</t>
  </si>
  <si>
    <t>grani</t>
  </si>
  <si>
    <t>220</t>
  </si>
  <si>
    <t>防御提升3,格拉尼2</t>
  </si>
  <si>
    <t>先锋</t>
  </si>
  <si>
    <t>冲锋手</t>
  </si>
  <si>
    <t>维多利亚,近战</t>
  </si>
  <si>
    <t>击杀敌人后获得2点部署费用，撤退时返还初始部署费用</t>
  </si>
  <si>
    <t>{"骑警":"在场时，所有【先锋】职业干员获得35%的物理闪避"}</t>
  </si>
  <si>
    <t>Stun</t>
  </si>
  <si>
    <t>swire</t>
  </si>
  <si>
    <t>诗怀雅攻击,诗怀雅天赋</t>
  </si>
  <si>
    <t>诗怀雅1,诗怀雅2</t>
  </si>
  <si>
    <t>教官</t>
  </si>
  <si>
    <t>炎,龙门,龙门近卫局,近战</t>
  </si>
  <si>
    <t>可以攻击到较远敌人，攻击自身未阻挡的敌人时攻击力提升至130%</t>
  </si>
  <si>
    <t>{"近距离作战指导":"在场时周围8格内的近战友方单位攻击力+12%","不落人后":"周围8格内有其他近战友方单位时，自身每3秒回复1点技力"}</t>
  </si>
  <si>
    <t>ceylon</t>
  </si>
  <si>
    <t>348</t>
  </si>
  <si>
    <t>锡兰1,锡兰2</t>
  </si>
  <si>
    <t>疗养师</t>
  </si>
  <si>
    <t>哥伦比亚,汐斯塔,远程</t>
  </si>
  <si>
    <t>拥有较大治疗范围，但在治疗较远目标时治疗量变为80%(暂不生效),自身获得抵抗且更不容易受到敌人的攻击</t>
  </si>
  <si>
    <t>{"湖畔漫步者":"攻击力+12%，当场地中存在水地形时改为攻击力+48%(我添加了一个id为水地形的空装置用以触发该天赋)"}</t>
  </si>
  <si>
    <t>glacus</t>
  </si>
  <si>
    <t>326</t>
  </si>
  <si>
    <t>格劳克斯1,格劳克斯2</t>
  </si>
  <si>
    <t>辅助</t>
  </si>
  <si>
    <t>凝滞师</t>
  </si>
  <si>
    <t>伊比利亚,远程</t>
  </si>
  <si>
    <t>攻击造成法术伤害，并对敌人造成短暂的停顿,攻击范围内存在敌人时技力自然恢复速度+0.2/s</t>
  </si>
  <si>
    <t>{"反制装置":"优先攻击【无人机】单位，且攻击【无人机】时攻击力提升至180%(暂改为对空伤害提升至180%)"}</t>
  </si>
  <si>
    <t>astesi</t>
  </si>
  <si>
    <t>星极1,星极2</t>
  </si>
  <si>
    <t>术战者</t>
  </si>
  <si>
    <t>哥伦比亚,近战</t>
  </si>
  <si>
    <t>攻击造成法术伤害,自身阻挡的敌人受到10%的法术脆弱效果</t>
  </si>
  <si>
    <t>{"天体仪":"每在场上停留20秒，攻击速度+7，防御力+4%，最多可以叠加5次"}</t>
  </si>
  <si>
    <t>flameb</t>
  </si>
  <si>
    <t>炎客1,炎客2</t>
  </si>
  <si>
    <t>无畏者</t>
  </si>
  <si>
    <t>罗德岛,卡兹戴尔,近战</t>
  </si>
  <si>
    <t>能够阻挡一个敌人,被击倒时不撤退且回复所有生命但生命上限-60%，攻击速度+30（单次部署只触发1次）</t>
  </si>
  <si>
    <t>{"血戮":"周围四格每有一名敌人被击倒时自身的生命上限提高80，最多可以叠加30次"}</t>
  </si>
  <si>
    <t>excu</t>
  </si>
  <si>
    <t>279</t>
  </si>
  <si>
    <t>char_279_excu</t>
  </si>
  <si>
    <t>送葬人攻击,散射手射程检测</t>
  </si>
  <si>
    <t>送葬人1,送葬人2</t>
  </si>
  <si>
    <t>散射手</t>
  </si>
  <si>
    <t>拉特兰,远程</t>
  </si>
  <si>
    <t>攻击范围内的所有敌人，对自己前方一横排的敌人攻击力提升至160%</t>
  </si>
  <si>
    <t>{"终结改装":"攻击时无视目标210的防御力"}</t>
  </si>
  <si>
    <t>skadi</t>
  </si>
  <si>
    <t>263</t>
  </si>
  <si>
    <t>斯卡蒂X攻击,斯卡蒂X深海天赋</t>
  </si>
  <si>
    <t>迅捷打击3,斯卡蒂2,斯卡蒂3</t>
  </si>
  <si>
    <t>阿戈尔,深海猎人,近战</t>
  </si>
  <si>
    <t>能够阻挡一个敌人,攻击被阻挡的敌人时攻击力提升至115%</t>
  </si>
  <si>
    <t>{"深海掠食者":"编入队伍时，所有【深海猎人】干员的攻击力+16%","迅捷出击":"自身再部署时间-30秒"}</t>
  </si>
  <si>
    <t>chen</t>
  </si>
  <si>
    <t>010</t>
  </si>
  <si>
    <t>陈攻击,陈天赋</t>
  </si>
  <si>
    <t>陈1,陈2,陈3</t>
  </si>
  <si>
    <t>剑豪</t>
  </si>
  <si>
    <t>普通攻击连续造成两次伤害,技能期间造成的伤害提升10%</t>
  </si>
  <si>
    <t>{"呵斥":"在场时每3秒回复全场友方角色1点攻击/受击技力，自身额外回复1点技力(暂时改为回复全场友方角色1点技力","持刀格斗术":"攻击力+6%，防御力+6%，物理闪避+13%"}</t>
  </si>
  <si>
    <t>Skill_2,Skill_3,Skill_End_2,Skill_End_3</t>
  </si>
  <si>
    <t>shwaz</t>
  </si>
  <si>
    <t>340</t>
  </si>
  <si>
    <t>黑攻击,黑天赋</t>
  </si>
  <si>
    <t>黑1,黑2,黑3</t>
  </si>
  <si>
    <t>重射手</t>
  </si>
  <si>
    <t>哥伦比亚,汐斯塔,雷姆必拓,远程</t>
  </si>
  <si>
    <t>高精度的近距离射击,再部署时间减少</t>
  </si>
  <si>
    <t>{"破甲箭头":"攻击时，20%几率当次攻击的攻击力提升至160%，并使命中目标的防御力下降20%，持续5秒","交叉火力":"携带黑和另外至少一名【狙击】干员时，所有【狙击】干员的攻击力+15%"}</t>
  </si>
  <si>
    <t>helage</t>
  </si>
  <si>
    <t>赫拉格攻击,赫拉格天赋</t>
  </si>
  <si>
    <t>赫拉格1,赫拉格2,赫拉格3</t>
  </si>
  <si>
    <t>武者</t>
  </si>
  <si>
    <t>不成为其他角色的治疗目标，每次攻击到敌人后回复自身70生命,生命值低于50%时，获得25%的庇护</t>
  </si>
  <si>
    <t>{"月盈星亏":"在场时，自身获得最高+130攻击速度的坚忍（损失50%生命值时达到最大加成）(暂改为生命值低于75%时攻速+65，低于50%时攻速+130)","运筹帷幄":"未阻挡敌人时每秒回复70生命"}</t>
  </si>
  <si>
    <t>#地图</t>
  </si>
  <si>
    <t>水地形</t>
  </si>
  <si>
    <t>中立单位</t>
  </si>
  <si>
    <t>装饰品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</si>
  <si>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</si>
  <si>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</si>
  <si>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</si>
  <si>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</si>
  <si>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</si>
  <si>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</si>
  <si>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</si>
  <si>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</si>
  <si>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</si>
  <si>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</si>
  <si>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</si>
  <si>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</si>
  <si>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</si>
  <si>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</si>
  <si>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</si>
  <si>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</si>
  <si>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</si>
  <si>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</si>
  <si>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</si>
  <si>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</si>
  <si>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</si>
  <si>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</si>
  <si>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</si>
  <si>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</si>
  <si>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</si>
  <si>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</si>
  <si>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</si>
  <si>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</si>
  <si>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</si>
  <si>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</si>
  <si>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</si>
  <si>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</si>
  <si>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</si>
  <si>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</si>
  <si>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</si>
  <si>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</si>
  <si>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</si>
  <si>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</si>
  <si>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</si>
  <si>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</si>
  <si>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</si>
  <si>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</si>
  <si>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</si>
  <si>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</si>
  <si>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</si>
  <si>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</si>
  <si>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</si>
  <si>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</si>
  <si>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</si>
  <si>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</si>
  <si>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</si>
  <si>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</si>
  <si>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</si>
  <si>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</si>
  <si>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</si>
  <si>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</si>
  <si>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</si>
  <si>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</si>
  <si>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</si>
  <si>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</si>
  <si>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</si>
  <si>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</si>
  <si>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</si>
  <si>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</si>
  <si>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</si>
  <si>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</si>
  <si>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</si>
  <si>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</si>
  <si>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</si>
  <si>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</si>
  <si>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</si>
  <si>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</si>
  <si>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</si>
  <si>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</si>
  <si>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</si>
  <si>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</si>
  <si>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</si>
  <si>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</si>
  <si>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</si>
  <si>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</si>
  <si>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</si>
  <si>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</si>
  <si>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</si>
  <si>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</si>
  <si>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</si>
  <si>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</si>
  <si>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</si>
  <si>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</si>
  <si>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</si>
  <si>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</si>
  <si>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</si>
  <si>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</si>
  <si>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</si>
  <si>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</si>
  <si>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</si>
  <si>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</si>
  <si>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</si>
  <si>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</si>
  <si>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</si>
  <si>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</si>
  <si>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</si>
  <si>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</si>
  <si>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</si>
  <si>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</si>
  <si>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</si>
  <si>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</si>
  <si>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</si>
  <si>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</si>
  <si>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</si>
  <si>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</si>
  <si>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</si>
  <si>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</si>
  <si>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</si>
  <si>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</si>
  <si>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</si>
  <si>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</si>
  <si>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</si>
  <si>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</si>
  <si>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</si>
  <si>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</si>
  <si>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</si>
  <si>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</si>
  <si>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</si>
  <si>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</si>
  <si>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</si>
  <si>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</si>
  <si>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</si>
  <si>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</si>
  <si>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</si>
  <si>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</si>
  <si>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</si>
  <si>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</si>
  <si>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</si>
  <si>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</si>
  <si>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</si>
  <si>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</si>
  <si>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</si>
  <si>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</si>
  <si>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</si>
  <si>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</si>
  <si>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</si>
  <si>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</si>
  <si>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</si>
  <si>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</si>
  <si>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</si>
  <si>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</si>
  <si>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</si>
  <si>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</si>
  <si>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</si>
  <si>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</si>
  <si>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</si>
  <si>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</si>
  <si>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</si>
  <si>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</si>
  <si>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</si>
  <si>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</si>
  <si>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</si>
  <si>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</si>
  <si>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</si>
  <si>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</si>
  <si>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</si>
  <si>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</si>
  <si>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</si>
  <si>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</si>
  <si>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</si>
  <si>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</si>
  <si>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</si>
  <si>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</si>
  <si>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</si>
  <si>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</si>
  <si>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</si>
  <si>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</si>
  <si>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</si>
  <si>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</si>
  <si>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</si>
  <si>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</si>
  <si>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</si>
  <si>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</si>
  <si>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</si>
  <si>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</si>
  <si>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</si>
  <si>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</si>
  <si>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</si>
  <si>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</si>
  <si>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</si>
  <si>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</si>
  <si>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</si>
  <si>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</si>
  <si>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</si>
  <si>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</si>
  <si>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</si>
  <si>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</si>
  <si>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</si>
  <si>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</si>
  <si>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</si>
  <si>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</si>
  <si>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</si>
  <si>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</si>
  <si>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</si>
  <si>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</si>
  <si>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</si>
  <si>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</si>
  <si>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</si>
  <si>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</si>
  <si>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</si>
  <si>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</si>
  <si>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</si>
  <si>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</si>
  <si>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</si>
  <si>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</si>
  <si>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</si>
  <si>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</si>
  <si>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</si>
  <si>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</si>
  <si>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</si>
  <si>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</si>
  <si>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</si>
  <si>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</si>
  <si>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</si>
  <si>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</si>
  <si>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</si>
  <si>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</si>
  <si>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</si>
  <si>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</si>
  <si>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</si>
  <si>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</si>
  <si>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</si>
  <si>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</si>
  <si>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</si>
  <si>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</si>
  <si>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散射手射程检测</t>
  </si>
  <si>
    <t>普通技能</t>
  </si>
  <si>
    <t>1,0#1,1#1,-1</t>
  </si>
  <si>
    <t>散射手射程标记</t>
  </si>
  <si>
    <t>被动</t>
  </si>
  <si>
    <t>出场</t>
  </si>
  <si>
    <t>仅自己</t>
  </si>
  <si>
    <t>抵抗变化,嘲讽变化</t>
  </si>
  <si>
    <t>0,0#0,1#0,-1#1,0#2,0#1,1#1,-1#2,1#2,-1#-1,0#-1,1#-1,-1</t>
  </si>
  <si>
    <t>凝滞师X模天赋后续</t>
  </si>
  <si>
    <t>凝滞师X模技力回复</t>
  </si>
  <si>
    <t>群攻</t>
  </si>
  <si>
    <t>术战者Y模阻挡标记</t>
  </si>
  <si>
    <t>0,0</t>
  </si>
  <si>
    <t>术战者Y模阻挡检测</t>
  </si>
  <si>
    <t>法术脆弱</t>
  </si>
  <si>
    <t>致命</t>
  </si>
  <si>
    <t>无畏者Y模减血</t>
  </si>
  <si>
    <t>12F攻击</t>
  </si>
  <si>
    <t>终点距离</t>
  </si>
  <si>
    <t>0,0#0,1#0,-1#1,0#2,0#1,1#1,-1</t>
  </si>
  <si>
    <t>Magic</t>
  </si>
  <si>
    <t>跟随攻击</t>
  </si>
  <si>
    <t>炎溶击中</t>
  </si>
  <si>
    <t>12F闪避</t>
  </si>
  <si>
    <t>猎蜂攻击</t>
  </si>
  <si>
    <t>近战</t>
  </si>
  <si>
    <t>猎蜂2增益</t>
  </si>
  <si>
    <t>0,0#1,0</t>
  </si>
  <si>
    <t>Normal</t>
  </si>
  <si>
    <t>猎蜂清空攻击,猎蜂攻击减伤</t>
  </si>
  <si>
    <t>猎蜂攻击后续</t>
  </si>
  <si>
    <t>猎蜂加攻击</t>
  </si>
  <si>
    <t>猎蜂清空攻击</t>
  </si>
  <si>
    <t>击杀</t>
  </si>
  <si>
    <t>猎蜂攻击减伤</t>
  </si>
  <si>
    <t>猎蜂攻击减伤标记</t>
  </si>
  <si>
    <t>猎蜂天赋</t>
  </si>
  <si>
    <t>猎蜂天赋加攻速,猎蜂半血标记</t>
  </si>
  <si>
    <t>猎蜂天赋加攻速</t>
  </si>
  <si>
    <t>猎蜂半血标记</t>
  </si>
  <si>
    <t>猎蜂加攻速</t>
  </si>
  <si>
    <t>猎蜂1</t>
  </si>
  <si>
    <t>高机动</t>
  </si>
  <si>
    <t>获得60%的物理闪避</t>
  </si>
  <si>
    <t>skill_icon_skchr_brownb_1</t>
  </si>
  <si>
    <t>猎蜂闪避</t>
  </si>
  <si>
    <t>猎蜂2</t>
  </si>
  <si>
    <t>急速拳</t>
  </si>
  <si>
    <t>攻击间隔大幅度减小(-60%)</t>
  </si>
  <si>
    <t>skill_icon_skchr_brownb_2</t>
  </si>
  <si>
    <t>充能释放</t>
  </si>
  <si>
    <t>手动</t>
  </si>
  <si>
    <t>猎蜂2攻击</t>
  </si>
  <si>
    <t>自动</t>
  </si>
  <si>
    <t>Skill_Begin,Skill_Loop,Skill_End</t>
  </si>
  <si>
    <t>0,0#0,1#0,-1#1,0#2,0#1,1#1,-1#2,1#2,-1</t>
  </si>
  <si>
    <t>减速</t>
  </si>
  <si>
    <t>格雷伊2</t>
  </si>
  <si>
    <t>静电释放</t>
  </si>
  <si>
    <t>攻击速度+80，天赋停顿的持续时间提升至2倍</t>
  </si>
  <si>
    <t>skill_icon_skchr_greyy_2</t>
  </si>
  <si>
    <t>格雷伊2攻击</t>
  </si>
  <si>
    <t>格雷伊2增益</t>
  </si>
  <si>
    <t>苏苏洛攻击</t>
  </si>
  <si>
    <t>血量比例升序</t>
  </si>
  <si>
    <t>0,0#0,1#0,-1#1,0#2,0#1,1#1,-1#2,1#2,-1#3,0#3,1#3,-1</t>
  </si>
  <si>
    <t>苏苏洛半血判定</t>
  </si>
  <si>
    <t>末药弹道</t>
  </si>
  <si>
    <t>Muzzle</t>
  </si>
  <si>
    <t>苏苏洛半血增疗</t>
  </si>
  <si>
    <t>末药击中</t>
  </si>
  <si>
    <t>苏苏洛半血判定标记</t>
  </si>
  <si>
    <t>苏苏洛天赋</t>
  </si>
  <si>
    <t>入场</t>
  </si>
  <si>
    <t>苏苏洛治疗增益</t>
  </si>
  <si>
    <t>苏苏洛2</t>
  </si>
  <si>
    <t>深度治疗</t>
  </si>
  <si>
    <t>攻击力+100%，攻击速度+100\n同一次作战中最多使用2次(暂改为同一次部署最多使用2次)</t>
  </si>
  <si>
    <t>skill_icon_skchr_susuro_2</t>
  </si>
  <si>
    <t>苏苏洛2增益</t>
  </si>
  <si>
    <t>1,100</t>
  </si>
  <si>
    <t>坚雷攻击</t>
  </si>
  <si>
    <t>月见夜击中</t>
  </si>
  <si>
    <t>坚雷天赋</t>
  </si>
  <si>
    <t>攻击提升2,生命提升2</t>
  </si>
  <si>
    <t>坚雷1</t>
  </si>
  <si>
    <t>攻击力强化·β型</t>
  </si>
  <si>
    <t>攻击力+80%</t>
  </si>
  <si>
    <t>skill_icon_skcom_atk_up[2]</t>
  </si>
  <si>
    <t>坚雷1攻击</t>
  </si>
  <si>
    <t>泡普卡加攻</t>
  </si>
  <si>
    <t>月见夜技能击中</t>
  </si>
  <si>
    <t>坚雷2</t>
  </si>
  <si>
    <t>起盾回击</t>
  </si>
  <si>
    <t>攻击力+80%，同时攻击阻挡的所有敌人</t>
  </si>
  <si>
    <t>skill_icon_skchr_durnar_2</t>
  </si>
  <si>
    <t>坚雷2攻击</t>
  </si>
  <si>
    <t>受击</t>
  </si>
  <si>
    <t>坚雷2增益</t>
  </si>
  <si>
    <t>Skill_Start,Skill_Loop,Skill_End</t>
  </si>
  <si>
    <t>地灵击中</t>
  </si>
  <si>
    <t>红云攻击</t>
  </si>
  <si>
    <t>飞行</t>
  </si>
  <si>
    <t>普通弓箭</t>
  </si>
  <si>
    <t>速射手X模增伤</t>
  </si>
  <si>
    <t>普通击中</t>
  </si>
  <si>
    <t>红云天赋</t>
  </si>
  <si>
    <t>红云天赋增益</t>
  </si>
  <si>
    <t>红云2</t>
  </si>
  <si>
    <t>双弦开弓</t>
  </si>
  <si>
    <t>攻击力+45%，每次攻击额外攻击1个目标</t>
  </si>
  <si>
    <t>skill_icon_skchr_clour_2</t>
  </si>
  <si>
    <t>红云2攻击</t>
  </si>
  <si>
    <t>红云2增益</t>
  </si>
  <si>
    <t>暴行攻击</t>
  </si>
  <si>
    <t>强攻手X模增伤</t>
  </si>
  <si>
    <t>推王攻击启动</t>
  </si>
  <si>
    <t>火神击中</t>
  </si>
  <si>
    <t>暴行天赋</t>
  </si>
  <si>
    <t>暴行被动增益</t>
  </si>
  <si>
    <t>0.15,0.15</t>
  </si>
  <si>
    <t>暴行1</t>
  </si>
  <si>
    <t>强力击·β型</t>
  </si>
  <si>
    <t>下次攻击的攻击力提高至230%</t>
  </si>
  <si>
    <t>skill_icon_skcom_powerstrike[2]</t>
  </si>
  <si>
    <t>攻击</t>
  </si>
  <si>
    <t>暴行2</t>
  </si>
  <si>
    <t>微差爆破</t>
  </si>
  <si>
    <t>对前方三格范围内至多5个敌人造成相当于攻击力400%的物理伤害</t>
  </si>
  <si>
    <t>skill_icon_skchr_savage_2</t>
  </si>
  <si>
    <t>0,0#1,0#2,0#3,0</t>
  </si>
  <si>
    <t>Skill</t>
  </si>
  <si>
    <t>芙兰卡2抬手</t>
  </si>
  <si>
    <t>夜魔1增益</t>
  </si>
  <si>
    <t>0,0#0,1#0,-1#1,0#2,0#1,1#1,-1#2,1#2,-1#3,0</t>
  </si>
  <si>
    <t>夜魔Y模回复技力</t>
  </si>
  <si>
    <t>史都华德弹道</t>
  </si>
  <si>
    <t>夜魔命中标记</t>
  </si>
  <si>
    <t>史都华德击中</t>
  </si>
  <si>
    <t>夜魔Y模回复技力后续</t>
  </si>
  <si>
    <t>回复技力</t>
  </si>
  <si>
    <t>{"PowerCount":1}</t>
  </si>
  <si>
    <t>夜魔1</t>
  </si>
  <si>
    <t>灵魂汲取</t>
  </si>
  <si>
    <t>每次攻击对敌人造成伤害的同时会对范围内至多2名友方单位恢复相当于自身攻击力100%的生命值</t>
  </si>
  <si>
    <t>skill_icon_skchr_nightm_1</t>
  </si>
  <si>
    <t>夜魔1天赋,夜魔1攻击</t>
  </si>
  <si>
    <t>夜魔1天赋</t>
  </si>
  <si>
    <t>夜魔1物理闪避,夜魔1法术闪避</t>
  </si>
  <si>
    <t>夜魔1攻击</t>
  </si>
  <si>
    <t>夜魔1治疗</t>
  </si>
  <si>
    <t>赫默弹道</t>
  </si>
  <si>
    <t>治疗击中</t>
  </si>
  <si>
    <t>夜魔2</t>
  </si>
  <si>
    <t>夜魇魔影</t>
  </si>
  <si>
    <t>立即对攻击范围内最多5名敌人施加梦魇效果：敌人的移动速度-60%，并令其在移动时受到正比于距离的真实伤害（1200/格），持续10秒\n(暂改为每秒600真实伤害)</t>
  </si>
  <si>
    <t>skill_icon_skchr_nightm_2</t>
  </si>
  <si>
    <t>夜魔2天赋</t>
  </si>
  <si>
    <t>夜魔2减速,夜魔2中毒</t>
  </si>
  <si>
    <t>夜魔2增益</t>
  </si>
  <si>
    <t>格拉尼攻击</t>
  </si>
  <si>
    <t>格拉尼2增益</t>
  </si>
  <si>
    <t>Skill_Begin,Attack,Skill_End</t>
  </si>
  <si>
    <t>Skill_Begin,Attack_Down,Skill_End</t>
  </si>
  <si>
    <t>红豆抬手</t>
  </si>
  <si>
    <t>红豆击中</t>
  </si>
  <si>
    <t>格拉尼天赋</t>
  </si>
  <si>
    <t>格拉尼闪避</t>
  </si>
  <si>
    <t>格拉尼2</t>
  </si>
  <si>
    <t>永不后退！</t>
  </si>
  <si>
    <t>攻击范围缩短，攻击力和防御力+80%，阻挡数+1，同时攻击阻挡的所有敌人</t>
  </si>
  <si>
    <t>skill_icon_skchr_grani_2</t>
  </si>
  <si>
    <t>格拉尼2攻击</t>
  </si>
  <si>
    <t>0.8,0.8,1</t>
  </si>
  <si>
    <t>诗怀雅攻击</t>
  </si>
  <si>
    <t>诗怀雅远程攻击</t>
  </si>
  <si>
    <t>Attack_Down</t>
  </si>
  <si>
    <t>杜宾击中</t>
  </si>
  <si>
    <t>0,0#1,0#2,0</t>
  </si>
  <si>
    <t>诗怀雅天赋</t>
  </si>
  <si>
    <t>诗怀雅1增益,诗怀雅2增益</t>
  </si>
  <si>
    <t>0,0#0,1#0,-1#1,0#1,1#1,-1#-1,0#-1,1#-1,-1</t>
  </si>
  <si>
    <t>诗怀雅技力检测</t>
  </si>
  <si>
    <t>诗怀雅加攻</t>
  </si>
  <si>
    <t>自己以外</t>
  </si>
  <si>
    <t>诗怀雅回复技力</t>
  </si>
  <si>
    <t>诗怀雅1</t>
  </si>
  <si>
    <t>指挥调度</t>
  </si>
  <si>
    <t>第一天赋生效范围大幅度扩大，效果提升至2倍</t>
  </si>
  <si>
    <t>skill_icon_skchr_swire_1</t>
  </si>
  <si>
    <t>诗怀雅1天赋</t>
  </si>
  <si>
    <t>诗怀雅1增益</t>
  </si>
  <si>
    <t>0,0#0,1#0,2#0,-1#0,-2#-1,0#-1,1#-1,2#-1,-1#-1,-2#1,0#1,1#1,2#1,-1#1,-2#2,0#2,1#2,-1#-2,0#-2,1#-2,-1</t>
  </si>
  <si>
    <t>诗怀雅2</t>
  </si>
  <si>
    <t>协同作战</t>
  </si>
  <si>
    <t>攻击力+80%，第一天赋效果提升至3倍</t>
  </si>
  <si>
    <t>skill_icon_skchr_swire_2</t>
  </si>
  <si>
    <t>诗怀雅2天赋</t>
  </si>
  <si>
    <t>诗怀雅2增益</t>
  </si>
  <si>
    <t>锡兰攻击</t>
  </si>
  <si>
    <t>0,0#0,1#0,-1#1,0#2,0#1,1#1,-1#2,1#2,-1#3,0#3,1#3,-1#0,2#0,-2#1,2#1,-2#2,2#2,-2</t>
  </si>
  <si>
    <t>锡兰外圈判定</t>
  </si>
  <si>
    <t>初雪弹道</t>
  </si>
  <si>
    <t>锡兰外圈减疗</t>
  </si>
  <si>
    <t>3,0#3,1#3,-1#0,2#0,-2#1,2#1,-2#2,2#2,-2</t>
  </si>
  <si>
    <t>锡兰外圈判定标记</t>
  </si>
  <si>
    <t>锡兰天赋</t>
  </si>
  <si>
    <t>锡兰检测水地形</t>
  </si>
  <si>
    <t>锡兰加攻</t>
  </si>
  <si>
    <t>锡兰检测水地形后续</t>
  </si>
  <si>
    <t>锡兰水地形加攻</t>
  </si>
  <si>
    <t>锡兰1</t>
  </si>
  <si>
    <t>集中式水疗</t>
  </si>
  <si>
    <t>下次治疗时的治疗量提升至攻击力的200%，并且不会因特性效果而降低\n可以充能3次</t>
  </si>
  <si>
    <t>skill_icon_skchr_ceylon_1</t>
  </si>
  <si>
    <t>锡兰2</t>
  </si>
  <si>
    <t>水灵庇护</t>
  </si>
  <si>
    <t>攻击力+60%，治疗目标数+1，持续时间内攻击范围内的友方单位获得抵抗</t>
  </si>
  <si>
    <t>skill_icon_skchr_ceylon_2</t>
  </si>
  <si>
    <t>锡兰2攻击,锡兰2抵抗</t>
  </si>
  <si>
    <t>锡兰2增益</t>
  </si>
  <si>
    <t>锡兰2攻击</t>
  </si>
  <si>
    <t>锡兰2抵抗</t>
  </si>
  <si>
    <t>抵抗变化</t>
  </si>
  <si>
    <t>格劳克斯攻击</t>
  </si>
  <si>
    <t>无人机</t>
  </si>
  <si>
    <t>梅尔弹道</t>
  </si>
  <si>
    <t>格劳克斯增伤</t>
  </si>
  <si>
    <t>梅尔抬手</t>
  </si>
  <si>
    <t>梅尔击中</t>
  </si>
  <si>
    <t>格劳克斯1</t>
  </si>
  <si>
    <t>攻击力+50%，额外攻击一个目标</t>
  </si>
  <si>
    <t>skill_icon_skchr_glacus_1</t>
  </si>
  <si>
    <t>格劳克斯1攻击</t>
  </si>
  <si>
    <t>格劳克斯1增益</t>
  </si>
  <si>
    <t>格劳克斯2</t>
  </si>
  <si>
    <t>反制电磁脉冲</t>
  </si>
  <si>
    <t>向周围发射一道冲击波，击中的所有敌人受到攻击力400%的法术伤害并束缚6秒；如果目标是【无人机】，受到的伤害加倍并将效果改为晕眩（暂改为对空伤害翻倍，攻击任何目标都会附加眩晕）</t>
  </si>
  <si>
    <t>skill_icon_skchr_glacus_2</t>
  </si>
  <si>
    <t>0,0#0,1#0,-1#1,0#-1,0#2,0#1,1#1,-1#0,2#0,-2#-1,1#-1,-1#-2,0#3,0#2,1#2,-1#1,2#1,-2#0,3#0,-3#-1,2#-1,-2#-2,-1#-2,1#-3,0</t>
  </si>
  <si>
    <t>格劳克斯2眩晕</t>
  </si>
  <si>
    <t>格劳克斯2增伤</t>
  </si>
  <si>
    <t>束缚</t>
  </si>
  <si>
    <t>蓄力</t>
  </si>
  <si>
    <t>眩晕</t>
  </si>
  <si>
    <t>星极攻击</t>
  </si>
  <si>
    <t>拉普兰德近战抬手</t>
  </si>
  <si>
    <t>拉普兰德近战击中</t>
  </si>
  <si>
    <t>星极天赋</t>
  </si>
  <si>
    <t>星极天赋增益</t>
  </si>
  <si>
    <t>7,0.04</t>
  </si>
  <si>
    <t>星极1</t>
  </si>
  <si>
    <t>星座守护</t>
  </si>
  <si>
    <t>攻击力+50%，防御力+80%</t>
  </si>
  <si>
    <t>skill_icon_skchr_astesi_1</t>
  </si>
  <si>
    <t>星极1增益</t>
  </si>
  <si>
    <t>0.5,0.8</t>
  </si>
  <si>
    <t>星极2</t>
  </si>
  <si>
    <t>星辉剑</t>
  </si>
  <si>
    <t>攻击力+80%，防御力+80%，阻挡数+1，同时攻击阻挡的所有敌人</t>
  </si>
  <si>
    <t>skill_icon_skchr_astesi_2</t>
  </si>
  <si>
    <t>星极2增益</t>
  </si>
  <si>
    <t>星极2攻击</t>
  </si>
  <si>
    <t>拉普兰德2击中</t>
  </si>
  <si>
    <t>炎客攻击</t>
  </si>
  <si>
    <t>芙兰卡抬手</t>
  </si>
  <si>
    <t>芙兰卡击中</t>
  </si>
  <si>
    <t>炎客天赋</t>
  </si>
  <si>
    <t>事件目标替换</t>
  </si>
  <si>
    <t>死亡</t>
  </si>
  <si>
    <t>0,0#0,1#0,-1#1,0#-1,0</t>
  </si>
  <si>
    <t>炎客天赋加血</t>
  </si>
  <si>
    <t>炎客1</t>
  </si>
  <si>
    <t>歃血</t>
  </si>
  <si>
    <t>下次攻击的攻击力提高至220%，并回复自身8%的生命</t>
  </si>
  <si>
    <t>skill_icon_skchr_flameb_1</t>
  </si>
  <si>
    <t>炎客1回血</t>
  </si>
  <si>
    <t>Skill_1</t>
  </si>
  <si>
    <t>炎客2</t>
  </si>
  <si>
    <t>刃鬼</t>
  </si>
  <si>
    <t>攻击力+70%，攻击速度+45\n持续时间无限</t>
  </si>
  <si>
    <t>skill_icon_skchr_flameb_2</t>
  </si>
  <si>
    <t>炎客2攻击</t>
  </si>
  <si>
    <t>炎客2增益,炎客2动作</t>
  </si>
  <si>
    <t>0.7,45</t>
  </si>
  <si>
    <t>炎客2增益</t>
  </si>
  <si>
    <t>Skill_2</t>
  </si>
  <si>
    <t>送葬人攻击</t>
  </si>
  <si>
    <r>
      <rPr>
        <sz val="11"/>
        <color theme="1"/>
        <rFont val="宋体"/>
        <family val="3"/>
        <charset val="134"/>
        <scheme val="minor"/>
      </rPr>
      <t>0,0#1,0</t>
    </r>
    <r>
      <rPr>
        <sz val="11"/>
        <color theme="1"/>
        <rFont val="宋体"/>
        <family val="3"/>
        <charset val="134"/>
        <scheme val="minor"/>
      </rPr>
      <t>#1,1#1,-1#2,0#2,1#2,-1</t>
    </r>
  </si>
  <si>
    <t>散射手X模增伤,送葬人穿甲</t>
  </si>
  <si>
    <t>守林人击中</t>
  </si>
  <si>
    <t>送葬人1</t>
  </si>
  <si>
    <t>铳口收束</t>
  </si>
  <si>
    <t>攻击力+70%，攻击时对攻击范围内的所有敌人应用特性加成</t>
  </si>
  <si>
    <t>skill_icon_skchr_excu_1</t>
  </si>
  <si>
    <t>送葬人1射程检测</t>
  </si>
  <si>
    <t>送葬人1增益</t>
  </si>
  <si>
    <t>送葬人2</t>
  </si>
  <si>
    <t>最终旅程</t>
  </si>
  <si>
    <t>普通攻击变为二连击，且攻击间隔较大幅度缩短(-0.9)</t>
  </si>
  <si>
    <t>skill_icon_skchr_excu_2</t>
  </si>
  <si>
    <t>送葬人2攻击</t>
  </si>
  <si>
    <t>送葬人2增益</t>
  </si>
  <si>
    <t>Skill_Right_Begin,Skill_Right_Loop,Skill_Right_End</t>
  </si>
  <si>
    <t>Skill_Down_Begin,Skill_Down_Loop,Skill_Down_End</t>
  </si>
  <si>
    <t>斯卡蒂X攻击</t>
  </si>
  <si>
    <t>Attack_Begin,Attack,Attack_End</t>
  </si>
  <si>
    <t>无畏者X模增伤,送葬人穿甲</t>
  </si>
  <si>
    <t>斯卡蒂X深海天赋</t>
  </si>
  <si>
    <t>斯卡蒂,幽灵鲨</t>
  </si>
  <si>
    <t>斯卡蒂X自身天赋</t>
  </si>
  <si>
    <t>斯卡蒂X深海增益</t>
  </si>
  <si>
    <t>斯卡蒂减再部署</t>
  </si>
  <si>
    <t>斯卡蒂2</t>
  </si>
  <si>
    <t>跃浪击</t>
  </si>
  <si>
    <t>部署后30秒内攻击力+170%</t>
  </si>
  <si>
    <t>skill_icon_skchr_skadi_2</t>
  </si>
  <si>
    <t>落地</t>
  </si>
  <si>
    <t>斯卡蒂2增益</t>
  </si>
  <si>
    <t>斯卡蒂3</t>
  </si>
  <si>
    <t>涌潮悲歌</t>
  </si>
  <si>
    <t>攻击力、防御力和生命上限各+130%</t>
  </si>
  <si>
    <t>skill_icon_skchr_skadi_3</t>
  </si>
  <si>
    <t>斯卡蒂3增益</t>
  </si>
  <si>
    <t>1.3,1.3,1.3</t>
  </si>
  <si>
    <t>陈攻击</t>
  </si>
  <si>
    <t>陈3无敌</t>
  </si>
  <si>
    <t>Attack_Pre,Attack,Attack_End</t>
  </si>
  <si>
    <t>陈天赋</t>
  </si>
  <si>
    <t>陈回复技力</t>
  </si>
  <si>
    <t>陈天赋增益,陈物理闪避</t>
  </si>
  <si>
    <t>0.06,0.06</t>
  </si>
  <si>
    <t>Target.MainSkill.SkillData.PowerType == 1 || Target.MainSkill.SkillData.PowerType == 2</t>
  </si>
  <si>
    <t>陈回复自身技力</t>
  </si>
  <si>
    <t>{"PowerCount":2}</t>
  </si>
  <si>
    <t>陈1</t>
  </si>
  <si>
    <t>鞘击</t>
  </si>
  <si>
    <t>下次攻击使用刀鞘砸向敌人，造成相当于攻击力320%的物理伤害，令命中目标晕眩1.5秒</t>
  </si>
  <si>
    <t>skill_icon_skchr_chen_1</t>
  </si>
  <si>
    <t>陈1结束</t>
  </si>
  <si>
    <t>芙兰卡2击中</t>
  </si>
  <si>
    <t>技能结束</t>
  </si>
  <si>
    <t>Skill_End</t>
  </si>
  <si>
    <t>陈2</t>
  </si>
  <si>
    <t>赤霄·拔刀</t>
  </si>
  <si>
    <t>对前方范围内最多7名敌人造成相当于攻击力500%的物理和相当于攻击力500%的法术伤害</t>
  </si>
  <si>
    <t>skill_icon_skchr_chen_2</t>
  </si>
  <si>
    <t>0,0#0,1#0,-1#1,0#2,0#1,1#1,-1#3,0</t>
  </si>
  <si>
    <t>陈2附伤,陈2结束</t>
  </si>
  <si>
    <t>陈2标记</t>
  </si>
  <si>
    <t>陈2附伤</t>
  </si>
  <si>
    <t>陈2结束</t>
  </si>
  <si>
    <t>Skill_End_2</t>
  </si>
  <si>
    <t>陈3</t>
  </si>
  <si>
    <t>赤霄·绝影</t>
  </si>
  <si>
    <t>向周围寻找最近的敌方目标并发动10次连续斩击，每次使目标在5秒内受到30%的脆弱效果，造成相当于攻击力400%的物理伤害，最后一击额外使目标晕眩5秒\n技能期间获得无敌、不可阻挡和控制效果免疫</t>
  </si>
  <si>
    <t>skill_icon_skchr_chen_3</t>
  </si>
  <si>
    <t>0,0#0,1#0,-1#1,0#-1,0#2,0#1,1#1,-1#0,2#0,-2#-1,1#-1,-1#-2,0</t>
  </si>
  <si>
    <t>陈3结束</t>
  </si>
  <si>
    <t>陈3攻击,陈3最终攻击,陈3攻击动作,陈3启动,陈3启动后续</t>
  </si>
  <si>
    <t>陈3启动</t>
  </si>
  <si>
    <t>抵抗变化,阻挡变化,陈3无敌</t>
  </si>
  <si>
    <t>陈3启动后续</t>
  </si>
  <si>
    <t>陈3禁止收尾</t>
  </si>
  <si>
    <t>陈3攻击动作</t>
  </si>
  <si>
    <t>Skill_3</t>
  </si>
  <si>
    <t>陈3攻击</t>
  </si>
  <si>
    <t>自身距离升序</t>
  </si>
  <si>
    <t>近身</t>
  </si>
  <si>
    <t>陈3最终攻击</t>
  </si>
  <si>
    <t>Skill_End_3,Attack_End</t>
  </si>
  <si>
    <t>黑攻击</t>
  </si>
  <si>
    <t>黑3增益</t>
  </si>
  <si>
    <t>黑暴击</t>
  </si>
  <si>
    <t>Attack_Begin,Attack_Loop,Attack_End</t>
  </si>
  <si>
    <t>守林人弹道</t>
  </si>
  <si>
    <t>守林人抬手</t>
  </si>
  <si>
    <t>黑减防</t>
  </si>
  <si>
    <t>黑天赋</t>
  </si>
  <si>
    <t>黑天赋检测</t>
  </si>
  <si>
    <t>黑减再部署</t>
  </si>
  <si>
    <t>黑天赋检测2</t>
  </si>
  <si>
    <t>黑天赋增益</t>
  </si>
  <si>
    <t>黑1</t>
  </si>
  <si>
    <t>强弩</t>
  </si>
  <si>
    <t>下一次攻击的攻击力提高至220%，且天赋发动概率提高至80%</t>
  </si>
  <si>
    <t>skill_icon_skchr_shwaz_1</t>
  </si>
  <si>
    <t>黑1攻击,黑1暴击</t>
  </si>
  <si>
    <t>1,4</t>
  </si>
  <si>
    <t>黑1攻击</t>
  </si>
  <si>
    <t>黑1暴击</t>
  </si>
  <si>
    <t>黑2</t>
  </si>
  <si>
    <t>暮眼锐瞳</t>
  </si>
  <si>
    <t>攻击力+130%，天赋的发动概率提高至50%</t>
  </si>
  <si>
    <t>skill_icon_skchr_shwaz_2</t>
  </si>
  <si>
    <t>黑2攻击,黑2暴击</t>
  </si>
  <si>
    <t>黑2增益</t>
  </si>
  <si>
    <t>黑2攻击</t>
  </si>
  <si>
    <t>黑2暴击</t>
  </si>
  <si>
    <t>黑3</t>
  </si>
  <si>
    <t>战术的终结</t>
  </si>
  <si>
    <t>攻击范围改为前方4格，攻击间隔略微增大(+0.4)，攻击力+180%，天赋的发动概率提高至100%</t>
  </si>
  <si>
    <t>skill_icon_skchr_shwaz_3</t>
  </si>
  <si>
    <t>黑3攻击,黑3结束</t>
  </si>
  <si>
    <t>Skill_Begin</t>
  </si>
  <si>
    <t>黑常态动作</t>
  </si>
  <si>
    <t>黑3增益,黑3动作,黑3特效</t>
  </si>
  <si>
    <t>1.8,0.4</t>
  </si>
  <si>
    <t>黑3攻击</t>
  </si>
  <si>
    <t>特技激活</t>
  </si>
  <si>
    <t>0,0#1,0#2,0#3,0#4,0</t>
  </si>
  <si>
    <t>Skill_Loop</t>
  </si>
  <si>
    <t>阿米娅3弹道</t>
  </si>
  <si>
    <t>阿米娅3击中</t>
  </si>
  <si>
    <t>黑3结束</t>
  </si>
  <si>
    <t>黑3动作</t>
  </si>
  <si>
    <t>赫拉格攻击</t>
  </si>
  <si>
    <t>赫拉格治疗</t>
  </si>
  <si>
    <t>赫拉格天赋</t>
  </si>
  <si>
    <t>赫拉格半血攻速,赫拉格半血攻速2,赫拉格天赋回血</t>
  </si>
  <si>
    <t>赫拉格绝食</t>
  </si>
  <si>
    <t>赫拉格半血攻速</t>
  </si>
  <si>
    <t>赫拉格半血增益</t>
  </si>
  <si>
    <t>赫拉格半血攻速2</t>
  </si>
  <si>
    <t>赫拉格天赋回血</t>
  </si>
  <si>
    <t>赫拉格回血</t>
  </si>
  <si>
    <t>赫拉格1</t>
  </si>
  <si>
    <t>新月</t>
  </si>
  <si>
    <t>下次攻击的攻击力提升至175%，并连续攻击两次</t>
  </si>
  <si>
    <t>skill_icon_skchr_helage_1</t>
  </si>
  <si>
    <t>赫拉格1治疗</t>
  </si>
  <si>
    <t>赫拉格2</t>
  </si>
  <si>
    <t>弦月</t>
  </si>
  <si>
    <t>攻击力+80%，攻击变为二连击，获得75%的物理闪避</t>
  </si>
  <si>
    <t>skill_icon_skchr_helage_2</t>
  </si>
  <si>
    <t>赫拉格2攻击</t>
  </si>
  <si>
    <t>赫拉格2增益,赫拉格2闪避</t>
  </si>
  <si>
    <t>赫拉格2增益</t>
  </si>
  <si>
    <t>赫拉格3</t>
  </si>
  <si>
    <t>满月</t>
  </si>
  <si>
    <t>攻击力+100%，攻击范围+2格，最多可以同时攻击3个目标</t>
  </si>
  <si>
    <t>skill_icon_skchr_helage_3</t>
  </si>
  <si>
    <t>赫拉格3攻击</t>
  </si>
  <si>
    <t>赫拉格3增益</t>
  </si>
  <si>
    <t>赫拉格治疗,赫拉格3特效</t>
  </si>
  <si>
    <t>Skill_3_Begin,Skill_3_Loop,Skill_3_End</t>
  </si>
  <si>
    <t>棘刺近战抬手</t>
  </si>
  <si>
    <t>银灰真银斩击中</t>
  </si>
  <si>
    <t>赫拉格3特效</t>
  </si>
  <si>
    <t>霜叶1抬手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</si>
  <si>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</si>
  <si>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</si>
  <si>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</si>
  <si>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</si>
  <si>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</si>
  <si>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</si>
  <si>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</si>
  <si>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</si>
  <si>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</si>
  <si>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</si>
  <si>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</si>
  <si>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</si>
  <si>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</si>
  <si>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</si>
  <si>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</si>
  <si>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</si>
  <si>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</si>
  <si>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</si>
  <si>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</si>
  <si>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</si>
  <si>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</si>
  <si>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</si>
  <si>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闪避</t>
  </si>
  <si>
    <t>{"Chance":0.5,"AvoidType":"Normal"}</t>
  </si>
  <si>
    <t>数值变化</t>
  </si>
  <si>
    <t>{"t":["AttackRate","DefenceRate"]}</t>
  </si>
  <si>
    <t>减伤</t>
  </si>
  <si>
    <t>{"Rate":0.5,"TargetBuffNeed":"猎蜂攻击减伤标记"}</t>
  </si>
  <si>
    <t>{"t":["AgiAdd"]}</t>
  </si>
  <si>
    <t>数值变化叠加</t>
  </si>
  <si>
    <t>{"t":["AttackRate"],"MaxLevel":5}</t>
  </si>
  <si>
    <t>普通Buff</t>
  </si>
  <si>
    <t>{"Chance":0.6,"AvoidType":"Normal"}</t>
  </si>
  <si>
    <t>攻击强化</t>
  </si>
  <si>
    <t>{"t":["AttackGapRate"]}</t>
  </si>
  <si>
    <t>{"t":["HealDamageReceiveRate"]}</t>
  </si>
  <si>
    <t>苏苏洛1增益</t>
  </si>
  <si>
    <t>支援强化</t>
  </si>
  <si>
    <t>{"t":["AttackRate"]}</t>
  </si>
  <si>
    <t>{"t":["AttackRate","AgiAdd"]}</t>
  </si>
  <si>
    <t>{"t":["PowerSpeedAdd"]}</t>
  </si>
  <si>
    <t>夜魔1物理闪避</t>
  </si>
  <si>
    <t>{"Chance":0.55,"AvoidType":"Normal"}</t>
  </si>
  <si>
    <t>夜魔1法术闪避</t>
  </si>
  <si>
    <t>{"Chance":0.55,"AvoidType":"Magic"}</t>
  </si>
  <si>
    <t>夜魔2减速</t>
  </si>
  <si>
    <t>{"t":["SpeedRate"]}</t>
  </si>
  <si>
    <t>夜魔2中毒</t>
  </si>
  <si>
    <t>中毒</t>
  </si>
  <si>
    <t>棘刺中毒</t>
  </si>
  <si>
    <t>{"DamageBase":0,"DamageType":"Real"}</t>
  </si>
  <si>
    <t>{"Chance":0.35,"AvoidType":"Normal"}</t>
  </si>
  <si>
    <t>防御强化</t>
  </si>
  <si>
    <t>{"t":["AttackRate","DefenceRate","StopCountAdd"]}</t>
  </si>
  <si>
    <t>{"t":["AgiAdd","DefenceRate"],"MaxLevel":5}</t>
  </si>
  <si>
    <t>{"t":["HpAdd"],"MaxLevel":30}</t>
  </si>
  <si>
    <t>炎客2动作</t>
  </si>
  <si>
    <t>42锁血特效</t>
  </si>
  <si>
    <t>{"IdleAnimation":["Skill_Idle"],"DieAnimation":["Skill_Die"]}</t>
  </si>
  <si>
    <t>{"t":["AttackGapAdd"]}</t>
  </si>
  <si>
    <t>{"t":["ResetTimeAdd"]}</t>
  </si>
  <si>
    <t>{"t":["AttackRate","DefenceRate","HpRate"]}</t>
  </si>
  <si>
    <t>陈天赋增益</t>
  </si>
  <si>
    <t>陈物理闪避</t>
  </si>
  <si>
    <t>{"Chance":0.13,"AvoidType":"Normal"}</t>
  </si>
  <si>
    <t>无敌</t>
  </si>
  <si>
    <t>降防</t>
  </si>
  <si>
    <t>{"t":["DefenceRate"]}</t>
  </si>
  <si>
    <t>黑3Buff</t>
  </si>
  <si>
    <t>{"t":["AttackRate","AttackGapAdd"]}</t>
  </si>
  <si>
    <t>{"IdleAnimation":["Skill_Idle"]}</t>
  </si>
  <si>
    <t>黑3特效</t>
  </si>
  <si>
    <t>黑3眼buff</t>
  </si>
  <si>
    <t>{"IdleAnimation":["Idle"]}</t>
  </si>
  <si>
    <t>绝食</t>
  </si>
  <si>
    <t>{"HealOnly":"赫拉格"}</t>
  </si>
  <si>
    <t>治愈</t>
  </si>
  <si>
    <t>{"TriggerTime":0.5}</t>
  </si>
  <si>
    <t>赫拉格2闪避</t>
  </si>
  <si>
    <t>{"Chance":0.75,"AvoidType":"Normal"}</t>
  </si>
  <si>
    <t>相关buff</t>
  </si>
  <si>
    <t>Buff</t>
  </si>
  <si>
    <t>散射手增伤</t>
  </si>
  <si>
    <t>对buff伤害</t>
  </si>
  <si>
    <t>{"DamageRate":1.5}</t>
  </si>
  <si>
    <t>散射手X模增伤</t>
  </si>
  <si>
    <t>{"DamageRate":1.6}</t>
  </si>
  <si>
    <t>未阻挡伤害</t>
  </si>
  <si>
    <t>{"Rate":0.909}</t>
  </si>
  <si>
    <t>无畏者X模增伤</t>
  </si>
  <si>
    <t>{"Rate":0.87}</t>
  </si>
  <si>
    <t>对飞行伤害</t>
  </si>
  <si>
    <t>{"DamageRate":1.1}</t>
  </si>
  <si>
    <t>{"DamageRate":1.25}</t>
  </si>
  <si>
    <t>{"DamageRate":0.8}</t>
  </si>
  <si>
    <t>{"DamageRate":1.8}</t>
  </si>
  <si>
    <t>{"DamageRate":2}</t>
  </si>
  <si>
    <t>送葬人穿甲</t>
  </si>
  <si>
    <t>穿甲</t>
  </si>
  <si>
    <t>{"Chance":1,"Value":210}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</si>
  <si>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</si>
  <si>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</si>
  <si>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</si>
  <si>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</si>
  <si>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</si>
  <si>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</si>
  <si>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</si>
  <si>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</si>
  <si>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</si>
  <si>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</si>
  <si>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</si>
  <si>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</si>
  <si>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</si>
  <si>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</si>
  <si>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</si>
  <si>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</si>
  <si>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</si>
  <si>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</si>
  <si>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</si>
  <si>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</si>
  <si>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</si>
  <si>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</si>
  <si>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</si>
  <si>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</si>
  <si>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ghost_skill_02_buff_02</t>
  </si>
  <si>
    <t>0,-0.4,0</t>
  </si>
  <si>
    <t>ghost_skill_02_buff</t>
  </si>
  <si>
    <t>F_R_Eye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</si>
  <si>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</si>
  <si>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</si>
  <si>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</si>
  <si>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</si>
  <si>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</si>
  <si>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</si>
  <si>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</si>
  <si>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</si>
  <si>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</si>
  <si>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</si>
  <si>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</si>
  <si>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</si>
  <si>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</si>
  <si>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</si>
  <si>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</si>
  <si>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</si>
  <si>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</si>
  <si>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</si>
  <si>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</si>
  <si>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</si>
  <si>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</si>
  <si>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普通buff</t>
    <phoneticPr fontId="18" type="noConversion"/>
  </si>
  <si>
    <t>#猎蜂攻击减伤标记</t>
    <phoneticPr fontId="18" type="noConversion"/>
  </si>
  <si>
    <t>普通Buff</t>
    <phoneticPr fontId="18" type="noConversion"/>
  </si>
  <si>
    <t>星极攻击,星极天赋</t>
    <phoneticPr fontId="18" type="noConversion"/>
  </si>
  <si>
    <t>炎客攻击,炎客天赋</t>
    <phoneticPr fontId="18" type="noConversion"/>
  </si>
  <si>
    <t>格劳克斯攻击</t>
    <phoneticPr fontId="18" type="noConversion"/>
  </si>
  <si>
    <t>锡兰</t>
    <phoneticPr fontId="18" type="noConversion"/>
  </si>
  <si>
    <t>锡兰攻击,锡兰天赋</t>
    <phoneticPr fontId="18" type="noConversion"/>
  </si>
  <si>
    <t>格拉尼攻击,格拉尼天赋</t>
    <phoneticPr fontId="18" type="noConversion"/>
  </si>
  <si>
    <t>疗养师X模天赋</t>
    <phoneticPr fontId="18" type="noConversion"/>
  </si>
  <si>
    <t>凝滞师X模天赋</t>
    <phoneticPr fontId="18" type="noConversion"/>
  </si>
  <si>
    <t>凝滞师X模天赋后续</t>
    <phoneticPr fontId="18" type="noConversion"/>
  </si>
  <si>
    <t>术战者Y模法术脆弱</t>
    <phoneticPr fontId="18" type="noConversion"/>
  </si>
  <si>
    <t>术战者Y模阻挡检测</t>
    <phoneticPr fontId="18" type="noConversion"/>
  </si>
  <si>
    <t>无畏者Y模天赋</t>
    <phoneticPr fontId="18" type="noConversion"/>
  </si>
  <si>
    <t>可部署位</t>
    <phoneticPr fontId="18" type="noConversion"/>
  </si>
  <si>
    <t>CanSetPos</t>
    <phoneticPr fontId="18" type="noConversion"/>
  </si>
  <si>
    <t>string[]</t>
    <phoneticPr fontId="18" type="noConversion"/>
  </si>
  <si>
    <t>高台位</t>
    <phoneticPr fontId="18" type="noConversion"/>
  </si>
  <si>
    <t>地面位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</si>
</sst>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charset val="134"/>
      <scheme val="minor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9C5700"/>
      <name val="宋体"/>
      <family val="3"/>
      <charset val="134"/>
      <scheme val="minor"/>
    </font>
    <font>
      <sz val="11"/>
      <color rgb="FF9C0006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0000"/>
      <name val="等线"/>
      <family val="3"/>
      <charset val="134"/>
    </font>
    <font>
      <sz val="10.5"/>
      <color theme="1" tint="4.9989318521683403E-2"/>
      <name val="宋体"/>
      <family val="3"/>
      <charset val="134"/>
    </font>
    <font>
      <sz val="10.5"/>
      <color rgb="FF202122"/>
      <name val="Arial"/>
      <family val="2"/>
    </font>
    <font>
      <sz val="11"/>
      <color rgb="FF9C0006"/>
      <name val="宋体"/>
      <family val="3"/>
      <charset val="134"/>
      <scheme val="minor"/>
    </font>
    <font>
      <sz val="11"/>
      <color rgb="FF9C65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.5"/>
      <color theme="1" tint="4.9989318521683403E-2"/>
      <name val="Arial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BF1DE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5">
    <xf numFmtId="0" fontId="0" fillId="0" borderId="0">
      <alignment vertical="center"/>
    </xf>
    <xf numFmtId="0" fontId="11" fillId="5" borderId="0" applyNumberFormat="0" applyBorder="0" applyAlignment="0" applyProtection="0">
      <alignment vertical="center"/>
    </xf>
    <xf numFmtId="0" fontId="12" fillId="4" borderId="0" applyNumberFormat="0" applyBorder="0" applyAlignment="0" applyProtection="0">
      <alignment vertical="center"/>
    </xf>
    <xf numFmtId="0" fontId="13" fillId="3" borderId="0" applyNumberFormat="0" applyBorder="0" applyAlignment="0" applyProtection="0">
      <alignment vertical="center"/>
    </xf>
    <xf numFmtId="0" fontId="17" fillId="0" borderId="0">
      <alignment vertical="center"/>
    </xf>
  </cellStyleXfs>
  <cellXfs count="27">
    <xf numFmtId="0" fontId="0" fillId="0" borderId="0" xfId="0">
      <alignment vertical="center"/>
    </xf>
    <xf numFmtId="0" fontId="17" fillId="0" borderId="0" xfId="4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2" fillId="2" borderId="0" xfId="0" applyFont="1" applyFill="1">
      <alignment vertical="center"/>
    </xf>
    <xf numFmtId="0" fontId="0" fillId="3" borderId="0" xfId="3" applyFont="1">
      <alignment vertical="center"/>
    </xf>
    <xf numFmtId="0" fontId="0" fillId="4" borderId="1" xfId="2" applyFont="1" applyBorder="1">
      <alignment vertical="center"/>
    </xf>
    <xf numFmtId="0" fontId="4" fillId="4" borderId="0" xfId="2" applyFont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5" borderId="1" xfId="1" applyFont="1" applyBorder="1">
      <alignment vertical="center"/>
    </xf>
    <xf numFmtId="0" fontId="5" fillId="5" borderId="0" xfId="1" applyFont="1">
      <alignment vertical="center"/>
    </xf>
    <xf numFmtId="3" fontId="0" fillId="0" borderId="0" xfId="0" applyNumberForma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49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0" borderId="0" xfId="0" applyAlignment="1"/>
    <xf numFmtId="3" fontId="0" fillId="0" borderId="0" xfId="0" quotePrefix="1" applyNumberFormat="1">
      <alignment vertical="center"/>
    </xf>
    <xf numFmtId="0" fontId="13" fillId="0" borderId="0" xfId="0" applyFont="1">
      <alignment vertical="center"/>
    </xf>
  </cellXfs>
  <cellStyles count="5">
    <cellStyle name="20% - 着色 3" xfId="3" builtinId="38"/>
    <cellStyle name="差" xfId="1" builtinId="27"/>
    <cellStyle name="常规" xfId="0" builtinId="0"/>
    <cellStyle name="常规 2" xfId="4" xr:uid="{00000000-0005-0000-0000-000031000000}"/>
    <cellStyle name="适中" xfId="2" builtinId="28"/>
  </cellStyles>
  <dxfs count="0"/>
  <tableStyles count="0" defaultTableStyle="TableStyleMedium2" defaultPivotStyle="PivotStyleLight16"/>
  <colors>
    <mruColors>
      <color rgb="FFEBF1DE"/>
      <color rgb="FFFFEB9C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8"/>
  <sheetViews>
    <sheetView workbookViewId="0">
      <selection activeCell="A29" sqref="A29:XFD29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  <row r="6" spans="1:2" x14ac:dyDescent="0.25">
      <c r="A6" t="s">
        <v>5</v>
      </c>
    </row>
    <row r="7" spans="1:2" x14ac:dyDescent="0.25">
      <c r="A7" t="s">
        <v>6</v>
      </c>
      <c r="B7" t="s">
        <v>6</v>
      </c>
    </row>
    <row r="8" spans="1:2" x14ac:dyDescent="0.25">
      <c r="A8" t="s">
        <v>7</v>
      </c>
      <c r="B8" t="s">
        <v>7</v>
      </c>
    </row>
    <row r="9" spans="1:2" x14ac:dyDescent="0.25">
      <c r="A9" t="s">
        <v>8</v>
      </c>
      <c r="B9" t="s">
        <v>8</v>
      </c>
    </row>
    <row r="10" spans="1:2" x14ac:dyDescent="0.25">
      <c r="A10" t="s">
        <v>9</v>
      </c>
      <c r="B10" t="s">
        <v>9</v>
      </c>
    </row>
    <row r="11" spans="1:2" x14ac:dyDescent="0.25">
      <c r="A11" t="s">
        <v>10</v>
      </c>
      <c r="B11" t="s">
        <v>10</v>
      </c>
    </row>
    <row r="13" spans="1:2" x14ac:dyDescent="0.25">
      <c r="A13" t="s">
        <v>11</v>
      </c>
    </row>
    <row r="14" spans="1:2" x14ac:dyDescent="0.25">
      <c r="A14" t="s">
        <v>12</v>
      </c>
      <c r="B14" t="s">
        <v>12</v>
      </c>
    </row>
    <row r="15" spans="1:2" x14ac:dyDescent="0.25">
      <c r="A15" t="s">
        <v>13</v>
      </c>
      <c r="B15" t="s">
        <v>13</v>
      </c>
    </row>
    <row r="16" spans="1:2" x14ac:dyDescent="0.25">
      <c r="A16" t="s">
        <v>14</v>
      </c>
      <c r="B16" t="s">
        <v>14</v>
      </c>
    </row>
    <row r="17" spans="1:2" x14ac:dyDescent="0.25">
      <c r="A17" t="s">
        <v>15</v>
      </c>
      <c r="B17" t="s">
        <v>15</v>
      </c>
    </row>
    <row r="18" spans="1:2" x14ac:dyDescent="0.25">
      <c r="A18" t="s">
        <v>16</v>
      </c>
      <c r="B18" t="s">
        <v>16</v>
      </c>
    </row>
    <row r="19" spans="1:2" x14ac:dyDescent="0.25">
      <c r="A19" t="s">
        <v>17</v>
      </c>
      <c r="B19" t="s">
        <v>17</v>
      </c>
    </row>
    <row r="20" spans="1:2" x14ac:dyDescent="0.25">
      <c r="A20" t="s">
        <v>18</v>
      </c>
      <c r="B20" t="s">
        <v>18</v>
      </c>
    </row>
    <row r="21" spans="1:2" x14ac:dyDescent="0.25">
      <c r="A21" t="s">
        <v>19</v>
      </c>
      <c r="B21" t="s">
        <v>19</v>
      </c>
    </row>
    <row r="22" spans="1:2" x14ac:dyDescent="0.25">
      <c r="A22" t="s">
        <v>20</v>
      </c>
      <c r="B22" t="s">
        <v>20</v>
      </c>
    </row>
    <row r="24" spans="1:2" x14ac:dyDescent="0.25">
      <c r="A24" t="s">
        <v>21</v>
      </c>
    </row>
    <row r="25" spans="1:2" x14ac:dyDescent="0.25">
      <c r="A25" t="s">
        <v>22</v>
      </c>
      <c r="B25" t="s">
        <v>22</v>
      </c>
    </row>
    <row r="26" spans="1:2" x14ac:dyDescent="0.25">
      <c r="A26" t="s">
        <v>23</v>
      </c>
      <c r="B26" t="s">
        <v>23</v>
      </c>
    </row>
    <row r="27" spans="1:2" x14ac:dyDescent="0.25">
      <c r="A27" t="s">
        <v>24</v>
      </c>
      <c r="B27" t="s">
        <v>24</v>
      </c>
    </row>
    <row r="28" spans="1:2" x14ac:dyDescent="0.25">
      <c r="A28" t="s">
        <v>25</v>
      </c>
      <c r="B28" t="s">
        <v>25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R602"/>
  <sheetViews>
    <sheetView tabSelected="1" workbookViewId="0">
      <pane xSplit="1" ySplit="3" topLeftCell="AF4" activePane="bottomRight" state="frozen"/>
      <selection pane="topRight"/>
      <selection pane="bottomLeft"/>
      <selection pane="bottomRight" activeCell="AN1" sqref="AN1:AO1048576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2" max="42" width="12.5" customWidth="1"/>
    <col min="49" max="49" width="24.33203125" customWidth="1"/>
    <col min="51" max="51" width="17.75" customWidth="1"/>
    <col min="52" max="52" width="7.83203125" customWidth="1"/>
    <col min="55" max="55" width="24.25" customWidth="1"/>
    <col min="56" max="56" width="13.25" customWidth="1"/>
    <col min="57" max="57" width="16.08203125" customWidth="1"/>
    <col min="58" max="58" width="8" customWidth="1"/>
    <col min="61" max="61" width="27.33203125" customWidth="1"/>
    <col min="63" max="63" width="39.58203125" customWidth="1"/>
    <col min="64" max="64" width="14" customWidth="1"/>
    <col min="65" max="65" width="14.83203125" customWidth="1"/>
    <col min="66" max="69" width="14" customWidth="1"/>
    <col min="70" max="70" width="19.1640625" customWidth="1"/>
  </cols>
  <sheetData>
    <row r="1" spans="1:70" x14ac:dyDescent="0.25">
      <c r="D1" t="s">
        <v>26</v>
      </c>
      <c r="E1" t="s">
        <v>26</v>
      </c>
      <c r="G1" t="s">
        <v>27</v>
      </c>
      <c r="I1" t="s">
        <v>28</v>
      </c>
      <c r="J1" t="s">
        <v>29</v>
      </c>
      <c r="K1" t="s">
        <v>30</v>
      </c>
      <c r="M1" t="s">
        <v>31</v>
      </c>
      <c r="O1" t="s">
        <v>32</v>
      </c>
      <c r="Q1" t="s">
        <v>33</v>
      </c>
      <c r="S1" t="s">
        <v>34</v>
      </c>
      <c r="U1" t="s">
        <v>35</v>
      </c>
      <c r="V1" t="s">
        <v>36</v>
      </c>
      <c r="X1" t="s">
        <v>37</v>
      </c>
      <c r="Y1" t="s">
        <v>38</v>
      </c>
      <c r="Z1" t="s">
        <v>39</v>
      </c>
      <c r="AA1" t="s">
        <v>40</v>
      </c>
      <c r="AB1" t="s">
        <v>41</v>
      </c>
      <c r="AC1" t="s">
        <v>42</v>
      </c>
      <c r="AD1" t="s">
        <v>43</v>
      </c>
      <c r="AE1" t="s">
        <v>44</v>
      </c>
      <c r="AH1" t="s">
        <v>45</v>
      </c>
      <c r="AI1" t="s">
        <v>46</v>
      </c>
      <c r="AJ1" t="s">
        <v>47</v>
      </c>
      <c r="AK1" t="s">
        <v>48</v>
      </c>
      <c r="AL1" t="s">
        <v>49</v>
      </c>
      <c r="AM1" s="26" t="s">
        <v>1144</v>
      </c>
      <c r="AN1" t="s">
        <v>50</v>
      </c>
      <c r="AO1" t="s">
        <v>51</v>
      </c>
      <c r="AP1" t="s">
        <v>52</v>
      </c>
      <c r="AR1" t="s">
        <v>53</v>
      </c>
      <c r="AS1" t="s">
        <v>54</v>
      </c>
      <c r="AT1" t="s">
        <v>55</v>
      </c>
      <c r="AU1" t="s">
        <v>56</v>
      </c>
      <c r="AV1" t="s">
        <v>57</v>
      </c>
      <c r="AW1" t="s">
        <v>58</v>
      </c>
      <c r="AX1" t="s">
        <v>59</v>
      </c>
      <c r="AY1" t="s">
        <v>60</v>
      </c>
      <c r="AZ1" t="s">
        <v>61</v>
      </c>
      <c r="BC1" t="s">
        <v>62</v>
      </c>
      <c r="BD1" t="s">
        <v>63</v>
      </c>
      <c r="BE1" t="s">
        <v>64</v>
      </c>
      <c r="BF1" t="s">
        <v>65</v>
      </c>
      <c r="BG1" t="s">
        <v>66</v>
      </c>
    </row>
    <row r="2" spans="1:70" x14ac:dyDescent="0.25">
      <c r="A2" t="s">
        <v>0</v>
      </c>
      <c r="B2" t="s">
        <v>67</v>
      </c>
      <c r="C2" t="s">
        <v>68</v>
      </c>
      <c r="F2" t="s">
        <v>69</v>
      </c>
      <c r="G2" t="s">
        <v>70</v>
      </c>
      <c r="H2" t="s">
        <v>71</v>
      </c>
      <c r="I2" t="s">
        <v>72</v>
      </c>
      <c r="J2" t="s">
        <v>73</v>
      </c>
      <c r="K2" t="s">
        <v>74</v>
      </c>
      <c r="L2" t="s">
        <v>75</v>
      </c>
      <c r="M2" t="s">
        <v>76</v>
      </c>
      <c r="N2" t="s">
        <v>77</v>
      </c>
      <c r="O2" t="s">
        <v>78</v>
      </c>
      <c r="P2" t="s">
        <v>79</v>
      </c>
      <c r="Q2" t="s">
        <v>80</v>
      </c>
      <c r="R2" t="s">
        <v>81</v>
      </c>
      <c r="S2" t="s">
        <v>82</v>
      </c>
      <c r="T2" t="s">
        <v>83</v>
      </c>
      <c r="U2" t="s">
        <v>84</v>
      </c>
      <c r="V2" t="s">
        <v>85</v>
      </c>
      <c r="W2" t="s">
        <v>86</v>
      </c>
      <c r="X2" t="s">
        <v>87</v>
      </c>
      <c r="Y2" t="s">
        <v>88</v>
      </c>
      <c r="Z2" t="s">
        <v>89</v>
      </c>
      <c r="AA2" t="s">
        <v>90</v>
      </c>
      <c r="AB2" t="s">
        <v>91</v>
      </c>
      <c r="AC2" t="s">
        <v>92</v>
      </c>
      <c r="AD2" t="s">
        <v>93</v>
      </c>
      <c r="AE2" t="s">
        <v>94</v>
      </c>
      <c r="AF2" t="s">
        <v>95</v>
      </c>
      <c r="AG2" t="s">
        <v>96</v>
      </c>
      <c r="AH2" t="s">
        <v>97</v>
      </c>
      <c r="AI2" t="s">
        <v>98</v>
      </c>
      <c r="AJ2" t="s">
        <v>99</v>
      </c>
      <c r="AK2" t="s">
        <v>100</v>
      </c>
      <c r="AL2" t="s">
        <v>101</v>
      </c>
      <c r="AM2" s="26" t="s">
        <v>1145</v>
      </c>
      <c r="AN2" t="s">
        <v>102</v>
      </c>
      <c r="AO2" t="s">
        <v>103</v>
      </c>
      <c r="AP2" t="s">
        <v>104</v>
      </c>
      <c r="AQ2" t="s">
        <v>105</v>
      </c>
      <c r="AR2" t="s">
        <v>106</v>
      </c>
      <c r="AS2" t="s">
        <v>107</v>
      </c>
      <c r="AT2" t="s">
        <v>108</v>
      </c>
      <c r="AU2" t="s">
        <v>109</v>
      </c>
      <c r="AV2" t="s">
        <v>110</v>
      </c>
      <c r="AW2" t="s">
        <v>111</v>
      </c>
      <c r="AX2" t="s">
        <v>112</v>
      </c>
      <c r="AY2" t="s">
        <v>113</v>
      </c>
      <c r="AZ2" t="s">
        <v>114</v>
      </c>
      <c r="BA2" t="s">
        <v>115</v>
      </c>
      <c r="BB2" t="s">
        <v>116</v>
      </c>
      <c r="BC2" t="s">
        <v>117</v>
      </c>
      <c r="BD2" t="s">
        <v>118</v>
      </c>
      <c r="BE2" t="s">
        <v>119</v>
      </c>
      <c r="BF2" t="s">
        <v>120</v>
      </c>
      <c r="BG2" t="s">
        <v>121</v>
      </c>
      <c r="BH2" t="s">
        <v>122</v>
      </c>
      <c r="BI2" t="s">
        <v>123</v>
      </c>
      <c r="BJ2" t="s">
        <v>124</v>
      </c>
      <c r="BK2" t="s">
        <v>125</v>
      </c>
      <c r="BL2" t="s">
        <v>126</v>
      </c>
      <c r="BM2" t="s">
        <v>127</v>
      </c>
      <c r="BN2" t="s">
        <v>128</v>
      </c>
      <c r="BO2" t="s">
        <v>129</v>
      </c>
      <c r="BP2" t="s">
        <v>130</v>
      </c>
      <c r="BQ2" t="s">
        <v>131</v>
      </c>
      <c r="BR2" t="s">
        <v>132</v>
      </c>
    </row>
    <row r="3" spans="1:70" x14ac:dyDescent="0.25">
      <c r="A3" t="s">
        <v>2</v>
      </c>
      <c r="B3" t="s">
        <v>2</v>
      </c>
      <c r="C3" t="s">
        <v>133</v>
      </c>
      <c r="F3" t="s">
        <v>2</v>
      </c>
      <c r="G3" t="s">
        <v>134</v>
      </c>
      <c r="H3" t="s">
        <v>2</v>
      </c>
      <c r="I3" t="s">
        <v>135</v>
      </c>
      <c r="J3" t="s">
        <v>135</v>
      </c>
      <c r="K3" t="s">
        <v>135</v>
      </c>
      <c r="L3" t="s">
        <v>135</v>
      </c>
      <c r="M3" t="s">
        <v>135</v>
      </c>
      <c r="N3" t="s">
        <v>135</v>
      </c>
      <c r="O3" t="s">
        <v>135</v>
      </c>
      <c r="P3" t="s">
        <v>135</v>
      </c>
      <c r="Q3" t="s">
        <v>135</v>
      </c>
      <c r="R3" t="s">
        <v>135</v>
      </c>
      <c r="S3" t="s">
        <v>135</v>
      </c>
      <c r="T3" t="s">
        <v>135</v>
      </c>
      <c r="U3" t="s">
        <v>134</v>
      </c>
      <c r="V3" t="s">
        <v>135</v>
      </c>
      <c r="W3" t="s">
        <v>135</v>
      </c>
      <c r="X3" t="s">
        <v>134</v>
      </c>
      <c r="Y3" t="s">
        <v>134</v>
      </c>
      <c r="Z3" t="s">
        <v>134</v>
      </c>
      <c r="AA3" t="s">
        <v>135</v>
      </c>
      <c r="AB3" t="s">
        <v>134</v>
      </c>
      <c r="AC3" t="s">
        <v>135</v>
      </c>
      <c r="AD3" t="s">
        <v>133</v>
      </c>
      <c r="AE3" t="s">
        <v>135</v>
      </c>
      <c r="AF3" t="s">
        <v>135</v>
      </c>
      <c r="AG3" t="s">
        <v>2</v>
      </c>
      <c r="AH3" t="s">
        <v>2</v>
      </c>
      <c r="AI3" t="s">
        <v>136</v>
      </c>
      <c r="AJ3" t="s">
        <v>136</v>
      </c>
      <c r="AK3" t="s">
        <v>135</v>
      </c>
      <c r="AL3" t="s">
        <v>134</v>
      </c>
      <c r="AM3" s="26" t="s">
        <v>1146</v>
      </c>
      <c r="AN3" t="s">
        <v>135</v>
      </c>
      <c r="AO3" t="s">
        <v>134</v>
      </c>
      <c r="AP3" t="s">
        <v>133</v>
      </c>
      <c r="AR3" t="s">
        <v>134</v>
      </c>
      <c r="AS3" t="s">
        <v>133</v>
      </c>
      <c r="AT3" t="s">
        <v>135</v>
      </c>
      <c r="AU3" t="s">
        <v>137</v>
      </c>
      <c r="AV3" t="s">
        <v>134</v>
      </c>
      <c r="AW3" t="s">
        <v>138</v>
      </c>
      <c r="AX3" t="s">
        <v>133</v>
      </c>
      <c r="AY3" t="s">
        <v>133</v>
      </c>
      <c r="AZ3" t="s">
        <v>134</v>
      </c>
      <c r="BA3" t="s">
        <v>139</v>
      </c>
      <c r="BB3" t="s">
        <v>2</v>
      </c>
      <c r="BC3" t="s">
        <v>2</v>
      </c>
      <c r="BD3" t="s">
        <v>2</v>
      </c>
      <c r="BE3" t="s">
        <v>2</v>
      </c>
      <c r="BF3" t="s">
        <v>140</v>
      </c>
      <c r="BG3" t="s">
        <v>135</v>
      </c>
      <c r="BH3" t="s">
        <v>2</v>
      </c>
      <c r="BI3" t="s">
        <v>141</v>
      </c>
      <c r="BJ3" t="s">
        <v>2</v>
      </c>
      <c r="BK3" t="s">
        <v>142</v>
      </c>
      <c r="BL3" t="s">
        <v>141</v>
      </c>
      <c r="BM3" t="s">
        <v>141</v>
      </c>
      <c r="BN3" t="s">
        <v>141</v>
      </c>
      <c r="BO3" t="s">
        <v>141</v>
      </c>
      <c r="BP3" t="s">
        <v>141</v>
      </c>
      <c r="BQ3" t="s">
        <v>141</v>
      </c>
      <c r="BR3" t="s">
        <v>134</v>
      </c>
    </row>
    <row r="4" spans="1:70" x14ac:dyDescent="0.25">
      <c r="A4" t="s">
        <v>4</v>
      </c>
      <c r="B4" t="s">
        <v>143</v>
      </c>
      <c r="D4" t="s">
        <v>144</v>
      </c>
      <c r="E4" s="17" t="s">
        <v>145</v>
      </c>
      <c r="F4" t="s">
        <v>146</v>
      </c>
      <c r="G4">
        <v>1</v>
      </c>
      <c r="I4">
        <v>0</v>
      </c>
      <c r="J4">
        <v>30</v>
      </c>
      <c r="K4">
        <v>1461</v>
      </c>
      <c r="M4">
        <v>506</v>
      </c>
      <c r="O4">
        <v>50</v>
      </c>
      <c r="Q4">
        <v>10</v>
      </c>
      <c r="S4">
        <v>24</v>
      </c>
      <c r="T4">
        <v>-2</v>
      </c>
      <c r="U4">
        <v>0.5</v>
      </c>
      <c r="V4">
        <v>70</v>
      </c>
      <c r="W4">
        <v>-5</v>
      </c>
      <c r="Y4">
        <v>0.05</v>
      </c>
      <c r="Z4">
        <v>2.9</v>
      </c>
      <c r="AC4">
        <v>1</v>
      </c>
      <c r="AG4" t="s">
        <v>4</v>
      </c>
      <c r="AH4" t="s">
        <v>147</v>
      </c>
      <c r="AI4" t="s">
        <v>148</v>
      </c>
      <c r="AM4" s="26" t="s">
        <v>1147</v>
      </c>
      <c r="AN4">
        <v>1</v>
      </c>
      <c r="AO4">
        <v>0.5</v>
      </c>
      <c r="AV4">
        <v>0.25</v>
      </c>
      <c r="BA4" t="s">
        <v>149</v>
      </c>
      <c r="BB4" t="s">
        <v>150</v>
      </c>
      <c r="BC4" t="str">
        <f t="shared" ref="BC4:BC10" si="0">"icon_"&amp;D4</f>
        <v>icon_12fce</v>
      </c>
      <c r="BD4" t="str">
        <f>"half_"&amp;D4</f>
        <v>half_12fce</v>
      </c>
      <c r="BE4" t="str">
        <f>D4</f>
        <v>12fce</v>
      </c>
      <c r="BF4" t="s">
        <v>151</v>
      </c>
      <c r="BG4">
        <v>2</v>
      </c>
      <c r="BH4" t="s">
        <v>152</v>
      </c>
      <c r="BI4" t="s">
        <v>153</v>
      </c>
      <c r="BJ4" s="22" t="s">
        <v>154</v>
      </c>
      <c r="BK4" t="s">
        <v>155</v>
      </c>
      <c r="BL4" t="s">
        <v>156</v>
      </c>
      <c r="BM4" t="s">
        <v>157</v>
      </c>
      <c r="BO4" t="s">
        <v>158</v>
      </c>
      <c r="BP4" t="s">
        <v>158</v>
      </c>
      <c r="BR4">
        <v>1</v>
      </c>
    </row>
    <row r="5" spans="1:70" x14ac:dyDescent="0.25">
      <c r="E5" s="17"/>
      <c r="AM5" s="26" t="s">
        <v>1147</v>
      </c>
      <c r="BJ5" s="23"/>
    </row>
    <row r="6" spans="1:70" x14ac:dyDescent="0.25">
      <c r="A6" t="s">
        <v>6</v>
      </c>
      <c r="B6" t="s">
        <v>143</v>
      </c>
      <c r="D6" t="s">
        <v>159</v>
      </c>
      <c r="E6" s="18" t="s">
        <v>160</v>
      </c>
      <c r="F6" t="str">
        <f t="shared" ref="F6:F10" si="1">"char_"&amp;E6&amp;"_"&amp;D6</f>
        <v>char_137_brownb</v>
      </c>
      <c r="G6">
        <v>1</v>
      </c>
      <c r="I6">
        <v>2</v>
      </c>
      <c r="J6">
        <v>70</v>
      </c>
      <c r="K6">
        <v>2615</v>
      </c>
      <c r="L6">
        <v>170</v>
      </c>
      <c r="M6">
        <v>573</v>
      </c>
      <c r="N6">
        <v>45</v>
      </c>
      <c r="O6">
        <v>312</v>
      </c>
      <c r="Q6">
        <v>0</v>
      </c>
      <c r="S6">
        <v>9</v>
      </c>
      <c r="T6">
        <v>-2</v>
      </c>
      <c r="U6">
        <v>0.5</v>
      </c>
      <c r="V6">
        <v>70</v>
      </c>
      <c r="W6">
        <v>-4</v>
      </c>
      <c r="Y6">
        <v>0.05</v>
      </c>
      <c r="Z6">
        <v>0.78</v>
      </c>
      <c r="AC6">
        <v>1</v>
      </c>
      <c r="AG6" t="s">
        <v>6</v>
      </c>
      <c r="AH6" t="s">
        <v>147</v>
      </c>
      <c r="AI6" t="s">
        <v>161</v>
      </c>
      <c r="AJ6" t="s">
        <v>162</v>
      </c>
      <c r="AM6" s="26" t="s">
        <v>1148</v>
      </c>
      <c r="AN6">
        <v>1</v>
      </c>
      <c r="AO6">
        <v>0.5</v>
      </c>
      <c r="AV6">
        <v>0.25</v>
      </c>
      <c r="BA6" t="s">
        <v>163</v>
      </c>
      <c r="BB6" t="s">
        <v>164</v>
      </c>
      <c r="BC6" t="str">
        <f t="shared" si="0"/>
        <v>icon_brownb</v>
      </c>
      <c r="BD6" t="str">
        <f t="shared" ref="BD6:BD10" si="2">"half_"&amp;D6</f>
        <v>half_brownb</v>
      </c>
      <c r="BE6" t="str">
        <f t="shared" ref="BE6:BE10" si="3">D6</f>
        <v>brownb</v>
      </c>
      <c r="BF6" t="s">
        <v>151</v>
      </c>
      <c r="BG6">
        <v>4</v>
      </c>
      <c r="BH6" t="s">
        <v>165</v>
      </c>
      <c r="BI6" t="s">
        <v>166</v>
      </c>
      <c r="BJ6" t="s">
        <v>167</v>
      </c>
      <c r="BK6" t="s">
        <v>168</v>
      </c>
      <c r="BL6" t="s">
        <v>156</v>
      </c>
      <c r="BM6" t="s">
        <v>157</v>
      </c>
      <c r="BO6" t="s">
        <v>158</v>
      </c>
      <c r="BP6" t="s">
        <v>158</v>
      </c>
      <c r="BR6">
        <v>1</v>
      </c>
    </row>
    <row r="7" spans="1:70" x14ac:dyDescent="0.25">
      <c r="A7" t="s">
        <v>7</v>
      </c>
      <c r="B7" t="s">
        <v>143</v>
      </c>
      <c r="D7" t="s">
        <v>169</v>
      </c>
      <c r="E7" s="19">
        <v>253</v>
      </c>
      <c r="F7" t="str">
        <f t="shared" si="1"/>
        <v>char_253_greyy</v>
      </c>
      <c r="G7">
        <v>1</v>
      </c>
      <c r="I7">
        <v>2</v>
      </c>
      <c r="J7">
        <v>70</v>
      </c>
      <c r="K7">
        <v>1837</v>
      </c>
      <c r="L7">
        <v>170</v>
      </c>
      <c r="M7">
        <v>699</v>
      </c>
      <c r="O7">
        <v>130</v>
      </c>
      <c r="Q7">
        <v>20</v>
      </c>
      <c r="S7">
        <v>32</v>
      </c>
      <c r="T7">
        <v>-2</v>
      </c>
      <c r="U7">
        <v>0.5</v>
      </c>
      <c r="V7">
        <v>70</v>
      </c>
      <c r="W7">
        <v>-10</v>
      </c>
      <c r="X7">
        <v>11</v>
      </c>
      <c r="Y7">
        <v>0.05</v>
      </c>
      <c r="Z7">
        <v>2.9</v>
      </c>
      <c r="AC7">
        <v>1</v>
      </c>
      <c r="AG7" t="s">
        <v>7</v>
      </c>
      <c r="AH7" t="s">
        <v>147</v>
      </c>
      <c r="AI7" t="s">
        <v>170</v>
      </c>
      <c r="AJ7" t="s">
        <v>171</v>
      </c>
      <c r="AM7" s="26" t="s">
        <v>1147</v>
      </c>
      <c r="AN7">
        <v>1</v>
      </c>
      <c r="AO7">
        <v>0.5</v>
      </c>
      <c r="AV7">
        <v>0.25</v>
      </c>
      <c r="BA7" t="s">
        <v>149</v>
      </c>
      <c r="BB7" t="s">
        <v>150</v>
      </c>
      <c r="BC7" t="str">
        <f t="shared" si="0"/>
        <v>icon_greyy</v>
      </c>
      <c r="BD7" t="str">
        <f t="shared" si="2"/>
        <v>half_greyy</v>
      </c>
      <c r="BE7" t="str">
        <f t="shared" si="3"/>
        <v>greyy</v>
      </c>
      <c r="BF7" t="s">
        <v>151</v>
      </c>
      <c r="BG7">
        <v>4</v>
      </c>
      <c r="BH7" t="s">
        <v>152</v>
      </c>
      <c r="BI7" t="s">
        <v>172</v>
      </c>
      <c r="BJ7" s="22" t="s">
        <v>173</v>
      </c>
      <c r="BK7" t="s">
        <v>174</v>
      </c>
      <c r="BL7" t="s">
        <v>156</v>
      </c>
      <c r="BM7" t="s">
        <v>157</v>
      </c>
      <c r="BO7" t="s">
        <v>158</v>
      </c>
      <c r="BP7" t="s">
        <v>158</v>
      </c>
      <c r="BR7">
        <v>1</v>
      </c>
    </row>
    <row r="8" spans="1:70" x14ac:dyDescent="0.25">
      <c r="A8" t="s">
        <v>8</v>
      </c>
      <c r="B8" t="s">
        <v>143</v>
      </c>
      <c r="D8" t="s">
        <v>175</v>
      </c>
      <c r="E8" s="19">
        <v>298</v>
      </c>
      <c r="F8" t="str">
        <f t="shared" si="1"/>
        <v>char_298_susuro</v>
      </c>
      <c r="G8">
        <v>1</v>
      </c>
      <c r="I8">
        <v>2</v>
      </c>
      <c r="J8">
        <v>70</v>
      </c>
      <c r="K8">
        <v>1345</v>
      </c>
      <c r="L8">
        <v>100</v>
      </c>
      <c r="M8">
        <v>571</v>
      </c>
      <c r="O8">
        <v>122</v>
      </c>
      <c r="Q8">
        <v>0</v>
      </c>
      <c r="S8">
        <v>18</v>
      </c>
      <c r="T8">
        <v>-2</v>
      </c>
      <c r="U8">
        <v>0.5</v>
      </c>
      <c r="V8">
        <v>70</v>
      </c>
      <c r="W8">
        <v>-4</v>
      </c>
      <c r="X8">
        <v>5</v>
      </c>
      <c r="Y8">
        <v>0.05</v>
      </c>
      <c r="Z8">
        <v>2.85</v>
      </c>
      <c r="AC8">
        <v>1</v>
      </c>
      <c r="AG8" t="s">
        <v>8</v>
      </c>
      <c r="AH8" t="s">
        <v>147</v>
      </c>
      <c r="AI8" t="s">
        <v>176</v>
      </c>
      <c r="AJ8" t="s">
        <v>177</v>
      </c>
      <c r="AM8" s="26" t="s">
        <v>1147</v>
      </c>
      <c r="AN8">
        <v>1</v>
      </c>
      <c r="AO8">
        <v>0.5</v>
      </c>
      <c r="AV8">
        <v>0.25</v>
      </c>
      <c r="BA8" t="s">
        <v>178</v>
      </c>
      <c r="BB8" t="s">
        <v>179</v>
      </c>
      <c r="BC8" t="str">
        <f t="shared" si="0"/>
        <v>icon_susuro</v>
      </c>
      <c r="BD8" t="str">
        <f t="shared" si="2"/>
        <v>half_susuro</v>
      </c>
      <c r="BE8" t="str">
        <f t="shared" si="3"/>
        <v>susuro</v>
      </c>
      <c r="BF8" t="s">
        <v>151</v>
      </c>
      <c r="BG8">
        <v>4</v>
      </c>
      <c r="BH8" t="s">
        <v>152</v>
      </c>
      <c r="BI8" t="s">
        <v>180</v>
      </c>
      <c r="BJ8" t="s">
        <v>181</v>
      </c>
      <c r="BK8" t="s">
        <v>182</v>
      </c>
      <c r="BL8" t="s">
        <v>156</v>
      </c>
      <c r="BM8" t="s">
        <v>157</v>
      </c>
      <c r="BO8" t="s">
        <v>158</v>
      </c>
      <c r="BP8" t="s">
        <v>158</v>
      </c>
      <c r="BR8">
        <v>1</v>
      </c>
    </row>
    <row r="9" spans="1:70" x14ac:dyDescent="0.25">
      <c r="A9" t="s">
        <v>9</v>
      </c>
      <c r="B9" t="s">
        <v>143</v>
      </c>
      <c r="D9" t="s">
        <v>183</v>
      </c>
      <c r="E9" s="19">
        <v>260</v>
      </c>
      <c r="F9" t="str">
        <f t="shared" si="1"/>
        <v>char_260_durnar</v>
      </c>
      <c r="G9">
        <v>1</v>
      </c>
      <c r="I9">
        <v>2</v>
      </c>
      <c r="J9">
        <v>70</v>
      </c>
      <c r="K9">
        <v>3007</v>
      </c>
      <c r="M9">
        <v>671</v>
      </c>
      <c r="O9">
        <v>568</v>
      </c>
      <c r="Q9">
        <v>15</v>
      </c>
      <c r="S9">
        <v>24</v>
      </c>
      <c r="T9">
        <v>-2</v>
      </c>
      <c r="U9">
        <v>0.5</v>
      </c>
      <c r="V9">
        <v>70</v>
      </c>
      <c r="W9">
        <v>-4</v>
      </c>
      <c r="Y9">
        <v>0.05</v>
      </c>
      <c r="Z9">
        <v>1.6</v>
      </c>
      <c r="AC9">
        <v>1</v>
      </c>
      <c r="AG9" t="s">
        <v>9</v>
      </c>
      <c r="AH9" t="s">
        <v>147</v>
      </c>
      <c r="AI9" t="s">
        <v>184</v>
      </c>
      <c r="AJ9" t="s">
        <v>185</v>
      </c>
      <c r="AM9" s="26" t="s">
        <v>1148</v>
      </c>
      <c r="AN9">
        <v>3</v>
      </c>
      <c r="AO9">
        <v>0.5</v>
      </c>
      <c r="AV9">
        <v>0.25</v>
      </c>
      <c r="BA9" t="s">
        <v>186</v>
      </c>
      <c r="BB9" t="s">
        <v>187</v>
      </c>
      <c r="BC9" t="str">
        <f t="shared" si="0"/>
        <v>icon_durnar</v>
      </c>
      <c r="BD9" t="str">
        <f t="shared" si="2"/>
        <v>half_durnar</v>
      </c>
      <c r="BE9" t="str">
        <f t="shared" si="3"/>
        <v>durnar</v>
      </c>
      <c r="BF9" t="s">
        <v>151</v>
      </c>
      <c r="BG9">
        <v>4</v>
      </c>
      <c r="BH9" t="s">
        <v>165</v>
      </c>
      <c r="BI9" t="s">
        <v>188</v>
      </c>
      <c r="BJ9" t="s">
        <v>189</v>
      </c>
      <c r="BK9" t="s">
        <v>190</v>
      </c>
      <c r="BL9" t="s">
        <v>156</v>
      </c>
      <c r="BM9" t="s">
        <v>157</v>
      </c>
      <c r="BO9" t="s">
        <v>158</v>
      </c>
      <c r="BP9" t="s">
        <v>158</v>
      </c>
      <c r="BR9">
        <v>1</v>
      </c>
    </row>
    <row r="10" spans="1:70" x14ac:dyDescent="0.25">
      <c r="A10" t="s">
        <v>10</v>
      </c>
      <c r="B10" t="s">
        <v>143</v>
      </c>
      <c r="D10" t="s">
        <v>191</v>
      </c>
      <c r="E10" s="19">
        <v>190</v>
      </c>
      <c r="F10" t="str">
        <f t="shared" si="1"/>
        <v>char_190_clour</v>
      </c>
      <c r="G10">
        <v>1</v>
      </c>
      <c r="I10">
        <v>2</v>
      </c>
      <c r="J10">
        <v>70</v>
      </c>
      <c r="K10">
        <v>1230</v>
      </c>
      <c r="L10">
        <v>170</v>
      </c>
      <c r="M10">
        <v>574</v>
      </c>
      <c r="N10">
        <v>31</v>
      </c>
      <c r="O10">
        <v>162</v>
      </c>
      <c r="Q10">
        <v>0</v>
      </c>
      <c r="S10">
        <v>12</v>
      </c>
      <c r="T10">
        <v>-2</v>
      </c>
      <c r="U10">
        <v>0.5</v>
      </c>
      <c r="V10">
        <v>70</v>
      </c>
      <c r="W10">
        <v>-10</v>
      </c>
      <c r="Y10">
        <v>0.05</v>
      </c>
      <c r="Z10">
        <v>1</v>
      </c>
      <c r="AC10">
        <v>1</v>
      </c>
      <c r="AG10" t="s">
        <v>10</v>
      </c>
      <c r="AH10" t="s">
        <v>147</v>
      </c>
      <c r="AI10" t="s">
        <v>192</v>
      </c>
      <c r="AJ10" t="s">
        <v>193</v>
      </c>
      <c r="AM10" s="26" t="s">
        <v>1147</v>
      </c>
      <c r="AN10">
        <v>1</v>
      </c>
      <c r="AO10">
        <v>0.5</v>
      </c>
      <c r="AV10">
        <v>0.25</v>
      </c>
      <c r="BA10" t="s">
        <v>194</v>
      </c>
      <c r="BB10" t="s">
        <v>195</v>
      </c>
      <c r="BC10" t="str">
        <f t="shared" si="0"/>
        <v>icon_clour</v>
      </c>
      <c r="BD10" t="str">
        <f t="shared" si="2"/>
        <v>half_clour</v>
      </c>
      <c r="BE10" t="str">
        <f t="shared" si="3"/>
        <v>clour</v>
      </c>
      <c r="BF10" t="s">
        <v>151</v>
      </c>
      <c r="BG10">
        <v>4</v>
      </c>
      <c r="BH10" t="s">
        <v>152</v>
      </c>
      <c r="BI10" t="s">
        <v>196</v>
      </c>
      <c r="BJ10" t="s">
        <v>197</v>
      </c>
      <c r="BK10" t="s">
        <v>198</v>
      </c>
      <c r="BL10" t="s">
        <v>156</v>
      </c>
      <c r="BM10" t="s">
        <v>157</v>
      </c>
      <c r="BO10" t="s">
        <v>158</v>
      </c>
      <c r="BP10" t="s">
        <v>158</v>
      </c>
      <c r="BR10">
        <v>1</v>
      </c>
    </row>
    <row r="11" spans="1:70" x14ac:dyDescent="0.25">
      <c r="E11" s="18"/>
    </row>
    <row r="12" spans="1:70" x14ac:dyDescent="0.25">
      <c r="A12" t="s">
        <v>12</v>
      </c>
      <c r="B12" t="s">
        <v>143</v>
      </c>
      <c r="D12" t="s">
        <v>199</v>
      </c>
      <c r="E12">
        <v>230</v>
      </c>
      <c r="F12" t="str">
        <f t="shared" ref="F12:F19" si="4">"char_"&amp;E12&amp;"_"&amp;D12</f>
        <v>char_230_savage</v>
      </c>
      <c r="G12">
        <v>1</v>
      </c>
      <c r="I12">
        <v>2</v>
      </c>
      <c r="J12">
        <v>80</v>
      </c>
      <c r="K12">
        <v>2690</v>
      </c>
      <c r="M12">
        <v>740</v>
      </c>
      <c r="N12">
        <v>60</v>
      </c>
      <c r="O12">
        <v>395</v>
      </c>
      <c r="P12">
        <v>30</v>
      </c>
      <c r="Q12">
        <v>8</v>
      </c>
      <c r="S12">
        <v>22</v>
      </c>
      <c r="U12">
        <v>0.5</v>
      </c>
      <c r="V12">
        <v>70</v>
      </c>
      <c r="Y12">
        <v>0.05</v>
      </c>
      <c r="Z12">
        <v>1.2</v>
      </c>
      <c r="AC12">
        <v>1</v>
      </c>
      <c r="AG12" t="s">
        <v>12</v>
      </c>
      <c r="AH12" t="s">
        <v>147</v>
      </c>
      <c r="AI12" t="s">
        <v>200</v>
      </c>
      <c r="AJ12" t="s">
        <v>201</v>
      </c>
      <c r="AM12" s="26" t="s">
        <v>1148</v>
      </c>
      <c r="AN12">
        <v>3</v>
      </c>
      <c r="AO12">
        <v>0.5</v>
      </c>
      <c r="AV12">
        <v>0.25</v>
      </c>
      <c r="BA12" t="s">
        <v>163</v>
      </c>
      <c r="BB12" t="s">
        <v>202</v>
      </c>
      <c r="BC12" t="str">
        <f t="shared" ref="BC12:BC20" si="5">"icon_"&amp;D12</f>
        <v>icon_savage</v>
      </c>
      <c r="BD12" t="str">
        <f t="shared" ref="BD12:BD20" si="6">"half_"&amp;D12</f>
        <v>half_savage</v>
      </c>
      <c r="BE12" t="str">
        <f t="shared" ref="BE12:BE20" si="7">D12</f>
        <v>savage</v>
      </c>
      <c r="BF12" t="s">
        <v>151</v>
      </c>
      <c r="BG12">
        <v>5</v>
      </c>
      <c r="BH12" t="s">
        <v>165</v>
      </c>
      <c r="BI12" t="s">
        <v>203</v>
      </c>
      <c r="BJ12" t="s">
        <v>204</v>
      </c>
      <c r="BK12" t="s">
        <v>205</v>
      </c>
      <c r="BL12" t="s">
        <v>156</v>
      </c>
      <c r="BM12" t="s">
        <v>157</v>
      </c>
      <c r="BO12" t="s">
        <v>158</v>
      </c>
      <c r="BP12" t="s">
        <v>158</v>
      </c>
      <c r="BR12">
        <v>1</v>
      </c>
    </row>
    <row r="13" spans="1:70" x14ac:dyDescent="0.25">
      <c r="A13" t="s">
        <v>13</v>
      </c>
      <c r="B13" t="s">
        <v>143</v>
      </c>
      <c r="D13" t="s">
        <v>206</v>
      </c>
      <c r="E13" s="17" t="s">
        <v>207</v>
      </c>
      <c r="F13" t="str">
        <f t="shared" si="4"/>
        <v>char_164_nightm</v>
      </c>
      <c r="G13">
        <v>1</v>
      </c>
      <c r="I13">
        <v>2</v>
      </c>
      <c r="J13">
        <v>80</v>
      </c>
      <c r="K13">
        <v>1510</v>
      </c>
      <c r="M13">
        <v>718</v>
      </c>
      <c r="N13">
        <v>50</v>
      </c>
      <c r="O13">
        <v>120</v>
      </c>
      <c r="Q13">
        <v>20</v>
      </c>
      <c r="S13">
        <v>20</v>
      </c>
      <c r="T13">
        <v>-2</v>
      </c>
      <c r="U13">
        <v>0.5</v>
      </c>
      <c r="V13">
        <v>70</v>
      </c>
      <c r="W13">
        <v>-4</v>
      </c>
      <c r="X13">
        <v>5</v>
      </c>
      <c r="Y13">
        <v>0.05</v>
      </c>
      <c r="Z13">
        <v>1.6</v>
      </c>
      <c r="AC13">
        <v>1</v>
      </c>
      <c r="AG13" t="s">
        <v>13</v>
      </c>
      <c r="AH13" t="s">
        <v>147</v>
      </c>
      <c r="AI13" t="s">
        <v>208</v>
      </c>
      <c r="AJ13" t="s">
        <v>209</v>
      </c>
      <c r="AM13" s="26" t="s">
        <v>1147</v>
      </c>
      <c r="AN13">
        <v>1</v>
      </c>
      <c r="AO13">
        <v>0.5</v>
      </c>
      <c r="AV13">
        <v>0.25</v>
      </c>
      <c r="BA13" t="s">
        <v>149</v>
      </c>
      <c r="BB13" t="s">
        <v>210</v>
      </c>
      <c r="BC13" t="str">
        <f t="shared" si="5"/>
        <v>icon_nightm</v>
      </c>
      <c r="BD13" t="str">
        <f t="shared" si="6"/>
        <v>half_nightm</v>
      </c>
      <c r="BE13" t="str">
        <f t="shared" si="7"/>
        <v>nightm</v>
      </c>
      <c r="BF13" t="s">
        <v>151</v>
      </c>
      <c r="BG13">
        <v>5</v>
      </c>
      <c r="BH13" t="s">
        <v>152</v>
      </c>
      <c r="BI13" t="s">
        <v>211</v>
      </c>
      <c r="BJ13" t="s">
        <v>212</v>
      </c>
      <c r="BK13" t="s">
        <v>213</v>
      </c>
      <c r="BL13" t="s">
        <v>156</v>
      </c>
      <c r="BM13" t="s">
        <v>157</v>
      </c>
      <c r="BO13" t="s">
        <v>158</v>
      </c>
      <c r="BP13" t="s">
        <v>158</v>
      </c>
      <c r="BR13">
        <v>1</v>
      </c>
    </row>
    <row r="14" spans="1:70" x14ac:dyDescent="0.25">
      <c r="A14" t="s">
        <v>14</v>
      </c>
      <c r="B14" t="s">
        <v>143</v>
      </c>
      <c r="D14" t="s">
        <v>214</v>
      </c>
      <c r="E14" s="17" t="s">
        <v>215</v>
      </c>
      <c r="F14" t="str">
        <f t="shared" ref="F14" si="8">"char_"&amp;E14&amp;"_"&amp;D14</f>
        <v>char_220_grani</v>
      </c>
      <c r="G14">
        <v>1</v>
      </c>
      <c r="I14">
        <v>2</v>
      </c>
      <c r="J14">
        <v>80</v>
      </c>
      <c r="K14">
        <v>2235</v>
      </c>
      <c r="L14">
        <v>200</v>
      </c>
      <c r="M14">
        <v>552</v>
      </c>
      <c r="O14">
        <v>437</v>
      </c>
      <c r="P14">
        <v>67</v>
      </c>
      <c r="Q14">
        <v>0</v>
      </c>
      <c r="S14">
        <v>14</v>
      </c>
      <c r="T14">
        <v>-3</v>
      </c>
      <c r="U14">
        <v>0.5</v>
      </c>
      <c r="V14">
        <v>80</v>
      </c>
      <c r="W14">
        <v>-10</v>
      </c>
      <c r="Y14">
        <v>0.05</v>
      </c>
      <c r="Z14">
        <v>1</v>
      </c>
      <c r="AC14">
        <v>1</v>
      </c>
      <c r="AG14" t="s">
        <v>14</v>
      </c>
      <c r="AH14" t="s">
        <v>147</v>
      </c>
      <c r="AI14" s="26" t="s">
        <v>1137</v>
      </c>
      <c r="AJ14" t="s">
        <v>216</v>
      </c>
      <c r="AM14" s="26" t="s">
        <v>1148</v>
      </c>
      <c r="AN14">
        <v>1</v>
      </c>
      <c r="AO14">
        <v>1</v>
      </c>
      <c r="AV14">
        <v>0.25</v>
      </c>
      <c r="BA14" t="s">
        <v>217</v>
      </c>
      <c r="BB14" t="s">
        <v>218</v>
      </c>
      <c r="BC14" t="str">
        <f t="shared" ref="BC14" si="9">"icon_"&amp;D14</f>
        <v>icon_grani</v>
      </c>
      <c r="BD14" t="str">
        <f t="shared" ref="BD14" si="10">"half_"&amp;D14</f>
        <v>half_grani</v>
      </c>
      <c r="BE14" t="str">
        <f t="shared" ref="BE14" si="11">D14</f>
        <v>grani</v>
      </c>
      <c r="BF14" t="s">
        <v>151</v>
      </c>
      <c r="BG14">
        <v>5</v>
      </c>
      <c r="BH14" t="s">
        <v>165</v>
      </c>
      <c r="BI14" t="s">
        <v>219</v>
      </c>
      <c r="BJ14" t="s">
        <v>220</v>
      </c>
      <c r="BK14" t="s">
        <v>221</v>
      </c>
      <c r="BL14" t="s">
        <v>156</v>
      </c>
      <c r="BM14" t="s">
        <v>157</v>
      </c>
      <c r="BO14" t="s">
        <v>158</v>
      </c>
      <c r="BP14" t="s">
        <v>222</v>
      </c>
      <c r="BR14">
        <v>1</v>
      </c>
    </row>
    <row r="15" spans="1:70" x14ac:dyDescent="0.25">
      <c r="A15" t="s">
        <v>15</v>
      </c>
      <c r="B15" t="s">
        <v>143</v>
      </c>
      <c r="D15" t="s">
        <v>223</v>
      </c>
      <c r="E15" s="19">
        <v>308</v>
      </c>
      <c r="F15" t="str">
        <f t="shared" si="4"/>
        <v>char_308_swire</v>
      </c>
      <c r="G15">
        <v>1</v>
      </c>
      <c r="I15">
        <v>2</v>
      </c>
      <c r="J15">
        <v>80</v>
      </c>
      <c r="K15">
        <v>1914</v>
      </c>
      <c r="L15">
        <v>170</v>
      </c>
      <c r="M15">
        <v>722</v>
      </c>
      <c r="N15">
        <v>75</v>
      </c>
      <c r="O15">
        <v>443</v>
      </c>
      <c r="Q15">
        <v>0</v>
      </c>
      <c r="S15">
        <v>16</v>
      </c>
      <c r="T15">
        <v>-2</v>
      </c>
      <c r="U15">
        <v>0.5</v>
      </c>
      <c r="V15">
        <v>70</v>
      </c>
      <c r="W15">
        <v>-4</v>
      </c>
      <c r="Y15">
        <v>0.05</v>
      </c>
      <c r="Z15">
        <v>1.05</v>
      </c>
      <c r="AC15">
        <v>1</v>
      </c>
      <c r="AG15" t="s">
        <v>15</v>
      </c>
      <c r="AH15" t="s">
        <v>147</v>
      </c>
      <c r="AI15" t="s">
        <v>224</v>
      </c>
      <c r="AJ15" t="s">
        <v>225</v>
      </c>
      <c r="AM15" s="26" t="s">
        <v>1148</v>
      </c>
      <c r="AN15">
        <v>2</v>
      </c>
      <c r="AO15">
        <v>0.5</v>
      </c>
      <c r="AV15">
        <v>0.25</v>
      </c>
      <c r="BA15" t="s">
        <v>163</v>
      </c>
      <c r="BB15" t="s">
        <v>226</v>
      </c>
      <c r="BC15" t="str">
        <f t="shared" si="5"/>
        <v>icon_swire</v>
      </c>
      <c r="BD15" t="str">
        <f t="shared" si="6"/>
        <v>half_swire</v>
      </c>
      <c r="BE15" t="str">
        <f t="shared" si="7"/>
        <v>swire</v>
      </c>
      <c r="BF15" t="s">
        <v>151</v>
      </c>
      <c r="BG15">
        <v>5</v>
      </c>
      <c r="BH15" t="s">
        <v>165</v>
      </c>
      <c r="BI15" t="s">
        <v>227</v>
      </c>
      <c r="BJ15" t="s">
        <v>228</v>
      </c>
      <c r="BK15" t="s">
        <v>229</v>
      </c>
      <c r="BL15" t="s">
        <v>156</v>
      </c>
      <c r="BM15" t="s">
        <v>157</v>
      </c>
      <c r="BO15" t="s">
        <v>158</v>
      </c>
      <c r="BP15" t="s">
        <v>158</v>
      </c>
      <c r="BR15">
        <v>1</v>
      </c>
    </row>
    <row r="16" spans="1:70" x14ac:dyDescent="0.25">
      <c r="A16" s="26" t="s">
        <v>1135</v>
      </c>
      <c r="B16" t="s">
        <v>143</v>
      </c>
      <c r="D16" t="s">
        <v>230</v>
      </c>
      <c r="E16" s="17" t="s">
        <v>231</v>
      </c>
      <c r="F16" t="str">
        <f t="shared" si="4"/>
        <v>char_348_ceylon</v>
      </c>
      <c r="G16">
        <v>1</v>
      </c>
      <c r="I16">
        <v>2</v>
      </c>
      <c r="J16">
        <v>80</v>
      </c>
      <c r="K16">
        <v>1655</v>
      </c>
      <c r="M16">
        <v>508</v>
      </c>
      <c r="N16">
        <v>45</v>
      </c>
      <c r="O16">
        <v>126</v>
      </c>
      <c r="Q16">
        <v>10</v>
      </c>
      <c r="R16">
        <v>5</v>
      </c>
      <c r="S16">
        <v>22</v>
      </c>
      <c r="T16">
        <v>-3</v>
      </c>
      <c r="U16">
        <v>0.5</v>
      </c>
      <c r="V16">
        <v>80</v>
      </c>
      <c r="W16">
        <v>-10</v>
      </c>
      <c r="Y16">
        <v>0.05</v>
      </c>
      <c r="Z16">
        <v>2.85</v>
      </c>
      <c r="AC16">
        <v>1</v>
      </c>
      <c r="AG16" t="s">
        <v>16</v>
      </c>
      <c r="AH16" t="s">
        <v>147</v>
      </c>
      <c r="AI16" s="26" t="s">
        <v>1136</v>
      </c>
      <c r="AJ16" t="s">
        <v>232</v>
      </c>
      <c r="AM16" s="26" t="s">
        <v>1147</v>
      </c>
      <c r="AN16">
        <v>1</v>
      </c>
      <c r="AO16">
        <v>0.5</v>
      </c>
      <c r="AV16">
        <v>0.25</v>
      </c>
      <c r="BA16" t="s">
        <v>178</v>
      </c>
      <c r="BB16" t="s">
        <v>233</v>
      </c>
      <c r="BC16" t="str">
        <f t="shared" si="5"/>
        <v>icon_ceylon</v>
      </c>
      <c r="BD16" t="str">
        <f t="shared" si="6"/>
        <v>half_ceylon</v>
      </c>
      <c r="BE16" t="str">
        <f t="shared" si="7"/>
        <v>ceylon</v>
      </c>
      <c r="BF16" t="s">
        <v>151</v>
      </c>
      <c r="BG16">
        <v>5</v>
      </c>
      <c r="BH16" t="s">
        <v>152</v>
      </c>
      <c r="BI16" t="s">
        <v>234</v>
      </c>
      <c r="BJ16" t="s">
        <v>235</v>
      </c>
      <c r="BK16" t="s">
        <v>236</v>
      </c>
      <c r="BL16" t="s">
        <v>156</v>
      </c>
      <c r="BM16" t="s">
        <v>157</v>
      </c>
      <c r="BO16" t="s">
        <v>158</v>
      </c>
      <c r="BP16" t="s">
        <v>158</v>
      </c>
      <c r="BR16">
        <v>1</v>
      </c>
    </row>
    <row r="17" spans="1:70" x14ac:dyDescent="0.25">
      <c r="A17" t="s">
        <v>17</v>
      </c>
      <c r="B17" t="s">
        <v>143</v>
      </c>
      <c r="D17" t="s">
        <v>237</v>
      </c>
      <c r="E17" s="17" t="s">
        <v>238</v>
      </c>
      <c r="F17" t="str">
        <f t="shared" si="4"/>
        <v>char_326_glacus</v>
      </c>
      <c r="G17">
        <v>1</v>
      </c>
      <c r="I17">
        <v>2</v>
      </c>
      <c r="J17">
        <v>80</v>
      </c>
      <c r="K17">
        <v>1567</v>
      </c>
      <c r="L17">
        <v>120</v>
      </c>
      <c r="M17">
        <v>563</v>
      </c>
      <c r="N17">
        <v>45</v>
      </c>
      <c r="O17">
        <v>100</v>
      </c>
      <c r="Q17">
        <v>20</v>
      </c>
      <c r="S17">
        <v>15</v>
      </c>
      <c r="T17">
        <v>-2</v>
      </c>
      <c r="U17">
        <v>0.5</v>
      </c>
      <c r="V17">
        <v>70</v>
      </c>
      <c r="W17">
        <v>-4</v>
      </c>
      <c r="Y17">
        <v>0.05</v>
      </c>
      <c r="Z17">
        <v>1.9</v>
      </c>
      <c r="AC17">
        <v>1</v>
      </c>
      <c r="AG17" t="s">
        <v>17</v>
      </c>
      <c r="AH17" t="s">
        <v>147</v>
      </c>
      <c r="AI17" s="26" t="s">
        <v>1134</v>
      </c>
      <c r="AJ17" t="s">
        <v>239</v>
      </c>
      <c r="AM17" s="26" t="s">
        <v>1147</v>
      </c>
      <c r="AN17">
        <v>1</v>
      </c>
      <c r="AO17">
        <v>0.5</v>
      </c>
      <c r="AV17">
        <v>0.25</v>
      </c>
      <c r="BA17" t="s">
        <v>240</v>
      </c>
      <c r="BB17" t="s">
        <v>241</v>
      </c>
      <c r="BC17" t="str">
        <f t="shared" si="5"/>
        <v>icon_glacus</v>
      </c>
      <c r="BD17" t="str">
        <f t="shared" si="6"/>
        <v>half_glacus</v>
      </c>
      <c r="BE17" t="str">
        <f t="shared" si="7"/>
        <v>glacus</v>
      </c>
      <c r="BF17" t="s">
        <v>151</v>
      </c>
      <c r="BG17">
        <v>5</v>
      </c>
      <c r="BH17" t="s">
        <v>152</v>
      </c>
      <c r="BI17" t="s">
        <v>242</v>
      </c>
      <c r="BJ17" t="s">
        <v>243</v>
      </c>
      <c r="BK17" t="s">
        <v>244</v>
      </c>
      <c r="BL17" t="s">
        <v>156</v>
      </c>
      <c r="BM17" t="s">
        <v>157</v>
      </c>
      <c r="BO17" t="s">
        <v>158</v>
      </c>
      <c r="BP17" t="s">
        <v>158</v>
      </c>
      <c r="BR17">
        <v>1</v>
      </c>
    </row>
    <row r="18" spans="1:70" x14ac:dyDescent="0.25">
      <c r="A18" s="2" t="s">
        <v>18</v>
      </c>
      <c r="B18" t="s">
        <v>143</v>
      </c>
      <c r="D18" s="2" t="s">
        <v>245</v>
      </c>
      <c r="E18" s="20">
        <v>274</v>
      </c>
      <c r="F18" s="2" t="str">
        <f t="shared" si="4"/>
        <v>char_274_astesi</v>
      </c>
      <c r="G18">
        <v>1</v>
      </c>
      <c r="I18">
        <v>2</v>
      </c>
      <c r="J18">
        <v>80</v>
      </c>
      <c r="K18">
        <v>2523</v>
      </c>
      <c r="M18">
        <v>690</v>
      </c>
      <c r="O18">
        <v>471</v>
      </c>
      <c r="Q18">
        <v>15</v>
      </c>
      <c r="S18">
        <v>21</v>
      </c>
      <c r="T18">
        <v>-2</v>
      </c>
      <c r="U18">
        <v>0.5</v>
      </c>
      <c r="V18">
        <v>70</v>
      </c>
      <c r="W18">
        <v>-4</v>
      </c>
      <c r="Y18">
        <v>0.05</v>
      </c>
      <c r="Z18">
        <v>1.25</v>
      </c>
      <c r="AC18">
        <v>1</v>
      </c>
      <c r="AG18" t="s">
        <v>18</v>
      </c>
      <c r="AH18" t="s">
        <v>147</v>
      </c>
      <c r="AI18" s="26" t="s">
        <v>1132</v>
      </c>
      <c r="AJ18" t="s">
        <v>246</v>
      </c>
      <c r="AM18" s="26" t="s">
        <v>1148</v>
      </c>
      <c r="AN18">
        <v>1</v>
      </c>
      <c r="AO18">
        <v>0.5</v>
      </c>
      <c r="AV18">
        <v>0.25</v>
      </c>
      <c r="BA18" t="s">
        <v>163</v>
      </c>
      <c r="BB18" t="s">
        <v>247</v>
      </c>
      <c r="BC18" t="str">
        <f t="shared" si="5"/>
        <v>icon_astesi</v>
      </c>
      <c r="BD18" t="str">
        <f t="shared" si="6"/>
        <v>half_astesi</v>
      </c>
      <c r="BE18" t="str">
        <f t="shared" si="7"/>
        <v>astesi</v>
      </c>
      <c r="BF18" t="s">
        <v>151</v>
      </c>
      <c r="BG18">
        <v>5</v>
      </c>
      <c r="BH18" t="s">
        <v>165</v>
      </c>
      <c r="BI18" t="s">
        <v>248</v>
      </c>
      <c r="BJ18" t="s">
        <v>249</v>
      </c>
      <c r="BK18" t="s">
        <v>250</v>
      </c>
      <c r="BL18" t="s">
        <v>156</v>
      </c>
      <c r="BM18" t="s">
        <v>157</v>
      </c>
      <c r="BO18" t="s">
        <v>158</v>
      </c>
      <c r="BP18" t="s">
        <v>158</v>
      </c>
      <c r="BR18">
        <v>1</v>
      </c>
    </row>
    <row r="19" spans="1:70" x14ac:dyDescent="0.25">
      <c r="A19" t="s">
        <v>19</v>
      </c>
      <c r="B19" t="s">
        <v>143</v>
      </c>
      <c r="D19" t="s">
        <v>251</v>
      </c>
      <c r="E19">
        <v>131</v>
      </c>
      <c r="F19" t="str">
        <f t="shared" si="4"/>
        <v>char_131_flameb</v>
      </c>
      <c r="G19">
        <v>1</v>
      </c>
      <c r="I19">
        <v>2</v>
      </c>
      <c r="J19">
        <v>80</v>
      </c>
      <c r="K19">
        <v>4307</v>
      </c>
      <c r="L19">
        <v>430</v>
      </c>
      <c r="M19">
        <v>963</v>
      </c>
      <c r="O19">
        <v>195</v>
      </c>
      <c r="Q19">
        <v>0</v>
      </c>
      <c r="S19">
        <v>20</v>
      </c>
      <c r="T19">
        <v>-3</v>
      </c>
      <c r="U19">
        <v>0.5</v>
      </c>
      <c r="V19">
        <v>80</v>
      </c>
      <c r="W19">
        <v>-10</v>
      </c>
      <c r="X19">
        <v>5</v>
      </c>
      <c r="Y19">
        <v>0.05</v>
      </c>
      <c r="Z19">
        <v>1.5</v>
      </c>
      <c r="AC19">
        <v>1</v>
      </c>
      <c r="AG19" t="s">
        <v>19</v>
      </c>
      <c r="AH19" t="s">
        <v>147</v>
      </c>
      <c r="AI19" s="26" t="s">
        <v>1133</v>
      </c>
      <c r="AJ19" t="s">
        <v>252</v>
      </c>
      <c r="AM19" s="26" t="s">
        <v>1148</v>
      </c>
      <c r="AN19">
        <v>1</v>
      </c>
      <c r="AO19">
        <v>0.5</v>
      </c>
      <c r="AV19">
        <v>0.25</v>
      </c>
      <c r="BA19" t="s">
        <v>163</v>
      </c>
      <c r="BB19" t="s">
        <v>253</v>
      </c>
      <c r="BC19" t="str">
        <f t="shared" si="5"/>
        <v>icon_flameb</v>
      </c>
      <c r="BD19" t="str">
        <f t="shared" si="6"/>
        <v>half_flameb</v>
      </c>
      <c r="BE19" t="str">
        <f t="shared" si="7"/>
        <v>flameb</v>
      </c>
      <c r="BF19" t="s">
        <v>151</v>
      </c>
      <c r="BG19">
        <v>5</v>
      </c>
      <c r="BH19" t="s">
        <v>165</v>
      </c>
      <c r="BI19" t="s">
        <v>254</v>
      </c>
      <c r="BJ19" t="s">
        <v>255</v>
      </c>
      <c r="BK19" t="s">
        <v>256</v>
      </c>
      <c r="BL19" t="s">
        <v>156</v>
      </c>
      <c r="BM19" t="s">
        <v>157</v>
      </c>
      <c r="BO19" t="s">
        <v>158</v>
      </c>
      <c r="BP19" t="s">
        <v>158</v>
      </c>
      <c r="BR19">
        <v>1</v>
      </c>
    </row>
    <row r="20" spans="1:70" x14ac:dyDescent="0.25">
      <c r="A20" t="s">
        <v>20</v>
      </c>
      <c r="B20" t="s">
        <v>143</v>
      </c>
      <c r="D20" t="s">
        <v>257</v>
      </c>
      <c r="E20" s="17" t="s">
        <v>258</v>
      </c>
      <c r="F20" t="s">
        <v>259</v>
      </c>
      <c r="G20">
        <v>1</v>
      </c>
      <c r="I20">
        <v>2</v>
      </c>
      <c r="J20">
        <v>80</v>
      </c>
      <c r="K20">
        <v>2330</v>
      </c>
      <c r="M20">
        <v>814</v>
      </c>
      <c r="N20">
        <v>52</v>
      </c>
      <c r="O20">
        <v>185</v>
      </c>
      <c r="Q20">
        <v>0</v>
      </c>
      <c r="S20">
        <v>31</v>
      </c>
      <c r="T20">
        <v>-2</v>
      </c>
      <c r="U20">
        <v>0.5</v>
      </c>
      <c r="V20">
        <v>70</v>
      </c>
      <c r="W20">
        <v>-4</v>
      </c>
      <c r="X20">
        <v>5</v>
      </c>
      <c r="Y20">
        <v>0.05</v>
      </c>
      <c r="Z20">
        <v>2.2999999999999998</v>
      </c>
      <c r="AC20">
        <v>1</v>
      </c>
      <c r="AG20" t="s">
        <v>20</v>
      </c>
      <c r="AH20" t="s">
        <v>147</v>
      </c>
      <c r="AI20" t="s">
        <v>260</v>
      </c>
      <c r="AJ20" t="s">
        <v>261</v>
      </c>
      <c r="AM20" s="26" t="s">
        <v>1148</v>
      </c>
      <c r="AN20">
        <v>1</v>
      </c>
      <c r="AO20">
        <v>0.5</v>
      </c>
      <c r="AV20">
        <v>0.25</v>
      </c>
      <c r="BA20" t="s">
        <v>194</v>
      </c>
      <c r="BB20" t="s">
        <v>262</v>
      </c>
      <c r="BC20" t="str">
        <f t="shared" si="5"/>
        <v>icon_excu</v>
      </c>
      <c r="BD20" t="str">
        <f t="shared" si="6"/>
        <v>half_excu</v>
      </c>
      <c r="BE20" t="str">
        <f t="shared" si="7"/>
        <v>excu</v>
      </c>
      <c r="BF20" t="s">
        <v>151</v>
      </c>
      <c r="BG20">
        <v>5</v>
      </c>
      <c r="BH20" t="s">
        <v>165</v>
      </c>
      <c r="BI20" t="s">
        <v>263</v>
      </c>
      <c r="BJ20" t="s">
        <v>264</v>
      </c>
      <c r="BK20" t="s">
        <v>265</v>
      </c>
      <c r="BL20" t="s">
        <v>156</v>
      </c>
      <c r="BM20" t="s">
        <v>157</v>
      </c>
      <c r="BO20" t="s">
        <v>158</v>
      </c>
      <c r="BP20" t="s">
        <v>158</v>
      </c>
      <c r="BR20">
        <v>1</v>
      </c>
    </row>
    <row r="21" spans="1:70" x14ac:dyDescent="0.25">
      <c r="E21" s="17"/>
    </row>
    <row r="22" spans="1:70" x14ac:dyDescent="0.25">
      <c r="A22" t="s">
        <v>22</v>
      </c>
      <c r="B22" t="s">
        <v>143</v>
      </c>
      <c r="D22" t="s">
        <v>266</v>
      </c>
      <c r="E22" s="17" t="s">
        <v>267</v>
      </c>
      <c r="F22" t="str">
        <f>"char_"&amp;E22&amp;"_"&amp;D22</f>
        <v>char_263_skadi</v>
      </c>
      <c r="G22">
        <v>1</v>
      </c>
      <c r="I22">
        <v>2</v>
      </c>
      <c r="J22">
        <v>90</v>
      </c>
      <c r="K22">
        <v>3866</v>
      </c>
      <c r="L22">
        <v>320</v>
      </c>
      <c r="M22">
        <v>1128</v>
      </c>
      <c r="N22">
        <v>105</v>
      </c>
      <c r="O22">
        <v>303</v>
      </c>
      <c r="Q22">
        <v>0</v>
      </c>
      <c r="S22">
        <v>19</v>
      </c>
      <c r="T22">
        <v>-2</v>
      </c>
      <c r="U22">
        <v>0.5</v>
      </c>
      <c r="V22">
        <v>70</v>
      </c>
      <c r="W22">
        <v>-4</v>
      </c>
      <c r="Y22">
        <v>0.05</v>
      </c>
      <c r="Z22">
        <v>1.5</v>
      </c>
      <c r="AC22">
        <v>1</v>
      </c>
      <c r="AG22" t="s">
        <v>22</v>
      </c>
      <c r="AH22" t="s">
        <v>147</v>
      </c>
      <c r="AI22" t="s">
        <v>268</v>
      </c>
      <c r="AJ22" t="s">
        <v>269</v>
      </c>
      <c r="AM22" s="26" t="s">
        <v>1148</v>
      </c>
      <c r="AN22">
        <v>1</v>
      </c>
      <c r="AO22">
        <v>0.5</v>
      </c>
      <c r="AV22">
        <v>0.25</v>
      </c>
      <c r="BA22" t="s">
        <v>163</v>
      </c>
      <c r="BB22" t="s">
        <v>253</v>
      </c>
      <c r="BC22" t="str">
        <f>"icon_"&amp;D22</f>
        <v>icon_skadi</v>
      </c>
      <c r="BD22" t="str">
        <f>"half_"&amp;D22</f>
        <v>half_skadi</v>
      </c>
      <c r="BE22" t="str">
        <f>D22</f>
        <v>skadi</v>
      </c>
      <c r="BF22" t="s">
        <v>151</v>
      </c>
      <c r="BG22">
        <v>6</v>
      </c>
      <c r="BH22" t="s">
        <v>165</v>
      </c>
      <c r="BI22" t="s">
        <v>270</v>
      </c>
      <c r="BJ22" t="s">
        <v>271</v>
      </c>
      <c r="BK22" t="s">
        <v>272</v>
      </c>
      <c r="BL22" t="s">
        <v>156</v>
      </c>
      <c r="BM22" t="s">
        <v>157</v>
      </c>
      <c r="BO22" t="s">
        <v>158</v>
      </c>
      <c r="BP22" t="s">
        <v>158</v>
      </c>
      <c r="BR22">
        <v>1</v>
      </c>
    </row>
    <row r="23" spans="1:70" x14ac:dyDescent="0.25">
      <c r="A23" t="s">
        <v>23</v>
      </c>
      <c r="B23" t="s">
        <v>143</v>
      </c>
      <c r="D23" t="s">
        <v>273</v>
      </c>
      <c r="E23" s="17" t="s">
        <v>274</v>
      </c>
      <c r="F23" t="str">
        <f>"char_"&amp;E23&amp;"_"&amp;D23</f>
        <v>char_010_chen</v>
      </c>
      <c r="G23">
        <v>1</v>
      </c>
      <c r="I23">
        <v>2</v>
      </c>
      <c r="J23">
        <v>90</v>
      </c>
      <c r="K23">
        <v>2880</v>
      </c>
      <c r="M23">
        <v>683</v>
      </c>
      <c r="O23">
        <v>402</v>
      </c>
      <c r="Q23">
        <v>0</v>
      </c>
      <c r="S23">
        <v>23</v>
      </c>
      <c r="T23">
        <v>-2</v>
      </c>
      <c r="U23">
        <v>0.5</v>
      </c>
      <c r="V23">
        <v>70</v>
      </c>
      <c r="W23">
        <v>-4</v>
      </c>
      <c r="X23">
        <v>7</v>
      </c>
      <c r="Y23">
        <v>0.05</v>
      </c>
      <c r="Z23">
        <v>1.3</v>
      </c>
      <c r="AC23">
        <v>1</v>
      </c>
      <c r="AG23" t="s">
        <v>23</v>
      </c>
      <c r="AH23" t="s">
        <v>147</v>
      </c>
      <c r="AI23" t="s">
        <v>275</v>
      </c>
      <c r="AJ23" t="s">
        <v>276</v>
      </c>
      <c r="AM23" s="26" t="s">
        <v>1148</v>
      </c>
      <c r="AN23">
        <v>2</v>
      </c>
      <c r="AO23">
        <v>0.5</v>
      </c>
      <c r="AV23">
        <v>0.25</v>
      </c>
      <c r="BA23" t="s">
        <v>163</v>
      </c>
      <c r="BB23" t="s">
        <v>277</v>
      </c>
      <c r="BC23" t="str">
        <f>"icon_"&amp;D23</f>
        <v>icon_chen</v>
      </c>
      <c r="BD23" t="str">
        <f t="shared" ref="BD23:BD25" si="12">"half_"&amp;D23</f>
        <v>half_chen</v>
      </c>
      <c r="BE23" t="str">
        <f t="shared" ref="BE23:BE25" si="13">D23</f>
        <v>chen</v>
      </c>
      <c r="BF23" t="s">
        <v>151</v>
      </c>
      <c r="BG23">
        <v>6</v>
      </c>
      <c r="BH23" t="s">
        <v>165</v>
      </c>
      <c r="BI23" t="s">
        <v>227</v>
      </c>
      <c r="BJ23" t="s">
        <v>278</v>
      </c>
      <c r="BK23" t="s">
        <v>279</v>
      </c>
      <c r="BL23" t="s">
        <v>156</v>
      </c>
      <c r="BM23" t="s">
        <v>157</v>
      </c>
      <c r="BO23" t="s">
        <v>158</v>
      </c>
      <c r="BP23" t="s">
        <v>158</v>
      </c>
      <c r="BQ23" t="s">
        <v>280</v>
      </c>
      <c r="BR23">
        <v>1</v>
      </c>
    </row>
    <row r="24" spans="1:70" x14ac:dyDescent="0.25">
      <c r="A24" t="s">
        <v>24</v>
      </c>
      <c r="B24" t="s">
        <v>143</v>
      </c>
      <c r="D24" t="s">
        <v>281</v>
      </c>
      <c r="E24" s="17" t="s">
        <v>282</v>
      </c>
      <c r="F24" t="str">
        <f>"char_"&amp;E24&amp;"_"&amp;D24</f>
        <v>char_340_shwaz</v>
      </c>
      <c r="G24">
        <v>1</v>
      </c>
      <c r="I24">
        <v>2</v>
      </c>
      <c r="J24">
        <v>90</v>
      </c>
      <c r="K24">
        <v>1833</v>
      </c>
      <c r="M24">
        <v>970</v>
      </c>
      <c r="O24">
        <v>225</v>
      </c>
      <c r="Q24">
        <v>0</v>
      </c>
      <c r="S24">
        <v>20</v>
      </c>
      <c r="T24">
        <v>-2</v>
      </c>
      <c r="U24">
        <v>0.5</v>
      </c>
      <c r="V24">
        <v>70</v>
      </c>
      <c r="W24">
        <v>-4</v>
      </c>
      <c r="Y24">
        <v>0.05</v>
      </c>
      <c r="Z24">
        <v>1.6</v>
      </c>
      <c r="AC24">
        <v>1</v>
      </c>
      <c r="AG24" t="s">
        <v>24</v>
      </c>
      <c r="AH24" t="s">
        <v>147</v>
      </c>
      <c r="AI24" t="s">
        <v>283</v>
      </c>
      <c r="AJ24" t="s">
        <v>284</v>
      </c>
      <c r="AM24" s="26" t="s">
        <v>1147</v>
      </c>
      <c r="AN24">
        <v>1</v>
      </c>
      <c r="AO24">
        <v>0.5</v>
      </c>
      <c r="AV24">
        <v>0.25</v>
      </c>
      <c r="BA24" t="s">
        <v>194</v>
      </c>
      <c r="BB24" t="s">
        <v>285</v>
      </c>
      <c r="BC24" t="str">
        <f>"icon_"&amp;D24</f>
        <v>icon_shwaz</v>
      </c>
      <c r="BD24" t="str">
        <f t="shared" si="12"/>
        <v>half_shwaz</v>
      </c>
      <c r="BE24" t="str">
        <f t="shared" si="13"/>
        <v>shwaz</v>
      </c>
      <c r="BF24" t="s">
        <v>151</v>
      </c>
      <c r="BG24">
        <v>6</v>
      </c>
      <c r="BH24" t="s">
        <v>152</v>
      </c>
      <c r="BI24" t="s">
        <v>286</v>
      </c>
      <c r="BJ24" t="s">
        <v>287</v>
      </c>
      <c r="BK24" t="s">
        <v>288</v>
      </c>
      <c r="BL24" t="s">
        <v>156</v>
      </c>
      <c r="BM24" t="s">
        <v>157</v>
      </c>
      <c r="BO24" t="s">
        <v>158</v>
      </c>
      <c r="BP24" t="s">
        <v>158</v>
      </c>
      <c r="BR24">
        <v>1</v>
      </c>
    </row>
    <row r="25" spans="1:70" x14ac:dyDescent="0.25">
      <c r="A25" t="s">
        <v>25</v>
      </c>
      <c r="B25" t="s">
        <v>143</v>
      </c>
      <c r="D25" t="s">
        <v>289</v>
      </c>
      <c r="E25" s="19">
        <v>188</v>
      </c>
      <c r="F25" t="str">
        <f>"char_"&amp;E25&amp;"_"&amp;D25</f>
        <v>char_188_helage</v>
      </c>
      <c r="G25">
        <v>1</v>
      </c>
      <c r="I25">
        <v>2</v>
      </c>
      <c r="J25">
        <v>90</v>
      </c>
      <c r="K25">
        <v>4225</v>
      </c>
      <c r="L25">
        <v>350</v>
      </c>
      <c r="M25">
        <v>858</v>
      </c>
      <c r="N25">
        <v>90</v>
      </c>
      <c r="O25">
        <v>334</v>
      </c>
      <c r="Q25">
        <v>0</v>
      </c>
      <c r="S25">
        <v>26</v>
      </c>
      <c r="T25">
        <v>-2</v>
      </c>
      <c r="U25">
        <v>0.5</v>
      </c>
      <c r="V25">
        <v>70</v>
      </c>
      <c r="W25">
        <v>-4</v>
      </c>
      <c r="Y25">
        <v>0.05</v>
      </c>
      <c r="Z25">
        <v>1.2</v>
      </c>
      <c r="AC25">
        <v>1</v>
      </c>
      <c r="AG25" t="s">
        <v>25</v>
      </c>
      <c r="AH25" t="s">
        <v>147</v>
      </c>
      <c r="AI25" t="s">
        <v>290</v>
      </c>
      <c r="AJ25" t="s">
        <v>291</v>
      </c>
      <c r="AM25" s="26" t="s">
        <v>1148</v>
      </c>
      <c r="AN25">
        <v>1</v>
      </c>
      <c r="AO25">
        <v>0.5</v>
      </c>
      <c r="AV25">
        <v>0.25</v>
      </c>
      <c r="BA25" t="s">
        <v>163</v>
      </c>
      <c r="BB25" t="s">
        <v>292</v>
      </c>
      <c r="BC25" t="str">
        <f>"icon_"&amp;D25</f>
        <v>icon_helage</v>
      </c>
      <c r="BD25" t="str">
        <f t="shared" si="12"/>
        <v>half_helage</v>
      </c>
      <c r="BE25" t="str">
        <f t="shared" si="13"/>
        <v>helage</v>
      </c>
      <c r="BF25" t="s">
        <v>151</v>
      </c>
      <c r="BG25">
        <v>6</v>
      </c>
      <c r="BH25" t="s">
        <v>165</v>
      </c>
      <c r="BI25" t="s">
        <v>166</v>
      </c>
      <c r="BJ25" t="s">
        <v>293</v>
      </c>
      <c r="BK25" t="s">
        <v>294</v>
      </c>
      <c r="BL25" t="s">
        <v>156</v>
      </c>
      <c r="BM25" t="s">
        <v>157</v>
      </c>
      <c r="BO25" t="s">
        <v>158</v>
      </c>
      <c r="BP25" t="s">
        <v>158</v>
      </c>
      <c r="BR25">
        <v>1</v>
      </c>
    </row>
    <row r="26" spans="1:70" x14ac:dyDescent="0.25">
      <c r="E26" s="19"/>
    </row>
    <row r="28" spans="1:70" x14ac:dyDescent="0.25">
      <c r="A28" t="s">
        <v>295</v>
      </c>
      <c r="Y28">
        <v>0.05</v>
      </c>
    </row>
    <row r="29" spans="1:70" x14ac:dyDescent="0.25">
      <c r="A29" t="s">
        <v>296</v>
      </c>
      <c r="B29" t="s">
        <v>297</v>
      </c>
      <c r="D29" t="s">
        <v>230</v>
      </c>
      <c r="E29" s="17" t="s">
        <v>231</v>
      </c>
      <c r="F29" t="str">
        <f>"char_"&amp;E29&amp;"_"&amp;D29</f>
        <v>char_348_ceylon</v>
      </c>
      <c r="G29">
        <v>1</v>
      </c>
      <c r="K29">
        <v>100</v>
      </c>
      <c r="Y29">
        <v>0.05</v>
      </c>
      <c r="AF29">
        <v>2</v>
      </c>
      <c r="AG29" t="s">
        <v>296</v>
      </c>
      <c r="AK29">
        <v>3</v>
      </c>
      <c r="AV29">
        <v>0.25</v>
      </c>
      <c r="BC29" t="str">
        <f>"icon_"&amp;D29</f>
        <v>icon_ceylon</v>
      </c>
      <c r="BJ29" t="s">
        <v>298</v>
      </c>
      <c r="BL29" t="s">
        <v>156</v>
      </c>
      <c r="BM29" t="s">
        <v>157</v>
      </c>
      <c r="BO29" t="s">
        <v>158</v>
      </c>
      <c r="BP29" t="s">
        <v>158</v>
      </c>
      <c r="BR29">
        <v>1</v>
      </c>
    </row>
    <row r="40" spans="4:69" ht="14.5" x14ac:dyDescent="0.25">
      <c r="D40" s="21"/>
      <c r="E40" s="18"/>
      <c r="BN40" s="24"/>
      <c r="BQ40" s="24"/>
    </row>
    <row r="41" spans="4:69" ht="14.5" x14ac:dyDescent="0.25">
      <c r="D41" s="21"/>
      <c r="E41" s="18"/>
      <c r="BN41" s="24"/>
      <c r="BQ41" s="24"/>
    </row>
    <row r="42" spans="4:69" ht="14.5" x14ac:dyDescent="0.25">
      <c r="D42" s="21"/>
      <c r="E42" s="18"/>
      <c r="BN42" s="24"/>
      <c r="BQ42" s="24"/>
    </row>
    <row r="43" spans="4:69" ht="14.5" x14ac:dyDescent="0.25">
      <c r="D43" s="21"/>
      <c r="E43" s="18"/>
      <c r="BN43" s="24"/>
      <c r="BQ43" s="24"/>
    </row>
    <row r="44" spans="4:69" ht="14.5" x14ac:dyDescent="0.25">
      <c r="D44" s="21"/>
      <c r="E44" s="18"/>
      <c r="BN44" s="24"/>
      <c r="BQ44" s="24"/>
    </row>
    <row r="45" spans="4:69" ht="14.5" x14ac:dyDescent="0.25">
      <c r="D45" s="21"/>
      <c r="E45" s="18"/>
      <c r="BN45" s="24"/>
      <c r="BQ45" s="24"/>
    </row>
    <row r="46" spans="4:69" ht="14.5" x14ac:dyDescent="0.25">
      <c r="D46" s="21"/>
      <c r="E46" s="18"/>
      <c r="BN46" s="24"/>
      <c r="BQ46" s="24"/>
    </row>
    <row r="47" spans="4:69" ht="14.5" x14ac:dyDescent="0.25">
      <c r="D47" s="21"/>
      <c r="E47" s="18"/>
      <c r="BQ47" s="24"/>
    </row>
    <row r="48" spans="4:69" ht="14.5" x14ac:dyDescent="0.25">
      <c r="D48" s="21"/>
      <c r="E48" s="18"/>
      <c r="BQ48" s="24"/>
    </row>
    <row r="49" spans="4:69" ht="14.5" x14ac:dyDescent="0.25">
      <c r="D49" s="21"/>
      <c r="E49" s="18"/>
      <c r="BQ49" s="24"/>
    </row>
    <row r="50" spans="4:69" ht="14.5" x14ac:dyDescent="0.25">
      <c r="D50" s="21"/>
      <c r="E50" s="18"/>
      <c r="BN50" s="24"/>
      <c r="BQ50" s="24"/>
    </row>
    <row r="51" spans="4:69" ht="14.5" x14ac:dyDescent="0.25">
      <c r="D51" s="21"/>
      <c r="E51" s="18"/>
      <c r="BN51" s="24"/>
      <c r="BQ51" s="24"/>
    </row>
    <row r="52" spans="4:69" ht="14.5" x14ac:dyDescent="0.25">
      <c r="D52" s="21"/>
      <c r="E52" s="18"/>
      <c r="BN52" s="24"/>
      <c r="BQ52" s="24"/>
    </row>
    <row r="53" spans="4:69" ht="14.5" x14ac:dyDescent="0.25">
      <c r="D53" s="21"/>
      <c r="E53" s="18"/>
      <c r="BN53" s="24"/>
      <c r="BQ53" s="24"/>
    </row>
    <row r="54" spans="4:69" ht="14.5" x14ac:dyDescent="0.25">
      <c r="D54" s="21"/>
      <c r="E54" s="18"/>
      <c r="BN54" s="24"/>
      <c r="BQ54" s="24"/>
    </row>
    <row r="55" spans="4:69" ht="14.5" x14ac:dyDescent="0.25">
      <c r="D55" s="21"/>
      <c r="E55" s="18"/>
      <c r="BN55" s="24"/>
      <c r="BQ55" s="24"/>
    </row>
    <row r="56" spans="4:69" ht="14.5" x14ac:dyDescent="0.25">
      <c r="D56" s="21"/>
      <c r="E56" s="18"/>
      <c r="BN56" s="24"/>
      <c r="BQ56" s="24"/>
    </row>
    <row r="57" spans="4:69" ht="14.5" x14ac:dyDescent="0.25">
      <c r="D57" s="21"/>
      <c r="E57" s="18"/>
      <c r="BN57" s="24"/>
      <c r="BQ57" s="24"/>
    </row>
    <row r="58" spans="4:69" ht="14.5" x14ac:dyDescent="0.25">
      <c r="D58" s="21"/>
      <c r="E58" s="18"/>
      <c r="BN58" s="24"/>
      <c r="BQ58" s="24"/>
    </row>
    <row r="59" spans="4:69" ht="14.5" x14ac:dyDescent="0.25">
      <c r="D59" s="21"/>
      <c r="E59" s="18"/>
      <c r="BN59" s="24"/>
      <c r="BQ59" s="24"/>
    </row>
    <row r="60" spans="4:69" ht="14.5" x14ac:dyDescent="0.25">
      <c r="D60" s="21"/>
      <c r="E60" s="18"/>
      <c r="BN60" s="24"/>
      <c r="BQ60" s="24"/>
    </row>
    <row r="61" spans="4:69" ht="14.5" x14ac:dyDescent="0.25">
      <c r="D61" s="21"/>
      <c r="E61" s="18"/>
      <c r="BN61" s="24"/>
      <c r="BQ61" s="24"/>
    </row>
    <row r="62" spans="4:69" ht="14.5" x14ac:dyDescent="0.25">
      <c r="D62" s="21"/>
      <c r="E62" s="18"/>
      <c r="BN62" s="24"/>
      <c r="BQ62" s="24"/>
    </row>
    <row r="63" spans="4:69" ht="14.5" x14ac:dyDescent="0.25">
      <c r="D63" s="21"/>
      <c r="E63" s="18"/>
      <c r="BN63" s="24"/>
      <c r="BQ63" s="24"/>
    </row>
    <row r="64" spans="4:69" ht="14.5" x14ac:dyDescent="0.25">
      <c r="D64" s="21"/>
      <c r="E64" s="18"/>
      <c r="BN64" s="24"/>
      <c r="BQ64" s="24"/>
    </row>
    <row r="65" spans="4:69" ht="14.5" x14ac:dyDescent="0.25">
      <c r="D65" s="21"/>
      <c r="E65" s="18"/>
      <c r="BN65" s="24"/>
      <c r="BQ65" s="24"/>
    </row>
    <row r="66" spans="4:69" ht="14.5" x14ac:dyDescent="0.25">
      <c r="D66" s="21"/>
      <c r="E66" s="18"/>
      <c r="BN66" s="24"/>
      <c r="BQ66" s="24"/>
    </row>
    <row r="67" spans="4:69" ht="14.5" x14ac:dyDescent="0.25">
      <c r="D67" s="21"/>
      <c r="E67" s="18"/>
      <c r="BN67" s="24"/>
      <c r="BQ67" s="24"/>
    </row>
    <row r="68" spans="4:69" ht="14.5" x14ac:dyDescent="0.25">
      <c r="D68" s="21"/>
      <c r="E68" s="18"/>
      <c r="BN68" s="24"/>
      <c r="BQ68" s="24"/>
    </row>
    <row r="69" spans="4:69" ht="14.5" x14ac:dyDescent="0.25">
      <c r="D69" s="21"/>
      <c r="E69" s="18"/>
      <c r="BN69" s="24"/>
      <c r="BQ69" s="24"/>
    </row>
    <row r="70" spans="4:69" ht="14.5" x14ac:dyDescent="0.25">
      <c r="D70" s="21"/>
      <c r="E70" s="18"/>
      <c r="BN70" s="24"/>
      <c r="BQ70" s="24"/>
    </row>
    <row r="71" spans="4:69" ht="14.5" x14ac:dyDescent="0.25">
      <c r="D71" s="21"/>
      <c r="E71" s="18"/>
      <c r="BN71" s="24"/>
      <c r="BQ71" s="24"/>
    </row>
    <row r="72" spans="4:69" ht="14.5" x14ac:dyDescent="0.25">
      <c r="D72" s="21"/>
      <c r="E72" s="18"/>
      <c r="BN72" s="24"/>
      <c r="BQ72" s="24"/>
    </row>
    <row r="73" spans="4:69" ht="14.5" x14ac:dyDescent="0.25">
      <c r="D73" s="21"/>
      <c r="E73" s="18"/>
      <c r="BN73" s="24"/>
      <c r="BQ73" s="24"/>
    </row>
    <row r="74" spans="4:69" ht="14.5" x14ac:dyDescent="0.25">
      <c r="D74" s="21"/>
      <c r="E74" s="18"/>
      <c r="BN74" s="24"/>
      <c r="BQ74" s="24"/>
    </row>
    <row r="75" spans="4:69" ht="14.5" x14ac:dyDescent="0.25">
      <c r="D75" s="21"/>
      <c r="E75" s="18"/>
      <c r="BN75" s="24"/>
      <c r="BQ75" s="24"/>
    </row>
    <row r="76" spans="4:69" ht="14.5" x14ac:dyDescent="0.25">
      <c r="D76" s="21"/>
      <c r="E76" s="18"/>
      <c r="BN76" s="24"/>
      <c r="BQ76" s="24"/>
    </row>
    <row r="77" spans="4:69" ht="14.5" x14ac:dyDescent="0.25">
      <c r="D77" s="21"/>
      <c r="E77" s="18"/>
      <c r="BN77" s="24"/>
      <c r="BQ77" s="24"/>
    </row>
    <row r="78" spans="4:69" ht="14.5" x14ac:dyDescent="0.25">
      <c r="D78" s="21"/>
      <c r="E78" s="18"/>
      <c r="BN78" s="24"/>
      <c r="BQ78" s="24"/>
    </row>
    <row r="79" spans="4:69" ht="14.5" x14ac:dyDescent="0.25">
      <c r="D79" s="21"/>
      <c r="E79" s="18"/>
      <c r="BN79" s="24"/>
      <c r="BQ79" s="24"/>
    </row>
    <row r="80" spans="4:69" ht="14.5" x14ac:dyDescent="0.25">
      <c r="D80" s="21"/>
      <c r="E80" s="18"/>
      <c r="BN80" s="24"/>
      <c r="BQ80" s="24"/>
    </row>
    <row r="81" spans="4:69" ht="14.5" x14ac:dyDescent="0.25">
      <c r="D81" s="21"/>
      <c r="E81" s="18"/>
      <c r="BN81" s="24"/>
      <c r="BQ81" s="24"/>
    </row>
    <row r="82" spans="4:69" ht="14.5" x14ac:dyDescent="0.25">
      <c r="D82" s="21"/>
      <c r="E82" s="18"/>
      <c r="BN82" s="24"/>
      <c r="BQ82" s="24"/>
    </row>
    <row r="83" spans="4:69" ht="14.5" x14ac:dyDescent="0.25">
      <c r="D83" s="21"/>
      <c r="E83" s="18"/>
      <c r="BN83" s="24"/>
      <c r="BQ83" s="24"/>
    </row>
    <row r="84" spans="4:69" ht="14.5" x14ac:dyDescent="0.25">
      <c r="D84" s="21"/>
      <c r="E84" s="18"/>
      <c r="BN84" s="24"/>
      <c r="BQ84" s="24"/>
    </row>
    <row r="85" spans="4:69" ht="14.5" x14ac:dyDescent="0.25">
      <c r="D85" s="21"/>
      <c r="E85" s="18"/>
      <c r="BN85" s="24"/>
      <c r="BQ85" s="24"/>
    </row>
    <row r="86" spans="4:69" ht="14.5" x14ac:dyDescent="0.25">
      <c r="D86" s="21"/>
      <c r="E86" s="18"/>
      <c r="BN86" s="24"/>
      <c r="BQ86" s="24"/>
    </row>
    <row r="87" spans="4:69" ht="14.5" x14ac:dyDescent="0.25">
      <c r="D87" s="21"/>
      <c r="E87" s="18"/>
      <c r="BN87" s="24"/>
      <c r="BQ87" s="24"/>
    </row>
    <row r="88" spans="4:69" ht="14.5" x14ac:dyDescent="0.25">
      <c r="D88" s="21"/>
      <c r="E88" s="18"/>
      <c r="BN88" s="24"/>
      <c r="BQ88" s="24"/>
    </row>
    <row r="89" spans="4:69" ht="14.5" x14ac:dyDescent="0.25">
      <c r="D89" s="21"/>
      <c r="E89" s="18"/>
      <c r="BN89" s="24"/>
      <c r="BQ89" s="24"/>
    </row>
    <row r="90" spans="4:69" ht="14.5" x14ac:dyDescent="0.25">
      <c r="D90" s="21"/>
      <c r="E90" s="18"/>
      <c r="BN90" s="24"/>
      <c r="BQ90" s="24"/>
    </row>
    <row r="91" spans="4:69" ht="14.5" x14ac:dyDescent="0.25">
      <c r="D91" s="21"/>
      <c r="E91" s="18"/>
      <c r="BN91" s="24"/>
      <c r="BQ91" s="24"/>
    </row>
    <row r="92" spans="4:69" ht="14.5" x14ac:dyDescent="0.25">
      <c r="D92" s="21"/>
      <c r="E92" s="18"/>
      <c r="BN92" s="24"/>
      <c r="BQ92" s="24"/>
    </row>
    <row r="93" spans="4:69" ht="14.5" x14ac:dyDescent="0.25">
      <c r="D93" s="21"/>
      <c r="E93" s="18"/>
      <c r="BN93" s="24"/>
      <c r="BQ93" s="24"/>
    </row>
    <row r="94" spans="4:69" ht="14.5" x14ac:dyDescent="0.25">
      <c r="D94" s="21"/>
      <c r="E94" s="18"/>
      <c r="BN94" s="24"/>
      <c r="BQ94" s="24"/>
    </row>
    <row r="95" spans="4:69" ht="14.5" x14ac:dyDescent="0.25">
      <c r="D95" s="21"/>
      <c r="E95" s="18"/>
      <c r="BN95" s="24"/>
      <c r="BQ95" s="24"/>
    </row>
    <row r="96" spans="4:69" ht="14.5" x14ac:dyDescent="0.25">
      <c r="D96" s="21"/>
      <c r="E96" s="18"/>
      <c r="BN96" s="24"/>
      <c r="BQ96" s="24"/>
    </row>
    <row r="97" spans="4:69" ht="14.5" x14ac:dyDescent="0.25">
      <c r="D97" s="21"/>
      <c r="E97" s="18"/>
      <c r="BN97" s="24"/>
      <c r="BQ97" s="24"/>
    </row>
    <row r="98" spans="4:69" ht="14.5" x14ac:dyDescent="0.25">
      <c r="D98" s="21"/>
      <c r="E98" s="18"/>
      <c r="BN98" s="24"/>
      <c r="BQ98" s="24"/>
    </row>
    <row r="99" spans="4:69" ht="14.5" x14ac:dyDescent="0.25">
      <c r="D99" s="21"/>
      <c r="E99" s="18"/>
      <c r="BN99" s="24"/>
      <c r="BQ99" s="24"/>
    </row>
    <row r="100" spans="4:69" ht="14.5" x14ac:dyDescent="0.25">
      <c r="D100" s="21"/>
      <c r="E100" s="18"/>
      <c r="BN100" s="24"/>
      <c r="BQ100" s="24"/>
    </row>
    <row r="101" spans="4:69" ht="14.5" x14ac:dyDescent="0.25">
      <c r="D101" s="21"/>
      <c r="E101" s="18"/>
      <c r="BN101" s="24"/>
      <c r="BQ101" s="24"/>
    </row>
    <row r="102" spans="4:69" ht="14.5" x14ac:dyDescent="0.25">
      <c r="D102" s="21"/>
      <c r="E102" s="18"/>
      <c r="BN102" s="24"/>
      <c r="BQ102" s="24"/>
    </row>
    <row r="103" spans="4:69" ht="14.5" x14ac:dyDescent="0.25">
      <c r="D103" s="21"/>
      <c r="E103" s="18"/>
      <c r="BN103" s="24"/>
      <c r="BQ103" s="24"/>
    </row>
    <row r="104" spans="4:69" ht="14.5" x14ac:dyDescent="0.25">
      <c r="D104" s="21"/>
      <c r="E104" s="18"/>
      <c r="BN104" s="24"/>
      <c r="BQ104" s="24"/>
    </row>
    <row r="105" spans="4:69" ht="14.5" x14ac:dyDescent="0.25">
      <c r="D105" s="21"/>
      <c r="E105" s="18"/>
      <c r="BN105" s="24"/>
      <c r="BQ105" s="24"/>
    </row>
    <row r="106" spans="4:69" ht="14.5" x14ac:dyDescent="0.25">
      <c r="D106" s="21"/>
      <c r="E106" s="18"/>
      <c r="BN106" s="24"/>
      <c r="BQ106" s="24"/>
    </row>
    <row r="107" spans="4:69" ht="14.5" x14ac:dyDescent="0.25">
      <c r="D107" s="21"/>
      <c r="E107" s="18"/>
      <c r="BN107" s="24"/>
      <c r="BQ107" s="24"/>
    </row>
    <row r="108" spans="4:69" ht="14.5" x14ac:dyDescent="0.25">
      <c r="D108" s="21"/>
      <c r="E108" s="18"/>
      <c r="BN108" s="24"/>
      <c r="BQ108" s="24"/>
    </row>
    <row r="109" spans="4:69" ht="14.5" x14ac:dyDescent="0.25">
      <c r="D109" s="21"/>
      <c r="E109" s="18"/>
      <c r="BN109" s="24"/>
      <c r="BQ109" s="24"/>
    </row>
    <row r="110" spans="4:69" ht="14.5" x14ac:dyDescent="0.25">
      <c r="D110" s="21"/>
      <c r="E110" s="18"/>
      <c r="BN110" s="24"/>
      <c r="BQ110" s="24"/>
    </row>
    <row r="111" spans="4:69" ht="14.5" x14ac:dyDescent="0.25">
      <c r="D111" s="21"/>
      <c r="E111" s="18"/>
      <c r="BN111" s="24"/>
      <c r="BQ111" s="24"/>
    </row>
    <row r="112" spans="4:69" ht="14.5" x14ac:dyDescent="0.25">
      <c r="D112" s="21"/>
      <c r="E112" s="18"/>
      <c r="BN112" s="24"/>
      <c r="BQ112" s="24"/>
    </row>
    <row r="113" spans="4:69" ht="14.5" x14ac:dyDescent="0.25">
      <c r="D113" s="21"/>
      <c r="E113" s="18"/>
      <c r="BN113" s="24"/>
      <c r="BQ113" s="24"/>
    </row>
    <row r="114" spans="4:69" ht="14.5" x14ac:dyDescent="0.25">
      <c r="D114" s="21"/>
      <c r="E114" s="18"/>
      <c r="BN114" s="24"/>
      <c r="BQ114" s="24"/>
    </row>
    <row r="115" spans="4:69" ht="14.5" x14ac:dyDescent="0.25">
      <c r="D115" s="21"/>
      <c r="E115" s="18"/>
      <c r="BN115" s="24"/>
      <c r="BQ115" s="24"/>
    </row>
    <row r="116" spans="4:69" ht="14.5" x14ac:dyDescent="0.25">
      <c r="D116" s="21"/>
      <c r="E116" s="18"/>
      <c r="BN116" s="24"/>
      <c r="BQ116" s="24"/>
    </row>
    <row r="117" spans="4:69" ht="14.5" x14ac:dyDescent="0.25">
      <c r="D117" s="21"/>
      <c r="E117" s="18"/>
      <c r="BN117" s="24"/>
      <c r="BQ117" s="24"/>
    </row>
    <row r="118" spans="4:69" ht="14.5" x14ac:dyDescent="0.25">
      <c r="D118" s="21"/>
      <c r="E118" s="18"/>
      <c r="BN118" s="24"/>
      <c r="BQ118" s="24"/>
    </row>
    <row r="119" spans="4:69" ht="14.5" x14ac:dyDescent="0.25">
      <c r="D119" s="21"/>
      <c r="E119" s="18"/>
      <c r="BN119" s="24"/>
      <c r="BQ119" s="24"/>
    </row>
    <row r="120" spans="4:69" ht="14.5" x14ac:dyDescent="0.25">
      <c r="D120" s="21"/>
      <c r="E120" s="18"/>
      <c r="BN120" s="24"/>
      <c r="BQ120" s="24"/>
    </row>
    <row r="121" spans="4:69" ht="14.5" x14ac:dyDescent="0.25">
      <c r="D121" s="21"/>
      <c r="E121" s="18"/>
      <c r="BN121" s="24"/>
      <c r="BQ121" s="24"/>
    </row>
    <row r="122" spans="4:69" ht="14.5" x14ac:dyDescent="0.25">
      <c r="D122" s="21"/>
      <c r="E122" s="18"/>
      <c r="BN122" s="24"/>
      <c r="BQ122" s="24"/>
    </row>
    <row r="123" spans="4:69" ht="14.5" x14ac:dyDescent="0.25">
      <c r="D123" s="21"/>
      <c r="E123" s="18"/>
      <c r="BN123" s="24"/>
      <c r="BQ123" s="24"/>
    </row>
    <row r="124" spans="4:69" ht="14.5" x14ac:dyDescent="0.25">
      <c r="D124" s="21"/>
      <c r="E124" s="18"/>
      <c r="BN124" s="24"/>
      <c r="BQ124" s="24"/>
    </row>
    <row r="125" spans="4:69" ht="14.5" x14ac:dyDescent="0.25">
      <c r="D125" s="21"/>
      <c r="E125" s="18"/>
      <c r="BN125" s="24"/>
      <c r="BQ125" s="24"/>
    </row>
    <row r="126" spans="4:69" ht="14.5" x14ac:dyDescent="0.25">
      <c r="D126" s="21"/>
      <c r="E126" s="18"/>
      <c r="BN126" s="24"/>
      <c r="BQ126" s="24"/>
    </row>
    <row r="127" spans="4:69" ht="14.5" x14ac:dyDescent="0.25">
      <c r="D127" s="21"/>
      <c r="E127" s="18"/>
      <c r="BN127" s="24"/>
      <c r="BQ127" s="24"/>
    </row>
    <row r="128" spans="4:69" ht="14.5" x14ac:dyDescent="0.25">
      <c r="D128" s="21"/>
      <c r="E128" s="18"/>
      <c r="BN128" s="24"/>
      <c r="BQ128" s="24"/>
    </row>
    <row r="129" spans="4:69" ht="14.5" x14ac:dyDescent="0.25">
      <c r="D129" s="21"/>
      <c r="E129" s="18"/>
      <c r="BN129" s="24"/>
      <c r="BQ129" s="24"/>
    </row>
    <row r="130" spans="4:69" ht="14.5" x14ac:dyDescent="0.25">
      <c r="D130" s="21"/>
      <c r="E130" s="18"/>
      <c r="BN130" s="24"/>
      <c r="BQ130" s="24"/>
    </row>
    <row r="131" spans="4:69" ht="14.5" x14ac:dyDescent="0.25">
      <c r="D131" s="21"/>
      <c r="E131" s="18"/>
      <c r="BN131" s="24"/>
      <c r="BQ131" s="24"/>
    </row>
    <row r="132" spans="4:69" ht="14.5" x14ac:dyDescent="0.25">
      <c r="D132" s="21"/>
      <c r="E132" s="18"/>
      <c r="BN132" s="24"/>
      <c r="BQ132" s="24"/>
    </row>
    <row r="133" spans="4:69" ht="14.5" x14ac:dyDescent="0.25">
      <c r="D133" s="21"/>
      <c r="E133" s="18"/>
      <c r="BN133" s="24"/>
      <c r="BQ133" s="24"/>
    </row>
    <row r="134" spans="4:69" ht="14.5" x14ac:dyDescent="0.25">
      <c r="D134" s="21"/>
      <c r="E134" s="18"/>
      <c r="BN134" s="24"/>
      <c r="BQ134" s="24"/>
    </row>
    <row r="135" spans="4:69" ht="14.5" x14ac:dyDescent="0.25">
      <c r="D135" s="21"/>
      <c r="E135" s="18"/>
      <c r="BN135" s="24"/>
      <c r="BQ135" s="24"/>
    </row>
    <row r="136" spans="4:69" ht="14.5" x14ac:dyDescent="0.25">
      <c r="D136" s="21"/>
      <c r="E136" s="18"/>
      <c r="BN136" s="24"/>
      <c r="BQ136" s="24"/>
    </row>
    <row r="137" spans="4:69" ht="14.5" x14ac:dyDescent="0.25">
      <c r="D137" s="21"/>
      <c r="E137" s="18"/>
      <c r="BN137" s="24"/>
      <c r="BQ137" s="24"/>
    </row>
    <row r="138" spans="4:69" ht="14.5" x14ac:dyDescent="0.25">
      <c r="D138" s="21"/>
      <c r="E138" s="18"/>
      <c r="BN138" s="24"/>
      <c r="BQ138" s="24"/>
    </row>
    <row r="139" spans="4:69" ht="14.5" x14ac:dyDescent="0.25">
      <c r="D139" s="21"/>
      <c r="E139" s="18"/>
      <c r="BN139" s="24"/>
      <c r="BQ139" s="24"/>
    </row>
    <row r="140" spans="4:69" ht="14.5" x14ac:dyDescent="0.25">
      <c r="D140" s="21"/>
      <c r="E140" s="18"/>
      <c r="BN140" s="24"/>
      <c r="BQ140" s="24"/>
    </row>
    <row r="141" spans="4:69" ht="14.5" x14ac:dyDescent="0.25">
      <c r="D141" s="21"/>
      <c r="E141" s="18"/>
      <c r="BN141" s="24"/>
      <c r="BQ141" s="24"/>
    </row>
    <row r="142" spans="4:69" ht="14.5" x14ac:dyDescent="0.25">
      <c r="D142" s="21"/>
      <c r="E142" s="18"/>
      <c r="BN142" s="24"/>
      <c r="BQ142" s="24"/>
    </row>
    <row r="143" spans="4:69" ht="14.5" x14ac:dyDescent="0.25">
      <c r="D143" s="21"/>
      <c r="E143" s="18"/>
      <c r="BN143" s="24"/>
      <c r="BQ143" s="24"/>
    </row>
    <row r="144" spans="4:69" ht="14.5" x14ac:dyDescent="0.25">
      <c r="D144" s="21"/>
      <c r="E144" s="18"/>
      <c r="BN144" s="24"/>
      <c r="BQ144" s="24"/>
    </row>
    <row r="145" spans="4:69" ht="14.5" x14ac:dyDescent="0.25">
      <c r="D145" s="21"/>
      <c r="E145" s="18"/>
      <c r="BN145" s="24"/>
      <c r="BQ145" s="24"/>
    </row>
    <row r="146" spans="4:69" ht="14.5" x14ac:dyDescent="0.25">
      <c r="D146" s="21"/>
      <c r="E146" s="18"/>
      <c r="BN146" s="24"/>
      <c r="BQ146" s="24"/>
    </row>
    <row r="147" spans="4:69" ht="14.5" x14ac:dyDescent="0.25">
      <c r="D147" s="21"/>
      <c r="E147" s="18"/>
      <c r="BN147" s="24"/>
      <c r="BQ147" s="24"/>
    </row>
    <row r="148" spans="4:69" ht="14.5" x14ac:dyDescent="0.25">
      <c r="D148" s="21"/>
      <c r="E148" s="18"/>
      <c r="BN148" s="24"/>
      <c r="BQ148" s="24"/>
    </row>
    <row r="149" spans="4:69" ht="14.5" x14ac:dyDescent="0.25">
      <c r="D149" s="21"/>
      <c r="E149" s="18"/>
      <c r="BN149" s="24"/>
      <c r="BQ149" s="24"/>
    </row>
    <row r="150" spans="4:69" ht="14.5" x14ac:dyDescent="0.25">
      <c r="D150" s="21"/>
      <c r="E150" s="18"/>
      <c r="BN150" s="24"/>
      <c r="BQ150" s="24"/>
    </row>
    <row r="151" spans="4:69" ht="14.5" x14ac:dyDescent="0.25">
      <c r="D151" s="21"/>
      <c r="E151" s="18"/>
      <c r="BN151" s="24"/>
      <c r="BQ151" s="24"/>
    </row>
    <row r="152" spans="4:69" ht="14.5" x14ac:dyDescent="0.25">
      <c r="D152" s="21"/>
      <c r="E152" s="18"/>
      <c r="BN152" s="24"/>
      <c r="BQ152" s="24"/>
    </row>
    <row r="153" spans="4:69" ht="14.5" x14ac:dyDescent="0.25">
      <c r="D153" s="21"/>
      <c r="E153" s="18"/>
      <c r="BN153" s="24"/>
      <c r="BQ153" s="24"/>
    </row>
    <row r="154" spans="4:69" ht="14.5" x14ac:dyDescent="0.25">
      <c r="D154" s="21"/>
      <c r="E154" s="18"/>
      <c r="BN154" s="24"/>
      <c r="BQ154" s="24"/>
    </row>
    <row r="155" spans="4:69" ht="14.5" x14ac:dyDescent="0.25">
      <c r="D155" s="21"/>
      <c r="E155" s="18"/>
      <c r="BN155" s="24"/>
      <c r="BQ155" s="24"/>
    </row>
    <row r="156" spans="4:69" ht="14.5" x14ac:dyDescent="0.25">
      <c r="D156" s="21"/>
      <c r="E156" s="18"/>
      <c r="BN156" s="24"/>
      <c r="BQ156" s="24"/>
    </row>
    <row r="157" spans="4:69" ht="14.5" x14ac:dyDescent="0.25">
      <c r="D157" s="21"/>
      <c r="E157" s="18"/>
      <c r="BN157" s="24"/>
      <c r="BQ157" s="24"/>
    </row>
    <row r="158" spans="4:69" ht="14.5" x14ac:dyDescent="0.25">
      <c r="D158" s="21"/>
      <c r="E158" s="18"/>
      <c r="BN158" s="24"/>
      <c r="BQ158" s="24"/>
    </row>
    <row r="159" spans="4:69" ht="14.5" x14ac:dyDescent="0.25">
      <c r="D159" s="21"/>
      <c r="E159" s="18"/>
      <c r="BN159" s="24"/>
      <c r="BQ159" s="24"/>
    </row>
    <row r="160" spans="4:69" ht="14.5" x14ac:dyDescent="0.25">
      <c r="D160" s="21"/>
      <c r="E160" s="18"/>
      <c r="BN160" s="24"/>
      <c r="BQ160" s="24"/>
    </row>
    <row r="161" spans="4:69" ht="14.5" x14ac:dyDescent="0.25">
      <c r="D161" s="21"/>
      <c r="E161" s="18"/>
      <c r="BN161" s="24"/>
      <c r="BQ161" s="24"/>
    </row>
    <row r="162" spans="4:69" ht="14.5" x14ac:dyDescent="0.25">
      <c r="D162" s="21"/>
      <c r="E162" s="18"/>
      <c r="BN162" s="24"/>
      <c r="BQ162" s="24"/>
    </row>
    <row r="163" spans="4:69" ht="14.5" x14ac:dyDescent="0.25">
      <c r="D163" s="21"/>
      <c r="E163" s="18"/>
      <c r="BN163" s="24"/>
      <c r="BQ163" s="24"/>
    </row>
    <row r="164" spans="4:69" ht="14.5" x14ac:dyDescent="0.25">
      <c r="D164" s="21"/>
      <c r="E164" s="18"/>
      <c r="BN164" s="24"/>
      <c r="BQ164" s="24"/>
    </row>
    <row r="165" spans="4:69" ht="14.5" x14ac:dyDescent="0.25">
      <c r="D165" s="21"/>
      <c r="E165" s="18"/>
      <c r="BN165" s="24"/>
      <c r="BQ165" s="24"/>
    </row>
    <row r="166" spans="4:69" ht="14.5" x14ac:dyDescent="0.25">
      <c r="D166" s="21"/>
      <c r="E166" s="18"/>
      <c r="BN166" s="24"/>
      <c r="BQ166" s="24"/>
    </row>
    <row r="167" spans="4:69" ht="14.5" x14ac:dyDescent="0.25">
      <c r="D167" s="21"/>
      <c r="E167" s="18"/>
      <c r="BN167" s="24"/>
      <c r="BQ167" s="24"/>
    </row>
    <row r="168" spans="4:69" ht="14.5" x14ac:dyDescent="0.25">
      <c r="D168" s="21"/>
      <c r="E168" s="18"/>
      <c r="BN168" s="24"/>
      <c r="BQ168" s="24"/>
    </row>
    <row r="169" spans="4:69" ht="14.5" x14ac:dyDescent="0.25">
      <c r="D169" s="21"/>
      <c r="E169" s="18"/>
      <c r="BN169" s="24"/>
      <c r="BQ169" s="24"/>
    </row>
    <row r="170" spans="4:69" ht="14.5" x14ac:dyDescent="0.25">
      <c r="D170" s="21"/>
      <c r="E170" s="18"/>
      <c r="BN170" s="24"/>
      <c r="BQ170" s="24"/>
    </row>
    <row r="171" spans="4:69" ht="14.5" x14ac:dyDescent="0.25">
      <c r="D171" s="21"/>
      <c r="E171" s="18"/>
      <c r="BN171" s="24"/>
      <c r="BQ171" s="24"/>
    </row>
    <row r="172" spans="4:69" ht="14.5" x14ac:dyDescent="0.25">
      <c r="D172" s="21"/>
      <c r="E172" s="18"/>
      <c r="BN172" s="24"/>
      <c r="BQ172" s="24"/>
    </row>
    <row r="173" spans="4:69" ht="14.5" x14ac:dyDescent="0.25">
      <c r="D173" s="21"/>
      <c r="E173" s="18"/>
      <c r="BN173" s="24"/>
      <c r="BQ173" s="24"/>
    </row>
    <row r="174" spans="4:69" ht="14.5" x14ac:dyDescent="0.25">
      <c r="D174" s="21"/>
      <c r="E174" s="18"/>
      <c r="BN174" s="24"/>
      <c r="BQ174" s="24"/>
    </row>
    <row r="175" spans="4:69" ht="14.5" x14ac:dyDescent="0.25">
      <c r="D175" s="21"/>
      <c r="E175" s="18"/>
      <c r="BN175" s="24"/>
      <c r="BQ175" s="24"/>
    </row>
    <row r="176" spans="4:69" ht="14.5" x14ac:dyDescent="0.25">
      <c r="D176" s="21"/>
      <c r="E176" s="18"/>
      <c r="BN176" s="24"/>
      <c r="BQ176" s="24"/>
    </row>
    <row r="177" spans="4:69" ht="14.5" x14ac:dyDescent="0.25">
      <c r="D177" s="21"/>
      <c r="E177" s="18"/>
      <c r="BN177" s="24"/>
      <c r="BQ177" s="24"/>
    </row>
    <row r="178" spans="4:69" ht="14.5" x14ac:dyDescent="0.25">
      <c r="D178" s="21"/>
      <c r="E178" s="18"/>
      <c r="BN178" s="24"/>
      <c r="BQ178" s="24"/>
    </row>
    <row r="179" spans="4:69" ht="14.5" x14ac:dyDescent="0.25">
      <c r="D179" s="21"/>
      <c r="E179" s="18"/>
      <c r="BN179" s="24"/>
      <c r="BQ179" s="24"/>
    </row>
    <row r="180" spans="4:69" ht="14.5" x14ac:dyDescent="0.25">
      <c r="D180" s="21"/>
      <c r="E180" s="18"/>
      <c r="BN180" s="24"/>
      <c r="BQ180" s="24"/>
    </row>
    <row r="181" spans="4:69" ht="14.5" x14ac:dyDescent="0.25">
      <c r="D181" s="21"/>
      <c r="E181" s="18"/>
      <c r="BN181" s="24"/>
      <c r="BQ181" s="24"/>
    </row>
    <row r="182" spans="4:69" ht="14.5" x14ac:dyDescent="0.25">
      <c r="D182" s="21"/>
      <c r="E182" s="18"/>
      <c r="BN182" s="24"/>
      <c r="BQ182" s="24"/>
    </row>
    <row r="183" spans="4:69" ht="14.5" x14ac:dyDescent="0.25">
      <c r="D183" s="21"/>
      <c r="E183" s="18"/>
      <c r="BN183" s="24"/>
      <c r="BQ183" s="24"/>
    </row>
    <row r="184" spans="4:69" ht="14.5" x14ac:dyDescent="0.25">
      <c r="D184" s="21"/>
      <c r="E184" s="18"/>
      <c r="BN184" s="24"/>
      <c r="BQ184" s="24"/>
    </row>
    <row r="185" spans="4:69" ht="14.5" x14ac:dyDescent="0.25">
      <c r="D185" s="21"/>
      <c r="E185" s="18"/>
      <c r="BN185" s="24"/>
      <c r="BQ185" s="24"/>
    </row>
    <row r="186" spans="4:69" ht="14.5" x14ac:dyDescent="0.25">
      <c r="D186" s="21"/>
      <c r="E186" s="18"/>
      <c r="BN186" s="24"/>
      <c r="BQ186" s="24"/>
    </row>
    <row r="187" spans="4:69" ht="14.5" x14ac:dyDescent="0.25">
      <c r="D187" s="21"/>
      <c r="E187" s="18"/>
      <c r="BN187" s="24"/>
      <c r="BQ187" s="24"/>
    </row>
    <row r="188" spans="4:69" ht="14.5" x14ac:dyDescent="0.25">
      <c r="D188" s="21"/>
      <c r="E188" s="18"/>
      <c r="BN188" s="24"/>
      <c r="BQ188" s="24"/>
    </row>
    <row r="189" spans="4:69" ht="14.5" x14ac:dyDescent="0.25">
      <c r="D189" s="21"/>
      <c r="E189" s="18"/>
      <c r="BN189" s="24"/>
      <c r="BQ189" s="24"/>
    </row>
    <row r="190" spans="4:69" ht="14.5" x14ac:dyDescent="0.25">
      <c r="D190" s="21"/>
      <c r="E190" s="18"/>
      <c r="BN190" s="24"/>
      <c r="BQ190" s="24"/>
    </row>
    <row r="191" spans="4:69" ht="14.5" x14ac:dyDescent="0.25">
      <c r="D191" s="21"/>
      <c r="E191" s="18"/>
      <c r="BN191" s="24"/>
      <c r="BQ191" s="24"/>
    </row>
    <row r="192" spans="4:69" ht="14.5" x14ac:dyDescent="0.25">
      <c r="D192" s="21"/>
      <c r="E192" s="18"/>
      <c r="BN192" s="24"/>
      <c r="BQ192" s="24"/>
    </row>
    <row r="193" spans="4:69" ht="14.5" x14ac:dyDescent="0.25">
      <c r="D193" s="21"/>
      <c r="E193" s="18"/>
      <c r="BN193" s="24"/>
      <c r="BQ193" s="24"/>
    </row>
    <row r="194" spans="4:69" ht="14.5" x14ac:dyDescent="0.25">
      <c r="D194" s="21"/>
      <c r="E194" s="18"/>
      <c r="BN194" s="24"/>
      <c r="BQ194" s="24"/>
    </row>
    <row r="195" spans="4:69" ht="14.5" x14ac:dyDescent="0.25">
      <c r="D195" s="21"/>
      <c r="E195" s="18"/>
      <c r="BN195" s="24"/>
      <c r="BQ195" s="24"/>
    </row>
    <row r="196" spans="4:69" ht="14.5" x14ac:dyDescent="0.25">
      <c r="D196" s="21"/>
      <c r="E196" s="18"/>
      <c r="BN196" s="24"/>
      <c r="BQ196" s="24"/>
    </row>
    <row r="197" spans="4:69" ht="14.5" x14ac:dyDescent="0.25">
      <c r="D197" s="21"/>
      <c r="E197" s="18"/>
      <c r="BN197" s="24"/>
      <c r="BQ197" s="24"/>
    </row>
    <row r="198" spans="4:69" ht="14.5" x14ac:dyDescent="0.25">
      <c r="D198" s="21"/>
      <c r="E198" s="18"/>
      <c r="BN198" s="24"/>
      <c r="BQ198" s="24"/>
    </row>
    <row r="199" spans="4:69" ht="14.5" x14ac:dyDescent="0.25">
      <c r="D199" s="21"/>
      <c r="E199" s="18"/>
      <c r="BN199" s="24"/>
      <c r="BQ199" s="24"/>
    </row>
    <row r="200" spans="4:69" ht="14.5" x14ac:dyDescent="0.25">
      <c r="D200" s="21"/>
      <c r="E200" s="18"/>
      <c r="BN200" s="24"/>
      <c r="BQ200" s="24"/>
    </row>
    <row r="201" spans="4:69" ht="14.5" x14ac:dyDescent="0.25">
      <c r="D201" s="21"/>
      <c r="E201" s="18"/>
      <c r="BN201" s="24"/>
      <c r="BQ201" s="24"/>
    </row>
    <row r="202" spans="4:69" ht="14.5" x14ac:dyDescent="0.25">
      <c r="D202" s="21"/>
      <c r="E202" s="18"/>
      <c r="BN202" s="24"/>
      <c r="BQ202" s="24"/>
    </row>
    <row r="203" spans="4:69" ht="14.5" x14ac:dyDescent="0.25">
      <c r="D203" s="21"/>
      <c r="E203" s="18"/>
      <c r="BN203" s="24"/>
      <c r="BQ203" s="24"/>
    </row>
    <row r="204" spans="4:69" ht="14.5" x14ac:dyDescent="0.25">
      <c r="D204" s="21"/>
      <c r="E204" s="18"/>
      <c r="BN204" s="24"/>
      <c r="BQ204" s="24"/>
    </row>
    <row r="205" spans="4:69" ht="14.5" x14ac:dyDescent="0.25">
      <c r="D205" s="21"/>
      <c r="E205" s="18"/>
      <c r="BN205" s="24"/>
      <c r="BQ205" s="24"/>
    </row>
    <row r="206" spans="4:69" ht="14.5" x14ac:dyDescent="0.25">
      <c r="D206" s="21"/>
      <c r="E206" s="18"/>
      <c r="BN206" s="24"/>
      <c r="BQ206" s="24"/>
    </row>
    <row r="207" spans="4:69" ht="14.5" x14ac:dyDescent="0.25">
      <c r="D207" s="21"/>
      <c r="E207" s="18"/>
      <c r="BN207" s="24"/>
      <c r="BQ207" s="24"/>
    </row>
    <row r="208" spans="4:69" ht="14.5" x14ac:dyDescent="0.25">
      <c r="D208" s="21"/>
      <c r="E208" s="18"/>
      <c r="BN208" s="24"/>
      <c r="BQ208" s="24"/>
    </row>
    <row r="209" spans="4:69" ht="14.5" x14ac:dyDescent="0.25">
      <c r="D209" s="21"/>
      <c r="E209" s="18"/>
      <c r="BN209" s="24"/>
      <c r="BQ209" s="24"/>
    </row>
    <row r="210" spans="4:69" ht="14.5" x14ac:dyDescent="0.25">
      <c r="D210" s="21"/>
      <c r="E210" s="18"/>
      <c r="BN210" s="24"/>
      <c r="BQ210" s="24"/>
    </row>
    <row r="211" spans="4:69" ht="14.5" x14ac:dyDescent="0.25">
      <c r="D211" s="21"/>
      <c r="E211" s="18"/>
      <c r="BN211" s="24"/>
      <c r="BQ211" s="24"/>
    </row>
    <row r="212" spans="4:69" ht="14.5" x14ac:dyDescent="0.25">
      <c r="D212" s="21"/>
      <c r="E212" s="18"/>
      <c r="BN212" s="24"/>
      <c r="BQ212" s="24"/>
    </row>
    <row r="213" spans="4:69" ht="14.5" x14ac:dyDescent="0.25">
      <c r="D213" s="21"/>
      <c r="E213" s="18"/>
      <c r="BN213" s="24"/>
      <c r="BQ213" s="24"/>
    </row>
    <row r="214" spans="4:69" ht="14.5" x14ac:dyDescent="0.25">
      <c r="D214" s="21"/>
      <c r="E214" s="18"/>
      <c r="BN214" s="24"/>
      <c r="BQ214" s="24"/>
    </row>
    <row r="215" spans="4:69" ht="14.5" x14ac:dyDescent="0.25">
      <c r="D215" s="21"/>
      <c r="E215" s="18"/>
      <c r="BN215" s="24"/>
      <c r="BQ215" s="24"/>
    </row>
    <row r="216" spans="4:69" ht="14.5" x14ac:dyDescent="0.25">
      <c r="D216" s="21"/>
      <c r="E216" s="18"/>
      <c r="BN216" s="24"/>
      <c r="BQ216" s="24"/>
    </row>
    <row r="217" spans="4:69" ht="14.5" x14ac:dyDescent="0.25">
      <c r="D217" s="21"/>
      <c r="E217" s="18"/>
      <c r="BN217" s="24"/>
      <c r="BQ217" s="24"/>
    </row>
    <row r="218" spans="4:69" ht="14.5" x14ac:dyDescent="0.25">
      <c r="D218" s="21"/>
      <c r="E218" s="18"/>
      <c r="BN218" s="24"/>
      <c r="BQ218" s="24"/>
    </row>
    <row r="219" spans="4:69" ht="14.5" x14ac:dyDescent="0.25">
      <c r="D219" s="21"/>
      <c r="E219" s="18"/>
      <c r="BN219" s="24"/>
      <c r="BQ219" s="24"/>
    </row>
    <row r="220" spans="4:69" ht="14.5" x14ac:dyDescent="0.25">
      <c r="D220" s="21"/>
      <c r="E220" s="18"/>
      <c r="BN220" s="24"/>
      <c r="BQ220" s="24"/>
    </row>
    <row r="221" spans="4:69" ht="14.5" x14ac:dyDescent="0.25">
      <c r="D221" s="21"/>
      <c r="E221" s="18"/>
      <c r="BN221" s="24"/>
      <c r="BQ221" s="24"/>
    </row>
    <row r="222" spans="4:69" ht="14.5" x14ac:dyDescent="0.25">
      <c r="D222" s="21"/>
      <c r="E222" s="18"/>
      <c r="BN222" s="24"/>
      <c r="BQ222" s="24"/>
    </row>
    <row r="223" spans="4:69" ht="14.5" x14ac:dyDescent="0.25">
      <c r="D223" s="21"/>
      <c r="E223" s="18"/>
      <c r="BN223" s="24"/>
      <c r="BQ223" s="24"/>
    </row>
    <row r="224" spans="4:69" ht="14.5" x14ac:dyDescent="0.25">
      <c r="D224" s="21"/>
      <c r="E224" s="18"/>
      <c r="BN224" s="24"/>
      <c r="BQ224" s="24"/>
    </row>
    <row r="225" spans="4:69" ht="14.5" x14ac:dyDescent="0.25">
      <c r="D225" s="21"/>
      <c r="E225" s="18"/>
      <c r="BN225" s="24"/>
      <c r="BQ225" s="24"/>
    </row>
    <row r="226" spans="4:69" ht="14.5" x14ac:dyDescent="0.25">
      <c r="D226" s="21"/>
      <c r="E226" s="18"/>
      <c r="BN226" s="24"/>
      <c r="BQ226" s="24"/>
    </row>
    <row r="227" spans="4:69" ht="14.5" x14ac:dyDescent="0.25">
      <c r="D227" s="21"/>
      <c r="E227" s="18"/>
      <c r="BN227" s="24"/>
      <c r="BQ227" s="24"/>
    </row>
    <row r="228" spans="4:69" ht="14.5" x14ac:dyDescent="0.25">
      <c r="D228" s="21"/>
      <c r="E228" s="18"/>
      <c r="BN228" s="24"/>
      <c r="BQ228" s="24"/>
    </row>
    <row r="229" spans="4:69" ht="14.5" x14ac:dyDescent="0.25">
      <c r="D229" s="21"/>
      <c r="E229" s="18"/>
      <c r="BN229" s="24"/>
      <c r="BQ229" s="24"/>
    </row>
    <row r="230" spans="4:69" ht="14.5" x14ac:dyDescent="0.25">
      <c r="D230" s="21"/>
      <c r="E230" s="18"/>
      <c r="BN230" s="24"/>
      <c r="BQ230" s="24"/>
    </row>
    <row r="231" spans="4:69" ht="14.5" x14ac:dyDescent="0.25">
      <c r="D231" s="21"/>
      <c r="E231" s="18"/>
      <c r="BN231" s="24"/>
      <c r="BQ231" s="24"/>
    </row>
    <row r="232" spans="4:69" ht="14.5" x14ac:dyDescent="0.25">
      <c r="D232" s="21"/>
      <c r="E232" s="18"/>
      <c r="BN232" s="24"/>
      <c r="BQ232" s="24"/>
    </row>
    <row r="233" spans="4:69" ht="14.5" x14ac:dyDescent="0.25">
      <c r="D233" s="21"/>
      <c r="E233" s="18"/>
      <c r="BN233" s="24"/>
      <c r="BQ233" s="24"/>
    </row>
    <row r="234" spans="4:69" ht="14.5" x14ac:dyDescent="0.25">
      <c r="D234" s="21"/>
      <c r="E234" s="18"/>
      <c r="BN234" s="24"/>
      <c r="BQ234" s="24"/>
    </row>
    <row r="235" spans="4:69" ht="14.5" x14ac:dyDescent="0.25">
      <c r="D235" s="21"/>
      <c r="E235" s="18"/>
      <c r="BN235" s="24"/>
      <c r="BQ235" s="24"/>
    </row>
    <row r="236" spans="4:69" ht="14.5" x14ac:dyDescent="0.25">
      <c r="D236" s="21"/>
      <c r="E236" s="18"/>
      <c r="BN236" s="24"/>
      <c r="BQ236" s="24"/>
    </row>
    <row r="237" spans="4:69" ht="14.5" x14ac:dyDescent="0.25">
      <c r="D237" s="21"/>
      <c r="E237" s="18"/>
      <c r="BN237" s="24"/>
      <c r="BQ237" s="24"/>
    </row>
    <row r="238" spans="4:69" ht="14.5" x14ac:dyDescent="0.25">
      <c r="D238" s="21"/>
      <c r="E238" s="18"/>
      <c r="BN238" s="24"/>
      <c r="BQ238" s="24"/>
    </row>
    <row r="239" spans="4:69" ht="14.5" x14ac:dyDescent="0.25">
      <c r="D239" s="21"/>
      <c r="E239" s="18"/>
      <c r="BN239" s="24"/>
      <c r="BQ239" s="24"/>
    </row>
    <row r="240" spans="4:69" ht="14.5" x14ac:dyDescent="0.25">
      <c r="D240" s="21"/>
      <c r="E240" s="18"/>
      <c r="BN240" s="24"/>
      <c r="BQ240" s="24"/>
    </row>
    <row r="241" spans="4:69" ht="14.5" x14ac:dyDescent="0.25">
      <c r="D241" s="21"/>
      <c r="E241" s="18"/>
      <c r="BN241" s="24"/>
      <c r="BQ241" s="24"/>
    </row>
    <row r="242" spans="4:69" ht="14.5" x14ac:dyDescent="0.25">
      <c r="D242" s="21"/>
      <c r="E242" s="18"/>
      <c r="BN242" s="24"/>
      <c r="BQ242" s="24"/>
    </row>
    <row r="243" spans="4:69" ht="14.5" x14ac:dyDescent="0.25">
      <c r="D243" s="21"/>
      <c r="E243" s="18"/>
      <c r="BN243" s="24"/>
      <c r="BQ243" s="24"/>
    </row>
    <row r="244" spans="4:69" ht="14.5" x14ac:dyDescent="0.25">
      <c r="D244" s="21"/>
      <c r="E244" s="18"/>
      <c r="BN244" s="24"/>
      <c r="BQ244" s="24"/>
    </row>
    <row r="245" spans="4:69" ht="14.5" x14ac:dyDescent="0.25">
      <c r="D245" s="21"/>
      <c r="E245" s="18"/>
      <c r="BN245" s="24"/>
      <c r="BQ245" s="24"/>
    </row>
    <row r="246" spans="4:69" ht="14.5" x14ac:dyDescent="0.25">
      <c r="D246" s="21"/>
      <c r="E246" s="18"/>
      <c r="BN246" s="24"/>
      <c r="BQ246" s="24"/>
    </row>
    <row r="247" spans="4:69" ht="14.5" x14ac:dyDescent="0.25">
      <c r="D247" s="21"/>
      <c r="E247" s="18"/>
      <c r="BQ247" s="24"/>
    </row>
    <row r="248" spans="4:69" ht="14.5" x14ac:dyDescent="0.25">
      <c r="D248" s="21"/>
      <c r="E248" s="18"/>
      <c r="BN248" s="24"/>
      <c r="BQ248" s="24"/>
    </row>
    <row r="249" spans="4:69" ht="14.5" x14ac:dyDescent="0.25">
      <c r="D249" s="21"/>
      <c r="E249" s="18"/>
      <c r="BN249" s="24"/>
      <c r="BQ249" s="24"/>
    </row>
    <row r="250" spans="4:69" ht="14.5" x14ac:dyDescent="0.25">
      <c r="D250" s="21"/>
      <c r="E250" s="18"/>
      <c r="BN250" s="24"/>
      <c r="BQ250" s="24"/>
    </row>
    <row r="251" spans="4:69" ht="14.5" x14ac:dyDescent="0.25">
      <c r="D251" s="21"/>
      <c r="E251" s="18"/>
      <c r="BN251" s="24"/>
      <c r="BQ251" s="24"/>
    </row>
    <row r="252" spans="4:69" ht="14.5" x14ac:dyDescent="0.25">
      <c r="D252" s="21"/>
      <c r="E252" s="18"/>
      <c r="BN252" s="24"/>
      <c r="BQ252" s="24"/>
    </row>
    <row r="253" spans="4:69" ht="14.5" x14ac:dyDescent="0.25">
      <c r="D253" s="21"/>
      <c r="E253" s="18"/>
      <c r="BN253" s="24"/>
      <c r="BQ253" s="24"/>
    </row>
    <row r="254" spans="4:69" ht="14.5" x14ac:dyDescent="0.25">
      <c r="D254" s="21"/>
      <c r="E254" s="18"/>
      <c r="BN254" s="24"/>
      <c r="BQ254" s="24"/>
    </row>
    <row r="255" spans="4:69" ht="14.5" x14ac:dyDescent="0.25">
      <c r="D255" s="21"/>
      <c r="E255" s="18"/>
      <c r="BN255" s="24"/>
      <c r="BQ255" s="24"/>
    </row>
    <row r="256" spans="4:69" ht="14.5" x14ac:dyDescent="0.25">
      <c r="D256" s="21"/>
      <c r="E256" s="18"/>
      <c r="BN256" s="24"/>
      <c r="BQ256" s="24"/>
    </row>
    <row r="257" spans="4:69" ht="14.5" x14ac:dyDescent="0.25">
      <c r="D257" s="21"/>
      <c r="E257" s="18"/>
      <c r="BN257" s="24"/>
      <c r="BQ257" s="24"/>
    </row>
    <row r="258" spans="4:69" ht="14.5" x14ac:dyDescent="0.25">
      <c r="D258" s="21"/>
      <c r="E258" s="18"/>
      <c r="BN258" s="24"/>
      <c r="BQ258" s="24"/>
    </row>
    <row r="259" spans="4:69" ht="14.5" x14ac:dyDescent="0.25">
      <c r="D259" s="21"/>
      <c r="E259" s="18"/>
      <c r="BN259" s="24"/>
      <c r="BQ259" s="24"/>
    </row>
    <row r="260" spans="4:69" ht="14.5" x14ac:dyDescent="0.25">
      <c r="D260" s="21"/>
      <c r="E260" s="18"/>
      <c r="BN260" s="24"/>
      <c r="BQ260" s="24"/>
    </row>
    <row r="261" spans="4:69" ht="14.5" x14ac:dyDescent="0.25">
      <c r="D261" s="21"/>
      <c r="E261" s="18"/>
      <c r="BN261" s="24"/>
      <c r="BQ261" s="24"/>
    </row>
    <row r="262" spans="4:69" ht="14.5" x14ac:dyDescent="0.25">
      <c r="D262" s="21"/>
      <c r="E262" s="18"/>
      <c r="BN262" s="24"/>
      <c r="BQ262" s="24"/>
    </row>
    <row r="263" spans="4:69" ht="14.5" x14ac:dyDescent="0.25">
      <c r="D263" s="21"/>
      <c r="E263" s="18"/>
      <c r="BN263" s="24"/>
      <c r="BQ263" s="24"/>
    </row>
    <row r="264" spans="4:69" ht="14.5" x14ac:dyDescent="0.25">
      <c r="D264" s="21"/>
      <c r="E264" s="18"/>
      <c r="BN264" s="24"/>
      <c r="BQ264" s="24"/>
    </row>
    <row r="265" spans="4:69" ht="14.5" x14ac:dyDescent="0.25">
      <c r="D265" s="21"/>
      <c r="E265" s="18"/>
      <c r="BN265" s="24"/>
      <c r="BQ265" s="24"/>
    </row>
    <row r="266" spans="4:69" ht="14.5" x14ac:dyDescent="0.25">
      <c r="D266" s="21"/>
      <c r="E266" s="18"/>
      <c r="BN266" s="24"/>
      <c r="BQ266" s="24"/>
    </row>
    <row r="267" spans="4:69" ht="14.5" x14ac:dyDescent="0.25">
      <c r="D267" s="21"/>
      <c r="E267" s="18"/>
      <c r="BN267" s="24"/>
      <c r="BQ267" s="24"/>
    </row>
    <row r="268" spans="4:69" ht="14.5" x14ac:dyDescent="0.25">
      <c r="D268" s="21"/>
      <c r="E268" s="18"/>
      <c r="BN268" s="24"/>
      <c r="BQ268" s="24"/>
    </row>
    <row r="269" spans="4:69" ht="14.5" x14ac:dyDescent="0.25">
      <c r="D269" s="21"/>
      <c r="E269" s="18"/>
      <c r="BN269" s="24"/>
      <c r="BQ269" s="24"/>
    </row>
    <row r="270" spans="4:69" ht="14.5" x14ac:dyDescent="0.25">
      <c r="D270" s="21"/>
      <c r="E270" s="18"/>
      <c r="BN270" s="24"/>
      <c r="BQ270" s="24"/>
    </row>
    <row r="271" spans="4:69" ht="14.5" x14ac:dyDescent="0.25">
      <c r="D271" s="21"/>
      <c r="E271" s="18"/>
      <c r="BN271" s="24"/>
      <c r="BQ271" s="24"/>
    </row>
    <row r="272" spans="4:69" ht="14.5" x14ac:dyDescent="0.25">
      <c r="D272" s="21"/>
      <c r="E272" s="18"/>
      <c r="BN272" s="24"/>
      <c r="BQ272" s="24"/>
    </row>
    <row r="273" spans="4:69" ht="14.5" x14ac:dyDescent="0.25">
      <c r="D273" s="21"/>
      <c r="E273" s="18"/>
      <c r="BN273" s="24"/>
      <c r="BQ273" s="24"/>
    </row>
    <row r="274" spans="4:69" ht="14.5" x14ac:dyDescent="0.25">
      <c r="D274" s="21"/>
      <c r="E274" s="18"/>
      <c r="BN274" s="24"/>
      <c r="BQ274" s="24"/>
    </row>
    <row r="275" spans="4:69" ht="14.5" x14ac:dyDescent="0.25">
      <c r="D275" s="21"/>
      <c r="E275" s="18"/>
      <c r="BN275" s="24"/>
      <c r="BQ275" s="24"/>
    </row>
    <row r="276" spans="4:69" ht="14.5" x14ac:dyDescent="0.25">
      <c r="D276" s="21"/>
      <c r="E276" s="18"/>
      <c r="BN276" s="24"/>
      <c r="BQ276" s="24"/>
    </row>
    <row r="277" spans="4:69" ht="14.5" x14ac:dyDescent="0.25">
      <c r="D277" s="21"/>
      <c r="E277" s="18"/>
      <c r="BN277" s="24"/>
      <c r="BQ277" s="24"/>
    </row>
    <row r="278" spans="4:69" ht="14.5" x14ac:dyDescent="0.25">
      <c r="D278" s="21"/>
      <c r="E278" s="18"/>
      <c r="BN278" s="24"/>
      <c r="BQ278" s="24"/>
    </row>
    <row r="279" spans="4:69" ht="14.5" x14ac:dyDescent="0.25">
      <c r="D279" s="21"/>
      <c r="E279" s="18"/>
      <c r="BN279" s="24"/>
      <c r="BQ279" s="24"/>
    </row>
    <row r="280" spans="4:69" ht="14.5" x14ac:dyDescent="0.25">
      <c r="D280" s="21"/>
      <c r="E280" s="18"/>
      <c r="BN280" s="24"/>
      <c r="BQ280" s="24"/>
    </row>
    <row r="281" spans="4:69" ht="14.5" x14ac:dyDescent="0.25">
      <c r="D281" s="21"/>
      <c r="E281" s="18"/>
      <c r="BN281" s="24"/>
      <c r="BQ281" s="24"/>
    </row>
    <row r="282" spans="4:69" ht="14.5" x14ac:dyDescent="0.25">
      <c r="D282" s="21"/>
      <c r="E282" s="18"/>
      <c r="BN282" s="24"/>
      <c r="BQ282" s="24"/>
    </row>
    <row r="283" spans="4:69" ht="14.5" x14ac:dyDescent="0.25">
      <c r="D283" s="21"/>
      <c r="E283" s="18"/>
      <c r="BN283" s="24"/>
      <c r="BQ283" s="24"/>
    </row>
    <row r="284" spans="4:69" ht="14.5" x14ac:dyDescent="0.25">
      <c r="D284" s="21"/>
      <c r="E284" s="18"/>
      <c r="BN284" s="24"/>
      <c r="BQ284" s="24"/>
    </row>
    <row r="285" spans="4:69" ht="14.5" x14ac:dyDescent="0.25">
      <c r="D285" s="21"/>
      <c r="E285" s="18"/>
      <c r="BN285" s="24"/>
      <c r="BQ285" s="24"/>
    </row>
    <row r="286" spans="4:69" ht="14.5" x14ac:dyDescent="0.25">
      <c r="D286" s="21"/>
      <c r="E286" s="18"/>
      <c r="BN286" s="24"/>
      <c r="BQ286" s="24"/>
    </row>
    <row r="287" spans="4:69" ht="14.5" x14ac:dyDescent="0.25">
      <c r="D287" s="21"/>
      <c r="E287" s="18"/>
      <c r="BN287" s="24"/>
      <c r="BQ287" s="24"/>
    </row>
    <row r="288" spans="4:69" ht="14.5" x14ac:dyDescent="0.25">
      <c r="D288" s="21"/>
      <c r="E288" s="18"/>
      <c r="BN288" s="24"/>
      <c r="BQ288" s="24"/>
    </row>
    <row r="289" spans="4:69" ht="14.5" x14ac:dyDescent="0.25">
      <c r="D289" s="21"/>
      <c r="E289" s="18"/>
      <c r="BN289" s="24"/>
      <c r="BQ289" s="24"/>
    </row>
    <row r="290" spans="4:69" ht="14.5" x14ac:dyDescent="0.25">
      <c r="D290" s="21"/>
      <c r="E290" s="18"/>
      <c r="BQ290" s="24"/>
    </row>
    <row r="291" spans="4:69" ht="14.5" x14ac:dyDescent="0.25">
      <c r="D291" s="21"/>
      <c r="E291" s="18"/>
      <c r="BN291" s="24"/>
      <c r="BQ291" s="24"/>
    </row>
    <row r="292" spans="4:69" ht="14.5" x14ac:dyDescent="0.25">
      <c r="D292" s="21"/>
      <c r="E292" s="18"/>
      <c r="BN292" s="24"/>
      <c r="BQ292" s="24"/>
    </row>
    <row r="293" spans="4:69" ht="14.5" x14ac:dyDescent="0.25">
      <c r="D293" s="21"/>
      <c r="E293" s="18"/>
      <c r="BN293" s="24"/>
      <c r="BQ293" s="24"/>
    </row>
    <row r="294" spans="4:69" ht="14.5" x14ac:dyDescent="0.25">
      <c r="D294" s="21"/>
      <c r="E294" s="18"/>
      <c r="BN294" s="24"/>
      <c r="BQ294" s="24"/>
    </row>
    <row r="295" spans="4:69" ht="14.5" x14ac:dyDescent="0.25">
      <c r="D295" s="21"/>
      <c r="E295" s="18"/>
      <c r="BN295" s="24"/>
      <c r="BQ295" s="24"/>
    </row>
    <row r="296" spans="4:69" ht="14.5" x14ac:dyDescent="0.25">
      <c r="D296" s="21"/>
      <c r="E296" s="18"/>
      <c r="BN296" s="24"/>
      <c r="BQ296" s="24"/>
    </row>
    <row r="297" spans="4:69" ht="14.5" x14ac:dyDescent="0.25">
      <c r="D297" s="21"/>
      <c r="E297" s="18"/>
      <c r="BN297" s="24"/>
      <c r="BQ297" s="24"/>
    </row>
    <row r="298" spans="4:69" ht="14.5" x14ac:dyDescent="0.25">
      <c r="D298" s="21"/>
      <c r="E298" s="18"/>
      <c r="BN298" s="24"/>
      <c r="BQ298" s="24"/>
    </row>
    <row r="299" spans="4:69" ht="14.5" x14ac:dyDescent="0.25">
      <c r="D299" s="21"/>
      <c r="E299" s="18"/>
      <c r="BN299" s="24"/>
      <c r="BQ299" s="24"/>
    </row>
    <row r="300" spans="4:69" ht="14.5" x14ac:dyDescent="0.25">
      <c r="D300" s="21"/>
      <c r="E300" s="18"/>
      <c r="BN300" s="24"/>
      <c r="BQ300" s="24"/>
    </row>
    <row r="301" spans="4:69" ht="14.5" x14ac:dyDescent="0.25">
      <c r="D301" s="21"/>
      <c r="E301" s="18"/>
      <c r="BN301" s="24"/>
      <c r="BQ301" s="24"/>
    </row>
    <row r="302" spans="4:69" ht="14.5" x14ac:dyDescent="0.25">
      <c r="D302" s="21"/>
      <c r="E302" s="18"/>
      <c r="BN302" s="24"/>
      <c r="BQ302" s="24"/>
    </row>
    <row r="303" spans="4:69" ht="14.5" x14ac:dyDescent="0.25">
      <c r="D303" s="21"/>
      <c r="E303" s="18"/>
      <c r="BN303" s="24"/>
      <c r="BQ303" s="24"/>
    </row>
    <row r="304" spans="4:69" ht="14.5" x14ac:dyDescent="0.25">
      <c r="D304" s="21"/>
      <c r="E304" s="18"/>
      <c r="BN304" s="24"/>
      <c r="BQ304" s="24"/>
    </row>
    <row r="305" spans="4:69" ht="14.5" x14ac:dyDescent="0.25">
      <c r="D305" s="21"/>
      <c r="E305" s="18"/>
      <c r="BN305" s="24"/>
      <c r="BQ305" s="24"/>
    </row>
    <row r="306" spans="4:69" ht="14.5" x14ac:dyDescent="0.25">
      <c r="D306" s="21"/>
      <c r="E306" s="18"/>
      <c r="BN306" s="24"/>
      <c r="BQ306" s="24"/>
    </row>
    <row r="307" spans="4:69" ht="14.5" x14ac:dyDescent="0.25">
      <c r="D307" s="21"/>
      <c r="E307" s="18"/>
      <c r="BN307" s="24"/>
      <c r="BQ307" s="24"/>
    </row>
    <row r="308" spans="4:69" ht="14.5" x14ac:dyDescent="0.25">
      <c r="D308" s="21"/>
      <c r="E308" s="18"/>
      <c r="BN308" s="24"/>
      <c r="BQ308" s="24"/>
    </row>
    <row r="309" spans="4:69" ht="14.5" x14ac:dyDescent="0.25">
      <c r="D309" s="21"/>
      <c r="E309" s="18"/>
      <c r="BN309" s="24"/>
      <c r="BQ309" s="24"/>
    </row>
    <row r="310" spans="4:69" ht="14.5" x14ac:dyDescent="0.25">
      <c r="D310" s="21"/>
      <c r="E310" s="18"/>
      <c r="BN310" s="24"/>
      <c r="BQ310" s="24"/>
    </row>
    <row r="311" spans="4:69" ht="14.5" x14ac:dyDescent="0.25">
      <c r="D311" s="21"/>
      <c r="E311" s="18"/>
      <c r="BN311" s="24"/>
      <c r="BQ311" s="24"/>
    </row>
    <row r="312" spans="4:69" ht="14.5" x14ac:dyDescent="0.25">
      <c r="D312" s="21"/>
      <c r="E312" s="18"/>
      <c r="BN312" s="24"/>
      <c r="BQ312" s="24"/>
    </row>
    <row r="313" spans="4:69" ht="14.5" x14ac:dyDescent="0.25">
      <c r="D313" s="21"/>
      <c r="E313" s="18"/>
      <c r="BN313" s="24"/>
      <c r="BQ313" s="24"/>
    </row>
    <row r="314" spans="4:69" ht="14.5" x14ac:dyDescent="0.25">
      <c r="D314" s="21"/>
      <c r="E314" s="18"/>
      <c r="BN314" s="24"/>
      <c r="BQ314" s="24"/>
    </row>
    <row r="315" spans="4:69" ht="14.5" x14ac:dyDescent="0.25">
      <c r="D315" s="21"/>
      <c r="E315" s="18"/>
      <c r="BN315" s="24"/>
      <c r="BQ315" s="24"/>
    </row>
    <row r="316" spans="4:69" ht="14.5" x14ac:dyDescent="0.25">
      <c r="D316" s="21"/>
      <c r="E316" s="18"/>
      <c r="BN316" s="24"/>
      <c r="BQ316" s="24"/>
    </row>
    <row r="317" spans="4:69" ht="14.5" x14ac:dyDescent="0.25">
      <c r="D317" s="21"/>
      <c r="E317" s="18"/>
      <c r="BN317" s="24"/>
      <c r="BQ317" s="24"/>
    </row>
    <row r="318" spans="4:69" ht="14.5" x14ac:dyDescent="0.25">
      <c r="D318" s="21"/>
      <c r="E318" s="18"/>
      <c r="BN318" s="24"/>
      <c r="BQ318" s="24"/>
    </row>
    <row r="319" spans="4:69" ht="14.5" x14ac:dyDescent="0.25">
      <c r="D319" s="21"/>
      <c r="E319" s="18"/>
      <c r="BN319" s="24"/>
      <c r="BQ319" s="24"/>
    </row>
    <row r="320" spans="4:69" ht="14.5" x14ac:dyDescent="0.25">
      <c r="D320" s="21"/>
      <c r="E320" s="18"/>
      <c r="BN320" s="24"/>
      <c r="BQ320" s="24"/>
    </row>
    <row r="321" spans="4:69" ht="14.5" x14ac:dyDescent="0.25">
      <c r="D321" s="21"/>
      <c r="E321" s="18"/>
      <c r="BN321" s="24"/>
      <c r="BQ321" s="24"/>
    </row>
    <row r="322" spans="4:69" ht="14.5" x14ac:dyDescent="0.25">
      <c r="D322" s="21"/>
      <c r="E322" s="18"/>
      <c r="BN322" s="24"/>
      <c r="BQ322" s="24"/>
    </row>
    <row r="323" spans="4:69" ht="14.5" x14ac:dyDescent="0.25">
      <c r="D323" s="21"/>
      <c r="E323" s="18"/>
      <c r="BN323" s="24"/>
      <c r="BQ323" s="24"/>
    </row>
    <row r="324" spans="4:69" ht="14.5" x14ac:dyDescent="0.25">
      <c r="D324" s="21"/>
      <c r="E324" s="18"/>
      <c r="BN324" s="24"/>
      <c r="BQ324" s="24"/>
    </row>
    <row r="325" spans="4:69" ht="14.5" x14ac:dyDescent="0.25">
      <c r="D325" s="21"/>
      <c r="E325" s="18"/>
      <c r="BN325" s="24"/>
      <c r="BQ325" s="24"/>
    </row>
    <row r="326" spans="4:69" ht="14.5" x14ac:dyDescent="0.25">
      <c r="D326" s="21"/>
      <c r="E326" s="18"/>
      <c r="BN326" s="24"/>
      <c r="BQ326" s="24"/>
    </row>
    <row r="327" spans="4:69" ht="14.5" x14ac:dyDescent="0.25">
      <c r="D327" s="21"/>
      <c r="E327" s="18"/>
      <c r="BN327" s="24"/>
      <c r="BQ327" s="24"/>
    </row>
    <row r="328" spans="4:69" ht="14.5" x14ac:dyDescent="0.25">
      <c r="D328" s="21"/>
      <c r="E328" s="18"/>
      <c r="BN328" s="24"/>
      <c r="BQ328" s="24"/>
    </row>
    <row r="329" spans="4:69" ht="14.5" x14ac:dyDescent="0.25">
      <c r="D329" s="21"/>
      <c r="E329" s="18"/>
      <c r="BN329" s="24"/>
      <c r="BQ329" s="24"/>
    </row>
    <row r="330" spans="4:69" ht="14.5" x14ac:dyDescent="0.25">
      <c r="D330" s="21"/>
      <c r="E330" s="18"/>
      <c r="BN330" s="24"/>
      <c r="BQ330" s="24"/>
    </row>
    <row r="331" spans="4:69" ht="14.5" x14ac:dyDescent="0.25">
      <c r="D331" s="21"/>
      <c r="E331" s="18"/>
      <c r="BN331" s="24"/>
      <c r="BQ331" s="24"/>
    </row>
    <row r="332" spans="4:69" ht="14.5" x14ac:dyDescent="0.25">
      <c r="D332" s="21"/>
      <c r="E332" s="18"/>
      <c r="BN332" s="24"/>
      <c r="BQ332" s="24"/>
    </row>
    <row r="333" spans="4:69" ht="14.5" x14ac:dyDescent="0.25">
      <c r="D333" s="21"/>
      <c r="E333" s="18"/>
      <c r="BN333" s="24"/>
      <c r="BQ333" s="24"/>
    </row>
    <row r="334" spans="4:69" ht="14.5" x14ac:dyDescent="0.25">
      <c r="D334" s="21"/>
      <c r="E334" s="18"/>
      <c r="BN334" s="24"/>
      <c r="BQ334" s="24"/>
    </row>
    <row r="335" spans="4:69" ht="14.5" x14ac:dyDescent="0.25">
      <c r="D335" s="21"/>
      <c r="E335" s="18"/>
      <c r="BN335" s="24"/>
      <c r="BQ335" s="24"/>
    </row>
    <row r="336" spans="4:69" ht="14.5" x14ac:dyDescent="0.25">
      <c r="D336" s="21"/>
      <c r="E336" s="18"/>
      <c r="BN336" s="24"/>
      <c r="BQ336" s="24"/>
    </row>
    <row r="337" spans="4:69" ht="14.5" x14ac:dyDescent="0.25">
      <c r="D337" s="21"/>
      <c r="E337" s="18"/>
      <c r="BN337" s="24"/>
      <c r="BQ337" s="24"/>
    </row>
    <row r="338" spans="4:69" ht="14.5" x14ac:dyDescent="0.25">
      <c r="D338" s="21"/>
      <c r="E338" s="18"/>
      <c r="BN338" s="24"/>
      <c r="BQ338" s="24"/>
    </row>
    <row r="339" spans="4:69" ht="14.5" x14ac:dyDescent="0.25">
      <c r="D339" s="21"/>
      <c r="E339" s="18"/>
      <c r="BN339" s="24"/>
      <c r="BQ339" s="24"/>
    </row>
    <row r="340" spans="4:69" ht="14.5" x14ac:dyDescent="0.25">
      <c r="D340" s="21"/>
      <c r="E340" s="18"/>
      <c r="BN340" s="24"/>
      <c r="BQ340" s="24"/>
    </row>
    <row r="341" spans="4:69" ht="14.5" x14ac:dyDescent="0.25">
      <c r="D341" s="21"/>
      <c r="E341" s="18"/>
      <c r="BN341" s="24"/>
      <c r="BQ341" s="24"/>
    </row>
    <row r="342" spans="4:69" ht="14.5" x14ac:dyDescent="0.25">
      <c r="D342" s="21"/>
      <c r="E342" s="18"/>
      <c r="BN342" s="24"/>
      <c r="BQ342" s="24"/>
    </row>
    <row r="343" spans="4:69" ht="14.5" x14ac:dyDescent="0.25">
      <c r="D343" s="21"/>
      <c r="E343" s="18"/>
      <c r="BN343" s="24"/>
      <c r="BQ343" s="24"/>
    </row>
    <row r="344" spans="4:69" ht="14.5" x14ac:dyDescent="0.25">
      <c r="D344" s="21"/>
      <c r="E344" s="18"/>
      <c r="BN344" s="24"/>
      <c r="BQ344" s="24"/>
    </row>
    <row r="345" spans="4:69" ht="14.5" x14ac:dyDescent="0.25">
      <c r="D345" s="21"/>
      <c r="E345" s="18"/>
      <c r="BN345" s="24"/>
      <c r="BQ345" s="24"/>
    </row>
    <row r="346" spans="4:69" ht="14.5" x14ac:dyDescent="0.25">
      <c r="D346" s="21"/>
      <c r="E346" s="18"/>
      <c r="BQ346" s="24"/>
    </row>
    <row r="347" spans="4:69" ht="14.5" x14ac:dyDescent="0.25">
      <c r="D347" s="21"/>
      <c r="E347" s="18"/>
      <c r="BQ347" s="24"/>
    </row>
    <row r="348" spans="4:69" ht="14.5" x14ac:dyDescent="0.25">
      <c r="D348" s="21"/>
      <c r="E348" s="18"/>
      <c r="BQ348" s="24"/>
    </row>
    <row r="349" spans="4:69" ht="14.5" x14ac:dyDescent="0.25">
      <c r="D349" s="21"/>
      <c r="E349" s="18"/>
      <c r="BN349" s="24"/>
      <c r="BQ349" s="24"/>
    </row>
    <row r="350" spans="4:69" ht="14.5" x14ac:dyDescent="0.25">
      <c r="D350" s="21"/>
      <c r="E350" s="18"/>
      <c r="BN350" s="24"/>
      <c r="BQ350" s="24"/>
    </row>
    <row r="351" spans="4:69" ht="14.5" x14ac:dyDescent="0.25">
      <c r="D351" s="21"/>
      <c r="E351" s="18"/>
      <c r="BN351" s="24"/>
      <c r="BQ351" s="24"/>
    </row>
    <row r="352" spans="4:69" ht="14.5" x14ac:dyDescent="0.25">
      <c r="D352" s="21"/>
      <c r="E352" s="18"/>
      <c r="BN352" s="24"/>
      <c r="BQ352" s="24"/>
    </row>
    <row r="353" spans="4:69" ht="14.5" x14ac:dyDescent="0.25">
      <c r="D353" s="21"/>
      <c r="E353" s="18"/>
      <c r="BN353" s="24"/>
      <c r="BQ353" s="24"/>
    </row>
    <row r="354" spans="4:69" ht="14.5" x14ac:dyDescent="0.25">
      <c r="D354" s="21"/>
      <c r="E354" s="18"/>
      <c r="BN354" s="24"/>
      <c r="BQ354" s="24"/>
    </row>
    <row r="355" spans="4:69" ht="14.5" x14ac:dyDescent="0.25">
      <c r="D355" s="21"/>
      <c r="E355" s="18"/>
      <c r="BN355" s="24"/>
      <c r="BQ355" s="24"/>
    </row>
    <row r="356" spans="4:69" ht="14.5" x14ac:dyDescent="0.25">
      <c r="D356" s="21"/>
      <c r="E356" s="18"/>
      <c r="BN356" s="24"/>
      <c r="BQ356" s="24"/>
    </row>
    <row r="357" spans="4:69" ht="14.5" x14ac:dyDescent="0.25">
      <c r="D357" s="21"/>
      <c r="E357" s="18"/>
      <c r="BN357" s="24"/>
      <c r="BQ357" s="24"/>
    </row>
    <row r="358" spans="4:69" ht="14.5" x14ac:dyDescent="0.25">
      <c r="D358" s="21"/>
      <c r="E358" s="18"/>
      <c r="BN358" s="24"/>
      <c r="BQ358" s="24"/>
    </row>
    <row r="359" spans="4:69" ht="14.5" x14ac:dyDescent="0.25">
      <c r="D359" s="21"/>
      <c r="E359" s="18"/>
      <c r="BN359" s="24"/>
      <c r="BQ359" s="24"/>
    </row>
    <row r="360" spans="4:69" ht="14.5" x14ac:dyDescent="0.25">
      <c r="D360" s="21"/>
      <c r="E360" s="18"/>
      <c r="BN360" s="24"/>
      <c r="BQ360" s="24"/>
    </row>
    <row r="361" spans="4:69" ht="14.5" x14ac:dyDescent="0.25">
      <c r="D361" s="21"/>
      <c r="E361" s="18"/>
      <c r="BN361" s="24"/>
      <c r="BQ361" s="24"/>
    </row>
    <row r="362" spans="4:69" ht="14.5" x14ac:dyDescent="0.25">
      <c r="D362" s="21"/>
      <c r="E362" s="18"/>
      <c r="BN362" s="24"/>
      <c r="BQ362" s="24"/>
    </row>
    <row r="363" spans="4:69" ht="14.5" x14ac:dyDescent="0.25">
      <c r="D363" s="21"/>
      <c r="E363" s="18"/>
      <c r="BN363" s="24"/>
      <c r="BQ363" s="24"/>
    </row>
    <row r="364" spans="4:69" ht="14.5" x14ac:dyDescent="0.25">
      <c r="D364" s="21"/>
      <c r="E364" s="18"/>
      <c r="BN364" s="24"/>
      <c r="BQ364" s="24"/>
    </row>
    <row r="365" spans="4:69" ht="14.5" x14ac:dyDescent="0.25">
      <c r="D365" s="21"/>
      <c r="E365" s="18"/>
      <c r="BN365" s="24"/>
      <c r="BQ365" s="24"/>
    </row>
    <row r="366" spans="4:69" ht="14.5" x14ac:dyDescent="0.25">
      <c r="D366" s="21"/>
      <c r="E366" s="18"/>
      <c r="BN366" s="24"/>
      <c r="BQ366" s="24"/>
    </row>
    <row r="367" spans="4:69" ht="14.5" x14ac:dyDescent="0.25">
      <c r="D367" s="21"/>
      <c r="E367" s="18"/>
      <c r="BN367" s="24"/>
      <c r="BQ367" s="24"/>
    </row>
    <row r="368" spans="4:69" ht="14.5" x14ac:dyDescent="0.25">
      <c r="D368" s="21"/>
      <c r="E368" s="18"/>
      <c r="BN368" s="24"/>
      <c r="BQ368" s="24"/>
    </row>
    <row r="369" spans="4:69" ht="14.5" x14ac:dyDescent="0.25">
      <c r="D369" s="21"/>
      <c r="E369" s="18"/>
      <c r="BN369" s="24"/>
      <c r="BQ369" s="24"/>
    </row>
    <row r="370" spans="4:69" ht="14.5" x14ac:dyDescent="0.25">
      <c r="D370" s="21"/>
      <c r="E370" s="18"/>
      <c r="BN370" s="24"/>
      <c r="BQ370" s="24"/>
    </row>
    <row r="371" spans="4:69" ht="14.5" x14ac:dyDescent="0.25">
      <c r="D371" s="21"/>
      <c r="E371" s="18"/>
      <c r="BN371" s="24"/>
      <c r="BQ371" s="24"/>
    </row>
    <row r="372" spans="4:69" ht="14.5" x14ac:dyDescent="0.25">
      <c r="D372" s="21"/>
      <c r="E372" s="18"/>
      <c r="BN372" s="24"/>
      <c r="BQ372" s="24"/>
    </row>
    <row r="373" spans="4:69" ht="14.5" x14ac:dyDescent="0.25">
      <c r="D373" s="21"/>
      <c r="E373" s="18"/>
      <c r="BN373" s="24"/>
      <c r="BQ373" s="24"/>
    </row>
    <row r="374" spans="4:69" ht="14.5" x14ac:dyDescent="0.25">
      <c r="D374" s="21"/>
      <c r="E374" s="18"/>
      <c r="BN374" s="24"/>
      <c r="BQ374" s="24"/>
    </row>
    <row r="375" spans="4:69" ht="14.5" x14ac:dyDescent="0.25">
      <c r="D375" s="21"/>
      <c r="E375" s="18"/>
      <c r="BN375" s="24"/>
      <c r="BQ375" s="24"/>
    </row>
    <row r="376" spans="4:69" ht="14.5" x14ac:dyDescent="0.25">
      <c r="D376" s="21"/>
      <c r="E376" s="18"/>
      <c r="BN376" s="24"/>
      <c r="BQ376" s="24"/>
    </row>
    <row r="377" spans="4:69" ht="14.5" x14ac:dyDescent="0.25">
      <c r="D377" s="21"/>
      <c r="E377" s="18"/>
      <c r="BN377" s="24"/>
      <c r="BQ377" s="24"/>
    </row>
    <row r="378" spans="4:69" ht="14.5" x14ac:dyDescent="0.25">
      <c r="D378" s="21"/>
      <c r="E378" s="18"/>
      <c r="BN378" s="24"/>
      <c r="BQ378" s="24"/>
    </row>
    <row r="379" spans="4:69" ht="14.5" x14ac:dyDescent="0.25">
      <c r="D379" s="21"/>
      <c r="E379" s="18"/>
      <c r="BN379" s="24"/>
      <c r="BQ379" s="24"/>
    </row>
    <row r="380" spans="4:69" ht="14.5" x14ac:dyDescent="0.25">
      <c r="D380" s="21"/>
      <c r="E380" s="18"/>
      <c r="BN380" s="24"/>
      <c r="BQ380" s="24"/>
    </row>
    <row r="381" spans="4:69" ht="14.5" x14ac:dyDescent="0.25">
      <c r="D381" s="21"/>
      <c r="E381" s="18"/>
      <c r="BN381" s="24"/>
      <c r="BQ381" s="24"/>
    </row>
    <row r="382" spans="4:69" ht="14.5" x14ac:dyDescent="0.25">
      <c r="D382" s="21"/>
      <c r="E382" s="18"/>
      <c r="BN382" s="24"/>
      <c r="BQ382" s="24"/>
    </row>
    <row r="383" spans="4:69" ht="14.5" x14ac:dyDescent="0.25">
      <c r="D383" s="21"/>
      <c r="E383" s="18"/>
      <c r="BQ383" s="24"/>
    </row>
    <row r="384" spans="4:69" ht="14.5" x14ac:dyDescent="0.25">
      <c r="D384" s="21"/>
      <c r="E384" s="18"/>
      <c r="BQ384" s="24"/>
    </row>
    <row r="385" spans="4:69" ht="14.5" x14ac:dyDescent="0.25">
      <c r="D385" s="21"/>
      <c r="E385" s="18"/>
      <c r="BN385" s="24"/>
      <c r="BQ385" s="24"/>
    </row>
    <row r="386" spans="4:69" ht="14.5" x14ac:dyDescent="0.25">
      <c r="D386" s="21"/>
      <c r="E386" s="18"/>
      <c r="BN386" s="24"/>
      <c r="BQ386" s="24"/>
    </row>
    <row r="387" spans="4:69" ht="14.5" x14ac:dyDescent="0.25">
      <c r="D387" s="21"/>
      <c r="E387" s="18"/>
      <c r="BN387" s="24"/>
      <c r="BQ387" s="24"/>
    </row>
    <row r="388" spans="4:69" ht="14.5" x14ac:dyDescent="0.25">
      <c r="D388" s="21"/>
      <c r="E388" s="18"/>
      <c r="BN388" s="24"/>
      <c r="BQ388" s="24"/>
    </row>
    <row r="389" spans="4:69" ht="14.5" x14ac:dyDescent="0.25">
      <c r="D389" s="21"/>
      <c r="E389" s="18"/>
      <c r="BN389" s="24"/>
      <c r="BQ389" s="24"/>
    </row>
    <row r="390" spans="4:69" ht="14.5" x14ac:dyDescent="0.25">
      <c r="D390" s="21"/>
      <c r="E390" s="18"/>
      <c r="BN390" s="24"/>
      <c r="BQ390" s="24"/>
    </row>
    <row r="391" spans="4:69" ht="14.5" x14ac:dyDescent="0.25">
      <c r="D391" s="21"/>
      <c r="E391" s="18"/>
      <c r="BN391" s="24"/>
      <c r="BQ391" s="24"/>
    </row>
    <row r="392" spans="4:69" ht="14.5" x14ac:dyDescent="0.25">
      <c r="D392" s="21"/>
      <c r="E392" s="18"/>
      <c r="BN392" s="24"/>
      <c r="BQ392" s="24"/>
    </row>
    <row r="393" spans="4:69" ht="14.5" x14ac:dyDescent="0.25">
      <c r="D393" s="21"/>
      <c r="E393" s="18"/>
      <c r="BN393" s="24"/>
      <c r="BQ393" s="24"/>
    </row>
    <row r="394" spans="4:69" ht="14.5" x14ac:dyDescent="0.25">
      <c r="D394" s="21"/>
      <c r="E394" s="18"/>
      <c r="BN394" s="24"/>
      <c r="BQ394" s="24"/>
    </row>
    <row r="395" spans="4:69" ht="14.5" x14ac:dyDescent="0.25">
      <c r="D395" s="21"/>
      <c r="E395" s="18"/>
      <c r="BN395" s="24"/>
      <c r="BQ395" s="24"/>
    </row>
    <row r="396" spans="4:69" ht="14.5" x14ac:dyDescent="0.25">
      <c r="D396" s="21"/>
      <c r="E396" s="18"/>
      <c r="BN396" s="24"/>
      <c r="BQ396" s="24"/>
    </row>
    <row r="397" spans="4:69" ht="14.5" x14ac:dyDescent="0.25">
      <c r="D397" s="21"/>
      <c r="E397" s="18"/>
      <c r="BN397" s="24"/>
      <c r="BQ397" s="24"/>
    </row>
    <row r="398" spans="4:69" ht="14.5" x14ac:dyDescent="0.25">
      <c r="D398" s="21"/>
      <c r="E398" s="18"/>
      <c r="BN398" s="24"/>
      <c r="BQ398" s="24"/>
    </row>
    <row r="399" spans="4:69" ht="14.5" x14ac:dyDescent="0.25">
      <c r="D399" s="21"/>
      <c r="E399" s="18"/>
      <c r="BN399" s="24"/>
      <c r="BQ399" s="24"/>
    </row>
    <row r="400" spans="4:69" ht="14.5" x14ac:dyDescent="0.25">
      <c r="D400" s="21"/>
      <c r="E400" s="18"/>
      <c r="BN400" s="24"/>
      <c r="BQ400" s="24"/>
    </row>
    <row r="401" spans="4:69" ht="14.5" x14ac:dyDescent="0.25">
      <c r="D401" s="21"/>
      <c r="E401" s="18"/>
      <c r="BN401" s="24"/>
      <c r="BQ401" s="24"/>
    </row>
    <row r="402" spans="4:69" ht="14.5" x14ac:dyDescent="0.25">
      <c r="D402" s="21"/>
      <c r="E402" s="18"/>
      <c r="BN402" s="24"/>
      <c r="BQ402" s="24"/>
    </row>
    <row r="403" spans="4:69" ht="14.5" x14ac:dyDescent="0.25">
      <c r="D403" s="21"/>
      <c r="E403" s="18"/>
      <c r="BN403" s="24"/>
      <c r="BQ403" s="24"/>
    </row>
    <row r="404" spans="4:69" ht="14.5" x14ac:dyDescent="0.25">
      <c r="D404" s="21"/>
      <c r="E404" s="18"/>
      <c r="BN404" s="24"/>
      <c r="BQ404" s="24"/>
    </row>
    <row r="405" spans="4:69" ht="14.5" x14ac:dyDescent="0.25">
      <c r="D405" s="21"/>
      <c r="E405" s="18"/>
      <c r="BN405" s="24"/>
      <c r="BQ405" s="24"/>
    </row>
    <row r="406" spans="4:69" ht="14.5" x14ac:dyDescent="0.25">
      <c r="D406" s="21"/>
      <c r="E406" s="18"/>
      <c r="BN406" s="24"/>
      <c r="BQ406" s="24"/>
    </row>
    <row r="407" spans="4:69" ht="14.5" x14ac:dyDescent="0.25">
      <c r="D407" s="21"/>
      <c r="E407" s="18"/>
      <c r="BN407" s="24"/>
      <c r="BQ407" s="24"/>
    </row>
    <row r="408" spans="4:69" ht="14.5" x14ac:dyDescent="0.25">
      <c r="D408" s="21"/>
      <c r="E408" s="18"/>
      <c r="BQ408" s="24"/>
    </row>
    <row r="409" spans="4:69" ht="14.5" x14ac:dyDescent="0.25">
      <c r="D409" s="21"/>
      <c r="E409" s="18"/>
      <c r="BQ409" s="24"/>
    </row>
    <row r="410" spans="4:69" ht="14.5" x14ac:dyDescent="0.25">
      <c r="D410" s="21"/>
      <c r="E410" s="18"/>
      <c r="BN410" s="24"/>
      <c r="BQ410" s="24"/>
    </row>
    <row r="411" spans="4:69" ht="14.5" x14ac:dyDescent="0.25">
      <c r="D411" s="21"/>
      <c r="E411" s="18"/>
      <c r="BN411" s="24"/>
      <c r="BQ411" s="24"/>
    </row>
    <row r="412" spans="4:69" ht="14.5" x14ac:dyDescent="0.25">
      <c r="D412" s="21"/>
      <c r="E412" s="18"/>
      <c r="BQ412" s="24"/>
    </row>
    <row r="413" spans="4:69" ht="14.5" x14ac:dyDescent="0.25">
      <c r="D413" s="21"/>
      <c r="E413" s="18"/>
      <c r="BQ413" s="24"/>
    </row>
    <row r="414" spans="4:69" ht="14.5" x14ac:dyDescent="0.25">
      <c r="D414" s="21"/>
      <c r="E414" s="18"/>
      <c r="BN414" s="24"/>
      <c r="BQ414" s="24"/>
    </row>
    <row r="415" spans="4:69" ht="14.5" x14ac:dyDescent="0.25">
      <c r="D415" s="21"/>
      <c r="E415" s="18"/>
      <c r="BN415" s="24"/>
      <c r="BQ415" s="24"/>
    </row>
    <row r="416" spans="4:69" ht="14.5" x14ac:dyDescent="0.25">
      <c r="D416" s="21"/>
      <c r="E416" s="18"/>
      <c r="BN416" s="24"/>
      <c r="BQ416" s="24"/>
    </row>
    <row r="417" spans="4:69" ht="14.5" x14ac:dyDescent="0.25">
      <c r="D417" s="21"/>
      <c r="E417" s="18"/>
      <c r="BN417" s="24"/>
      <c r="BQ417" s="24"/>
    </row>
    <row r="418" spans="4:69" ht="14.5" x14ac:dyDescent="0.25">
      <c r="D418" s="21"/>
      <c r="E418" s="18"/>
      <c r="BN418" s="24"/>
      <c r="BQ418" s="24"/>
    </row>
    <row r="419" spans="4:69" ht="14.5" x14ac:dyDescent="0.25">
      <c r="D419" s="21"/>
      <c r="E419" s="18"/>
      <c r="BN419" s="24"/>
      <c r="BQ419" s="24"/>
    </row>
    <row r="420" spans="4:69" ht="14.5" x14ac:dyDescent="0.25">
      <c r="D420" s="21"/>
      <c r="E420" s="18"/>
      <c r="BN420" s="24"/>
      <c r="BQ420" s="24"/>
    </row>
    <row r="421" spans="4:69" ht="14.5" x14ac:dyDescent="0.25">
      <c r="D421" s="21"/>
      <c r="E421" s="18"/>
      <c r="BN421" s="24"/>
      <c r="BQ421" s="24"/>
    </row>
    <row r="422" spans="4:69" ht="14.5" x14ac:dyDescent="0.25">
      <c r="D422" s="21"/>
      <c r="E422" s="18"/>
      <c r="BN422" s="24"/>
      <c r="BQ422" s="24"/>
    </row>
    <row r="423" spans="4:69" ht="14.5" x14ac:dyDescent="0.25">
      <c r="D423" s="21"/>
      <c r="E423" s="18"/>
      <c r="BN423" s="24"/>
      <c r="BQ423" s="24"/>
    </row>
    <row r="424" spans="4:69" ht="14.5" x14ac:dyDescent="0.25">
      <c r="D424" s="21"/>
      <c r="E424" s="18"/>
      <c r="BN424" s="24"/>
      <c r="BQ424" s="24"/>
    </row>
    <row r="425" spans="4:69" ht="14.5" x14ac:dyDescent="0.25">
      <c r="D425" s="21"/>
      <c r="E425" s="18"/>
      <c r="BN425" s="24"/>
      <c r="BQ425" s="24"/>
    </row>
    <row r="426" spans="4:69" ht="14.5" x14ac:dyDescent="0.25">
      <c r="D426" s="21"/>
      <c r="E426" s="18"/>
      <c r="BN426" s="24"/>
      <c r="BQ426" s="24"/>
    </row>
    <row r="427" spans="4:69" ht="14.5" x14ac:dyDescent="0.25">
      <c r="D427" s="21"/>
      <c r="E427" s="18"/>
      <c r="BN427" s="24"/>
      <c r="BQ427" s="24"/>
    </row>
    <row r="428" spans="4:69" ht="14.5" x14ac:dyDescent="0.25">
      <c r="D428" s="21"/>
      <c r="E428" s="18"/>
      <c r="BN428" s="24"/>
      <c r="BQ428" s="24"/>
    </row>
    <row r="429" spans="4:69" ht="14.5" x14ac:dyDescent="0.25">
      <c r="D429" s="21"/>
      <c r="E429" s="18"/>
      <c r="BN429" s="24"/>
      <c r="BQ429" s="24"/>
    </row>
    <row r="430" spans="4:69" ht="14.5" x14ac:dyDescent="0.25">
      <c r="D430" s="21"/>
      <c r="E430" s="18"/>
      <c r="BN430" s="24"/>
      <c r="BQ430" s="24"/>
    </row>
    <row r="431" spans="4:69" ht="14.5" x14ac:dyDescent="0.25">
      <c r="D431" s="21"/>
      <c r="E431" s="18"/>
    </row>
    <row r="432" spans="4:69" ht="14.5" x14ac:dyDescent="0.25">
      <c r="D432" s="21"/>
      <c r="E432" s="18"/>
    </row>
    <row r="433" spans="4:5" ht="14.5" x14ac:dyDescent="0.25">
      <c r="D433" s="21"/>
      <c r="E433" s="18"/>
    </row>
    <row r="434" spans="4:5" ht="14.5" x14ac:dyDescent="0.25">
      <c r="D434" s="21"/>
      <c r="E434" s="18"/>
    </row>
    <row r="435" spans="4:5" ht="14.5" x14ac:dyDescent="0.25">
      <c r="D435" s="21"/>
      <c r="E435" s="18"/>
    </row>
    <row r="436" spans="4:5" ht="14.5" x14ac:dyDescent="0.25">
      <c r="D436" s="21"/>
      <c r="E436" s="18"/>
    </row>
    <row r="437" spans="4:5" ht="14.5" x14ac:dyDescent="0.25">
      <c r="D437" s="21"/>
      <c r="E437" s="18"/>
    </row>
    <row r="438" spans="4:5" ht="14.5" x14ac:dyDescent="0.25">
      <c r="D438" s="21"/>
      <c r="E438" s="18"/>
    </row>
    <row r="439" spans="4:5" ht="14.5" x14ac:dyDescent="0.25">
      <c r="D439" s="21"/>
      <c r="E439" s="18"/>
    </row>
    <row r="440" spans="4:5" ht="14.5" x14ac:dyDescent="0.25">
      <c r="D440" s="21"/>
      <c r="E440" s="18"/>
    </row>
    <row r="441" spans="4:5" ht="14.5" x14ac:dyDescent="0.25">
      <c r="D441" s="21"/>
      <c r="E441" s="18"/>
    </row>
    <row r="442" spans="4:5" ht="14.5" x14ac:dyDescent="0.25">
      <c r="D442" s="21"/>
      <c r="E442" s="18"/>
    </row>
    <row r="443" spans="4:5" ht="14.5" x14ac:dyDescent="0.25">
      <c r="D443" s="21"/>
      <c r="E443" s="18"/>
    </row>
    <row r="444" spans="4:5" ht="14.5" x14ac:dyDescent="0.25">
      <c r="D444" s="21"/>
      <c r="E444" s="18"/>
    </row>
    <row r="445" spans="4:5" ht="14.5" x14ac:dyDescent="0.25">
      <c r="D445" s="21"/>
      <c r="E445" s="18"/>
    </row>
    <row r="446" spans="4:5" ht="14.5" x14ac:dyDescent="0.25">
      <c r="D446" s="21"/>
      <c r="E446" s="18"/>
    </row>
    <row r="447" spans="4:5" ht="14.5" x14ac:dyDescent="0.25">
      <c r="D447" s="21"/>
      <c r="E447" s="18"/>
    </row>
    <row r="448" spans="4:5" ht="14.5" x14ac:dyDescent="0.25">
      <c r="D448" s="21"/>
      <c r="E448" s="18"/>
    </row>
    <row r="449" spans="4:5" ht="14.5" x14ac:dyDescent="0.25">
      <c r="D449" s="21"/>
      <c r="E449" s="18"/>
    </row>
    <row r="450" spans="4:5" ht="14.5" x14ac:dyDescent="0.25">
      <c r="D450" s="21"/>
      <c r="E450" s="18"/>
    </row>
    <row r="451" spans="4:5" ht="14.5" x14ac:dyDescent="0.25">
      <c r="D451" s="21"/>
      <c r="E451" s="18"/>
    </row>
    <row r="452" spans="4:5" ht="14.5" x14ac:dyDescent="0.25">
      <c r="D452" s="21"/>
      <c r="E452" s="18"/>
    </row>
    <row r="453" spans="4:5" ht="14.5" x14ac:dyDescent="0.25">
      <c r="D453" s="21"/>
      <c r="E453" s="18"/>
    </row>
    <row r="454" spans="4:5" ht="14.5" x14ac:dyDescent="0.25">
      <c r="D454" s="21"/>
      <c r="E454" s="18"/>
    </row>
    <row r="455" spans="4:5" ht="14.5" x14ac:dyDescent="0.25">
      <c r="D455" s="21"/>
      <c r="E455" s="18"/>
    </row>
    <row r="456" spans="4:5" ht="14.5" x14ac:dyDescent="0.25">
      <c r="D456" s="21"/>
      <c r="E456" s="18"/>
    </row>
    <row r="457" spans="4:5" ht="14.5" x14ac:dyDescent="0.25">
      <c r="D457" s="21"/>
      <c r="E457" s="18"/>
    </row>
    <row r="458" spans="4:5" ht="14.5" x14ac:dyDescent="0.25">
      <c r="D458" s="21"/>
      <c r="E458" s="18"/>
    </row>
    <row r="459" spans="4:5" ht="14.5" x14ac:dyDescent="0.25">
      <c r="D459" s="21"/>
      <c r="E459" s="18"/>
    </row>
    <row r="460" spans="4:5" ht="14.5" x14ac:dyDescent="0.25">
      <c r="D460" s="21"/>
      <c r="E460" s="18"/>
    </row>
    <row r="461" spans="4:5" ht="14.5" x14ac:dyDescent="0.25">
      <c r="D461" s="21"/>
      <c r="E461" s="18"/>
    </row>
    <row r="462" spans="4:5" ht="14.5" x14ac:dyDescent="0.25">
      <c r="D462" s="21"/>
      <c r="E462" s="18"/>
    </row>
    <row r="463" spans="4:5" ht="14.5" x14ac:dyDescent="0.25">
      <c r="D463" s="21"/>
      <c r="E463" s="18"/>
    </row>
    <row r="464" spans="4:5" ht="14.5" x14ac:dyDescent="0.25">
      <c r="D464" s="21"/>
      <c r="E464" s="18"/>
    </row>
    <row r="465" spans="4:5" ht="14.5" x14ac:dyDescent="0.25">
      <c r="D465" s="21"/>
      <c r="E465" s="18"/>
    </row>
    <row r="466" spans="4:5" ht="14.5" x14ac:dyDescent="0.25">
      <c r="D466" s="21"/>
      <c r="E466" s="18"/>
    </row>
    <row r="467" spans="4:5" ht="14.5" x14ac:dyDescent="0.25">
      <c r="D467" s="21"/>
      <c r="E467" s="18"/>
    </row>
    <row r="468" spans="4:5" ht="14.5" x14ac:dyDescent="0.25">
      <c r="D468" s="21"/>
      <c r="E468" s="18"/>
    </row>
    <row r="469" spans="4:5" ht="14.5" x14ac:dyDescent="0.25">
      <c r="D469" s="21"/>
      <c r="E469" s="18"/>
    </row>
    <row r="470" spans="4:5" ht="14.5" x14ac:dyDescent="0.25">
      <c r="D470" s="21"/>
      <c r="E470" s="18"/>
    </row>
    <row r="471" spans="4:5" ht="14.5" x14ac:dyDescent="0.25">
      <c r="D471" s="21"/>
      <c r="E471" s="18"/>
    </row>
    <row r="472" spans="4:5" ht="14.5" x14ac:dyDescent="0.25">
      <c r="D472" s="21"/>
      <c r="E472" s="18"/>
    </row>
    <row r="473" spans="4:5" ht="14.5" x14ac:dyDescent="0.25">
      <c r="D473" s="21"/>
      <c r="E473" s="18"/>
    </row>
    <row r="474" spans="4:5" ht="14.5" x14ac:dyDescent="0.25">
      <c r="D474" s="21"/>
      <c r="E474" s="18"/>
    </row>
    <row r="475" spans="4:5" ht="14.5" x14ac:dyDescent="0.25">
      <c r="D475" s="21"/>
      <c r="E475" s="18"/>
    </row>
    <row r="476" spans="4:5" ht="14.5" x14ac:dyDescent="0.25">
      <c r="D476" s="21"/>
      <c r="E476" s="18"/>
    </row>
    <row r="477" spans="4:5" ht="14.5" x14ac:dyDescent="0.25">
      <c r="D477" s="21"/>
      <c r="E477" s="18"/>
    </row>
    <row r="478" spans="4:5" ht="14.5" x14ac:dyDescent="0.25">
      <c r="D478" s="21"/>
      <c r="E478" s="18"/>
    </row>
    <row r="479" spans="4:5" ht="14.5" x14ac:dyDescent="0.25">
      <c r="D479" s="21"/>
      <c r="E479" s="18"/>
    </row>
    <row r="480" spans="4:5" ht="14.5" x14ac:dyDescent="0.25">
      <c r="D480" s="21"/>
      <c r="E480" s="18"/>
    </row>
    <row r="481" spans="4:5" ht="14.5" x14ac:dyDescent="0.25">
      <c r="D481" s="21"/>
      <c r="E481" s="18"/>
    </row>
    <row r="482" spans="4:5" ht="14.5" x14ac:dyDescent="0.25">
      <c r="D482" s="21"/>
      <c r="E482" s="18"/>
    </row>
    <row r="483" spans="4:5" ht="14.5" x14ac:dyDescent="0.25">
      <c r="D483" s="21"/>
      <c r="E483" s="18"/>
    </row>
    <row r="484" spans="4:5" ht="14.5" x14ac:dyDescent="0.25">
      <c r="D484" s="21"/>
      <c r="E484" s="18"/>
    </row>
    <row r="485" spans="4:5" ht="14.5" x14ac:dyDescent="0.25">
      <c r="D485" s="21"/>
      <c r="E485" s="18"/>
    </row>
    <row r="486" spans="4:5" ht="14.5" x14ac:dyDescent="0.25">
      <c r="D486" s="21"/>
      <c r="E486" s="18"/>
    </row>
    <row r="487" spans="4:5" ht="14.5" x14ac:dyDescent="0.25">
      <c r="D487" s="21"/>
      <c r="E487" s="18"/>
    </row>
    <row r="488" spans="4:5" ht="14.5" x14ac:dyDescent="0.25">
      <c r="D488" s="21"/>
      <c r="E488" s="18"/>
    </row>
    <row r="489" spans="4:5" ht="14.5" x14ac:dyDescent="0.25">
      <c r="D489" s="21"/>
      <c r="E489" s="18"/>
    </row>
    <row r="490" spans="4:5" ht="14.5" x14ac:dyDescent="0.25">
      <c r="D490" s="21"/>
      <c r="E490" s="18"/>
    </row>
    <row r="491" spans="4:5" ht="14.5" x14ac:dyDescent="0.25">
      <c r="D491" s="21"/>
      <c r="E491" s="18"/>
    </row>
    <row r="492" spans="4:5" ht="14.5" x14ac:dyDescent="0.25">
      <c r="D492" s="21"/>
      <c r="E492" s="18"/>
    </row>
    <row r="493" spans="4:5" ht="14.5" x14ac:dyDescent="0.25">
      <c r="D493" s="21"/>
      <c r="E493" s="18"/>
    </row>
    <row r="494" spans="4:5" ht="14.5" x14ac:dyDescent="0.25">
      <c r="D494" s="21"/>
      <c r="E494" s="18"/>
    </row>
    <row r="495" spans="4:5" ht="14.5" x14ac:dyDescent="0.25">
      <c r="D495" s="21"/>
      <c r="E495" s="18"/>
    </row>
    <row r="496" spans="4:5" ht="14.5" x14ac:dyDescent="0.25">
      <c r="D496" s="21"/>
      <c r="E496" s="18"/>
    </row>
    <row r="497" spans="4:5" ht="14.5" x14ac:dyDescent="0.25">
      <c r="D497" s="21"/>
      <c r="E497" s="18"/>
    </row>
    <row r="498" spans="4:5" ht="14.5" x14ac:dyDescent="0.25">
      <c r="D498" s="21"/>
      <c r="E498" s="18"/>
    </row>
    <row r="499" spans="4:5" ht="14.5" x14ac:dyDescent="0.25">
      <c r="D499" s="21"/>
      <c r="E499" s="18"/>
    </row>
    <row r="500" spans="4:5" ht="14.5" x14ac:dyDescent="0.25">
      <c r="D500" s="21"/>
      <c r="E500" s="18"/>
    </row>
    <row r="501" spans="4:5" ht="14.5" x14ac:dyDescent="0.25">
      <c r="D501" s="21"/>
      <c r="E501" s="18"/>
    </row>
    <row r="502" spans="4:5" ht="14.5" x14ac:dyDescent="0.25">
      <c r="D502" s="21"/>
      <c r="E502" s="18"/>
    </row>
    <row r="503" spans="4:5" ht="14.5" x14ac:dyDescent="0.25">
      <c r="D503" s="21"/>
      <c r="E503" s="18"/>
    </row>
    <row r="504" spans="4:5" ht="14.5" x14ac:dyDescent="0.25">
      <c r="D504" s="21"/>
      <c r="E504" s="18"/>
    </row>
    <row r="505" spans="4:5" ht="14.5" x14ac:dyDescent="0.25">
      <c r="D505" s="21"/>
      <c r="E505" s="18"/>
    </row>
    <row r="506" spans="4:5" ht="14.5" x14ac:dyDescent="0.25">
      <c r="D506" s="21"/>
      <c r="E506" s="18"/>
    </row>
    <row r="507" spans="4:5" ht="14.5" x14ac:dyDescent="0.25">
      <c r="D507" s="21"/>
      <c r="E507" s="18"/>
    </row>
    <row r="508" spans="4:5" ht="14.5" x14ac:dyDescent="0.25">
      <c r="D508" s="21"/>
      <c r="E508" s="18"/>
    </row>
    <row r="509" spans="4:5" ht="14.5" x14ac:dyDescent="0.25">
      <c r="D509" s="21"/>
      <c r="E509" s="18"/>
    </row>
    <row r="510" spans="4:5" ht="14.5" x14ac:dyDescent="0.25">
      <c r="D510" s="21"/>
      <c r="E510" s="18"/>
    </row>
    <row r="578" spans="4:5" ht="14.5" x14ac:dyDescent="0.25">
      <c r="D578" s="21"/>
      <c r="E578" s="18"/>
    </row>
    <row r="579" spans="4:5" ht="14.5" x14ac:dyDescent="0.25">
      <c r="D579" s="21"/>
      <c r="E579" s="18"/>
    </row>
    <row r="580" spans="4:5" ht="14.5" x14ac:dyDescent="0.25">
      <c r="D580" s="21"/>
      <c r="E580" s="18"/>
    </row>
    <row r="581" spans="4:5" ht="14.5" x14ac:dyDescent="0.25">
      <c r="D581" s="21"/>
      <c r="E581" s="18"/>
    </row>
    <row r="582" spans="4:5" ht="14.5" x14ac:dyDescent="0.25">
      <c r="D582" s="21"/>
      <c r="E582" s="18"/>
    </row>
    <row r="583" spans="4:5" ht="14.5" x14ac:dyDescent="0.25">
      <c r="D583" s="21"/>
      <c r="E583" s="18"/>
    </row>
    <row r="584" spans="4:5" ht="14.5" x14ac:dyDescent="0.25">
      <c r="D584" s="21"/>
      <c r="E584" s="18"/>
    </row>
    <row r="585" spans="4:5" ht="14.5" x14ac:dyDescent="0.25">
      <c r="D585" s="21"/>
      <c r="E585" s="18"/>
    </row>
    <row r="586" spans="4:5" ht="14.5" x14ac:dyDescent="0.25">
      <c r="D586" s="21"/>
      <c r="E586" s="18"/>
    </row>
    <row r="587" spans="4:5" ht="14.5" x14ac:dyDescent="0.25">
      <c r="D587" s="21"/>
      <c r="E587" s="18"/>
    </row>
    <row r="588" spans="4:5" ht="14.5" x14ac:dyDescent="0.25">
      <c r="D588" s="21"/>
      <c r="E588" s="18"/>
    </row>
    <row r="589" spans="4:5" ht="14.5" x14ac:dyDescent="0.25">
      <c r="D589" s="21"/>
      <c r="E589" s="18"/>
    </row>
    <row r="590" spans="4:5" ht="14.5" x14ac:dyDescent="0.25">
      <c r="D590" s="21"/>
      <c r="E590" s="18"/>
    </row>
    <row r="591" spans="4:5" ht="14.5" x14ac:dyDescent="0.25">
      <c r="D591" s="21"/>
      <c r="E591" s="18"/>
    </row>
    <row r="592" spans="4:5" ht="14.5" x14ac:dyDescent="0.25">
      <c r="D592" s="21"/>
      <c r="E592" s="18"/>
    </row>
    <row r="593" spans="4:5" ht="14.5" x14ac:dyDescent="0.25">
      <c r="D593" s="21"/>
      <c r="E593" s="18"/>
    </row>
    <row r="594" spans="4:5" ht="14.5" x14ac:dyDescent="0.25">
      <c r="D594" s="21"/>
      <c r="E594" s="18"/>
    </row>
    <row r="595" spans="4:5" ht="14.5" x14ac:dyDescent="0.25">
      <c r="D595" s="21"/>
      <c r="E595" s="18"/>
    </row>
    <row r="596" spans="4:5" ht="14.5" x14ac:dyDescent="0.25">
      <c r="D596" s="21"/>
      <c r="E596" s="18"/>
    </row>
    <row r="597" spans="4:5" ht="14.5" x14ac:dyDescent="0.25">
      <c r="D597" s="21"/>
      <c r="E597" s="18"/>
    </row>
    <row r="598" spans="4:5" ht="14.5" x14ac:dyDescent="0.25">
      <c r="D598" s="21"/>
      <c r="E598" s="18"/>
    </row>
    <row r="599" spans="4:5" ht="14.5" x14ac:dyDescent="0.25">
      <c r="D599" s="21"/>
      <c r="E599" s="18"/>
    </row>
    <row r="600" spans="4:5" ht="14.5" x14ac:dyDescent="0.25">
      <c r="D600" s="21"/>
      <c r="E600" s="18"/>
    </row>
    <row r="601" spans="4:5" ht="14.5" x14ac:dyDescent="0.25">
      <c r="D601" s="21"/>
      <c r="E601" s="18"/>
    </row>
    <row r="602" spans="4:5" ht="14.5" x14ac:dyDescent="0.25">
      <c r="D602" s="21"/>
      <c r="E602" s="18"/>
    </row>
  </sheetData>
  <phoneticPr fontId="18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P164"/>
  <sheetViews>
    <sheetView workbookViewId="0">
      <pane xSplit="1" ySplit="3" topLeftCell="B4" activePane="bottomRight" state="frozen"/>
      <selection pane="topRight"/>
      <selection pane="bottomLeft"/>
      <selection pane="bottomRight" activeCell="A10" sqref="A10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9.08203125" style="3" customWidth="1"/>
    <col min="21" max="21" width="18.33203125" style="3" customWidth="1"/>
    <col min="22" max="22" width="17.75" style="3" customWidth="1"/>
    <col min="23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6" width="8.33203125" customWidth="1"/>
    <col min="67" max="67" width="19.25" customWidth="1"/>
    <col min="68" max="68" width="22.33203125" customWidth="1"/>
    <col min="69" max="70" width="11.25" customWidth="1"/>
    <col min="71" max="71" width="6.58203125" customWidth="1"/>
    <col min="72" max="73" width="8" customWidth="1"/>
    <col min="74" max="74" width="7.33203125" style="4" customWidth="1"/>
    <col min="75" max="76" width="8.5" style="4" customWidth="1"/>
    <col min="77" max="78" width="7.83203125" style="4" customWidth="1"/>
    <col min="79" max="79" width="22.1640625" style="4" customWidth="1"/>
    <col min="80" max="80" width="35" customWidth="1"/>
    <col min="81" max="81" width="20.6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25.91406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299</v>
      </c>
      <c r="D1" t="s">
        <v>300</v>
      </c>
      <c r="E1" t="s">
        <v>301</v>
      </c>
      <c r="F1" t="s">
        <v>302</v>
      </c>
      <c r="G1" t="s">
        <v>303</v>
      </c>
      <c r="H1" t="s">
        <v>304</v>
      </c>
      <c r="I1" t="s">
        <v>305</v>
      </c>
      <c r="J1" t="s">
        <v>306</v>
      </c>
      <c r="K1" s="3" t="s">
        <v>307</v>
      </c>
      <c r="L1" s="3" t="s">
        <v>308</v>
      </c>
      <c r="M1" s="3" t="s">
        <v>309</v>
      </c>
      <c r="N1" s="3" t="s">
        <v>310</v>
      </c>
      <c r="O1" s="3" t="s">
        <v>311</v>
      </c>
      <c r="P1" s="3" t="s">
        <v>312</v>
      </c>
      <c r="Q1" s="3" t="s">
        <v>313</v>
      </c>
      <c r="R1" s="3" t="s">
        <v>314</v>
      </c>
      <c r="S1" s="3" t="s">
        <v>315</v>
      </c>
      <c r="T1" s="3" t="s">
        <v>316</v>
      </c>
      <c r="U1" s="3" t="s">
        <v>317</v>
      </c>
      <c r="V1" s="3" t="s">
        <v>318</v>
      </c>
      <c r="W1" s="3" t="s">
        <v>319</v>
      </c>
      <c r="X1" s="3" t="s">
        <v>320</v>
      </c>
      <c r="Y1" t="s">
        <v>321</v>
      </c>
      <c r="Z1" t="s">
        <v>322</v>
      </c>
      <c r="AA1" s="3" t="s">
        <v>323</v>
      </c>
      <c r="AB1" t="s">
        <v>324</v>
      </c>
      <c r="AC1" t="s">
        <v>325</v>
      </c>
      <c r="AD1" t="s">
        <v>326</v>
      </c>
      <c r="AE1" t="s">
        <v>327</v>
      </c>
      <c r="AF1" t="s">
        <v>328</v>
      </c>
      <c r="AG1" t="s">
        <v>329</v>
      </c>
      <c r="AH1" t="s">
        <v>330</v>
      </c>
      <c r="AI1" t="s">
        <v>331</v>
      </c>
      <c r="AJ1" t="s">
        <v>332</v>
      </c>
      <c r="AK1" t="s">
        <v>333</v>
      </c>
      <c r="AL1" t="s">
        <v>334</v>
      </c>
      <c r="AM1" t="s">
        <v>335</v>
      </c>
      <c r="AN1" t="s">
        <v>336</v>
      </c>
      <c r="AO1" t="s">
        <v>337</v>
      </c>
      <c r="AP1" t="s">
        <v>338</v>
      </c>
      <c r="AQ1" t="s">
        <v>339</v>
      </c>
      <c r="AR1" t="s">
        <v>340</v>
      </c>
      <c r="AS1" t="s">
        <v>341</v>
      </c>
      <c r="AT1" t="s">
        <v>342</v>
      </c>
      <c r="AU1" t="s">
        <v>343</v>
      </c>
      <c r="AV1" t="s">
        <v>344</v>
      </c>
      <c r="AW1" t="s">
        <v>345</v>
      </c>
      <c r="AX1" t="s">
        <v>346</v>
      </c>
      <c r="AY1" t="s">
        <v>347</v>
      </c>
      <c r="AZ1" t="s">
        <v>348</v>
      </c>
      <c r="BA1" t="s">
        <v>349</v>
      </c>
      <c r="BB1" t="s">
        <v>350</v>
      </c>
      <c r="BC1" t="s">
        <v>351</v>
      </c>
      <c r="BD1" t="s">
        <v>352</v>
      </c>
      <c r="BE1" t="s">
        <v>353</v>
      </c>
      <c r="BF1" t="s">
        <v>354</v>
      </c>
      <c r="BG1" t="s">
        <v>355</v>
      </c>
      <c r="BH1" t="s">
        <v>356</v>
      </c>
      <c r="BJ1" t="s">
        <v>356</v>
      </c>
      <c r="BK1" t="s">
        <v>357</v>
      </c>
      <c r="BL1" t="s">
        <v>358</v>
      </c>
      <c r="BM1" t="s">
        <v>359</v>
      </c>
      <c r="BN1" t="s">
        <v>360</v>
      </c>
      <c r="BO1" t="s">
        <v>361</v>
      </c>
      <c r="BP1" t="s">
        <v>362</v>
      </c>
      <c r="BQ1" t="s">
        <v>363</v>
      </c>
      <c r="BR1" t="s">
        <v>364</v>
      </c>
      <c r="BS1" t="s">
        <v>365</v>
      </c>
      <c r="BT1" t="s">
        <v>366</v>
      </c>
      <c r="BU1" t="s">
        <v>367</v>
      </c>
      <c r="BV1" s="4" t="s">
        <v>368</v>
      </c>
      <c r="BW1" s="4" t="s">
        <v>369</v>
      </c>
      <c r="BX1" s="4" t="s">
        <v>370</v>
      </c>
      <c r="BY1" s="4" t="s">
        <v>371</v>
      </c>
      <c r="BZ1" s="4" t="s">
        <v>372</v>
      </c>
      <c r="CA1" s="4" t="s">
        <v>373</v>
      </c>
      <c r="CB1" t="s">
        <v>374</v>
      </c>
      <c r="CC1" s="4" t="s">
        <v>375</v>
      </c>
      <c r="CD1" t="s">
        <v>376</v>
      </c>
      <c r="CE1" t="s">
        <v>377</v>
      </c>
      <c r="CF1" t="s">
        <v>378</v>
      </c>
      <c r="CG1" t="s">
        <v>379</v>
      </c>
      <c r="CH1" t="s">
        <v>380</v>
      </c>
      <c r="CI1" t="s">
        <v>381</v>
      </c>
      <c r="CJ1" t="s">
        <v>382</v>
      </c>
      <c r="CK1" t="s">
        <v>383</v>
      </c>
      <c r="CL1" t="s">
        <v>384</v>
      </c>
      <c r="CM1" t="s">
        <v>385</v>
      </c>
      <c r="CN1" t="s">
        <v>386</v>
      </c>
      <c r="CO1" t="s">
        <v>387</v>
      </c>
      <c r="CP1" t="s">
        <v>388</v>
      </c>
      <c r="CQ1" t="s">
        <v>389</v>
      </c>
      <c r="CR1" t="s">
        <v>366</v>
      </c>
      <c r="CS1" t="s">
        <v>390</v>
      </c>
      <c r="CT1" t="s">
        <v>391</v>
      </c>
      <c r="CU1" t="s">
        <v>392</v>
      </c>
      <c r="CV1" t="s">
        <v>393</v>
      </c>
      <c r="CW1" t="s">
        <v>394</v>
      </c>
      <c r="CX1" t="s">
        <v>395</v>
      </c>
      <c r="CY1" t="s">
        <v>396</v>
      </c>
      <c r="CZ1" t="s">
        <v>395</v>
      </c>
      <c r="DA1" t="s">
        <v>397</v>
      </c>
      <c r="DB1" t="s">
        <v>398</v>
      </c>
      <c r="DC1" t="s">
        <v>399</v>
      </c>
      <c r="DD1" t="s">
        <v>400</v>
      </c>
      <c r="DE1" t="s">
        <v>401</v>
      </c>
      <c r="DF1" t="s">
        <v>402</v>
      </c>
      <c r="DG1" t="s">
        <v>403</v>
      </c>
      <c r="DH1" t="s">
        <v>404</v>
      </c>
      <c r="DI1" t="s">
        <v>405</v>
      </c>
    </row>
    <row r="2" spans="1:113" x14ac:dyDescent="0.25">
      <c r="A2" t="s">
        <v>0</v>
      </c>
      <c r="C2" t="s">
        <v>67</v>
      </c>
      <c r="D2" t="s">
        <v>96</v>
      </c>
      <c r="E2" t="s">
        <v>406</v>
      </c>
      <c r="F2" t="s">
        <v>407</v>
      </c>
      <c r="G2" t="s">
        <v>72</v>
      </c>
      <c r="H2" t="s">
        <v>408</v>
      </c>
      <c r="I2" t="s">
        <v>409</v>
      </c>
      <c r="J2" t="s">
        <v>410</v>
      </c>
      <c r="K2" s="3" t="s">
        <v>411</v>
      </c>
      <c r="L2" s="3" t="s">
        <v>412</v>
      </c>
      <c r="M2" s="3" t="s">
        <v>413</v>
      </c>
      <c r="N2" s="3" t="s">
        <v>414</v>
      </c>
      <c r="O2" s="3" t="s">
        <v>415</v>
      </c>
      <c r="P2" s="3" t="s">
        <v>416</v>
      </c>
      <c r="Q2" s="3" t="s">
        <v>417</v>
      </c>
      <c r="R2" s="3" t="s">
        <v>418</v>
      </c>
      <c r="S2" s="3" t="s">
        <v>419</v>
      </c>
      <c r="T2" s="3" t="s">
        <v>420</v>
      </c>
      <c r="U2" s="3" t="s">
        <v>421</v>
      </c>
      <c r="V2" s="3" t="s">
        <v>422</v>
      </c>
      <c r="W2" s="3" t="s">
        <v>423</v>
      </c>
      <c r="X2" s="3" t="s">
        <v>424</v>
      </c>
      <c r="Y2" t="s">
        <v>425</v>
      </c>
      <c r="Z2" t="s">
        <v>426</v>
      </c>
      <c r="AA2" s="3" t="s">
        <v>427</v>
      </c>
      <c r="AB2" t="s">
        <v>428</v>
      </c>
      <c r="AC2" t="s">
        <v>429</v>
      </c>
      <c r="AD2" t="s">
        <v>430</v>
      </c>
      <c r="AE2" t="s">
        <v>431</v>
      </c>
      <c r="AF2" t="s">
        <v>432</v>
      </c>
      <c r="AG2" t="s">
        <v>433</v>
      </c>
      <c r="AH2" t="s">
        <v>434</v>
      </c>
      <c r="AI2" t="s">
        <v>435</v>
      </c>
      <c r="AJ2" t="s">
        <v>436</v>
      </c>
      <c r="AK2" t="s">
        <v>437</v>
      </c>
      <c r="AL2" t="s">
        <v>438</v>
      </c>
      <c r="AM2" t="s">
        <v>439</v>
      </c>
      <c r="AN2" t="s">
        <v>440</v>
      </c>
      <c r="AO2" t="s">
        <v>441</v>
      </c>
      <c r="AP2" t="s">
        <v>442</v>
      </c>
      <c r="AQ2" t="s">
        <v>443</v>
      </c>
      <c r="AR2" t="s">
        <v>444</v>
      </c>
      <c r="AS2" t="s">
        <v>445</v>
      </c>
      <c r="AT2" t="s">
        <v>446</v>
      </c>
      <c r="AU2" t="s">
        <v>447</v>
      </c>
      <c r="AV2" t="s">
        <v>448</v>
      </c>
      <c r="AW2" t="s">
        <v>449</v>
      </c>
      <c r="AX2" t="s">
        <v>450</v>
      </c>
      <c r="AY2" t="s">
        <v>451</v>
      </c>
      <c r="AZ2" t="s">
        <v>452</v>
      </c>
      <c r="BA2" t="s">
        <v>453</v>
      </c>
      <c r="BB2" t="s">
        <v>454</v>
      </c>
      <c r="BC2" t="s">
        <v>455</v>
      </c>
      <c r="BD2" t="s">
        <v>456</v>
      </c>
      <c r="BE2" t="s">
        <v>457</v>
      </c>
      <c r="BF2" t="s">
        <v>458</v>
      </c>
      <c r="BG2" t="s">
        <v>459</v>
      </c>
      <c r="BH2" t="s">
        <v>460</v>
      </c>
      <c r="BI2" t="s">
        <v>461</v>
      </c>
      <c r="BJ2" t="s">
        <v>462</v>
      </c>
      <c r="BK2" t="s">
        <v>463</v>
      </c>
      <c r="BL2" t="s">
        <v>464</v>
      </c>
      <c r="BM2" t="s">
        <v>465</v>
      </c>
      <c r="BN2" t="s">
        <v>466</v>
      </c>
      <c r="BO2" t="s">
        <v>98</v>
      </c>
      <c r="BP2" t="s">
        <v>467</v>
      </c>
      <c r="BQ2" t="s">
        <v>468</v>
      </c>
      <c r="BR2" t="s">
        <v>469</v>
      </c>
      <c r="BS2" t="s">
        <v>470</v>
      </c>
      <c r="BT2" t="s">
        <v>471</v>
      </c>
      <c r="BU2" t="s">
        <v>112</v>
      </c>
      <c r="BV2" s="4" t="s">
        <v>472</v>
      </c>
      <c r="BW2" s="4" t="s">
        <v>473</v>
      </c>
      <c r="BX2" s="4" t="s">
        <v>474</v>
      </c>
      <c r="BY2" s="4" t="s">
        <v>475</v>
      </c>
      <c r="BZ2" s="4" t="s">
        <v>476</v>
      </c>
      <c r="CA2" s="4" t="s">
        <v>477</v>
      </c>
      <c r="CB2" t="s">
        <v>478</v>
      </c>
      <c r="CC2" t="s">
        <v>479</v>
      </c>
      <c r="CD2" t="s">
        <v>480</v>
      </c>
      <c r="CE2" t="s">
        <v>481</v>
      </c>
      <c r="CF2" t="s">
        <v>482</v>
      </c>
      <c r="CG2" t="s">
        <v>483</v>
      </c>
      <c r="CH2" t="s">
        <v>484</v>
      </c>
      <c r="CI2" t="s">
        <v>485</v>
      </c>
      <c r="CJ2" t="s">
        <v>486</v>
      </c>
      <c r="CK2" t="s">
        <v>487</v>
      </c>
      <c r="CL2" t="s">
        <v>488</v>
      </c>
      <c r="CM2" t="s">
        <v>489</v>
      </c>
      <c r="CN2" t="s">
        <v>490</v>
      </c>
      <c r="CO2" t="s">
        <v>491</v>
      </c>
      <c r="CP2" t="s">
        <v>492</v>
      </c>
      <c r="CQ2" t="s">
        <v>493</v>
      </c>
      <c r="CR2" t="s">
        <v>494</v>
      </c>
      <c r="CS2" t="s">
        <v>495</v>
      </c>
      <c r="CT2" t="s">
        <v>496</v>
      </c>
      <c r="CU2" t="s">
        <v>497</v>
      </c>
      <c r="CV2" t="s">
        <v>498</v>
      </c>
      <c r="CW2" t="s">
        <v>499</v>
      </c>
      <c r="CX2" t="s">
        <v>500</v>
      </c>
      <c r="CY2" t="s">
        <v>501</v>
      </c>
      <c r="CZ2" t="s">
        <v>502</v>
      </c>
      <c r="DA2" t="s">
        <v>503</v>
      </c>
      <c r="DB2" t="s">
        <v>504</v>
      </c>
      <c r="DC2" t="s">
        <v>505</v>
      </c>
      <c r="DD2" t="s">
        <v>506</v>
      </c>
      <c r="DE2" t="s">
        <v>507</v>
      </c>
      <c r="DF2" t="s">
        <v>508</v>
      </c>
      <c r="DG2" t="s">
        <v>509</v>
      </c>
      <c r="DH2" t="s">
        <v>510</v>
      </c>
      <c r="DI2" t="s">
        <v>511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135</v>
      </c>
      <c r="H3" t="s">
        <v>2</v>
      </c>
      <c r="I3" t="s">
        <v>133</v>
      </c>
      <c r="J3" t="s">
        <v>512</v>
      </c>
      <c r="K3" s="3" t="s">
        <v>513</v>
      </c>
      <c r="L3" s="3" t="s">
        <v>514</v>
      </c>
      <c r="M3" s="3" t="s">
        <v>135</v>
      </c>
      <c r="N3" s="3" t="s">
        <v>135</v>
      </c>
      <c r="O3" s="3" t="s">
        <v>137</v>
      </c>
      <c r="P3" s="3" t="s">
        <v>137</v>
      </c>
      <c r="Q3" s="3" t="s">
        <v>137</v>
      </c>
      <c r="R3" s="3" t="s">
        <v>137</v>
      </c>
      <c r="S3" s="3" t="s">
        <v>133</v>
      </c>
      <c r="T3" s="3" t="s">
        <v>134</v>
      </c>
      <c r="U3" s="3" t="s">
        <v>134</v>
      </c>
      <c r="V3" s="3" t="s">
        <v>134</v>
      </c>
      <c r="W3" s="3" t="s">
        <v>133</v>
      </c>
      <c r="X3" s="3" t="s">
        <v>133</v>
      </c>
      <c r="Y3" t="s">
        <v>133</v>
      </c>
      <c r="Z3" t="s">
        <v>133</v>
      </c>
      <c r="AA3" s="3" t="s">
        <v>134</v>
      </c>
      <c r="AB3" t="s">
        <v>133</v>
      </c>
      <c r="AC3" t="s">
        <v>135</v>
      </c>
      <c r="AD3" t="s">
        <v>133</v>
      </c>
      <c r="AE3" t="s">
        <v>133</v>
      </c>
      <c r="AF3" t="s">
        <v>133</v>
      </c>
      <c r="AG3" t="s">
        <v>515</v>
      </c>
      <c r="AH3" t="s">
        <v>133</v>
      </c>
      <c r="AI3" t="s">
        <v>139</v>
      </c>
      <c r="AJ3" t="s">
        <v>3</v>
      </c>
      <c r="AK3" t="s">
        <v>135</v>
      </c>
      <c r="AL3" t="s">
        <v>135</v>
      </c>
      <c r="AM3" t="s">
        <v>135</v>
      </c>
      <c r="AN3" t="s">
        <v>133</v>
      </c>
      <c r="AO3" t="s">
        <v>516</v>
      </c>
      <c r="AP3" t="s">
        <v>517</v>
      </c>
      <c r="AQ3" t="s">
        <v>2</v>
      </c>
      <c r="AR3" t="s">
        <v>2</v>
      </c>
      <c r="AS3" t="s">
        <v>2</v>
      </c>
      <c r="AT3" t="s">
        <v>518</v>
      </c>
      <c r="AU3" t="s">
        <v>133</v>
      </c>
      <c r="AV3" t="s">
        <v>134</v>
      </c>
      <c r="AW3" t="s">
        <v>133</v>
      </c>
      <c r="AX3" t="s">
        <v>519</v>
      </c>
      <c r="AY3" t="s">
        <v>133</v>
      </c>
      <c r="AZ3" t="s">
        <v>134</v>
      </c>
      <c r="BA3" t="s">
        <v>133</v>
      </c>
      <c r="BB3" t="s">
        <v>135</v>
      </c>
      <c r="BC3" t="s">
        <v>134</v>
      </c>
      <c r="BD3" t="s">
        <v>135</v>
      </c>
      <c r="BE3" t="s">
        <v>135</v>
      </c>
      <c r="BF3" t="s">
        <v>134</v>
      </c>
      <c r="BG3" t="s">
        <v>133</v>
      </c>
      <c r="BH3" t="s">
        <v>518</v>
      </c>
      <c r="BI3" t="s">
        <v>133</v>
      </c>
      <c r="BJ3" t="s">
        <v>134</v>
      </c>
      <c r="BK3" t="s">
        <v>134</v>
      </c>
      <c r="BL3" t="s">
        <v>134</v>
      </c>
      <c r="BM3" t="s">
        <v>135</v>
      </c>
      <c r="BN3" t="s">
        <v>135</v>
      </c>
      <c r="BO3" t="s">
        <v>136</v>
      </c>
      <c r="BP3" t="s">
        <v>136</v>
      </c>
      <c r="BQ3" t="s">
        <v>520</v>
      </c>
      <c r="BR3" t="s">
        <v>521</v>
      </c>
      <c r="BS3" t="s">
        <v>134</v>
      </c>
      <c r="BT3" t="s">
        <v>134</v>
      </c>
      <c r="BU3" t="s">
        <v>133</v>
      </c>
      <c r="BV3" s="4" t="s">
        <v>134</v>
      </c>
      <c r="BW3" s="4" t="s">
        <v>134</v>
      </c>
      <c r="BX3" s="4" t="s">
        <v>135</v>
      </c>
      <c r="BY3" s="4" t="s">
        <v>522</v>
      </c>
      <c r="BZ3" s="4" t="s">
        <v>133</v>
      </c>
      <c r="CA3" s="4" t="s">
        <v>522</v>
      </c>
      <c r="CB3" t="s">
        <v>141</v>
      </c>
      <c r="CC3" t="s">
        <v>523</v>
      </c>
      <c r="CD3" t="s">
        <v>141</v>
      </c>
      <c r="CE3" t="s">
        <v>141</v>
      </c>
      <c r="CF3" t="s">
        <v>141</v>
      </c>
      <c r="CG3" t="s">
        <v>524</v>
      </c>
      <c r="CH3" t="s">
        <v>525</v>
      </c>
      <c r="CI3" t="s">
        <v>2</v>
      </c>
      <c r="CJ3" t="s">
        <v>526</v>
      </c>
      <c r="CK3" t="s">
        <v>526</v>
      </c>
      <c r="CL3" t="s">
        <v>142</v>
      </c>
      <c r="CM3" t="s">
        <v>137</v>
      </c>
      <c r="CN3" t="s">
        <v>137</v>
      </c>
      <c r="CO3" t="s">
        <v>140</v>
      </c>
      <c r="CP3" t="s">
        <v>140</v>
      </c>
      <c r="CQ3" t="s">
        <v>140</v>
      </c>
      <c r="CR3" t="s">
        <v>523</v>
      </c>
      <c r="CS3" t="s">
        <v>140</v>
      </c>
      <c r="CT3" t="s">
        <v>133</v>
      </c>
      <c r="CU3" t="s">
        <v>142</v>
      </c>
      <c r="CV3" t="s">
        <v>527</v>
      </c>
      <c r="CW3" t="s">
        <v>528</v>
      </c>
      <c r="CX3" t="s">
        <v>528</v>
      </c>
      <c r="CY3" t="s">
        <v>527</v>
      </c>
      <c r="CZ3" t="s">
        <v>527</v>
      </c>
      <c r="DA3" t="s">
        <v>527</v>
      </c>
      <c r="DB3" t="s">
        <v>527</v>
      </c>
      <c r="DC3" t="s">
        <v>527</v>
      </c>
      <c r="DD3" t="s">
        <v>133</v>
      </c>
      <c r="DE3" t="s">
        <v>133</v>
      </c>
      <c r="DF3" t="s">
        <v>133</v>
      </c>
      <c r="DG3" t="s">
        <v>133</v>
      </c>
      <c r="DH3" t="s">
        <v>133</v>
      </c>
      <c r="DI3" t="s">
        <v>133</v>
      </c>
    </row>
    <row r="4" spans="1:113" x14ac:dyDescent="0.25">
      <c r="A4" t="s">
        <v>529</v>
      </c>
      <c r="C4" t="s">
        <v>530</v>
      </c>
      <c r="I4">
        <v>1</v>
      </c>
      <c r="AC4">
        <v>2</v>
      </c>
      <c r="AD4">
        <v>1</v>
      </c>
      <c r="AT4" s="5" t="s">
        <v>531</v>
      </c>
      <c r="BD4">
        <v>99</v>
      </c>
      <c r="BO4" s="8"/>
      <c r="BP4" s="8"/>
      <c r="BS4">
        <v>0.1</v>
      </c>
      <c r="CM4" s="11"/>
      <c r="CN4" s="12" t="s">
        <v>532</v>
      </c>
      <c r="CR4">
        <v>0.2</v>
      </c>
    </row>
    <row r="5" spans="1:113" ht="15" customHeight="1" x14ac:dyDescent="0.25">
      <c r="A5" s="26" t="s">
        <v>1138</v>
      </c>
      <c r="C5" t="s">
        <v>530</v>
      </c>
      <c r="I5">
        <v>1</v>
      </c>
      <c r="K5" s="3" t="s">
        <v>533</v>
      </c>
      <c r="L5" s="3" t="s">
        <v>534</v>
      </c>
      <c r="AC5">
        <v>1</v>
      </c>
      <c r="AG5" t="s">
        <v>535</v>
      </c>
      <c r="AH5">
        <v>1</v>
      </c>
      <c r="AT5" s="5"/>
      <c r="AY5" s="3"/>
      <c r="BD5">
        <v>1</v>
      </c>
      <c r="BO5" s="8"/>
      <c r="BP5" s="8"/>
      <c r="BV5"/>
      <c r="BW5"/>
      <c r="BX5"/>
      <c r="BY5"/>
      <c r="BZ5"/>
      <c r="CA5"/>
      <c r="CB5" s="3"/>
      <c r="CC5" s="3"/>
      <c r="CD5" s="3"/>
      <c r="CE5" s="3"/>
      <c r="CF5" s="3"/>
      <c r="CH5" s="3"/>
      <c r="CI5" s="3"/>
      <c r="CJ5" s="3"/>
      <c r="CK5" s="3"/>
      <c r="CL5" s="3"/>
      <c r="CM5" s="11"/>
      <c r="CN5" s="12" t="s">
        <v>536</v>
      </c>
      <c r="CO5">
        <v>-0.5</v>
      </c>
      <c r="CP5">
        <v>-1</v>
      </c>
      <c r="CR5">
        <v>99999</v>
      </c>
    </row>
    <row r="6" spans="1:113" ht="15" customHeight="1" x14ac:dyDescent="0.25">
      <c r="A6" s="26" t="s">
        <v>1139</v>
      </c>
      <c r="C6" t="s">
        <v>530</v>
      </c>
      <c r="I6">
        <v>1</v>
      </c>
      <c r="AC6">
        <v>2</v>
      </c>
      <c r="AD6">
        <v>1</v>
      </c>
      <c r="AT6" t="s">
        <v>537</v>
      </c>
      <c r="AY6" s="3"/>
      <c r="BD6">
        <v>1</v>
      </c>
      <c r="BO6" s="8"/>
      <c r="BP6" s="8" t="s">
        <v>538</v>
      </c>
      <c r="BS6">
        <v>0.1</v>
      </c>
      <c r="BV6"/>
      <c r="BW6"/>
      <c r="BX6"/>
      <c r="BY6"/>
      <c r="BZ6"/>
      <c r="CA6"/>
      <c r="CB6" s="3"/>
      <c r="CC6" s="3"/>
      <c r="CD6" s="3"/>
      <c r="CE6" s="3"/>
      <c r="CF6" s="3"/>
      <c r="CH6" s="3"/>
      <c r="CI6" s="3"/>
      <c r="CJ6" s="3"/>
      <c r="CK6" s="3"/>
      <c r="CL6" s="3"/>
      <c r="CM6" s="11"/>
      <c r="CN6" s="12"/>
      <c r="DD6">
        <v>1</v>
      </c>
      <c r="DG6">
        <v>1</v>
      </c>
      <c r="DH6">
        <v>1</v>
      </c>
    </row>
    <row r="7" spans="1:113" ht="15" customHeight="1" x14ac:dyDescent="0.25">
      <c r="A7" s="26" t="s">
        <v>1140</v>
      </c>
      <c r="C7" t="s">
        <v>530</v>
      </c>
      <c r="I7">
        <v>1</v>
      </c>
      <c r="K7" s="3" t="s">
        <v>533</v>
      </c>
      <c r="AC7">
        <v>1</v>
      </c>
      <c r="AG7" t="s">
        <v>535</v>
      </c>
      <c r="AT7" s="5"/>
      <c r="AY7" s="3"/>
      <c r="BD7">
        <v>1</v>
      </c>
      <c r="BO7" s="8"/>
      <c r="BP7" s="8"/>
      <c r="BV7"/>
      <c r="BW7"/>
      <c r="BX7"/>
      <c r="BY7"/>
      <c r="BZ7"/>
      <c r="CA7"/>
      <c r="CB7" s="3"/>
      <c r="CC7" s="3"/>
      <c r="CD7" s="3"/>
      <c r="CE7" s="3"/>
      <c r="CF7" s="3"/>
      <c r="CH7" s="3"/>
      <c r="CI7" s="3"/>
      <c r="CJ7" s="3"/>
      <c r="CK7" s="3"/>
      <c r="CL7" s="3"/>
      <c r="CM7" s="11"/>
      <c r="CN7" s="12" t="s">
        <v>539</v>
      </c>
      <c r="CO7">
        <v>0.2</v>
      </c>
      <c r="CR7">
        <v>0.2</v>
      </c>
    </row>
    <row r="8" spans="1:113" x14ac:dyDescent="0.25">
      <c r="A8" s="26" t="s">
        <v>1141</v>
      </c>
      <c r="C8" t="s">
        <v>540</v>
      </c>
      <c r="I8">
        <v>1</v>
      </c>
      <c r="O8"/>
      <c r="P8" t="s">
        <v>541</v>
      </c>
      <c r="AC8">
        <v>2</v>
      </c>
      <c r="AT8" s="5" t="s">
        <v>542</v>
      </c>
      <c r="BD8">
        <v>1</v>
      </c>
      <c r="BO8" s="8" t="s">
        <v>543</v>
      </c>
      <c r="BP8" s="8"/>
      <c r="BS8">
        <v>0.1</v>
      </c>
      <c r="BV8"/>
      <c r="CL8" s="3"/>
      <c r="CM8" s="11"/>
      <c r="CN8" s="12" t="s">
        <v>544</v>
      </c>
      <c r="CO8">
        <v>0.1</v>
      </c>
      <c r="CR8">
        <v>0.2</v>
      </c>
    </row>
    <row r="9" spans="1:113" x14ac:dyDescent="0.25">
      <c r="A9" s="26" t="s">
        <v>1142</v>
      </c>
      <c r="C9" t="s">
        <v>530</v>
      </c>
      <c r="I9">
        <v>1</v>
      </c>
      <c r="O9"/>
      <c r="Z9">
        <v>1</v>
      </c>
      <c r="AC9">
        <v>1</v>
      </c>
      <c r="AG9" t="s">
        <v>535</v>
      </c>
      <c r="AT9" s="5"/>
      <c r="BD9">
        <v>1</v>
      </c>
      <c r="BO9" s="8"/>
      <c r="BP9" s="8"/>
      <c r="BS9">
        <v>0.1</v>
      </c>
      <c r="BV9"/>
      <c r="CL9" s="3"/>
      <c r="CM9" s="11"/>
      <c r="CN9" s="12" t="s">
        <v>541</v>
      </c>
      <c r="CO9">
        <v>0.1</v>
      </c>
      <c r="CR9">
        <v>0.2</v>
      </c>
    </row>
    <row r="10" spans="1:113" x14ac:dyDescent="0.25">
      <c r="A10" s="26" t="s">
        <v>1143</v>
      </c>
      <c r="C10" t="s">
        <v>530</v>
      </c>
      <c r="I10">
        <v>1</v>
      </c>
      <c r="K10" s="3" t="s">
        <v>533</v>
      </c>
      <c r="L10" s="3" t="s">
        <v>545</v>
      </c>
      <c r="N10" s="3">
        <v>1</v>
      </c>
      <c r="AC10">
        <v>1</v>
      </c>
      <c r="AF10">
        <v>1</v>
      </c>
      <c r="AG10" t="s">
        <v>535</v>
      </c>
      <c r="AW10" s="7"/>
      <c r="AY10">
        <v>1</v>
      </c>
      <c r="AZ10">
        <v>1</v>
      </c>
      <c r="BB10">
        <v>1</v>
      </c>
      <c r="BD10">
        <v>1</v>
      </c>
      <c r="BO10" s="9"/>
      <c r="BP10" s="9"/>
      <c r="CN10" s="13" t="s">
        <v>546</v>
      </c>
      <c r="CO10">
        <v>-0.6</v>
      </c>
      <c r="CR10">
        <v>99999</v>
      </c>
    </row>
    <row r="11" spans="1:113" x14ac:dyDescent="0.25"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BO11" s="10"/>
      <c r="BP11" s="10"/>
      <c r="BV11"/>
      <c r="BW11"/>
      <c r="BX11"/>
      <c r="BY11"/>
      <c r="BZ11"/>
      <c r="CA11"/>
      <c r="CM11" s="11"/>
      <c r="CN11" s="11"/>
    </row>
    <row r="12" spans="1:113" x14ac:dyDescent="0.25">
      <c r="A12" t="s">
        <v>547</v>
      </c>
      <c r="C12" t="s">
        <v>530</v>
      </c>
      <c r="AC12">
        <v>2</v>
      </c>
      <c r="AD12">
        <v>1</v>
      </c>
      <c r="AO12" t="s">
        <v>548</v>
      </c>
      <c r="AT12" s="5" t="s">
        <v>549</v>
      </c>
      <c r="AX12" t="s">
        <v>550</v>
      </c>
      <c r="AZ12">
        <v>1</v>
      </c>
      <c r="BD12">
        <v>1</v>
      </c>
      <c r="BJ12">
        <v>1.1000000000000001</v>
      </c>
      <c r="BK12">
        <v>1</v>
      </c>
      <c r="BL12">
        <v>1</v>
      </c>
      <c r="BO12" s="8"/>
      <c r="BP12" s="8"/>
      <c r="CB12" t="s">
        <v>76</v>
      </c>
      <c r="CG12" t="s">
        <v>551</v>
      </c>
      <c r="CM12" s="11"/>
      <c r="CN12" s="12"/>
      <c r="CY12" t="s">
        <v>552</v>
      </c>
    </row>
    <row r="13" spans="1:113" ht="15" customHeight="1" x14ac:dyDescent="0.25">
      <c r="A13" t="s">
        <v>553</v>
      </c>
      <c r="C13" t="s">
        <v>530</v>
      </c>
      <c r="I13">
        <v>1</v>
      </c>
      <c r="K13" s="3" t="s">
        <v>533</v>
      </c>
      <c r="L13" s="3" t="s">
        <v>534</v>
      </c>
      <c r="AC13">
        <v>1</v>
      </c>
      <c r="AG13" t="s">
        <v>535</v>
      </c>
      <c r="AH13">
        <v>1</v>
      </c>
      <c r="AT13" s="5"/>
      <c r="AY13" s="3"/>
      <c r="BD13">
        <v>1</v>
      </c>
      <c r="BO13" s="8"/>
      <c r="BP13" s="8"/>
      <c r="BV13"/>
      <c r="BW13"/>
      <c r="BX13"/>
      <c r="BY13"/>
      <c r="BZ13"/>
      <c r="CA13"/>
      <c r="CB13" s="3"/>
      <c r="CC13" s="3"/>
      <c r="CD13" s="3"/>
      <c r="CE13" s="3"/>
      <c r="CF13" s="3"/>
      <c r="CH13" s="3"/>
      <c r="CI13" s="3"/>
      <c r="CJ13" s="3"/>
      <c r="CK13" s="3"/>
      <c r="CL13" s="3"/>
      <c r="CM13" s="11"/>
      <c r="CN13" s="12" t="s">
        <v>553</v>
      </c>
      <c r="CR13">
        <v>99999</v>
      </c>
    </row>
    <row r="14" spans="1:113" ht="15" customHeight="1" x14ac:dyDescent="0.25">
      <c r="AT14" s="5"/>
      <c r="AY14" s="3"/>
      <c r="BO14" s="8"/>
      <c r="BP14" s="8"/>
      <c r="BV14"/>
      <c r="BW14"/>
      <c r="BX14"/>
      <c r="BY14"/>
      <c r="BZ14"/>
      <c r="CA14"/>
      <c r="CB14" s="3"/>
      <c r="CC14" s="3"/>
      <c r="CD14" s="3"/>
      <c r="CE14" s="3"/>
      <c r="CF14" s="3"/>
      <c r="CH14" s="3"/>
      <c r="CI14" s="3"/>
      <c r="CJ14" s="3"/>
      <c r="CK14" s="3"/>
      <c r="CL14" s="3"/>
      <c r="CM14" s="11"/>
      <c r="CN14" s="12"/>
    </row>
    <row r="15" spans="1:113" x14ac:dyDescent="0.25">
      <c r="A15" t="s">
        <v>554</v>
      </c>
      <c r="C15" t="s">
        <v>555</v>
      </c>
      <c r="P15" t="s">
        <v>556</v>
      </c>
      <c r="AC15">
        <v>2</v>
      </c>
      <c r="AO15" t="s">
        <v>548</v>
      </c>
      <c r="AT15" s="5" t="s">
        <v>557</v>
      </c>
      <c r="AX15" t="s">
        <v>558</v>
      </c>
      <c r="AZ15">
        <v>1</v>
      </c>
      <c r="BD15">
        <v>1</v>
      </c>
      <c r="BE15">
        <v>1</v>
      </c>
      <c r="BF15">
        <v>0.1</v>
      </c>
      <c r="BO15" s="8" t="s">
        <v>559</v>
      </c>
      <c r="BP15" s="8" t="s">
        <v>560</v>
      </c>
      <c r="CB15" t="s">
        <v>76</v>
      </c>
      <c r="CG15" t="s">
        <v>551</v>
      </c>
      <c r="CM15" s="11"/>
      <c r="CN15" s="12"/>
    </row>
    <row r="16" spans="1:113" ht="15" customHeight="1" x14ac:dyDescent="0.25">
      <c r="A16" t="s">
        <v>560</v>
      </c>
      <c r="C16" t="s">
        <v>530</v>
      </c>
      <c r="I16">
        <v>1</v>
      </c>
      <c r="K16" s="3" t="s">
        <v>533</v>
      </c>
      <c r="AC16">
        <v>1</v>
      </c>
      <c r="AG16" t="s">
        <v>535</v>
      </c>
      <c r="AT16" s="5"/>
      <c r="AY16" s="3"/>
      <c r="BD16">
        <v>1</v>
      </c>
      <c r="BO16" s="8"/>
      <c r="BP16" s="8"/>
      <c r="BV16"/>
      <c r="BW16"/>
      <c r="BX16"/>
      <c r="BY16"/>
      <c r="BZ16"/>
      <c r="CA16"/>
      <c r="CB16" s="3"/>
      <c r="CC16" s="3"/>
      <c r="CD16" s="3"/>
      <c r="CE16" s="3"/>
      <c r="CF16" s="3"/>
      <c r="CH16" s="3"/>
      <c r="CI16" s="3"/>
      <c r="CJ16" s="3"/>
      <c r="CK16" s="3"/>
      <c r="CL16" s="3"/>
      <c r="CM16" s="11"/>
      <c r="CN16" s="12" t="s">
        <v>561</v>
      </c>
      <c r="CO16">
        <v>0.08</v>
      </c>
      <c r="CR16">
        <v>99999</v>
      </c>
    </row>
    <row r="17" spans="1:112" ht="15" customHeight="1" x14ac:dyDescent="0.25">
      <c r="A17" t="s">
        <v>562</v>
      </c>
      <c r="C17" t="s">
        <v>530</v>
      </c>
      <c r="I17">
        <v>1</v>
      </c>
      <c r="K17" s="3" t="s">
        <v>533</v>
      </c>
      <c r="L17" s="3" t="s">
        <v>563</v>
      </c>
      <c r="AC17">
        <v>1</v>
      </c>
      <c r="AG17" t="s">
        <v>535</v>
      </c>
      <c r="AT17" s="5"/>
      <c r="AY17" s="3"/>
      <c r="BD17">
        <v>1</v>
      </c>
      <c r="BO17" s="8"/>
      <c r="BP17" s="8"/>
      <c r="BS17">
        <v>0.1</v>
      </c>
      <c r="BV17"/>
      <c r="BW17"/>
      <c r="BX17"/>
      <c r="BY17"/>
      <c r="BZ17"/>
      <c r="CA17"/>
      <c r="CB17" s="3"/>
      <c r="CC17">
        <v>0.11</v>
      </c>
      <c r="CD17" s="3"/>
      <c r="CE17" s="3"/>
      <c r="CF17" s="3"/>
      <c r="CH17" s="3"/>
      <c r="CI17" s="3"/>
      <c r="CJ17" s="3"/>
      <c r="CK17" s="3"/>
      <c r="CL17" s="3"/>
      <c r="CM17" s="11" t="s">
        <v>561</v>
      </c>
      <c r="CN17" s="12"/>
    </row>
    <row r="18" spans="1:112" x14ac:dyDescent="0.25">
      <c r="A18" t="s">
        <v>564</v>
      </c>
      <c r="C18" t="s">
        <v>555</v>
      </c>
      <c r="I18">
        <v>1</v>
      </c>
      <c r="R18" s="3" t="s">
        <v>565</v>
      </c>
      <c r="AC18">
        <v>2</v>
      </c>
      <c r="AT18" s="5" t="s">
        <v>557</v>
      </c>
      <c r="BD18">
        <v>99</v>
      </c>
      <c r="BO18" s="8"/>
      <c r="BP18" s="8"/>
      <c r="CM18" s="11"/>
      <c r="CN18" s="12" t="s">
        <v>564</v>
      </c>
      <c r="CR18">
        <v>99999</v>
      </c>
      <c r="DD18">
        <v>1</v>
      </c>
      <c r="DG18">
        <v>1</v>
      </c>
      <c r="DH18">
        <v>1</v>
      </c>
    </row>
    <row r="19" spans="1:112" ht="15" customHeight="1" x14ac:dyDescent="0.25">
      <c r="A19" t="s">
        <v>566</v>
      </c>
      <c r="C19" t="s">
        <v>530</v>
      </c>
      <c r="I19">
        <v>1</v>
      </c>
      <c r="K19" s="3" t="s">
        <v>533</v>
      </c>
      <c r="L19" s="3" t="s">
        <v>534</v>
      </c>
      <c r="AC19">
        <v>1</v>
      </c>
      <c r="AG19" t="s">
        <v>535</v>
      </c>
      <c r="AH19">
        <v>1</v>
      </c>
      <c r="AT19" s="5"/>
      <c r="AY19" s="3"/>
      <c r="BD19">
        <v>1</v>
      </c>
      <c r="BO19" s="8" t="s">
        <v>567</v>
      </c>
      <c r="BP19" s="8"/>
      <c r="BV19"/>
      <c r="BW19"/>
      <c r="BX19"/>
      <c r="BY19"/>
      <c r="BZ19"/>
      <c r="CA19"/>
      <c r="CB19" s="3"/>
      <c r="CC19" s="3"/>
      <c r="CD19" s="3"/>
      <c r="CE19" s="3"/>
      <c r="CF19" s="3"/>
      <c r="CH19" s="3"/>
      <c r="CI19" s="3"/>
      <c r="CJ19" s="3"/>
      <c r="CK19" s="3"/>
      <c r="CL19" s="3"/>
      <c r="CM19" s="11"/>
      <c r="CN19" s="12" t="s">
        <v>565</v>
      </c>
      <c r="CR19">
        <v>99999</v>
      </c>
    </row>
    <row r="20" spans="1:112" ht="15" customHeight="1" x14ac:dyDescent="0.25">
      <c r="A20" t="s">
        <v>568</v>
      </c>
      <c r="C20" t="s">
        <v>530</v>
      </c>
      <c r="I20">
        <v>1</v>
      </c>
      <c r="P20" s="3" t="s">
        <v>569</v>
      </c>
      <c r="AC20">
        <v>1</v>
      </c>
      <c r="AG20" t="s">
        <v>535</v>
      </c>
      <c r="AT20" s="5"/>
      <c r="AY20" s="3"/>
      <c r="BD20">
        <v>1</v>
      </c>
      <c r="BO20" s="8"/>
      <c r="BP20" s="8"/>
      <c r="BS20">
        <v>0.1</v>
      </c>
      <c r="BV20"/>
      <c r="BW20"/>
      <c r="BX20"/>
      <c r="BY20"/>
      <c r="BZ20"/>
      <c r="CA20"/>
      <c r="CB20" s="3"/>
      <c r="CC20" s="3"/>
      <c r="CD20" s="3"/>
      <c r="CE20" s="3"/>
      <c r="CF20" s="3"/>
      <c r="CH20" s="3"/>
      <c r="CI20" s="3"/>
      <c r="CJ20" s="3"/>
      <c r="CK20" s="3"/>
      <c r="CL20" s="3"/>
      <c r="CM20" s="11"/>
      <c r="CN20" s="12" t="s">
        <v>570</v>
      </c>
      <c r="CO20">
        <v>10</v>
      </c>
      <c r="CR20">
        <v>0.2</v>
      </c>
    </row>
    <row r="21" spans="1:112" ht="15" customHeight="1" x14ac:dyDescent="0.25">
      <c r="A21" t="s">
        <v>569</v>
      </c>
      <c r="C21" t="s">
        <v>530</v>
      </c>
      <c r="I21">
        <v>1</v>
      </c>
      <c r="T21" s="3">
        <v>0.5</v>
      </c>
      <c r="AC21">
        <v>1</v>
      </c>
      <c r="AG21" t="s">
        <v>535</v>
      </c>
      <c r="AT21" s="5"/>
      <c r="AY21" s="3"/>
      <c r="BD21">
        <v>1</v>
      </c>
      <c r="BO21" s="8"/>
      <c r="BP21" s="8"/>
      <c r="BS21">
        <v>0.1</v>
      </c>
      <c r="BV21"/>
      <c r="BW21"/>
      <c r="BX21"/>
      <c r="BY21"/>
      <c r="BZ21"/>
      <c r="CA21"/>
      <c r="CB21" s="3"/>
      <c r="CC21" s="3"/>
      <c r="CD21" s="3"/>
      <c r="CE21" s="3"/>
      <c r="CF21" s="3"/>
      <c r="CH21" s="3"/>
      <c r="CI21" s="3"/>
      <c r="CJ21" s="3"/>
      <c r="CK21" s="3"/>
      <c r="CL21" s="3"/>
      <c r="CM21" s="11"/>
      <c r="CN21" s="12" t="s">
        <v>569</v>
      </c>
      <c r="CR21">
        <v>0.2</v>
      </c>
    </row>
    <row r="22" spans="1:112" ht="15" customHeight="1" x14ac:dyDescent="0.25">
      <c r="A22" t="s">
        <v>571</v>
      </c>
      <c r="C22" t="s">
        <v>530</v>
      </c>
      <c r="D22" t="s">
        <v>572</v>
      </c>
      <c r="E22" t="s">
        <v>573</v>
      </c>
      <c r="F22" t="s">
        <v>574</v>
      </c>
      <c r="G22">
        <v>3</v>
      </c>
      <c r="I22">
        <v>1</v>
      </c>
      <c r="K22" s="3" t="s">
        <v>533</v>
      </c>
      <c r="L22" s="3" t="s">
        <v>534</v>
      </c>
      <c r="AC22">
        <v>1</v>
      </c>
      <c r="AG22" t="s">
        <v>535</v>
      </c>
      <c r="AH22">
        <v>1</v>
      </c>
      <c r="AT22" s="5"/>
      <c r="AY22" s="3"/>
      <c r="BD22">
        <v>1</v>
      </c>
      <c r="BO22" s="8"/>
      <c r="BP22" s="8"/>
      <c r="BV22"/>
      <c r="BW22"/>
      <c r="BX22"/>
      <c r="BY22"/>
      <c r="BZ22"/>
      <c r="CA22"/>
      <c r="CB22" s="3"/>
      <c r="CC22" s="3"/>
      <c r="CD22" s="3"/>
      <c r="CE22" s="3"/>
      <c r="CF22" s="3"/>
      <c r="CH22" s="3"/>
      <c r="CI22" s="3"/>
      <c r="CJ22" s="3"/>
      <c r="CK22" s="3"/>
      <c r="CL22" s="3"/>
      <c r="CM22" s="11"/>
      <c r="CN22" s="12" t="s">
        <v>575</v>
      </c>
      <c r="CR22">
        <v>99999</v>
      </c>
    </row>
    <row r="23" spans="1:112" x14ac:dyDescent="0.25">
      <c r="A23" t="s">
        <v>576</v>
      </c>
      <c r="C23" t="s">
        <v>530</v>
      </c>
      <c r="D23" t="s">
        <v>577</v>
      </c>
      <c r="E23" t="s">
        <v>578</v>
      </c>
      <c r="F23" t="s">
        <v>579</v>
      </c>
      <c r="G23">
        <v>3</v>
      </c>
      <c r="J23" t="s">
        <v>580</v>
      </c>
      <c r="K23" s="3" t="s">
        <v>581</v>
      </c>
      <c r="AB23">
        <v>1</v>
      </c>
      <c r="AC23">
        <v>1</v>
      </c>
      <c r="AG23" t="s">
        <v>535</v>
      </c>
      <c r="AT23" s="5"/>
      <c r="AY23" s="3"/>
      <c r="BD23">
        <v>1</v>
      </c>
      <c r="BO23" s="8" t="s">
        <v>582</v>
      </c>
      <c r="BP23" s="8"/>
      <c r="BT23">
        <v>10</v>
      </c>
      <c r="BV23" s="4">
        <v>0</v>
      </c>
      <c r="BW23" s="4">
        <v>20</v>
      </c>
      <c r="BX23" s="4">
        <v>1</v>
      </c>
      <c r="BY23" s="4" t="s">
        <v>583</v>
      </c>
      <c r="CB23" s="3"/>
      <c r="CC23" s="3"/>
      <c r="CD23" s="3"/>
      <c r="CE23" s="3"/>
      <c r="CF23" s="3"/>
      <c r="CH23" s="3"/>
      <c r="CI23" s="3"/>
      <c r="CJ23" s="3"/>
      <c r="CK23" s="3"/>
      <c r="CL23" s="3"/>
      <c r="CM23" s="11"/>
      <c r="CN23" s="12" t="s">
        <v>556</v>
      </c>
      <c r="CO23">
        <v>-0.6</v>
      </c>
      <c r="CR23">
        <v>10</v>
      </c>
    </row>
    <row r="24" spans="1:112" x14ac:dyDescent="0.25">
      <c r="A24" t="s">
        <v>582</v>
      </c>
      <c r="C24" t="s">
        <v>555</v>
      </c>
      <c r="O24" t="s">
        <v>556</v>
      </c>
      <c r="AC24">
        <v>2</v>
      </c>
      <c r="AO24" t="s">
        <v>548</v>
      </c>
      <c r="AT24" s="5" t="s">
        <v>557</v>
      </c>
      <c r="AX24" t="s">
        <v>558</v>
      </c>
      <c r="AZ24">
        <v>1</v>
      </c>
      <c r="BD24">
        <v>1</v>
      </c>
      <c r="BE24">
        <v>1</v>
      </c>
      <c r="BF24">
        <v>0.1</v>
      </c>
      <c r="BO24" s="8"/>
      <c r="BP24" s="8" t="s">
        <v>560</v>
      </c>
      <c r="CB24" t="s">
        <v>584</v>
      </c>
      <c r="CG24" t="s">
        <v>551</v>
      </c>
      <c r="CM24" s="11"/>
      <c r="CN24" s="12"/>
    </row>
    <row r="25" spans="1:112" x14ac:dyDescent="0.25">
      <c r="O25"/>
      <c r="AT25" s="5"/>
      <c r="BO25" s="8"/>
      <c r="BP25" s="8"/>
      <c r="CM25" s="11"/>
      <c r="CN25" s="12"/>
    </row>
    <row r="26" spans="1:112" x14ac:dyDescent="0.25">
      <c r="A26" t="s">
        <v>170</v>
      </c>
      <c r="C26" t="s">
        <v>530</v>
      </c>
      <c r="AC26">
        <v>2</v>
      </c>
      <c r="AD26">
        <v>1</v>
      </c>
      <c r="AO26" t="s">
        <v>548</v>
      </c>
      <c r="AT26" s="5" t="s">
        <v>585</v>
      </c>
      <c r="AX26" t="s">
        <v>550</v>
      </c>
      <c r="AZ26">
        <v>1</v>
      </c>
      <c r="BD26">
        <v>1</v>
      </c>
      <c r="BJ26">
        <v>1</v>
      </c>
      <c r="BK26">
        <v>1</v>
      </c>
      <c r="BL26">
        <v>1</v>
      </c>
      <c r="BO26" s="8"/>
      <c r="BP26" s="8"/>
      <c r="CB26" t="s">
        <v>76</v>
      </c>
      <c r="CG26" t="s">
        <v>551</v>
      </c>
      <c r="CM26" s="11"/>
      <c r="CN26" s="12" t="s">
        <v>586</v>
      </c>
      <c r="CO26">
        <v>-0.8</v>
      </c>
      <c r="CR26">
        <v>1</v>
      </c>
      <c r="CY26" t="s">
        <v>552</v>
      </c>
    </row>
    <row r="27" spans="1:112" x14ac:dyDescent="0.25">
      <c r="A27" t="s">
        <v>587</v>
      </c>
      <c r="C27" t="s">
        <v>530</v>
      </c>
      <c r="D27" t="s">
        <v>588</v>
      </c>
      <c r="E27" t="s">
        <v>589</v>
      </c>
      <c r="F27" t="s">
        <v>590</v>
      </c>
      <c r="G27">
        <v>3</v>
      </c>
      <c r="J27" t="s">
        <v>580</v>
      </c>
      <c r="K27" s="3" t="s">
        <v>581</v>
      </c>
      <c r="AC27">
        <v>1</v>
      </c>
      <c r="AT27" s="5"/>
      <c r="AY27" s="3"/>
      <c r="BD27">
        <v>1</v>
      </c>
      <c r="BO27" s="8" t="s">
        <v>591</v>
      </c>
      <c r="BP27" s="8"/>
      <c r="BT27">
        <v>30</v>
      </c>
      <c r="BV27" s="4">
        <v>0</v>
      </c>
      <c r="BW27" s="4">
        <v>60</v>
      </c>
      <c r="BX27" s="4">
        <v>1</v>
      </c>
      <c r="BY27" s="4" t="s">
        <v>583</v>
      </c>
      <c r="CB27" s="3"/>
      <c r="CC27" s="3"/>
      <c r="CD27" s="3"/>
      <c r="CE27" s="3"/>
      <c r="CF27" s="3"/>
      <c r="CH27" s="3"/>
      <c r="CI27" s="3"/>
      <c r="CJ27" s="3"/>
      <c r="CK27" s="3"/>
      <c r="CL27" s="3"/>
      <c r="CM27" s="11"/>
      <c r="CN27" s="12" t="s">
        <v>592</v>
      </c>
      <c r="CO27">
        <v>80</v>
      </c>
      <c r="CR27">
        <v>25</v>
      </c>
    </row>
    <row r="28" spans="1:112" x14ac:dyDescent="0.25">
      <c r="A28" t="s">
        <v>591</v>
      </c>
      <c r="C28" t="s">
        <v>530</v>
      </c>
      <c r="O28" s="3" t="s">
        <v>592</v>
      </c>
      <c r="AC28">
        <v>2</v>
      </c>
      <c r="AD28">
        <v>1</v>
      </c>
      <c r="AO28" t="s">
        <v>548</v>
      </c>
      <c r="AT28" s="5" t="s">
        <v>585</v>
      </c>
      <c r="AX28" t="s">
        <v>550</v>
      </c>
      <c r="AZ28">
        <v>1</v>
      </c>
      <c r="BD28">
        <v>1</v>
      </c>
      <c r="BJ28">
        <v>1</v>
      </c>
      <c r="BK28">
        <v>1</v>
      </c>
      <c r="BL28">
        <v>1</v>
      </c>
      <c r="BO28" s="8"/>
      <c r="BP28" s="8"/>
      <c r="CB28" t="s">
        <v>76</v>
      </c>
      <c r="CG28" t="s">
        <v>551</v>
      </c>
      <c r="CM28" s="11"/>
      <c r="CN28" s="12" t="s">
        <v>586</v>
      </c>
      <c r="CO28">
        <v>-0.8</v>
      </c>
      <c r="CR28">
        <v>2</v>
      </c>
      <c r="CY28" t="s">
        <v>552</v>
      </c>
    </row>
    <row r="29" spans="1:112" x14ac:dyDescent="0.25">
      <c r="AT29" s="5"/>
      <c r="BO29" s="8"/>
      <c r="BP29" s="8"/>
      <c r="CL29" s="3"/>
      <c r="CM29" s="11"/>
      <c r="CN29" s="12"/>
    </row>
    <row r="30" spans="1:112" x14ac:dyDescent="0.25">
      <c r="A30" t="s">
        <v>593</v>
      </c>
      <c r="C30" t="s">
        <v>530</v>
      </c>
      <c r="AC30">
        <v>1</v>
      </c>
      <c r="AO30" t="s">
        <v>594</v>
      </c>
      <c r="AT30" s="5" t="s">
        <v>595</v>
      </c>
      <c r="AY30">
        <v>1</v>
      </c>
      <c r="AZ30">
        <v>1</v>
      </c>
      <c r="BD30">
        <v>1</v>
      </c>
      <c r="BO30" s="8" t="s">
        <v>596</v>
      </c>
      <c r="BP30" s="8"/>
      <c r="CB30" t="s">
        <v>76</v>
      </c>
      <c r="CG30" t="s">
        <v>551</v>
      </c>
      <c r="CH30" t="s">
        <v>597</v>
      </c>
      <c r="CI30" t="s">
        <v>598</v>
      </c>
      <c r="CJ30" t="s">
        <v>599</v>
      </c>
      <c r="CM30" s="11"/>
      <c r="CN30" s="12"/>
      <c r="CY30" t="s">
        <v>600</v>
      </c>
    </row>
    <row r="31" spans="1:112" x14ac:dyDescent="0.25">
      <c r="A31" t="s">
        <v>596</v>
      </c>
      <c r="C31" t="s">
        <v>530</v>
      </c>
      <c r="I31">
        <v>1</v>
      </c>
      <c r="U31" s="3">
        <v>0.5</v>
      </c>
      <c r="AC31">
        <v>1</v>
      </c>
      <c r="AT31" s="5" t="s">
        <v>595</v>
      </c>
      <c r="BD31">
        <v>99</v>
      </c>
      <c r="BO31" s="8"/>
      <c r="BP31" s="8"/>
      <c r="BS31">
        <v>0.1</v>
      </c>
      <c r="CM31" s="11"/>
      <c r="CN31" s="12" t="s">
        <v>601</v>
      </c>
      <c r="CR31">
        <v>0.2</v>
      </c>
    </row>
    <row r="32" spans="1:112" x14ac:dyDescent="0.25">
      <c r="A32" t="s">
        <v>602</v>
      </c>
      <c r="C32" t="s">
        <v>530</v>
      </c>
      <c r="I32">
        <v>1</v>
      </c>
      <c r="K32" s="3" t="s">
        <v>533</v>
      </c>
      <c r="L32" s="3" t="s">
        <v>603</v>
      </c>
      <c r="AC32">
        <v>1</v>
      </c>
      <c r="AF32">
        <v>1</v>
      </c>
      <c r="AH32">
        <v>1</v>
      </c>
      <c r="AM32">
        <v>10</v>
      </c>
      <c r="AT32" s="5"/>
      <c r="AY32" s="3"/>
      <c r="BD32">
        <v>99</v>
      </c>
      <c r="BO32" s="8"/>
      <c r="BP32" s="8"/>
      <c r="BV32"/>
      <c r="BW32"/>
      <c r="BX32"/>
      <c r="BY32"/>
      <c r="BZ32"/>
      <c r="CA32"/>
      <c r="CB32" s="3"/>
      <c r="CC32" s="3"/>
      <c r="CD32" s="3"/>
      <c r="CE32" s="3"/>
      <c r="CF32" s="3"/>
      <c r="CH32" s="3"/>
      <c r="CI32" s="3"/>
      <c r="CJ32" s="3"/>
      <c r="CK32" s="3"/>
      <c r="CL32" s="3"/>
      <c r="CM32" s="11"/>
      <c r="CN32" s="12" t="s">
        <v>604</v>
      </c>
      <c r="CO32">
        <v>0.28000000000000003</v>
      </c>
      <c r="CR32">
        <v>99999</v>
      </c>
      <c r="DD32">
        <v>1</v>
      </c>
      <c r="DG32">
        <v>1</v>
      </c>
      <c r="DH32">
        <v>1</v>
      </c>
    </row>
    <row r="33" spans="1:103" x14ac:dyDescent="0.25">
      <c r="A33" t="s">
        <v>605</v>
      </c>
      <c r="C33" t="s">
        <v>530</v>
      </c>
      <c r="D33" t="s">
        <v>606</v>
      </c>
      <c r="E33" t="s">
        <v>607</v>
      </c>
      <c r="F33" t="s">
        <v>608</v>
      </c>
      <c r="G33">
        <v>3</v>
      </c>
      <c r="J33" t="s">
        <v>580</v>
      </c>
      <c r="K33" s="3" t="s">
        <v>581</v>
      </c>
      <c r="N33" s="3">
        <v>2</v>
      </c>
      <c r="AC33">
        <v>1</v>
      </c>
      <c r="AT33" s="5"/>
      <c r="AY33" s="3"/>
      <c r="BD33">
        <v>1</v>
      </c>
      <c r="BO33" s="8"/>
      <c r="BP33" s="8"/>
      <c r="BT33">
        <v>30</v>
      </c>
      <c r="BV33" s="4">
        <v>0</v>
      </c>
      <c r="BW33" s="4">
        <v>15</v>
      </c>
      <c r="BX33" s="4">
        <v>1</v>
      </c>
      <c r="BY33" s="4" t="s">
        <v>583</v>
      </c>
      <c r="CB33" s="3"/>
      <c r="CC33" s="3"/>
      <c r="CD33" s="3"/>
      <c r="CE33" s="3"/>
      <c r="CF33" s="3"/>
      <c r="CH33" s="3"/>
      <c r="CI33" s="3"/>
      <c r="CJ33" s="3"/>
      <c r="CK33" s="3"/>
      <c r="CL33" s="3"/>
      <c r="CM33" s="11"/>
      <c r="CN33" s="12" t="s">
        <v>609</v>
      </c>
      <c r="CO33" s="25" t="s">
        <v>610</v>
      </c>
      <c r="CR33">
        <v>30</v>
      </c>
    </row>
    <row r="34" spans="1:103" x14ac:dyDescent="0.25">
      <c r="AT34" s="6"/>
      <c r="AY34" s="3"/>
      <c r="BO34" s="8"/>
      <c r="BP34" s="8"/>
      <c r="CB34" s="3"/>
      <c r="CC34" s="3"/>
      <c r="CD34" s="3"/>
      <c r="CE34" s="3"/>
      <c r="CF34" s="3"/>
      <c r="CH34" s="3"/>
      <c r="CI34" s="3"/>
      <c r="CJ34" s="3"/>
      <c r="CK34" s="3"/>
      <c r="CL34" s="3"/>
      <c r="CM34" s="11"/>
      <c r="CN34" s="12"/>
      <c r="CO34" s="14"/>
    </row>
    <row r="35" spans="1:103" x14ac:dyDescent="0.25">
      <c r="A35" t="s">
        <v>611</v>
      </c>
      <c r="C35" t="s">
        <v>555</v>
      </c>
      <c r="AC35">
        <v>2</v>
      </c>
      <c r="AO35" t="s">
        <v>548</v>
      </c>
      <c r="AT35" t="s">
        <v>542</v>
      </c>
      <c r="AW35" s="7"/>
      <c r="AX35" t="s">
        <v>558</v>
      </c>
      <c r="AZ35">
        <v>1</v>
      </c>
      <c r="BD35">
        <v>1</v>
      </c>
      <c r="BO35" s="8"/>
      <c r="BP35" s="8"/>
      <c r="CB35" t="s">
        <v>76</v>
      </c>
      <c r="CG35" t="s">
        <v>551</v>
      </c>
      <c r="CM35" s="11"/>
      <c r="CN35" s="12"/>
      <c r="CY35" t="s">
        <v>612</v>
      </c>
    </row>
    <row r="36" spans="1:103" x14ac:dyDescent="0.25">
      <c r="A36" t="s">
        <v>613</v>
      </c>
      <c r="C36" t="s">
        <v>530</v>
      </c>
      <c r="K36" s="3" t="s">
        <v>533</v>
      </c>
      <c r="L36" s="3" t="s">
        <v>534</v>
      </c>
      <c r="AC36">
        <v>1</v>
      </c>
      <c r="AG36" t="s">
        <v>535</v>
      </c>
      <c r="AH36">
        <v>1</v>
      </c>
      <c r="AW36" s="7"/>
      <c r="AY36" s="3"/>
      <c r="BD36">
        <v>1</v>
      </c>
      <c r="BO36" s="8"/>
      <c r="BP36" s="8"/>
      <c r="BV36"/>
      <c r="BW36"/>
      <c r="BX36"/>
      <c r="BY36"/>
      <c r="BZ36"/>
      <c r="CA36"/>
      <c r="CB36" s="3"/>
      <c r="CC36" s="3"/>
      <c r="CD36" s="3"/>
      <c r="CE36" s="3"/>
      <c r="CF36" s="3"/>
      <c r="CH36" s="3"/>
      <c r="CI36" s="3"/>
      <c r="CJ36" s="3"/>
      <c r="CK36" s="3"/>
      <c r="CL36" s="3"/>
      <c r="CM36" s="11"/>
      <c r="CN36" s="12" t="s">
        <v>614</v>
      </c>
      <c r="CO36">
        <v>7.0000000000000007E-2</v>
      </c>
      <c r="CP36">
        <v>7.0000000000000007E-2</v>
      </c>
      <c r="CR36">
        <v>99999</v>
      </c>
    </row>
    <row r="37" spans="1:103" x14ac:dyDescent="0.25">
      <c r="A37" t="s">
        <v>615</v>
      </c>
      <c r="C37" t="s">
        <v>530</v>
      </c>
      <c r="D37" t="s">
        <v>616</v>
      </c>
      <c r="E37" t="s">
        <v>617</v>
      </c>
      <c r="F37" t="s">
        <v>618</v>
      </c>
      <c r="G37">
        <v>3</v>
      </c>
      <c r="J37" t="s">
        <v>580</v>
      </c>
      <c r="K37" s="3" t="s">
        <v>581</v>
      </c>
      <c r="AC37">
        <v>1</v>
      </c>
      <c r="AW37" s="7"/>
      <c r="AY37" s="3"/>
      <c r="BD37">
        <v>1</v>
      </c>
      <c r="BO37" s="8" t="s">
        <v>619</v>
      </c>
      <c r="BP37" s="8"/>
      <c r="BT37">
        <v>25</v>
      </c>
      <c r="BV37" s="4">
        <v>10</v>
      </c>
      <c r="BW37" s="4">
        <v>35</v>
      </c>
      <c r="BX37" s="4">
        <v>1</v>
      </c>
      <c r="BY37" s="4" t="s">
        <v>583</v>
      </c>
      <c r="CB37" s="3"/>
      <c r="CC37" s="3"/>
      <c r="CD37" s="3"/>
      <c r="CE37" s="3"/>
      <c r="CF37" s="3"/>
      <c r="CH37" s="3"/>
      <c r="CI37" s="3"/>
      <c r="CJ37" s="3"/>
      <c r="CK37" s="3"/>
      <c r="CL37" s="3"/>
      <c r="CM37" s="11"/>
      <c r="CN37" s="12" t="s">
        <v>620</v>
      </c>
      <c r="CO37">
        <v>0.8</v>
      </c>
      <c r="CR37">
        <v>25</v>
      </c>
    </row>
    <row r="38" spans="1:103" x14ac:dyDescent="0.25">
      <c r="A38" t="s">
        <v>619</v>
      </c>
      <c r="C38" t="s">
        <v>555</v>
      </c>
      <c r="O38" s="3" t="s">
        <v>620</v>
      </c>
      <c r="AC38">
        <v>2</v>
      </c>
      <c r="AO38" t="s">
        <v>548</v>
      </c>
      <c r="AT38" t="s">
        <v>542</v>
      </c>
      <c r="AW38" s="7"/>
      <c r="AX38" t="s">
        <v>550</v>
      </c>
      <c r="AZ38">
        <v>1</v>
      </c>
      <c r="BD38">
        <v>1</v>
      </c>
      <c r="BO38" s="8"/>
      <c r="BP38" s="8"/>
      <c r="CB38" t="s">
        <v>76</v>
      </c>
      <c r="CG38" t="s">
        <v>551</v>
      </c>
      <c r="CM38" s="11"/>
      <c r="CN38" s="12"/>
      <c r="CY38" t="s">
        <v>621</v>
      </c>
    </row>
    <row r="39" spans="1:103" x14ac:dyDescent="0.25">
      <c r="A39" t="s">
        <v>622</v>
      </c>
      <c r="C39" t="s">
        <v>530</v>
      </c>
      <c r="D39" t="s">
        <v>623</v>
      </c>
      <c r="E39" t="s">
        <v>624</v>
      </c>
      <c r="F39" t="s">
        <v>625</v>
      </c>
      <c r="G39">
        <v>3</v>
      </c>
      <c r="J39" t="s">
        <v>580</v>
      </c>
      <c r="K39" s="3" t="s">
        <v>581</v>
      </c>
      <c r="AC39">
        <v>1</v>
      </c>
      <c r="AW39" s="7"/>
      <c r="AY39" s="3"/>
      <c r="BD39">
        <v>1</v>
      </c>
      <c r="BO39" s="8" t="s">
        <v>626</v>
      </c>
      <c r="BP39" s="8"/>
      <c r="BT39">
        <v>30</v>
      </c>
      <c r="BV39" s="4">
        <v>12</v>
      </c>
      <c r="BW39" s="4">
        <v>25</v>
      </c>
      <c r="BX39" s="4">
        <v>1</v>
      </c>
      <c r="BY39" s="4" t="s">
        <v>627</v>
      </c>
      <c r="CB39" s="3"/>
      <c r="CC39" s="3"/>
      <c r="CD39" s="3"/>
      <c r="CE39" s="3"/>
      <c r="CF39" s="3"/>
      <c r="CH39" s="3"/>
      <c r="CI39" s="3"/>
      <c r="CJ39" s="3"/>
      <c r="CK39" s="3"/>
      <c r="CL39" s="3"/>
      <c r="CM39" s="11"/>
      <c r="CN39" s="12" t="s">
        <v>628</v>
      </c>
      <c r="CO39">
        <v>0.8</v>
      </c>
      <c r="CR39">
        <v>30</v>
      </c>
    </row>
    <row r="40" spans="1:103" x14ac:dyDescent="0.25">
      <c r="A40" t="s">
        <v>626</v>
      </c>
      <c r="C40" t="s">
        <v>540</v>
      </c>
      <c r="O40" t="s">
        <v>628</v>
      </c>
      <c r="AC40">
        <v>2</v>
      </c>
      <c r="AO40" t="s">
        <v>548</v>
      </c>
      <c r="AT40" t="s">
        <v>542</v>
      </c>
      <c r="AW40" s="7"/>
      <c r="AX40" t="s">
        <v>550</v>
      </c>
      <c r="AZ40">
        <v>1</v>
      </c>
      <c r="BD40">
        <v>1</v>
      </c>
      <c r="BO40" s="8"/>
      <c r="BP40" s="8"/>
      <c r="CB40" t="s">
        <v>629</v>
      </c>
      <c r="CG40" t="s">
        <v>551</v>
      </c>
      <c r="CM40" s="11"/>
      <c r="CN40" s="12"/>
      <c r="CY40" t="s">
        <v>630</v>
      </c>
    </row>
    <row r="41" spans="1:103" x14ac:dyDescent="0.25">
      <c r="O41"/>
      <c r="AW41" s="7"/>
      <c r="BO41" s="8"/>
      <c r="BP41" s="8"/>
      <c r="CM41" s="11"/>
      <c r="CN41" s="12"/>
    </row>
    <row r="42" spans="1:103" x14ac:dyDescent="0.25">
      <c r="A42" t="s">
        <v>631</v>
      </c>
      <c r="C42" t="s">
        <v>530</v>
      </c>
      <c r="AC42">
        <v>2</v>
      </c>
      <c r="AD42">
        <v>1</v>
      </c>
      <c r="AO42" t="s">
        <v>548</v>
      </c>
      <c r="AP42" t="s">
        <v>632</v>
      </c>
      <c r="AT42" t="s">
        <v>595</v>
      </c>
      <c r="AW42" s="7"/>
      <c r="AX42" t="s">
        <v>558</v>
      </c>
      <c r="AZ42">
        <v>1</v>
      </c>
      <c r="BD42">
        <v>1</v>
      </c>
      <c r="BO42" s="8"/>
      <c r="BP42" s="8"/>
      <c r="CB42" t="s">
        <v>76</v>
      </c>
      <c r="CG42" t="s">
        <v>551</v>
      </c>
      <c r="CH42" t="s">
        <v>633</v>
      </c>
      <c r="CI42" t="s">
        <v>598</v>
      </c>
      <c r="CJ42" t="s">
        <v>634</v>
      </c>
      <c r="CM42" s="11"/>
      <c r="CN42" s="12"/>
      <c r="CY42" t="s">
        <v>635</v>
      </c>
    </row>
    <row r="43" spans="1:103" ht="15" customHeight="1" x14ac:dyDescent="0.25">
      <c r="A43" t="s">
        <v>636</v>
      </c>
      <c r="C43" t="s">
        <v>530</v>
      </c>
      <c r="I43">
        <v>1</v>
      </c>
      <c r="K43" s="3" t="s">
        <v>533</v>
      </c>
      <c r="L43" s="3" t="s">
        <v>534</v>
      </c>
      <c r="AC43">
        <v>1</v>
      </c>
      <c r="AG43" t="s">
        <v>535</v>
      </c>
      <c r="AH43">
        <v>1</v>
      </c>
      <c r="AT43" s="5"/>
      <c r="AY43" s="3"/>
      <c r="BD43">
        <v>1</v>
      </c>
      <c r="BO43" s="8"/>
      <c r="BP43" s="8"/>
      <c r="BV43"/>
      <c r="BW43"/>
      <c r="BX43"/>
      <c r="BY43"/>
      <c r="BZ43"/>
      <c r="CA43"/>
      <c r="CB43" s="3"/>
      <c r="CC43" s="3"/>
      <c r="CD43" s="3"/>
      <c r="CE43" s="3"/>
      <c r="CF43" s="3"/>
      <c r="CH43" s="3"/>
      <c r="CI43" s="3"/>
      <c r="CJ43" s="3"/>
      <c r="CK43" s="3"/>
      <c r="CL43" s="3"/>
      <c r="CM43" s="11"/>
      <c r="CN43" s="12" t="s">
        <v>637</v>
      </c>
      <c r="CO43">
        <v>0.4</v>
      </c>
      <c r="CR43">
        <v>99999</v>
      </c>
    </row>
    <row r="44" spans="1:103" x14ac:dyDescent="0.25">
      <c r="A44" t="s">
        <v>638</v>
      </c>
      <c r="C44" t="s">
        <v>530</v>
      </c>
      <c r="D44" t="s">
        <v>639</v>
      </c>
      <c r="E44" t="s">
        <v>640</v>
      </c>
      <c r="F44" t="s">
        <v>641</v>
      </c>
      <c r="G44">
        <v>3</v>
      </c>
      <c r="J44" t="s">
        <v>580</v>
      </c>
      <c r="K44" s="3" t="s">
        <v>581</v>
      </c>
      <c r="AC44">
        <v>1</v>
      </c>
      <c r="AW44" s="7"/>
      <c r="AY44" s="3"/>
      <c r="BD44">
        <v>1</v>
      </c>
      <c r="BO44" s="8" t="s">
        <v>642</v>
      </c>
      <c r="BP44" s="8"/>
      <c r="BT44">
        <v>20</v>
      </c>
      <c r="BV44" s="4">
        <v>10</v>
      </c>
      <c r="BW44" s="4">
        <v>20</v>
      </c>
      <c r="BX44" s="4">
        <v>1</v>
      </c>
      <c r="BY44" s="4" t="s">
        <v>583</v>
      </c>
      <c r="CB44" s="3"/>
      <c r="CC44" s="3"/>
      <c r="CD44" s="3"/>
      <c r="CE44" s="3"/>
      <c r="CF44" s="3"/>
      <c r="CH44" s="3"/>
      <c r="CI44" s="3"/>
      <c r="CJ44" s="3"/>
      <c r="CK44" s="3"/>
      <c r="CL44" s="3"/>
      <c r="CM44" s="11"/>
      <c r="CN44" s="12" t="s">
        <v>643</v>
      </c>
      <c r="CO44">
        <v>0.45</v>
      </c>
      <c r="CR44">
        <v>20</v>
      </c>
    </row>
    <row r="45" spans="1:103" x14ac:dyDescent="0.25">
      <c r="A45" t="s">
        <v>642</v>
      </c>
      <c r="C45" t="s">
        <v>530</v>
      </c>
      <c r="O45" t="s">
        <v>643</v>
      </c>
      <c r="AC45">
        <v>2</v>
      </c>
      <c r="AD45">
        <v>1</v>
      </c>
      <c r="AO45" t="s">
        <v>548</v>
      </c>
      <c r="AP45" t="s">
        <v>632</v>
      </c>
      <c r="AT45" t="s">
        <v>595</v>
      </c>
      <c r="AW45" s="7"/>
      <c r="AX45" t="s">
        <v>558</v>
      </c>
      <c r="AZ45">
        <v>1</v>
      </c>
      <c r="BD45">
        <v>2</v>
      </c>
      <c r="BO45" s="8"/>
      <c r="BP45" s="8"/>
      <c r="CB45" t="s">
        <v>76</v>
      </c>
      <c r="CG45" t="s">
        <v>551</v>
      </c>
      <c r="CH45" t="s">
        <v>633</v>
      </c>
      <c r="CI45" t="s">
        <v>598</v>
      </c>
      <c r="CJ45" t="s">
        <v>634</v>
      </c>
      <c r="CM45" s="11"/>
      <c r="CN45" s="12"/>
      <c r="CY45" t="s">
        <v>635</v>
      </c>
    </row>
    <row r="46" spans="1:103" x14ac:dyDescent="0.25">
      <c r="AT46" s="5"/>
      <c r="BO46" s="8"/>
      <c r="BP46" s="8"/>
      <c r="CM46" s="11"/>
      <c r="CN46" s="12"/>
    </row>
    <row r="47" spans="1:103" x14ac:dyDescent="0.25">
      <c r="A47" t="s">
        <v>644</v>
      </c>
      <c r="C47" t="s">
        <v>540</v>
      </c>
      <c r="AC47">
        <v>2</v>
      </c>
      <c r="AO47" t="s">
        <v>548</v>
      </c>
      <c r="AT47" s="5" t="s">
        <v>557</v>
      </c>
      <c r="AX47" t="s">
        <v>558</v>
      </c>
      <c r="AZ47">
        <v>1.1000000000000001</v>
      </c>
      <c r="BD47">
        <v>1</v>
      </c>
      <c r="BO47" s="8"/>
      <c r="BP47" s="8"/>
      <c r="CB47" t="s">
        <v>76</v>
      </c>
      <c r="CG47" t="s">
        <v>551</v>
      </c>
      <c r="CJ47" t="s">
        <v>645</v>
      </c>
      <c r="CM47" s="11"/>
      <c r="CN47" s="12"/>
      <c r="CW47" t="s">
        <v>646</v>
      </c>
      <c r="CY47" t="s">
        <v>647</v>
      </c>
    </row>
    <row r="48" spans="1:103" ht="15" customHeight="1" x14ac:dyDescent="0.25">
      <c r="A48" t="s">
        <v>648</v>
      </c>
      <c r="C48" t="s">
        <v>530</v>
      </c>
      <c r="I48">
        <v>1</v>
      </c>
      <c r="K48" s="3" t="s">
        <v>533</v>
      </c>
      <c r="L48" s="3" t="s">
        <v>534</v>
      </c>
      <c r="AC48">
        <v>1</v>
      </c>
      <c r="AG48" t="s">
        <v>535</v>
      </c>
      <c r="AH48">
        <v>1</v>
      </c>
      <c r="AT48" s="5"/>
      <c r="AY48" s="3"/>
      <c r="BD48">
        <v>1</v>
      </c>
      <c r="BO48" s="8"/>
      <c r="BP48" s="8"/>
      <c r="BV48"/>
      <c r="BW48"/>
      <c r="BX48"/>
      <c r="BY48"/>
      <c r="BZ48"/>
      <c r="CA48"/>
      <c r="CB48" s="3"/>
      <c r="CC48" s="3"/>
      <c r="CD48" s="3"/>
      <c r="CE48" s="3"/>
      <c r="CF48" s="3"/>
      <c r="CH48" s="3"/>
      <c r="CI48" s="3"/>
      <c r="CJ48" s="3"/>
      <c r="CK48" s="3"/>
      <c r="CL48" s="3"/>
      <c r="CM48" s="11"/>
      <c r="CN48" s="12" t="s">
        <v>649</v>
      </c>
      <c r="CO48" t="s">
        <v>650</v>
      </c>
      <c r="CR48">
        <v>99999</v>
      </c>
    </row>
    <row r="49" spans="1:112" x14ac:dyDescent="0.25">
      <c r="A49" t="s">
        <v>651</v>
      </c>
      <c r="C49" t="s">
        <v>540</v>
      </c>
      <c r="D49" t="s">
        <v>652</v>
      </c>
      <c r="E49" t="s">
        <v>653</v>
      </c>
      <c r="F49" t="s">
        <v>654</v>
      </c>
      <c r="G49">
        <v>3</v>
      </c>
      <c r="J49" t="s">
        <v>580</v>
      </c>
      <c r="K49" s="3" t="s">
        <v>583</v>
      </c>
      <c r="AC49">
        <v>2</v>
      </c>
      <c r="AO49" t="s">
        <v>548</v>
      </c>
      <c r="AT49" s="5" t="s">
        <v>557</v>
      </c>
      <c r="AX49" t="s">
        <v>558</v>
      </c>
      <c r="AZ49">
        <v>2.5299999999999998</v>
      </c>
      <c r="BD49">
        <v>1</v>
      </c>
      <c r="BO49" s="8"/>
      <c r="BP49" s="8"/>
      <c r="BT49">
        <v>0.2</v>
      </c>
      <c r="BV49" s="4">
        <v>0</v>
      </c>
      <c r="BW49" s="4">
        <v>3</v>
      </c>
      <c r="BX49" s="4">
        <v>1</v>
      </c>
      <c r="BY49" s="4" t="s">
        <v>655</v>
      </c>
      <c r="CB49" t="s">
        <v>76</v>
      </c>
      <c r="CG49" t="s">
        <v>551</v>
      </c>
      <c r="CJ49" t="s">
        <v>645</v>
      </c>
      <c r="CM49" s="11"/>
      <c r="CN49" s="12"/>
      <c r="CW49" t="s">
        <v>646</v>
      </c>
      <c r="CY49" t="s">
        <v>647</v>
      </c>
    </row>
    <row r="50" spans="1:112" x14ac:dyDescent="0.25">
      <c r="A50" t="s">
        <v>656</v>
      </c>
      <c r="C50" t="s">
        <v>555</v>
      </c>
      <c r="D50" t="s">
        <v>657</v>
      </c>
      <c r="E50" t="s">
        <v>658</v>
      </c>
      <c r="F50" t="s">
        <v>659</v>
      </c>
      <c r="G50">
        <v>3</v>
      </c>
      <c r="J50" t="s">
        <v>580</v>
      </c>
      <c r="K50" s="3" t="s">
        <v>581</v>
      </c>
      <c r="AB50">
        <v>1</v>
      </c>
      <c r="AC50">
        <v>2</v>
      </c>
      <c r="AO50" t="s">
        <v>548</v>
      </c>
      <c r="AT50" s="5" t="s">
        <v>660</v>
      </c>
      <c r="AX50" t="s">
        <v>558</v>
      </c>
      <c r="AZ50">
        <v>4.4000000000000004</v>
      </c>
      <c r="BD50">
        <v>5</v>
      </c>
      <c r="BO50" s="8"/>
      <c r="BP50" s="8"/>
      <c r="BT50">
        <v>0.2</v>
      </c>
      <c r="BV50" s="4">
        <v>0</v>
      </c>
      <c r="BW50" s="4">
        <v>17</v>
      </c>
      <c r="BX50" s="4">
        <v>1</v>
      </c>
      <c r="BY50" s="4" t="s">
        <v>655</v>
      </c>
      <c r="CB50" t="s">
        <v>661</v>
      </c>
      <c r="CG50" t="s">
        <v>551</v>
      </c>
      <c r="CJ50" t="s">
        <v>645</v>
      </c>
      <c r="CM50" s="11"/>
      <c r="CN50" s="12"/>
      <c r="CX50" t="s">
        <v>662</v>
      </c>
      <c r="CY50" t="s">
        <v>647</v>
      </c>
    </row>
    <row r="51" spans="1:112" x14ac:dyDescent="0.25">
      <c r="AT51" s="5"/>
      <c r="BO51" s="8"/>
      <c r="BP51" s="8"/>
      <c r="CM51" s="11"/>
      <c r="CN51" s="12"/>
    </row>
    <row r="52" spans="1:112" x14ac:dyDescent="0.25">
      <c r="A52" t="s">
        <v>208</v>
      </c>
      <c r="C52" t="s">
        <v>530</v>
      </c>
      <c r="P52" t="s">
        <v>663</v>
      </c>
      <c r="AC52">
        <v>2</v>
      </c>
      <c r="AD52">
        <v>1</v>
      </c>
      <c r="AO52" t="s">
        <v>548</v>
      </c>
      <c r="AT52" s="5" t="s">
        <v>664</v>
      </c>
      <c r="AX52" t="s">
        <v>550</v>
      </c>
      <c r="AZ52">
        <v>1</v>
      </c>
      <c r="BD52">
        <v>1</v>
      </c>
      <c r="BO52" s="8" t="s">
        <v>665</v>
      </c>
      <c r="BP52" s="8"/>
      <c r="CB52" t="s">
        <v>76</v>
      </c>
      <c r="CG52" t="s">
        <v>551</v>
      </c>
      <c r="CH52" t="s">
        <v>666</v>
      </c>
      <c r="CI52" t="s">
        <v>598</v>
      </c>
      <c r="CM52" s="11"/>
      <c r="CN52" s="12" t="s">
        <v>667</v>
      </c>
      <c r="CR52">
        <v>1</v>
      </c>
      <c r="CS52">
        <v>0.5</v>
      </c>
      <c r="CY52" t="s">
        <v>668</v>
      </c>
    </row>
    <row r="53" spans="1:112" x14ac:dyDescent="0.25">
      <c r="A53" t="s">
        <v>665</v>
      </c>
      <c r="C53" t="s">
        <v>530</v>
      </c>
      <c r="I53">
        <v>1</v>
      </c>
      <c r="Q53" s="3" t="s">
        <v>667</v>
      </c>
      <c r="AC53">
        <v>2</v>
      </c>
      <c r="AD53">
        <v>1</v>
      </c>
      <c r="AT53" s="5"/>
      <c r="AV53">
        <v>20</v>
      </c>
      <c r="AY53" s="3"/>
      <c r="BD53">
        <v>1</v>
      </c>
      <c r="BO53" s="8"/>
      <c r="BP53" s="8" t="s">
        <v>669</v>
      </c>
      <c r="BV53"/>
      <c r="BW53"/>
      <c r="BX53"/>
      <c r="BY53"/>
      <c r="BZ53"/>
      <c r="CA53"/>
      <c r="CB53" s="3"/>
      <c r="CC53" s="3"/>
      <c r="CD53" s="3"/>
      <c r="CE53" s="3"/>
      <c r="CF53" s="3"/>
      <c r="CH53" s="3"/>
      <c r="CI53" s="3"/>
      <c r="CJ53" s="3"/>
      <c r="CK53" s="3"/>
      <c r="CL53" s="3"/>
      <c r="CM53" s="11" t="s">
        <v>667</v>
      </c>
      <c r="CN53" s="12"/>
      <c r="DD53">
        <v>1</v>
      </c>
      <c r="DG53">
        <v>1</v>
      </c>
      <c r="DH53">
        <v>1</v>
      </c>
    </row>
    <row r="54" spans="1:112" x14ac:dyDescent="0.25">
      <c r="A54" t="s">
        <v>669</v>
      </c>
      <c r="C54" t="s">
        <v>670</v>
      </c>
      <c r="I54">
        <v>1</v>
      </c>
      <c r="K54" s="3" t="s">
        <v>533</v>
      </c>
      <c r="AC54">
        <v>1</v>
      </c>
      <c r="AG54" t="s">
        <v>535</v>
      </c>
      <c r="AT54" s="5"/>
      <c r="AY54" s="3"/>
      <c r="BD54">
        <v>1</v>
      </c>
      <c r="BO54" s="8"/>
      <c r="BP54" s="8"/>
      <c r="BV54"/>
      <c r="BW54"/>
      <c r="BX54"/>
      <c r="BY54"/>
      <c r="BZ54"/>
      <c r="CA54"/>
      <c r="CB54" s="3"/>
      <c r="CC54" s="3"/>
      <c r="CD54" s="3"/>
      <c r="CE54" s="3"/>
      <c r="CF54" s="3"/>
      <c r="CH54" s="3"/>
      <c r="CI54" s="3"/>
      <c r="CJ54" s="3"/>
      <c r="CK54" s="3"/>
      <c r="CL54" s="3"/>
      <c r="CM54" s="11"/>
      <c r="CN54" s="12"/>
      <c r="CU54" t="s">
        <v>671</v>
      </c>
    </row>
    <row r="55" spans="1:112" x14ac:dyDescent="0.25">
      <c r="A55" t="s">
        <v>672</v>
      </c>
      <c r="C55" t="s">
        <v>530</v>
      </c>
      <c r="D55" t="s">
        <v>673</v>
      </c>
      <c r="E55" t="s">
        <v>674</v>
      </c>
      <c r="F55" t="s">
        <v>675</v>
      </c>
      <c r="G55">
        <v>3</v>
      </c>
      <c r="J55" t="s">
        <v>580</v>
      </c>
      <c r="K55" s="3" t="s">
        <v>581</v>
      </c>
      <c r="AC55">
        <v>1</v>
      </c>
      <c r="AT55" s="5"/>
      <c r="AY55" s="3"/>
      <c r="BD55">
        <v>1</v>
      </c>
      <c r="BO55" s="8" t="s">
        <v>676</v>
      </c>
      <c r="BP55" s="8"/>
      <c r="BT55">
        <v>60</v>
      </c>
      <c r="BV55" s="4">
        <v>50</v>
      </c>
      <c r="BW55" s="4">
        <v>80</v>
      </c>
      <c r="BX55" s="4">
        <v>1</v>
      </c>
      <c r="BY55" s="4" t="s">
        <v>583</v>
      </c>
      <c r="CB55" s="3"/>
      <c r="CC55" s="3"/>
      <c r="CD55" s="3"/>
      <c r="CE55" s="3"/>
      <c r="CF55" s="3"/>
      <c r="CH55" s="3"/>
      <c r="CI55" s="3"/>
      <c r="CJ55" s="3"/>
      <c r="CK55" s="3"/>
      <c r="CL55" s="3"/>
      <c r="CM55" s="11"/>
      <c r="CN55" s="12" t="s">
        <v>663</v>
      </c>
      <c r="CR55">
        <v>60</v>
      </c>
    </row>
    <row r="56" spans="1:112" ht="15" customHeight="1" x14ac:dyDescent="0.25">
      <c r="A56" t="s">
        <v>677</v>
      </c>
      <c r="C56" t="s">
        <v>530</v>
      </c>
      <c r="I56">
        <v>1</v>
      </c>
      <c r="K56" s="3" t="s">
        <v>533</v>
      </c>
      <c r="L56" s="3" t="s">
        <v>534</v>
      </c>
      <c r="AC56">
        <v>1</v>
      </c>
      <c r="AG56" t="s">
        <v>535</v>
      </c>
      <c r="AH56">
        <v>1</v>
      </c>
      <c r="AT56" s="5"/>
      <c r="AY56" s="3"/>
      <c r="BD56">
        <v>1</v>
      </c>
      <c r="BO56" s="8"/>
      <c r="BP56" s="8"/>
      <c r="BV56"/>
      <c r="BW56"/>
      <c r="BX56"/>
      <c r="BY56"/>
      <c r="BZ56"/>
      <c r="CA56"/>
      <c r="CB56" s="3"/>
      <c r="CC56" s="3"/>
      <c r="CD56" s="3"/>
      <c r="CE56" s="3"/>
      <c r="CF56" s="3"/>
      <c r="CH56" s="3"/>
      <c r="CI56" s="3"/>
      <c r="CJ56" s="3"/>
      <c r="CK56" s="3"/>
      <c r="CL56" s="3"/>
      <c r="CM56" s="11"/>
      <c r="CN56" s="12" t="s">
        <v>678</v>
      </c>
      <c r="CR56">
        <v>99999</v>
      </c>
    </row>
    <row r="57" spans="1:112" x14ac:dyDescent="0.25">
      <c r="A57" t="s">
        <v>679</v>
      </c>
      <c r="C57" t="s">
        <v>530</v>
      </c>
      <c r="O57" t="s">
        <v>663</v>
      </c>
      <c r="AC57">
        <v>2</v>
      </c>
      <c r="AD57">
        <v>1</v>
      </c>
      <c r="AO57" t="s">
        <v>548</v>
      </c>
      <c r="AT57" s="5" t="s">
        <v>664</v>
      </c>
      <c r="AX57" t="s">
        <v>550</v>
      </c>
      <c r="AZ57">
        <v>1</v>
      </c>
      <c r="BD57">
        <v>1</v>
      </c>
      <c r="BO57" s="8"/>
      <c r="BP57" s="8" t="s">
        <v>680</v>
      </c>
      <c r="CB57" t="s">
        <v>76</v>
      </c>
      <c r="CG57" t="s">
        <v>551</v>
      </c>
      <c r="CH57" t="s">
        <v>666</v>
      </c>
      <c r="CI57" t="s">
        <v>598</v>
      </c>
      <c r="CM57" s="11"/>
      <c r="CN57" s="12"/>
      <c r="CY57" t="s">
        <v>668</v>
      </c>
    </row>
    <row r="58" spans="1:112" x14ac:dyDescent="0.25">
      <c r="A58" t="s">
        <v>680</v>
      </c>
      <c r="C58" t="s">
        <v>530</v>
      </c>
      <c r="I58">
        <v>1</v>
      </c>
      <c r="K58" s="3" t="s">
        <v>533</v>
      </c>
      <c r="AC58">
        <v>1</v>
      </c>
      <c r="AO58" t="s">
        <v>594</v>
      </c>
      <c r="AT58" s="5" t="s">
        <v>664</v>
      </c>
      <c r="AY58">
        <v>1</v>
      </c>
      <c r="AZ58">
        <v>1</v>
      </c>
      <c r="BD58">
        <v>2</v>
      </c>
      <c r="BO58" s="8"/>
      <c r="BP58" s="8"/>
      <c r="CH58" t="s">
        <v>681</v>
      </c>
      <c r="CI58" t="s">
        <v>598</v>
      </c>
      <c r="CM58" s="11"/>
      <c r="CN58" s="12"/>
      <c r="CY58" t="s">
        <v>682</v>
      </c>
    </row>
    <row r="59" spans="1:112" x14ac:dyDescent="0.25">
      <c r="A59" t="s">
        <v>683</v>
      </c>
      <c r="C59" t="s">
        <v>530</v>
      </c>
      <c r="D59" t="s">
        <v>684</v>
      </c>
      <c r="E59" t="s">
        <v>685</v>
      </c>
      <c r="F59" t="s">
        <v>686</v>
      </c>
      <c r="G59">
        <v>3</v>
      </c>
      <c r="J59" t="s">
        <v>580</v>
      </c>
      <c r="K59" s="3" t="s">
        <v>581</v>
      </c>
      <c r="P59"/>
      <c r="AC59">
        <v>2</v>
      </c>
      <c r="AD59">
        <v>1</v>
      </c>
      <c r="AO59" t="s">
        <v>548</v>
      </c>
      <c r="AT59" s="5" t="s">
        <v>664</v>
      </c>
      <c r="BD59">
        <v>5</v>
      </c>
      <c r="BO59" s="8" t="s">
        <v>687</v>
      </c>
      <c r="BP59" s="8"/>
      <c r="BT59">
        <v>0.2</v>
      </c>
      <c r="BV59" s="4">
        <v>0</v>
      </c>
      <c r="BW59" s="4">
        <v>20</v>
      </c>
      <c r="BX59" s="4">
        <v>1</v>
      </c>
      <c r="BY59" s="4" t="s">
        <v>583</v>
      </c>
      <c r="CB59" t="s">
        <v>76</v>
      </c>
      <c r="CG59" t="s">
        <v>551</v>
      </c>
      <c r="CM59" s="11"/>
      <c r="CN59" s="12" t="s">
        <v>688</v>
      </c>
      <c r="CO59">
        <v>-0.6</v>
      </c>
      <c r="CP59">
        <v>600</v>
      </c>
      <c r="CR59">
        <v>10</v>
      </c>
      <c r="CX59" t="s">
        <v>662</v>
      </c>
    </row>
    <row r="60" spans="1:112" ht="15" customHeight="1" x14ac:dyDescent="0.25">
      <c r="A60" t="s">
        <v>687</v>
      </c>
      <c r="C60" t="s">
        <v>530</v>
      </c>
      <c r="I60">
        <v>1</v>
      </c>
      <c r="K60" s="3" t="s">
        <v>533</v>
      </c>
      <c r="L60" s="3" t="s">
        <v>534</v>
      </c>
      <c r="AC60">
        <v>1</v>
      </c>
      <c r="AG60" t="s">
        <v>535</v>
      </c>
      <c r="AH60">
        <v>1</v>
      </c>
      <c r="AT60" s="5"/>
      <c r="AY60" s="3"/>
      <c r="BD60">
        <v>1</v>
      </c>
      <c r="BO60" s="8"/>
      <c r="BP60" s="8"/>
      <c r="BV60"/>
      <c r="BW60"/>
      <c r="BX60"/>
      <c r="BY60"/>
      <c r="BZ60"/>
      <c r="CA60"/>
      <c r="CB60" s="3"/>
      <c r="CC60" s="3"/>
      <c r="CD60" s="3"/>
      <c r="CE60" s="3"/>
      <c r="CF60" s="3"/>
      <c r="CH60" s="3"/>
      <c r="CI60" s="3"/>
      <c r="CJ60" s="3"/>
      <c r="CK60" s="3"/>
      <c r="CL60" s="3"/>
      <c r="CM60" s="11"/>
      <c r="CN60" s="12" t="s">
        <v>689</v>
      </c>
      <c r="CO60">
        <v>0.23</v>
      </c>
      <c r="CR60">
        <v>99999</v>
      </c>
    </row>
    <row r="61" spans="1:112" x14ac:dyDescent="0.25">
      <c r="AT61" s="5"/>
      <c r="BO61" s="8"/>
      <c r="BP61" s="8"/>
      <c r="CL61" s="3"/>
      <c r="CM61" s="11"/>
      <c r="CN61" s="12"/>
    </row>
    <row r="62" spans="1:112" x14ac:dyDescent="0.25">
      <c r="A62" t="s">
        <v>690</v>
      </c>
      <c r="C62" t="s">
        <v>555</v>
      </c>
      <c r="P62" t="s">
        <v>691</v>
      </c>
      <c r="AC62">
        <v>2</v>
      </c>
      <c r="AO62" t="s">
        <v>548</v>
      </c>
      <c r="AT62" s="5" t="s">
        <v>557</v>
      </c>
      <c r="AX62" t="s">
        <v>558</v>
      </c>
      <c r="AZ62">
        <v>1</v>
      </c>
      <c r="BD62">
        <v>1</v>
      </c>
      <c r="BO62" s="8"/>
      <c r="BP62" s="8"/>
      <c r="BV62"/>
      <c r="CB62" t="s">
        <v>692</v>
      </c>
      <c r="CD62" t="s">
        <v>693</v>
      </c>
      <c r="CG62" t="s">
        <v>551</v>
      </c>
      <c r="CL62" s="3"/>
      <c r="CM62" s="11"/>
      <c r="CN62" s="12"/>
      <c r="CW62" t="s">
        <v>694</v>
      </c>
      <c r="CY62" t="s">
        <v>695</v>
      </c>
    </row>
    <row r="63" spans="1:112" ht="15" customHeight="1" x14ac:dyDescent="0.25">
      <c r="A63" t="s">
        <v>696</v>
      </c>
      <c r="C63" t="s">
        <v>530</v>
      </c>
      <c r="I63">
        <v>1</v>
      </c>
      <c r="AC63">
        <v>1</v>
      </c>
      <c r="AI63" t="s">
        <v>217</v>
      </c>
      <c r="AT63" s="5"/>
      <c r="AV63">
        <v>20</v>
      </c>
      <c r="AY63" s="3"/>
      <c r="BD63">
        <v>99</v>
      </c>
      <c r="BO63" s="8"/>
      <c r="BP63" s="8"/>
      <c r="BS63">
        <v>0.1</v>
      </c>
      <c r="BV63"/>
      <c r="BW63"/>
      <c r="BX63"/>
      <c r="BY63"/>
      <c r="BZ63"/>
      <c r="CA63"/>
      <c r="CB63" s="3"/>
      <c r="CC63" s="3"/>
      <c r="CD63" s="3"/>
      <c r="CE63" s="3"/>
      <c r="CF63" s="3"/>
      <c r="CH63" s="3"/>
      <c r="CI63" s="3"/>
      <c r="CJ63" s="3"/>
      <c r="CK63" s="3"/>
      <c r="CL63" s="3"/>
      <c r="CM63" s="11"/>
      <c r="CN63" s="12" t="s">
        <v>697</v>
      </c>
      <c r="CR63">
        <v>0.2</v>
      </c>
      <c r="DD63">
        <v>1</v>
      </c>
      <c r="DG63">
        <v>1</v>
      </c>
      <c r="DH63">
        <v>1</v>
      </c>
    </row>
    <row r="64" spans="1:112" x14ac:dyDescent="0.25">
      <c r="A64" t="s">
        <v>698</v>
      </c>
      <c r="C64" t="s">
        <v>530</v>
      </c>
      <c r="D64" t="s">
        <v>699</v>
      </c>
      <c r="E64" t="s">
        <v>700</v>
      </c>
      <c r="F64" t="s">
        <v>701</v>
      </c>
      <c r="G64">
        <v>3</v>
      </c>
      <c r="J64" t="s">
        <v>580</v>
      </c>
      <c r="K64" s="3" t="s">
        <v>581</v>
      </c>
      <c r="AC64">
        <v>1</v>
      </c>
      <c r="AT64" s="5"/>
      <c r="AY64" s="3"/>
      <c r="BD64">
        <v>1</v>
      </c>
      <c r="BO64" s="8" t="s">
        <v>702</v>
      </c>
      <c r="BP64" s="8"/>
      <c r="BT64">
        <v>30</v>
      </c>
      <c r="BV64" s="4">
        <v>50</v>
      </c>
      <c r="BW64" s="4">
        <v>70</v>
      </c>
      <c r="BX64" s="4">
        <v>1</v>
      </c>
      <c r="BY64" s="4" t="s">
        <v>583</v>
      </c>
      <c r="CB64" s="3"/>
      <c r="CC64" s="3"/>
      <c r="CD64" s="3"/>
      <c r="CE64" s="3"/>
      <c r="CF64" s="3"/>
      <c r="CH64" s="3"/>
      <c r="CI64" s="3"/>
      <c r="CK64" s="3"/>
      <c r="CL64" s="3"/>
      <c r="CM64" s="11"/>
      <c r="CN64" s="12" t="s">
        <v>691</v>
      </c>
      <c r="CO64" t="s">
        <v>703</v>
      </c>
      <c r="CR64">
        <v>30</v>
      </c>
    </row>
    <row r="65" spans="1:112" x14ac:dyDescent="0.25">
      <c r="A65" t="s">
        <v>702</v>
      </c>
      <c r="C65" t="s">
        <v>540</v>
      </c>
      <c r="O65" t="s">
        <v>691</v>
      </c>
      <c r="AC65">
        <v>2</v>
      </c>
      <c r="AO65" t="s">
        <v>548</v>
      </c>
      <c r="AT65" s="5" t="s">
        <v>542</v>
      </c>
      <c r="AX65" t="s">
        <v>558</v>
      </c>
      <c r="AZ65">
        <v>1</v>
      </c>
      <c r="BD65">
        <v>1</v>
      </c>
      <c r="BO65" s="8"/>
      <c r="BP65" s="8"/>
      <c r="BV65"/>
      <c r="CB65" t="s">
        <v>584</v>
      </c>
      <c r="CG65" t="s">
        <v>551</v>
      </c>
      <c r="CL65" s="3"/>
      <c r="CM65" s="11"/>
      <c r="CN65" s="12"/>
      <c r="CW65" t="s">
        <v>646</v>
      </c>
      <c r="CY65" t="s">
        <v>647</v>
      </c>
    </row>
    <row r="66" spans="1:112" x14ac:dyDescent="0.25">
      <c r="O66"/>
      <c r="AT66" s="5"/>
      <c r="BO66" s="8"/>
      <c r="BP66" s="8"/>
      <c r="BV66"/>
      <c r="CL66" s="3"/>
      <c r="CM66" s="11"/>
      <c r="CN66" s="12"/>
    </row>
    <row r="67" spans="1:112" x14ac:dyDescent="0.25">
      <c r="A67" t="s">
        <v>704</v>
      </c>
      <c r="C67" t="s">
        <v>555</v>
      </c>
      <c r="AC67">
        <v>2</v>
      </c>
      <c r="AD67">
        <v>1</v>
      </c>
      <c r="AO67" t="s">
        <v>548</v>
      </c>
      <c r="AT67" s="5" t="s">
        <v>542</v>
      </c>
      <c r="AX67" t="s">
        <v>558</v>
      </c>
      <c r="AZ67">
        <v>1</v>
      </c>
      <c r="BD67">
        <v>1</v>
      </c>
      <c r="BO67" s="8" t="s">
        <v>705</v>
      </c>
      <c r="BP67" s="8"/>
      <c r="CB67" t="s">
        <v>76</v>
      </c>
      <c r="CD67" t="s">
        <v>706</v>
      </c>
      <c r="CG67" t="s">
        <v>551</v>
      </c>
      <c r="CM67" s="11"/>
      <c r="CN67" s="12"/>
      <c r="CY67" t="s">
        <v>707</v>
      </c>
    </row>
    <row r="68" spans="1:112" x14ac:dyDescent="0.25">
      <c r="A68" t="s">
        <v>705</v>
      </c>
      <c r="C68" t="s">
        <v>555</v>
      </c>
      <c r="Z68">
        <v>1</v>
      </c>
      <c r="AC68">
        <v>2</v>
      </c>
      <c r="AD68">
        <v>1</v>
      </c>
      <c r="AO68" t="s">
        <v>548</v>
      </c>
      <c r="AT68" s="5" t="s">
        <v>708</v>
      </c>
      <c r="AX68" t="s">
        <v>558</v>
      </c>
      <c r="AZ68">
        <v>1.3</v>
      </c>
      <c r="BD68">
        <v>1</v>
      </c>
      <c r="BO68" s="8"/>
      <c r="BP68" s="8"/>
      <c r="CB68" t="s">
        <v>76</v>
      </c>
      <c r="CD68" t="s">
        <v>706</v>
      </c>
      <c r="CG68" t="s">
        <v>551</v>
      </c>
      <c r="CM68" s="11"/>
      <c r="CN68" s="12"/>
      <c r="CY68" t="s">
        <v>707</v>
      </c>
    </row>
    <row r="69" spans="1:112" ht="15" customHeight="1" x14ac:dyDescent="0.25">
      <c r="A69" t="s">
        <v>709</v>
      </c>
      <c r="C69" t="s">
        <v>530</v>
      </c>
      <c r="I69">
        <v>1</v>
      </c>
      <c r="P69" s="3" t="s">
        <v>710</v>
      </c>
      <c r="AC69">
        <v>1</v>
      </c>
      <c r="AL69">
        <v>0</v>
      </c>
      <c r="AT69" s="5" t="s">
        <v>711</v>
      </c>
      <c r="AY69" s="3"/>
      <c r="BD69">
        <v>99</v>
      </c>
      <c r="BO69" s="8" t="s">
        <v>712</v>
      </c>
      <c r="BP69" s="8"/>
      <c r="BS69">
        <v>0.1</v>
      </c>
      <c r="BV69"/>
      <c r="BW69"/>
      <c r="BX69"/>
      <c r="BY69"/>
      <c r="BZ69"/>
      <c r="CA69"/>
      <c r="CB69" s="3"/>
      <c r="CC69" s="3"/>
      <c r="CD69" s="3"/>
      <c r="CE69" s="3"/>
      <c r="CF69" s="3"/>
      <c r="CH69" s="3"/>
      <c r="CI69" s="3"/>
      <c r="CJ69" s="3"/>
      <c r="CK69" s="3"/>
      <c r="CL69" s="3"/>
      <c r="CM69" s="11"/>
      <c r="CN69" s="12" t="s">
        <v>713</v>
      </c>
      <c r="CO69">
        <v>0.12</v>
      </c>
      <c r="CR69">
        <v>0.2</v>
      </c>
      <c r="DD69">
        <v>1</v>
      </c>
      <c r="DG69">
        <v>1</v>
      </c>
      <c r="DH69">
        <v>1</v>
      </c>
    </row>
    <row r="70" spans="1:112" ht="15" customHeight="1" x14ac:dyDescent="0.25">
      <c r="A70" t="s">
        <v>712</v>
      </c>
      <c r="C70" t="s">
        <v>530</v>
      </c>
      <c r="I70">
        <v>1</v>
      </c>
      <c r="AC70">
        <v>1</v>
      </c>
      <c r="AG70" t="s">
        <v>714</v>
      </c>
      <c r="AL70">
        <v>0</v>
      </c>
      <c r="AT70" s="5" t="s">
        <v>711</v>
      </c>
      <c r="AY70" s="3"/>
      <c r="BD70">
        <v>1</v>
      </c>
      <c r="BO70" s="8"/>
      <c r="BP70" s="8" t="s">
        <v>715</v>
      </c>
      <c r="BS70">
        <v>3</v>
      </c>
      <c r="BV70"/>
      <c r="BW70"/>
      <c r="BX70"/>
      <c r="BY70"/>
      <c r="BZ70"/>
      <c r="CA70"/>
      <c r="CB70" s="3"/>
      <c r="CC70" s="3"/>
      <c r="CD70" s="3"/>
      <c r="CE70" s="3"/>
      <c r="CF70" s="3"/>
      <c r="CH70" s="3"/>
      <c r="CI70" s="3"/>
      <c r="CJ70" s="3"/>
      <c r="CK70" s="3"/>
      <c r="CL70" s="3"/>
      <c r="CM70" s="11"/>
      <c r="CN70" s="12"/>
      <c r="DD70">
        <v>1</v>
      </c>
      <c r="DG70">
        <v>1</v>
      </c>
      <c r="DH70">
        <v>1</v>
      </c>
    </row>
    <row r="71" spans="1:112" x14ac:dyDescent="0.25">
      <c r="A71" t="s">
        <v>715</v>
      </c>
      <c r="C71" t="s">
        <v>670</v>
      </c>
      <c r="I71">
        <v>1</v>
      </c>
      <c r="K71" s="3" t="s">
        <v>533</v>
      </c>
      <c r="AC71">
        <v>1</v>
      </c>
      <c r="AG71" t="s">
        <v>535</v>
      </c>
      <c r="AT71" s="5"/>
      <c r="AY71" s="3"/>
      <c r="BD71">
        <v>1</v>
      </c>
      <c r="BO71" s="8"/>
      <c r="BP71" s="8"/>
      <c r="BV71"/>
      <c r="BW71"/>
      <c r="BX71"/>
      <c r="BY71"/>
      <c r="BZ71"/>
      <c r="CA71"/>
      <c r="CB71" s="3"/>
      <c r="CC71" s="3"/>
      <c r="CD71" s="3"/>
      <c r="CE71" s="3"/>
      <c r="CF71" s="3"/>
      <c r="CH71" s="3"/>
      <c r="CI71" s="3"/>
      <c r="CJ71" s="3"/>
      <c r="CK71" s="3"/>
      <c r="CL71" s="3"/>
      <c r="CM71" s="11"/>
      <c r="CN71" s="12"/>
      <c r="CU71" t="s">
        <v>671</v>
      </c>
    </row>
    <row r="72" spans="1:112" x14ac:dyDescent="0.25">
      <c r="A72" t="s">
        <v>716</v>
      </c>
      <c r="C72" t="s">
        <v>530</v>
      </c>
      <c r="D72" t="s">
        <v>717</v>
      </c>
      <c r="E72" t="s">
        <v>718</v>
      </c>
      <c r="F72" t="s">
        <v>719</v>
      </c>
      <c r="G72">
        <v>3</v>
      </c>
      <c r="J72" t="s">
        <v>580</v>
      </c>
      <c r="K72" s="3" t="s">
        <v>581</v>
      </c>
      <c r="AC72">
        <v>1</v>
      </c>
      <c r="AG72" t="s">
        <v>535</v>
      </c>
      <c r="AT72" s="5"/>
      <c r="AY72" s="3"/>
      <c r="BD72">
        <v>1</v>
      </c>
      <c r="BO72" s="8" t="s">
        <v>720</v>
      </c>
      <c r="BP72" s="8"/>
      <c r="BT72">
        <v>35</v>
      </c>
      <c r="BV72" s="4">
        <v>20</v>
      </c>
      <c r="BW72" s="4">
        <v>40</v>
      </c>
      <c r="BX72" s="4">
        <v>1</v>
      </c>
      <c r="BY72" s="4" t="s">
        <v>583</v>
      </c>
      <c r="CB72" s="3"/>
      <c r="CC72" s="3"/>
      <c r="CD72" s="3"/>
      <c r="CE72" s="3"/>
      <c r="CF72" s="3"/>
      <c r="CH72" s="3"/>
      <c r="CI72" s="3"/>
      <c r="CK72" s="3"/>
      <c r="CL72" s="3"/>
      <c r="CM72" s="11"/>
      <c r="CN72" s="12" t="s">
        <v>721</v>
      </c>
      <c r="CR72">
        <v>35</v>
      </c>
    </row>
    <row r="73" spans="1:112" ht="15" customHeight="1" x14ac:dyDescent="0.25">
      <c r="A73" t="s">
        <v>720</v>
      </c>
      <c r="C73" t="s">
        <v>530</v>
      </c>
      <c r="I73">
        <v>1</v>
      </c>
      <c r="O73" s="3" t="s">
        <v>721</v>
      </c>
      <c r="AC73">
        <v>1</v>
      </c>
      <c r="AL73">
        <v>0</v>
      </c>
      <c r="AT73" s="5" t="s">
        <v>722</v>
      </c>
      <c r="AY73" s="3"/>
      <c r="BD73">
        <v>99</v>
      </c>
      <c r="BO73" s="8"/>
      <c r="BP73" s="8"/>
      <c r="BS73">
        <v>0.1</v>
      </c>
      <c r="BV73"/>
      <c r="BW73"/>
      <c r="BX73"/>
      <c r="BY73"/>
      <c r="BZ73"/>
      <c r="CA73"/>
      <c r="CB73" s="3"/>
      <c r="CC73" s="3"/>
      <c r="CD73" s="3"/>
      <c r="CE73" s="3"/>
      <c r="CF73" s="3"/>
      <c r="CH73" s="3"/>
      <c r="CI73" s="3"/>
      <c r="CJ73" s="3"/>
      <c r="CK73" s="3"/>
      <c r="CL73" s="3"/>
      <c r="CM73" s="11"/>
      <c r="CN73" s="12" t="s">
        <v>713</v>
      </c>
      <c r="CO73">
        <v>0.24</v>
      </c>
      <c r="CR73">
        <v>0.2</v>
      </c>
      <c r="DD73">
        <v>1</v>
      </c>
      <c r="DG73">
        <v>1</v>
      </c>
      <c r="DH73">
        <v>1</v>
      </c>
    </row>
    <row r="74" spans="1:112" x14ac:dyDescent="0.25">
      <c r="A74" t="s">
        <v>723</v>
      </c>
      <c r="C74" t="s">
        <v>530</v>
      </c>
      <c r="D74" t="s">
        <v>724</v>
      </c>
      <c r="E74" t="s">
        <v>725</v>
      </c>
      <c r="F74" t="s">
        <v>726</v>
      </c>
      <c r="G74">
        <v>3</v>
      </c>
      <c r="J74" t="s">
        <v>580</v>
      </c>
      <c r="K74" s="3" t="s">
        <v>581</v>
      </c>
      <c r="AC74">
        <v>1</v>
      </c>
      <c r="AG74" t="s">
        <v>535</v>
      </c>
      <c r="AT74" s="5"/>
      <c r="AY74" s="3"/>
      <c r="BD74">
        <v>1</v>
      </c>
      <c r="BO74" s="8" t="s">
        <v>727</v>
      </c>
      <c r="BP74" s="8"/>
      <c r="BT74">
        <v>30</v>
      </c>
      <c r="BV74" s="4">
        <v>20</v>
      </c>
      <c r="BW74" s="4">
        <v>45</v>
      </c>
      <c r="BX74" s="4">
        <v>1</v>
      </c>
      <c r="BY74" s="4" t="s">
        <v>655</v>
      </c>
      <c r="CB74" s="3"/>
      <c r="CC74" s="3"/>
      <c r="CD74" s="3"/>
      <c r="CE74" s="3"/>
      <c r="CF74" s="3"/>
      <c r="CH74" s="3"/>
      <c r="CI74" s="3"/>
      <c r="CK74" s="3"/>
      <c r="CL74" s="3"/>
      <c r="CM74" s="11"/>
      <c r="CN74" s="12" t="s">
        <v>728</v>
      </c>
      <c r="CO74">
        <v>0.8</v>
      </c>
      <c r="CR74">
        <v>30</v>
      </c>
    </row>
    <row r="75" spans="1:112" ht="15" customHeight="1" x14ac:dyDescent="0.25">
      <c r="A75" t="s">
        <v>727</v>
      </c>
      <c r="C75" t="s">
        <v>530</v>
      </c>
      <c r="I75">
        <v>1</v>
      </c>
      <c r="O75" s="3" t="s">
        <v>728</v>
      </c>
      <c r="P75"/>
      <c r="AC75">
        <v>1</v>
      </c>
      <c r="AL75">
        <v>0</v>
      </c>
      <c r="AT75" s="5" t="s">
        <v>711</v>
      </c>
      <c r="AY75" s="3"/>
      <c r="BD75">
        <v>99</v>
      </c>
      <c r="BO75" s="8"/>
      <c r="BP75" s="8"/>
      <c r="BS75">
        <v>0.1</v>
      </c>
      <c r="BV75"/>
      <c r="BW75"/>
      <c r="BX75"/>
      <c r="BY75"/>
      <c r="BZ75"/>
      <c r="CA75"/>
      <c r="CB75" s="3"/>
      <c r="CC75" s="3"/>
      <c r="CD75" s="3"/>
      <c r="CE75" s="3"/>
      <c r="CF75" s="3"/>
      <c r="CH75" s="3"/>
      <c r="CI75" s="3"/>
      <c r="CJ75" s="3"/>
      <c r="CK75" s="3"/>
      <c r="CL75" s="3"/>
      <c r="CM75" s="11"/>
      <c r="CN75" s="12" t="s">
        <v>713</v>
      </c>
      <c r="CO75">
        <v>0.36</v>
      </c>
      <c r="CR75">
        <v>0.2</v>
      </c>
      <c r="DD75">
        <v>1</v>
      </c>
      <c r="DG75">
        <v>1</v>
      </c>
      <c r="DH75">
        <v>1</v>
      </c>
    </row>
    <row r="76" spans="1:112" ht="15" customHeight="1" x14ac:dyDescent="0.25">
      <c r="AT76" s="5"/>
      <c r="AY76" s="3"/>
      <c r="BO76" s="8"/>
      <c r="BP76" s="8"/>
      <c r="BV76"/>
      <c r="BW76"/>
      <c r="BX76"/>
      <c r="BY76"/>
      <c r="BZ76"/>
      <c r="CA76"/>
      <c r="CB76" s="3"/>
      <c r="CC76" s="3"/>
      <c r="CD76" s="3"/>
      <c r="CE76" s="3"/>
      <c r="CF76" s="3"/>
      <c r="CH76" s="3"/>
      <c r="CI76" s="3"/>
      <c r="CJ76" s="3"/>
      <c r="CK76" s="3"/>
      <c r="CL76" s="3"/>
      <c r="CM76" s="11"/>
      <c r="CN76" s="12"/>
    </row>
    <row r="77" spans="1:112" x14ac:dyDescent="0.25">
      <c r="A77" t="s">
        <v>729</v>
      </c>
      <c r="C77" t="s">
        <v>530</v>
      </c>
      <c r="AC77">
        <v>1</v>
      </c>
      <c r="AO77" t="s">
        <v>594</v>
      </c>
      <c r="AT77" s="5" t="s">
        <v>730</v>
      </c>
      <c r="AY77">
        <v>1</v>
      </c>
      <c r="AZ77">
        <v>1</v>
      </c>
      <c r="BD77">
        <v>1</v>
      </c>
      <c r="BO77" s="8" t="s">
        <v>731</v>
      </c>
      <c r="BP77" s="8"/>
      <c r="CB77" t="s">
        <v>76</v>
      </c>
      <c r="CG77" t="s">
        <v>551</v>
      </c>
      <c r="CH77" t="s">
        <v>732</v>
      </c>
      <c r="CI77" t="s">
        <v>598</v>
      </c>
      <c r="CJ77" t="s">
        <v>733</v>
      </c>
      <c r="CM77" s="11"/>
      <c r="CN77" s="12"/>
      <c r="CY77" t="s">
        <v>600</v>
      </c>
    </row>
    <row r="78" spans="1:112" x14ac:dyDescent="0.25">
      <c r="A78" t="s">
        <v>731</v>
      </c>
      <c r="C78" t="s">
        <v>530</v>
      </c>
      <c r="I78">
        <v>1</v>
      </c>
      <c r="AC78">
        <v>1</v>
      </c>
      <c r="AT78" s="5" t="s">
        <v>734</v>
      </c>
      <c r="BD78">
        <v>99</v>
      </c>
      <c r="BO78" s="8"/>
      <c r="BP78" s="8"/>
      <c r="BS78">
        <v>0.1</v>
      </c>
      <c r="CM78" s="11"/>
      <c r="CN78" s="12" t="s">
        <v>735</v>
      </c>
      <c r="CR78">
        <v>0.2</v>
      </c>
    </row>
    <row r="79" spans="1:112" ht="15" customHeight="1" x14ac:dyDescent="0.25">
      <c r="A79" t="s">
        <v>736</v>
      </c>
      <c r="C79" t="s">
        <v>530</v>
      </c>
      <c r="I79">
        <v>1</v>
      </c>
      <c r="K79" s="3" t="s">
        <v>533</v>
      </c>
      <c r="L79" s="3" t="s">
        <v>534</v>
      </c>
      <c r="AC79">
        <v>1</v>
      </c>
      <c r="AG79" t="s">
        <v>535</v>
      </c>
      <c r="AH79">
        <v>1</v>
      </c>
      <c r="AT79" s="5"/>
      <c r="AY79" s="3"/>
      <c r="BD79">
        <v>1</v>
      </c>
      <c r="BO79" s="8" t="s">
        <v>737</v>
      </c>
      <c r="BP79" s="8"/>
      <c r="BV79"/>
      <c r="BW79"/>
      <c r="BX79"/>
      <c r="BY79"/>
      <c r="BZ79"/>
      <c r="CA79"/>
      <c r="CB79" s="3"/>
      <c r="CC79" s="3"/>
      <c r="CD79" s="3"/>
      <c r="CE79" s="3"/>
      <c r="CF79" s="3"/>
      <c r="CH79" s="3"/>
      <c r="CI79" s="3"/>
      <c r="CJ79" s="3"/>
      <c r="CK79" s="3"/>
      <c r="CL79" s="3"/>
      <c r="CM79" s="11"/>
      <c r="CN79" s="12" t="s">
        <v>738</v>
      </c>
      <c r="CO79">
        <v>0.12</v>
      </c>
      <c r="CR79">
        <v>99999</v>
      </c>
    </row>
    <row r="80" spans="1:112" ht="15" customHeight="1" x14ac:dyDescent="0.25">
      <c r="A80" t="s">
        <v>737</v>
      </c>
      <c r="C80" t="s">
        <v>530</v>
      </c>
      <c r="I80">
        <v>1</v>
      </c>
      <c r="AC80">
        <v>4</v>
      </c>
      <c r="AJ80" t="s">
        <v>296</v>
      </c>
      <c r="AN80">
        <v>1</v>
      </c>
      <c r="AT80" s="5"/>
      <c r="AV80">
        <v>20</v>
      </c>
      <c r="AY80" s="3"/>
      <c r="BD80">
        <v>1</v>
      </c>
      <c r="BO80" s="8"/>
      <c r="BP80" s="8" t="s">
        <v>739</v>
      </c>
      <c r="BS80">
        <v>0.1</v>
      </c>
      <c r="BV80"/>
      <c r="BW80"/>
      <c r="BX80"/>
      <c r="BY80"/>
      <c r="BZ80"/>
      <c r="CA80"/>
      <c r="CB80" s="3"/>
      <c r="CC80" s="3"/>
      <c r="CD80" s="3"/>
      <c r="CE80" s="3"/>
      <c r="CF80" s="3"/>
      <c r="CH80" s="3"/>
      <c r="CI80" s="3"/>
      <c r="CJ80" s="3"/>
      <c r="CK80" s="3"/>
      <c r="CL80" s="3"/>
      <c r="CM80" s="11"/>
      <c r="CN80" s="12"/>
      <c r="DD80">
        <v>1</v>
      </c>
      <c r="DG80">
        <v>1</v>
      </c>
      <c r="DH80">
        <v>1</v>
      </c>
    </row>
    <row r="81" spans="1:112" ht="15" customHeight="1" x14ac:dyDescent="0.25">
      <c r="A81" t="s">
        <v>739</v>
      </c>
      <c r="C81" t="s">
        <v>530</v>
      </c>
      <c r="I81">
        <v>1</v>
      </c>
      <c r="K81" s="3" t="s">
        <v>533</v>
      </c>
      <c r="AC81">
        <v>1</v>
      </c>
      <c r="AG81" t="s">
        <v>535</v>
      </c>
      <c r="AT81" s="5"/>
      <c r="AY81" s="3"/>
      <c r="BD81">
        <v>1</v>
      </c>
      <c r="BO81" s="8"/>
      <c r="BP81" s="8"/>
      <c r="BV81"/>
      <c r="BW81"/>
      <c r="BX81"/>
      <c r="BY81"/>
      <c r="BZ81"/>
      <c r="CA81"/>
      <c r="CB81" s="3"/>
      <c r="CC81" s="3"/>
      <c r="CD81" s="3"/>
      <c r="CE81" s="3"/>
      <c r="CF81" s="3"/>
      <c r="CH81" s="3"/>
      <c r="CI81" s="3"/>
      <c r="CJ81" s="3"/>
      <c r="CK81" s="3"/>
      <c r="CL81" s="3"/>
      <c r="CM81" s="11"/>
      <c r="CN81" s="12" t="s">
        <v>740</v>
      </c>
      <c r="CO81">
        <v>0.36</v>
      </c>
      <c r="CR81">
        <v>0.2</v>
      </c>
    </row>
    <row r="82" spans="1:112" x14ac:dyDescent="0.25">
      <c r="A82" t="s">
        <v>741</v>
      </c>
      <c r="C82" t="s">
        <v>530</v>
      </c>
      <c r="D82" t="s">
        <v>742</v>
      </c>
      <c r="E82" t="s">
        <v>743</v>
      </c>
      <c r="F82" t="s">
        <v>744</v>
      </c>
      <c r="G82">
        <v>3</v>
      </c>
      <c r="J82" t="s">
        <v>580</v>
      </c>
      <c r="K82" s="3" t="s">
        <v>583</v>
      </c>
      <c r="AC82">
        <v>1</v>
      </c>
      <c r="AO82" t="s">
        <v>594</v>
      </c>
      <c r="AT82" s="5" t="s">
        <v>730</v>
      </c>
      <c r="AY82">
        <v>1</v>
      </c>
      <c r="AZ82">
        <v>2</v>
      </c>
      <c r="BD82">
        <v>1</v>
      </c>
      <c r="BO82" s="8"/>
      <c r="BP82" s="8"/>
      <c r="BT82">
        <v>0.2</v>
      </c>
      <c r="BV82" s="4">
        <v>0</v>
      </c>
      <c r="BW82" s="4">
        <v>8</v>
      </c>
      <c r="BX82" s="4">
        <v>3</v>
      </c>
      <c r="BY82" s="4" t="s">
        <v>583</v>
      </c>
      <c r="CB82" t="s">
        <v>76</v>
      </c>
      <c r="CG82" t="s">
        <v>551</v>
      </c>
      <c r="CH82" t="s">
        <v>732</v>
      </c>
      <c r="CI82" t="s">
        <v>598</v>
      </c>
      <c r="CM82" s="11"/>
      <c r="CN82" s="12"/>
      <c r="CY82" t="s">
        <v>600</v>
      </c>
    </row>
    <row r="83" spans="1:112" x14ac:dyDescent="0.25">
      <c r="A83" t="s">
        <v>745</v>
      </c>
      <c r="C83" t="s">
        <v>530</v>
      </c>
      <c r="D83" t="s">
        <v>746</v>
      </c>
      <c r="E83" t="s">
        <v>747</v>
      </c>
      <c r="F83" t="s">
        <v>748</v>
      </c>
      <c r="G83">
        <v>3</v>
      </c>
      <c r="J83" t="s">
        <v>580</v>
      </c>
      <c r="K83" s="3" t="s">
        <v>581</v>
      </c>
      <c r="AC83">
        <v>1</v>
      </c>
      <c r="AT83" s="5"/>
      <c r="AY83" s="3"/>
      <c r="BD83">
        <v>1</v>
      </c>
      <c r="BO83" s="8" t="s">
        <v>749</v>
      </c>
      <c r="BP83" s="8"/>
      <c r="BT83">
        <v>40</v>
      </c>
      <c r="BV83" s="4">
        <v>40</v>
      </c>
      <c r="BW83" s="4">
        <v>80</v>
      </c>
      <c r="BX83" s="4">
        <v>1</v>
      </c>
      <c r="BY83" s="4" t="s">
        <v>583</v>
      </c>
      <c r="CB83" s="3"/>
      <c r="CC83" s="3"/>
      <c r="CD83" s="3"/>
      <c r="CE83" s="3"/>
      <c r="CF83" s="3"/>
      <c r="CH83" s="3"/>
      <c r="CI83" s="3"/>
      <c r="CJ83" s="3"/>
      <c r="CK83" s="3"/>
      <c r="CL83" s="3"/>
      <c r="CM83" s="11"/>
      <c r="CN83" s="12" t="s">
        <v>750</v>
      </c>
      <c r="CO83">
        <v>0.6</v>
      </c>
      <c r="CR83">
        <v>40</v>
      </c>
    </row>
    <row r="84" spans="1:112" x14ac:dyDescent="0.25">
      <c r="A84" t="s">
        <v>751</v>
      </c>
      <c r="C84" t="s">
        <v>530</v>
      </c>
      <c r="O84" s="3" t="s">
        <v>750</v>
      </c>
      <c r="AC84">
        <v>1</v>
      </c>
      <c r="AO84" t="s">
        <v>594</v>
      </c>
      <c r="AT84" s="5" t="s">
        <v>730</v>
      </c>
      <c r="AY84">
        <v>1</v>
      </c>
      <c r="AZ84">
        <v>1</v>
      </c>
      <c r="BD84">
        <v>2</v>
      </c>
      <c r="BO84" s="8"/>
      <c r="BP84" s="8"/>
      <c r="CB84" t="s">
        <v>76</v>
      </c>
      <c r="CG84" t="s">
        <v>551</v>
      </c>
      <c r="CH84" t="s">
        <v>732</v>
      </c>
      <c r="CI84" t="s">
        <v>598</v>
      </c>
      <c r="CJ84" t="s">
        <v>733</v>
      </c>
      <c r="CM84" s="11"/>
      <c r="CN84" s="12"/>
      <c r="CY84" t="s">
        <v>600</v>
      </c>
    </row>
    <row r="85" spans="1:112" x14ac:dyDescent="0.25">
      <c r="A85" t="s">
        <v>752</v>
      </c>
      <c r="C85" t="s">
        <v>530</v>
      </c>
      <c r="I85">
        <v>1</v>
      </c>
      <c r="O85" s="3" t="s">
        <v>750</v>
      </c>
      <c r="AC85">
        <v>1</v>
      </c>
      <c r="AT85" s="5" t="s">
        <v>730</v>
      </c>
      <c r="BD85">
        <v>99</v>
      </c>
      <c r="BO85" s="8"/>
      <c r="BP85" s="8"/>
      <c r="BS85">
        <v>0.1</v>
      </c>
      <c r="CM85" s="11"/>
      <c r="CN85" s="12" t="s">
        <v>753</v>
      </c>
      <c r="CO85">
        <v>-0.5</v>
      </c>
      <c r="CR85">
        <v>0.2</v>
      </c>
    </row>
    <row r="86" spans="1:112" x14ac:dyDescent="0.25">
      <c r="AT86" s="6"/>
      <c r="BO86" s="8"/>
      <c r="BP86" s="8"/>
      <c r="CM86" s="11"/>
      <c r="CN86" s="12"/>
    </row>
    <row r="87" spans="1:112" x14ac:dyDescent="0.25">
      <c r="A87" t="s">
        <v>754</v>
      </c>
      <c r="C87" t="s">
        <v>530</v>
      </c>
      <c r="K87" s="3" t="s">
        <v>583</v>
      </c>
      <c r="AC87">
        <v>2</v>
      </c>
      <c r="AD87">
        <v>1</v>
      </c>
      <c r="AO87" t="s">
        <v>548</v>
      </c>
      <c r="AQ87" t="s">
        <v>755</v>
      </c>
      <c r="AT87" t="s">
        <v>537</v>
      </c>
      <c r="AX87" t="s">
        <v>550</v>
      </c>
      <c r="AZ87">
        <v>1</v>
      </c>
      <c r="BD87">
        <v>1</v>
      </c>
      <c r="BO87" s="8"/>
      <c r="BP87" s="8"/>
      <c r="CB87" t="s">
        <v>76</v>
      </c>
      <c r="CG87" t="s">
        <v>551</v>
      </c>
      <c r="CH87" t="s">
        <v>756</v>
      </c>
      <c r="CI87" t="s">
        <v>598</v>
      </c>
      <c r="CJ87" t="s">
        <v>757</v>
      </c>
      <c r="CM87" s="11"/>
      <c r="CN87" s="12" t="s">
        <v>586</v>
      </c>
      <c r="CO87">
        <v>-0.8</v>
      </c>
      <c r="CR87">
        <v>0.8</v>
      </c>
      <c r="CW87" t="s">
        <v>758</v>
      </c>
      <c r="CY87" t="s">
        <v>759</v>
      </c>
    </row>
    <row r="88" spans="1:112" x14ac:dyDescent="0.25">
      <c r="A88" t="s">
        <v>760</v>
      </c>
      <c r="C88" t="s">
        <v>530</v>
      </c>
      <c r="D88" t="s">
        <v>746</v>
      </c>
      <c r="E88" t="s">
        <v>761</v>
      </c>
      <c r="F88" t="s">
        <v>762</v>
      </c>
      <c r="G88">
        <v>3</v>
      </c>
      <c r="J88" t="s">
        <v>580</v>
      </c>
      <c r="K88" s="3" t="s">
        <v>581</v>
      </c>
      <c r="AC88">
        <v>1</v>
      </c>
      <c r="AT88" s="5"/>
      <c r="AY88" s="3"/>
      <c r="BD88">
        <v>1</v>
      </c>
      <c r="BO88" s="8" t="s">
        <v>763</v>
      </c>
      <c r="BP88" s="8"/>
      <c r="BT88">
        <v>25</v>
      </c>
      <c r="BV88" s="4">
        <v>20</v>
      </c>
      <c r="BW88" s="4">
        <v>35</v>
      </c>
      <c r="BX88" s="4">
        <v>1</v>
      </c>
      <c r="BY88" s="4" t="s">
        <v>583</v>
      </c>
      <c r="CB88" s="3"/>
      <c r="CC88" s="3"/>
      <c r="CD88" s="3"/>
      <c r="CE88" s="3"/>
      <c r="CF88" s="3"/>
      <c r="CH88" s="3"/>
      <c r="CI88" s="3"/>
      <c r="CJ88" s="3"/>
      <c r="CK88" s="3"/>
      <c r="CL88" s="3"/>
      <c r="CM88" s="11"/>
      <c r="CN88" s="12" t="s">
        <v>764</v>
      </c>
      <c r="CO88">
        <v>0.5</v>
      </c>
      <c r="CR88">
        <v>25</v>
      </c>
    </row>
    <row r="89" spans="1:112" x14ac:dyDescent="0.25">
      <c r="A89" t="s">
        <v>763</v>
      </c>
      <c r="C89" t="s">
        <v>530</v>
      </c>
      <c r="K89" s="3" t="s">
        <v>583</v>
      </c>
      <c r="O89" s="3" t="s">
        <v>764</v>
      </c>
      <c r="AC89">
        <v>2</v>
      </c>
      <c r="AD89">
        <v>1</v>
      </c>
      <c r="AO89" t="s">
        <v>548</v>
      </c>
      <c r="AQ89" t="s">
        <v>755</v>
      </c>
      <c r="AT89" t="s">
        <v>537</v>
      </c>
      <c r="AX89" t="s">
        <v>550</v>
      </c>
      <c r="AZ89">
        <v>1</v>
      </c>
      <c r="BD89">
        <v>2</v>
      </c>
      <c r="BO89" s="8"/>
      <c r="BP89" s="8"/>
      <c r="CB89" t="s">
        <v>76</v>
      </c>
      <c r="CG89" t="s">
        <v>551</v>
      </c>
      <c r="CH89" t="s">
        <v>756</v>
      </c>
      <c r="CI89" t="s">
        <v>598</v>
      </c>
      <c r="CJ89" t="s">
        <v>757</v>
      </c>
      <c r="CM89" s="11"/>
      <c r="CN89" s="12" t="s">
        <v>586</v>
      </c>
      <c r="CO89">
        <v>-0.8</v>
      </c>
      <c r="CR89">
        <v>0.8</v>
      </c>
      <c r="CW89" t="s">
        <v>758</v>
      </c>
      <c r="CY89" t="s">
        <v>759</v>
      </c>
    </row>
    <row r="90" spans="1:112" x14ac:dyDescent="0.25">
      <c r="A90" t="s">
        <v>765</v>
      </c>
      <c r="C90" t="s">
        <v>530</v>
      </c>
      <c r="D90" t="s">
        <v>766</v>
      </c>
      <c r="E90" t="s">
        <v>767</v>
      </c>
      <c r="F90" t="s">
        <v>768</v>
      </c>
      <c r="G90">
        <v>3</v>
      </c>
      <c r="J90" t="s">
        <v>580</v>
      </c>
      <c r="K90" s="3" t="s">
        <v>581</v>
      </c>
      <c r="AC90">
        <v>2</v>
      </c>
      <c r="AD90">
        <v>1</v>
      </c>
      <c r="AO90" t="s">
        <v>548</v>
      </c>
      <c r="AQ90" t="s">
        <v>755</v>
      </c>
      <c r="AT90" t="s">
        <v>769</v>
      </c>
      <c r="AX90" t="s">
        <v>550</v>
      </c>
      <c r="AZ90">
        <v>4</v>
      </c>
      <c r="BD90">
        <v>99</v>
      </c>
      <c r="BO90" s="8"/>
      <c r="BP90" s="8" t="s">
        <v>770</v>
      </c>
      <c r="BT90">
        <v>0.2</v>
      </c>
      <c r="BV90" s="4">
        <v>20</v>
      </c>
      <c r="BW90" s="4">
        <v>30</v>
      </c>
      <c r="BX90" s="4">
        <v>1</v>
      </c>
      <c r="BY90" s="4" t="s">
        <v>583</v>
      </c>
      <c r="CB90" t="s">
        <v>661</v>
      </c>
      <c r="CG90" t="s">
        <v>551</v>
      </c>
      <c r="CJ90" t="s">
        <v>771</v>
      </c>
      <c r="CM90" s="11"/>
      <c r="CN90" s="12" t="s">
        <v>772</v>
      </c>
      <c r="CR90">
        <v>6</v>
      </c>
      <c r="CX90" t="s">
        <v>773</v>
      </c>
      <c r="CY90" t="s">
        <v>759</v>
      </c>
    </row>
    <row r="91" spans="1:112" x14ac:dyDescent="0.25">
      <c r="A91" t="s">
        <v>770</v>
      </c>
      <c r="C91" t="s">
        <v>530</v>
      </c>
      <c r="K91" s="3" t="s">
        <v>533</v>
      </c>
      <c r="AC91">
        <v>2</v>
      </c>
      <c r="AD91">
        <v>1</v>
      </c>
      <c r="AO91" t="s">
        <v>548</v>
      </c>
      <c r="AQ91" t="s">
        <v>755</v>
      </c>
      <c r="AT91" t="s">
        <v>769</v>
      </c>
      <c r="BD91">
        <v>99</v>
      </c>
      <c r="BO91" s="8"/>
      <c r="BP91" s="8"/>
      <c r="CM91" s="11"/>
      <c r="CN91" s="12" t="s">
        <v>774</v>
      </c>
      <c r="CR91">
        <v>6</v>
      </c>
    </row>
    <row r="92" spans="1:112" x14ac:dyDescent="0.25">
      <c r="BO92" s="8"/>
      <c r="BP92" s="8"/>
      <c r="CM92" s="11"/>
      <c r="CN92" s="12"/>
    </row>
    <row r="93" spans="1:112" x14ac:dyDescent="0.25">
      <c r="A93" t="s">
        <v>775</v>
      </c>
      <c r="C93" t="s">
        <v>555</v>
      </c>
      <c r="AC93">
        <v>2</v>
      </c>
      <c r="AO93" t="s">
        <v>548</v>
      </c>
      <c r="AT93" t="s">
        <v>557</v>
      </c>
      <c r="AW93" s="7"/>
      <c r="AX93" t="s">
        <v>550</v>
      </c>
      <c r="AZ93">
        <v>1</v>
      </c>
      <c r="BD93">
        <v>1</v>
      </c>
      <c r="BO93" s="8"/>
      <c r="BP93" s="8"/>
      <c r="CB93" t="s">
        <v>76</v>
      </c>
      <c r="CG93" t="s">
        <v>551</v>
      </c>
      <c r="CM93" s="11"/>
      <c r="CN93" s="12"/>
      <c r="CX93" t="s">
        <v>776</v>
      </c>
      <c r="CY93" t="s">
        <v>777</v>
      </c>
    </row>
    <row r="94" spans="1:112" x14ac:dyDescent="0.25">
      <c r="A94" t="s">
        <v>778</v>
      </c>
      <c r="C94" t="s">
        <v>530</v>
      </c>
      <c r="I94">
        <v>1</v>
      </c>
      <c r="N94" s="3">
        <v>5</v>
      </c>
      <c r="AC94">
        <v>1</v>
      </c>
      <c r="AG94" t="s">
        <v>535</v>
      </c>
      <c r="AT94" s="5"/>
      <c r="AY94" s="3"/>
      <c r="BD94">
        <v>1</v>
      </c>
      <c r="BO94" s="8"/>
      <c r="BP94" s="8"/>
      <c r="BS94">
        <v>20</v>
      </c>
      <c r="BV94"/>
      <c r="BW94"/>
      <c r="BX94"/>
      <c r="BY94"/>
      <c r="BZ94"/>
      <c r="CA94"/>
      <c r="CB94" s="3"/>
      <c r="CC94" s="3"/>
      <c r="CD94" s="3"/>
      <c r="CE94" s="3"/>
      <c r="CF94" s="3"/>
      <c r="CH94" s="3"/>
      <c r="CI94" s="3"/>
      <c r="CJ94" s="3"/>
      <c r="CK94" s="3"/>
      <c r="CL94" s="3"/>
      <c r="CM94" s="11"/>
      <c r="CN94" s="12" t="s">
        <v>779</v>
      </c>
      <c r="CO94" t="s">
        <v>780</v>
      </c>
      <c r="CR94">
        <v>99999</v>
      </c>
      <c r="DD94">
        <v>1</v>
      </c>
      <c r="DG94">
        <v>1</v>
      </c>
      <c r="DH94">
        <v>1</v>
      </c>
    </row>
    <row r="95" spans="1:112" x14ac:dyDescent="0.25">
      <c r="A95" t="s">
        <v>781</v>
      </c>
      <c r="C95" t="s">
        <v>530</v>
      </c>
      <c r="D95" t="s">
        <v>782</v>
      </c>
      <c r="E95" t="s">
        <v>783</v>
      </c>
      <c r="F95" t="s">
        <v>784</v>
      </c>
      <c r="G95">
        <v>3</v>
      </c>
      <c r="J95" t="s">
        <v>580</v>
      </c>
      <c r="K95" s="3" t="s">
        <v>581</v>
      </c>
      <c r="AC95">
        <v>1</v>
      </c>
      <c r="AG95" t="s">
        <v>535</v>
      </c>
      <c r="AT95" s="5"/>
      <c r="AY95" s="3"/>
      <c r="BD95">
        <v>1</v>
      </c>
      <c r="BO95" s="8"/>
      <c r="BP95" s="8"/>
      <c r="BT95">
        <v>30</v>
      </c>
      <c r="BV95" s="4">
        <v>10</v>
      </c>
      <c r="BW95" s="4">
        <v>30</v>
      </c>
      <c r="BX95" s="4">
        <v>1</v>
      </c>
      <c r="BY95" s="4" t="s">
        <v>583</v>
      </c>
      <c r="CB95" s="3"/>
      <c r="CC95" s="3"/>
      <c r="CD95" s="3"/>
      <c r="CE95" s="3"/>
      <c r="CF95" s="3"/>
      <c r="CH95" s="3"/>
      <c r="CI95" s="3"/>
      <c r="CK95" s="3"/>
      <c r="CL95" s="3"/>
      <c r="CM95" s="11"/>
      <c r="CN95" s="12" t="s">
        <v>785</v>
      </c>
      <c r="CO95" t="s">
        <v>786</v>
      </c>
      <c r="CR95">
        <v>30</v>
      </c>
    </row>
    <row r="96" spans="1:112" x14ac:dyDescent="0.25">
      <c r="A96" t="s">
        <v>787</v>
      </c>
      <c r="C96" t="s">
        <v>530</v>
      </c>
      <c r="D96" t="s">
        <v>788</v>
      </c>
      <c r="E96" t="s">
        <v>789</v>
      </c>
      <c r="F96" t="s">
        <v>790</v>
      </c>
      <c r="G96">
        <v>3</v>
      </c>
      <c r="J96" t="s">
        <v>580</v>
      </c>
      <c r="K96" s="3" t="s">
        <v>581</v>
      </c>
      <c r="AC96">
        <v>1</v>
      </c>
      <c r="AG96" t="s">
        <v>535</v>
      </c>
      <c r="AT96" s="5"/>
      <c r="AY96" s="3"/>
      <c r="BD96">
        <v>1</v>
      </c>
      <c r="BO96" s="8"/>
      <c r="BP96" s="8"/>
      <c r="BT96">
        <v>15</v>
      </c>
      <c r="BV96" s="4">
        <v>10</v>
      </c>
      <c r="BW96" s="4">
        <v>20</v>
      </c>
      <c r="BX96" s="4">
        <v>1</v>
      </c>
      <c r="BY96" s="4" t="s">
        <v>583</v>
      </c>
      <c r="CB96" s="3"/>
      <c r="CC96" s="3"/>
      <c r="CD96" s="3"/>
      <c r="CE96" s="3"/>
      <c r="CF96" s="3"/>
      <c r="CH96" s="3"/>
      <c r="CI96" s="3"/>
      <c r="CK96" s="3"/>
      <c r="CL96" s="3"/>
      <c r="CM96" s="11"/>
      <c r="CN96" s="12" t="s">
        <v>791</v>
      </c>
      <c r="CO96" t="s">
        <v>703</v>
      </c>
      <c r="CR96">
        <v>15</v>
      </c>
    </row>
    <row r="97" spans="1:120" x14ac:dyDescent="0.25">
      <c r="A97" t="s">
        <v>792</v>
      </c>
      <c r="C97" t="s">
        <v>540</v>
      </c>
      <c r="O97" s="3" t="s">
        <v>791</v>
      </c>
      <c r="AC97">
        <v>2</v>
      </c>
      <c r="AO97" t="s">
        <v>548</v>
      </c>
      <c r="AT97" t="s">
        <v>557</v>
      </c>
      <c r="AW97" s="7"/>
      <c r="AX97" t="s">
        <v>550</v>
      </c>
      <c r="AZ97">
        <v>1</v>
      </c>
      <c r="BD97">
        <v>1</v>
      </c>
      <c r="BO97" s="8"/>
      <c r="BP97" s="8"/>
      <c r="CB97" t="s">
        <v>76</v>
      </c>
      <c r="CG97" t="s">
        <v>551</v>
      </c>
      <c r="CM97" s="11"/>
      <c r="CN97" s="12"/>
      <c r="CX97" t="s">
        <v>776</v>
      </c>
      <c r="CY97" t="s">
        <v>793</v>
      </c>
    </row>
    <row r="98" spans="1:120" x14ac:dyDescent="0.25">
      <c r="AW98" s="7"/>
      <c r="BO98" s="8"/>
      <c r="BP98" s="8"/>
      <c r="CM98" s="11"/>
      <c r="CN98" s="12"/>
    </row>
    <row r="99" spans="1:120" ht="15" customHeight="1" x14ac:dyDescent="0.25">
      <c r="A99" t="s">
        <v>794</v>
      </c>
      <c r="C99" t="s">
        <v>555</v>
      </c>
      <c r="AC99">
        <v>2</v>
      </c>
      <c r="AO99" t="s">
        <v>548</v>
      </c>
      <c r="AT99" s="5" t="s">
        <v>557</v>
      </c>
      <c r="AX99" t="s">
        <v>558</v>
      </c>
      <c r="AZ99">
        <v>1</v>
      </c>
      <c r="BD99">
        <v>1</v>
      </c>
      <c r="BO99" s="8"/>
      <c r="BP99" s="8"/>
      <c r="CB99" t="s">
        <v>76</v>
      </c>
      <c r="CG99" t="s">
        <v>551</v>
      </c>
      <c r="CM99" s="11"/>
      <c r="CN99" s="12"/>
      <c r="CX99" t="s">
        <v>795</v>
      </c>
      <c r="CY99" t="s">
        <v>796</v>
      </c>
    </row>
    <row r="100" spans="1:120" x14ac:dyDescent="0.25">
      <c r="A100" t="s">
        <v>797</v>
      </c>
      <c r="C100" t="s">
        <v>798</v>
      </c>
      <c r="K100" s="3" t="s">
        <v>533</v>
      </c>
      <c r="L100" s="3" t="s">
        <v>799</v>
      </c>
      <c r="AC100">
        <v>2</v>
      </c>
      <c r="AH100">
        <v>1</v>
      </c>
      <c r="AT100" t="s">
        <v>800</v>
      </c>
      <c r="AW100" s="7"/>
      <c r="AY100" s="3"/>
      <c r="BD100">
        <v>1</v>
      </c>
      <c r="BO100" s="8"/>
      <c r="BP100" s="8" t="s">
        <v>801</v>
      </c>
      <c r="CB100" s="3"/>
      <c r="CC100" s="3"/>
      <c r="CD100" s="3"/>
      <c r="CE100" s="3"/>
      <c r="CF100" s="3"/>
      <c r="CH100" s="3"/>
      <c r="CI100" s="3"/>
      <c r="CJ100" s="3"/>
      <c r="CK100" s="3"/>
      <c r="CL100" s="3"/>
      <c r="CM100" s="11"/>
      <c r="CN100" s="12"/>
    </row>
    <row r="101" spans="1:120" x14ac:dyDescent="0.25">
      <c r="A101" t="s">
        <v>801</v>
      </c>
      <c r="C101" t="s">
        <v>530</v>
      </c>
      <c r="K101" s="3" t="s">
        <v>533</v>
      </c>
      <c r="AC101">
        <v>1</v>
      </c>
      <c r="AG101" t="s">
        <v>535</v>
      </c>
      <c r="AW101" s="7"/>
      <c r="AY101" s="3"/>
      <c r="BD101">
        <v>1</v>
      </c>
      <c r="BO101" s="8"/>
      <c r="BP101" s="8"/>
      <c r="CB101" s="3"/>
      <c r="CC101" s="3"/>
      <c r="CD101" s="3"/>
      <c r="CE101" s="3"/>
      <c r="CF101" s="3"/>
      <c r="CH101" s="3"/>
      <c r="CI101" s="3"/>
      <c r="CJ101" s="3"/>
      <c r="CK101" s="3"/>
      <c r="CL101" s="3"/>
      <c r="CM101" s="11"/>
      <c r="CN101" s="12" t="s">
        <v>801</v>
      </c>
      <c r="CO101">
        <v>80</v>
      </c>
      <c r="CR101">
        <v>99999</v>
      </c>
    </row>
    <row r="102" spans="1:120" ht="15" customHeight="1" x14ac:dyDescent="0.25">
      <c r="A102" t="s">
        <v>802</v>
      </c>
      <c r="C102" t="s">
        <v>555</v>
      </c>
      <c r="D102" t="s">
        <v>803</v>
      </c>
      <c r="E102" t="s">
        <v>804</v>
      </c>
      <c r="F102" t="s">
        <v>805</v>
      </c>
      <c r="G102">
        <v>3</v>
      </c>
      <c r="J102" t="s">
        <v>580</v>
      </c>
      <c r="K102" s="3" t="s">
        <v>583</v>
      </c>
      <c r="AC102">
        <v>2</v>
      </c>
      <c r="AO102" t="s">
        <v>548</v>
      </c>
      <c r="AT102" s="5" t="s">
        <v>557</v>
      </c>
      <c r="AX102" t="s">
        <v>558</v>
      </c>
      <c r="AZ102">
        <v>2.2000000000000002</v>
      </c>
      <c r="BD102">
        <v>1</v>
      </c>
      <c r="BO102" s="8"/>
      <c r="BP102" s="8" t="s">
        <v>806</v>
      </c>
      <c r="BT102">
        <v>0</v>
      </c>
      <c r="BV102" s="4">
        <v>0</v>
      </c>
      <c r="BW102" s="4">
        <v>3</v>
      </c>
      <c r="BX102" s="4">
        <v>1</v>
      </c>
      <c r="BY102" s="4" t="s">
        <v>655</v>
      </c>
      <c r="CB102" t="s">
        <v>807</v>
      </c>
      <c r="CG102" t="s">
        <v>551</v>
      </c>
      <c r="CM102" s="11"/>
      <c r="CN102" s="12"/>
      <c r="CX102" t="s">
        <v>795</v>
      </c>
      <c r="CY102" t="s">
        <v>796</v>
      </c>
    </row>
    <row r="103" spans="1:120" x14ac:dyDescent="0.25">
      <c r="A103" t="s">
        <v>806</v>
      </c>
      <c r="C103" t="s">
        <v>530</v>
      </c>
      <c r="I103">
        <v>1</v>
      </c>
      <c r="K103" s="15" t="s">
        <v>533</v>
      </c>
      <c r="L103" s="15"/>
      <c r="M103"/>
      <c r="N103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AC103">
        <v>1</v>
      </c>
      <c r="AG103" t="s">
        <v>535</v>
      </c>
      <c r="AH103" s="15"/>
      <c r="AI103" s="15"/>
      <c r="AT103" s="5"/>
      <c r="AY103">
        <v>1</v>
      </c>
      <c r="AZ103">
        <v>0.08</v>
      </c>
      <c r="BB103">
        <v>1</v>
      </c>
      <c r="BD103">
        <v>1</v>
      </c>
      <c r="BO103" s="8"/>
      <c r="BP103" s="8"/>
      <c r="BS103" s="15"/>
      <c r="BV103" s="16"/>
      <c r="BW103" s="16"/>
      <c r="BX103" s="16"/>
      <c r="BY103" s="16"/>
      <c r="BZ103"/>
      <c r="CA103"/>
      <c r="CC103" s="15"/>
      <c r="CD103" s="15"/>
      <c r="CE103" s="15"/>
      <c r="CF103" s="15"/>
      <c r="CM103" s="11"/>
      <c r="CN103" s="11"/>
      <c r="CX103" s="15"/>
      <c r="CZ103" s="16"/>
      <c r="DA103" s="16"/>
      <c r="DB103" s="16"/>
      <c r="DC103" s="16"/>
      <c r="DD103" s="16"/>
      <c r="DE103" s="16"/>
      <c r="DG103" s="15"/>
      <c r="DH103" s="15"/>
      <c r="DI103" s="15"/>
      <c r="DJ103" s="15"/>
      <c r="DL103" s="15"/>
      <c r="DM103" s="15"/>
      <c r="DO103" s="15"/>
      <c r="DP103" s="15"/>
    </row>
    <row r="104" spans="1:120" x14ac:dyDescent="0.25">
      <c r="A104" t="s">
        <v>808</v>
      </c>
      <c r="C104" t="s">
        <v>530</v>
      </c>
      <c r="D104" t="s">
        <v>809</v>
      </c>
      <c r="E104" t="s">
        <v>810</v>
      </c>
      <c r="F104" t="s">
        <v>811</v>
      </c>
      <c r="G104">
        <v>3</v>
      </c>
      <c r="J104" t="s">
        <v>580</v>
      </c>
      <c r="K104" s="3" t="s">
        <v>583</v>
      </c>
      <c r="AC104">
        <v>1</v>
      </c>
      <c r="AG104" t="s">
        <v>535</v>
      </c>
      <c r="AT104" s="5"/>
      <c r="AY104" s="3"/>
      <c r="BD104">
        <v>1</v>
      </c>
      <c r="BO104" s="8" t="s">
        <v>812</v>
      </c>
      <c r="BP104" s="8"/>
      <c r="BT104">
        <v>99999</v>
      </c>
      <c r="BV104" s="4">
        <v>0</v>
      </c>
      <c r="BW104" s="4">
        <v>40</v>
      </c>
      <c r="BX104" s="4">
        <v>1</v>
      </c>
      <c r="BY104" s="4" t="s">
        <v>655</v>
      </c>
      <c r="CB104" s="3"/>
      <c r="CC104" s="3"/>
      <c r="CD104" s="3"/>
      <c r="CE104" s="3"/>
      <c r="CF104" s="3"/>
      <c r="CH104" s="3"/>
      <c r="CI104" s="3"/>
      <c r="CK104" s="3"/>
      <c r="CL104" s="3"/>
      <c r="CM104" s="11"/>
      <c r="CN104" s="12" t="s">
        <v>813</v>
      </c>
      <c r="CO104" t="s">
        <v>814</v>
      </c>
      <c r="CR104">
        <v>99999</v>
      </c>
    </row>
    <row r="105" spans="1:120" x14ac:dyDescent="0.25">
      <c r="A105" t="s">
        <v>812</v>
      </c>
      <c r="C105" t="s">
        <v>555</v>
      </c>
      <c r="O105" s="3" t="s">
        <v>815</v>
      </c>
      <c r="AC105">
        <v>2</v>
      </c>
      <c r="AO105" t="s">
        <v>548</v>
      </c>
      <c r="AT105" s="5" t="s">
        <v>557</v>
      </c>
      <c r="AX105" t="s">
        <v>558</v>
      </c>
      <c r="AZ105">
        <v>1</v>
      </c>
      <c r="BD105">
        <v>1</v>
      </c>
      <c r="BO105" s="8"/>
      <c r="BP105" s="8"/>
      <c r="CB105" t="s">
        <v>816</v>
      </c>
      <c r="CG105" t="s">
        <v>551</v>
      </c>
      <c r="CM105" s="11"/>
      <c r="CN105" s="12"/>
      <c r="CX105" t="s">
        <v>795</v>
      </c>
      <c r="CY105" t="s">
        <v>796</v>
      </c>
    </row>
    <row r="106" spans="1:120" x14ac:dyDescent="0.25">
      <c r="AT106" s="6"/>
      <c r="BO106" s="8"/>
      <c r="BP106" s="8"/>
      <c r="CM106" s="11"/>
      <c r="CN106" s="12"/>
    </row>
    <row r="107" spans="1:120" x14ac:dyDescent="0.25">
      <c r="A107" t="s">
        <v>817</v>
      </c>
      <c r="C107" t="s">
        <v>530</v>
      </c>
      <c r="AC107">
        <v>2</v>
      </c>
      <c r="AD107">
        <v>1</v>
      </c>
      <c r="AO107" t="s">
        <v>548</v>
      </c>
      <c r="AT107" t="s">
        <v>818</v>
      </c>
      <c r="AW107" s="7"/>
      <c r="AX107" t="s">
        <v>558</v>
      </c>
      <c r="AZ107">
        <v>1</v>
      </c>
      <c r="BD107">
        <v>99</v>
      </c>
      <c r="BO107" s="8"/>
      <c r="BP107" s="8"/>
      <c r="CB107" t="s">
        <v>76</v>
      </c>
      <c r="CD107" t="s">
        <v>706</v>
      </c>
      <c r="CG107" t="s">
        <v>551</v>
      </c>
      <c r="CJ107" t="s">
        <v>819</v>
      </c>
      <c r="CM107" s="11"/>
      <c r="CN107" s="12"/>
      <c r="CY107" t="s">
        <v>820</v>
      </c>
    </row>
    <row r="108" spans="1:120" x14ac:dyDescent="0.25">
      <c r="A108" t="s">
        <v>821</v>
      </c>
      <c r="C108" t="s">
        <v>530</v>
      </c>
      <c r="D108" t="s">
        <v>822</v>
      </c>
      <c r="E108" t="s">
        <v>823</v>
      </c>
      <c r="F108" t="s">
        <v>824</v>
      </c>
      <c r="G108">
        <v>3</v>
      </c>
      <c r="J108" t="s">
        <v>580</v>
      </c>
      <c r="K108" s="3" t="s">
        <v>581</v>
      </c>
      <c r="AC108">
        <v>1</v>
      </c>
      <c r="AG108" t="s">
        <v>535</v>
      </c>
      <c r="AT108" s="5"/>
      <c r="AY108" s="3"/>
      <c r="BD108">
        <v>1</v>
      </c>
      <c r="BO108" s="8" t="s">
        <v>825</v>
      </c>
      <c r="BP108" s="8"/>
      <c r="BT108">
        <v>35</v>
      </c>
      <c r="BV108" s="4">
        <v>25</v>
      </c>
      <c r="BW108" s="4">
        <v>45</v>
      </c>
      <c r="BX108" s="4">
        <v>1</v>
      </c>
      <c r="BY108" s="4" t="s">
        <v>583</v>
      </c>
      <c r="CB108" s="3"/>
      <c r="CC108" s="3"/>
      <c r="CD108" s="3"/>
      <c r="CE108" s="3"/>
      <c r="CF108" s="3"/>
      <c r="CH108" s="3"/>
      <c r="CI108" s="3"/>
      <c r="CK108" s="3"/>
      <c r="CL108" s="3"/>
      <c r="CM108" s="11"/>
      <c r="CN108" s="12" t="s">
        <v>826</v>
      </c>
      <c r="CO108">
        <v>0.7</v>
      </c>
      <c r="CR108">
        <v>35</v>
      </c>
    </row>
    <row r="109" spans="1:120" x14ac:dyDescent="0.25">
      <c r="A109" t="s">
        <v>825</v>
      </c>
      <c r="C109" t="s">
        <v>530</v>
      </c>
      <c r="I109">
        <v>1</v>
      </c>
      <c r="O109" s="3" t="s">
        <v>826</v>
      </c>
      <c r="AC109">
        <v>2</v>
      </c>
      <c r="AD109">
        <v>1</v>
      </c>
      <c r="AT109" t="s">
        <v>818</v>
      </c>
      <c r="BD109">
        <v>99</v>
      </c>
      <c r="BO109" s="8"/>
      <c r="BP109" s="8"/>
      <c r="BS109">
        <v>0.1</v>
      </c>
      <c r="CM109" s="11"/>
      <c r="CN109" s="12" t="s">
        <v>532</v>
      </c>
      <c r="CR109">
        <v>0.2</v>
      </c>
    </row>
    <row r="110" spans="1:120" x14ac:dyDescent="0.25">
      <c r="A110" t="s">
        <v>827</v>
      </c>
      <c r="C110" t="s">
        <v>530</v>
      </c>
      <c r="D110" t="s">
        <v>828</v>
      </c>
      <c r="E110" t="s">
        <v>829</v>
      </c>
      <c r="F110" t="s">
        <v>830</v>
      </c>
      <c r="G110">
        <v>3</v>
      </c>
      <c r="J110" t="s">
        <v>580</v>
      </c>
      <c r="K110" s="3" t="s">
        <v>581</v>
      </c>
      <c r="AB110">
        <v>1</v>
      </c>
      <c r="AC110">
        <v>1</v>
      </c>
      <c r="AG110" t="s">
        <v>535</v>
      </c>
      <c r="AT110" s="5"/>
      <c r="AY110" s="3"/>
      <c r="BD110">
        <v>1</v>
      </c>
      <c r="BO110" s="8" t="s">
        <v>831</v>
      </c>
      <c r="BP110" s="8"/>
      <c r="BT110">
        <v>20</v>
      </c>
      <c r="BV110" s="4">
        <v>35</v>
      </c>
      <c r="BW110" s="4">
        <v>70</v>
      </c>
      <c r="BX110" s="4">
        <v>1</v>
      </c>
      <c r="BY110" s="4" t="s">
        <v>583</v>
      </c>
      <c r="CE110" s="3"/>
      <c r="CF110" s="3"/>
      <c r="CG110" t="s">
        <v>551</v>
      </c>
      <c r="CH110" s="3"/>
      <c r="CI110" s="3"/>
      <c r="CK110" s="3"/>
      <c r="CL110" s="3"/>
      <c r="CM110" s="11"/>
      <c r="CN110" s="12" t="s">
        <v>832</v>
      </c>
      <c r="CO110">
        <v>-0.9</v>
      </c>
      <c r="CR110">
        <v>20</v>
      </c>
    </row>
    <row r="111" spans="1:120" x14ac:dyDescent="0.25">
      <c r="A111" t="s">
        <v>831</v>
      </c>
      <c r="C111" t="s">
        <v>530</v>
      </c>
      <c r="O111" s="3" t="s">
        <v>832</v>
      </c>
      <c r="AC111">
        <v>2</v>
      </c>
      <c r="AD111">
        <v>1</v>
      </c>
      <c r="AO111" t="s">
        <v>548</v>
      </c>
      <c r="AT111" t="s">
        <v>818</v>
      </c>
      <c r="AW111" s="7"/>
      <c r="AX111" t="s">
        <v>558</v>
      </c>
      <c r="AZ111">
        <v>1</v>
      </c>
      <c r="BD111">
        <v>99</v>
      </c>
      <c r="BE111">
        <v>1</v>
      </c>
      <c r="BF111">
        <v>0.1</v>
      </c>
      <c r="BO111" s="8"/>
      <c r="BP111" s="8"/>
      <c r="CB111" t="s">
        <v>833</v>
      </c>
      <c r="CD111" t="s">
        <v>834</v>
      </c>
      <c r="CG111" t="s">
        <v>551</v>
      </c>
      <c r="CJ111" t="s">
        <v>819</v>
      </c>
      <c r="CM111" s="11"/>
      <c r="CN111" s="12"/>
      <c r="CY111" t="s">
        <v>820</v>
      </c>
    </row>
    <row r="112" spans="1:120" x14ac:dyDescent="0.25">
      <c r="AT112" s="5"/>
      <c r="BO112" s="8"/>
      <c r="BP112" s="8"/>
      <c r="BV112"/>
      <c r="CM112" s="11"/>
      <c r="CN112" s="11"/>
    </row>
    <row r="113" spans="1:120" ht="15" customHeight="1" x14ac:dyDescent="0.25">
      <c r="A113" t="s">
        <v>835</v>
      </c>
      <c r="C113" t="s">
        <v>555</v>
      </c>
      <c r="AC113">
        <v>2</v>
      </c>
      <c r="AO113" t="s">
        <v>548</v>
      </c>
      <c r="AT113" s="5" t="s">
        <v>557</v>
      </c>
      <c r="AX113" t="s">
        <v>558</v>
      </c>
      <c r="AZ113">
        <v>1.1499999999999999</v>
      </c>
      <c r="BD113">
        <v>1</v>
      </c>
      <c r="BO113" s="8"/>
      <c r="BP113" s="8"/>
      <c r="CB113" t="s">
        <v>836</v>
      </c>
      <c r="CG113" t="s">
        <v>551</v>
      </c>
      <c r="CJ113" t="s">
        <v>837</v>
      </c>
      <c r="CM113" s="11"/>
      <c r="CN113" s="12"/>
      <c r="CX113" t="s">
        <v>795</v>
      </c>
      <c r="CY113" t="s">
        <v>796</v>
      </c>
    </row>
    <row r="114" spans="1:120" x14ac:dyDescent="0.25">
      <c r="A114" t="s">
        <v>838</v>
      </c>
      <c r="C114" t="s">
        <v>530</v>
      </c>
      <c r="I114">
        <v>1</v>
      </c>
      <c r="K114" s="3" t="s">
        <v>533</v>
      </c>
      <c r="L114" s="3" t="s">
        <v>603</v>
      </c>
      <c r="AC114">
        <v>1</v>
      </c>
      <c r="AF114">
        <v>1</v>
      </c>
      <c r="AH114">
        <v>1</v>
      </c>
      <c r="AJ114" t="s">
        <v>839</v>
      </c>
      <c r="AT114" s="5"/>
      <c r="AV114">
        <v>20</v>
      </c>
      <c r="AY114" s="3"/>
      <c r="BD114">
        <v>99</v>
      </c>
      <c r="BO114" s="8" t="s">
        <v>840</v>
      </c>
      <c r="BP114" s="8"/>
      <c r="BV114"/>
      <c r="BW114"/>
      <c r="BX114"/>
      <c r="BY114"/>
      <c r="BZ114"/>
      <c r="CA114"/>
      <c r="CB114" s="3"/>
      <c r="CC114" s="3"/>
      <c r="CD114" s="3"/>
      <c r="CE114" s="3"/>
      <c r="CF114" s="3"/>
      <c r="CH114" s="3"/>
      <c r="CI114" s="3"/>
      <c r="CJ114" s="3"/>
      <c r="CK114" s="3"/>
      <c r="CL114" s="3"/>
      <c r="CM114" s="11"/>
      <c r="CN114" s="12" t="s">
        <v>841</v>
      </c>
      <c r="CO114">
        <v>0.16</v>
      </c>
      <c r="CR114">
        <v>99999</v>
      </c>
      <c r="DD114">
        <v>1</v>
      </c>
      <c r="DG114">
        <v>1</v>
      </c>
      <c r="DH114">
        <v>1</v>
      </c>
    </row>
    <row r="115" spans="1:120" ht="15" customHeight="1" x14ac:dyDescent="0.25">
      <c r="A115" t="s">
        <v>840</v>
      </c>
      <c r="C115" t="s">
        <v>530</v>
      </c>
      <c r="I115">
        <v>1</v>
      </c>
      <c r="K115" s="3" t="s">
        <v>533</v>
      </c>
      <c r="L115" s="3" t="s">
        <v>534</v>
      </c>
      <c r="AC115">
        <v>1</v>
      </c>
      <c r="AG115" t="s">
        <v>535</v>
      </c>
      <c r="AH115">
        <v>1</v>
      </c>
      <c r="AT115" s="5"/>
      <c r="AY115" s="3"/>
      <c r="BD115">
        <v>1</v>
      </c>
      <c r="BO115" s="8"/>
      <c r="BP115" s="8"/>
      <c r="BV115"/>
      <c r="BW115"/>
      <c r="BX115"/>
      <c r="BY115"/>
      <c r="BZ115"/>
      <c r="CA115"/>
      <c r="CB115" s="3"/>
      <c r="CC115" s="3"/>
      <c r="CD115" s="3"/>
      <c r="CE115" s="3"/>
      <c r="CF115" s="3"/>
      <c r="CH115" s="3"/>
      <c r="CI115" s="3"/>
      <c r="CJ115" s="3"/>
      <c r="CK115" s="3"/>
      <c r="CL115" s="3"/>
      <c r="CM115" s="11"/>
      <c r="CN115" s="12" t="s">
        <v>842</v>
      </c>
      <c r="CO115">
        <v>-30</v>
      </c>
      <c r="CR115">
        <v>99999</v>
      </c>
    </row>
    <row r="116" spans="1:120" ht="15" customHeight="1" x14ac:dyDescent="0.25">
      <c r="A116" t="s">
        <v>843</v>
      </c>
      <c r="C116" t="s">
        <v>530</v>
      </c>
      <c r="D116" t="s">
        <v>844</v>
      </c>
      <c r="E116" t="s">
        <v>845</v>
      </c>
      <c r="F116" t="s">
        <v>846</v>
      </c>
      <c r="G116">
        <v>3</v>
      </c>
      <c r="I116">
        <v>1</v>
      </c>
      <c r="K116" s="3" t="s">
        <v>533</v>
      </c>
      <c r="L116" s="3" t="s">
        <v>847</v>
      </c>
      <c r="AC116">
        <v>1</v>
      </c>
      <c r="AG116" t="s">
        <v>535</v>
      </c>
      <c r="AT116" s="5"/>
      <c r="AY116" s="3"/>
      <c r="BD116">
        <v>1</v>
      </c>
      <c r="BO116" s="8"/>
      <c r="BP116" s="8"/>
      <c r="BT116">
        <v>30</v>
      </c>
      <c r="BV116"/>
      <c r="BW116"/>
      <c r="BX116"/>
      <c r="BY116"/>
      <c r="BZ116"/>
      <c r="CA116"/>
      <c r="CB116" s="3"/>
      <c r="CC116" s="3"/>
      <c r="CD116" s="3"/>
      <c r="CE116" s="3"/>
      <c r="CF116" s="3"/>
      <c r="CH116" s="3"/>
      <c r="CI116" s="3"/>
      <c r="CJ116" s="3"/>
      <c r="CK116" s="3"/>
      <c r="CL116" s="3"/>
      <c r="CM116" s="11"/>
      <c r="CN116" s="12" t="s">
        <v>848</v>
      </c>
      <c r="CO116">
        <v>1.7</v>
      </c>
      <c r="CR116">
        <v>39</v>
      </c>
    </row>
    <row r="117" spans="1:120" x14ac:dyDescent="0.25">
      <c r="A117" t="s">
        <v>849</v>
      </c>
      <c r="C117" t="s">
        <v>530</v>
      </c>
      <c r="D117" t="s">
        <v>850</v>
      </c>
      <c r="E117" t="s">
        <v>851</v>
      </c>
      <c r="F117" t="s">
        <v>852</v>
      </c>
      <c r="G117">
        <v>3</v>
      </c>
      <c r="J117" t="s">
        <v>580</v>
      </c>
      <c r="K117" s="3" t="s">
        <v>581</v>
      </c>
      <c r="AC117">
        <v>1</v>
      </c>
      <c r="AG117" t="s">
        <v>535</v>
      </c>
      <c r="AT117" s="5"/>
      <c r="AY117" s="3"/>
      <c r="BD117">
        <v>1</v>
      </c>
      <c r="BO117" s="8"/>
      <c r="BP117" s="8"/>
      <c r="BT117">
        <v>50</v>
      </c>
      <c r="BV117" s="4">
        <v>70</v>
      </c>
      <c r="BW117" s="4">
        <v>90</v>
      </c>
      <c r="BX117" s="4">
        <v>1</v>
      </c>
      <c r="BY117" s="4" t="s">
        <v>583</v>
      </c>
      <c r="CB117" s="3"/>
      <c r="CC117" s="3"/>
      <c r="CD117" s="3"/>
      <c r="CE117" s="3"/>
      <c r="CF117" s="3"/>
      <c r="CH117" s="3"/>
      <c r="CI117" s="3"/>
      <c r="CK117" s="3"/>
      <c r="CL117" s="3"/>
      <c r="CM117" s="11"/>
      <c r="CN117" s="12" t="s">
        <v>853</v>
      </c>
      <c r="CO117" t="s">
        <v>854</v>
      </c>
      <c r="CR117">
        <v>50</v>
      </c>
    </row>
    <row r="118" spans="1:120" x14ac:dyDescent="0.25">
      <c r="AT118" s="5"/>
      <c r="BO118" s="8"/>
      <c r="BP118" s="8"/>
      <c r="CM118" s="11"/>
      <c r="CN118" s="12"/>
    </row>
    <row r="119" spans="1:120" x14ac:dyDescent="0.25">
      <c r="A119" t="s">
        <v>855</v>
      </c>
      <c r="C119" t="s">
        <v>555</v>
      </c>
      <c r="P119" t="s">
        <v>856</v>
      </c>
      <c r="AC119">
        <v>2</v>
      </c>
      <c r="AO119" t="s">
        <v>548</v>
      </c>
      <c r="AT119" s="5" t="s">
        <v>557</v>
      </c>
      <c r="AX119" t="s">
        <v>558</v>
      </c>
      <c r="AZ119">
        <v>1</v>
      </c>
      <c r="BD119">
        <v>1</v>
      </c>
      <c r="BE119">
        <v>1</v>
      </c>
      <c r="BF119">
        <v>0.1</v>
      </c>
      <c r="BO119" s="8"/>
      <c r="BP119" s="8"/>
      <c r="CB119" t="s">
        <v>857</v>
      </c>
      <c r="CG119" t="s">
        <v>551</v>
      </c>
      <c r="CM119" s="11"/>
      <c r="CN119" s="12"/>
      <c r="CX119" t="s">
        <v>795</v>
      </c>
      <c r="CY119" t="s">
        <v>796</v>
      </c>
    </row>
    <row r="120" spans="1:120" ht="15" customHeight="1" x14ac:dyDescent="0.25">
      <c r="A120" t="s">
        <v>858</v>
      </c>
      <c r="C120" t="s">
        <v>530</v>
      </c>
      <c r="I120">
        <v>1</v>
      </c>
      <c r="K120" s="3" t="s">
        <v>533</v>
      </c>
      <c r="L120" s="3" t="s">
        <v>534</v>
      </c>
      <c r="AC120">
        <v>1</v>
      </c>
      <c r="AG120" t="s">
        <v>535</v>
      </c>
      <c r="AH120">
        <v>1</v>
      </c>
      <c r="AT120" s="5"/>
      <c r="AY120" s="3"/>
      <c r="BD120">
        <v>1</v>
      </c>
      <c r="BO120" s="8" t="s">
        <v>859</v>
      </c>
      <c r="BP120" s="8"/>
      <c r="BV120"/>
      <c r="BW120"/>
      <c r="BX120"/>
      <c r="BY120"/>
      <c r="BZ120"/>
      <c r="CA120"/>
      <c r="CB120" s="3"/>
      <c r="CC120" s="3"/>
      <c r="CD120" s="3"/>
      <c r="CE120" s="3"/>
      <c r="CF120" s="3"/>
      <c r="CH120" s="3"/>
      <c r="CI120" s="3"/>
      <c r="CJ120" s="3"/>
      <c r="CK120" s="3"/>
      <c r="CL120" s="3"/>
      <c r="CM120" s="11"/>
      <c r="CN120" s="12" t="s">
        <v>860</v>
      </c>
      <c r="CO120" t="s">
        <v>861</v>
      </c>
      <c r="CR120">
        <v>99999</v>
      </c>
    </row>
    <row r="121" spans="1:120" x14ac:dyDescent="0.25">
      <c r="A121" t="s">
        <v>859</v>
      </c>
      <c r="C121" t="s">
        <v>670</v>
      </c>
      <c r="H121" t="s">
        <v>862</v>
      </c>
      <c r="I121">
        <v>1</v>
      </c>
      <c r="X121" s="3">
        <v>1</v>
      </c>
      <c r="AC121">
        <v>1</v>
      </c>
      <c r="AG121" t="s">
        <v>714</v>
      </c>
      <c r="AT121" s="5"/>
      <c r="AV121">
        <v>20</v>
      </c>
      <c r="AY121" s="3"/>
      <c r="BD121">
        <v>99</v>
      </c>
      <c r="BO121" s="8"/>
      <c r="BP121" s="8" t="s">
        <v>863</v>
      </c>
      <c r="BS121">
        <v>3</v>
      </c>
      <c r="BV121"/>
      <c r="BW121"/>
      <c r="BX121"/>
      <c r="BY121"/>
      <c r="BZ121"/>
      <c r="CA121"/>
      <c r="CB121" s="3"/>
      <c r="CC121" s="3"/>
      <c r="CD121" s="3"/>
      <c r="CE121" s="3"/>
      <c r="CF121" s="3"/>
      <c r="CH121" s="3"/>
      <c r="CI121" s="3"/>
      <c r="CJ121" s="3"/>
      <c r="CK121" s="3"/>
      <c r="CL121" s="3"/>
      <c r="CM121" s="11"/>
      <c r="CN121" s="12"/>
      <c r="CU121" t="s">
        <v>671</v>
      </c>
      <c r="DD121">
        <v>1</v>
      </c>
      <c r="DG121">
        <v>1</v>
      </c>
      <c r="DH121">
        <v>1</v>
      </c>
    </row>
    <row r="122" spans="1:120" x14ac:dyDescent="0.25">
      <c r="A122" t="s">
        <v>863</v>
      </c>
      <c r="C122" t="s">
        <v>670</v>
      </c>
      <c r="I122">
        <v>1</v>
      </c>
      <c r="K122" s="3" t="s">
        <v>533</v>
      </c>
      <c r="AC122">
        <v>1</v>
      </c>
      <c r="AG122" t="s">
        <v>535</v>
      </c>
      <c r="AT122" s="5"/>
      <c r="AY122" s="3"/>
      <c r="BD122">
        <v>1</v>
      </c>
      <c r="BO122" s="8"/>
      <c r="BP122" s="8"/>
      <c r="BV122"/>
      <c r="BW122"/>
      <c r="BX122"/>
      <c r="BY122"/>
      <c r="BZ122"/>
      <c r="CA122"/>
      <c r="CB122" s="3"/>
      <c r="CC122" s="3"/>
      <c r="CD122" s="3"/>
      <c r="CE122" s="3"/>
      <c r="CF122" s="3"/>
      <c r="CH122" s="3"/>
      <c r="CI122" s="3"/>
      <c r="CJ122" s="3"/>
      <c r="CK122" s="3"/>
      <c r="CL122" s="3"/>
      <c r="CM122" s="11"/>
      <c r="CN122" s="12"/>
      <c r="CU122" t="s">
        <v>864</v>
      </c>
    </row>
    <row r="123" spans="1:120" x14ac:dyDescent="0.25">
      <c r="A123" t="s">
        <v>865</v>
      </c>
      <c r="C123" t="s">
        <v>555</v>
      </c>
      <c r="D123" t="s">
        <v>866</v>
      </c>
      <c r="E123" t="s">
        <v>867</v>
      </c>
      <c r="F123" t="s">
        <v>868</v>
      </c>
      <c r="G123">
        <v>3</v>
      </c>
      <c r="J123" t="s">
        <v>580</v>
      </c>
      <c r="K123" s="3" t="s">
        <v>583</v>
      </c>
      <c r="AC123">
        <v>2</v>
      </c>
      <c r="AO123" t="s">
        <v>548</v>
      </c>
      <c r="AT123" s="5" t="s">
        <v>557</v>
      </c>
      <c r="AX123" t="s">
        <v>558</v>
      </c>
      <c r="AZ123">
        <v>3.52</v>
      </c>
      <c r="BD123">
        <v>1</v>
      </c>
      <c r="BO123" s="8" t="s">
        <v>869</v>
      </c>
      <c r="BP123" s="8"/>
      <c r="BT123">
        <v>1</v>
      </c>
      <c r="BV123" s="4">
        <v>0</v>
      </c>
      <c r="BW123" s="4">
        <v>4</v>
      </c>
      <c r="BX123" s="4">
        <v>1</v>
      </c>
      <c r="BY123" s="4" t="s">
        <v>655</v>
      </c>
      <c r="CB123" t="s">
        <v>661</v>
      </c>
      <c r="CG123" t="s">
        <v>551</v>
      </c>
      <c r="CM123" s="11"/>
      <c r="CN123" s="12" t="s">
        <v>774</v>
      </c>
      <c r="CR123">
        <v>1.5</v>
      </c>
      <c r="CX123" t="s">
        <v>662</v>
      </c>
      <c r="CY123" t="s">
        <v>870</v>
      </c>
    </row>
    <row r="124" spans="1:120" x14ac:dyDescent="0.25">
      <c r="A124" t="s">
        <v>869</v>
      </c>
      <c r="C124" t="s">
        <v>530</v>
      </c>
      <c r="I124">
        <v>1</v>
      </c>
      <c r="K124" s="15" t="s">
        <v>533</v>
      </c>
      <c r="L124" s="15" t="s">
        <v>871</v>
      </c>
      <c r="M124"/>
      <c r="N124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AC124">
        <v>1</v>
      </c>
      <c r="AG124" t="s">
        <v>535</v>
      </c>
      <c r="AH124" s="15"/>
      <c r="AI124" s="15"/>
      <c r="AT124" s="5"/>
      <c r="BD124">
        <v>1</v>
      </c>
      <c r="BO124" s="8"/>
      <c r="BP124" s="8"/>
      <c r="BS124" s="15"/>
      <c r="BT124" s="15"/>
      <c r="BV124" s="16"/>
      <c r="BW124" s="16"/>
      <c r="BX124" s="16"/>
      <c r="BY124" s="16"/>
      <c r="BZ124"/>
      <c r="CA124"/>
      <c r="CB124" t="s">
        <v>872</v>
      </c>
      <c r="CC124" s="15"/>
      <c r="CD124" s="15"/>
      <c r="CE124" s="15"/>
      <c r="CF124" s="15"/>
      <c r="CG124" t="s">
        <v>551</v>
      </c>
      <c r="CM124" s="11"/>
      <c r="CN124" s="11"/>
      <c r="CX124" s="15"/>
      <c r="CZ124" s="16"/>
      <c r="DA124" s="16"/>
      <c r="DB124" s="16"/>
      <c r="DC124" s="16"/>
      <c r="DD124" s="16"/>
      <c r="DE124" s="16"/>
      <c r="DG124" s="15"/>
      <c r="DH124" s="15"/>
      <c r="DI124" s="15"/>
      <c r="DJ124" s="15"/>
      <c r="DL124" s="15"/>
      <c r="DM124" s="15"/>
      <c r="DO124" s="15"/>
      <c r="DP124" s="15"/>
    </row>
    <row r="125" spans="1:120" x14ac:dyDescent="0.25">
      <c r="A125" t="s">
        <v>873</v>
      </c>
      <c r="C125" t="s">
        <v>555</v>
      </c>
      <c r="D125" t="s">
        <v>874</v>
      </c>
      <c r="E125" t="s">
        <v>875</v>
      </c>
      <c r="F125" t="s">
        <v>876</v>
      </c>
      <c r="G125">
        <v>3</v>
      </c>
      <c r="J125" t="s">
        <v>580</v>
      </c>
      <c r="K125" s="3" t="s">
        <v>581</v>
      </c>
      <c r="AB125">
        <v>1</v>
      </c>
      <c r="AC125">
        <v>2</v>
      </c>
      <c r="AD125">
        <v>1</v>
      </c>
      <c r="AO125" t="s">
        <v>548</v>
      </c>
      <c r="AT125" s="5" t="s">
        <v>877</v>
      </c>
      <c r="AX125" t="s">
        <v>558</v>
      </c>
      <c r="AZ125">
        <v>5.5</v>
      </c>
      <c r="BD125">
        <v>7</v>
      </c>
      <c r="BO125" s="8" t="s">
        <v>878</v>
      </c>
      <c r="BP125" s="8"/>
      <c r="BT125">
        <v>1.167</v>
      </c>
      <c r="BV125" s="4">
        <v>20</v>
      </c>
      <c r="BW125" s="4">
        <v>20</v>
      </c>
      <c r="BX125" s="4">
        <v>1</v>
      </c>
      <c r="BY125" s="4" t="s">
        <v>655</v>
      </c>
      <c r="CB125" t="s">
        <v>816</v>
      </c>
      <c r="CG125" t="s">
        <v>551</v>
      </c>
      <c r="CM125" s="11"/>
      <c r="CN125" s="12" t="s">
        <v>879</v>
      </c>
      <c r="CR125">
        <v>1</v>
      </c>
      <c r="CX125" t="s">
        <v>662</v>
      </c>
      <c r="CY125" t="s">
        <v>870</v>
      </c>
    </row>
    <row r="126" spans="1:120" x14ac:dyDescent="0.25">
      <c r="A126" t="s">
        <v>880</v>
      </c>
      <c r="C126" t="s">
        <v>530</v>
      </c>
      <c r="I126">
        <v>1</v>
      </c>
      <c r="Q126" s="3" t="s">
        <v>879</v>
      </c>
      <c r="AC126">
        <v>2</v>
      </c>
      <c r="AD126">
        <v>1</v>
      </c>
      <c r="AT126" s="5"/>
      <c r="AV126">
        <v>20</v>
      </c>
      <c r="AX126" t="s">
        <v>550</v>
      </c>
      <c r="AY126" s="3"/>
      <c r="AZ126">
        <v>5.5</v>
      </c>
      <c r="BD126">
        <v>99</v>
      </c>
      <c r="BO126" s="8"/>
      <c r="BP126" s="8"/>
      <c r="BV126"/>
      <c r="BW126"/>
      <c r="BX126"/>
      <c r="BY126"/>
      <c r="BZ126"/>
      <c r="CA126"/>
      <c r="CB126" s="3"/>
      <c r="CC126" s="3"/>
      <c r="CD126" s="3"/>
      <c r="CE126" s="3"/>
      <c r="CF126" s="3"/>
      <c r="CH126" s="3"/>
      <c r="CI126" s="3"/>
      <c r="CJ126" s="3"/>
      <c r="CK126" s="3"/>
      <c r="CL126" s="3"/>
      <c r="CM126" s="11" t="s">
        <v>879</v>
      </c>
      <c r="CN126" s="12"/>
      <c r="DD126">
        <v>1</v>
      </c>
      <c r="DG126">
        <v>1</v>
      </c>
    </row>
    <row r="127" spans="1:120" x14ac:dyDescent="0.25">
      <c r="A127" t="s">
        <v>881</v>
      </c>
      <c r="C127" t="s">
        <v>530</v>
      </c>
      <c r="I127">
        <v>1</v>
      </c>
      <c r="K127" s="15" t="s">
        <v>533</v>
      </c>
      <c r="L127" s="15" t="s">
        <v>871</v>
      </c>
      <c r="M127"/>
      <c r="N127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AC127">
        <v>1</v>
      </c>
      <c r="AG127" t="s">
        <v>535</v>
      </c>
      <c r="AH127" s="15"/>
      <c r="AI127" s="15"/>
      <c r="AT127" s="5"/>
      <c r="BD127">
        <v>1</v>
      </c>
      <c r="BO127" s="8"/>
      <c r="BP127" s="8"/>
      <c r="BS127" s="15"/>
      <c r="BT127" s="15"/>
      <c r="BV127" s="16"/>
      <c r="BW127" s="16"/>
      <c r="BX127" s="16"/>
      <c r="BY127" s="16"/>
      <c r="BZ127"/>
      <c r="CA127"/>
      <c r="CB127" t="s">
        <v>882</v>
      </c>
      <c r="CC127" s="15"/>
      <c r="CD127" s="15"/>
      <c r="CE127" s="15"/>
      <c r="CF127" s="15"/>
      <c r="CG127" t="s">
        <v>551</v>
      </c>
      <c r="CM127" s="11"/>
      <c r="CN127" s="11"/>
      <c r="CX127" s="15"/>
      <c r="CZ127" s="16"/>
      <c r="DA127" s="16"/>
      <c r="DB127" s="16"/>
      <c r="DC127" s="16"/>
      <c r="DD127" s="16"/>
      <c r="DE127" s="16"/>
      <c r="DG127" s="15"/>
      <c r="DH127" s="15"/>
      <c r="DI127" s="15"/>
      <c r="DJ127" s="15"/>
      <c r="DL127" s="15"/>
      <c r="DM127" s="15"/>
      <c r="DO127" s="15"/>
      <c r="DP127" s="15"/>
    </row>
    <row r="128" spans="1:120" x14ac:dyDescent="0.25">
      <c r="A128" t="s">
        <v>883</v>
      </c>
      <c r="C128" t="s">
        <v>530</v>
      </c>
      <c r="D128" t="s">
        <v>884</v>
      </c>
      <c r="E128" t="s">
        <v>885</v>
      </c>
      <c r="F128" t="s">
        <v>886</v>
      </c>
      <c r="G128">
        <v>3</v>
      </c>
      <c r="J128" t="s">
        <v>580</v>
      </c>
      <c r="K128" s="15" t="s">
        <v>581</v>
      </c>
      <c r="L128" s="15"/>
      <c r="M128"/>
      <c r="N128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AB128">
        <v>1</v>
      </c>
      <c r="AC128">
        <v>2</v>
      </c>
      <c r="AD128">
        <v>1</v>
      </c>
      <c r="AH128" s="15"/>
      <c r="AI128" s="15"/>
      <c r="AT128" s="5" t="s">
        <v>887</v>
      </c>
      <c r="BD128">
        <v>1</v>
      </c>
      <c r="BO128" s="10" t="s">
        <v>888</v>
      </c>
      <c r="BP128" s="10" t="s">
        <v>889</v>
      </c>
      <c r="BT128">
        <v>3</v>
      </c>
      <c r="BV128" s="16">
        <v>16</v>
      </c>
      <c r="BW128" s="16">
        <v>24</v>
      </c>
      <c r="BX128" s="16">
        <v>1</v>
      </c>
      <c r="BY128" s="4" t="s">
        <v>655</v>
      </c>
      <c r="BZ128"/>
      <c r="CA128"/>
      <c r="CM128" s="11"/>
      <c r="CN128" s="11"/>
      <c r="CZ128" s="16"/>
      <c r="DA128" s="16"/>
      <c r="DB128" s="16"/>
      <c r="DC128" s="16"/>
      <c r="DD128" s="16"/>
      <c r="DE128" s="16"/>
      <c r="DL128" s="15"/>
      <c r="DM128" s="15"/>
      <c r="DO128" s="15"/>
      <c r="DP128" s="15"/>
    </row>
    <row r="129" spans="1:120" x14ac:dyDescent="0.25">
      <c r="A129" t="s">
        <v>890</v>
      </c>
      <c r="C129" t="s">
        <v>530</v>
      </c>
      <c r="I129">
        <v>1</v>
      </c>
      <c r="K129" s="15" t="s">
        <v>533</v>
      </c>
      <c r="L129" s="15"/>
      <c r="M129"/>
      <c r="N129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AC129">
        <v>1</v>
      </c>
      <c r="AG129" t="s">
        <v>535</v>
      </c>
      <c r="AH129" s="15"/>
      <c r="AI129" s="15"/>
      <c r="AT129" s="5"/>
      <c r="BD129">
        <v>1</v>
      </c>
      <c r="BO129" s="8"/>
      <c r="BP129" s="8"/>
      <c r="BV129" s="16"/>
      <c r="BW129" s="16"/>
      <c r="BX129" s="16"/>
      <c r="BY129" s="16"/>
      <c r="BZ129"/>
      <c r="CA129"/>
      <c r="CM129" s="11"/>
      <c r="CN129" s="12" t="s">
        <v>891</v>
      </c>
      <c r="CO129">
        <v>-9999</v>
      </c>
      <c r="CP129">
        <v>-99</v>
      </c>
      <c r="CR129">
        <v>3</v>
      </c>
      <c r="CZ129" s="16"/>
      <c r="DA129" s="16"/>
      <c r="DB129" s="16"/>
      <c r="DC129" s="16"/>
      <c r="DD129" s="16"/>
      <c r="DE129" s="16"/>
      <c r="DL129" s="15"/>
      <c r="DM129" s="15"/>
      <c r="DO129" s="15"/>
      <c r="DP129" s="15"/>
    </row>
    <row r="130" spans="1:120" x14ac:dyDescent="0.25">
      <c r="A130" t="s">
        <v>892</v>
      </c>
      <c r="C130" t="s">
        <v>530</v>
      </c>
      <c r="I130">
        <v>1</v>
      </c>
      <c r="K130" s="15" t="s">
        <v>533</v>
      </c>
      <c r="L130" s="15"/>
      <c r="M130"/>
      <c r="N130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AC130">
        <v>1</v>
      </c>
      <c r="AG130" t="s">
        <v>535</v>
      </c>
      <c r="AH130" s="15"/>
      <c r="AI130" s="15"/>
      <c r="AT130" s="5"/>
      <c r="BD130">
        <v>1</v>
      </c>
      <c r="BO130" s="8"/>
      <c r="BP130" s="8"/>
      <c r="BV130" s="16"/>
      <c r="BW130" s="16"/>
      <c r="BX130" s="16"/>
      <c r="BY130" s="16"/>
      <c r="BZ130"/>
      <c r="CA130"/>
      <c r="CM130" s="11"/>
      <c r="CN130" s="12" t="s">
        <v>893</v>
      </c>
      <c r="CR130">
        <v>2.9</v>
      </c>
      <c r="CZ130" s="16"/>
      <c r="DA130" s="16"/>
      <c r="DB130" s="16"/>
      <c r="DC130" s="16"/>
      <c r="DD130" s="16"/>
      <c r="DE130" s="16"/>
      <c r="DL130" s="15"/>
      <c r="DM130" s="15"/>
      <c r="DO130" s="15"/>
      <c r="DP130" s="15"/>
    </row>
    <row r="131" spans="1:120" x14ac:dyDescent="0.25">
      <c r="A131" t="s">
        <v>894</v>
      </c>
      <c r="C131" t="s">
        <v>530</v>
      </c>
      <c r="I131">
        <v>1</v>
      </c>
      <c r="K131" s="15" t="s">
        <v>533</v>
      </c>
      <c r="L131" s="15"/>
      <c r="M131"/>
      <c r="N131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AC131">
        <v>1</v>
      </c>
      <c r="AG131" t="s">
        <v>535</v>
      </c>
      <c r="AH131" s="15"/>
      <c r="AI131" s="15"/>
      <c r="AT131" s="5"/>
      <c r="BD131">
        <v>1</v>
      </c>
      <c r="BO131" s="8"/>
      <c r="BP131" s="8"/>
      <c r="BS131" s="15">
        <v>2.9329999999999998</v>
      </c>
      <c r="BV131" s="16"/>
      <c r="BW131" s="16"/>
      <c r="BX131" s="16"/>
      <c r="BY131" s="16"/>
      <c r="BZ131"/>
      <c r="CA131"/>
      <c r="CB131" t="s">
        <v>895</v>
      </c>
      <c r="CC131" s="15"/>
      <c r="CD131" s="15"/>
      <c r="CE131" s="15"/>
      <c r="CF131" s="15"/>
      <c r="CG131" t="s">
        <v>551</v>
      </c>
      <c r="CM131" s="11"/>
      <c r="CN131" s="11"/>
      <c r="CX131" s="15"/>
      <c r="CZ131" s="16"/>
      <c r="DA131" s="16"/>
      <c r="DB131" s="16"/>
      <c r="DC131" s="16"/>
      <c r="DD131" s="16"/>
      <c r="DE131" s="16"/>
      <c r="DG131" s="15"/>
      <c r="DH131" s="15"/>
      <c r="DI131" s="15"/>
      <c r="DJ131" s="15"/>
      <c r="DL131" s="15"/>
      <c r="DM131" s="15"/>
      <c r="DO131" s="15"/>
      <c r="DP131" s="15"/>
    </row>
    <row r="132" spans="1:120" x14ac:dyDescent="0.25">
      <c r="A132" t="s">
        <v>896</v>
      </c>
      <c r="C132" t="s">
        <v>530</v>
      </c>
      <c r="I132">
        <v>1</v>
      </c>
      <c r="K132" s="15" t="s">
        <v>533</v>
      </c>
      <c r="L132" s="15"/>
      <c r="M132"/>
      <c r="N132"/>
      <c r="O132" s="15"/>
      <c r="P132" s="15"/>
      <c r="Q132" s="15"/>
      <c r="R132" s="15"/>
      <c r="S132" s="15"/>
      <c r="T132" s="15"/>
      <c r="U132" s="15"/>
      <c r="V132" s="15"/>
      <c r="W132" s="15"/>
      <c r="X132" s="3">
        <v>1</v>
      </c>
      <c r="Y132">
        <v>1</v>
      </c>
      <c r="AC132">
        <v>2</v>
      </c>
      <c r="AD132">
        <v>1</v>
      </c>
      <c r="AH132" s="15"/>
      <c r="AI132" s="15"/>
      <c r="AO132" t="s">
        <v>897</v>
      </c>
      <c r="AP132" t="s">
        <v>898</v>
      </c>
      <c r="AT132" s="5" t="s">
        <v>887</v>
      </c>
      <c r="AX132" t="s">
        <v>558</v>
      </c>
      <c r="AZ132">
        <v>3.52</v>
      </c>
      <c r="BA132" s="15"/>
      <c r="BD132">
        <v>1</v>
      </c>
      <c r="BE132">
        <v>8</v>
      </c>
      <c r="BF132">
        <v>0.2</v>
      </c>
      <c r="BG132">
        <v>1</v>
      </c>
      <c r="BO132" s="8"/>
      <c r="BP132" s="8"/>
      <c r="BS132" s="15"/>
      <c r="BV132" s="16"/>
      <c r="BW132" s="16"/>
      <c r="BX132" s="16"/>
      <c r="BY132" s="16"/>
      <c r="BZ132"/>
      <c r="CA132"/>
      <c r="CC132" s="15">
        <v>0.6</v>
      </c>
      <c r="CD132" s="15"/>
      <c r="CE132" s="15"/>
      <c r="CF132" s="15"/>
      <c r="CM132" s="11"/>
      <c r="CN132" s="11"/>
      <c r="CX132" s="15"/>
      <c r="CY132" t="s">
        <v>870</v>
      </c>
      <c r="CZ132" s="16"/>
      <c r="DA132" s="16"/>
      <c r="DB132" s="16"/>
      <c r="DC132" s="16"/>
      <c r="DD132" s="16"/>
      <c r="DE132" s="16"/>
      <c r="DG132" s="15"/>
      <c r="DH132" s="15"/>
      <c r="DI132" s="15"/>
      <c r="DJ132" s="15"/>
      <c r="DL132" s="15"/>
      <c r="DM132" s="15"/>
      <c r="DO132" s="15"/>
      <c r="DP132" s="15"/>
    </row>
    <row r="133" spans="1:120" x14ac:dyDescent="0.25">
      <c r="A133" t="s">
        <v>899</v>
      </c>
      <c r="C133" t="s">
        <v>530</v>
      </c>
      <c r="I133">
        <v>1</v>
      </c>
      <c r="K133" s="15" t="s">
        <v>533</v>
      </c>
      <c r="L133" s="15"/>
      <c r="M133"/>
      <c r="N133"/>
      <c r="O133" s="15"/>
      <c r="P133" s="15"/>
      <c r="Q133" s="15"/>
      <c r="R133" s="15"/>
      <c r="T133" s="15"/>
      <c r="U133" s="15"/>
      <c r="V133" s="15"/>
      <c r="W133" s="15"/>
      <c r="X133" s="3">
        <v>1</v>
      </c>
      <c r="Y133">
        <v>1</v>
      </c>
      <c r="AC133">
        <v>2</v>
      </c>
      <c r="AD133">
        <v>1</v>
      </c>
      <c r="AH133" s="15"/>
      <c r="AI133" s="15"/>
      <c r="AO133" t="s">
        <v>897</v>
      </c>
      <c r="AP133" t="s">
        <v>898</v>
      </c>
      <c r="AT133" s="5" t="s">
        <v>887</v>
      </c>
      <c r="AX133" t="s">
        <v>558</v>
      </c>
      <c r="AZ133">
        <v>3.52</v>
      </c>
      <c r="BA133" s="15"/>
      <c r="BD133">
        <v>1</v>
      </c>
      <c r="BO133" s="8"/>
      <c r="BP133" s="8"/>
      <c r="BS133" s="15"/>
      <c r="BV133" s="16"/>
      <c r="BW133" s="16"/>
      <c r="BX133" s="16"/>
      <c r="BY133" s="16"/>
      <c r="BZ133"/>
      <c r="CA133"/>
      <c r="CC133" s="15">
        <v>3</v>
      </c>
      <c r="CD133" s="15"/>
      <c r="CE133" s="15"/>
      <c r="CF133" s="15"/>
      <c r="CM133" s="11"/>
      <c r="CN133" s="12" t="s">
        <v>774</v>
      </c>
      <c r="CR133">
        <v>4</v>
      </c>
      <c r="CX133" s="15"/>
      <c r="CY133" t="s">
        <v>870</v>
      </c>
      <c r="CZ133" s="16"/>
      <c r="DA133" s="16"/>
      <c r="DB133" s="16"/>
      <c r="DC133" s="16"/>
      <c r="DD133" s="16"/>
      <c r="DE133" s="16"/>
      <c r="DG133" s="15"/>
      <c r="DH133" s="15"/>
      <c r="DI133" s="15"/>
      <c r="DJ133" s="15"/>
      <c r="DL133" s="15"/>
      <c r="DM133" s="15"/>
      <c r="DO133" s="15"/>
      <c r="DP133" s="15"/>
    </row>
    <row r="134" spans="1:120" x14ac:dyDescent="0.25">
      <c r="A134" t="s">
        <v>888</v>
      </c>
      <c r="C134" t="s">
        <v>530</v>
      </c>
      <c r="I134">
        <v>1</v>
      </c>
      <c r="K134" s="15"/>
      <c r="L134" s="15"/>
      <c r="M134"/>
      <c r="N134"/>
      <c r="O134" s="15" t="s">
        <v>856</v>
      </c>
      <c r="P134" s="3" t="s">
        <v>893</v>
      </c>
      <c r="Q134" s="15"/>
      <c r="R134" s="15"/>
      <c r="S134" s="15"/>
      <c r="T134" s="15"/>
      <c r="U134" s="15"/>
      <c r="V134" s="15"/>
      <c r="W134" s="15"/>
      <c r="X134" s="15"/>
      <c r="AC134">
        <v>1</v>
      </c>
      <c r="AG134" t="s">
        <v>535</v>
      </c>
      <c r="AH134" s="15"/>
      <c r="AI134" s="15"/>
      <c r="BD134">
        <v>1</v>
      </c>
      <c r="BO134" s="8"/>
      <c r="BP134" s="8"/>
      <c r="BS134" s="15">
        <v>0.3</v>
      </c>
      <c r="BV134" s="16"/>
      <c r="BW134" s="16"/>
      <c r="BX134" s="16"/>
      <c r="BY134" s="16"/>
      <c r="BZ134"/>
      <c r="CA134"/>
      <c r="CB134" t="s">
        <v>900</v>
      </c>
      <c r="CC134" s="15"/>
      <c r="CD134" s="15"/>
      <c r="CE134" s="15"/>
      <c r="CF134" s="15"/>
      <c r="CG134" t="s">
        <v>551</v>
      </c>
      <c r="CM134" s="11"/>
      <c r="CN134" s="11"/>
      <c r="CX134" s="15"/>
      <c r="CZ134" s="16"/>
      <c r="DA134" s="16"/>
      <c r="DB134" s="16"/>
      <c r="DC134" s="16"/>
      <c r="DD134" s="16"/>
      <c r="DE134" s="16"/>
      <c r="DG134" s="15"/>
      <c r="DH134" s="15"/>
      <c r="DI134" s="15"/>
      <c r="DJ134" s="15"/>
      <c r="DL134" s="15"/>
      <c r="DM134" s="15"/>
      <c r="DO134" s="15"/>
      <c r="DP134" s="15"/>
    </row>
    <row r="135" spans="1:120" x14ac:dyDescent="0.25">
      <c r="BO135" s="10"/>
      <c r="BP135" s="10"/>
      <c r="CM135" s="11"/>
      <c r="CN135" s="11"/>
    </row>
    <row r="136" spans="1:120" x14ac:dyDescent="0.25">
      <c r="A136" t="s">
        <v>901</v>
      </c>
      <c r="C136" t="s">
        <v>530</v>
      </c>
      <c r="K136" s="15"/>
      <c r="P136" t="s">
        <v>902</v>
      </c>
      <c r="AC136">
        <v>2</v>
      </c>
      <c r="AD136">
        <v>1</v>
      </c>
      <c r="AT136" t="s">
        <v>585</v>
      </c>
      <c r="AX136" t="s">
        <v>558</v>
      </c>
      <c r="AZ136">
        <v>1</v>
      </c>
      <c r="BD136">
        <v>1</v>
      </c>
      <c r="BO136" s="8" t="s">
        <v>903</v>
      </c>
      <c r="BP136" s="8"/>
      <c r="CB136" t="s">
        <v>904</v>
      </c>
      <c r="CG136" t="s">
        <v>551</v>
      </c>
      <c r="CH136" t="s">
        <v>905</v>
      </c>
      <c r="CI136" t="s">
        <v>598</v>
      </c>
      <c r="CM136" s="11"/>
      <c r="CN136" s="12"/>
      <c r="CW136" t="s">
        <v>906</v>
      </c>
      <c r="CY136" t="s">
        <v>820</v>
      </c>
    </row>
    <row r="137" spans="1:120" x14ac:dyDescent="0.25">
      <c r="A137" t="s">
        <v>903</v>
      </c>
      <c r="C137" t="s">
        <v>530</v>
      </c>
      <c r="K137" s="15"/>
      <c r="P137" t="s">
        <v>902</v>
      </c>
      <c r="AA137">
        <v>0.2</v>
      </c>
      <c r="AC137">
        <v>2</v>
      </c>
      <c r="AD137">
        <v>1</v>
      </c>
      <c r="AT137" t="s">
        <v>585</v>
      </c>
      <c r="AX137" t="s">
        <v>558</v>
      </c>
      <c r="AZ137">
        <v>1.6</v>
      </c>
      <c r="BD137">
        <v>1</v>
      </c>
      <c r="BO137" s="8"/>
      <c r="BP137" s="8"/>
      <c r="CB137" t="s">
        <v>904</v>
      </c>
      <c r="CG137" t="s">
        <v>551</v>
      </c>
      <c r="CH137" t="s">
        <v>905</v>
      </c>
      <c r="CI137" t="s">
        <v>598</v>
      </c>
      <c r="CM137" s="11"/>
      <c r="CN137" s="12" t="s">
        <v>907</v>
      </c>
      <c r="CO137">
        <v>-0.2</v>
      </c>
      <c r="CR137">
        <v>5</v>
      </c>
      <c r="CW137" t="s">
        <v>906</v>
      </c>
      <c r="CY137" t="s">
        <v>820</v>
      </c>
    </row>
    <row r="138" spans="1:120" ht="15" customHeight="1" x14ac:dyDescent="0.25">
      <c r="A138" t="s">
        <v>908</v>
      </c>
      <c r="C138" t="s">
        <v>530</v>
      </c>
      <c r="I138">
        <v>1</v>
      </c>
      <c r="K138" s="3" t="s">
        <v>533</v>
      </c>
      <c r="L138" s="3" t="s">
        <v>534</v>
      </c>
      <c r="AC138">
        <v>1</v>
      </c>
      <c r="AG138" t="s">
        <v>535</v>
      </c>
      <c r="AH138">
        <v>1</v>
      </c>
      <c r="AT138" s="5"/>
      <c r="AY138" s="3"/>
      <c r="BD138">
        <v>1</v>
      </c>
      <c r="BO138" s="8" t="s">
        <v>909</v>
      </c>
      <c r="BP138" s="8"/>
      <c r="BV138"/>
      <c r="BW138"/>
      <c r="BX138"/>
      <c r="BY138"/>
      <c r="BZ138"/>
      <c r="CA138"/>
      <c r="CB138" s="3"/>
      <c r="CC138" s="3"/>
      <c r="CD138" s="3"/>
      <c r="CE138" s="3"/>
      <c r="CF138" s="3"/>
      <c r="CH138" s="3"/>
      <c r="CI138" s="3"/>
      <c r="CJ138" s="3"/>
      <c r="CK138" s="3"/>
      <c r="CL138" s="3"/>
      <c r="CM138" s="11"/>
      <c r="CN138" s="12" t="s">
        <v>910</v>
      </c>
      <c r="CO138">
        <v>-25</v>
      </c>
      <c r="CR138">
        <v>99999</v>
      </c>
    </row>
    <row r="139" spans="1:120" ht="15" customHeight="1" x14ac:dyDescent="0.25">
      <c r="A139" t="s">
        <v>909</v>
      </c>
      <c r="C139" t="s">
        <v>530</v>
      </c>
      <c r="I139">
        <v>1</v>
      </c>
      <c r="K139" s="3" t="s">
        <v>533</v>
      </c>
      <c r="L139" s="3" t="s">
        <v>603</v>
      </c>
      <c r="AC139">
        <v>1</v>
      </c>
      <c r="AF139">
        <v>1</v>
      </c>
      <c r="AG139" t="s">
        <v>714</v>
      </c>
      <c r="AH139">
        <v>1</v>
      </c>
      <c r="AI139" t="s">
        <v>194</v>
      </c>
      <c r="AT139" s="5"/>
      <c r="AV139">
        <v>20</v>
      </c>
      <c r="AY139" s="3"/>
      <c r="BD139">
        <v>1</v>
      </c>
      <c r="BO139" s="8"/>
      <c r="BP139" s="8" t="s">
        <v>911</v>
      </c>
      <c r="BV139"/>
      <c r="BW139"/>
      <c r="BX139"/>
      <c r="BY139"/>
      <c r="BZ139"/>
      <c r="CA139"/>
      <c r="CB139" s="3"/>
      <c r="CC139" s="3"/>
      <c r="CD139" s="3"/>
      <c r="CE139" s="3"/>
      <c r="CF139" s="3"/>
      <c r="CH139" s="3"/>
      <c r="CI139" s="3"/>
      <c r="CJ139" s="3"/>
      <c r="CK139" s="3"/>
      <c r="CL139" s="3"/>
      <c r="CM139" s="11"/>
      <c r="CN139" s="12" t="s">
        <v>912</v>
      </c>
      <c r="CO139">
        <v>0.15</v>
      </c>
      <c r="CR139">
        <v>99999</v>
      </c>
      <c r="DD139">
        <v>1</v>
      </c>
      <c r="DG139">
        <v>1</v>
      </c>
      <c r="DH139">
        <v>1</v>
      </c>
    </row>
    <row r="140" spans="1:120" x14ac:dyDescent="0.25">
      <c r="A140" t="s">
        <v>911</v>
      </c>
      <c r="C140" t="s">
        <v>530</v>
      </c>
      <c r="I140">
        <v>1</v>
      </c>
      <c r="K140" s="3" t="s">
        <v>533</v>
      </c>
      <c r="AC140">
        <v>1</v>
      </c>
      <c r="AG140" t="s">
        <v>535</v>
      </c>
      <c r="AH140">
        <v>1</v>
      </c>
      <c r="AT140" s="5"/>
      <c r="AY140" s="3"/>
      <c r="BD140">
        <v>99</v>
      </c>
      <c r="BO140" s="8"/>
      <c r="BP140" s="8"/>
      <c r="BV140"/>
      <c r="BW140"/>
      <c r="BX140"/>
      <c r="BY140"/>
      <c r="BZ140"/>
      <c r="CA140"/>
      <c r="CB140" s="3"/>
      <c r="CC140" s="3"/>
      <c r="CD140" s="3"/>
      <c r="CE140" s="3"/>
      <c r="CF140" s="3"/>
      <c r="CH140" s="3"/>
      <c r="CI140" s="3"/>
      <c r="CJ140" s="3"/>
      <c r="CK140" s="3"/>
      <c r="CL140" s="3"/>
      <c r="CM140" s="11"/>
      <c r="CN140" s="12" t="s">
        <v>912</v>
      </c>
      <c r="CO140">
        <v>0.15</v>
      </c>
      <c r="CR140">
        <v>99999</v>
      </c>
      <c r="DD140">
        <v>1</v>
      </c>
      <c r="DG140">
        <v>1</v>
      </c>
      <c r="DH140">
        <v>1</v>
      </c>
    </row>
    <row r="141" spans="1:120" x14ac:dyDescent="0.25">
      <c r="A141" t="s">
        <v>913</v>
      </c>
      <c r="C141" t="s">
        <v>530</v>
      </c>
      <c r="D141" t="s">
        <v>914</v>
      </c>
      <c r="E141" t="s">
        <v>915</v>
      </c>
      <c r="F141" t="s">
        <v>916</v>
      </c>
      <c r="G141">
        <v>3</v>
      </c>
      <c r="J141" t="s">
        <v>580</v>
      </c>
      <c r="K141" s="3" t="s">
        <v>583</v>
      </c>
      <c r="P141"/>
      <c r="AC141">
        <v>2</v>
      </c>
      <c r="AD141">
        <v>1</v>
      </c>
      <c r="AT141" t="s">
        <v>585</v>
      </c>
      <c r="BD141">
        <v>1</v>
      </c>
      <c r="BO141" s="8"/>
      <c r="BP141" s="8" t="s">
        <v>917</v>
      </c>
      <c r="BQ141" t="s">
        <v>918</v>
      </c>
      <c r="BT141">
        <v>0.2</v>
      </c>
      <c r="BV141" s="4">
        <v>0</v>
      </c>
      <c r="BW141" s="4">
        <v>3</v>
      </c>
      <c r="BX141" s="4">
        <v>1</v>
      </c>
      <c r="BY141" s="4" t="s">
        <v>655</v>
      </c>
      <c r="CG141" t="s">
        <v>551</v>
      </c>
      <c r="CM141" s="11"/>
      <c r="CN141" s="12"/>
    </row>
    <row r="142" spans="1:120" x14ac:dyDescent="0.25">
      <c r="A142" t="s">
        <v>919</v>
      </c>
      <c r="C142" t="s">
        <v>530</v>
      </c>
      <c r="K142" s="3" t="s">
        <v>533</v>
      </c>
      <c r="P142"/>
      <c r="AC142">
        <v>2</v>
      </c>
      <c r="AD142">
        <v>1</v>
      </c>
      <c r="AT142" t="s">
        <v>585</v>
      </c>
      <c r="AX142" t="s">
        <v>558</v>
      </c>
      <c r="AZ142">
        <v>2.2000000000000002</v>
      </c>
      <c r="BD142">
        <v>1</v>
      </c>
      <c r="BO142" s="8"/>
      <c r="BP142" s="8"/>
      <c r="CB142" t="s">
        <v>904</v>
      </c>
      <c r="CG142" t="s">
        <v>551</v>
      </c>
      <c r="CH142" t="s">
        <v>905</v>
      </c>
      <c r="CI142" t="s">
        <v>598</v>
      </c>
      <c r="CM142" s="11"/>
      <c r="CN142" s="12"/>
      <c r="CW142" t="s">
        <v>906</v>
      </c>
      <c r="CY142" t="s">
        <v>820</v>
      </c>
    </row>
    <row r="143" spans="1:120" x14ac:dyDescent="0.25">
      <c r="A143" t="s">
        <v>920</v>
      </c>
      <c r="C143" t="s">
        <v>530</v>
      </c>
      <c r="K143" s="3" t="s">
        <v>533</v>
      </c>
      <c r="P143"/>
      <c r="AC143">
        <v>2</v>
      </c>
      <c r="AD143">
        <v>1</v>
      </c>
      <c r="AT143" t="s">
        <v>585</v>
      </c>
      <c r="AX143" t="s">
        <v>558</v>
      </c>
      <c r="AZ143">
        <v>3.52</v>
      </c>
      <c r="BD143">
        <v>1</v>
      </c>
      <c r="BO143" s="8"/>
      <c r="BP143" s="8"/>
      <c r="CB143" t="s">
        <v>904</v>
      </c>
      <c r="CG143" t="s">
        <v>551</v>
      </c>
      <c r="CH143" t="s">
        <v>905</v>
      </c>
      <c r="CI143" t="s">
        <v>598</v>
      </c>
      <c r="CM143" s="11"/>
      <c r="CN143" s="12" t="s">
        <v>907</v>
      </c>
      <c r="CO143">
        <v>-0.2</v>
      </c>
      <c r="CR143">
        <v>5</v>
      </c>
      <c r="CW143" t="s">
        <v>906</v>
      </c>
      <c r="CY143" t="s">
        <v>820</v>
      </c>
    </row>
    <row r="144" spans="1:120" x14ac:dyDescent="0.25">
      <c r="A144" t="s">
        <v>921</v>
      </c>
      <c r="C144" t="s">
        <v>530</v>
      </c>
      <c r="D144" t="s">
        <v>922</v>
      </c>
      <c r="E144" t="s">
        <v>923</v>
      </c>
      <c r="F144" t="s">
        <v>924</v>
      </c>
      <c r="G144">
        <v>3</v>
      </c>
      <c r="J144" t="s">
        <v>580</v>
      </c>
      <c r="K144" s="3" t="s">
        <v>581</v>
      </c>
      <c r="AC144">
        <v>1</v>
      </c>
      <c r="AG144" t="s">
        <v>535</v>
      </c>
      <c r="AT144" s="5"/>
      <c r="AY144" s="3"/>
      <c r="BD144">
        <v>1</v>
      </c>
      <c r="BO144" s="8" t="s">
        <v>925</v>
      </c>
      <c r="BP144" s="8"/>
      <c r="BT144">
        <v>40</v>
      </c>
      <c r="BV144" s="4">
        <v>20</v>
      </c>
      <c r="BW144" s="4">
        <v>30</v>
      </c>
      <c r="BX144" s="4">
        <v>1</v>
      </c>
      <c r="BY144" s="4" t="s">
        <v>583</v>
      </c>
      <c r="CB144" s="3"/>
      <c r="CC144" s="3"/>
      <c r="CD144" s="3"/>
      <c r="CE144" s="3"/>
      <c r="CF144" s="3"/>
      <c r="CH144" s="3"/>
      <c r="CI144" s="3"/>
      <c r="CK144" s="3"/>
      <c r="CL144" s="3"/>
      <c r="CM144" s="11"/>
      <c r="CN144" s="12" t="s">
        <v>926</v>
      </c>
      <c r="CO144">
        <v>1.3</v>
      </c>
      <c r="CR144">
        <v>40</v>
      </c>
    </row>
    <row r="145" spans="1:120" x14ac:dyDescent="0.25">
      <c r="A145" t="s">
        <v>927</v>
      </c>
      <c r="C145" t="s">
        <v>530</v>
      </c>
      <c r="K145" s="15"/>
      <c r="O145" s="3" t="s">
        <v>926</v>
      </c>
      <c r="P145"/>
      <c r="AC145">
        <v>2</v>
      </c>
      <c r="AD145">
        <v>1</v>
      </c>
      <c r="AT145" t="s">
        <v>585</v>
      </c>
      <c r="AX145" t="s">
        <v>558</v>
      </c>
      <c r="AZ145">
        <v>1</v>
      </c>
      <c r="BD145">
        <v>1</v>
      </c>
      <c r="BO145" s="8"/>
      <c r="BP145" s="8"/>
      <c r="CB145" t="s">
        <v>904</v>
      </c>
      <c r="CG145" t="s">
        <v>551</v>
      </c>
      <c r="CH145" t="s">
        <v>905</v>
      </c>
      <c r="CI145" t="s">
        <v>598</v>
      </c>
      <c r="CM145" s="11"/>
      <c r="CN145" s="12"/>
      <c r="CW145" t="s">
        <v>906</v>
      </c>
      <c r="CY145" t="s">
        <v>820</v>
      </c>
    </row>
    <row r="146" spans="1:120" x14ac:dyDescent="0.25">
      <c r="A146" t="s">
        <v>928</v>
      </c>
      <c r="C146" t="s">
        <v>530</v>
      </c>
      <c r="K146" s="15"/>
      <c r="O146" s="3" t="s">
        <v>926</v>
      </c>
      <c r="P146"/>
      <c r="AA146">
        <v>0.5</v>
      </c>
      <c r="AC146">
        <v>2</v>
      </c>
      <c r="AD146">
        <v>1</v>
      </c>
      <c r="AT146" t="s">
        <v>585</v>
      </c>
      <c r="AX146" t="s">
        <v>558</v>
      </c>
      <c r="AZ146">
        <v>1.6</v>
      </c>
      <c r="BD146">
        <v>1</v>
      </c>
      <c r="BO146" s="8"/>
      <c r="BP146" s="8"/>
      <c r="CB146" t="s">
        <v>904</v>
      </c>
      <c r="CG146" t="s">
        <v>551</v>
      </c>
      <c r="CH146" t="s">
        <v>905</v>
      </c>
      <c r="CI146" t="s">
        <v>598</v>
      </c>
      <c r="CM146" s="11"/>
      <c r="CN146" s="12" t="s">
        <v>907</v>
      </c>
      <c r="CO146">
        <v>-0.2</v>
      </c>
      <c r="CR146">
        <v>5</v>
      </c>
      <c r="CW146" t="s">
        <v>906</v>
      </c>
      <c r="CY146" t="s">
        <v>820</v>
      </c>
    </row>
    <row r="147" spans="1:120" x14ac:dyDescent="0.25">
      <c r="A147" t="s">
        <v>929</v>
      </c>
      <c r="C147" t="s">
        <v>530</v>
      </c>
      <c r="D147" t="s">
        <v>930</v>
      </c>
      <c r="E147" t="s">
        <v>931</v>
      </c>
      <c r="F147" t="s">
        <v>932</v>
      </c>
      <c r="G147">
        <v>3</v>
      </c>
      <c r="J147" t="s">
        <v>580</v>
      </c>
      <c r="K147" s="3" t="s">
        <v>581</v>
      </c>
      <c r="AB147">
        <v>1</v>
      </c>
      <c r="AC147">
        <v>1</v>
      </c>
      <c r="AG147" t="s">
        <v>535</v>
      </c>
      <c r="AT147" s="5"/>
      <c r="AY147" s="3"/>
      <c r="BD147">
        <v>1</v>
      </c>
      <c r="BO147" s="8" t="s">
        <v>933</v>
      </c>
      <c r="BP147" s="8"/>
      <c r="BS147">
        <v>0.6</v>
      </c>
      <c r="BT147">
        <v>25</v>
      </c>
      <c r="BV147" s="4">
        <v>12</v>
      </c>
      <c r="BW147" s="4">
        <v>25</v>
      </c>
      <c r="BX147" s="4">
        <v>1</v>
      </c>
      <c r="BY147" s="4" t="s">
        <v>583</v>
      </c>
      <c r="CB147" s="3" t="s">
        <v>934</v>
      </c>
      <c r="CC147" s="3"/>
      <c r="CD147" s="3"/>
      <c r="CE147" s="3"/>
      <c r="CF147" s="3"/>
      <c r="CG147" t="s">
        <v>551</v>
      </c>
      <c r="CH147" s="3"/>
      <c r="CI147" s="3"/>
      <c r="CK147" s="3"/>
      <c r="CL147" s="3"/>
      <c r="CM147" s="11" t="s">
        <v>935</v>
      </c>
      <c r="CN147" s="12" t="s">
        <v>936</v>
      </c>
      <c r="CO147" t="s">
        <v>937</v>
      </c>
      <c r="CR147">
        <v>25</v>
      </c>
    </row>
    <row r="148" spans="1:120" x14ac:dyDescent="0.25">
      <c r="A148" t="s">
        <v>938</v>
      </c>
      <c r="C148" t="s">
        <v>530</v>
      </c>
      <c r="J148" t="s">
        <v>939</v>
      </c>
      <c r="K148" s="15"/>
      <c r="P148"/>
      <c r="AC148">
        <v>2</v>
      </c>
      <c r="AD148">
        <v>1</v>
      </c>
      <c r="AT148" t="s">
        <v>940</v>
      </c>
      <c r="AX148" t="s">
        <v>558</v>
      </c>
      <c r="AZ148">
        <v>1.6</v>
      </c>
      <c r="BD148">
        <v>1</v>
      </c>
      <c r="BO148" s="8"/>
      <c r="BP148" s="8"/>
      <c r="CB148" s="3" t="s">
        <v>941</v>
      </c>
      <c r="CG148" t="s">
        <v>551</v>
      </c>
      <c r="CH148" t="s">
        <v>942</v>
      </c>
      <c r="CI148" t="s">
        <v>598</v>
      </c>
      <c r="CM148" s="11"/>
      <c r="CN148" s="12" t="s">
        <v>907</v>
      </c>
      <c r="CO148">
        <v>-0.2</v>
      </c>
      <c r="CR148">
        <v>5</v>
      </c>
      <c r="CW148" t="s">
        <v>906</v>
      </c>
      <c r="CY148" t="s">
        <v>943</v>
      </c>
    </row>
    <row r="149" spans="1:120" x14ac:dyDescent="0.25">
      <c r="A149" t="s">
        <v>944</v>
      </c>
      <c r="C149" t="s">
        <v>530</v>
      </c>
      <c r="I149">
        <v>1</v>
      </c>
      <c r="K149" s="15" t="s">
        <v>533</v>
      </c>
      <c r="L149" s="15" t="s">
        <v>871</v>
      </c>
      <c r="M149"/>
      <c r="N149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AC149">
        <v>1</v>
      </c>
      <c r="AG149" t="s">
        <v>535</v>
      </c>
      <c r="AH149" s="15"/>
      <c r="AI149" s="15"/>
      <c r="AT149" s="5"/>
      <c r="BD149">
        <v>1</v>
      </c>
      <c r="BO149" s="8"/>
      <c r="BP149" s="8"/>
      <c r="BS149" s="15"/>
      <c r="BT149" s="15"/>
      <c r="BV149" s="16"/>
      <c r="BW149" s="16"/>
      <c r="BX149" s="16"/>
      <c r="BY149" s="16"/>
      <c r="BZ149"/>
      <c r="CA149"/>
      <c r="CB149" t="s">
        <v>872</v>
      </c>
      <c r="CC149" s="15"/>
      <c r="CD149" s="15"/>
      <c r="CE149" s="15"/>
      <c r="CF149" s="15"/>
      <c r="CG149" t="s">
        <v>551</v>
      </c>
      <c r="CM149" s="11" t="s">
        <v>945</v>
      </c>
      <c r="CN149" s="11" t="s">
        <v>935</v>
      </c>
      <c r="CR149">
        <v>1</v>
      </c>
      <c r="CX149" s="15"/>
      <c r="CZ149" s="16"/>
      <c r="DA149" s="16"/>
      <c r="DB149" s="16"/>
      <c r="DC149" s="16"/>
      <c r="DD149" s="16"/>
      <c r="DE149" s="16"/>
      <c r="DG149" s="15"/>
      <c r="DH149" s="15"/>
      <c r="DI149" s="15"/>
      <c r="DJ149" s="15"/>
      <c r="DL149" s="15"/>
      <c r="DM149" s="15"/>
      <c r="DO149" s="15"/>
      <c r="DP149" s="15"/>
    </row>
    <row r="150" spans="1:120" x14ac:dyDescent="0.25"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BO150" s="10"/>
      <c r="BP150" s="10"/>
      <c r="BV150"/>
      <c r="BW150"/>
      <c r="BX150"/>
      <c r="BY150"/>
      <c r="BZ150"/>
      <c r="CA150"/>
      <c r="CM150" s="11"/>
      <c r="CN150" s="11"/>
    </row>
    <row r="151" spans="1:120" ht="15" customHeight="1" x14ac:dyDescent="0.25">
      <c r="A151" t="s">
        <v>946</v>
      </c>
      <c r="C151" t="s">
        <v>555</v>
      </c>
      <c r="AC151">
        <v>2</v>
      </c>
      <c r="AO151" t="s">
        <v>548</v>
      </c>
      <c r="AT151" s="5" t="s">
        <v>557</v>
      </c>
      <c r="AX151" t="s">
        <v>558</v>
      </c>
      <c r="AZ151">
        <v>1</v>
      </c>
      <c r="BD151">
        <v>1</v>
      </c>
      <c r="BO151" s="8"/>
      <c r="BP151" s="8" t="s">
        <v>947</v>
      </c>
      <c r="CB151" t="s">
        <v>76</v>
      </c>
      <c r="CG151" t="s">
        <v>551</v>
      </c>
      <c r="CM151" s="11"/>
      <c r="CN151" s="12"/>
      <c r="CX151" t="s">
        <v>795</v>
      </c>
      <c r="CY151" t="s">
        <v>796</v>
      </c>
    </row>
    <row r="152" spans="1:120" x14ac:dyDescent="0.25">
      <c r="A152" t="s">
        <v>947</v>
      </c>
      <c r="C152" t="s">
        <v>530</v>
      </c>
      <c r="I152">
        <v>1</v>
      </c>
      <c r="K152" s="15" t="s">
        <v>533</v>
      </c>
      <c r="L152" s="15"/>
      <c r="M152"/>
      <c r="N152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AC152">
        <v>1</v>
      </c>
      <c r="AG152" t="s">
        <v>535</v>
      </c>
      <c r="AH152" s="15"/>
      <c r="AI152" s="15"/>
      <c r="AT152" s="5"/>
      <c r="AY152">
        <v>1</v>
      </c>
      <c r="AZ152">
        <v>70</v>
      </c>
      <c r="BB152">
        <v>2</v>
      </c>
      <c r="BD152">
        <v>1</v>
      </c>
      <c r="BO152" s="8"/>
      <c r="BP152" s="8"/>
      <c r="BS152" s="15"/>
      <c r="BV152" s="16"/>
      <c r="BW152" s="16"/>
      <c r="BX152" s="16"/>
      <c r="BY152" s="16"/>
      <c r="BZ152"/>
      <c r="CA152"/>
      <c r="CC152" s="15"/>
      <c r="CD152" s="15"/>
      <c r="CE152" s="15"/>
      <c r="CF152" s="15"/>
      <c r="CM152" s="11"/>
      <c r="CN152" s="11"/>
      <c r="CX152" s="15"/>
      <c r="CZ152" s="16"/>
      <c r="DA152" s="16"/>
      <c r="DB152" s="16"/>
      <c r="DC152" s="16"/>
      <c r="DD152" s="16"/>
      <c r="DE152" s="16"/>
      <c r="DG152" s="15"/>
      <c r="DH152" s="15"/>
      <c r="DI152" s="15"/>
      <c r="DJ152" s="15"/>
      <c r="DL152" s="15"/>
      <c r="DM152" s="15"/>
      <c r="DO152" s="15"/>
      <c r="DP152" s="15"/>
    </row>
    <row r="153" spans="1:120" ht="15" customHeight="1" x14ac:dyDescent="0.25">
      <c r="A153" t="s">
        <v>948</v>
      </c>
      <c r="C153" t="s">
        <v>530</v>
      </c>
      <c r="I153">
        <v>1</v>
      </c>
      <c r="K153" s="3" t="s">
        <v>533</v>
      </c>
      <c r="L153" s="3" t="s">
        <v>534</v>
      </c>
      <c r="AC153">
        <v>1</v>
      </c>
      <c r="AG153" t="s">
        <v>535</v>
      </c>
      <c r="AH153">
        <v>1</v>
      </c>
      <c r="AT153" s="5"/>
      <c r="AY153" s="3"/>
      <c r="BD153">
        <v>1</v>
      </c>
      <c r="BO153" s="8" t="s">
        <v>949</v>
      </c>
      <c r="BP153" s="8"/>
      <c r="BV153"/>
      <c r="BW153"/>
      <c r="BX153"/>
      <c r="BY153"/>
      <c r="BZ153"/>
      <c r="CA153"/>
      <c r="CB153" s="3"/>
      <c r="CC153" s="3"/>
      <c r="CD153" s="3"/>
      <c r="CE153" s="3"/>
      <c r="CF153" s="3"/>
      <c r="CH153" s="3"/>
      <c r="CI153" s="3"/>
      <c r="CJ153" s="3"/>
      <c r="CK153" s="3"/>
      <c r="CL153" s="3"/>
      <c r="CM153" s="11"/>
      <c r="CN153" s="12" t="s">
        <v>950</v>
      </c>
      <c r="CR153">
        <v>99999</v>
      </c>
    </row>
    <row r="154" spans="1:120" x14ac:dyDescent="0.25">
      <c r="A154" t="s">
        <v>951</v>
      </c>
      <c r="C154" t="s">
        <v>530</v>
      </c>
      <c r="I154">
        <v>1</v>
      </c>
      <c r="T154" s="3">
        <v>0.5</v>
      </c>
      <c r="U154"/>
      <c r="AC154">
        <v>1</v>
      </c>
      <c r="AG154" t="s">
        <v>535</v>
      </c>
      <c r="AT154" s="5"/>
      <c r="BD154">
        <v>1</v>
      </c>
      <c r="BO154" s="8"/>
      <c r="BP154" s="8"/>
      <c r="BS154">
        <v>0.1</v>
      </c>
      <c r="CM154" s="11"/>
      <c r="CN154" s="12" t="s">
        <v>952</v>
      </c>
      <c r="CO154">
        <v>130</v>
      </c>
      <c r="CR154">
        <v>0.2</v>
      </c>
    </row>
    <row r="155" spans="1:120" x14ac:dyDescent="0.25">
      <c r="A155" t="s">
        <v>953</v>
      </c>
      <c r="C155" t="s">
        <v>530</v>
      </c>
      <c r="I155">
        <v>1</v>
      </c>
      <c r="T155"/>
      <c r="U155" s="3">
        <v>0.75</v>
      </c>
      <c r="V155" s="3">
        <v>0.5</v>
      </c>
      <c r="AC155">
        <v>1</v>
      </c>
      <c r="AG155" t="s">
        <v>535</v>
      </c>
      <c r="AT155" s="5"/>
      <c r="BD155">
        <v>1</v>
      </c>
      <c r="BO155" s="8"/>
      <c r="BP155" s="8"/>
      <c r="BS155">
        <v>0.1</v>
      </c>
      <c r="CM155" s="11"/>
      <c r="CN155" s="12" t="s">
        <v>952</v>
      </c>
      <c r="CO155">
        <v>65</v>
      </c>
      <c r="CR155">
        <v>0.2</v>
      </c>
    </row>
    <row r="156" spans="1:120" x14ac:dyDescent="0.25">
      <c r="A156" t="s">
        <v>954</v>
      </c>
      <c r="C156" t="s">
        <v>530</v>
      </c>
      <c r="I156">
        <v>1</v>
      </c>
      <c r="T156"/>
      <c r="U156"/>
      <c r="Z156">
        <v>1</v>
      </c>
      <c r="AC156">
        <v>1</v>
      </c>
      <c r="AG156" t="s">
        <v>535</v>
      </c>
      <c r="AT156" s="5"/>
      <c r="BD156">
        <v>1</v>
      </c>
      <c r="BO156" s="8"/>
      <c r="BP156" s="8"/>
      <c r="BS156">
        <v>0.1</v>
      </c>
      <c r="CM156" s="11"/>
      <c r="CN156" s="12" t="s">
        <v>955</v>
      </c>
      <c r="CO156">
        <v>60</v>
      </c>
      <c r="CR156">
        <v>0.2</v>
      </c>
    </row>
    <row r="157" spans="1:120" ht="15" customHeight="1" x14ac:dyDescent="0.25">
      <c r="A157" t="s">
        <v>956</v>
      </c>
      <c r="C157" t="s">
        <v>555</v>
      </c>
      <c r="D157" t="s">
        <v>957</v>
      </c>
      <c r="E157" t="s">
        <v>958</v>
      </c>
      <c r="F157" t="s">
        <v>959</v>
      </c>
      <c r="G157">
        <v>3</v>
      </c>
      <c r="J157" t="s">
        <v>580</v>
      </c>
      <c r="K157" s="3" t="s">
        <v>583</v>
      </c>
      <c r="AC157">
        <v>2</v>
      </c>
      <c r="AO157" t="s">
        <v>548</v>
      </c>
      <c r="AT157" s="5" t="s">
        <v>557</v>
      </c>
      <c r="AX157" t="s">
        <v>558</v>
      </c>
      <c r="AZ157">
        <v>1.75</v>
      </c>
      <c r="BD157">
        <v>1</v>
      </c>
      <c r="BE157">
        <v>1</v>
      </c>
      <c r="BF157">
        <v>0.1</v>
      </c>
      <c r="BO157" s="8"/>
      <c r="BP157" s="8" t="s">
        <v>960</v>
      </c>
      <c r="BT157">
        <v>0.2</v>
      </c>
      <c r="BV157" s="4">
        <v>0</v>
      </c>
      <c r="BW157" s="4">
        <v>2</v>
      </c>
      <c r="BX157" s="4">
        <v>1</v>
      </c>
      <c r="BY157" s="4" t="s">
        <v>655</v>
      </c>
      <c r="CB157" t="s">
        <v>661</v>
      </c>
      <c r="CG157" t="s">
        <v>551</v>
      </c>
      <c r="CM157" s="11"/>
      <c r="CN157" s="12"/>
      <c r="CX157" t="s">
        <v>795</v>
      </c>
      <c r="CY157" t="s">
        <v>796</v>
      </c>
    </row>
    <row r="158" spans="1:120" x14ac:dyDescent="0.25">
      <c r="A158" t="s">
        <v>960</v>
      </c>
      <c r="C158" t="s">
        <v>530</v>
      </c>
      <c r="I158">
        <v>1</v>
      </c>
      <c r="K158" s="15" t="s">
        <v>533</v>
      </c>
      <c r="L158" s="15"/>
      <c r="M158"/>
      <c r="N158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AC158">
        <v>1</v>
      </c>
      <c r="AG158" t="s">
        <v>535</v>
      </c>
      <c r="AH158" s="15"/>
      <c r="AI158" s="15"/>
      <c r="AT158" s="5"/>
      <c r="AY158">
        <v>1</v>
      </c>
      <c r="AZ158">
        <v>70</v>
      </c>
      <c r="BB158">
        <v>2</v>
      </c>
      <c r="BD158">
        <v>1</v>
      </c>
      <c r="BE158">
        <v>1</v>
      </c>
      <c r="BF158">
        <v>0.1</v>
      </c>
      <c r="BO158" s="8"/>
      <c r="BP158" s="8"/>
      <c r="BV158"/>
      <c r="BW158"/>
      <c r="BX158"/>
      <c r="BY158"/>
      <c r="BZ158"/>
      <c r="CA158"/>
      <c r="CC158" s="15"/>
      <c r="CD158" s="15"/>
      <c r="CE158" s="15"/>
      <c r="CF158" s="15"/>
      <c r="CM158" s="11"/>
      <c r="CN158" s="11"/>
      <c r="CX158" s="15"/>
      <c r="CZ158" s="16"/>
      <c r="DA158" s="16"/>
      <c r="DB158" s="16"/>
      <c r="DC158" s="16"/>
      <c r="DD158" s="16"/>
      <c r="DE158" s="16"/>
      <c r="DG158" s="15"/>
      <c r="DH158" s="15"/>
      <c r="DI158" s="15"/>
      <c r="DJ158" s="15"/>
      <c r="DL158" s="15"/>
      <c r="DM158" s="15"/>
      <c r="DO158" s="15"/>
      <c r="DP158" s="15"/>
    </row>
    <row r="159" spans="1:120" x14ac:dyDescent="0.25">
      <c r="A159" t="s">
        <v>961</v>
      </c>
      <c r="C159" t="s">
        <v>530</v>
      </c>
      <c r="D159" t="s">
        <v>962</v>
      </c>
      <c r="E159" t="s">
        <v>963</v>
      </c>
      <c r="F159" t="s">
        <v>964</v>
      </c>
      <c r="G159">
        <v>3</v>
      </c>
      <c r="J159" t="s">
        <v>580</v>
      </c>
      <c r="K159" s="3" t="s">
        <v>581</v>
      </c>
      <c r="O159"/>
      <c r="AC159">
        <v>1</v>
      </c>
      <c r="AG159" t="s">
        <v>535</v>
      </c>
      <c r="AT159" s="5"/>
      <c r="AY159" s="3"/>
      <c r="BD159">
        <v>1</v>
      </c>
      <c r="BO159" s="8" t="s">
        <v>965</v>
      </c>
      <c r="BP159" s="8"/>
      <c r="BT159">
        <v>13</v>
      </c>
      <c r="BV159" s="4">
        <v>15</v>
      </c>
      <c r="BW159" s="4">
        <v>25</v>
      </c>
      <c r="BX159" s="4">
        <v>1</v>
      </c>
      <c r="BY159" s="4" t="s">
        <v>583</v>
      </c>
      <c r="CB159" s="3"/>
      <c r="CC159" s="3"/>
      <c r="CD159" s="3"/>
      <c r="CE159" s="3"/>
      <c r="CF159" s="3"/>
      <c r="CH159" s="3"/>
      <c r="CI159" s="3"/>
      <c r="CK159" s="3"/>
      <c r="CL159" s="3"/>
      <c r="CM159" s="11"/>
      <c r="CN159" s="12" t="s">
        <v>966</v>
      </c>
      <c r="CO159">
        <v>0.8</v>
      </c>
      <c r="CR159">
        <v>13</v>
      </c>
    </row>
    <row r="160" spans="1:120" ht="15" customHeight="1" x14ac:dyDescent="0.25">
      <c r="A160" t="s">
        <v>965</v>
      </c>
      <c r="C160" t="s">
        <v>555</v>
      </c>
      <c r="O160" s="3" t="s">
        <v>967</v>
      </c>
      <c r="AC160">
        <v>2</v>
      </c>
      <c r="AO160" t="s">
        <v>548</v>
      </c>
      <c r="AT160" s="5" t="s">
        <v>557</v>
      </c>
      <c r="AX160" t="s">
        <v>558</v>
      </c>
      <c r="AZ160">
        <v>1</v>
      </c>
      <c r="BD160">
        <v>1</v>
      </c>
      <c r="BE160">
        <v>1</v>
      </c>
      <c r="BF160">
        <v>0.1</v>
      </c>
      <c r="BO160" s="8"/>
      <c r="BP160" s="8" t="s">
        <v>960</v>
      </c>
      <c r="CB160" t="s">
        <v>661</v>
      </c>
      <c r="CG160" t="s">
        <v>551</v>
      </c>
      <c r="CM160" s="11"/>
      <c r="CN160" s="12"/>
      <c r="CX160" t="s">
        <v>795</v>
      </c>
      <c r="CY160" t="s">
        <v>796</v>
      </c>
    </row>
    <row r="161" spans="1:103" x14ac:dyDescent="0.25">
      <c r="A161" t="s">
        <v>968</v>
      </c>
      <c r="C161" t="s">
        <v>530</v>
      </c>
      <c r="D161" t="s">
        <v>969</v>
      </c>
      <c r="E161" t="s">
        <v>970</v>
      </c>
      <c r="F161" t="s">
        <v>971</v>
      </c>
      <c r="G161">
        <v>3</v>
      </c>
      <c r="J161" t="s">
        <v>580</v>
      </c>
      <c r="K161" s="3" t="s">
        <v>581</v>
      </c>
      <c r="O161"/>
      <c r="AC161">
        <v>1</v>
      </c>
      <c r="AG161" t="s">
        <v>535</v>
      </c>
      <c r="AT161" s="5"/>
      <c r="AY161" s="3"/>
      <c r="BD161">
        <v>1</v>
      </c>
      <c r="BO161" s="8" t="s">
        <v>972</v>
      </c>
      <c r="BP161" s="8"/>
      <c r="BT161">
        <v>15</v>
      </c>
      <c r="BV161" s="4">
        <v>15</v>
      </c>
      <c r="BW161" s="4">
        <v>35</v>
      </c>
      <c r="BX161" s="4">
        <v>1</v>
      </c>
      <c r="BY161" s="4" t="s">
        <v>583</v>
      </c>
      <c r="CB161" s="3"/>
      <c r="CC161" s="3"/>
      <c r="CD161" s="3"/>
      <c r="CE161" s="3"/>
      <c r="CF161" s="3"/>
      <c r="CH161" s="3"/>
      <c r="CI161" s="3"/>
      <c r="CK161" s="3"/>
      <c r="CL161" s="3"/>
      <c r="CM161" s="11"/>
      <c r="CN161" s="12" t="s">
        <v>973</v>
      </c>
      <c r="CO161">
        <v>1</v>
      </c>
      <c r="CR161">
        <v>15</v>
      </c>
    </row>
    <row r="162" spans="1:103" ht="15" customHeight="1" x14ac:dyDescent="0.25">
      <c r="A162" t="s">
        <v>972</v>
      </c>
      <c r="C162" t="s">
        <v>555</v>
      </c>
      <c r="O162" s="3" t="s">
        <v>973</v>
      </c>
      <c r="AC162">
        <v>2</v>
      </c>
      <c r="AO162" t="s">
        <v>548</v>
      </c>
      <c r="AT162" s="5" t="s">
        <v>660</v>
      </c>
      <c r="AX162" t="s">
        <v>558</v>
      </c>
      <c r="AZ162">
        <v>1</v>
      </c>
      <c r="BD162">
        <v>3</v>
      </c>
      <c r="BO162" s="8"/>
      <c r="BP162" s="8" t="s">
        <v>974</v>
      </c>
      <c r="CB162" t="s">
        <v>975</v>
      </c>
      <c r="CG162" t="s">
        <v>551</v>
      </c>
      <c r="CM162" s="11"/>
      <c r="CN162" s="12"/>
      <c r="CW162" t="s">
        <v>976</v>
      </c>
      <c r="CY162" t="s">
        <v>977</v>
      </c>
    </row>
    <row r="163" spans="1:103" ht="15" customHeight="1" x14ac:dyDescent="0.25">
      <c r="A163" t="s">
        <v>978</v>
      </c>
      <c r="C163" t="s">
        <v>530</v>
      </c>
      <c r="K163" s="15" t="s">
        <v>533</v>
      </c>
      <c r="AC163">
        <v>1</v>
      </c>
      <c r="AG163" t="s">
        <v>535</v>
      </c>
      <c r="AT163" s="5"/>
      <c r="BD163">
        <v>1</v>
      </c>
      <c r="BO163" s="8"/>
      <c r="BP163" s="8"/>
      <c r="CM163" s="11"/>
      <c r="CN163" s="12"/>
      <c r="CW163" t="s">
        <v>979</v>
      </c>
    </row>
    <row r="164" spans="1:103" ht="13" customHeight="1" x14ac:dyDescent="0.25">
      <c r="CM164" s="11"/>
      <c r="CN164" s="11"/>
    </row>
  </sheetData>
  <phoneticPr fontId="1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88"/>
  <sheetViews>
    <sheetView workbookViewId="0">
      <pane xSplit="1" ySplit="3" topLeftCell="B64" activePane="bottomRight" state="frozen"/>
      <selection pane="topRight"/>
      <selection pane="bottomLeft"/>
      <selection pane="bottomRight" activeCell="B87" sqref="B87"/>
    </sheetView>
  </sheetViews>
  <sheetFormatPr defaultColWidth="9" defaultRowHeight="14.05" x14ac:dyDescent="0.25"/>
  <cols>
    <col min="1" max="1" width="19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26</v>
      </c>
      <c r="E1" t="s">
        <v>980</v>
      </c>
      <c r="F1" t="s">
        <v>981</v>
      </c>
      <c r="G1" t="s">
        <v>982</v>
      </c>
      <c r="H1" t="s">
        <v>983</v>
      </c>
      <c r="I1" t="s">
        <v>984</v>
      </c>
      <c r="J1" t="s">
        <v>985</v>
      </c>
      <c r="L1" t="s">
        <v>986</v>
      </c>
      <c r="M1" t="s">
        <v>987</v>
      </c>
      <c r="N1" t="s">
        <v>988</v>
      </c>
      <c r="O1" t="s">
        <v>989</v>
      </c>
      <c r="P1" t="s">
        <v>990</v>
      </c>
    </row>
    <row r="2" spans="1:17" x14ac:dyDescent="0.25">
      <c r="A2" t="s">
        <v>0</v>
      </c>
      <c r="C2" t="s">
        <v>67</v>
      </c>
      <c r="D2" t="s">
        <v>96</v>
      </c>
      <c r="E2" t="s">
        <v>991</v>
      </c>
      <c r="F2" t="s">
        <v>992</v>
      </c>
      <c r="G2" t="s">
        <v>993</v>
      </c>
      <c r="H2" t="s">
        <v>994</v>
      </c>
      <c r="I2" t="s">
        <v>995</v>
      </c>
      <c r="J2" t="s">
        <v>996</v>
      </c>
      <c r="K2" t="s">
        <v>997</v>
      </c>
      <c r="L2" t="s">
        <v>72</v>
      </c>
      <c r="M2" t="s">
        <v>998</v>
      </c>
      <c r="N2" t="s">
        <v>999</v>
      </c>
      <c r="O2" t="s">
        <v>1000</v>
      </c>
      <c r="P2" t="s">
        <v>1001</v>
      </c>
      <c r="Q2" t="s">
        <v>497</v>
      </c>
    </row>
    <row r="3" spans="1:17" x14ac:dyDescent="0.25">
      <c r="A3" t="s">
        <v>2</v>
      </c>
      <c r="C3" t="s">
        <v>2</v>
      </c>
      <c r="D3" t="s">
        <v>2</v>
      </c>
      <c r="E3" t="s">
        <v>135</v>
      </c>
      <c r="F3" t="s">
        <v>135</v>
      </c>
      <c r="G3" t="s">
        <v>135</v>
      </c>
      <c r="H3" t="s">
        <v>133</v>
      </c>
      <c r="I3" t="s">
        <v>133</v>
      </c>
      <c r="J3" t="s">
        <v>527</v>
      </c>
      <c r="K3" t="s">
        <v>134</v>
      </c>
      <c r="L3" t="s">
        <v>491</v>
      </c>
      <c r="M3" t="s">
        <v>133</v>
      </c>
      <c r="N3" t="s">
        <v>133</v>
      </c>
      <c r="O3" t="s">
        <v>491</v>
      </c>
      <c r="P3" t="s">
        <v>133</v>
      </c>
      <c r="Q3" t="s">
        <v>142</v>
      </c>
    </row>
    <row r="4" spans="1:17" x14ac:dyDescent="0.25">
      <c r="A4" t="s">
        <v>553</v>
      </c>
      <c r="C4" t="s">
        <v>1002</v>
      </c>
      <c r="N4">
        <v>1</v>
      </c>
      <c r="Q4" t="s">
        <v>1003</v>
      </c>
    </row>
    <row r="5" spans="1:17" x14ac:dyDescent="0.25">
      <c r="A5" t="s">
        <v>649</v>
      </c>
      <c r="C5" t="s">
        <v>1004</v>
      </c>
      <c r="N5">
        <v>1</v>
      </c>
      <c r="Q5" t="s">
        <v>1005</v>
      </c>
    </row>
    <row r="7" spans="1:17" x14ac:dyDescent="0.25">
      <c r="A7" t="s">
        <v>564</v>
      </c>
      <c r="C7" t="s">
        <v>1006</v>
      </c>
      <c r="Q7" t="s">
        <v>1007</v>
      </c>
    </row>
    <row r="8" spans="1:17" x14ac:dyDescent="0.25">
      <c r="A8" s="26" t="s">
        <v>1130</v>
      </c>
      <c r="C8" t="s">
        <v>541</v>
      </c>
    </row>
    <row r="9" spans="1:17" x14ac:dyDescent="0.25">
      <c r="A9" t="s">
        <v>565</v>
      </c>
      <c r="C9" s="26" t="s">
        <v>1131</v>
      </c>
    </row>
    <row r="10" spans="1:17" x14ac:dyDescent="0.25">
      <c r="A10" t="s">
        <v>570</v>
      </c>
      <c r="C10" t="s">
        <v>1004</v>
      </c>
      <c r="Q10" t="s">
        <v>1008</v>
      </c>
    </row>
    <row r="11" spans="1:17" x14ac:dyDescent="0.25">
      <c r="A11" t="s">
        <v>561</v>
      </c>
      <c r="C11" t="s">
        <v>1009</v>
      </c>
      <c r="Q11" t="s">
        <v>1010</v>
      </c>
    </row>
    <row r="12" spans="1:17" x14ac:dyDescent="0.25">
      <c r="A12" t="s">
        <v>569</v>
      </c>
      <c r="C12" t="s">
        <v>1011</v>
      </c>
    </row>
    <row r="13" spans="1:17" x14ac:dyDescent="0.25">
      <c r="A13" t="s">
        <v>575</v>
      </c>
      <c r="C13" t="s">
        <v>1002</v>
      </c>
      <c r="N13">
        <v>1</v>
      </c>
      <c r="Q13" t="s">
        <v>1012</v>
      </c>
    </row>
    <row r="14" spans="1:17" x14ac:dyDescent="0.25">
      <c r="A14" t="s">
        <v>556</v>
      </c>
      <c r="C14" t="s">
        <v>1004</v>
      </c>
      <c r="J14" t="s">
        <v>1013</v>
      </c>
      <c r="K14">
        <v>5</v>
      </c>
      <c r="Q14" t="s">
        <v>1014</v>
      </c>
    </row>
    <row r="16" spans="1:17" x14ac:dyDescent="0.25">
      <c r="A16" t="s">
        <v>592</v>
      </c>
      <c r="C16" t="s">
        <v>1004</v>
      </c>
      <c r="J16" t="s">
        <v>1013</v>
      </c>
      <c r="K16">
        <v>5</v>
      </c>
      <c r="Q16" t="s">
        <v>1008</v>
      </c>
    </row>
    <row r="18" spans="1:17" x14ac:dyDescent="0.25">
      <c r="A18" t="s">
        <v>601</v>
      </c>
      <c r="C18" t="s">
        <v>1011</v>
      </c>
    </row>
    <row r="19" spans="1:17" ht="15" customHeight="1" x14ac:dyDescent="0.25">
      <c r="A19" t="s">
        <v>604</v>
      </c>
      <c r="C19" t="s">
        <v>1004</v>
      </c>
      <c r="N19">
        <v>1</v>
      </c>
      <c r="Q19" t="s">
        <v>1015</v>
      </c>
    </row>
    <row r="20" spans="1:17" x14ac:dyDescent="0.25">
      <c r="A20" t="s">
        <v>1016</v>
      </c>
      <c r="C20" t="s">
        <v>1004</v>
      </c>
      <c r="J20" t="s">
        <v>1017</v>
      </c>
      <c r="K20">
        <v>5</v>
      </c>
      <c r="Q20" t="s">
        <v>1018</v>
      </c>
    </row>
    <row r="21" spans="1:17" x14ac:dyDescent="0.25">
      <c r="A21" t="s">
        <v>609</v>
      </c>
      <c r="C21" t="s">
        <v>1004</v>
      </c>
      <c r="J21" t="s">
        <v>1017</v>
      </c>
      <c r="K21">
        <v>5</v>
      </c>
      <c r="Q21" t="s">
        <v>1019</v>
      </c>
    </row>
    <row r="23" spans="1:17" x14ac:dyDescent="0.25">
      <c r="A23" t="s">
        <v>628</v>
      </c>
      <c r="C23" t="s">
        <v>1004</v>
      </c>
      <c r="J23" t="s">
        <v>1013</v>
      </c>
      <c r="K23">
        <v>5</v>
      </c>
      <c r="Q23" t="s">
        <v>1018</v>
      </c>
    </row>
    <row r="25" spans="1:17" x14ac:dyDescent="0.25">
      <c r="A25" t="s">
        <v>637</v>
      </c>
      <c r="C25" t="s">
        <v>1004</v>
      </c>
      <c r="N25">
        <v>1</v>
      </c>
      <c r="Q25" t="s">
        <v>1020</v>
      </c>
    </row>
    <row r="26" spans="1:17" x14ac:dyDescent="0.25">
      <c r="A26" t="s">
        <v>643</v>
      </c>
      <c r="C26" t="s">
        <v>1004</v>
      </c>
      <c r="J26" t="s">
        <v>1013</v>
      </c>
      <c r="K26">
        <v>5</v>
      </c>
      <c r="Q26" t="s">
        <v>1018</v>
      </c>
    </row>
    <row r="28" spans="1:17" x14ac:dyDescent="0.25">
      <c r="A28" t="s">
        <v>1021</v>
      </c>
      <c r="C28" t="s">
        <v>1002</v>
      </c>
      <c r="N28">
        <v>1</v>
      </c>
      <c r="Q28" t="s">
        <v>1022</v>
      </c>
    </row>
    <row r="29" spans="1:17" x14ac:dyDescent="0.25">
      <c r="A29" t="s">
        <v>1023</v>
      </c>
      <c r="C29" t="s">
        <v>1002</v>
      </c>
      <c r="N29">
        <v>1</v>
      </c>
      <c r="Q29" t="s">
        <v>1024</v>
      </c>
    </row>
    <row r="30" spans="1:17" x14ac:dyDescent="0.25">
      <c r="A30" t="s">
        <v>667</v>
      </c>
      <c r="C30" t="s">
        <v>1011</v>
      </c>
    </row>
    <row r="31" spans="1:17" x14ac:dyDescent="0.25">
      <c r="A31" t="s">
        <v>663</v>
      </c>
      <c r="C31" t="s">
        <v>1011</v>
      </c>
      <c r="J31" t="s">
        <v>1017</v>
      </c>
      <c r="K31">
        <v>5</v>
      </c>
    </row>
    <row r="32" spans="1:17" x14ac:dyDescent="0.25">
      <c r="A32" t="s">
        <v>689</v>
      </c>
      <c r="C32" t="s">
        <v>1004</v>
      </c>
      <c r="N32">
        <v>1</v>
      </c>
      <c r="Q32" t="s">
        <v>1018</v>
      </c>
    </row>
    <row r="33" spans="1:17" x14ac:dyDescent="0.25">
      <c r="A33" t="s">
        <v>1025</v>
      </c>
      <c r="C33" t="s">
        <v>1004</v>
      </c>
      <c r="Q33" t="s">
        <v>1026</v>
      </c>
    </row>
    <row r="34" spans="1:17" x14ac:dyDescent="0.25">
      <c r="A34" t="s">
        <v>1027</v>
      </c>
      <c r="C34" t="s">
        <v>1028</v>
      </c>
      <c r="J34" t="s">
        <v>1029</v>
      </c>
      <c r="K34">
        <v>3</v>
      </c>
      <c r="Q34" t="s">
        <v>1030</v>
      </c>
    </row>
    <row r="36" spans="1:17" x14ac:dyDescent="0.25">
      <c r="A36" t="s">
        <v>697</v>
      </c>
      <c r="C36" t="s">
        <v>1002</v>
      </c>
      <c r="N36">
        <v>1</v>
      </c>
      <c r="Q36" t="s">
        <v>1031</v>
      </c>
    </row>
    <row r="37" spans="1:17" x14ac:dyDescent="0.25">
      <c r="A37" t="s">
        <v>691</v>
      </c>
      <c r="C37" t="s">
        <v>1004</v>
      </c>
      <c r="J37" t="s">
        <v>1032</v>
      </c>
      <c r="Q37" t="s">
        <v>1033</v>
      </c>
    </row>
    <row r="39" spans="1:17" x14ac:dyDescent="0.25">
      <c r="A39" t="s">
        <v>713</v>
      </c>
      <c r="C39" t="s">
        <v>1004</v>
      </c>
      <c r="Q39" t="s">
        <v>1018</v>
      </c>
    </row>
    <row r="40" spans="1:17" x14ac:dyDescent="0.25">
      <c r="A40" t="s">
        <v>721</v>
      </c>
      <c r="C40" t="s">
        <v>1011</v>
      </c>
      <c r="J40" t="s">
        <v>1017</v>
      </c>
      <c r="K40">
        <v>5</v>
      </c>
    </row>
    <row r="41" spans="1:17" x14ac:dyDescent="0.25">
      <c r="A41" t="s">
        <v>728</v>
      </c>
      <c r="C41" t="s">
        <v>1004</v>
      </c>
      <c r="J41" t="s">
        <v>1013</v>
      </c>
      <c r="K41">
        <v>5</v>
      </c>
      <c r="Q41" t="s">
        <v>1018</v>
      </c>
    </row>
    <row r="43" spans="1:17" x14ac:dyDescent="0.25">
      <c r="A43" t="s">
        <v>735</v>
      </c>
      <c r="C43" t="s">
        <v>1011</v>
      </c>
    </row>
    <row r="44" spans="1:17" x14ac:dyDescent="0.25">
      <c r="A44" t="s">
        <v>738</v>
      </c>
      <c r="C44" t="s">
        <v>1004</v>
      </c>
      <c r="N44">
        <v>1</v>
      </c>
      <c r="Q44" t="s">
        <v>1018</v>
      </c>
    </row>
    <row r="45" spans="1:17" x14ac:dyDescent="0.25">
      <c r="A45" t="s">
        <v>740</v>
      </c>
      <c r="C45" t="s">
        <v>1004</v>
      </c>
      <c r="N45">
        <v>1</v>
      </c>
      <c r="Q45" t="s">
        <v>1018</v>
      </c>
    </row>
    <row r="46" spans="1:17" x14ac:dyDescent="0.25">
      <c r="A46" t="s">
        <v>750</v>
      </c>
      <c r="C46" t="s">
        <v>1004</v>
      </c>
      <c r="J46" t="s">
        <v>1017</v>
      </c>
      <c r="K46">
        <v>5</v>
      </c>
      <c r="Q46" t="s">
        <v>1018</v>
      </c>
    </row>
    <row r="48" spans="1:17" x14ac:dyDescent="0.25">
      <c r="A48" t="s">
        <v>764</v>
      </c>
      <c r="C48" t="s">
        <v>1004</v>
      </c>
      <c r="J48" t="s">
        <v>1013</v>
      </c>
      <c r="K48">
        <v>5</v>
      </c>
      <c r="Q48" t="s">
        <v>1018</v>
      </c>
    </row>
    <row r="50" spans="1:17" x14ac:dyDescent="0.25">
      <c r="A50" t="s">
        <v>779</v>
      </c>
      <c r="C50" t="s">
        <v>1009</v>
      </c>
      <c r="Q50" t="s">
        <v>1034</v>
      </c>
    </row>
    <row r="51" spans="1:17" x14ac:dyDescent="0.25">
      <c r="A51" t="s">
        <v>785</v>
      </c>
      <c r="C51" t="s">
        <v>1004</v>
      </c>
      <c r="J51" t="s">
        <v>1013</v>
      </c>
      <c r="K51">
        <v>5</v>
      </c>
      <c r="Q51" t="s">
        <v>1005</v>
      </c>
    </row>
    <row r="52" spans="1:17" x14ac:dyDescent="0.25">
      <c r="A52" t="s">
        <v>791</v>
      </c>
      <c r="C52" t="s">
        <v>1004</v>
      </c>
      <c r="J52" t="s">
        <v>1013</v>
      </c>
      <c r="K52">
        <v>5</v>
      </c>
      <c r="Q52" t="s">
        <v>1033</v>
      </c>
    </row>
    <row r="54" spans="1:17" x14ac:dyDescent="0.25">
      <c r="A54" t="s">
        <v>801</v>
      </c>
      <c r="C54" t="s">
        <v>1009</v>
      </c>
      <c r="Q54" t="s">
        <v>1035</v>
      </c>
    </row>
    <row r="55" spans="1:17" x14ac:dyDescent="0.25">
      <c r="A55" t="s">
        <v>815</v>
      </c>
      <c r="C55" t="s">
        <v>1004</v>
      </c>
      <c r="J55" t="s">
        <v>1013</v>
      </c>
      <c r="K55">
        <v>5</v>
      </c>
      <c r="Q55" t="s">
        <v>1019</v>
      </c>
    </row>
    <row r="56" spans="1:17" x14ac:dyDescent="0.25">
      <c r="A56" t="s">
        <v>1036</v>
      </c>
      <c r="C56" t="s">
        <v>377</v>
      </c>
      <c r="J56" t="s">
        <v>1037</v>
      </c>
      <c r="K56">
        <v>5</v>
      </c>
      <c r="Q56" t="s">
        <v>1038</v>
      </c>
    </row>
    <row r="57" spans="1:17" ht="15" customHeight="1" x14ac:dyDescent="0.25"/>
    <row r="58" spans="1:17" x14ac:dyDescent="0.25">
      <c r="A58" t="s">
        <v>826</v>
      </c>
      <c r="C58" t="s">
        <v>1004</v>
      </c>
      <c r="J58" t="s">
        <v>1013</v>
      </c>
      <c r="K58">
        <v>5</v>
      </c>
      <c r="Q58" t="s">
        <v>1018</v>
      </c>
    </row>
    <row r="59" spans="1:17" x14ac:dyDescent="0.25">
      <c r="A59" t="s">
        <v>832</v>
      </c>
      <c r="C59" t="s">
        <v>1004</v>
      </c>
      <c r="J59" t="s">
        <v>1013</v>
      </c>
      <c r="K59">
        <v>5</v>
      </c>
      <c r="Q59" t="s">
        <v>1039</v>
      </c>
    </row>
    <row r="61" spans="1:17" x14ac:dyDescent="0.25">
      <c r="A61" t="s">
        <v>841</v>
      </c>
      <c r="C61" t="s">
        <v>1004</v>
      </c>
      <c r="N61">
        <v>1</v>
      </c>
      <c r="Q61" t="s">
        <v>1018</v>
      </c>
    </row>
    <row r="62" spans="1:17" x14ac:dyDescent="0.25">
      <c r="A62" t="s">
        <v>842</v>
      </c>
      <c r="C62" t="s">
        <v>1004</v>
      </c>
      <c r="N62">
        <v>1</v>
      </c>
      <c r="Q62" t="s">
        <v>1040</v>
      </c>
    </row>
    <row r="63" spans="1:17" x14ac:dyDescent="0.25">
      <c r="A63" t="s">
        <v>848</v>
      </c>
      <c r="C63" t="s">
        <v>1004</v>
      </c>
      <c r="J63" t="s">
        <v>1013</v>
      </c>
      <c r="K63">
        <v>5</v>
      </c>
      <c r="Q63" t="s">
        <v>1018</v>
      </c>
    </row>
    <row r="64" spans="1:17" x14ac:dyDescent="0.25">
      <c r="A64" t="s">
        <v>853</v>
      </c>
      <c r="C64" t="s">
        <v>1004</v>
      </c>
      <c r="J64" t="s">
        <v>1013</v>
      </c>
      <c r="K64">
        <v>5</v>
      </c>
      <c r="Q64" t="s">
        <v>1041</v>
      </c>
    </row>
    <row r="66" spans="1:17" x14ac:dyDescent="0.25">
      <c r="A66" t="s">
        <v>1042</v>
      </c>
      <c r="C66" t="s">
        <v>1004</v>
      </c>
      <c r="N66">
        <v>1</v>
      </c>
      <c r="Q66" t="s">
        <v>1005</v>
      </c>
    </row>
    <row r="67" spans="1:17" x14ac:dyDescent="0.25">
      <c r="A67" t="s">
        <v>1043</v>
      </c>
      <c r="C67" t="s">
        <v>1002</v>
      </c>
      <c r="N67">
        <v>1</v>
      </c>
      <c r="Q67" t="s">
        <v>1044</v>
      </c>
    </row>
    <row r="68" spans="1:17" x14ac:dyDescent="0.25">
      <c r="A68" t="s">
        <v>879</v>
      </c>
      <c r="C68" t="s">
        <v>1011</v>
      </c>
    </row>
    <row r="69" spans="1:17" x14ac:dyDescent="0.25">
      <c r="A69" t="s">
        <v>856</v>
      </c>
      <c r="C69" t="s">
        <v>1045</v>
      </c>
    </row>
    <row r="70" spans="1:17" x14ac:dyDescent="0.25">
      <c r="A70" t="s">
        <v>893</v>
      </c>
      <c r="C70" t="s">
        <v>1011</v>
      </c>
    </row>
    <row r="72" spans="1:17" x14ac:dyDescent="0.25">
      <c r="A72" t="s">
        <v>910</v>
      </c>
      <c r="C72" t="s">
        <v>1004</v>
      </c>
      <c r="N72">
        <v>1</v>
      </c>
      <c r="Q72" t="s">
        <v>1040</v>
      </c>
    </row>
    <row r="73" spans="1:17" x14ac:dyDescent="0.25">
      <c r="A73" t="s">
        <v>907</v>
      </c>
      <c r="C73" t="s">
        <v>1004</v>
      </c>
      <c r="J73" t="s">
        <v>1046</v>
      </c>
      <c r="K73">
        <v>5</v>
      </c>
      <c r="Q73" t="s">
        <v>1047</v>
      </c>
    </row>
    <row r="74" spans="1:17" x14ac:dyDescent="0.25">
      <c r="A74" t="s">
        <v>912</v>
      </c>
      <c r="C74" t="s">
        <v>1004</v>
      </c>
      <c r="N74">
        <v>1</v>
      </c>
      <c r="Q74" t="s">
        <v>1018</v>
      </c>
    </row>
    <row r="75" spans="1:17" x14ac:dyDescent="0.25">
      <c r="A75" t="s">
        <v>926</v>
      </c>
      <c r="C75" t="s">
        <v>1004</v>
      </c>
      <c r="J75" t="s">
        <v>1013</v>
      </c>
      <c r="K75">
        <v>5</v>
      </c>
      <c r="Q75" t="s">
        <v>1018</v>
      </c>
    </row>
    <row r="76" spans="1:17" x14ac:dyDescent="0.25">
      <c r="A76" t="s">
        <v>902</v>
      </c>
      <c r="C76" t="s">
        <v>1004</v>
      </c>
      <c r="J76" t="s">
        <v>1048</v>
      </c>
      <c r="K76">
        <v>5</v>
      </c>
      <c r="Q76" t="s">
        <v>1049</v>
      </c>
    </row>
    <row r="77" spans="1:17" x14ac:dyDescent="0.25">
      <c r="A77" t="s">
        <v>945</v>
      </c>
      <c r="C77" t="s">
        <v>377</v>
      </c>
      <c r="Q77" t="s">
        <v>1050</v>
      </c>
    </row>
    <row r="78" spans="1:17" x14ac:dyDescent="0.25">
      <c r="A78" t="s">
        <v>1051</v>
      </c>
      <c r="C78" t="s">
        <v>1011</v>
      </c>
      <c r="J78" t="s">
        <v>1052</v>
      </c>
    </row>
    <row r="79" spans="1:17" x14ac:dyDescent="0.25">
      <c r="A79" t="s">
        <v>935</v>
      </c>
      <c r="C79" t="s">
        <v>377</v>
      </c>
      <c r="Q79" t="s">
        <v>1053</v>
      </c>
    </row>
    <row r="81" spans="1:17" x14ac:dyDescent="0.25">
      <c r="A81" t="s">
        <v>950</v>
      </c>
      <c r="C81" t="s">
        <v>1054</v>
      </c>
      <c r="Q81" t="s">
        <v>1055</v>
      </c>
    </row>
    <row r="82" spans="1:17" x14ac:dyDescent="0.25">
      <c r="A82" t="s">
        <v>952</v>
      </c>
      <c r="C82" t="s">
        <v>1004</v>
      </c>
      <c r="Q82" t="s">
        <v>1008</v>
      </c>
    </row>
    <row r="83" spans="1:17" x14ac:dyDescent="0.25">
      <c r="A83" t="s">
        <v>955</v>
      </c>
      <c r="C83" t="s">
        <v>1056</v>
      </c>
      <c r="Q83" t="s">
        <v>1057</v>
      </c>
    </row>
    <row r="84" spans="1:17" x14ac:dyDescent="0.25">
      <c r="A84" t="s">
        <v>967</v>
      </c>
      <c r="C84" t="s">
        <v>1004</v>
      </c>
      <c r="J84" t="s">
        <v>1013</v>
      </c>
      <c r="K84">
        <v>5</v>
      </c>
      <c r="Q84" t="s">
        <v>1018</v>
      </c>
    </row>
    <row r="85" spans="1:17" x14ac:dyDescent="0.25">
      <c r="A85" t="s">
        <v>1058</v>
      </c>
      <c r="C85" t="s">
        <v>1002</v>
      </c>
      <c r="N85">
        <v>1</v>
      </c>
      <c r="Q85" t="s">
        <v>1059</v>
      </c>
    </row>
    <row r="86" spans="1:17" x14ac:dyDescent="0.25">
      <c r="A86" t="s">
        <v>973</v>
      </c>
      <c r="C86" t="s">
        <v>1004</v>
      </c>
      <c r="J86" t="s">
        <v>1013</v>
      </c>
      <c r="K86">
        <v>5</v>
      </c>
      <c r="Q86" t="s">
        <v>1018</v>
      </c>
    </row>
    <row r="88" spans="1:17" x14ac:dyDescent="0.25">
      <c r="A88" s="12" t="s">
        <v>532</v>
      </c>
      <c r="C88" s="26" t="s">
        <v>1129</v>
      </c>
    </row>
  </sheetData>
  <phoneticPr fontId="1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3"/>
  <sheetViews>
    <sheetView workbookViewId="0">
      <selection activeCell="D18" sqref="D18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1060</v>
      </c>
    </row>
    <row r="2" spans="1:4" x14ac:dyDescent="0.25">
      <c r="A2" t="s">
        <v>0</v>
      </c>
      <c r="B2" t="s">
        <v>67</v>
      </c>
      <c r="C2" t="s">
        <v>1061</v>
      </c>
      <c r="D2" t="s">
        <v>497</v>
      </c>
    </row>
    <row r="3" spans="1:4" x14ac:dyDescent="0.25">
      <c r="A3" t="s">
        <v>2</v>
      </c>
      <c r="B3" t="s">
        <v>2</v>
      </c>
      <c r="C3" t="s">
        <v>491</v>
      </c>
      <c r="D3" t="s">
        <v>142</v>
      </c>
    </row>
    <row r="4" spans="1:4" x14ac:dyDescent="0.25">
      <c r="A4" t="s">
        <v>1062</v>
      </c>
      <c r="B4" t="s">
        <v>1063</v>
      </c>
      <c r="C4" t="s">
        <v>532</v>
      </c>
      <c r="D4" t="s">
        <v>1064</v>
      </c>
    </row>
    <row r="5" spans="1:4" x14ac:dyDescent="0.25">
      <c r="A5" t="s">
        <v>1065</v>
      </c>
      <c r="B5" t="s">
        <v>1063</v>
      </c>
      <c r="C5" t="s">
        <v>532</v>
      </c>
      <c r="D5" t="s">
        <v>1066</v>
      </c>
    </row>
    <row r="6" spans="1:4" x14ac:dyDescent="0.25">
      <c r="A6" t="s">
        <v>645</v>
      </c>
      <c r="B6" t="s">
        <v>1067</v>
      </c>
      <c r="D6" t="s">
        <v>1068</v>
      </c>
    </row>
    <row r="7" spans="1:4" x14ac:dyDescent="0.25">
      <c r="A7" t="s">
        <v>1069</v>
      </c>
      <c r="B7" t="s">
        <v>1067</v>
      </c>
      <c r="D7" t="s">
        <v>1070</v>
      </c>
    </row>
    <row r="8" spans="1:4" x14ac:dyDescent="0.25">
      <c r="A8" t="s">
        <v>634</v>
      </c>
      <c r="B8" t="s">
        <v>1071</v>
      </c>
      <c r="D8" t="s">
        <v>1072</v>
      </c>
    </row>
    <row r="9" spans="1:4" x14ac:dyDescent="0.25">
      <c r="A9" t="s">
        <v>599</v>
      </c>
      <c r="B9" t="s">
        <v>1063</v>
      </c>
      <c r="C9" t="s">
        <v>601</v>
      </c>
      <c r="D9" t="s">
        <v>1073</v>
      </c>
    </row>
    <row r="10" spans="1:4" x14ac:dyDescent="0.25">
      <c r="A10" t="s">
        <v>733</v>
      </c>
      <c r="B10" t="s">
        <v>1063</v>
      </c>
      <c r="C10" t="s">
        <v>735</v>
      </c>
      <c r="D10" t="s">
        <v>1074</v>
      </c>
    </row>
    <row r="11" spans="1:4" x14ac:dyDescent="0.25">
      <c r="A11" t="s">
        <v>757</v>
      </c>
      <c r="B11" t="s">
        <v>1071</v>
      </c>
      <c r="D11" t="s">
        <v>1075</v>
      </c>
    </row>
    <row r="12" spans="1:4" x14ac:dyDescent="0.25">
      <c r="A12" t="s">
        <v>771</v>
      </c>
      <c r="B12" t="s">
        <v>1071</v>
      </c>
      <c r="D12" t="s">
        <v>1076</v>
      </c>
    </row>
    <row r="13" spans="1:4" x14ac:dyDescent="0.25">
      <c r="A13" t="s">
        <v>1077</v>
      </c>
      <c r="B13" t="s">
        <v>1078</v>
      </c>
      <c r="D13" s="2" t="s">
        <v>1079</v>
      </c>
    </row>
  </sheetData>
  <phoneticPr fontId="1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"/>
  <sheetViews>
    <sheetView workbookViewId="0">
      <selection activeCell="D21" sqref="D21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10" max="10" width="9" customWidth="1"/>
  </cols>
  <sheetData>
    <row r="1" spans="1:10" x14ac:dyDescent="0.25">
      <c r="I1" t="s">
        <v>382</v>
      </c>
    </row>
    <row r="2" spans="1:10" x14ac:dyDescent="0.25">
      <c r="A2" t="s">
        <v>0</v>
      </c>
      <c r="B2" t="s">
        <v>67</v>
      </c>
      <c r="C2" t="s">
        <v>69</v>
      </c>
      <c r="D2" t="s">
        <v>1080</v>
      </c>
      <c r="E2" t="s">
        <v>91</v>
      </c>
      <c r="F2" t="s">
        <v>1081</v>
      </c>
      <c r="G2" t="s">
        <v>1082</v>
      </c>
      <c r="H2" t="s">
        <v>1083</v>
      </c>
      <c r="I2" t="s">
        <v>486</v>
      </c>
      <c r="J2" t="s">
        <v>497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134</v>
      </c>
      <c r="F3" t="s">
        <v>135</v>
      </c>
      <c r="G3" t="s">
        <v>135</v>
      </c>
      <c r="H3" t="s">
        <v>135</v>
      </c>
      <c r="I3" t="s">
        <v>526</v>
      </c>
      <c r="J3" t="s">
        <v>142</v>
      </c>
    </row>
  </sheetData>
  <phoneticPr fontId="1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F5" sqref="F5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1084</v>
      </c>
      <c r="C1" t="s">
        <v>1085</v>
      </c>
      <c r="D1" t="s">
        <v>1086</v>
      </c>
      <c r="E1" t="s">
        <v>1087</v>
      </c>
      <c r="F1" t="s">
        <v>1088</v>
      </c>
      <c r="H1" t="s">
        <v>1089</v>
      </c>
      <c r="I1" t="s">
        <v>1090</v>
      </c>
      <c r="J1" t="s">
        <v>1091</v>
      </c>
      <c r="K1" t="s">
        <v>1092</v>
      </c>
      <c r="L1" t="s">
        <v>1093</v>
      </c>
    </row>
    <row r="2" spans="1:12" x14ac:dyDescent="0.25">
      <c r="A2" t="s">
        <v>0</v>
      </c>
      <c r="B2" t="s">
        <v>1094</v>
      </c>
      <c r="C2" t="s">
        <v>1095</v>
      </c>
      <c r="D2" t="s">
        <v>1096</v>
      </c>
      <c r="E2" t="s">
        <v>1097</v>
      </c>
      <c r="F2" t="s">
        <v>1098</v>
      </c>
      <c r="G2" t="s">
        <v>1099</v>
      </c>
      <c r="H2" t="s">
        <v>1100</v>
      </c>
      <c r="I2" t="s">
        <v>1101</v>
      </c>
      <c r="J2" t="s">
        <v>1102</v>
      </c>
      <c r="K2" t="s">
        <v>1081</v>
      </c>
      <c r="L2" t="s">
        <v>114</v>
      </c>
    </row>
    <row r="3" spans="1:12" x14ac:dyDescent="0.25">
      <c r="A3" t="s">
        <v>2</v>
      </c>
      <c r="B3" t="s">
        <v>2</v>
      </c>
      <c r="C3" t="s">
        <v>135</v>
      </c>
      <c r="D3" t="s">
        <v>1103</v>
      </c>
      <c r="E3" t="s">
        <v>2</v>
      </c>
      <c r="F3" t="s">
        <v>133</v>
      </c>
      <c r="G3" t="s">
        <v>133</v>
      </c>
      <c r="H3" t="s">
        <v>135</v>
      </c>
      <c r="I3" t="s">
        <v>135</v>
      </c>
      <c r="J3" t="s">
        <v>135</v>
      </c>
      <c r="K3" t="s">
        <v>134</v>
      </c>
      <c r="L3" t="s">
        <v>134</v>
      </c>
    </row>
    <row r="4" spans="1:12" x14ac:dyDescent="0.25">
      <c r="A4" t="s">
        <v>1048</v>
      </c>
      <c r="B4" t="s">
        <v>1104</v>
      </c>
      <c r="D4" t="s">
        <v>1105</v>
      </c>
      <c r="I4">
        <v>2</v>
      </c>
      <c r="K4">
        <v>60</v>
      </c>
      <c r="L4">
        <v>40</v>
      </c>
    </row>
    <row r="5" spans="1:12" x14ac:dyDescent="0.25">
      <c r="A5" t="s">
        <v>1052</v>
      </c>
      <c r="B5" t="s">
        <v>1106</v>
      </c>
      <c r="E5" t="s">
        <v>1107</v>
      </c>
      <c r="F5">
        <v>1</v>
      </c>
      <c r="H5">
        <v>2</v>
      </c>
      <c r="I5">
        <v>1</v>
      </c>
    </row>
  </sheetData>
  <phoneticPr fontId="1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407</v>
      </c>
      <c r="C2" t="s">
        <v>96</v>
      </c>
      <c r="D2" t="s">
        <v>1108</v>
      </c>
      <c r="E2" t="s">
        <v>1109</v>
      </c>
      <c r="F2" t="s">
        <v>98</v>
      </c>
      <c r="G2" t="s">
        <v>1110</v>
      </c>
      <c r="H2" t="s">
        <v>435</v>
      </c>
      <c r="I2" t="s">
        <v>1111</v>
      </c>
      <c r="J2" t="s">
        <v>73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135</v>
      </c>
      <c r="F3" t="s">
        <v>136</v>
      </c>
      <c r="G3" t="s">
        <v>135</v>
      </c>
      <c r="H3" t="s">
        <v>1112</v>
      </c>
      <c r="I3" t="s">
        <v>135</v>
      </c>
      <c r="J3" t="s">
        <v>135</v>
      </c>
    </row>
  </sheetData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"/>
  <sheetViews>
    <sheetView workbookViewId="0">
      <selection activeCell="A6" sqref="A4:XFD6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1113</v>
      </c>
      <c r="C1" s="1" t="s">
        <v>1114</v>
      </c>
      <c r="D1" s="1" t="s">
        <v>1115</v>
      </c>
      <c r="E1" s="1" t="s">
        <v>1116</v>
      </c>
      <c r="F1" s="1" t="s">
        <v>1117</v>
      </c>
      <c r="G1" s="1" t="s">
        <v>1118</v>
      </c>
      <c r="H1" s="1" t="s">
        <v>1119</v>
      </c>
      <c r="I1" s="1" t="s">
        <v>1120</v>
      </c>
    </row>
    <row r="2" spans="1:9" s="1" customFormat="1" x14ac:dyDescent="0.25">
      <c r="A2" s="1" t="s">
        <v>0</v>
      </c>
      <c r="B2" s="1" t="s">
        <v>1121</v>
      </c>
      <c r="C2" s="1" t="s">
        <v>1122</v>
      </c>
      <c r="D2" s="1" t="s">
        <v>1123</v>
      </c>
      <c r="E2" s="1" t="s">
        <v>1124</v>
      </c>
      <c r="F2" s="1" t="s">
        <v>1125</v>
      </c>
      <c r="G2" s="1" t="s">
        <v>1126</v>
      </c>
      <c r="H2" s="1" t="s">
        <v>1127</v>
      </c>
      <c r="I2" s="1" t="s">
        <v>1128</v>
      </c>
    </row>
    <row r="3" spans="1:9" s="1" customFormat="1" x14ac:dyDescent="0.25">
      <c r="A3" s="1" t="s">
        <v>2</v>
      </c>
      <c r="B3" s="1" t="s">
        <v>133</v>
      </c>
      <c r="C3" s="1" t="s">
        <v>133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</sheetData>
  <phoneticPr fontId="18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2026-01-10T18:10:01Z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CB94523E41B44DAE99CC12982DC882B4</vt:lpwstr>
  </property>
</Properties>
</file>