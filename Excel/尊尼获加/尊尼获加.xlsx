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767" activeTab="2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AK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>
  <authors>
    <author>PC</author>
    <author>Admin</author>
  </authors>
  <commentList>
    <comment ref="A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<sst xmlns="http://schemas.openxmlformats.org/spreadsheetml/2006/main" count="2082" uniqueCount="975">
  <si>
    <t>Id</t>
  </si>
  <si>
    <t>units</t>
  </si>
  <si>
    <t>string</t>
  </si>
  <si>
    <t>UnitData[]</t>
  </si>
  <si>
    <t>12F</t>
  </si>
  <si>
    <t>#四星</t>
  </si>
  <si>
    <t>猎蜂</t>
  </si>
  <si>
    <t>格雷伊</t>
  </si>
  <si>
    <t>苏苏洛</t>
  </si>
  <si>
    <t>#五星</t>
  </si>
  <si>
    <t>暴行</t>
  </si>
  <si>
    <t>夜魔</t>
  </si>
  <si>
    <t>格拉尼</t>
  </si>
  <si>
    <t>诗怀雅</t>
  </si>
  <si>
    <t>锡兰</t>
  </si>
  <si>
    <t>格劳克斯</t>
  </si>
  <si>
    <t>星极</t>
  </si>
  <si>
    <t>#六星</t>
  </si>
  <si>
    <t>斯卡蒂</t>
  </si>
  <si>
    <t>陈</t>
  </si>
  <si>
    <t>黑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</si>
  <si>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</si>
  <si>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</si>
  <si>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</si>
  <si>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</si>
  <si>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</si>
  <si>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</si>
  <si>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</si>
  <si>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</si>
  <si>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</si>
  <si>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</si>
  <si>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</si>
  <si>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</si>
  <si>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</si>
  <si>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</si>
  <si>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</si>
  <si>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</si>
  <si>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</si>
  <si>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</si>
  <si>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</si>
  <si>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</si>
  <si>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</si>
  <si>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</si>
  <si>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</si>
  <si>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</si>
  <si>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</si>
  <si>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</si>
  <si>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</si>
  <si>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</si>
  <si>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</si>
  <si>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</si>
  <si>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</si>
  <si>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</si>
  <si>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</si>
  <si>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</si>
  <si>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</si>
  <si>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</si>
  <si>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</si>
  <si>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</si>
  <si>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</si>
  <si>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</si>
  <si>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</si>
  <si>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</si>
  <si>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</si>
  <si>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</si>
  <si>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</si>
  <si>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</si>
  <si>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</si>
  <si>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</si>
  <si>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</si>
  <si>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</si>
  <si>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</si>
  <si>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</si>
  <si>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</si>
  <si>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</si>
  <si>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</si>
  <si>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</si>
  <si>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</si>
  <si>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</si>
  <si>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</si>
  <si>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</si>
  <si>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</si>
  <si>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</si>
  <si>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</si>
  <si>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</si>
  <si>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</si>
  <si>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</si>
  <si>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</si>
  <si>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</si>
  <si>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</si>
  <si>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</si>
  <si>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</si>
  <si>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</si>
  <si>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</si>
  <si>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</si>
  <si>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</si>
  <si>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</si>
  <si>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</si>
  <si>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</si>
  <si>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</si>
  <si>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</si>
  <si>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</si>
  <si>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</si>
  <si>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</si>
  <si>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</si>
  <si>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</si>
  <si>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</si>
  <si>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</si>
  <si>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</si>
  <si>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</si>
  <si>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</si>
  <si>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</si>
  <si>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</si>
  <si>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</si>
  <si>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</si>
  <si>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</si>
  <si>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</si>
  <si>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</si>
  <si>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</si>
  <si>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</si>
  <si>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</si>
  <si>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</si>
  <si>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</si>
  <si>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</si>
  <si>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</si>
  <si>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</si>
  <si>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</si>
  <si>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</si>
  <si>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</si>
  <si>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</si>
  <si>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</si>
  <si>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</si>
  <si>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</si>
  <si>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</si>
  <si>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</si>
  <si>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</si>
  <si>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</si>
  <si>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</si>
  <si>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</si>
  <si>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</si>
  <si>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</si>
  <si>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</si>
  <si>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</si>
  <si>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12fce</t>
  </si>
  <si>
    <t>009</t>
  </si>
  <si>
    <t>char_009_12fce</t>
  </si>
  <si>
    <t>Hip</t>
  </si>
  <si>
    <t>12F攻击,12F闪避</t>
  </si>
  <si>
    <t>术士</t>
  </si>
  <si>
    <t>扩散术师</t>
  </si>
  <si>
    <t>211,81,1500,1500</t>
  </si>
  <si>
    <t>远程位</t>
  </si>
  <si>
    <t>罗德岛,远程</t>
  </si>
  <si>
    <t>攻击造成群体法术伤害</t>
  </si>
  <si>
    <t>{"闪避率提升":"获得50%的物理闪避"}</t>
  </si>
  <si>
    <t>Default</t>
  </si>
  <si>
    <t>Idle</t>
  </si>
  <si>
    <t>Die</t>
  </si>
  <si>
    <t>brownb</t>
  </si>
  <si>
    <t>137</t>
  </si>
  <si>
    <t>猎蜂攻击,猎蜂天赋</t>
  </si>
  <si>
    <t>猎蜂1,猎蜂2</t>
  </si>
  <si>
    <t>近卫</t>
  </si>
  <si>
    <t>斗士</t>
  </si>
  <si>
    <t>近战位</t>
  </si>
  <si>
    <t>乌萨斯,近战</t>
  </si>
  <si>
    <t>能够阻挡一个敌人,生命值高于50%时攻击速度+10</t>
  </si>
  <si>
    <t>{"竞技专注":"攻击相同目标时每次攻击可提高自身攻击力8%，最多可叠加5层。更换目标会失去之前叠加的效果（暂改为击杀目标会失去之前叠加的效果）"}</t>
  </si>
  <si>
    <t>greyy</t>
  </si>
  <si>
    <t>格雷伊攻击</t>
  </si>
  <si>
    <t>攻速强化2,格雷伊2</t>
  </si>
  <si>
    <t>玻利瓦尔,远程</t>
  </si>
  <si>
    <r>
      <rPr>
        <sz val="10.5"/>
        <color theme="1" tint="0.05"/>
        <rFont val="宋体"/>
        <charset val="134"/>
      </rPr>
      <t>攻击造成群体法术伤害</t>
    </r>
    <r>
      <rPr>
        <sz val="10.5"/>
        <color theme="1" tint="0.05"/>
        <rFont val="Arial"/>
        <charset val="134"/>
      </rPr>
      <t>.</t>
    </r>
    <r>
      <rPr>
        <sz val="10.5"/>
        <color theme="1" tint="0.05"/>
        <rFont val="宋体"/>
        <charset val="134"/>
      </rPr>
      <t>部署费用减少</t>
    </r>
  </si>
  <si>
    <t>{"静电场":"攻击时对攻击目标造成1秒的停顿"}</t>
  </si>
  <si>
    <t>susuro</t>
  </si>
  <si>
    <t>苏苏洛攻击,苏苏洛天赋</t>
  </si>
  <si>
    <t>治疗强化2,苏苏洛2</t>
  </si>
  <si>
    <t>医疗</t>
  </si>
  <si>
    <t>医师</t>
  </si>
  <si>
    <t>罗德岛,叙拉古,远程</t>
  </si>
  <si>
    <t>恢复友方单位生命,治疗生命值低于50%的友方单位时治疗量提升15%</t>
  </si>
  <si>
    <t>{"微创治疗":"编入队伍时，所有初始费用不超过10的干员受到的治疗效果提升28%"}</t>
  </si>
  <si>
    <t>savage</t>
  </si>
  <si>
    <t>暴行攻击,暴行天赋</t>
  </si>
  <si>
    <t>暴行1,暴行2</t>
  </si>
  <si>
    <t>强攻手</t>
  </si>
  <si>
    <t>雷姆必拓,近战</t>
  </si>
  <si>
    <t>同时攻击阻挡的所有敌人,攻击被阻挡的敌人攻击力提升至110%</t>
  </si>
  <si>
    <t>{"山谷":"周围四格中有两格以上的高地地形时攻击力和防御力+15%（暂默认永久生效）"}</t>
  </si>
  <si>
    <t>nightm</t>
  </si>
  <si>
    <t>164</t>
  </si>
  <si>
    <t>夜魔攻击</t>
  </si>
  <si>
    <t>夜魔1,夜魔2</t>
  </si>
  <si>
    <t>中坚术师</t>
  </si>
  <si>
    <t>维多利亚,远程</t>
  </si>
  <si>
    <t>攻击造成法术伤害,普通攻击命中精英或领袖敌人时获得1点技力（暂改为普通攻击命中敌人有50%概率获得1点技力）</t>
  </si>
  <si>
    <t>{"表里人格":"装备技能1时获得55%的物理和法术闪避，装备技能2时获得+23%攻击力"}</t>
  </si>
  <si>
    <t>grani</t>
  </si>
  <si>
    <t>220</t>
  </si>
  <si>
    <t>格拉尼攻击,冲锋收X模通用杀回,格拉尼天赋</t>
  </si>
  <si>
    <t>防御提升3,格拉尼2</t>
  </si>
  <si>
    <t>先锋</t>
  </si>
  <si>
    <t>冲锋手</t>
  </si>
  <si>
    <t>维多利亚,近战</t>
  </si>
  <si>
    <t>击杀敌人后获得2点部署费用，撤退时返还初始部署费用</t>
  </si>
  <si>
    <t>{"骑警":"在场时，所有【先锋】职业干员获得35%的物理闪避"}</t>
  </si>
  <si>
    <t>Stun</t>
  </si>
  <si>
    <t>swire</t>
  </si>
  <si>
    <t>诗怀雅攻击,诗怀雅天赋</t>
  </si>
  <si>
    <t>诗怀雅1,诗怀雅2</t>
  </si>
  <si>
    <t>教官</t>
  </si>
  <si>
    <t>炎,龙门,龙门近卫局,近战</t>
  </si>
  <si>
    <t>可以攻击到较远敌人，攻击自身未阻挡的敌人时攻击力提升至130%</t>
  </si>
  <si>
    <t>{"近距离作战指导":"在场时周围8格内的近战友方单位攻击力+12%","不落人后":"周围8格内有其他近战友方单位时，自身每3秒回复1点技力"}</t>
  </si>
  <si>
    <t>ceylon</t>
  </si>
  <si>
    <t>348</t>
  </si>
  <si>
    <t>锡兰攻击,锡兰天赋,疗养师X模天赋</t>
  </si>
  <si>
    <t>锡兰1,锡兰2</t>
  </si>
  <si>
    <t>疗养师</t>
  </si>
  <si>
    <t>哥伦比亚,汐斯塔,远程</t>
  </si>
  <si>
    <t>拥有较大治疗范围，但在治疗较远目标时治疗量变为80%(暂不生效),自身获得抵抗且更不容易受到敌人的攻击</t>
  </si>
  <si>
    <t>{"湖畔漫步者":"攻击力+12%，当场地中存在水地形时改为攻击力+48%(我添加了一个id为水地形的空装置用以触发该天赋)"}</t>
  </si>
  <si>
    <t>glacus</t>
  </si>
  <si>
    <t>326</t>
  </si>
  <si>
    <t>格劳克斯攻击,凝滞师X模天赋</t>
  </si>
  <si>
    <t>格劳克斯1,格劳克斯2</t>
  </si>
  <si>
    <t>辅助</t>
  </si>
  <si>
    <t>凝滞师</t>
  </si>
  <si>
    <t>伊比利亚,远程</t>
  </si>
  <si>
    <t>攻击造成法术伤害，并对敌人造成短暂的停顿,攻击范围内存在敌人时技力自然恢复速度+0.2/s</t>
  </si>
  <si>
    <t>{"反制装置":"优先攻击【无人机】单位，且攻击【无人机】时攻击力提升至180%(暂改为对空伤害提升至180%)"}</t>
  </si>
  <si>
    <t>astesi</t>
  </si>
  <si>
    <t>星极攻击,星极天赋,术战者Y模法术脆弱</t>
  </si>
  <si>
    <t>星极1,星极2</t>
  </si>
  <si>
    <t>术战者</t>
  </si>
  <si>
    <t>哥伦比亚,近战</t>
  </si>
  <si>
    <t>攻击造成法术伤害,自身阻挡的敌人受到10%的法术脆弱效果</t>
  </si>
  <si>
    <t>{"天体仪":"每在场上停留20秒，攻击速度+7，防御力+4%，最多可以叠加5次"}</t>
  </si>
  <si>
    <t>skadi</t>
  </si>
  <si>
    <t>263</t>
  </si>
  <si>
    <t>斯卡蒂X攻击,斯卡蒂X深海天赋</t>
  </si>
  <si>
    <t>迅捷打击3,斯卡蒂2,斯卡蒂3</t>
  </si>
  <si>
    <t>无畏者</t>
  </si>
  <si>
    <t>阿戈尔,深海猎人,近战</t>
  </si>
  <si>
    <t>能够阻挡一个敌人,攻击被阻挡的敌人时攻击力提升至115%</t>
  </si>
  <si>
    <t>{"深海掠食者":"编入队伍时，所有【深海猎人】干员的攻击力+16%","迅捷出击":"自身再部署时间-30秒"}</t>
  </si>
  <si>
    <t>chen</t>
  </si>
  <si>
    <t>010</t>
  </si>
  <si>
    <t>陈攻击,陈天赋</t>
  </si>
  <si>
    <t>陈1,陈2,陈3</t>
  </si>
  <si>
    <t>剑豪</t>
  </si>
  <si>
    <t>普通攻击连续造成两次伤害,技能期间造成的伤害提升10%</t>
  </si>
  <si>
    <t>{"呵斥":"在场时每3秒回复全场友方角色1点攻击/受击技力，自身额外回复1点技力(暂时改为回复全场友方角色1点技力","持刀格斗术":"攻击力+6%，防御力+6%，物理闪避+13%"}</t>
  </si>
  <si>
    <t>Skill_2,Skill_3,Skill_End_2,Skill_End_3</t>
  </si>
  <si>
    <t>shwaz</t>
  </si>
  <si>
    <t>340</t>
  </si>
  <si>
    <t>黑攻击,黑天赋</t>
  </si>
  <si>
    <t>黑1,黑2,黑3</t>
  </si>
  <si>
    <t>狙击</t>
  </si>
  <si>
    <t>重射手</t>
  </si>
  <si>
    <t>哥伦比亚,汐斯塔,雷姆必拓,远程</t>
  </si>
  <si>
    <t>高精度的近距离射击,再部署时间减少</t>
  </si>
  <si>
    <t>{"破甲箭头":"攻击时，20%几率当次攻击的攻击力提升至160%，并使命中目标的防御力下降20%，持续5秒","交叉火力":"携带黑和另外至少一名【狙击】干员时，所有【狙击】干员的攻击力+15%"}</t>
  </si>
  <si>
    <t>#地图</t>
  </si>
  <si>
    <t>水地形</t>
  </si>
  <si>
    <t>中立单位</t>
  </si>
  <si>
    <t>装饰品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</si>
  <si>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</si>
  <si>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</si>
  <si>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</si>
  <si>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</si>
  <si>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</si>
  <si>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</si>
  <si>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</si>
  <si>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</si>
  <si>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</si>
  <si>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</si>
  <si>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</si>
  <si>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</si>
  <si>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</si>
  <si>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</si>
  <si>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</si>
  <si>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</si>
  <si>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</si>
  <si>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</si>
  <si>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</si>
  <si>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</si>
  <si>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</si>
  <si>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</si>
  <si>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</si>
  <si>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</si>
  <si>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</si>
  <si>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</si>
  <si>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</si>
  <si>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</si>
  <si>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</si>
  <si>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</si>
  <si>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</si>
  <si>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</si>
  <si>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</si>
  <si>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</si>
  <si>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</si>
  <si>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</si>
  <si>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</si>
  <si>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</si>
  <si>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</si>
  <si>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</si>
  <si>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</si>
  <si>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</si>
  <si>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</si>
  <si>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</si>
  <si>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</si>
  <si>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</si>
  <si>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</si>
  <si>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</si>
  <si>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</si>
  <si>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</si>
  <si>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</si>
  <si>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</si>
  <si>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</si>
  <si>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</si>
  <si>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</si>
  <si>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</si>
  <si>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</si>
  <si>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</si>
  <si>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</si>
  <si>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</si>
  <si>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</si>
  <si>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</si>
  <si>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</si>
  <si>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</si>
  <si>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</si>
  <si>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</si>
  <si>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</si>
  <si>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</si>
  <si>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</si>
  <si>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</si>
  <si>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</si>
  <si>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</si>
  <si>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</si>
  <si>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</si>
  <si>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</si>
  <si>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</si>
  <si>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</si>
  <si>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</si>
  <si>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</si>
  <si>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</si>
  <si>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</si>
  <si>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</si>
  <si>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</si>
  <si>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</si>
  <si>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</si>
  <si>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</si>
  <si>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</si>
  <si>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</si>
  <si>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</si>
  <si>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</si>
  <si>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</si>
  <si>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</si>
  <si>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</si>
  <si>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</si>
  <si>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</si>
  <si>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</si>
  <si>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</si>
  <si>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</si>
  <si>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</si>
  <si>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</si>
  <si>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</si>
  <si>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</si>
  <si>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</si>
  <si>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</si>
  <si>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</si>
  <si>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</si>
  <si>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</si>
  <si>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</si>
  <si>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</si>
  <si>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</si>
  <si>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</si>
  <si>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</si>
  <si>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</si>
  <si>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</si>
  <si>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</si>
  <si>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</si>
  <si>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</si>
  <si>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</si>
  <si>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</si>
  <si>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</si>
  <si>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</si>
  <si>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</si>
  <si>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</si>
  <si>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</si>
  <si>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</si>
  <si>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</si>
  <si>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</si>
  <si>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</si>
  <si>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</si>
  <si>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</si>
  <si>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</si>
  <si>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</si>
  <si>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</si>
  <si>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</si>
  <si>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</si>
  <si>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</si>
  <si>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</si>
  <si>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</si>
  <si>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</si>
  <si>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</si>
  <si>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</si>
  <si>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</si>
  <si>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</si>
  <si>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</si>
  <si>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</si>
  <si>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</si>
  <si>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</si>
  <si>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</si>
  <si>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</si>
  <si>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</si>
  <si>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</si>
  <si>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</si>
  <si>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</si>
  <si>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</si>
  <si>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</si>
  <si>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</si>
  <si>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</si>
  <si>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</si>
  <si>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</si>
  <si>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</si>
  <si>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</si>
  <si>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</si>
  <si>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</si>
  <si>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</si>
  <si>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</si>
  <si>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</si>
  <si>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</si>
  <si>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</si>
  <si>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</si>
  <si>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</si>
  <si>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</si>
  <si>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</si>
  <si>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</si>
  <si>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</si>
  <si>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</si>
  <si>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</si>
  <si>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</si>
  <si>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</si>
  <si>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</si>
  <si>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</si>
  <si>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</si>
  <si>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</si>
  <si>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</si>
  <si>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</si>
  <si>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</si>
  <si>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</si>
  <si>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</si>
  <si>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</si>
  <si>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</si>
  <si>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</si>
  <si>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</si>
  <si>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</si>
  <si>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</si>
  <si>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</si>
  <si>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</si>
  <si>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</si>
  <si>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</si>
  <si>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</si>
  <si>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</si>
  <si>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</si>
  <si>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</si>
  <si>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</si>
  <si>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</si>
  <si>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</si>
  <si>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</si>
  <si>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</si>
  <si>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</si>
  <si>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</si>
  <si>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</si>
  <si>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</si>
  <si>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</si>
  <si>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</si>
  <si>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</si>
  <si>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</si>
  <si>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</si>
  <si>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</si>
  <si>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</si>
  <si>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</si>
  <si>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</si>
  <si>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</si>
  <si>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</si>
  <si>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</si>
  <si>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</si>
  <si>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</si>
  <si>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</si>
  <si>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</si>
  <si>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疗养师X模天赋</t>
  </si>
  <si>
    <t>普通技能</t>
  </si>
  <si>
    <t>被动</t>
  </si>
  <si>
    <t>出场</t>
  </si>
  <si>
    <t>仅自己</t>
  </si>
  <si>
    <t>抵抗变化,嘲讽变化Z</t>
  </si>
  <si>
    <t>凝滞师X模天赋</t>
  </si>
  <si>
    <t>0,0#0,1#0,-1#1,0#2,0#1,1#1,-1#2,1#2,-1#-1,0#-1,1#-1,-1</t>
  </si>
  <si>
    <t>凝滞师X模天赋后续</t>
  </si>
  <si>
    <t>凝滞师X模技力回复</t>
  </si>
  <si>
    <t>术战者Y模法术脆弱</t>
  </si>
  <si>
    <t>群攻</t>
  </si>
  <si>
    <t>术战者Y模阻挡标记</t>
  </si>
  <si>
    <t>0,0</t>
  </si>
  <si>
    <t>术战者Y模阻挡检测</t>
  </si>
  <si>
    <t>法术脆弱</t>
  </si>
  <si>
    <t>12F攻击</t>
  </si>
  <si>
    <t>终点距离</t>
  </si>
  <si>
    <t>0,0#0,1#0,-1#1,0#2,0#1,1#1,-1</t>
  </si>
  <si>
    <t>Magic</t>
  </si>
  <si>
    <t>跟随攻击</t>
  </si>
  <si>
    <t>炎溶击中</t>
  </si>
  <si>
    <t>12F闪避</t>
  </si>
  <si>
    <t>猎蜂攻击</t>
  </si>
  <si>
    <t>近战</t>
  </si>
  <si>
    <t>猎蜂2增益</t>
  </si>
  <si>
    <t>0,0#1,0</t>
  </si>
  <si>
    <t>Normal</t>
  </si>
  <si>
    <t>猎蜂清空攻击,猎蜂攻击减伤</t>
  </si>
  <si>
    <t>猎蜂攻击后续</t>
  </si>
  <si>
    <t>猎蜂加攻击</t>
  </si>
  <si>
    <t>猎蜂清空攻击</t>
  </si>
  <si>
    <t>击杀</t>
  </si>
  <si>
    <t>猎蜂攻击减伤</t>
  </si>
  <si>
    <t>猎蜂攻击减伤标记</t>
  </si>
  <si>
    <t>猎蜂天赋</t>
  </si>
  <si>
    <t>猎蜂天赋加攻速,猎蜂半血标记</t>
  </si>
  <si>
    <t>猎蜂天赋加攻速</t>
  </si>
  <si>
    <t>猎蜂半血标记</t>
  </si>
  <si>
    <t>猎蜂加攻速</t>
  </si>
  <si>
    <t>猎蜂1</t>
  </si>
  <si>
    <t>高机动</t>
  </si>
  <si>
    <t>获得60%的物理闪避</t>
  </si>
  <si>
    <t>skill_icon_skchr_brownb_1</t>
  </si>
  <si>
    <t>猎蜂闪避</t>
  </si>
  <si>
    <t>猎蜂2</t>
  </si>
  <si>
    <t>急速拳</t>
  </si>
  <si>
    <t>攻击间隔大幅度减小(-60%)</t>
  </si>
  <si>
    <t>skill_icon_skchr_brownb_2</t>
  </si>
  <si>
    <t>充能释放</t>
  </si>
  <si>
    <t>手动</t>
  </si>
  <si>
    <t>猎蜂2攻击</t>
  </si>
  <si>
    <t>自动</t>
  </si>
  <si>
    <t>Skill_Begin,Skill_Loop,Skill_End</t>
  </si>
  <si>
    <t>0,0#0,1#0,-1#1,0#2,0#1,1#1,-1#2,1#2,-1</t>
  </si>
  <si>
    <t>减速</t>
  </si>
  <si>
    <t>格雷伊2</t>
  </si>
  <si>
    <t>静电释放</t>
  </si>
  <si>
    <t>攻击速度+80，天赋停顿的持续时间提升至2倍</t>
  </si>
  <si>
    <t>skill_icon_skchr_greyy_2</t>
  </si>
  <si>
    <t>格雷伊2攻击</t>
  </si>
  <si>
    <t>格雷伊2增益</t>
  </si>
  <si>
    <t>苏苏洛攻击</t>
  </si>
  <si>
    <t>血量比例升序</t>
  </si>
  <si>
    <t>0,0#0,1#0,-1#1,0#2,0#1,1#1,-1#2,1#2,-1#3,0#3,1#3,-1</t>
  </si>
  <si>
    <t>苏苏洛半血判定</t>
  </si>
  <si>
    <t>末药弹道</t>
  </si>
  <si>
    <t>Muzzle</t>
  </si>
  <si>
    <t>苏苏洛半血增疗</t>
  </si>
  <si>
    <t>末药击中</t>
  </si>
  <si>
    <t>苏苏洛半血判定标记</t>
  </si>
  <si>
    <t>苏苏洛天赋</t>
  </si>
  <si>
    <t>入场</t>
  </si>
  <si>
    <t>苏苏洛治疗增益</t>
  </si>
  <si>
    <t>苏苏洛2</t>
  </si>
  <si>
    <t>深度治疗</t>
  </si>
  <si>
    <t>攻击力+100%，攻击速度+100\n同一次作战中最多使用2次(暂改为同一次部署最多使用2次)</t>
  </si>
  <si>
    <t>skill_icon_skchr_susuro_2</t>
  </si>
  <si>
    <t>苏苏洛2增益</t>
  </si>
  <si>
    <t>1,100</t>
  </si>
  <si>
    <t>暴行攻击</t>
  </si>
  <si>
    <t>强攻手X模增伤</t>
  </si>
  <si>
    <t>推王攻击启动</t>
  </si>
  <si>
    <t>火神击中</t>
  </si>
  <si>
    <t>暴行天赋</t>
  </si>
  <si>
    <t>暴行被动增益</t>
  </si>
  <si>
    <t>0.15,0.15</t>
  </si>
  <si>
    <t>暴行1</t>
  </si>
  <si>
    <t>强力击·β型</t>
  </si>
  <si>
    <t>下次攻击的攻击力提高至230%</t>
  </si>
  <si>
    <t>skill_icon_skcom_powerstrike[2]</t>
  </si>
  <si>
    <t>攻击</t>
  </si>
  <si>
    <t>暴行2</t>
  </si>
  <si>
    <t>微差爆破</t>
  </si>
  <si>
    <t>对前方三格范围内至多5个敌人造成相当于攻击力400%的物理伤害</t>
  </si>
  <si>
    <t>skill_icon_skchr_savage_2</t>
  </si>
  <si>
    <t>0,0#1,0#2,0#3,0</t>
  </si>
  <si>
    <t>Skill</t>
  </si>
  <si>
    <t>芙兰卡2抬手</t>
  </si>
  <si>
    <t>夜魔1增益</t>
  </si>
  <si>
    <t>0,0#0,1#0,-1#1,0#2,0#1,1#1,-1#2,1#2,-1#3,0</t>
  </si>
  <si>
    <t>夜魔Y模回复技力</t>
  </si>
  <si>
    <t>史都华德弹道</t>
  </si>
  <si>
    <t>夜魔命中标记</t>
  </si>
  <si>
    <t>史都华德击中</t>
  </si>
  <si>
    <t>夜魔Y模回复技力后续</t>
  </si>
  <si>
    <t>回复技力</t>
  </si>
  <si>
    <t>{"PowerCount":1}</t>
  </si>
  <si>
    <t>夜魔1</t>
  </si>
  <si>
    <t>灵魂汲取</t>
  </si>
  <si>
    <t>每次攻击对敌人造成伤害的同时会对范围内至多2名友方单位恢复相当于自身攻击力100%的生命值</t>
  </si>
  <si>
    <t>skill_icon_skchr_nightm_1</t>
  </si>
  <si>
    <t>夜魔1天赋,夜魔1攻击</t>
  </si>
  <si>
    <t>夜魔1天赋</t>
  </si>
  <si>
    <t>夜魔1物理闪避,夜魔1法术闪避</t>
  </si>
  <si>
    <t>夜魔1攻击</t>
  </si>
  <si>
    <t>夜魔1治疗</t>
  </si>
  <si>
    <t>赫默弹道</t>
  </si>
  <si>
    <t>治疗击中</t>
  </si>
  <si>
    <t>夜魔2</t>
  </si>
  <si>
    <t>夜魇魔影</t>
  </si>
  <si>
    <t>立即对攻击范围内最多5名敌人施加梦魇效果：敌人的移动速度-60%，并令其在移动时受到正比于距离的真实伤害（1200/格），持续10秒\n(暂改为每秒600真实伤害)</t>
  </si>
  <si>
    <t>skill_icon_skchr_nightm_2</t>
  </si>
  <si>
    <t>夜魔2天赋</t>
  </si>
  <si>
    <t>夜魔2减速,夜魔2中毒</t>
  </si>
  <si>
    <t>夜魔2增益</t>
  </si>
  <si>
    <t>格拉尼攻击</t>
  </si>
  <si>
    <t>格拉尼2增益</t>
  </si>
  <si>
    <t>Skill_Begin,Attack,Skill_End</t>
  </si>
  <si>
    <t>Skill_Begin,Attack_Down,Skill_End</t>
  </si>
  <si>
    <t>红豆抬手</t>
  </si>
  <si>
    <t>红豆击中</t>
  </si>
  <si>
    <t>格拉尼天赋</t>
  </si>
  <si>
    <t>格拉尼闪避</t>
  </si>
  <si>
    <t>格拉尼2</t>
  </si>
  <si>
    <t>永不后退！</t>
  </si>
  <si>
    <t>攻击范围缩短，攻击力和防御力+80%，阻挡数+1，同时攻击阻挡的所有敌人</t>
  </si>
  <si>
    <t>skill_icon_skchr_grani_2</t>
  </si>
  <si>
    <t>格拉尼2攻击</t>
  </si>
  <si>
    <t>0.8,0.8,1</t>
  </si>
  <si>
    <t>诗怀雅攻击</t>
  </si>
  <si>
    <t>诗怀雅远程攻击</t>
  </si>
  <si>
    <t>Attack_Down</t>
  </si>
  <si>
    <t>杜宾击中</t>
  </si>
  <si>
    <t>0,0#1,0#2,0</t>
  </si>
  <si>
    <t>诗怀雅天赋</t>
  </si>
  <si>
    <t>诗怀雅1增益,诗怀雅2增益</t>
  </si>
  <si>
    <t>0,0#0,1#0,-1#1,0#1,1#1,-1#-1,0#-1,1#-1,-1</t>
  </si>
  <si>
    <t>诗怀雅技力检测</t>
  </si>
  <si>
    <t>诗怀雅加攻</t>
  </si>
  <si>
    <t>自己以外</t>
  </si>
  <si>
    <t>诗怀雅回复技力</t>
  </si>
  <si>
    <t>诗怀雅1</t>
  </si>
  <si>
    <t>指挥调度</t>
  </si>
  <si>
    <t>第一天赋生效范围大幅度扩大，效果提升至2倍</t>
  </si>
  <si>
    <t>skill_icon_skchr_swire_1</t>
  </si>
  <si>
    <t>诗怀雅1天赋</t>
  </si>
  <si>
    <t>诗怀雅1增益</t>
  </si>
  <si>
    <t>0,0#0,1#0,2#0,-1#0,-2#-1,0#-1,1#-1,2#-1,-1#-1,-2#1,0#1,1#1,2#1,-1#1,-2#2,0#2,1#2,-1#-2,0#-2,1#-2,-1</t>
  </si>
  <si>
    <t>诗怀雅2</t>
  </si>
  <si>
    <t>协同作战</t>
  </si>
  <si>
    <t>攻击力+80%，第一天赋效果提升至3倍</t>
  </si>
  <si>
    <t>skill_icon_skchr_swire_2</t>
  </si>
  <si>
    <t>诗怀雅2天赋</t>
  </si>
  <si>
    <t>诗怀雅2增益</t>
  </si>
  <si>
    <t>锡兰攻击</t>
  </si>
  <si>
    <t>0,0#0,1#0,-1#1,0#2,0#1,1#1,-1#2,1#2,-1#3,0#3,1#3,-1#0,2#0,-2#1,2#1,-2#2,2#2,-2</t>
  </si>
  <si>
    <t>锡兰外圈判定</t>
  </si>
  <si>
    <t>初雪弹道</t>
  </si>
  <si>
    <t>锡兰外圈减疗</t>
  </si>
  <si>
    <t>3,0#3,1#3,-1#0,2#0,-2#1,2#1,-2#2,2#2,-2</t>
  </si>
  <si>
    <t>锡兰外圈判定标记</t>
  </si>
  <si>
    <t>锡兰天赋</t>
  </si>
  <si>
    <t>锡兰检测水地形</t>
  </si>
  <si>
    <t>锡兰加攻</t>
  </si>
  <si>
    <t>锡兰检测水地形后续</t>
  </si>
  <si>
    <t>锡兰水地形加攻</t>
  </si>
  <si>
    <t>锡兰1</t>
  </si>
  <si>
    <t>集中式水疗</t>
  </si>
  <si>
    <t>下次治疗时的治疗量提升至攻击力的200%，并且不会因特性效果而降低\n可以充能3次</t>
  </si>
  <si>
    <t>skill_icon_skchr_ceylon_1</t>
  </si>
  <si>
    <t>锡兰2</t>
  </si>
  <si>
    <t>水灵庇护</t>
  </si>
  <si>
    <t>攻击力+60%，治疗目标数+1，持续时间内攻击范围内的友方单位获得抵抗</t>
  </si>
  <si>
    <t>skill_icon_skchr_ceylon_2</t>
  </si>
  <si>
    <t>锡兰2攻击,锡兰2抵抗</t>
  </si>
  <si>
    <t>锡兰2增益</t>
  </si>
  <si>
    <t>锡兰2攻击</t>
  </si>
  <si>
    <t>锡兰2抵抗</t>
  </si>
  <si>
    <t>抵抗变化</t>
  </si>
  <si>
    <t>格劳克斯攻击</t>
  </si>
  <si>
    <t>无人机</t>
  </si>
  <si>
    <t>梅尔弹道</t>
  </si>
  <si>
    <t>格劳克斯增伤</t>
  </si>
  <si>
    <t>梅尔抬手</t>
  </si>
  <si>
    <t>梅尔击中</t>
  </si>
  <si>
    <t>格劳克斯1</t>
  </si>
  <si>
    <t>攻击力+50%，额外攻击一个目标</t>
  </si>
  <si>
    <t>skill_icon_skchr_glacus_1</t>
  </si>
  <si>
    <t>格劳克斯1攻击</t>
  </si>
  <si>
    <t>格劳克斯1增益</t>
  </si>
  <si>
    <t>格劳克斯2</t>
  </si>
  <si>
    <t>反制电磁脉冲</t>
  </si>
  <si>
    <t>向周围发射一道冲击波，击中的所有敌人受到攻击力400%的法术伤害并束缚6秒；如果目标是【无人机】，受到的伤害加倍并将效果改为晕眩（暂改为对空伤害翻倍，攻击任何目标都会附加眩晕）</t>
  </si>
  <si>
    <t>skill_icon_skchr_glacus_2</t>
  </si>
  <si>
    <t>0,0#0,1#0,-1#1,0#-1,0#2,0#1,1#1,-1#0,2#0,-2#-1,1#-1,-1#-2,0#3,0#2,1#2,-1#1,2#1,-2#0,3#0,-3#-1,2#-1,-2#-2,-1#-2,1#-3,0</t>
  </si>
  <si>
    <t>格劳克斯2眩晕</t>
  </si>
  <si>
    <t>格劳克斯2增伤</t>
  </si>
  <si>
    <t>束缚</t>
  </si>
  <si>
    <t>蓄力</t>
  </si>
  <si>
    <t>眩晕</t>
  </si>
  <si>
    <t>大主教1启动</t>
  </si>
  <si>
    <t>星极攻击</t>
  </si>
  <si>
    <t>拉普兰德近战抬手</t>
  </si>
  <si>
    <t>拉普兰德近战击中</t>
  </si>
  <si>
    <t>星极天赋</t>
  </si>
  <si>
    <t>星极天赋增益</t>
  </si>
  <si>
    <t>7,0.04</t>
  </si>
  <si>
    <t>星极1</t>
  </si>
  <si>
    <t>星座守护</t>
  </si>
  <si>
    <t>攻击力+50%，防御力+80%</t>
  </si>
  <si>
    <t>skill_icon_skchr_astesi_1</t>
  </si>
  <si>
    <t>星极1增益</t>
  </si>
  <si>
    <t>0.5,0.8</t>
  </si>
  <si>
    <t>星极2</t>
  </si>
  <si>
    <t>星辉剑</t>
  </si>
  <si>
    <t>攻击力+80%，防御力+80%，阻挡数+1，同时攻击阻挡的所有敌人</t>
  </si>
  <si>
    <t>skill_icon_skchr_astesi_2</t>
  </si>
  <si>
    <t>星极2增益</t>
  </si>
  <si>
    <t>星极2攻击</t>
  </si>
  <si>
    <t>拉普兰德2击中</t>
  </si>
  <si>
    <t>斯卡蒂X攻击</t>
  </si>
  <si>
    <t>Attack_Begin,Attack,Attack_End</t>
  </si>
  <si>
    <t>无畏者X模增伤</t>
  </si>
  <si>
    <t>芙兰卡抬手</t>
  </si>
  <si>
    <t>芙兰卡击中</t>
  </si>
  <si>
    <t>斯卡蒂X深海天赋</t>
  </si>
  <si>
    <t>斯卡蒂,幽灵鲨</t>
  </si>
  <si>
    <t>斯卡蒂X自身天赋</t>
  </si>
  <si>
    <t>斯卡蒂X深海增益</t>
  </si>
  <si>
    <t>斯卡蒂减再部署</t>
  </si>
  <si>
    <t>斯卡蒂2</t>
  </si>
  <si>
    <t>跃浪击</t>
  </si>
  <si>
    <t>部署后30秒内攻击力+170%</t>
  </si>
  <si>
    <t>skill_icon_skchr_skadi_2</t>
  </si>
  <si>
    <t>落地</t>
  </si>
  <si>
    <t>斯卡蒂2增益</t>
  </si>
  <si>
    <t>斯卡蒂3</t>
  </si>
  <si>
    <t>涌潮悲歌</t>
  </si>
  <si>
    <t>攻击力、防御力和生命上限各+130%</t>
  </si>
  <si>
    <t>skill_icon_skchr_skadi_3</t>
  </si>
  <si>
    <t>斯卡蒂3增益</t>
  </si>
  <si>
    <t>1.3,1.3,1.3</t>
  </si>
  <si>
    <t>陈攻击</t>
  </si>
  <si>
    <t>陈3无敌</t>
  </si>
  <si>
    <t>Attack_Pre,Attack,Attack_End</t>
  </si>
  <si>
    <t>陈天赋</t>
  </si>
  <si>
    <t>陈回复技力</t>
  </si>
  <si>
    <t>陈天赋增益,陈物理闪避</t>
  </si>
  <si>
    <t>0.06,0.06</t>
  </si>
  <si>
    <t>Target.MainSkill.SkillData.PowerType == 1</t>
  </si>
  <si>
    <t>陈回复自身技力</t>
  </si>
  <si>
    <t>{"PowerCount":2}</t>
  </si>
  <si>
    <t>陈1</t>
  </si>
  <si>
    <t>鞘击</t>
  </si>
  <si>
    <t>下次攻击使用刀鞘砸向敌人，造成相当于攻击力320%的物理伤害，令命中目标晕眩1.5秒</t>
  </si>
  <si>
    <t>skill_icon_skchr_chen_1</t>
  </si>
  <si>
    <t>陈1结束</t>
  </si>
  <si>
    <t>芙兰卡2击中</t>
  </si>
  <si>
    <t>技能结束</t>
  </si>
  <si>
    <t>Skill_End</t>
  </si>
  <si>
    <t>陈2</t>
  </si>
  <si>
    <t>赤霄·拔刀</t>
  </si>
  <si>
    <t>对前方范围内最多7名敌人造成相当于攻击力500%的物理和相当于攻击力500%的法术伤害</t>
  </si>
  <si>
    <t>skill_icon_skchr_chen_2</t>
  </si>
  <si>
    <t>0,0#0,1#0,-1#1,0#2,0#1,1#1,-1#3,0</t>
  </si>
  <si>
    <t>陈2附伤,陈2结束</t>
  </si>
  <si>
    <t>Skill_2</t>
  </si>
  <si>
    <t>陈2标记</t>
  </si>
  <si>
    <t>陈2附伤</t>
  </si>
  <si>
    <t>陈2结束</t>
  </si>
  <si>
    <t>Skill_End_2</t>
  </si>
  <si>
    <t>陈3</t>
  </si>
  <si>
    <t>赤霄·绝影</t>
  </si>
  <si>
    <t>向周围寻找最近的敌方目标并发动10次连续斩击，每次使目标在5秒内受到30%的脆弱效果，造成相当于攻击力400%的物理伤害，最后一击额外使目标晕眩5秒\n技能期间获得无敌、不可阻挡和控制效果免疫</t>
  </si>
  <si>
    <t>skill_icon_skchr_chen_3</t>
  </si>
  <si>
    <t>0,0#0,1#0,-1#1,0#-1,0#2,0#1,1#1,-1#0,2#0,-2#-1,1#-1,-1#-2,0</t>
  </si>
  <si>
    <t>陈3结束</t>
  </si>
  <si>
    <t>陈3攻击,陈3最终攻击,陈3攻击动作,陈3启动,陈3启动后续</t>
  </si>
  <si>
    <t>陈3启动</t>
  </si>
  <si>
    <t>抵抗变化,阻挡变化,陈3无敌</t>
  </si>
  <si>
    <t>陈3启动后续</t>
  </si>
  <si>
    <t>陈3禁止收尾</t>
  </si>
  <si>
    <t>陈3攻击动作</t>
  </si>
  <si>
    <t>Skill_3</t>
  </si>
  <si>
    <t>陈3攻击</t>
  </si>
  <si>
    <t>自身距离升序</t>
  </si>
  <si>
    <t>近身</t>
  </si>
  <si>
    <t>陈3最终攻击</t>
  </si>
  <si>
    <t>Skill_End_3,Attack_End</t>
  </si>
  <si>
    <t>黑攻击</t>
  </si>
  <si>
    <t>黑3增益</t>
  </si>
  <si>
    <t>黑暴击</t>
  </si>
  <si>
    <t>Attack_Begin,Attack_Loop,Attack_End</t>
  </si>
  <si>
    <t>守林人弹道</t>
  </si>
  <si>
    <t>守林人抬手</t>
  </si>
  <si>
    <t>守林人击中</t>
  </si>
  <si>
    <t>黑减防</t>
  </si>
  <si>
    <t>黑天赋</t>
  </si>
  <si>
    <t>黑天赋检测</t>
  </si>
  <si>
    <t>黑减再部署</t>
  </si>
  <si>
    <t>黑天赋检测2</t>
  </si>
  <si>
    <t>黑天赋增益</t>
  </si>
  <si>
    <t>黑1</t>
  </si>
  <si>
    <t>强弩</t>
  </si>
  <si>
    <t>下一次攻击的攻击力提高至220%，且天赋发动概率提高至80%</t>
  </si>
  <si>
    <t>skill_icon_skchr_shwaz_1</t>
  </si>
  <si>
    <t>黑1攻击,黑1暴击</t>
  </si>
  <si>
    <t>1,4</t>
  </si>
  <si>
    <t>黑1攻击</t>
  </si>
  <si>
    <t>黑1暴击</t>
  </si>
  <si>
    <t>黑2</t>
  </si>
  <si>
    <t>暮眼锐瞳</t>
  </si>
  <si>
    <t>攻击力+130%，天赋的发动概率提高至50%</t>
  </si>
  <si>
    <t>skill_icon_skchr_shwaz_2</t>
  </si>
  <si>
    <t>黑2攻击,黑2暴击</t>
  </si>
  <si>
    <t>黑2增益</t>
  </si>
  <si>
    <t>黑2攻击</t>
  </si>
  <si>
    <t>黑2暴击</t>
  </si>
  <si>
    <t>黑3</t>
  </si>
  <si>
    <t>战术的终结</t>
  </si>
  <si>
    <t>攻击范围改为前方4格，攻击间隔略微增大(+0.4)，攻击力+180%，天赋的发动概率提高至100%</t>
  </si>
  <si>
    <t>skill_icon_skchr_shwaz_3</t>
  </si>
  <si>
    <t>黑3攻击,黑3结束</t>
  </si>
  <si>
    <t>Skill_Begin</t>
  </si>
  <si>
    <t>固定间隔</t>
  </si>
  <si>
    <t>黑3增益,黑3动作,黑3特效</t>
  </si>
  <si>
    <t>1.8,0.4</t>
  </si>
  <si>
    <t>黑3攻击</t>
  </si>
  <si>
    <t>特技激活</t>
  </si>
  <si>
    <t>0,0#1,0#2,0#3,0#4,0</t>
  </si>
  <si>
    <t>Skill_Loop</t>
  </si>
  <si>
    <t>阿米娅3弹道</t>
  </si>
  <si>
    <t>阿米娅3击中</t>
  </si>
  <si>
    <t>黑3结束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</si>
  <si>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</si>
  <si>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</si>
  <si>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</si>
  <si>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</si>
  <si>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</si>
  <si>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</si>
  <si>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</si>
  <si>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</si>
  <si>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</si>
  <si>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</si>
  <si>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</si>
  <si>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</si>
  <si>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</si>
  <si>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</si>
  <si>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</si>
  <si>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</si>
  <si>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</si>
  <si>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</si>
  <si>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</si>
  <si>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</si>
  <si>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</si>
  <si>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</si>
  <si>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无特效无敌</t>
  </si>
  <si>
    <t>无敌</t>
  </si>
  <si>
    <t>屏蔽模型Z</t>
  </si>
  <si>
    <t>屏蔽模型</t>
  </si>
  <si>
    <t>嘲讽变化Z</t>
  </si>
  <si>
    <t>数值变化</t>
  </si>
  <si>
    <t>{"t":["Hatre"]}</t>
  </si>
  <si>
    <t>{"t":["PowerSpeedAdd"]}</t>
  </si>
  <si>
    <t>{"t":["MagicDamageReceiveRate"]}</t>
  </si>
  <si>
    <t>普通Buff</t>
  </si>
  <si>
    <t>闪避</t>
  </si>
  <si>
    <t>{"Chance":0.5,"AvoidType":"Normal"}</t>
  </si>
  <si>
    <t>{"t":["AttackRate","DefenceRate"]}</t>
  </si>
  <si>
    <t>减伤</t>
  </si>
  <si>
    <t>{"Rate":0.5,"TargetBuffNeed":"猎蜂攻击减伤标记"}</t>
  </si>
  <si>
    <t>{"t":["AgiAdd"]}</t>
  </si>
  <si>
    <t>数值变化叠加</t>
  </si>
  <si>
    <t>{"t":["AttackRate"],"MaxLevel":5}</t>
  </si>
  <si>
    <t>{"Chance":0.6,"AvoidType":"Normal"}</t>
  </si>
  <si>
    <t>攻击强化</t>
  </si>
  <si>
    <t>{"t":["AttackGapRate"]}</t>
  </si>
  <si>
    <t>{"t":["HealDamageReceiveRate"]}</t>
  </si>
  <si>
    <t>苏苏洛1增益</t>
  </si>
  <si>
    <t>支援强化</t>
  </si>
  <si>
    <t>{"t":["AttackRate"]}</t>
  </si>
  <si>
    <t>{"t":["AttackRate","AgiAdd"]}</t>
  </si>
  <si>
    <t>夜魔1物理闪避</t>
  </si>
  <si>
    <t>{"Chance":0.55,"AvoidType":"Normal"}</t>
  </si>
  <si>
    <t>夜魔1法术闪避</t>
  </si>
  <si>
    <t>{"Chance":0.55,"AvoidType":"Magic"}</t>
  </si>
  <si>
    <t>夜魔2减速</t>
  </si>
  <si>
    <t>{"t":["SpeedRate"]}</t>
  </si>
  <si>
    <t>夜魔2中毒</t>
  </si>
  <si>
    <t>中毒</t>
  </si>
  <si>
    <t>棘刺中毒</t>
  </si>
  <si>
    <t>{"DamageBase":0,"DamageType":"Real"}</t>
  </si>
  <si>
    <t>{"Chance":0.35,"AvoidType":"Normal"}</t>
  </si>
  <si>
    <t>防御强化</t>
  </si>
  <si>
    <t>{"t":["AttackRate","DefenceRate","StopCountAdd"]}</t>
  </si>
  <si>
    <t>{"t":["AgiAdd","DefenceRate"],"MaxLevel":5}</t>
  </si>
  <si>
    <t>{"t":["ResetTimeAdd"]}</t>
  </si>
  <si>
    <t>{"t":["AttackRate","DefenceRate","HpRate"]}</t>
  </si>
  <si>
    <t>陈天赋增益</t>
  </si>
  <si>
    <t>陈物理闪避</t>
  </si>
  <si>
    <t>{"Chance":0.13,"AvoidType":"Normal"}</t>
  </si>
  <si>
    <t>降防</t>
  </si>
  <si>
    <t>{"t":["DefenceRate"]}</t>
  </si>
  <si>
    <t>黑3Buff</t>
  </si>
  <si>
    <t>{"t":["AttackRate","AttackGapAdd"]}</t>
  </si>
  <si>
    <t>黑3动作</t>
  </si>
  <si>
    <t>{"IdleAnimation":["Skill_Idle"]}</t>
  </si>
  <si>
    <t>黑3特效</t>
  </si>
  <si>
    <t>黑3眼buff</t>
  </si>
  <si>
    <t>黑常态动作</t>
  </si>
  <si>
    <t>{"IdleAnimation":["Idle"]}</t>
  </si>
  <si>
    <t>相关buff</t>
  </si>
  <si>
    <t>Buff</t>
  </si>
  <si>
    <t>未阻挡伤害</t>
  </si>
  <si>
    <t>{"Rate":0.909}</t>
  </si>
  <si>
    <t>{"Rate":0.87}</t>
  </si>
  <si>
    <t>对buff伤害</t>
  </si>
  <si>
    <t>{"DamageRate":1.25}</t>
  </si>
  <si>
    <t>{"DamageRate":0.8}</t>
  </si>
  <si>
    <t>对飞行伤害</t>
  </si>
  <si>
    <t>{"DamageRate":1.8}</t>
  </si>
  <si>
    <t>{"DamageRate":2}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</si>
  <si>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</si>
  <si>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</si>
  <si>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</si>
  <si>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</si>
  <si>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</si>
  <si>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</si>
  <si>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</si>
  <si>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</si>
  <si>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</si>
  <si>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</si>
  <si>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</si>
  <si>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</si>
  <si>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</si>
  <si>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</si>
  <si>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</si>
  <si>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</si>
  <si>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</si>
  <si>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</si>
  <si>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</si>
  <si>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</si>
  <si>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</si>
  <si>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</si>
  <si>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</si>
  <si>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</si>
  <si>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ghost_skill_02_buff_02</t>
  </si>
  <si>
    <t>0,-0.4,0</t>
  </si>
  <si>
    <t>ghost_skill_02_buff</t>
  </si>
  <si>
    <t>F_R_Eye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</si>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</sst>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name val="宋体"/>
      <charset val="134"/>
    </font>
    <font>
      <sz val="11"/>
      <color rgb="FF9C5700"/>
      <name val="宋体"/>
      <charset val="134"/>
      <scheme val="minor"/>
    </font>
    <font>
      <sz val="11"/>
      <color rgb="FF00B0F0"/>
      <name val="宋体"/>
      <charset val="134"/>
    </font>
    <font>
      <sz val="11"/>
      <color rgb="FF9C0006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0000"/>
      <name val="等线"/>
      <charset val="134"/>
    </font>
    <font>
      <sz val="10.5"/>
      <color theme="1" tint="0.05"/>
      <name val="宋体"/>
      <charset val="134"/>
    </font>
    <font>
      <sz val="10.5"/>
      <color rgb="FF202122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theme="1" tint="0.05"/>
      <name val="Arial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8" borderId="5" applyNumberFormat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0" xfId="49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>
      <alignment vertical="center"/>
    </xf>
    <xf numFmtId="0" fontId="1" fillId="3" borderId="1" xfId="24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23" applyFont="1" applyFill="1" applyBorder="1">
      <alignment vertical="center"/>
    </xf>
    <xf numFmtId="3" fontId="0" fillId="0" borderId="0" xfId="0" applyNumberFormat="1">
      <alignment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0" fillId="5" borderId="0" xfId="34" applyFont="1" applyFill="1">
      <alignment vertical="center"/>
    </xf>
    <xf numFmtId="0" fontId="1" fillId="3" borderId="0" xfId="24" applyFont="1" applyFill="1">
      <alignment vertical="center"/>
    </xf>
    <xf numFmtId="0" fontId="4" fillId="3" borderId="0" xfId="24" applyFont="1" applyFill="1">
      <alignment vertical="center"/>
    </xf>
    <xf numFmtId="0" fontId="5" fillId="0" borderId="0" xfId="0" applyFont="1">
      <alignment vertical="center"/>
    </xf>
    <xf numFmtId="0" fontId="1" fillId="3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1" fillId="4" borderId="0" xfId="23" applyFont="1" applyFill="1">
      <alignment vertical="center"/>
    </xf>
    <xf numFmtId="0" fontId="6" fillId="4" borderId="0" xfId="23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3" fontId="0" fillId="0" borderId="0" xfId="0" applyNumberForma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FFEB9C"/>
      <color rgb="00FFC7CE"/>
      <color rgb="00EBF1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23"/>
  <sheetViews>
    <sheetView workbookViewId="0">
      <selection activeCell="A19" sqref="$A19:$XFD19"/>
    </sheetView>
  </sheetViews>
  <sheetFormatPr defaultColWidth="9" defaultRowHeight="14.4" outlineLevelCol="1"/>
  <cols>
    <col min="2" max="2" width="9" customWidth="1"/>
  </cols>
  <sheetData>
    <row r="2" spans="1:2">
      <c r="A2" t="s">
        <v>0</v>
      </c>
      <c r="B2" t="s">
        <v>1</v>
      </c>
    </row>
    <row r="3" spans="1:2">
      <c r="A3" t="s">
        <v>2</v>
      </c>
      <c r="B3" t="s">
        <v>3</v>
      </c>
    </row>
    <row r="4" spans="1:2">
      <c r="A4" t="s">
        <v>4</v>
      </c>
      <c r="B4" t="s">
        <v>4</v>
      </c>
    </row>
    <row r="6" spans="1:1">
      <c r="A6" t="s">
        <v>5</v>
      </c>
    </row>
    <row r="7" spans="1:2">
      <c r="A7" t="s">
        <v>6</v>
      </c>
      <c r="B7" t="s">
        <v>6</v>
      </c>
    </row>
    <row r="8" customFormat="1" spans="1:2">
      <c r="A8" t="s">
        <v>7</v>
      </c>
      <c r="B8" t="s">
        <v>7</v>
      </c>
    </row>
    <row r="9" customFormat="1" spans="1:2">
      <c r="A9" t="s">
        <v>8</v>
      </c>
      <c r="B9" t="s">
        <v>8</v>
      </c>
    </row>
    <row r="11" customFormat="1" spans="1:1">
      <c r="A11" t="s">
        <v>9</v>
      </c>
    </row>
    <row r="12" spans="1:2">
      <c r="A12" t="s">
        <v>10</v>
      </c>
      <c r="B12" t="s">
        <v>10</v>
      </c>
    </row>
    <row r="13" spans="1:2">
      <c r="A13" t="s">
        <v>11</v>
      </c>
      <c r="B13" t="s">
        <v>11</v>
      </c>
    </row>
    <row r="14" spans="1:2">
      <c r="A14" t="s">
        <v>12</v>
      </c>
      <c r="B14" t="s">
        <v>12</v>
      </c>
    </row>
    <row r="15" customFormat="1" spans="1:2">
      <c r="A15" t="s">
        <v>13</v>
      </c>
      <c r="B15" t="s">
        <v>13</v>
      </c>
    </row>
    <row r="16" customFormat="1" spans="1:2">
      <c r="A16" t="s">
        <v>14</v>
      </c>
      <c r="B16" t="s">
        <v>14</v>
      </c>
    </row>
    <row r="17" customFormat="1" spans="1:2">
      <c r="A17" t="s">
        <v>15</v>
      </c>
      <c r="B17" t="s">
        <v>15</v>
      </c>
    </row>
    <row r="18" spans="1:2">
      <c r="A18" t="s">
        <v>16</v>
      </c>
      <c r="B18" t="s">
        <v>16</v>
      </c>
    </row>
    <row r="19" customFormat="1"/>
    <row r="20" customFormat="1" spans="1:1">
      <c r="A20" t="s">
        <v>17</v>
      </c>
    </row>
    <row r="21" spans="1:2">
      <c r="A21" t="s">
        <v>18</v>
      </c>
      <c r="B21" t="s">
        <v>18</v>
      </c>
    </row>
    <row r="22" spans="1:2">
      <c r="A22" t="s">
        <v>19</v>
      </c>
      <c r="B22" t="s">
        <v>19</v>
      </c>
    </row>
    <row r="23" spans="1:2">
      <c r="A23" t="s">
        <v>20</v>
      </c>
      <c r="B23" t="s">
        <v>20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96"/>
  <sheetViews>
    <sheetView workbookViewId="0">
      <pane xSplit="1" ySplit="3" topLeftCell="AB4" activePane="bottomRight" state="frozen"/>
      <selection/>
      <selection pane="topRight"/>
      <selection pane="bottomLeft"/>
      <selection pane="bottomRight" activeCell="AI17" sqref="AI17"/>
    </sheetView>
  </sheetViews>
  <sheetFormatPr defaultColWidth="9" defaultRowHeight="14.4"/>
  <cols>
    <col min="1" max="1" width="22.5833333333333" customWidth="1"/>
    <col min="4" max="4" width="8.58333333333333" customWidth="1"/>
    <col min="5" max="5" width="5.33333333333333" customWidth="1"/>
    <col min="6" max="6" width="19.5833333333333" customWidth="1"/>
    <col min="7" max="7" width="8.25" customWidth="1"/>
    <col min="11" max="11" width="6" customWidth="1"/>
    <col min="12" max="12" width="5.5" customWidth="1"/>
    <col min="13" max="13" width="5.58333333333333" customWidth="1"/>
    <col min="14" max="14" width="4" customWidth="1"/>
    <col min="15" max="15" width="7.75" customWidth="1"/>
    <col min="16" max="16" width="10.8333333333333" customWidth="1"/>
    <col min="17" max="18" width="3.83333333333333" customWidth="1"/>
    <col min="19" max="20" width="3.58333333333333" customWidth="1"/>
    <col min="21" max="21" width="10.25" customWidth="1"/>
    <col min="22" max="22" width="9.58333333333333" customWidth="1"/>
    <col min="23" max="23" width="10.75" customWidth="1"/>
    <col min="24" max="24" width="12.8333333333333" customWidth="1"/>
    <col min="25" max="25" width="13.0833333333333" customWidth="1"/>
    <col min="26" max="26" width="10.75" customWidth="1"/>
    <col min="29" max="29" width="8" customWidth="1"/>
    <col min="30" max="30" width="17.0833333333333" customWidth="1"/>
    <col min="31" max="31" width="9.75" customWidth="1"/>
    <col min="32" max="32" width="7.83333333333333" customWidth="1"/>
    <col min="33" max="33" width="15.8333333333333" customWidth="1"/>
    <col min="34" max="34" width="13.8333333333333" customWidth="1"/>
    <col min="35" max="35" width="34.5" customWidth="1"/>
    <col min="36" max="37" width="9.83333333333333" customWidth="1"/>
    <col min="43" max="43" width="12.5" customWidth="1"/>
    <col min="50" max="50" width="24.3333333333333" customWidth="1"/>
    <col min="52" max="52" width="17.75" customWidth="1"/>
    <col min="53" max="53" width="7.83333333333333" customWidth="1"/>
    <col min="56" max="56" width="24.25" customWidth="1"/>
    <col min="57" max="57" width="13.25" customWidth="1"/>
    <col min="58" max="58" width="16.0833333333333" customWidth="1"/>
    <col min="59" max="59" width="8" customWidth="1"/>
    <col min="62" max="62" width="27.3333333333333" customWidth="1"/>
    <col min="64" max="64" width="39.5833333333333" customWidth="1"/>
    <col min="65" max="65" width="14" customWidth="1"/>
    <col min="66" max="66" width="14.8333333333333" customWidth="1"/>
    <col min="67" max="70" width="14" customWidth="1"/>
    <col min="71" max="71" width="19.1666666666667" customWidth="1"/>
  </cols>
  <sheetData>
    <row r="1" spans="4:60">
      <c r="D1" t="s">
        <v>21</v>
      </c>
      <c r="E1" t="s">
        <v>21</v>
      </c>
      <c r="G1" t="s">
        <v>22</v>
      </c>
      <c r="I1" t="s">
        <v>23</v>
      </c>
      <c r="J1" t="s">
        <v>24</v>
      </c>
      <c r="K1" t="s">
        <v>25</v>
      </c>
      <c r="M1" t="s">
        <v>26</v>
      </c>
      <c r="O1" t="s">
        <v>27</v>
      </c>
      <c r="Q1" t="s">
        <v>28</v>
      </c>
      <c r="S1" t="s">
        <v>29</v>
      </c>
      <c r="U1" t="s">
        <v>30</v>
      </c>
      <c r="V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48</v>
      </c>
      <c r="AQ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D1" t="s">
        <v>59</v>
      </c>
      <c r="BE1" t="s">
        <v>60</v>
      </c>
      <c r="BF1" t="s">
        <v>61</v>
      </c>
      <c r="BG1" t="s">
        <v>62</v>
      </c>
      <c r="BH1" t="s">
        <v>63</v>
      </c>
    </row>
    <row r="2" spans="1:71">
      <c r="A2" t="s">
        <v>0</v>
      </c>
      <c r="B2" t="s">
        <v>64</v>
      </c>
      <c r="C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70</v>
      </c>
      <c r="K2" t="s">
        <v>71</v>
      </c>
      <c r="L2" t="s">
        <v>72</v>
      </c>
      <c r="M2" t="s">
        <v>73</v>
      </c>
      <c r="N2" t="s">
        <v>74</v>
      </c>
      <c r="O2" t="s">
        <v>75</v>
      </c>
      <c r="P2" t="s">
        <v>76</v>
      </c>
      <c r="Q2" t="s">
        <v>77</v>
      </c>
      <c r="R2" t="s">
        <v>78</v>
      </c>
      <c r="S2" t="s">
        <v>79</v>
      </c>
      <c r="T2" t="s">
        <v>80</v>
      </c>
      <c r="U2" t="s">
        <v>81</v>
      </c>
      <c r="V2" t="s">
        <v>82</v>
      </c>
      <c r="W2" t="s">
        <v>83</v>
      </c>
      <c r="X2" t="s">
        <v>84</v>
      </c>
      <c r="Y2" t="s">
        <v>85</v>
      </c>
      <c r="Z2" t="s">
        <v>86</v>
      </c>
      <c r="AA2" t="s">
        <v>87</v>
      </c>
      <c r="AB2" t="s">
        <v>88</v>
      </c>
      <c r="AC2" t="s">
        <v>89</v>
      </c>
      <c r="AD2" t="s">
        <v>90</v>
      </c>
      <c r="AE2" t="s">
        <v>91</v>
      </c>
      <c r="AF2" t="s">
        <v>92</v>
      </c>
      <c r="AG2" t="s">
        <v>93</v>
      </c>
      <c r="AH2" t="s">
        <v>94</v>
      </c>
      <c r="AI2" t="s">
        <v>95</v>
      </c>
      <c r="AJ2" t="s">
        <v>96</v>
      </c>
      <c r="AK2" t="s">
        <v>97</v>
      </c>
      <c r="AL2" t="s">
        <v>98</v>
      </c>
      <c r="AM2" t="s">
        <v>99</v>
      </c>
      <c r="AN2" t="s">
        <v>100</v>
      </c>
      <c r="AO2" t="s">
        <v>101</v>
      </c>
      <c r="AP2" t="s">
        <v>102</v>
      </c>
      <c r="AQ2" t="s">
        <v>103</v>
      </c>
      <c r="AR2" t="s">
        <v>104</v>
      </c>
      <c r="AS2" t="s">
        <v>105</v>
      </c>
      <c r="AT2" t="s">
        <v>106</v>
      </c>
      <c r="AU2" t="s">
        <v>107</v>
      </c>
      <c r="AV2" t="s">
        <v>108</v>
      </c>
      <c r="AW2" t="s">
        <v>109</v>
      </c>
      <c r="AX2" t="s">
        <v>110</v>
      </c>
      <c r="AY2" t="s">
        <v>111</v>
      </c>
      <c r="AZ2" t="s">
        <v>112</v>
      </c>
      <c r="BA2" t="s">
        <v>113</v>
      </c>
      <c r="BB2" t="s">
        <v>114</v>
      </c>
      <c r="BC2" t="s">
        <v>115</v>
      </c>
      <c r="BD2" t="s">
        <v>116</v>
      </c>
      <c r="BE2" t="s">
        <v>117</v>
      </c>
      <c r="BF2" t="s">
        <v>118</v>
      </c>
      <c r="BG2" t="s">
        <v>119</v>
      </c>
      <c r="BH2" t="s">
        <v>120</v>
      </c>
      <c r="BI2" t="s">
        <v>121</v>
      </c>
      <c r="BJ2" t="s">
        <v>122</v>
      </c>
      <c r="BK2" t="s">
        <v>123</v>
      </c>
      <c r="BL2" t="s">
        <v>124</v>
      </c>
      <c r="BM2" t="s">
        <v>125</v>
      </c>
      <c r="BN2" t="s">
        <v>126</v>
      </c>
      <c r="BO2" t="s">
        <v>127</v>
      </c>
      <c r="BP2" t="s">
        <v>128</v>
      </c>
      <c r="BQ2" t="s">
        <v>129</v>
      </c>
      <c r="BR2" t="s">
        <v>130</v>
      </c>
      <c r="BS2" t="s">
        <v>131</v>
      </c>
    </row>
    <row r="3" spans="1:71">
      <c r="A3" t="s">
        <v>2</v>
      </c>
      <c r="B3" t="s">
        <v>2</v>
      </c>
      <c r="C3" t="s">
        <v>132</v>
      </c>
      <c r="F3" t="s">
        <v>2</v>
      </c>
      <c r="G3" t="s">
        <v>133</v>
      </c>
      <c r="H3" t="s">
        <v>2</v>
      </c>
      <c r="I3" t="s">
        <v>134</v>
      </c>
      <c r="J3" t="s">
        <v>134</v>
      </c>
      <c r="K3" t="s">
        <v>134</v>
      </c>
      <c r="L3" t="s">
        <v>134</v>
      </c>
      <c r="M3" t="s">
        <v>134</v>
      </c>
      <c r="N3" t="s">
        <v>134</v>
      </c>
      <c r="O3" t="s">
        <v>134</v>
      </c>
      <c r="P3" t="s">
        <v>134</v>
      </c>
      <c r="Q3" t="s">
        <v>134</v>
      </c>
      <c r="R3" t="s">
        <v>134</v>
      </c>
      <c r="S3" t="s">
        <v>134</v>
      </c>
      <c r="T3" t="s">
        <v>134</v>
      </c>
      <c r="U3" t="s">
        <v>133</v>
      </c>
      <c r="V3" t="s">
        <v>134</v>
      </c>
      <c r="W3" t="s">
        <v>134</v>
      </c>
      <c r="X3" t="s">
        <v>133</v>
      </c>
      <c r="Y3" t="s">
        <v>133</v>
      </c>
      <c r="Z3" t="s">
        <v>133</v>
      </c>
      <c r="AA3" t="s">
        <v>134</v>
      </c>
      <c r="AB3" t="s">
        <v>133</v>
      </c>
      <c r="AC3" t="s">
        <v>134</v>
      </c>
      <c r="AD3" t="s">
        <v>132</v>
      </c>
      <c r="AE3" t="s">
        <v>134</v>
      </c>
      <c r="AF3" t="s">
        <v>134</v>
      </c>
      <c r="AG3" t="s">
        <v>2</v>
      </c>
      <c r="AH3" t="s">
        <v>2</v>
      </c>
      <c r="AI3" t="s">
        <v>135</v>
      </c>
      <c r="AJ3" t="s">
        <v>135</v>
      </c>
      <c r="AK3" t="s">
        <v>134</v>
      </c>
      <c r="AL3" t="s">
        <v>133</v>
      </c>
      <c r="AM3" t="s">
        <v>132</v>
      </c>
      <c r="AN3" t="s">
        <v>132</v>
      </c>
      <c r="AO3" t="s">
        <v>134</v>
      </c>
      <c r="AP3" t="s">
        <v>133</v>
      </c>
      <c r="AQ3" t="s">
        <v>132</v>
      </c>
      <c r="AS3" t="s">
        <v>133</v>
      </c>
      <c r="AT3" t="s">
        <v>132</v>
      </c>
      <c r="AU3" t="s">
        <v>134</v>
      </c>
      <c r="AV3" t="s">
        <v>136</v>
      </c>
      <c r="AW3" t="s">
        <v>133</v>
      </c>
      <c r="AX3" t="s">
        <v>137</v>
      </c>
      <c r="AY3" t="s">
        <v>132</v>
      </c>
      <c r="AZ3" t="s">
        <v>132</v>
      </c>
      <c r="BA3" t="s">
        <v>133</v>
      </c>
      <c r="BB3" t="s">
        <v>138</v>
      </c>
      <c r="BC3" t="s">
        <v>2</v>
      </c>
      <c r="BD3" t="s">
        <v>2</v>
      </c>
      <c r="BE3" t="s">
        <v>2</v>
      </c>
      <c r="BF3" t="s">
        <v>2</v>
      </c>
      <c r="BG3" t="s">
        <v>139</v>
      </c>
      <c r="BH3" t="s">
        <v>134</v>
      </c>
      <c r="BI3" t="s">
        <v>2</v>
      </c>
      <c r="BJ3" t="s">
        <v>140</v>
      </c>
      <c r="BK3" t="s">
        <v>2</v>
      </c>
      <c r="BL3" t="s">
        <v>141</v>
      </c>
      <c r="BM3" t="s">
        <v>140</v>
      </c>
      <c r="BN3" t="s">
        <v>140</v>
      </c>
      <c r="BO3" t="s">
        <v>140</v>
      </c>
      <c r="BP3" t="s">
        <v>140</v>
      </c>
      <c r="BQ3" t="s">
        <v>140</v>
      </c>
      <c r="BR3" t="s">
        <v>140</v>
      </c>
      <c r="BS3" t="s">
        <v>133</v>
      </c>
    </row>
    <row r="4" spans="1:71">
      <c r="A4" t="s">
        <v>4</v>
      </c>
      <c r="B4" t="s">
        <v>142</v>
      </c>
      <c r="D4" t="s">
        <v>143</v>
      </c>
      <c r="E4" s="20" t="s">
        <v>144</v>
      </c>
      <c r="F4" t="s">
        <v>145</v>
      </c>
      <c r="G4">
        <v>1</v>
      </c>
      <c r="I4">
        <v>0</v>
      </c>
      <c r="J4">
        <v>30</v>
      </c>
      <c r="K4">
        <v>1461</v>
      </c>
      <c r="M4">
        <v>506</v>
      </c>
      <c r="O4">
        <v>50</v>
      </c>
      <c r="Q4">
        <v>10</v>
      </c>
      <c r="S4">
        <v>24</v>
      </c>
      <c r="T4">
        <v>-2</v>
      </c>
      <c r="U4">
        <v>0.5</v>
      </c>
      <c r="V4">
        <v>70</v>
      </c>
      <c r="W4">
        <v>-5</v>
      </c>
      <c r="Y4">
        <v>0.05</v>
      </c>
      <c r="Z4">
        <v>2.9</v>
      </c>
      <c r="AC4">
        <v>1</v>
      </c>
      <c r="AG4" t="s">
        <v>4</v>
      </c>
      <c r="AH4" t="s">
        <v>146</v>
      </c>
      <c r="AI4" t="s">
        <v>147</v>
      </c>
      <c r="AM4">
        <v>1</v>
      </c>
      <c r="AO4">
        <v>1</v>
      </c>
      <c r="AP4">
        <v>0.5</v>
      </c>
      <c r="AW4">
        <v>0.25</v>
      </c>
      <c r="BB4" t="s">
        <v>148</v>
      </c>
      <c r="BC4" t="s">
        <v>149</v>
      </c>
      <c r="BD4" t="str">
        <f>"icon_"&amp;D4</f>
        <v>icon_12fce</v>
      </c>
      <c r="BE4" t="str">
        <f>"half_"&amp;D4</f>
        <v>half_12fce</v>
      </c>
      <c r="BF4" t="str">
        <f>D4</f>
        <v>12fce</v>
      </c>
      <c r="BG4" t="s">
        <v>150</v>
      </c>
      <c r="BH4">
        <v>2</v>
      </c>
      <c r="BI4" s="2" t="s">
        <v>151</v>
      </c>
      <c r="BJ4" s="2" t="s">
        <v>152</v>
      </c>
      <c r="BK4" s="27" t="s">
        <v>153</v>
      </c>
      <c r="BL4" t="s">
        <v>154</v>
      </c>
      <c r="BM4" t="s">
        <v>155</v>
      </c>
      <c r="BN4" t="s">
        <v>156</v>
      </c>
      <c r="BP4" t="s">
        <v>157</v>
      </c>
      <c r="BQ4" t="s">
        <v>157</v>
      </c>
      <c r="BS4">
        <v>1</v>
      </c>
    </row>
    <row r="5" customFormat="1" spans="5:63">
      <c r="E5" s="20"/>
      <c r="BI5" s="2"/>
      <c r="BJ5" s="2"/>
      <c r="BK5" s="28"/>
    </row>
    <row r="6" customFormat="1" spans="1:71">
      <c r="A6" t="s">
        <v>6</v>
      </c>
      <c r="B6" t="s">
        <v>142</v>
      </c>
      <c r="D6" t="s">
        <v>158</v>
      </c>
      <c r="E6" s="21" t="s">
        <v>159</v>
      </c>
      <c r="F6" t="str">
        <f>"char_"&amp;E6&amp;"_"&amp;D6</f>
        <v>char_137_brownb</v>
      </c>
      <c r="G6">
        <v>1</v>
      </c>
      <c r="I6">
        <v>2</v>
      </c>
      <c r="J6">
        <v>70</v>
      </c>
      <c r="K6">
        <v>2615</v>
      </c>
      <c r="L6">
        <v>170</v>
      </c>
      <c r="M6">
        <v>573</v>
      </c>
      <c r="N6">
        <v>45</v>
      </c>
      <c r="O6">
        <v>312</v>
      </c>
      <c r="P6"/>
      <c r="Q6">
        <v>0</v>
      </c>
      <c r="S6">
        <v>9</v>
      </c>
      <c r="T6">
        <v>-2</v>
      </c>
      <c r="U6">
        <v>0.5</v>
      </c>
      <c r="V6">
        <v>70</v>
      </c>
      <c r="W6">
        <v>-4</v>
      </c>
      <c r="Y6">
        <v>0.05</v>
      </c>
      <c r="Z6">
        <v>0.78</v>
      </c>
      <c r="AC6">
        <v>1</v>
      </c>
      <c r="AG6" t="s">
        <v>6</v>
      </c>
      <c r="AH6" t="s">
        <v>146</v>
      </c>
      <c r="AI6" t="s">
        <v>160</v>
      </c>
      <c r="AJ6" t="s">
        <v>161</v>
      </c>
      <c r="AN6">
        <v>1</v>
      </c>
      <c r="AO6">
        <v>1</v>
      </c>
      <c r="AP6">
        <v>0.5</v>
      </c>
      <c r="AW6">
        <v>0.25</v>
      </c>
      <c r="BB6" t="s">
        <v>162</v>
      </c>
      <c r="BC6" t="s">
        <v>163</v>
      </c>
      <c r="BD6" t="str">
        <f>"icon_"&amp;D6</f>
        <v>icon_brownb</v>
      </c>
      <c r="BE6" t="str">
        <f>"half_"&amp;D6</f>
        <v>half_brownb</v>
      </c>
      <c r="BF6" t="str">
        <f>D6</f>
        <v>brownb</v>
      </c>
      <c r="BG6" t="s">
        <v>150</v>
      </c>
      <c r="BH6">
        <v>4</v>
      </c>
      <c r="BI6" t="s">
        <v>164</v>
      </c>
      <c r="BJ6" t="s">
        <v>165</v>
      </c>
      <c r="BK6" t="s">
        <v>166</v>
      </c>
      <c r="BL6" t="s">
        <v>167</v>
      </c>
      <c r="BM6" t="s">
        <v>155</v>
      </c>
      <c r="BN6" t="s">
        <v>156</v>
      </c>
      <c r="BP6" t="s">
        <v>157</v>
      </c>
      <c r="BQ6" t="s">
        <v>157</v>
      </c>
      <c r="BS6">
        <v>1</v>
      </c>
    </row>
    <row r="7" customFormat="1" spans="1:71">
      <c r="A7" t="s">
        <v>7</v>
      </c>
      <c r="B7" t="s">
        <v>142</v>
      </c>
      <c r="D7" s="2" t="s">
        <v>168</v>
      </c>
      <c r="E7" s="22">
        <v>253</v>
      </c>
      <c r="F7" t="str">
        <f>"char_"&amp;E7&amp;"_"&amp;D7</f>
        <v>char_253_greyy</v>
      </c>
      <c r="G7">
        <v>1</v>
      </c>
      <c r="I7">
        <v>2</v>
      </c>
      <c r="J7">
        <v>70</v>
      </c>
      <c r="K7">
        <v>1837</v>
      </c>
      <c r="L7">
        <v>170</v>
      </c>
      <c r="M7">
        <v>699</v>
      </c>
      <c r="O7">
        <v>130</v>
      </c>
      <c r="Q7">
        <v>20</v>
      </c>
      <c r="S7">
        <v>32</v>
      </c>
      <c r="T7">
        <v>-10</v>
      </c>
      <c r="U7">
        <v>0.5</v>
      </c>
      <c r="V7">
        <v>70</v>
      </c>
      <c r="W7">
        <v>-10</v>
      </c>
      <c r="X7">
        <v>11</v>
      </c>
      <c r="Y7">
        <v>0.05</v>
      </c>
      <c r="Z7">
        <v>2.9</v>
      </c>
      <c r="AC7">
        <v>1</v>
      </c>
      <c r="AG7" t="s">
        <v>7</v>
      </c>
      <c r="AH7" t="s">
        <v>146</v>
      </c>
      <c r="AI7" t="s">
        <v>169</v>
      </c>
      <c r="AJ7" t="s">
        <v>170</v>
      </c>
      <c r="AM7">
        <v>1</v>
      </c>
      <c r="AO7">
        <v>1</v>
      </c>
      <c r="AP7">
        <v>0.5</v>
      </c>
      <c r="AW7">
        <v>0.25</v>
      </c>
      <c r="BB7" t="s">
        <v>148</v>
      </c>
      <c r="BC7" t="s">
        <v>149</v>
      </c>
      <c r="BD7" t="str">
        <f>"icon_"&amp;D7</f>
        <v>icon_greyy</v>
      </c>
      <c r="BE7" t="str">
        <f>"half_"&amp;D7</f>
        <v>half_greyy</v>
      </c>
      <c r="BF7" t="str">
        <f>D7</f>
        <v>greyy</v>
      </c>
      <c r="BG7" t="s">
        <v>150</v>
      </c>
      <c r="BH7">
        <v>4</v>
      </c>
      <c r="BI7" s="2" t="s">
        <v>151</v>
      </c>
      <c r="BJ7" s="2" t="s">
        <v>171</v>
      </c>
      <c r="BK7" s="27" t="s">
        <v>172</v>
      </c>
      <c r="BL7" t="s">
        <v>173</v>
      </c>
      <c r="BM7" t="s">
        <v>155</v>
      </c>
      <c r="BN7" t="s">
        <v>156</v>
      </c>
      <c r="BP7" t="s">
        <v>157</v>
      </c>
      <c r="BQ7" t="s">
        <v>157</v>
      </c>
      <c r="BS7">
        <v>1</v>
      </c>
    </row>
    <row r="8" customFormat="1" spans="1:71">
      <c r="A8" t="s">
        <v>8</v>
      </c>
      <c r="B8" t="s">
        <v>142</v>
      </c>
      <c r="D8" t="s">
        <v>174</v>
      </c>
      <c r="E8" s="22">
        <v>298</v>
      </c>
      <c r="F8" t="str">
        <f>"char_"&amp;E8&amp;"_"&amp;D8</f>
        <v>char_298_susuro</v>
      </c>
      <c r="G8">
        <v>1</v>
      </c>
      <c r="I8">
        <v>2</v>
      </c>
      <c r="J8">
        <v>70</v>
      </c>
      <c r="K8">
        <v>1345</v>
      </c>
      <c r="L8">
        <v>100</v>
      </c>
      <c r="M8">
        <v>571</v>
      </c>
      <c r="N8"/>
      <c r="O8">
        <v>122</v>
      </c>
      <c r="Q8">
        <v>0</v>
      </c>
      <c r="S8">
        <v>18</v>
      </c>
      <c r="T8">
        <v>-2</v>
      </c>
      <c r="U8">
        <v>0.5</v>
      </c>
      <c r="V8">
        <v>70</v>
      </c>
      <c r="W8">
        <v>-4</v>
      </c>
      <c r="X8">
        <v>5</v>
      </c>
      <c r="Y8">
        <v>0.05</v>
      </c>
      <c r="Z8">
        <v>2.85</v>
      </c>
      <c r="AC8">
        <v>1</v>
      </c>
      <c r="AG8" t="s">
        <v>8</v>
      </c>
      <c r="AH8" t="s">
        <v>146</v>
      </c>
      <c r="AI8" t="s">
        <v>175</v>
      </c>
      <c r="AJ8" t="s">
        <v>176</v>
      </c>
      <c r="AM8">
        <v>1</v>
      </c>
      <c r="AO8">
        <v>1</v>
      </c>
      <c r="AP8">
        <v>0.5</v>
      </c>
      <c r="AW8">
        <v>0.25</v>
      </c>
      <c r="BB8" t="s">
        <v>177</v>
      </c>
      <c r="BC8" t="s">
        <v>178</v>
      </c>
      <c r="BD8" t="str">
        <f>"icon_"&amp;D8</f>
        <v>icon_susuro</v>
      </c>
      <c r="BE8" t="str">
        <f>"half_"&amp;D8</f>
        <v>half_susuro</v>
      </c>
      <c r="BF8" t="str">
        <f>D8</f>
        <v>susuro</v>
      </c>
      <c r="BG8" t="s">
        <v>150</v>
      </c>
      <c r="BH8">
        <v>4</v>
      </c>
      <c r="BI8" t="s">
        <v>151</v>
      </c>
      <c r="BJ8" t="s">
        <v>179</v>
      </c>
      <c r="BK8" t="s">
        <v>180</v>
      </c>
      <c r="BL8" t="s">
        <v>181</v>
      </c>
      <c r="BM8" t="s">
        <v>155</v>
      </c>
      <c r="BN8" t="s">
        <v>156</v>
      </c>
      <c r="BP8" t="s">
        <v>157</v>
      </c>
      <c r="BQ8" t="s">
        <v>157</v>
      </c>
      <c r="BS8">
        <v>1</v>
      </c>
    </row>
    <row r="9" customFormat="1" spans="5:5">
      <c r="E9" s="21"/>
    </row>
    <row r="10" customFormat="1" spans="1:71">
      <c r="A10" t="s">
        <v>10</v>
      </c>
      <c r="B10" t="s">
        <v>142</v>
      </c>
      <c r="D10" t="s">
        <v>182</v>
      </c>
      <c r="E10">
        <v>230</v>
      </c>
      <c r="F10" t="str">
        <f t="shared" ref="F10:F16" si="0">"char_"&amp;E10&amp;"_"&amp;D10</f>
        <v>char_230_savage</v>
      </c>
      <c r="G10">
        <v>1</v>
      </c>
      <c r="I10">
        <v>2</v>
      </c>
      <c r="J10">
        <v>80</v>
      </c>
      <c r="K10">
        <v>2690</v>
      </c>
      <c r="M10">
        <v>740</v>
      </c>
      <c r="N10">
        <v>60</v>
      </c>
      <c r="O10">
        <v>395</v>
      </c>
      <c r="P10">
        <v>30</v>
      </c>
      <c r="Q10">
        <v>8</v>
      </c>
      <c r="S10">
        <v>22</v>
      </c>
      <c r="T10"/>
      <c r="U10">
        <v>0.5</v>
      </c>
      <c r="V10">
        <v>70</v>
      </c>
      <c r="W10"/>
      <c r="Y10">
        <v>0.05</v>
      </c>
      <c r="Z10">
        <v>1.2</v>
      </c>
      <c r="AC10">
        <v>1</v>
      </c>
      <c r="AG10" t="s">
        <v>10</v>
      </c>
      <c r="AH10" t="s">
        <v>146</v>
      </c>
      <c r="AI10" t="s">
        <v>183</v>
      </c>
      <c r="AJ10" t="s">
        <v>184</v>
      </c>
      <c r="AN10">
        <v>1</v>
      </c>
      <c r="AO10">
        <v>3</v>
      </c>
      <c r="AP10">
        <v>0.5</v>
      </c>
      <c r="AW10">
        <v>0.25</v>
      </c>
      <c r="BB10" t="s">
        <v>162</v>
      </c>
      <c r="BC10" t="s">
        <v>185</v>
      </c>
      <c r="BD10" t="str">
        <f t="shared" ref="BD10:BD16" si="1">"icon_"&amp;D10</f>
        <v>icon_savage</v>
      </c>
      <c r="BE10" t="str">
        <f t="shared" ref="BE10:BE16" si="2">"half_"&amp;D10</f>
        <v>half_savage</v>
      </c>
      <c r="BF10" t="str">
        <f t="shared" ref="BF10:BF16" si="3">D10</f>
        <v>savage</v>
      </c>
      <c r="BG10" t="s">
        <v>150</v>
      </c>
      <c r="BH10">
        <v>5</v>
      </c>
      <c r="BI10" t="s">
        <v>164</v>
      </c>
      <c r="BJ10" t="s">
        <v>186</v>
      </c>
      <c r="BK10" t="s">
        <v>187</v>
      </c>
      <c r="BL10" t="s">
        <v>188</v>
      </c>
      <c r="BM10" t="s">
        <v>155</v>
      </c>
      <c r="BN10" t="s">
        <v>156</v>
      </c>
      <c r="BP10" t="s">
        <v>157</v>
      </c>
      <c r="BQ10" t="s">
        <v>157</v>
      </c>
      <c r="BS10">
        <v>1</v>
      </c>
    </row>
    <row r="11" customFormat="1" spans="1:71">
      <c r="A11" t="s">
        <v>11</v>
      </c>
      <c r="B11" t="s">
        <v>142</v>
      </c>
      <c r="D11" s="2" t="s">
        <v>189</v>
      </c>
      <c r="E11" s="23" t="s">
        <v>190</v>
      </c>
      <c r="F11" t="str">
        <f t="shared" si="0"/>
        <v>char_164_nightm</v>
      </c>
      <c r="G11">
        <v>1</v>
      </c>
      <c r="I11">
        <v>2</v>
      </c>
      <c r="J11">
        <v>80</v>
      </c>
      <c r="K11">
        <v>1510</v>
      </c>
      <c r="L11"/>
      <c r="M11">
        <v>718</v>
      </c>
      <c r="N11">
        <v>50</v>
      </c>
      <c r="O11">
        <v>120</v>
      </c>
      <c r="Q11">
        <v>20</v>
      </c>
      <c r="S11">
        <v>20</v>
      </c>
      <c r="T11">
        <v>-2</v>
      </c>
      <c r="U11">
        <v>0.5</v>
      </c>
      <c r="V11">
        <v>70</v>
      </c>
      <c r="W11">
        <v>-4</v>
      </c>
      <c r="X11">
        <v>5</v>
      </c>
      <c r="Y11">
        <v>0.05</v>
      </c>
      <c r="Z11">
        <v>1.6</v>
      </c>
      <c r="AC11">
        <v>1</v>
      </c>
      <c r="AG11" t="s">
        <v>11</v>
      </c>
      <c r="AH11" t="s">
        <v>146</v>
      </c>
      <c r="AI11" t="s">
        <v>191</v>
      </c>
      <c r="AJ11" t="s">
        <v>192</v>
      </c>
      <c r="AM11">
        <v>1</v>
      </c>
      <c r="AO11">
        <v>1</v>
      </c>
      <c r="AP11">
        <v>0.5</v>
      </c>
      <c r="AW11">
        <v>0.25</v>
      </c>
      <c r="BB11" t="s">
        <v>148</v>
      </c>
      <c r="BC11" t="s">
        <v>193</v>
      </c>
      <c r="BD11" t="str">
        <f t="shared" si="1"/>
        <v>icon_nightm</v>
      </c>
      <c r="BE11" t="str">
        <f t="shared" si="2"/>
        <v>half_nightm</v>
      </c>
      <c r="BF11" t="str">
        <f t="shared" si="3"/>
        <v>nightm</v>
      </c>
      <c r="BG11" t="s">
        <v>150</v>
      </c>
      <c r="BH11">
        <v>5</v>
      </c>
      <c r="BI11" t="s">
        <v>151</v>
      </c>
      <c r="BJ11" t="s">
        <v>194</v>
      </c>
      <c r="BK11" t="s">
        <v>195</v>
      </c>
      <c r="BL11" t="s">
        <v>196</v>
      </c>
      <c r="BM11" t="s">
        <v>155</v>
      </c>
      <c r="BN11" t="s">
        <v>156</v>
      </c>
      <c r="BP11" t="s">
        <v>157</v>
      </c>
      <c r="BQ11" t="s">
        <v>157</v>
      </c>
      <c r="BS11">
        <v>1</v>
      </c>
    </row>
    <row r="12" customFormat="1" spans="1:71">
      <c r="A12" t="s">
        <v>12</v>
      </c>
      <c r="B12" t="s">
        <v>142</v>
      </c>
      <c r="D12" s="2" t="s">
        <v>197</v>
      </c>
      <c r="E12" s="23" t="s">
        <v>198</v>
      </c>
      <c r="F12" t="str">
        <f t="shared" si="0"/>
        <v>char_220_grani</v>
      </c>
      <c r="G12">
        <v>1</v>
      </c>
      <c r="I12">
        <v>2</v>
      </c>
      <c r="J12">
        <v>80</v>
      </c>
      <c r="K12">
        <v>2235</v>
      </c>
      <c r="L12">
        <v>200</v>
      </c>
      <c r="M12">
        <v>552</v>
      </c>
      <c r="N12"/>
      <c r="O12">
        <v>437</v>
      </c>
      <c r="P12">
        <v>67</v>
      </c>
      <c r="Q12">
        <v>0</v>
      </c>
      <c r="S12">
        <v>14</v>
      </c>
      <c r="T12">
        <v>-3</v>
      </c>
      <c r="U12">
        <v>0.5</v>
      </c>
      <c r="V12">
        <v>80</v>
      </c>
      <c r="W12">
        <v>-10</v>
      </c>
      <c r="Y12">
        <v>0.05</v>
      </c>
      <c r="Z12">
        <v>1</v>
      </c>
      <c r="AC12">
        <v>1</v>
      </c>
      <c r="AG12" t="s">
        <v>12</v>
      </c>
      <c r="AH12" t="s">
        <v>146</v>
      </c>
      <c r="AI12" t="s">
        <v>199</v>
      </c>
      <c r="AJ12" t="s">
        <v>200</v>
      </c>
      <c r="AN12">
        <v>1</v>
      </c>
      <c r="AO12">
        <v>1</v>
      </c>
      <c r="AP12">
        <v>1</v>
      </c>
      <c r="AW12">
        <v>0.25</v>
      </c>
      <c r="BB12" t="s">
        <v>201</v>
      </c>
      <c r="BC12" t="s">
        <v>202</v>
      </c>
      <c r="BD12" t="str">
        <f t="shared" si="1"/>
        <v>icon_grani</v>
      </c>
      <c r="BE12" t="str">
        <f t="shared" si="2"/>
        <v>half_grani</v>
      </c>
      <c r="BF12" t="str">
        <f t="shared" si="3"/>
        <v>grani</v>
      </c>
      <c r="BG12" t="s">
        <v>150</v>
      </c>
      <c r="BH12">
        <v>5</v>
      </c>
      <c r="BI12" t="s">
        <v>164</v>
      </c>
      <c r="BJ12" t="s">
        <v>203</v>
      </c>
      <c r="BK12" t="s">
        <v>204</v>
      </c>
      <c r="BL12" t="s">
        <v>205</v>
      </c>
      <c r="BM12" t="s">
        <v>155</v>
      </c>
      <c r="BN12" t="s">
        <v>156</v>
      </c>
      <c r="BP12" t="s">
        <v>157</v>
      </c>
      <c r="BQ12" t="s">
        <v>206</v>
      </c>
      <c r="BS12">
        <v>1</v>
      </c>
    </row>
    <row r="13" customFormat="1" spans="1:71">
      <c r="A13" t="s">
        <v>13</v>
      </c>
      <c r="B13" t="s">
        <v>142</v>
      </c>
      <c r="D13" s="2" t="s">
        <v>207</v>
      </c>
      <c r="E13" s="22">
        <v>308</v>
      </c>
      <c r="F13" t="str">
        <f t="shared" si="0"/>
        <v>char_308_swire</v>
      </c>
      <c r="G13">
        <v>1</v>
      </c>
      <c r="I13">
        <v>2</v>
      </c>
      <c r="J13">
        <v>80</v>
      </c>
      <c r="K13">
        <v>1914</v>
      </c>
      <c r="L13">
        <v>170</v>
      </c>
      <c r="M13">
        <v>722</v>
      </c>
      <c r="N13">
        <v>75</v>
      </c>
      <c r="O13">
        <v>443</v>
      </c>
      <c r="P13"/>
      <c r="Q13">
        <v>0</v>
      </c>
      <c r="S13">
        <v>16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1.05</v>
      </c>
      <c r="AC13">
        <v>1</v>
      </c>
      <c r="AG13" t="s">
        <v>13</v>
      </c>
      <c r="AH13" t="s">
        <v>146</v>
      </c>
      <c r="AI13" t="s">
        <v>208</v>
      </c>
      <c r="AJ13" t="s">
        <v>209</v>
      </c>
      <c r="AN13">
        <v>1</v>
      </c>
      <c r="AO13">
        <v>2</v>
      </c>
      <c r="AP13">
        <v>0.5</v>
      </c>
      <c r="AW13">
        <v>0.25</v>
      </c>
      <c r="BB13" t="s">
        <v>162</v>
      </c>
      <c r="BC13" t="s">
        <v>210</v>
      </c>
      <c r="BD13" t="str">
        <f t="shared" si="1"/>
        <v>icon_swire</v>
      </c>
      <c r="BE13" t="str">
        <f t="shared" si="2"/>
        <v>half_swire</v>
      </c>
      <c r="BF13" t="str">
        <f t="shared" si="3"/>
        <v>swire</v>
      </c>
      <c r="BG13" t="s">
        <v>150</v>
      </c>
      <c r="BH13">
        <v>5</v>
      </c>
      <c r="BI13" t="s">
        <v>164</v>
      </c>
      <c r="BJ13" t="s">
        <v>211</v>
      </c>
      <c r="BK13" t="s">
        <v>212</v>
      </c>
      <c r="BL13" t="s">
        <v>213</v>
      </c>
      <c r="BM13" t="s">
        <v>155</v>
      </c>
      <c r="BN13" t="s">
        <v>156</v>
      </c>
      <c r="BP13" t="s">
        <v>157</v>
      </c>
      <c r="BQ13" t="s">
        <v>157</v>
      </c>
      <c r="BS13">
        <v>1</v>
      </c>
    </row>
    <row r="14" customFormat="1" spans="1:71">
      <c r="A14" t="s">
        <v>14</v>
      </c>
      <c r="B14" t="s">
        <v>142</v>
      </c>
      <c r="D14" t="s">
        <v>214</v>
      </c>
      <c r="E14" s="20" t="s">
        <v>215</v>
      </c>
      <c r="F14" t="str">
        <f t="shared" si="0"/>
        <v>char_348_ceylon</v>
      </c>
      <c r="G14">
        <v>1</v>
      </c>
      <c r="I14">
        <v>2</v>
      </c>
      <c r="J14">
        <v>80</v>
      </c>
      <c r="K14">
        <v>1655</v>
      </c>
      <c r="L14"/>
      <c r="M14">
        <v>508</v>
      </c>
      <c r="N14">
        <v>45</v>
      </c>
      <c r="O14">
        <v>126</v>
      </c>
      <c r="Q14">
        <v>10</v>
      </c>
      <c r="R14">
        <v>5</v>
      </c>
      <c r="S14">
        <v>22</v>
      </c>
      <c r="T14">
        <v>-3</v>
      </c>
      <c r="U14">
        <v>0.5</v>
      </c>
      <c r="V14">
        <v>80</v>
      </c>
      <c r="W14">
        <v>-10</v>
      </c>
      <c r="X14"/>
      <c r="Y14">
        <v>0.05</v>
      </c>
      <c r="Z14">
        <v>2.85</v>
      </c>
      <c r="AC14">
        <v>1</v>
      </c>
      <c r="AG14" t="s">
        <v>14</v>
      </c>
      <c r="AH14" t="s">
        <v>146</v>
      </c>
      <c r="AI14" t="s">
        <v>216</v>
      </c>
      <c r="AJ14" t="s">
        <v>217</v>
      </c>
      <c r="AM14">
        <v>1</v>
      </c>
      <c r="AO14">
        <v>1</v>
      </c>
      <c r="AP14">
        <v>0.5</v>
      </c>
      <c r="AW14">
        <v>0.25</v>
      </c>
      <c r="BB14" t="s">
        <v>177</v>
      </c>
      <c r="BC14" t="s">
        <v>218</v>
      </c>
      <c r="BD14" t="str">
        <f t="shared" si="1"/>
        <v>icon_ceylon</v>
      </c>
      <c r="BE14" t="str">
        <f t="shared" si="2"/>
        <v>half_ceylon</v>
      </c>
      <c r="BF14" t="str">
        <f t="shared" si="3"/>
        <v>ceylon</v>
      </c>
      <c r="BG14" t="s">
        <v>150</v>
      </c>
      <c r="BH14">
        <v>5</v>
      </c>
      <c r="BI14" t="s">
        <v>151</v>
      </c>
      <c r="BJ14" t="s">
        <v>219</v>
      </c>
      <c r="BK14" t="s">
        <v>220</v>
      </c>
      <c r="BL14" t="s">
        <v>221</v>
      </c>
      <c r="BM14" t="s">
        <v>155</v>
      </c>
      <c r="BN14" t="s">
        <v>156</v>
      </c>
      <c r="BP14" t="s">
        <v>157</v>
      </c>
      <c r="BQ14" t="s">
        <v>157</v>
      </c>
      <c r="BS14">
        <v>1</v>
      </c>
    </row>
    <row r="15" customFormat="1" spans="1:71">
      <c r="A15" t="s">
        <v>15</v>
      </c>
      <c r="B15" t="s">
        <v>142</v>
      </c>
      <c r="D15" t="s">
        <v>222</v>
      </c>
      <c r="E15" s="20" t="s">
        <v>223</v>
      </c>
      <c r="F15" t="str">
        <f t="shared" si="0"/>
        <v>char_326_glacus</v>
      </c>
      <c r="G15">
        <v>1</v>
      </c>
      <c r="I15">
        <v>2</v>
      </c>
      <c r="J15">
        <v>80</v>
      </c>
      <c r="K15">
        <v>1567</v>
      </c>
      <c r="L15">
        <v>120</v>
      </c>
      <c r="M15">
        <v>563</v>
      </c>
      <c r="N15">
        <v>45</v>
      </c>
      <c r="O15">
        <v>100</v>
      </c>
      <c r="Q15">
        <v>20</v>
      </c>
      <c r="S15">
        <v>15</v>
      </c>
      <c r="T15">
        <v>-2</v>
      </c>
      <c r="U15">
        <v>0.5</v>
      </c>
      <c r="V15">
        <v>70</v>
      </c>
      <c r="W15">
        <v>-4</v>
      </c>
      <c r="Y15">
        <v>0.05</v>
      </c>
      <c r="Z15">
        <v>1.9</v>
      </c>
      <c r="AC15">
        <v>1</v>
      </c>
      <c r="AG15" t="s">
        <v>15</v>
      </c>
      <c r="AH15" t="s">
        <v>146</v>
      </c>
      <c r="AI15" t="s">
        <v>224</v>
      </c>
      <c r="AJ15" t="s">
        <v>225</v>
      </c>
      <c r="AM15">
        <v>1</v>
      </c>
      <c r="AO15">
        <v>1</v>
      </c>
      <c r="AP15">
        <v>0.5</v>
      </c>
      <c r="AW15">
        <v>0.25</v>
      </c>
      <c r="BB15" t="s">
        <v>226</v>
      </c>
      <c r="BC15" t="s">
        <v>227</v>
      </c>
      <c r="BD15" t="str">
        <f t="shared" si="1"/>
        <v>icon_glacus</v>
      </c>
      <c r="BE15" t="str">
        <f t="shared" si="2"/>
        <v>half_glacus</v>
      </c>
      <c r="BF15" t="str">
        <f t="shared" si="3"/>
        <v>glacus</v>
      </c>
      <c r="BG15" t="s">
        <v>150</v>
      </c>
      <c r="BH15">
        <v>5</v>
      </c>
      <c r="BI15" t="s">
        <v>151</v>
      </c>
      <c r="BJ15" t="s">
        <v>228</v>
      </c>
      <c r="BK15" t="s">
        <v>229</v>
      </c>
      <c r="BL15" t="s">
        <v>230</v>
      </c>
      <c r="BM15" t="s">
        <v>155</v>
      </c>
      <c r="BN15" t="s">
        <v>156</v>
      </c>
      <c r="BP15" t="s">
        <v>157</v>
      </c>
      <c r="BQ15" t="s">
        <v>157</v>
      </c>
      <c r="BR15"/>
      <c r="BS15">
        <v>1</v>
      </c>
    </row>
    <row r="16" customFormat="1" spans="1:71">
      <c r="A16" s="24" t="s">
        <v>16</v>
      </c>
      <c r="B16" t="s">
        <v>142</v>
      </c>
      <c r="D16" s="24" t="s">
        <v>231</v>
      </c>
      <c r="E16" s="25">
        <v>274</v>
      </c>
      <c r="F16" s="24" t="str">
        <f t="shared" si="0"/>
        <v>char_274_astesi</v>
      </c>
      <c r="G16">
        <v>1</v>
      </c>
      <c r="I16">
        <v>2</v>
      </c>
      <c r="J16">
        <v>80</v>
      </c>
      <c r="K16">
        <v>2523</v>
      </c>
      <c r="M16">
        <v>690</v>
      </c>
      <c r="N16"/>
      <c r="O16">
        <v>471</v>
      </c>
      <c r="P16"/>
      <c r="Q16">
        <v>15</v>
      </c>
      <c r="S16">
        <v>21</v>
      </c>
      <c r="T16">
        <v>-2</v>
      </c>
      <c r="U16">
        <v>0.5</v>
      </c>
      <c r="V16">
        <v>70</v>
      </c>
      <c r="W16">
        <v>-4</v>
      </c>
      <c r="Y16">
        <v>0.05</v>
      </c>
      <c r="Z16">
        <v>1.25</v>
      </c>
      <c r="AC16">
        <v>1</v>
      </c>
      <c r="AG16" t="s">
        <v>16</v>
      </c>
      <c r="AH16" t="s">
        <v>146</v>
      </c>
      <c r="AI16" t="s">
        <v>232</v>
      </c>
      <c r="AJ16" t="s">
        <v>233</v>
      </c>
      <c r="AN16">
        <v>1</v>
      </c>
      <c r="AO16">
        <v>1</v>
      </c>
      <c r="AP16">
        <v>0.5</v>
      </c>
      <c r="AW16">
        <v>0.25</v>
      </c>
      <c r="BB16" t="s">
        <v>162</v>
      </c>
      <c r="BC16" t="s">
        <v>234</v>
      </c>
      <c r="BD16" t="str">
        <f t="shared" si="1"/>
        <v>icon_astesi</v>
      </c>
      <c r="BE16" t="str">
        <f t="shared" si="2"/>
        <v>half_astesi</v>
      </c>
      <c r="BF16" t="str">
        <f t="shared" si="3"/>
        <v>astesi</v>
      </c>
      <c r="BG16" t="s">
        <v>150</v>
      </c>
      <c r="BH16">
        <v>5</v>
      </c>
      <c r="BI16" t="s">
        <v>164</v>
      </c>
      <c r="BJ16" t="s">
        <v>235</v>
      </c>
      <c r="BK16" t="s">
        <v>236</v>
      </c>
      <c r="BL16" t="s">
        <v>237</v>
      </c>
      <c r="BM16" t="s">
        <v>155</v>
      </c>
      <c r="BN16" t="s">
        <v>156</v>
      </c>
      <c r="BP16" t="s">
        <v>157</v>
      </c>
      <c r="BQ16" t="s">
        <v>157</v>
      </c>
      <c r="BS16">
        <v>1</v>
      </c>
    </row>
    <row r="17" customFormat="1" spans="4:5">
      <c r="D17" s="2"/>
      <c r="E17" s="23"/>
    </row>
    <row r="18" customFormat="1" spans="1:71">
      <c r="A18" t="s">
        <v>18</v>
      </c>
      <c r="B18" t="s">
        <v>142</v>
      </c>
      <c r="D18" t="s">
        <v>238</v>
      </c>
      <c r="E18" s="20" t="s">
        <v>239</v>
      </c>
      <c r="F18" t="str">
        <f t="shared" ref="F18:F20" si="4">"char_"&amp;E18&amp;"_"&amp;D18</f>
        <v>char_263_skadi</v>
      </c>
      <c r="G18">
        <v>1</v>
      </c>
      <c r="I18">
        <v>2</v>
      </c>
      <c r="J18">
        <v>90</v>
      </c>
      <c r="K18">
        <v>3866</v>
      </c>
      <c r="L18">
        <v>320</v>
      </c>
      <c r="M18">
        <v>1128</v>
      </c>
      <c r="N18">
        <v>105</v>
      </c>
      <c r="O18">
        <v>303</v>
      </c>
      <c r="P18"/>
      <c r="Q18">
        <v>0</v>
      </c>
      <c r="S18">
        <v>19</v>
      </c>
      <c r="T18">
        <v>-2</v>
      </c>
      <c r="U18">
        <v>0.5</v>
      </c>
      <c r="V18">
        <v>70</v>
      </c>
      <c r="W18">
        <v>-4</v>
      </c>
      <c r="Y18">
        <v>0.05</v>
      </c>
      <c r="Z18">
        <v>1.5</v>
      </c>
      <c r="AC18">
        <v>1</v>
      </c>
      <c r="AG18" t="s">
        <v>18</v>
      </c>
      <c r="AH18" t="s">
        <v>146</v>
      </c>
      <c r="AI18" t="s">
        <v>240</v>
      </c>
      <c r="AJ18" t="s">
        <v>241</v>
      </c>
      <c r="AN18">
        <v>1</v>
      </c>
      <c r="AO18">
        <v>1</v>
      </c>
      <c r="AP18">
        <v>0.5</v>
      </c>
      <c r="AW18">
        <v>0.25</v>
      </c>
      <c r="BB18" t="s">
        <v>162</v>
      </c>
      <c r="BC18" t="s">
        <v>242</v>
      </c>
      <c r="BD18" t="str">
        <f t="shared" ref="BD18:BD20" si="5">"icon_"&amp;D18</f>
        <v>icon_skadi</v>
      </c>
      <c r="BE18" t="str">
        <f t="shared" ref="BE18:BE20" si="6">"half_"&amp;D18</f>
        <v>half_skadi</v>
      </c>
      <c r="BF18" t="str">
        <f t="shared" ref="BF18:BF20" si="7">D18</f>
        <v>skadi</v>
      </c>
      <c r="BG18" t="s">
        <v>150</v>
      </c>
      <c r="BH18">
        <v>6</v>
      </c>
      <c r="BI18" t="s">
        <v>164</v>
      </c>
      <c r="BJ18" t="s">
        <v>243</v>
      </c>
      <c r="BK18" t="s">
        <v>244</v>
      </c>
      <c r="BL18" t="s">
        <v>245</v>
      </c>
      <c r="BM18" t="s">
        <v>155</v>
      </c>
      <c r="BN18" t="s">
        <v>156</v>
      </c>
      <c r="BP18" t="s">
        <v>157</v>
      </c>
      <c r="BQ18" t="s">
        <v>157</v>
      </c>
      <c r="BS18">
        <v>1</v>
      </c>
    </row>
    <row r="19" customFormat="1" spans="1:71">
      <c r="A19" t="s">
        <v>19</v>
      </c>
      <c r="B19" t="s">
        <v>142</v>
      </c>
      <c r="D19" s="2" t="s">
        <v>246</v>
      </c>
      <c r="E19" s="23" t="s">
        <v>247</v>
      </c>
      <c r="F19" t="str">
        <f t="shared" si="4"/>
        <v>char_010_chen</v>
      </c>
      <c r="G19">
        <v>1</v>
      </c>
      <c r="I19">
        <v>2</v>
      </c>
      <c r="J19">
        <v>90</v>
      </c>
      <c r="K19">
        <v>2880</v>
      </c>
      <c r="L19"/>
      <c r="M19">
        <v>683</v>
      </c>
      <c r="N19"/>
      <c r="O19">
        <v>402</v>
      </c>
      <c r="Q19">
        <v>0</v>
      </c>
      <c r="S19">
        <v>23</v>
      </c>
      <c r="T19">
        <v>-2</v>
      </c>
      <c r="U19">
        <v>0.5</v>
      </c>
      <c r="V19">
        <v>70</v>
      </c>
      <c r="W19">
        <v>-4</v>
      </c>
      <c r="X19">
        <v>7</v>
      </c>
      <c r="Y19">
        <v>0.05</v>
      </c>
      <c r="Z19">
        <v>1.3</v>
      </c>
      <c r="AC19">
        <v>1</v>
      </c>
      <c r="AG19" t="s">
        <v>19</v>
      </c>
      <c r="AH19" t="s">
        <v>146</v>
      </c>
      <c r="AI19" t="s">
        <v>248</v>
      </c>
      <c r="AJ19" t="s">
        <v>249</v>
      </c>
      <c r="AN19">
        <v>1</v>
      </c>
      <c r="AO19">
        <v>2</v>
      </c>
      <c r="AP19">
        <v>0.5</v>
      </c>
      <c r="AW19">
        <v>0.25</v>
      </c>
      <c r="BB19" t="s">
        <v>162</v>
      </c>
      <c r="BC19" t="s">
        <v>250</v>
      </c>
      <c r="BD19" t="str">
        <f t="shared" si="5"/>
        <v>icon_chen</v>
      </c>
      <c r="BE19" t="str">
        <f t="shared" si="6"/>
        <v>half_chen</v>
      </c>
      <c r="BF19" t="str">
        <f t="shared" si="7"/>
        <v>chen</v>
      </c>
      <c r="BG19" t="s">
        <v>150</v>
      </c>
      <c r="BH19">
        <v>6</v>
      </c>
      <c r="BI19" t="s">
        <v>164</v>
      </c>
      <c r="BJ19" t="s">
        <v>211</v>
      </c>
      <c r="BK19" t="s">
        <v>251</v>
      </c>
      <c r="BL19" t="s">
        <v>252</v>
      </c>
      <c r="BM19" t="s">
        <v>155</v>
      </c>
      <c r="BN19" t="s">
        <v>156</v>
      </c>
      <c r="BP19" t="s">
        <v>157</v>
      </c>
      <c r="BQ19" t="s">
        <v>157</v>
      </c>
      <c r="BR19" s="2" t="s">
        <v>253</v>
      </c>
      <c r="BS19">
        <v>1</v>
      </c>
    </row>
    <row r="20" customFormat="1" spans="1:71">
      <c r="A20" t="s">
        <v>20</v>
      </c>
      <c r="B20" t="s">
        <v>142</v>
      </c>
      <c r="D20" t="s">
        <v>254</v>
      </c>
      <c r="E20" s="20" t="s">
        <v>255</v>
      </c>
      <c r="F20" t="str">
        <f t="shared" si="4"/>
        <v>char_340_shwaz</v>
      </c>
      <c r="G20">
        <v>1</v>
      </c>
      <c r="I20">
        <v>2</v>
      </c>
      <c r="J20">
        <v>90</v>
      </c>
      <c r="K20">
        <v>1833</v>
      </c>
      <c r="M20">
        <v>970</v>
      </c>
      <c r="N20"/>
      <c r="O20">
        <v>225</v>
      </c>
      <c r="Q20">
        <v>0</v>
      </c>
      <c r="S20">
        <v>20</v>
      </c>
      <c r="T20">
        <v>-2</v>
      </c>
      <c r="U20">
        <v>0.5</v>
      </c>
      <c r="V20">
        <v>70</v>
      </c>
      <c r="W20">
        <v>-4</v>
      </c>
      <c r="Y20">
        <v>0.05</v>
      </c>
      <c r="Z20">
        <v>1.6</v>
      </c>
      <c r="AC20">
        <v>1</v>
      </c>
      <c r="AG20" t="s">
        <v>20</v>
      </c>
      <c r="AH20" t="s">
        <v>146</v>
      </c>
      <c r="AI20" t="s">
        <v>256</v>
      </c>
      <c r="AJ20" t="s">
        <v>257</v>
      </c>
      <c r="AM20">
        <v>1</v>
      </c>
      <c r="AO20">
        <v>1</v>
      </c>
      <c r="AP20">
        <v>0.5</v>
      </c>
      <c r="AW20">
        <v>0.25</v>
      </c>
      <c r="BB20" t="s">
        <v>258</v>
      </c>
      <c r="BC20" t="s">
        <v>259</v>
      </c>
      <c r="BD20" t="str">
        <f t="shared" si="5"/>
        <v>icon_shwaz</v>
      </c>
      <c r="BE20" t="str">
        <f t="shared" si="6"/>
        <v>half_shwaz</v>
      </c>
      <c r="BF20" t="str">
        <f t="shared" si="7"/>
        <v>shwaz</v>
      </c>
      <c r="BG20" t="s">
        <v>150</v>
      </c>
      <c r="BH20">
        <v>6</v>
      </c>
      <c r="BI20" t="s">
        <v>151</v>
      </c>
      <c r="BJ20" t="s">
        <v>260</v>
      </c>
      <c r="BK20" t="s">
        <v>261</v>
      </c>
      <c r="BL20" t="s">
        <v>262</v>
      </c>
      <c r="BM20" t="s">
        <v>155</v>
      </c>
      <c r="BN20" t="s">
        <v>156</v>
      </c>
      <c r="BP20" t="s">
        <v>157</v>
      </c>
      <c r="BQ20" t="s">
        <v>157</v>
      </c>
      <c r="BR20"/>
      <c r="BS20">
        <v>1</v>
      </c>
    </row>
    <row r="22" customFormat="1" spans="1:25">
      <c r="A22" t="s">
        <v>263</v>
      </c>
      <c r="Y22">
        <v>0.05</v>
      </c>
    </row>
    <row r="23" customFormat="1" spans="1:71">
      <c r="A23" t="s">
        <v>264</v>
      </c>
      <c r="B23" t="s">
        <v>265</v>
      </c>
      <c r="D23" t="s">
        <v>214</v>
      </c>
      <c r="E23" s="20" t="s">
        <v>215</v>
      </c>
      <c r="F23" t="str">
        <f>"char_"&amp;E23&amp;"_"&amp;D23</f>
        <v>char_348_ceylon</v>
      </c>
      <c r="G23">
        <v>1</v>
      </c>
      <c r="K23">
        <v>100</v>
      </c>
      <c r="Y23">
        <v>0.05</v>
      </c>
      <c r="AF23">
        <v>2</v>
      </c>
      <c r="AG23" t="s">
        <v>264</v>
      </c>
      <c r="AK23">
        <v>3</v>
      </c>
      <c r="AW23">
        <v>0.25</v>
      </c>
      <c r="BD23" t="str">
        <f>"icon_"&amp;D23</f>
        <v>icon_ceylon</v>
      </c>
      <c r="BK23" t="s">
        <v>266</v>
      </c>
      <c r="BM23" t="s">
        <v>155</v>
      </c>
      <c r="BN23" t="s">
        <v>156</v>
      </c>
      <c r="BP23" t="s">
        <v>157</v>
      </c>
      <c r="BQ23" t="s">
        <v>157</v>
      </c>
      <c r="BS23">
        <v>1</v>
      </c>
    </row>
    <row r="28" hidden="1"/>
    <row r="34" spans="4:70">
      <c r="D34" s="26"/>
      <c r="E34" s="21"/>
      <c r="BO34" s="29"/>
      <c r="BR34" s="29"/>
    </row>
    <row r="35" spans="4:70">
      <c r="D35" s="26"/>
      <c r="E35" s="21"/>
      <c r="BO35" s="29"/>
      <c r="BR35" s="29"/>
    </row>
    <row r="36" spans="4:70">
      <c r="D36" s="26"/>
      <c r="E36" s="21"/>
      <c r="BO36" s="29"/>
      <c r="BR36" s="29"/>
    </row>
    <row r="37" spans="4:70">
      <c r="D37" s="26"/>
      <c r="E37" s="21"/>
      <c r="BO37" s="29"/>
      <c r="BR37" s="29"/>
    </row>
    <row r="38" spans="4:70">
      <c r="D38" s="26"/>
      <c r="E38" s="21"/>
      <c r="BO38" s="29"/>
      <c r="BR38" s="29"/>
    </row>
    <row r="39" spans="4:70">
      <c r="D39" s="26"/>
      <c r="E39" s="21"/>
      <c r="BO39" s="29"/>
      <c r="BR39" s="29"/>
    </row>
    <row r="40" spans="4:70">
      <c r="D40" s="26"/>
      <c r="E40" s="21"/>
      <c r="BO40" s="29"/>
      <c r="BR40" s="29"/>
    </row>
    <row r="41" spans="4:70">
      <c r="D41" s="26"/>
      <c r="E41" s="21"/>
      <c r="BR41" s="29"/>
    </row>
    <row r="42" spans="4:70">
      <c r="D42" s="26"/>
      <c r="E42" s="21"/>
      <c r="BR42" s="29"/>
    </row>
    <row r="43" spans="4:70">
      <c r="D43" s="26"/>
      <c r="E43" s="21"/>
      <c r="BR43" s="29"/>
    </row>
    <row r="44" spans="4:70">
      <c r="D44" s="26"/>
      <c r="E44" s="21"/>
      <c r="BO44" s="29"/>
      <c r="BR44" s="29"/>
    </row>
    <row r="45" spans="4:70">
      <c r="D45" s="26"/>
      <c r="E45" s="21"/>
      <c r="BO45" s="29"/>
      <c r="BR45" s="29"/>
    </row>
    <row r="46" spans="4:70">
      <c r="D46" s="26"/>
      <c r="E46" s="21"/>
      <c r="BO46" s="29"/>
      <c r="BR46" s="29"/>
    </row>
    <row r="47" spans="4:70">
      <c r="D47" s="26"/>
      <c r="E47" s="21"/>
      <c r="BO47" s="29"/>
      <c r="BR47" s="29"/>
    </row>
    <row r="48" spans="4:70">
      <c r="D48" s="26"/>
      <c r="E48" s="21"/>
      <c r="BO48" s="29"/>
      <c r="BR48" s="29"/>
    </row>
    <row r="49" spans="4:70">
      <c r="D49" s="26"/>
      <c r="E49" s="21"/>
      <c r="BO49" s="29"/>
      <c r="BR49" s="29"/>
    </row>
    <row r="50" spans="4:70">
      <c r="D50" s="26"/>
      <c r="E50" s="21"/>
      <c r="BO50" s="29"/>
      <c r="BR50" s="29"/>
    </row>
    <row r="51" spans="4:70">
      <c r="D51" s="26"/>
      <c r="E51" s="21"/>
      <c r="BO51" s="29"/>
      <c r="BR51" s="29"/>
    </row>
    <row r="52" spans="4:70">
      <c r="D52" s="26"/>
      <c r="E52" s="21"/>
      <c r="BO52" s="29"/>
      <c r="BR52" s="29"/>
    </row>
    <row r="53" spans="4:70">
      <c r="D53" s="26"/>
      <c r="E53" s="21"/>
      <c r="BO53" s="29"/>
      <c r="BR53" s="29"/>
    </row>
    <row r="54" spans="4:70">
      <c r="D54" s="26"/>
      <c r="E54" s="21"/>
      <c r="BO54" s="29"/>
      <c r="BR54" s="29"/>
    </row>
    <row r="55" spans="4:70">
      <c r="D55" s="26"/>
      <c r="E55" s="21"/>
      <c r="BO55" s="29"/>
      <c r="BR55" s="29"/>
    </row>
    <row r="56" spans="4:70">
      <c r="D56" s="26"/>
      <c r="E56" s="21"/>
      <c r="BO56" s="29"/>
      <c r="BR56" s="29"/>
    </row>
    <row r="57" spans="4:70">
      <c r="D57" s="26"/>
      <c r="E57" s="21"/>
      <c r="BO57" s="29"/>
      <c r="BR57" s="29"/>
    </row>
    <row r="58" spans="4:70">
      <c r="D58" s="26"/>
      <c r="E58" s="21"/>
      <c r="BO58" s="29"/>
      <c r="BR58" s="29"/>
    </row>
    <row r="59" spans="4:70">
      <c r="D59" s="26"/>
      <c r="E59" s="21"/>
      <c r="BO59" s="29"/>
      <c r="BR59" s="29"/>
    </row>
    <row r="60" spans="4:70">
      <c r="D60" s="26"/>
      <c r="E60" s="21"/>
      <c r="BO60" s="29"/>
      <c r="BR60" s="29"/>
    </row>
    <row r="61" spans="4:70">
      <c r="D61" s="26"/>
      <c r="E61" s="21"/>
      <c r="BO61" s="29"/>
      <c r="BR61" s="29"/>
    </row>
    <row r="62" spans="4:70">
      <c r="D62" s="26"/>
      <c r="E62" s="21"/>
      <c r="BO62" s="29"/>
      <c r="BR62" s="29"/>
    </row>
    <row r="63" spans="4:70">
      <c r="D63" s="26"/>
      <c r="E63" s="21"/>
      <c r="BO63" s="29"/>
      <c r="BR63" s="29"/>
    </row>
    <row r="64" spans="4:70">
      <c r="D64" s="26"/>
      <c r="E64" s="21"/>
      <c r="BO64" s="29"/>
      <c r="BR64" s="29"/>
    </row>
    <row r="65" spans="4:70">
      <c r="D65" s="26"/>
      <c r="E65" s="21"/>
      <c r="BO65" s="29"/>
      <c r="BR65" s="29"/>
    </row>
    <row r="66" spans="4:70">
      <c r="D66" s="26"/>
      <c r="E66" s="21"/>
      <c r="BO66" s="29"/>
      <c r="BR66" s="29"/>
    </row>
    <row r="67" spans="4:70">
      <c r="D67" s="26"/>
      <c r="E67" s="21"/>
      <c r="BO67" s="29"/>
      <c r="BR67" s="29"/>
    </row>
    <row r="68" spans="4:70">
      <c r="D68" s="26"/>
      <c r="E68" s="21"/>
      <c r="BO68" s="29"/>
      <c r="BR68" s="29"/>
    </row>
    <row r="69" spans="4:70">
      <c r="D69" s="26"/>
      <c r="E69" s="21"/>
      <c r="BO69" s="29"/>
      <c r="BR69" s="29"/>
    </row>
    <row r="70" spans="4:70">
      <c r="D70" s="26"/>
      <c r="E70" s="21"/>
      <c r="BO70" s="29"/>
      <c r="BR70" s="29"/>
    </row>
    <row r="71" spans="4:70">
      <c r="D71" s="26"/>
      <c r="E71" s="21"/>
      <c r="BO71" s="29"/>
      <c r="BR71" s="29"/>
    </row>
    <row r="72" spans="4:70">
      <c r="D72" s="26"/>
      <c r="E72" s="21"/>
      <c r="BO72" s="29"/>
      <c r="BR72" s="29"/>
    </row>
    <row r="73" spans="4:70">
      <c r="D73" s="26"/>
      <c r="E73" s="21"/>
      <c r="BO73" s="29"/>
      <c r="BR73" s="29"/>
    </row>
    <row r="74" spans="4:70">
      <c r="D74" s="26"/>
      <c r="E74" s="21"/>
      <c r="BO74" s="29"/>
      <c r="BR74" s="29"/>
    </row>
    <row r="75" spans="4:70">
      <c r="D75" s="26"/>
      <c r="E75" s="21"/>
      <c r="BO75" s="29"/>
      <c r="BR75" s="29"/>
    </row>
    <row r="76" spans="4:70">
      <c r="D76" s="26"/>
      <c r="E76" s="21"/>
      <c r="BO76" s="29"/>
      <c r="BR76" s="29"/>
    </row>
    <row r="77" spans="4:70">
      <c r="D77" s="26"/>
      <c r="E77" s="21"/>
      <c r="BO77" s="29"/>
      <c r="BR77" s="29"/>
    </row>
    <row r="78" spans="4:70">
      <c r="D78" s="26"/>
      <c r="E78" s="21"/>
      <c r="BO78" s="29"/>
      <c r="BR78" s="29"/>
    </row>
    <row r="79" spans="4:70">
      <c r="D79" s="26"/>
      <c r="E79" s="21"/>
      <c r="BO79" s="29"/>
      <c r="BR79" s="29"/>
    </row>
    <row r="80" spans="4:70">
      <c r="D80" s="26"/>
      <c r="E80" s="21"/>
      <c r="BO80" s="29"/>
      <c r="BR80" s="29"/>
    </row>
    <row r="81" spans="4:70">
      <c r="D81" s="26"/>
      <c r="E81" s="21"/>
      <c r="BO81" s="29"/>
      <c r="BR81" s="29"/>
    </row>
    <row r="82" spans="4:70">
      <c r="D82" s="26"/>
      <c r="E82" s="21"/>
      <c r="BO82" s="29"/>
      <c r="BR82" s="29"/>
    </row>
    <row r="83" spans="4:70">
      <c r="D83" s="26"/>
      <c r="E83" s="21"/>
      <c r="BO83" s="29"/>
      <c r="BR83" s="29"/>
    </row>
    <row r="84" spans="4:70">
      <c r="D84" s="26"/>
      <c r="E84" s="21"/>
      <c r="BO84" s="29"/>
      <c r="BR84" s="29"/>
    </row>
    <row r="85" spans="4:70">
      <c r="D85" s="26"/>
      <c r="E85" s="21"/>
      <c r="BO85" s="29"/>
      <c r="BR85" s="29"/>
    </row>
    <row r="86" spans="4:70">
      <c r="D86" s="26"/>
      <c r="E86" s="21"/>
      <c r="BO86" s="29"/>
      <c r="BR86" s="29"/>
    </row>
    <row r="87" spans="4:70">
      <c r="D87" s="26"/>
      <c r="E87" s="21"/>
      <c r="BO87" s="29"/>
      <c r="BR87" s="29"/>
    </row>
    <row r="88" spans="4:70">
      <c r="D88" s="26"/>
      <c r="E88" s="21"/>
      <c r="BO88" s="29"/>
      <c r="BR88" s="29"/>
    </row>
    <row r="89" spans="4:70">
      <c r="D89" s="26"/>
      <c r="E89" s="21"/>
      <c r="BO89" s="29"/>
      <c r="BR89" s="29"/>
    </row>
    <row r="90" spans="4:70">
      <c r="D90" s="26"/>
      <c r="E90" s="21"/>
      <c r="BO90" s="29"/>
      <c r="BR90" s="29"/>
    </row>
    <row r="91" spans="4:70">
      <c r="D91" s="26"/>
      <c r="E91" s="21"/>
      <c r="BO91" s="29"/>
      <c r="BR91" s="29"/>
    </row>
    <row r="92" spans="4:70">
      <c r="D92" s="26"/>
      <c r="E92" s="21"/>
      <c r="BO92" s="29"/>
      <c r="BR92" s="29"/>
    </row>
    <row r="93" spans="4:70">
      <c r="D93" s="26"/>
      <c r="E93" s="21"/>
      <c r="BO93" s="29"/>
      <c r="BR93" s="29"/>
    </row>
    <row r="94" spans="4:70">
      <c r="D94" s="26"/>
      <c r="E94" s="21"/>
      <c r="BO94" s="29"/>
      <c r="BR94" s="29"/>
    </row>
    <row r="95" spans="4:70">
      <c r="D95" s="26"/>
      <c r="E95" s="21"/>
      <c r="BO95" s="29"/>
      <c r="BR95" s="29"/>
    </row>
    <row r="96" spans="4:70">
      <c r="D96" s="26"/>
      <c r="E96" s="21"/>
      <c r="BO96" s="29"/>
      <c r="BR96" s="29"/>
    </row>
    <row r="97" spans="4:70">
      <c r="D97" s="26"/>
      <c r="E97" s="21"/>
      <c r="BO97" s="29"/>
      <c r="BR97" s="29"/>
    </row>
    <row r="98" spans="4:70">
      <c r="D98" s="26"/>
      <c r="E98" s="21"/>
      <c r="BO98" s="29"/>
      <c r="BR98" s="29"/>
    </row>
    <row r="99" spans="4:70">
      <c r="D99" s="26"/>
      <c r="E99" s="21"/>
      <c r="BO99" s="29"/>
      <c r="BR99" s="29"/>
    </row>
    <row r="100" spans="4:70">
      <c r="D100" s="26"/>
      <c r="E100" s="21"/>
      <c r="BO100" s="29"/>
      <c r="BR100" s="29"/>
    </row>
    <row r="101" spans="4:70">
      <c r="D101" s="26"/>
      <c r="E101" s="21"/>
      <c r="BO101" s="29"/>
      <c r="BR101" s="29"/>
    </row>
    <row r="102" spans="4:70">
      <c r="D102" s="26"/>
      <c r="E102" s="21"/>
      <c r="BO102" s="29"/>
      <c r="BR102" s="29"/>
    </row>
    <row r="103" spans="4:70">
      <c r="D103" s="26"/>
      <c r="E103" s="21"/>
      <c r="BO103" s="29"/>
      <c r="BR103" s="29"/>
    </row>
    <row r="104" spans="4:70">
      <c r="D104" s="26"/>
      <c r="E104" s="21"/>
      <c r="BO104" s="29"/>
      <c r="BR104" s="29"/>
    </row>
    <row r="105" spans="4:70">
      <c r="D105" s="26"/>
      <c r="E105" s="21"/>
      <c r="BO105" s="29"/>
      <c r="BR105" s="29"/>
    </row>
    <row r="106" spans="4:70">
      <c r="D106" s="26"/>
      <c r="E106" s="21"/>
      <c r="BO106" s="29"/>
      <c r="BR106" s="29"/>
    </row>
    <row r="107" spans="4:70">
      <c r="D107" s="26"/>
      <c r="E107" s="21"/>
      <c r="BO107" s="29"/>
      <c r="BR107" s="29"/>
    </row>
    <row r="108" spans="4:70">
      <c r="D108" s="26"/>
      <c r="E108" s="21"/>
      <c r="BO108" s="29"/>
      <c r="BR108" s="29"/>
    </row>
    <row r="109" spans="4:70">
      <c r="D109" s="26"/>
      <c r="E109" s="21"/>
      <c r="BO109" s="29"/>
      <c r="BR109" s="29"/>
    </row>
    <row r="110" spans="4:70">
      <c r="D110" s="26"/>
      <c r="E110" s="21"/>
      <c r="BO110" s="29"/>
      <c r="BR110" s="29"/>
    </row>
    <row r="111" spans="4:70">
      <c r="D111" s="26"/>
      <c r="E111" s="21"/>
      <c r="BO111" s="29"/>
      <c r="BR111" s="29"/>
    </row>
    <row r="112" spans="4:70">
      <c r="D112" s="26"/>
      <c r="E112" s="21"/>
      <c r="BO112" s="29"/>
      <c r="BR112" s="29"/>
    </row>
    <row r="113" spans="4:70">
      <c r="D113" s="26"/>
      <c r="E113" s="21"/>
      <c r="BO113" s="29"/>
      <c r="BR113" s="29"/>
    </row>
    <row r="114" spans="4:70">
      <c r="D114" s="26"/>
      <c r="E114" s="21"/>
      <c r="BO114" s="29"/>
      <c r="BR114" s="29"/>
    </row>
    <row r="115" spans="4:70">
      <c r="D115" s="26"/>
      <c r="E115" s="21"/>
      <c r="BO115" s="29"/>
      <c r="BR115" s="29"/>
    </row>
    <row r="116" spans="4:70">
      <c r="D116" s="26"/>
      <c r="E116" s="21"/>
      <c r="BO116" s="29"/>
      <c r="BR116" s="29"/>
    </row>
    <row r="117" spans="4:70">
      <c r="D117" s="26"/>
      <c r="E117" s="21"/>
      <c r="BO117" s="29"/>
      <c r="BR117" s="29"/>
    </row>
    <row r="118" spans="4:70">
      <c r="D118" s="26"/>
      <c r="E118" s="21"/>
      <c r="BO118" s="29"/>
      <c r="BR118" s="29"/>
    </row>
    <row r="119" spans="4:70">
      <c r="D119" s="26"/>
      <c r="E119" s="21"/>
      <c r="BO119" s="29"/>
      <c r="BR119" s="29"/>
    </row>
    <row r="120" spans="4:70">
      <c r="D120" s="26"/>
      <c r="E120" s="21"/>
      <c r="BO120" s="29"/>
      <c r="BR120" s="29"/>
    </row>
    <row r="121" spans="4:70">
      <c r="D121" s="26"/>
      <c r="E121" s="21"/>
      <c r="BO121" s="29"/>
      <c r="BR121" s="29"/>
    </row>
    <row r="122" spans="4:70">
      <c r="D122" s="26"/>
      <c r="E122" s="21"/>
      <c r="BO122" s="29"/>
      <c r="BR122" s="29"/>
    </row>
    <row r="123" spans="4:70">
      <c r="D123" s="26"/>
      <c r="E123" s="21"/>
      <c r="BO123" s="29"/>
      <c r="BR123" s="29"/>
    </row>
    <row r="124" spans="4:70">
      <c r="D124" s="26"/>
      <c r="E124" s="21"/>
      <c r="BO124" s="29"/>
      <c r="BR124" s="29"/>
    </row>
    <row r="125" spans="4:70">
      <c r="D125" s="26"/>
      <c r="E125" s="21"/>
      <c r="BO125" s="29"/>
      <c r="BR125" s="29"/>
    </row>
    <row r="126" spans="4:70">
      <c r="D126" s="26"/>
      <c r="E126" s="21"/>
      <c r="BO126" s="29"/>
      <c r="BR126" s="29"/>
    </row>
    <row r="127" spans="4:70">
      <c r="D127" s="26"/>
      <c r="E127" s="21"/>
      <c r="BO127" s="29"/>
      <c r="BR127" s="29"/>
    </row>
    <row r="128" spans="4:70">
      <c r="D128" s="26"/>
      <c r="E128" s="21"/>
      <c r="BO128" s="29"/>
      <c r="BR128" s="29"/>
    </row>
    <row r="129" spans="4:70">
      <c r="D129" s="26"/>
      <c r="E129" s="21"/>
      <c r="BO129" s="29"/>
      <c r="BR129" s="29"/>
    </row>
    <row r="130" spans="4:70">
      <c r="D130" s="26"/>
      <c r="E130" s="21"/>
      <c r="BO130" s="29"/>
      <c r="BR130" s="29"/>
    </row>
    <row r="131" spans="4:70">
      <c r="D131" s="26"/>
      <c r="E131" s="21"/>
      <c r="BO131" s="29"/>
      <c r="BR131" s="29"/>
    </row>
    <row r="132" spans="4:70">
      <c r="D132" s="26"/>
      <c r="E132" s="21"/>
      <c r="BO132" s="29"/>
      <c r="BR132" s="29"/>
    </row>
    <row r="133" spans="4:70">
      <c r="D133" s="26"/>
      <c r="E133" s="21"/>
      <c r="BO133" s="29"/>
      <c r="BR133" s="29"/>
    </row>
    <row r="134" spans="4:70">
      <c r="D134" s="26"/>
      <c r="E134" s="21"/>
      <c r="BO134" s="29"/>
      <c r="BR134" s="29"/>
    </row>
    <row r="135" spans="4:70">
      <c r="D135" s="26"/>
      <c r="E135" s="21"/>
      <c r="BO135" s="29"/>
      <c r="BR135" s="29"/>
    </row>
    <row r="136" spans="4:70">
      <c r="D136" s="26"/>
      <c r="E136" s="21"/>
      <c r="BO136" s="29"/>
      <c r="BR136" s="29"/>
    </row>
    <row r="137" spans="4:70">
      <c r="D137" s="26"/>
      <c r="E137" s="21"/>
      <c r="BO137" s="29"/>
      <c r="BR137" s="29"/>
    </row>
    <row r="138" spans="4:70">
      <c r="D138" s="26"/>
      <c r="E138" s="21"/>
      <c r="BO138" s="29"/>
      <c r="BR138" s="29"/>
    </row>
    <row r="139" spans="4:70">
      <c r="D139" s="26"/>
      <c r="E139" s="21"/>
      <c r="BO139" s="29"/>
      <c r="BR139" s="29"/>
    </row>
    <row r="140" spans="4:70">
      <c r="D140" s="26"/>
      <c r="E140" s="21"/>
      <c r="BO140" s="29"/>
      <c r="BR140" s="29"/>
    </row>
    <row r="141" spans="4:70">
      <c r="D141" s="26"/>
      <c r="E141" s="21"/>
      <c r="BO141" s="29"/>
      <c r="BR141" s="29"/>
    </row>
    <row r="142" spans="4:70">
      <c r="D142" s="26"/>
      <c r="E142" s="21"/>
      <c r="BO142" s="29"/>
      <c r="BR142" s="29"/>
    </row>
    <row r="143" spans="4:70">
      <c r="D143" s="26"/>
      <c r="E143" s="21"/>
      <c r="BO143" s="29"/>
      <c r="BR143" s="29"/>
    </row>
    <row r="144" spans="4:70">
      <c r="D144" s="26"/>
      <c r="E144" s="21"/>
      <c r="BO144" s="29"/>
      <c r="BR144" s="29"/>
    </row>
    <row r="145" spans="4:70">
      <c r="D145" s="26"/>
      <c r="E145" s="21"/>
      <c r="BO145" s="29"/>
      <c r="BR145" s="29"/>
    </row>
    <row r="146" spans="4:70">
      <c r="D146" s="26"/>
      <c r="E146" s="21"/>
      <c r="BO146" s="29"/>
      <c r="BR146" s="29"/>
    </row>
    <row r="147" spans="4:70">
      <c r="D147" s="26"/>
      <c r="E147" s="21"/>
      <c r="BO147" s="29"/>
      <c r="BR147" s="29"/>
    </row>
    <row r="148" spans="4:70">
      <c r="D148" s="26"/>
      <c r="E148" s="21"/>
      <c r="BO148" s="29"/>
      <c r="BR148" s="29"/>
    </row>
    <row r="149" spans="4:70">
      <c r="D149" s="26"/>
      <c r="E149" s="21"/>
      <c r="BO149" s="29"/>
      <c r="BR149" s="29"/>
    </row>
    <row r="150" spans="4:70">
      <c r="D150" s="26"/>
      <c r="E150" s="21"/>
      <c r="BO150" s="29"/>
      <c r="BR150" s="29"/>
    </row>
    <row r="151" spans="4:70">
      <c r="D151" s="26"/>
      <c r="E151" s="21"/>
      <c r="BO151" s="29"/>
      <c r="BR151" s="29"/>
    </row>
    <row r="152" spans="4:70">
      <c r="D152" s="26"/>
      <c r="E152" s="21"/>
      <c r="BO152" s="29"/>
      <c r="BR152" s="29"/>
    </row>
    <row r="153" spans="4:70">
      <c r="D153" s="26"/>
      <c r="E153" s="21"/>
      <c r="BO153" s="29"/>
      <c r="BR153" s="29"/>
    </row>
    <row r="154" spans="4:70">
      <c r="D154" s="26"/>
      <c r="E154" s="21"/>
      <c r="BO154" s="29"/>
      <c r="BR154" s="29"/>
    </row>
    <row r="155" spans="4:70">
      <c r="D155" s="26"/>
      <c r="E155" s="21"/>
      <c r="BO155" s="29"/>
      <c r="BR155" s="29"/>
    </row>
    <row r="156" spans="4:70">
      <c r="D156" s="26"/>
      <c r="E156" s="21"/>
      <c r="BO156" s="29"/>
      <c r="BR156" s="29"/>
    </row>
    <row r="157" spans="4:70">
      <c r="D157" s="26"/>
      <c r="E157" s="21"/>
      <c r="BO157" s="29"/>
      <c r="BR157" s="29"/>
    </row>
    <row r="158" spans="4:70">
      <c r="D158" s="26"/>
      <c r="E158" s="21"/>
      <c r="BO158" s="29"/>
      <c r="BR158" s="29"/>
    </row>
    <row r="159" spans="4:70">
      <c r="D159" s="26"/>
      <c r="E159" s="21"/>
      <c r="BO159" s="29"/>
      <c r="BR159" s="29"/>
    </row>
    <row r="160" spans="4:70">
      <c r="D160" s="26"/>
      <c r="E160" s="21"/>
      <c r="BO160" s="29"/>
      <c r="BR160" s="29"/>
    </row>
    <row r="161" spans="4:70">
      <c r="D161" s="26"/>
      <c r="E161" s="21"/>
      <c r="BO161" s="29"/>
      <c r="BR161" s="29"/>
    </row>
    <row r="162" spans="4:70">
      <c r="D162" s="26"/>
      <c r="E162" s="21"/>
      <c r="BO162" s="29"/>
      <c r="BR162" s="29"/>
    </row>
    <row r="163" spans="4:70">
      <c r="D163" s="26"/>
      <c r="E163" s="21"/>
      <c r="BO163" s="29"/>
      <c r="BR163" s="29"/>
    </row>
    <row r="164" spans="4:70">
      <c r="D164" s="26"/>
      <c r="E164" s="21"/>
      <c r="BO164" s="29"/>
      <c r="BR164" s="29"/>
    </row>
    <row r="165" spans="4:70">
      <c r="D165" s="26"/>
      <c r="E165" s="21"/>
      <c r="BO165" s="29"/>
      <c r="BR165" s="29"/>
    </row>
    <row r="166" spans="4:70">
      <c r="D166" s="26"/>
      <c r="E166" s="21"/>
      <c r="BO166" s="29"/>
      <c r="BR166" s="29"/>
    </row>
    <row r="167" spans="4:70">
      <c r="D167" s="26"/>
      <c r="E167" s="21"/>
      <c r="BO167" s="29"/>
      <c r="BR167" s="29"/>
    </row>
    <row r="168" spans="4:70">
      <c r="D168" s="26"/>
      <c r="E168" s="21"/>
      <c r="BO168" s="29"/>
      <c r="BR168" s="29"/>
    </row>
    <row r="169" spans="4:70">
      <c r="D169" s="26"/>
      <c r="E169" s="21"/>
      <c r="BO169" s="29"/>
      <c r="BR169" s="29"/>
    </row>
    <row r="170" spans="4:70">
      <c r="D170" s="26"/>
      <c r="E170" s="21"/>
      <c r="BO170" s="29"/>
      <c r="BR170" s="29"/>
    </row>
    <row r="171" spans="4:70">
      <c r="D171" s="26"/>
      <c r="E171" s="21"/>
      <c r="BO171" s="29"/>
      <c r="BR171" s="29"/>
    </row>
    <row r="172" spans="4:70">
      <c r="D172" s="26"/>
      <c r="E172" s="21"/>
      <c r="BO172" s="29"/>
      <c r="BR172" s="29"/>
    </row>
    <row r="173" spans="4:70">
      <c r="D173" s="26"/>
      <c r="E173" s="21"/>
      <c r="BO173" s="29"/>
      <c r="BR173" s="29"/>
    </row>
    <row r="174" spans="4:70">
      <c r="D174" s="26"/>
      <c r="E174" s="21"/>
      <c r="BO174" s="29"/>
      <c r="BR174" s="29"/>
    </row>
    <row r="175" spans="4:70">
      <c r="D175" s="26"/>
      <c r="E175" s="21"/>
      <c r="BO175" s="29"/>
      <c r="BR175" s="29"/>
    </row>
    <row r="176" spans="4:70">
      <c r="D176" s="26"/>
      <c r="E176" s="21"/>
      <c r="BO176" s="29"/>
      <c r="BR176" s="29"/>
    </row>
    <row r="177" spans="4:70">
      <c r="D177" s="26"/>
      <c r="E177" s="21"/>
      <c r="BO177" s="29"/>
      <c r="BR177" s="29"/>
    </row>
    <row r="178" spans="4:70">
      <c r="D178" s="26"/>
      <c r="E178" s="21"/>
      <c r="BO178" s="29"/>
      <c r="BR178" s="29"/>
    </row>
    <row r="179" spans="4:70">
      <c r="D179" s="26"/>
      <c r="E179" s="21"/>
      <c r="BO179" s="29"/>
      <c r="BR179" s="29"/>
    </row>
    <row r="180" spans="4:70">
      <c r="D180" s="26"/>
      <c r="E180" s="21"/>
      <c r="BO180" s="29"/>
      <c r="BR180" s="29"/>
    </row>
    <row r="181" spans="4:70">
      <c r="D181" s="26"/>
      <c r="E181" s="21"/>
      <c r="BO181" s="29"/>
      <c r="BR181" s="29"/>
    </row>
    <row r="182" spans="4:70">
      <c r="D182" s="26"/>
      <c r="E182" s="21"/>
      <c r="BO182" s="29"/>
      <c r="BR182" s="29"/>
    </row>
    <row r="183" spans="4:70">
      <c r="D183" s="26"/>
      <c r="E183" s="21"/>
      <c r="BO183" s="29"/>
      <c r="BR183" s="29"/>
    </row>
    <row r="184" spans="4:70">
      <c r="D184" s="26"/>
      <c r="E184" s="21"/>
      <c r="BO184" s="29"/>
      <c r="BR184" s="29"/>
    </row>
    <row r="185" spans="4:70">
      <c r="D185" s="26"/>
      <c r="E185" s="21"/>
      <c r="BO185" s="29"/>
      <c r="BR185" s="29"/>
    </row>
    <row r="186" spans="4:70">
      <c r="D186" s="26"/>
      <c r="E186" s="21"/>
      <c r="BO186" s="29"/>
      <c r="BR186" s="29"/>
    </row>
    <row r="187" spans="4:70">
      <c r="D187" s="26"/>
      <c r="E187" s="21"/>
      <c r="BO187" s="29"/>
      <c r="BR187" s="29"/>
    </row>
    <row r="188" spans="4:70">
      <c r="D188" s="26"/>
      <c r="E188" s="21"/>
      <c r="BO188" s="29"/>
      <c r="BR188" s="29"/>
    </row>
    <row r="189" spans="4:70">
      <c r="D189" s="26"/>
      <c r="E189" s="21"/>
      <c r="BO189" s="29"/>
      <c r="BR189" s="29"/>
    </row>
    <row r="190" spans="4:70">
      <c r="D190" s="26"/>
      <c r="E190" s="21"/>
      <c r="BO190" s="29"/>
      <c r="BR190" s="29"/>
    </row>
    <row r="191" spans="4:70">
      <c r="D191" s="26"/>
      <c r="E191" s="21"/>
      <c r="BO191" s="29"/>
      <c r="BR191" s="29"/>
    </row>
    <row r="192" spans="4:70">
      <c r="D192" s="26"/>
      <c r="E192" s="21"/>
      <c r="BO192" s="29"/>
      <c r="BR192" s="29"/>
    </row>
    <row r="193" spans="4:70">
      <c r="D193" s="26"/>
      <c r="E193" s="21"/>
      <c r="BO193" s="29"/>
      <c r="BR193" s="29"/>
    </row>
    <row r="194" spans="4:70">
      <c r="D194" s="26"/>
      <c r="E194" s="21"/>
      <c r="BO194" s="29"/>
      <c r="BR194" s="29"/>
    </row>
    <row r="195" spans="4:70">
      <c r="D195" s="26"/>
      <c r="E195" s="21"/>
      <c r="BO195" s="29"/>
      <c r="BR195" s="29"/>
    </row>
    <row r="196" spans="4:70">
      <c r="D196" s="26"/>
      <c r="E196" s="21"/>
      <c r="BO196" s="29"/>
      <c r="BR196" s="29"/>
    </row>
    <row r="197" spans="4:70">
      <c r="D197" s="26"/>
      <c r="E197" s="21"/>
      <c r="BO197" s="29"/>
      <c r="BR197" s="29"/>
    </row>
    <row r="198" spans="4:70">
      <c r="D198" s="26"/>
      <c r="E198" s="21"/>
      <c r="BO198" s="29"/>
      <c r="BR198" s="29"/>
    </row>
    <row r="199" spans="4:70">
      <c r="D199" s="26"/>
      <c r="E199" s="21"/>
      <c r="BO199" s="29"/>
      <c r="BR199" s="29"/>
    </row>
    <row r="200" spans="4:70">
      <c r="D200" s="26"/>
      <c r="E200" s="21"/>
      <c r="BO200" s="29"/>
      <c r="BR200" s="29"/>
    </row>
    <row r="201" spans="4:70">
      <c r="D201" s="26"/>
      <c r="E201" s="21"/>
      <c r="BO201" s="29"/>
      <c r="BR201" s="29"/>
    </row>
    <row r="202" spans="4:70">
      <c r="D202" s="26"/>
      <c r="E202" s="21"/>
      <c r="BO202" s="29"/>
      <c r="BR202" s="29"/>
    </row>
    <row r="203" spans="4:70">
      <c r="D203" s="26"/>
      <c r="E203" s="21"/>
      <c r="BO203" s="29"/>
      <c r="BR203" s="29"/>
    </row>
    <row r="204" spans="4:70">
      <c r="D204" s="26"/>
      <c r="E204" s="21"/>
      <c r="BO204" s="29"/>
      <c r="BR204" s="29"/>
    </row>
    <row r="205" spans="4:70">
      <c r="D205" s="26"/>
      <c r="E205" s="21"/>
      <c r="BO205" s="29"/>
      <c r="BR205" s="29"/>
    </row>
    <row r="206" spans="4:70">
      <c r="D206" s="26"/>
      <c r="E206" s="21"/>
      <c r="BO206" s="29"/>
      <c r="BR206" s="29"/>
    </row>
    <row r="207" spans="4:70">
      <c r="D207" s="26"/>
      <c r="E207" s="21"/>
      <c r="BO207" s="29"/>
      <c r="BR207" s="29"/>
    </row>
    <row r="208" spans="4:70">
      <c r="D208" s="26"/>
      <c r="E208" s="21"/>
      <c r="BO208" s="29"/>
      <c r="BR208" s="29"/>
    </row>
    <row r="209" spans="4:70">
      <c r="D209" s="26"/>
      <c r="E209" s="21"/>
      <c r="BO209" s="29"/>
      <c r="BR209" s="29"/>
    </row>
    <row r="210" spans="4:70">
      <c r="D210" s="26"/>
      <c r="E210" s="21"/>
      <c r="BO210" s="29"/>
      <c r="BR210" s="29"/>
    </row>
    <row r="211" spans="4:70">
      <c r="D211" s="26"/>
      <c r="E211" s="21"/>
      <c r="BO211" s="29"/>
      <c r="BR211" s="29"/>
    </row>
    <row r="212" spans="4:70">
      <c r="D212" s="26"/>
      <c r="E212" s="21"/>
      <c r="BO212" s="29"/>
      <c r="BR212" s="29"/>
    </row>
    <row r="213" spans="4:70">
      <c r="D213" s="26"/>
      <c r="E213" s="21"/>
      <c r="BO213" s="29"/>
      <c r="BR213" s="29"/>
    </row>
    <row r="214" spans="4:70">
      <c r="D214" s="26"/>
      <c r="E214" s="21"/>
      <c r="BO214" s="29"/>
      <c r="BR214" s="29"/>
    </row>
    <row r="215" spans="4:70">
      <c r="D215" s="26"/>
      <c r="E215" s="21"/>
      <c r="BO215" s="29"/>
      <c r="BR215" s="29"/>
    </row>
    <row r="216" spans="4:70">
      <c r="D216" s="26"/>
      <c r="E216" s="21"/>
      <c r="BO216" s="29"/>
      <c r="BR216" s="29"/>
    </row>
    <row r="217" spans="4:70">
      <c r="D217" s="26"/>
      <c r="E217" s="21"/>
      <c r="BO217" s="29"/>
      <c r="BR217" s="29"/>
    </row>
    <row r="218" spans="4:70">
      <c r="D218" s="26"/>
      <c r="E218" s="21"/>
      <c r="BO218" s="29"/>
      <c r="BR218" s="29"/>
    </row>
    <row r="219" spans="4:70">
      <c r="D219" s="26"/>
      <c r="E219" s="21"/>
      <c r="BO219" s="29"/>
      <c r="BR219" s="29"/>
    </row>
    <row r="220" spans="4:70">
      <c r="D220" s="26"/>
      <c r="E220" s="21"/>
      <c r="BO220" s="29"/>
      <c r="BR220" s="29"/>
    </row>
    <row r="221" spans="4:70">
      <c r="D221" s="26"/>
      <c r="E221" s="21"/>
      <c r="BO221" s="29"/>
      <c r="BR221" s="29"/>
    </row>
    <row r="222" spans="4:70">
      <c r="D222" s="26"/>
      <c r="E222" s="21"/>
      <c r="BO222" s="29"/>
      <c r="BR222" s="29"/>
    </row>
    <row r="223" spans="4:70">
      <c r="D223" s="26"/>
      <c r="E223" s="21"/>
      <c r="BO223" s="29"/>
      <c r="BR223" s="29"/>
    </row>
    <row r="224" spans="4:70">
      <c r="D224" s="26"/>
      <c r="E224" s="21"/>
      <c r="BO224" s="29"/>
      <c r="BR224" s="29"/>
    </row>
    <row r="225" spans="4:70">
      <c r="D225" s="26"/>
      <c r="E225" s="21"/>
      <c r="BO225" s="29"/>
      <c r="BR225" s="29"/>
    </row>
    <row r="226" spans="4:70">
      <c r="D226" s="26"/>
      <c r="E226" s="21"/>
      <c r="BO226" s="29"/>
      <c r="BR226" s="29"/>
    </row>
    <row r="227" spans="4:70">
      <c r="D227" s="26"/>
      <c r="E227" s="21"/>
      <c r="BO227" s="29"/>
      <c r="BR227" s="29"/>
    </row>
    <row r="228" spans="4:70">
      <c r="D228" s="26"/>
      <c r="E228" s="21"/>
      <c r="BO228" s="29"/>
      <c r="BR228" s="29"/>
    </row>
    <row r="229" spans="4:70">
      <c r="D229" s="26"/>
      <c r="E229" s="21"/>
      <c r="BO229" s="29"/>
      <c r="BR229" s="29"/>
    </row>
    <row r="230" spans="4:70">
      <c r="D230" s="26"/>
      <c r="E230" s="21"/>
      <c r="BO230" s="29"/>
      <c r="BR230" s="29"/>
    </row>
    <row r="231" spans="4:70">
      <c r="D231" s="26"/>
      <c r="E231" s="21"/>
      <c r="BO231" s="29"/>
      <c r="BR231" s="29"/>
    </row>
    <row r="232" spans="4:70">
      <c r="D232" s="26"/>
      <c r="E232" s="21"/>
      <c r="BO232" s="29"/>
      <c r="BR232" s="29"/>
    </row>
    <row r="233" spans="4:70">
      <c r="D233" s="26"/>
      <c r="E233" s="21"/>
      <c r="BO233" s="29"/>
      <c r="BR233" s="29"/>
    </row>
    <row r="234" spans="4:70">
      <c r="D234" s="26"/>
      <c r="E234" s="21"/>
      <c r="BO234" s="29"/>
      <c r="BR234" s="29"/>
    </row>
    <row r="235" spans="4:70">
      <c r="D235" s="26"/>
      <c r="E235" s="21"/>
      <c r="BO235" s="29"/>
      <c r="BR235" s="29"/>
    </row>
    <row r="236" spans="4:70">
      <c r="D236" s="26"/>
      <c r="E236" s="21"/>
      <c r="BO236" s="29"/>
      <c r="BR236" s="29"/>
    </row>
    <row r="237" spans="4:70">
      <c r="D237" s="26"/>
      <c r="E237" s="21"/>
      <c r="BO237" s="29"/>
      <c r="BR237" s="29"/>
    </row>
    <row r="238" spans="4:70">
      <c r="D238" s="26"/>
      <c r="E238" s="21"/>
      <c r="BO238" s="29"/>
      <c r="BR238" s="29"/>
    </row>
    <row r="239" spans="4:70">
      <c r="D239" s="26"/>
      <c r="E239" s="21"/>
      <c r="BO239" s="29"/>
      <c r="BR239" s="29"/>
    </row>
    <row r="240" spans="4:70">
      <c r="D240" s="26"/>
      <c r="E240" s="21"/>
      <c r="BO240" s="29"/>
      <c r="BR240" s="29"/>
    </row>
    <row r="241" spans="4:70">
      <c r="D241" s="26"/>
      <c r="E241" s="21"/>
      <c r="BR241" s="29"/>
    </row>
    <row r="242" spans="4:70">
      <c r="D242" s="26"/>
      <c r="E242" s="21"/>
      <c r="BO242" s="29"/>
      <c r="BR242" s="29"/>
    </row>
    <row r="243" spans="4:70">
      <c r="D243" s="26"/>
      <c r="E243" s="21"/>
      <c r="BO243" s="29"/>
      <c r="BR243" s="29"/>
    </row>
    <row r="244" spans="4:70">
      <c r="D244" s="26"/>
      <c r="E244" s="21"/>
      <c r="BO244" s="29"/>
      <c r="BR244" s="29"/>
    </row>
    <row r="245" spans="4:70">
      <c r="D245" s="26"/>
      <c r="E245" s="21"/>
      <c r="BO245" s="29"/>
      <c r="BR245" s="29"/>
    </row>
    <row r="246" spans="4:70">
      <c r="D246" s="26"/>
      <c r="E246" s="21"/>
      <c r="BO246" s="29"/>
      <c r="BR246" s="29"/>
    </row>
    <row r="247" spans="4:70">
      <c r="D247" s="26"/>
      <c r="E247" s="21"/>
      <c r="BO247" s="29"/>
      <c r="BR247" s="29"/>
    </row>
    <row r="248" spans="4:70">
      <c r="D248" s="26"/>
      <c r="E248" s="21"/>
      <c r="BO248" s="29"/>
      <c r="BR248" s="29"/>
    </row>
    <row r="249" spans="4:70">
      <c r="D249" s="26"/>
      <c r="E249" s="21"/>
      <c r="BO249" s="29"/>
      <c r="BR249" s="29"/>
    </row>
    <row r="250" spans="4:70">
      <c r="D250" s="26"/>
      <c r="E250" s="21"/>
      <c r="BO250" s="29"/>
      <c r="BR250" s="29"/>
    </row>
    <row r="251" spans="4:70">
      <c r="D251" s="26"/>
      <c r="E251" s="21"/>
      <c r="BO251" s="29"/>
      <c r="BR251" s="29"/>
    </row>
    <row r="252" spans="4:70">
      <c r="D252" s="26"/>
      <c r="E252" s="21"/>
      <c r="BO252" s="29"/>
      <c r="BR252" s="29"/>
    </row>
    <row r="253" spans="4:70">
      <c r="D253" s="26"/>
      <c r="E253" s="21"/>
      <c r="BO253" s="29"/>
      <c r="BR253" s="29"/>
    </row>
    <row r="254" spans="4:70">
      <c r="D254" s="26"/>
      <c r="E254" s="21"/>
      <c r="BO254" s="29"/>
      <c r="BR254" s="29"/>
    </row>
    <row r="255" spans="4:70">
      <c r="D255" s="26"/>
      <c r="E255" s="21"/>
      <c r="BO255" s="29"/>
      <c r="BR255" s="29"/>
    </row>
    <row r="256" spans="4:70">
      <c r="D256" s="26"/>
      <c r="E256" s="21"/>
      <c r="BO256" s="29"/>
      <c r="BR256" s="29"/>
    </row>
    <row r="257" spans="4:70">
      <c r="D257" s="26"/>
      <c r="E257" s="21"/>
      <c r="BO257" s="29"/>
      <c r="BR257" s="29"/>
    </row>
    <row r="258" spans="4:70">
      <c r="D258" s="26"/>
      <c r="E258" s="21"/>
      <c r="BO258" s="29"/>
      <c r="BR258" s="29"/>
    </row>
    <row r="259" spans="4:70">
      <c r="D259" s="26"/>
      <c r="E259" s="21"/>
      <c r="BO259" s="29"/>
      <c r="BR259" s="29"/>
    </row>
    <row r="260" spans="4:70">
      <c r="D260" s="26"/>
      <c r="E260" s="21"/>
      <c r="BO260" s="29"/>
      <c r="BR260" s="29"/>
    </row>
    <row r="261" spans="4:70">
      <c r="D261" s="26"/>
      <c r="E261" s="21"/>
      <c r="BO261" s="29"/>
      <c r="BR261" s="29"/>
    </row>
    <row r="262" spans="4:70">
      <c r="D262" s="26"/>
      <c r="E262" s="21"/>
      <c r="BO262" s="29"/>
      <c r="BR262" s="29"/>
    </row>
    <row r="263" spans="4:70">
      <c r="D263" s="26"/>
      <c r="E263" s="21"/>
      <c r="BO263" s="29"/>
      <c r="BR263" s="29"/>
    </row>
    <row r="264" spans="4:70">
      <c r="D264" s="26"/>
      <c r="E264" s="21"/>
      <c r="BO264" s="29"/>
      <c r="BR264" s="29"/>
    </row>
    <row r="265" spans="4:70">
      <c r="D265" s="26"/>
      <c r="E265" s="21"/>
      <c r="BO265" s="29"/>
      <c r="BR265" s="29"/>
    </row>
    <row r="266" spans="4:70">
      <c r="D266" s="26"/>
      <c r="E266" s="21"/>
      <c r="BO266" s="29"/>
      <c r="BR266" s="29"/>
    </row>
    <row r="267" spans="4:70">
      <c r="D267" s="26"/>
      <c r="E267" s="21"/>
      <c r="BO267" s="29"/>
      <c r="BR267" s="29"/>
    </row>
    <row r="268" spans="4:70">
      <c r="D268" s="26"/>
      <c r="E268" s="21"/>
      <c r="BO268" s="29"/>
      <c r="BR268" s="29"/>
    </row>
    <row r="269" spans="4:70">
      <c r="D269" s="26"/>
      <c r="E269" s="21"/>
      <c r="BO269" s="29"/>
      <c r="BR269" s="29"/>
    </row>
    <row r="270" spans="4:70">
      <c r="D270" s="26"/>
      <c r="E270" s="21"/>
      <c r="BO270" s="29"/>
      <c r="BR270" s="29"/>
    </row>
    <row r="271" spans="4:70">
      <c r="D271" s="26"/>
      <c r="E271" s="21"/>
      <c r="BO271" s="29"/>
      <c r="BR271" s="29"/>
    </row>
    <row r="272" spans="4:70">
      <c r="D272" s="26"/>
      <c r="E272" s="21"/>
      <c r="BO272" s="29"/>
      <c r="BR272" s="29"/>
    </row>
    <row r="273" spans="4:70">
      <c r="D273" s="26"/>
      <c r="E273" s="21"/>
      <c r="BO273" s="29"/>
      <c r="BR273" s="29"/>
    </row>
    <row r="274" spans="4:70">
      <c r="D274" s="26"/>
      <c r="E274" s="21"/>
      <c r="BO274" s="29"/>
      <c r="BR274" s="29"/>
    </row>
    <row r="275" spans="4:70">
      <c r="D275" s="26"/>
      <c r="E275" s="21"/>
      <c r="BO275" s="29"/>
      <c r="BR275" s="29"/>
    </row>
    <row r="276" spans="4:70">
      <c r="D276" s="26"/>
      <c r="E276" s="21"/>
      <c r="BO276" s="29"/>
      <c r="BR276" s="29"/>
    </row>
    <row r="277" spans="4:70">
      <c r="D277" s="26"/>
      <c r="E277" s="21"/>
      <c r="BO277" s="29"/>
      <c r="BR277" s="29"/>
    </row>
    <row r="278" spans="4:70">
      <c r="D278" s="26"/>
      <c r="E278" s="21"/>
      <c r="BO278" s="29"/>
      <c r="BR278" s="29"/>
    </row>
    <row r="279" spans="4:70">
      <c r="D279" s="26"/>
      <c r="E279" s="21"/>
      <c r="BO279" s="29"/>
      <c r="BR279" s="29"/>
    </row>
    <row r="280" spans="4:70">
      <c r="D280" s="26"/>
      <c r="E280" s="21"/>
      <c r="BO280" s="29"/>
      <c r="BR280" s="29"/>
    </row>
    <row r="281" spans="4:70">
      <c r="D281" s="26"/>
      <c r="E281" s="21"/>
      <c r="BO281" s="29"/>
      <c r="BR281" s="29"/>
    </row>
    <row r="282" spans="4:70">
      <c r="D282" s="26"/>
      <c r="E282" s="21"/>
      <c r="BO282" s="29"/>
      <c r="BR282" s="29"/>
    </row>
    <row r="283" spans="4:70">
      <c r="D283" s="26"/>
      <c r="E283" s="21"/>
      <c r="BO283" s="29"/>
      <c r="BR283" s="29"/>
    </row>
    <row r="284" spans="4:70">
      <c r="D284" s="26"/>
      <c r="E284" s="21"/>
      <c r="BR284" s="29"/>
    </row>
    <row r="285" spans="4:70">
      <c r="D285" s="26"/>
      <c r="E285" s="21"/>
      <c r="BO285" s="29"/>
      <c r="BR285" s="29"/>
    </row>
    <row r="286" spans="4:70">
      <c r="D286" s="26"/>
      <c r="E286" s="21"/>
      <c r="BO286" s="29"/>
      <c r="BR286" s="29"/>
    </row>
    <row r="287" spans="4:70">
      <c r="D287" s="26"/>
      <c r="E287" s="21"/>
      <c r="BO287" s="29"/>
      <c r="BR287" s="29"/>
    </row>
    <row r="288" spans="4:70">
      <c r="D288" s="26"/>
      <c r="E288" s="21"/>
      <c r="BO288" s="29"/>
      <c r="BR288" s="29"/>
    </row>
    <row r="289" spans="4:70">
      <c r="D289" s="26"/>
      <c r="E289" s="21"/>
      <c r="BO289" s="29"/>
      <c r="BR289" s="29"/>
    </row>
    <row r="290" spans="4:70">
      <c r="D290" s="26"/>
      <c r="E290" s="21"/>
      <c r="BO290" s="29"/>
      <c r="BR290" s="29"/>
    </row>
    <row r="291" spans="4:70">
      <c r="D291" s="26"/>
      <c r="E291" s="21"/>
      <c r="BO291" s="29"/>
      <c r="BR291" s="29"/>
    </row>
    <row r="292" spans="4:70">
      <c r="D292" s="26"/>
      <c r="E292" s="21"/>
      <c r="BO292" s="29"/>
      <c r="BR292" s="29"/>
    </row>
    <row r="293" spans="4:70">
      <c r="D293" s="26"/>
      <c r="E293" s="21"/>
      <c r="BO293" s="29"/>
      <c r="BR293" s="29"/>
    </row>
    <row r="294" spans="4:70">
      <c r="D294" s="26"/>
      <c r="E294" s="21"/>
      <c r="BO294" s="29"/>
      <c r="BR294" s="29"/>
    </row>
    <row r="295" spans="4:70">
      <c r="D295" s="26"/>
      <c r="E295" s="21"/>
      <c r="BO295" s="29"/>
      <c r="BR295" s="29"/>
    </row>
    <row r="296" spans="4:70">
      <c r="D296" s="26"/>
      <c r="E296" s="21"/>
      <c r="BO296" s="29"/>
      <c r="BR296" s="29"/>
    </row>
    <row r="297" spans="4:70">
      <c r="D297" s="26"/>
      <c r="E297" s="21"/>
      <c r="BO297" s="29"/>
      <c r="BR297" s="29"/>
    </row>
    <row r="298" spans="4:70">
      <c r="D298" s="26"/>
      <c r="E298" s="21"/>
      <c r="BO298" s="29"/>
      <c r="BR298" s="29"/>
    </row>
    <row r="299" spans="4:70">
      <c r="D299" s="26"/>
      <c r="E299" s="21"/>
      <c r="BO299" s="29"/>
      <c r="BR299" s="29"/>
    </row>
    <row r="300" spans="4:70">
      <c r="D300" s="26"/>
      <c r="E300" s="21"/>
      <c r="BO300" s="29"/>
      <c r="BR300" s="29"/>
    </row>
    <row r="301" spans="4:70">
      <c r="D301" s="26"/>
      <c r="E301" s="21"/>
      <c r="BO301" s="29"/>
      <c r="BR301" s="29"/>
    </row>
    <row r="302" spans="4:70">
      <c r="D302" s="26"/>
      <c r="E302" s="21"/>
      <c r="BO302" s="29"/>
      <c r="BR302" s="29"/>
    </row>
    <row r="303" spans="4:70">
      <c r="D303" s="26"/>
      <c r="E303" s="21"/>
      <c r="BO303" s="29"/>
      <c r="BR303" s="29"/>
    </row>
    <row r="304" spans="4:70">
      <c r="D304" s="26"/>
      <c r="E304" s="21"/>
      <c r="BO304" s="29"/>
      <c r="BR304" s="29"/>
    </row>
    <row r="305" spans="4:70">
      <c r="D305" s="26"/>
      <c r="E305" s="21"/>
      <c r="BO305" s="29"/>
      <c r="BR305" s="29"/>
    </row>
    <row r="306" spans="4:70">
      <c r="D306" s="26"/>
      <c r="E306" s="21"/>
      <c r="BO306" s="29"/>
      <c r="BR306" s="29"/>
    </row>
    <row r="307" spans="4:70">
      <c r="D307" s="26"/>
      <c r="E307" s="21"/>
      <c r="BO307" s="29"/>
      <c r="BR307" s="29"/>
    </row>
    <row r="308" spans="4:70">
      <c r="D308" s="26"/>
      <c r="E308" s="21"/>
      <c r="BO308" s="29"/>
      <c r="BR308" s="29"/>
    </row>
    <row r="309" spans="4:70">
      <c r="D309" s="26"/>
      <c r="E309" s="21"/>
      <c r="BO309" s="29"/>
      <c r="BR309" s="29"/>
    </row>
    <row r="310" spans="4:70">
      <c r="D310" s="26"/>
      <c r="E310" s="21"/>
      <c r="BO310" s="29"/>
      <c r="BR310" s="29"/>
    </row>
    <row r="311" spans="4:70">
      <c r="D311" s="26"/>
      <c r="E311" s="21"/>
      <c r="BO311" s="29"/>
      <c r="BR311" s="29"/>
    </row>
    <row r="312" spans="4:70">
      <c r="D312" s="26"/>
      <c r="E312" s="21"/>
      <c r="BO312" s="29"/>
      <c r="BR312" s="29"/>
    </row>
    <row r="313" spans="4:70">
      <c r="D313" s="26"/>
      <c r="E313" s="21"/>
      <c r="BO313" s="29"/>
      <c r="BR313" s="29"/>
    </row>
    <row r="314" spans="4:70">
      <c r="D314" s="26"/>
      <c r="E314" s="21"/>
      <c r="BO314" s="29"/>
      <c r="BR314" s="29"/>
    </row>
    <row r="315" spans="4:70">
      <c r="D315" s="26"/>
      <c r="E315" s="21"/>
      <c r="BO315" s="29"/>
      <c r="BR315" s="29"/>
    </row>
    <row r="316" spans="4:70">
      <c r="D316" s="26"/>
      <c r="E316" s="21"/>
      <c r="BO316" s="29"/>
      <c r="BR316" s="29"/>
    </row>
    <row r="317" spans="4:70">
      <c r="D317" s="26"/>
      <c r="E317" s="21"/>
      <c r="BO317" s="29"/>
      <c r="BR317" s="29"/>
    </row>
    <row r="318" spans="4:70">
      <c r="D318" s="26"/>
      <c r="E318" s="21"/>
      <c r="BO318" s="29"/>
      <c r="BR318" s="29"/>
    </row>
    <row r="319" spans="4:70">
      <c r="D319" s="26"/>
      <c r="E319" s="21"/>
      <c r="BO319" s="29"/>
      <c r="BR319" s="29"/>
    </row>
    <row r="320" spans="4:70">
      <c r="D320" s="26"/>
      <c r="E320" s="21"/>
      <c r="BO320" s="29"/>
      <c r="BR320" s="29"/>
    </row>
    <row r="321" spans="4:70">
      <c r="D321" s="26"/>
      <c r="E321" s="21"/>
      <c r="BO321" s="29"/>
      <c r="BR321" s="29"/>
    </row>
    <row r="322" spans="4:70">
      <c r="D322" s="26"/>
      <c r="E322" s="21"/>
      <c r="BO322" s="29"/>
      <c r="BR322" s="29"/>
    </row>
    <row r="323" spans="4:70">
      <c r="D323" s="26"/>
      <c r="E323" s="21"/>
      <c r="BO323" s="29"/>
      <c r="BR323" s="29"/>
    </row>
    <row r="324" spans="4:70">
      <c r="D324" s="26"/>
      <c r="E324" s="21"/>
      <c r="BO324" s="29"/>
      <c r="BR324" s="29"/>
    </row>
    <row r="325" spans="4:70">
      <c r="D325" s="26"/>
      <c r="E325" s="21"/>
      <c r="BO325" s="29"/>
      <c r="BR325" s="29"/>
    </row>
    <row r="326" spans="4:70">
      <c r="D326" s="26"/>
      <c r="E326" s="21"/>
      <c r="BO326" s="29"/>
      <c r="BR326" s="29"/>
    </row>
    <row r="327" spans="4:70">
      <c r="D327" s="26"/>
      <c r="E327" s="21"/>
      <c r="BO327" s="29"/>
      <c r="BR327" s="29"/>
    </row>
    <row r="328" spans="4:70">
      <c r="D328" s="26"/>
      <c r="E328" s="21"/>
      <c r="BO328" s="29"/>
      <c r="BR328" s="29"/>
    </row>
    <row r="329" spans="4:70">
      <c r="D329" s="26"/>
      <c r="E329" s="21"/>
      <c r="BO329" s="29"/>
      <c r="BR329" s="29"/>
    </row>
    <row r="330" spans="4:70">
      <c r="D330" s="26"/>
      <c r="E330" s="21"/>
      <c r="BO330" s="29"/>
      <c r="BR330" s="29"/>
    </row>
    <row r="331" spans="4:70">
      <c r="D331" s="26"/>
      <c r="E331" s="21"/>
      <c r="BO331" s="29"/>
      <c r="BR331" s="29"/>
    </row>
    <row r="332" spans="4:70">
      <c r="D332" s="26"/>
      <c r="E332" s="21"/>
      <c r="BO332" s="29"/>
      <c r="BR332" s="29"/>
    </row>
    <row r="333" spans="4:70">
      <c r="D333" s="26"/>
      <c r="E333" s="21"/>
      <c r="BO333" s="29"/>
      <c r="BR333" s="29"/>
    </row>
    <row r="334" spans="4:70">
      <c r="D334" s="26"/>
      <c r="E334" s="21"/>
      <c r="BO334" s="29"/>
      <c r="BR334" s="29"/>
    </row>
    <row r="335" spans="4:70">
      <c r="D335" s="26"/>
      <c r="E335" s="21"/>
      <c r="BO335" s="29"/>
      <c r="BR335" s="29"/>
    </row>
    <row r="336" spans="4:70">
      <c r="D336" s="26"/>
      <c r="E336" s="21"/>
      <c r="BO336" s="29"/>
      <c r="BR336" s="29"/>
    </row>
    <row r="337" spans="4:70">
      <c r="D337" s="26"/>
      <c r="E337" s="21"/>
      <c r="BO337" s="29"/>
      <c r="BR337" s="29"/>
    </row>
    <row r="338" spans="4:70">
      <c r="D338" s="26"/>
      <c r="E338" s="21"/>
      <c r="BO338" s="29"/>
      <c r="BR338" s="29"/>
    </row>
    <row r="339" spans="4:70">
      <c r="D339" s="26"/>
      <c r="E339" s="21"/>
      <c r="BO339" s="29"/>
      <c r="BR339" s="29"/>
    </row>
    <row r="340" spans="4:70">
      <c r="D340" s="26"/>
      <c r="E340" s="21"/>
      <c r="BR340" s="29"/>
    </row>
    <row r="341" spans="4:70">
      <c r="D341" s="26"/>
      <c r="E341" s="21"/>
      <c r="BR341" s="29"/>
    </row>
    <row r="342" spans="4:70">
      <c r="D342" s="26"/>
      <c r="E342" s="21"/>
      <c r="BR342" s="29"/>
    </row>
    <row r="343" spans="4:70">
      <c r="D343" s="26"/>
      <c r="E343" s="21"/>
      <c r="BO343" s="29"/>
      <c r="BR343" s="29"/>
    </row>
    <row r="344" spans="4:70">
      <c r="D344" s="26"/>
      <c r="E344" s="21"/>
      <c r="BO344" s="29"/>
      <c r="BR344" s="29"/>
    </row>
    <row r="345" spans="4:70">
      <c r="D345" s="26"/>
      <c r="E345" s="21"/>
      <c r="BO345" s="29"/>
      <c r="BR345" s="29"/>
    </row>
    <row r="346" spans="4:70">
      <c r="D346" s="26"/>
      <c r="E346" s="21"/>
      <c r="BO346" s="29"/>
      <c r="BR346" s="29"/>
    </row>
    <row r="347" spans="4:70">
      <c r="D347" s="26"/>
      <c r="E347" s="21"/>
      <c r="BO347" s="29"/>
      <c r="BR347" s="29"/>
    </row>
    <row r="348" spans="4:70">
      <c r="D348" s="26"/>
      <c r="E348" s="21"/>
      <c r="BO348" s="29"/>
      <c r="BR348" s="29"/>
    </row>
    <row r="349" spans="4:70">
      <c r="D349" s="26"/>
      <c r="E349" s="21"/>
      <c r="BO349" s="29"/>
      <c r="BR349" s="29"/>
    </row>
    <row r="350" spans="4:70">
      <c r="D350" s="26"/>
      <c r="E350" s="21"/>
      <c r="BO350" s="29"/>
      <c r="BR350" s="29"/>
    </row>
    <row r="351" spans="4:70">
      <c r="D351" s="26"/>
      <c r="E351" s="21"/>
      <c r="BO351" s="29"/>
      <c r="BR351" s="29"/>
    </row>
    <row r="352" spans="4:70">
      <c r="D352" s="26"/>
      <c r="E352" s="21"/>
      <c r="BO352" s="29"/>
      <c r="BR352" s="29"/>
    </row>
    <row r="353" spans="4:70">
      <c r="D353" s="26"/>
      <c r="E353" s="21"/>
      <c r="BO353" s="29"/>
      <c r="BR353" s="29"/>
    </row>
    <row r="354" spans="4:70">
      <c r="D354" s="26"/>
      <c r="E354" s="21"/>
      <c r="BO354" s="29"/>
      <c r="BR354" s="29"/>
    </row>
    <row r="355" spans="4:70">
      <c r="D355" s="26"/>
      <c r="E355" s="21"/>
      <c r="BO355" s="29"/>
      <c r="BR355" s="29"/>
    </row>
    <row r="356" spans="4:70">
      <c r="D356" s="26"/>
      <c r="E356" s="21"/>
      <c r="BO356" s="29"/>
      <c r="BR356" s="29"/>
    </row>
    <row r="357" spans="4:70">
      <c r="D357" s="26"/>
      <c r="E357" s="21"/>
      <c r="BO357" s="29"/>
      <c r="BR357" s="29"/>
    </row>
    <row r="358" spans="4:70">
      <c r="D358" s="26"/>
      <c r="E358" s="21"/>
      <c r="BO358" s="29"/>
      <c r="BR358" s="29"/>
    </row>
    <row r="359" spans="4:70">
      <c r="D359" s="26"/>
      <c r="E359" s="21"/>
      <c r="BO359" s="29"/>
      <c r="BR359" s="29"/>
    </row>
    <row r="360" spans="4:70">
      <c r="D360" s="26"/>
      <c r="E360" s="21"/>
      <c r="BO360" s="29"/>
      <c r="BR360" s="29"/>
    </row>
    <row r="361" spans="4:70">
      <c r="D361" s="26"/>
      <c r="E361" s="21"/>
      <c r="BO361" s="29"/>
      <c r="BR361" s="29"/>
    </row>
    <row r="362" spans="4:70">
      <c r="D362" s="26"/>
      <c r="E362" s="21"/>
      <c r="BO362" s="29"/>
      <c r="BR362" s="29"/>
    </row>
    <row r="363" spans="4:70">
      <c r="D363" s="26"/>
      <c r="E363" s="21"/>
      <c r="BO363" s="29"/>
      <c r="BR363" s="29"/>
    </row>
    <row r="364" spans="4:70">
      <c r="D364" s="26"/>
      <c r="E364" s="21"/>
      <c r="BO364" s="29"/>
      <c r="BR364" s="29"/>
    </row>
    <row r="365" spans="4:70">
      <c r="D365" s="26"/>
      <c r="E365" s="21"/>
      <c r="BO365" s="29"/>
      <c r="BR365" s="29"/>
    </row>
    <row r="366" spans="4:70">
      <c r="D366" s="26"/>
      <c r="E366" s="21"/>
      <c r="BO366" s="29"/>
      <c r="BR366" s="29"/>
    </row>
    <row r="367" spans="4:70">
      <c r="D367" s="26"/>
      <c r="E367" s="21"/>
      <c r="BO367" s="29"/>
      <c r="BR367" s="29"/>
    </row>
    <row r="368" spans="4:70">
      <c r="D368" s="26"/>
      <c r="E368" s="21"/>
      <c r="BO368" s="29"/>
      <c r="BR368" s="29"/>
    </row>
    <row r="369" spans="4:70">
      <c r="D369" s="26"/>
      <c r="E369" s="21"/>
      <c r="BO369" s="29"/>
      <c r="BR369" s="29"/>
    </row>
    <row r="370" spans="4:70">
      <c r="D370" s="26"/>
      <c r="E370" s="21"/>
      <c r="BO370" s="29"/>
      <c r="BR370" s="29"/>
    </row>
    <row r="371" spans="4:70">
      <c r="D371" s="26"/>
      <c r="E371" s="21"/>
      <c r="BO371" s="29"/>
      <c r="BR371" s="29"/>
    </row>
    <row r="372" spans="4:70">
      <c r="D372" s="26"/>
      <c r="E372" s="21"/>
      <c r="BO372" s="29"/>
      <c r="BR372" s="29"/>
    </row>
    <row r="373" spans="4:70">
      <c r="D373" s="26"/>
      <c r="E373" s="21"/>
      <c r="BO373" s="29"/>
      <c r="BR373" s="29"/>
    </row>
    <row r="374" spans="4:70">
      <c r="D374" s="26"/>
      <c r="E374" s="21"/>
      <c r="BO374" s="29"/>
      <c r="BR374" s="29"/>
    </row>
    <row r="375" spans="4:70">
      <c r="D375" s="26"/>
      <c r="E375" s="21"/>
      <c r="BO375" s="29"/>
      <c r="BR375" s="29"/>
    </row>
    <row r="376" spans="4:70">
      <c r="D376" s="26"/>
      <c r="E376" s="21"/>
      <c r="BO376" s="29"/>
      <c r="BR376" s="29"/>
    </row>
    <row r="377" spans="4:70">
      <c r="D377" s="26"/>
      <c r="E377" s="21"/>
      <c r="BR377" s="29"/>
    </row>
    <row r="378" spans="4:70">
      <c r="D378" s="26"/>
      <c r="E378" s="21"/>
      <c r="BR378" s="29"/>
    </row>
    <row r="379" spans="4:70">
      <c r="D379" s="26"/>
      <c r="E379" s="21"/>
      <c r="BO379" s="29"/>
      <c r="BR379" s="29"/>
    </row>
    <row r="380" spans="4:70">
      <c r="D380" s="26"/>
      <c r="E380" s="21"/>
      <c r="BO380" s="29"/>
      <c r="BR380" s="29"/>
    </row>
    <row r="381" spans="4:70">
      <c r="D381" s="26"/>
      <c r="E381" s="21"/>
      <c r="BO381" s="29"/>
      <c r="BR381" s="29"/>
    </row>
    <row r="382" spans="4:70">
      <c r="D382" s="26"/>
      <c r="E382" s="21"/>
      <c r="BO382" s="29"/>
      <c r="BR382" s="29"/>
    </row>
    <row r="383" spans="4:70">
      <c r="D383" s="26"/>
      <c r="E383" s="21"/>
      <c r="BO383" s="29"/>
      <c r="BR383" s="29"/>
    </row>
    <row r="384" spans="4:70">
      <c r="D384" s="26"/>
      <c r="E384" s="21"/>
      <c r="BO384" s="29"/>
      <c r="BR384" s="29"/>
    </row>
    <row r="385" spans="4:70">
      <c r="D385" s="26"/>
      <c r="E385" s="21"/>
      <c r="BO385" s="29"/>
      <c r="BR385" s="29"/>
    </row>
    <row r="386" spans="4:70">
      <c r="D386" s="26"/>
      <c r="E386" s="21"/>
      <c r="BO386" s="29"/>
      <c r="BR386" s="29"/>
    </row>
    <row r="387" spans="4:70">
      <c r="D387" s="26"/>
      <c r="E387" s="21"/>
      <c r="BO387" s="29"/>
      <c r="BR387" s="29"/>
    </row>
    <row r="388" spans="4:70">
      <c r="D388" s="26"/>
      <c r="E388" s="21"/>
      <c r="BO388" s="29"/>
      <c r="BR388" s="29"/>
    </row>
    <row r="389" spans="4:70">
      <c r="D389" s="26"/>
      <c r="E389" s="21"/>
      <c r="BO389" s="29"/>
      <c r="BR389" s="29"/>
    </row>
    <row r="390" spans="4:70">
      <c r="D390" s="26"/>
      <c r="E390" s="21"/>
      <c r="BO390" s="29"/>
      <c r="BR390" s="29"/>
    </row>
    <row r="391" spans="4:70">
      <c r="D391" s="26"/>
      <c r="E391" s="21"/>
      <c r="BO391" s="29"/>
      <c r="BR391" s="29"/>
    </row>
    <row r="392" spans="4:70">
      <c r="D392" s="26"/>
      <c r="E392" s="21"/>
      <c r="BO392" s="29"/>
      <c r="BR392" s="29"/>
    </row>
    <row r="393" spans="4:70">
      <c r="D393" s="26"/>
      <c r="E393" s="21"/>
      <c r="BO393" s="29"/>
      <c r="BR393" s="29"/>
    </row>
    <row r="394" spans="4:70">
      <c r="D394" s="26"/>
      <c r="E394" s="21"/>
      <c r="BO394" s="29"/>
      <c r="BR394" s="29"/>
    </row>
    <row r="395" spans="4:70">
      <c r="D395" s="26"/>
      <c r="E395" s="21"/>
      <c r="BO395" s="29"/>
      <c r="BR395" s="29"/>
    </row>
    <row r="396" spans="4:70">
      <c r="D396" s="26"/>
      <c r="E396" s="21"/>
      <c r="BO396" s="29"/>
      <c r="BR396" s="29"/>
    </row>
    <row r="397" spans="4:70">
      <c r="D397" s="26"/>
      <c r="E397" s="21"/>
      <c r="BO397" s="29"/>
      <c r="BR397" s="29"/>
    </row>
    <row r="398" spans="4:70">
      <c r="D398" s="26"/>
      <c r="E398" s="21"/>
      <c r="BO398" s="29"/>
      <c r="BR398" s="29"/>
    </row>
    <row r="399" spans="4:70">
      <c r="D399" s="26"/>
      <c r="E399" s="21"/>
      <c r="BO399" s="29"/>
      <c r="BR399" s="29"/>
    </row>
    <row r="400" spans="4:70">
      <c r="D400" s="26"/>
      <c r="E400" s="21"/>
      <c r="BO400" s="29"/>
      <c r="BR400" s="29"/>
    </row>
    <row r="401" spans="4:70">
      <c r="D401" s="26"/>
      <c r="E401" s="21"/>
      <c r="BO401" s="29"/>
      <c r="BR401" s="29"/>
    </row>
    <row r="402" spans="4:70">
      <c r="D402" s="26"/>
      <c r="E402" s="21"/>
      <c r="BR402" s="29"/>
    </row>
    <row r="403" spans="4:70">
      <c r="D403" s="26"/>
      <c r="E403" s="21"/>
      <c r="BR403" s="29"/>
    </row>
    <row r="404" spans="4:70">
      <c r="D404" s="26"/>
      <c r="E404" s="21"/>
      <c r="BO404" s="29"/>
      <c r="BR404" s="29"/>
    </row>
    <row r="405" spans="4:70">
      <c r="D405" s="26"/>
      <c r="E405" s="21"/>
      <c r="BO405" s="29"/>
      <c r="BR405" s="29"/>
    </row>
    <row r="406" spans="4:70">
      <c r="D406" s="26"/>
      <c r="E406" s="21"/>
      <c r="BR406" s="29"/>
    </row>
    <row r="407" spans="4:70">
      <c r="D407" s="26"/>
      <c r="E407" s="21"/>
      <c r="BR407" s="29"/>
    </row>
    <row r="408" spans="4:70">
      <c r="D408" s="26"/>
      <c r="E408" s="21"/>
      <c r="BO408" s="29"/>
      <c r="BR408" s="29"/>
    </row>
    <row r="409" spans="4:70">
      <c r="D409" s="26"/>
      <c r="E409" s="21"/>
      <c r="BO409" s="29"/>
      <c r="BR409" s="29"/>
    </row>
    <row r="410" spans="4:70">
      <c r="D410" s="26"/>
      <c r="E410" s="21"/>
      <c r="BO410" s="29"/>
      <c r="BR410" s="29"/>
    </row>
    <row r="411" spans="4:70">
      <c r="D411" s="26"/>
      <c r="E411" s="21"/>
      <c r="BO411" s="29"/>
      <c r="BR411" s="29"/>
    </row>
    <row r="412" spans="4:70">
      <c r="D412" s="26"/>
      <c r="E412" s="21"/>
      <c r="BO412" s="29"/>
      <c r="BR412" s="29"/>
    </row>
    <row r="413" spans="4:70">
      <c r="D413" s="26"/>
      <c r="E413" s="21"/>
      <c r="BO413" s="29"/>
      <c r="BR413" s="29"/>
    </row>
    <row r="414" spans="4:70">
      <c r="D414" s="26"/>
      <c r="E414" s="21"/>
      <c r="BO414" s="29"/>
      <c r="BR414" s="29"/>
    </row>
    <row r="415" spans="4:70">
      <c r="D415" s="26"/>
      <c r="E415" s="21"/>
      <c r="BO415" s="29"/>
      <c r="BR415" s="29"/>
    </row>
    <row r="416" spans="4:70">
      <c r="D416" s="26"/>
      <c r="E416" s="21"/>
      <c r="BO416" s="29"/>
      <c r="BR416" s="29"/>
    </row>
    <row r="417" spans="4:70">
      <c r="D417" s="26"/>
      <c r="E417" s="21"/>
      <c r="BO417" s="29"/>
      <c r="BR417" s="29"/>
    </row>
    <row r="418" spans="4:70">
      <c r="D418" s="26"/>
      <c r="E418" s="21"/>
      <c r="BO418" s="29"/>
      <c r="BR418" s="29"/>
    </row>
    <row r="419" spans="4:70">
      <c r="D419" s="26"/>
      <c r="E419" s="21"/>
      <c r="BO419" s="29"/>
      <c r="BR419" s="29"/>
    </row>
    <row r="420" spans="4:70">
      <c r="D420" s="26"/>
      <c r="E420" s="21"/>
      <c r="BO420" s="29"/>
      <c r="BR420" s="29"/>
    </row>
    <row r="421" spans="4:70">
      <c r="D421" s="26"/>
      <c r="E421" s="21"/>
      <c r="BO421" s="29"/>
      <c r="BR421" s="29"/>
    </row>
    <row r="422" spans="4:70">
      <c r="D422" s="26"/>
      <c r="E422" s="21"/>
      <c r="BO422" s="29"/>
      <c r="BR422" s="29"/>
    </row>
    <row r="423" spans="4:70">
      <c r="D423" s="26"/>
      <c r="E423" s="21"/>
      <c r="BO423" s="29"/>
      <c r="BR423" s="29"/>
    </row>
    <row r="424" spans="4:70">
      <c r="D424" s="26"/>
      <c r="E424" s="21"/>
      <c r="BO424" s="29"/>
      <c r="BR424" s="29"/>
    </row>
    <row r="425" spans="4:5">
      <c r="D425" s="26"/>
      <c r="E425" s="21"/>
    </row>
    <row r="426" spans="4:5">
      <c r="D426" s="26"/>
      <c r="E426" s="21"/>
    </row>
    <row r="427" spans="4:5">
      <c r="D427" s="26"/>
      <c r="E427" s="21"/>
    </row>
    <row r="428" spans="4:5">
      <c r="D428" s="26"/>
      <c r="E428" s="21"/>
    </row>
    <row r="429" spans="4:5">
      <c r="D429" s="26"/>
      <c r="E429" s="21"/>
    </row>
    <row r="430" spans="4:5">
      <c r="D430" s="26"/>
      <c r="E430" s="21"/>
    </row>
    <row r="431" spans="4:5">
      <c r="D431" s="26"/>
      <c r="E431" s="21"/>
    </row>
    <row r="432" spans="4:5">
      <c r="D432" s="26"/>
      <c r="E432" s="21"/>
    </row>
    <row r="433" spans="4:5">
      <c r="D433" s="26"/>
      <c r="E433" s="21"/>
    </row>
    <row r="434" spans="4:5">
      <c r="D434" s="26"/>
      <c r="E434" s="21"/>
    </row>
    <row r="435" spans="4:5">
      <c r="D435" s="26"/>
      <c r="E435" s="21"/>
    </row>
    <row r="436" spans="4:5">
      <c r="D436" s="26"/>
      <c r="E436" s="21"/>
    </row>
    <row r="437" spans="4:5">
      <c r="D437" s="26"/>
      <c r="E437" s="21"/>
    </row>
    <row r="438" spans="4:5">
      <c r="D438" s="26"/>
      <c r="E438" s="21"/>
    </row>
    <row r="439" spans="4:5">
      <c r="D439" s="26"/>
      <c r="E439" s="21"/>
    </row>
    <row r="440" spans="4:5">
      <c r="D440" s="26"/>
      <c r="E440" s="21"/>
    </row>
    <row r="441" spans="4:5">
      <c r="D441" s="26"/>
      <c r="E441" s="21"/>
    </row>
    <row r="442" spans="4:5">
      <c r="D442" s="26"/>
      <c r="E442" s="21"/>
    </row>
    <row r="443" spans="4:5">
      <c r="D443" s="26"/>
      <c r="E443" s="21"/>
    </row>
    <row r="444" spans="4:5">
      <c r="D444" s="26"/>
      <c r="E444" s="21"/>
    </row>
    <row r="445" spans="4:5">
      <c r="D445" s="26"/>
      <c r="E445" s="21"/>
    </row>
    <row r="446" spans="4:5">
      <c r="D446" s="26"/>
      <c r="E446" s="21"/>
    </row>
    <row r="447" spans="4:5">
      <c r="D447" s="26"/>
      <c r="E447" s="21"/>
    </row>
    <row r="448" spans="4:5">
      <c r="D448" s="26"/>
      <c r="E448" s="21"/>
    </row>
    <row r="449" spans="4:5">
      <c r="D449" s="26"/>
      <c r="E449" s="21"/>
    </row>
    <row r="450" spans="4:5">
      <c r="D450" s="26"/>
      <c r="E450" s="21"/>
    </row>
    <row r="451" spans="4:5">
      <c r="D451" s="26"/>
      <c r="E451" s="21"/>
    </row>
    <row r="452" spans="4:5">
      <c r="D452" s="26"/>
      <c r="E452" s="21"/>
    </row>
    <row r="453" spans="4:5">
      <c r="D453" s="26"/>
      <c r="E453" s="21"/>
    </row>
    <row r="454" spans="4:5">
      <c r="D454" s="26"/>
      <c r="E454" s="21"/>
    </row>
    <row r="455" spans="4:5">
      <c r="D455" s="26"/>
      <c r="E455" s="21"/>
    </row>
    <row r="456" spans="4:5">
      <c r="D456" s="26"/>
      <c r="E456" s="21"/>
    </row>
    <row r="457" spans="4:5">
      <c r="D457" s="26"/>
      <c r="E457" s="21"/>
    </row>
    <row r="458" spans="4:5">
      <c r="D458" s="26"/>
      <c r="E458" s="21"/>
    </row>
    <row r="459" spans="4:5">
      <c r="D459" s="26"/>
      <c r="E459" s="21"/>
    </row>
    <row r="460" spans="4:5">
      <c r="D460" s="26"/>
      <c r="E460" s="21"/>
    </row>
    <row r="461" spans="4:5">
      <c r="D461" s="26"/>
      <c r="E461" s="21"/>
    </row>
    <row r="462" spans="4:5">
      <c r="D462" s="26"/>
      <c r="E462" s="21"/>
    </row>
    <row r="463" spans="4:5">
      <c r="D463" s="26"/>
      <c r="E463" s="21"/>
    </row>
    <row r="464" spans="4:5">
      <c r="D464" s="26"/>
      <c r="E464" s="21"/>
    </row>
    <row r="465" spans="4:5">
      <c r="D465" s="26"/>
      <c r="E465" s="21"/>
    </row>
    <row r="466" spans="4:5">
      <c r="D466" s="26"/>
      <c r="E466" s="21"/>
    </row>
    <row r="467" spans="4:5">
      <c r="D467" s="26"/>
      <c r="E467" s="21"/>
    </row>
    <row r="468" spans="4:5">
      <c r="D468" s="26"/>
      <c r="E468" s="21"/>
    </row>
    <row r="469" spans="4:5">
      <c r="D469" s="26"/>
      <c r="E469" s="21"/>
    </row>
    <row r="470" spans="4:5">
      <c r="D470" s="26"/>
      <c r="E470" s="21"/>
    </row>
    <row r="471" spans="4:5">
      <c r="D471" s="26"/>
      <c r="E471" s="21"/>
    </row>
    <row r="472" spans="4:5">
      <c r="D472" s="26"/>
      <c r="E472" s="21"/>
    </row>
    <row r="473" spans="4:5">
      <c r="D473" s="26"/>
      <c r="E473" s="21"/>
    </row>
    <row r="474" spans="4:5">
      <c r="D474" s="26"/>
      <c r="E474" s="21"/>
    </row>
    <row r="475" spans="4:5">
      <c r="D475" s="26"/>
      <c r="E475" s="21"/>
    </row>
    <row r="476" spans="4:5">
      <c r="D476" s="26"/>
      <c r="E476" s="21"/>
    </row>
    <row r="477" spans="4:5">
      <c r="D477" s="26"/>
      <c r="E477" s="21"/>
    </row>
    <row r="478" spans="4:5">
      <c r="D478" s="26"/>
      <c r="E478" s="21"/>
    </row>
    <row r="479" spans="4:5">
      <c r="D479" s="26"/>
      <c r="E479" s="21"/>
    </row>
    <row r="480" spans="4:5">
      <c r="D480" s="26"/>
      <c r="E480" s="21"/>
    </row>
    <row r="481" spans="4:5">
      <c r="D481" s="26"/>
      <c r="E481" s="21"/>
    </row>
    <row r="482" spans="4:5">
      <c r="D482" s="26"/>
      <c r="E482" s="21"/>
    </row>
    <row r="483" spans="4:5">
      <c r="D483" s="26"/>
      <c r="E483" s="21"/>
    </row>
    <row r="484" spans="4:5">
      <c r="D484" s="26"/>
      <c r="E484" s="21"/>
    </row>
    <row r="485" spans="4:5">
      <c r="D485" s="26"/>
      <c r="E485" s="21"/>
    </row>
    <row r="486" spans="4:5">
      <c r="D486" s="26"/>
      <c r="E486" s="21"/>
    </row>
    <row r="487" spans="4:5">
      <c r="D487" s="26"/>
      <c r="E487" s="21"/>
    </row>
    <row r="488" spans="4:5">
      <c r="D488" s="26"/>
      <c r="E488" s="21"/>
    </row>
    <row r="489" spans="4:5">
      <c r="D489" s="26"/>
      <c r="E489" s="21"/>
    </row>
    <row r="490" spans="4:5">
      <c r="D490" s="26"/>
      <c r="E490" s="21"/>
    </row>
    <row r="491" spans="4:5">
      <c r="D491" s="26"/>
      <c r="E491" s="21"/>
    </row>
    <row r="492" spans="4:5">
      <c r="D492" s="26"/>
      <c r="E492" s="21"/>
    </row>
    <row r="493" spans="4:5">
      <c r="D493" s="26"/>
      <c r="E493" s="21"/>
    </row>
    <row r="494" spans="4:5">
      <c r="D494" s="26"/>
      <c r="E494" s="21"/>
    </row>
    <row r="495" spans="4:5">
      <c r="D495" s="26"/>
      <c r="E495" s="21"/>
    </row>
    <row r="496" spans="4:5">
      <c r="D496" s="26"/>
      <c r="E496" s="21"/>
    </row>
    <row r="497" spans="4:5">
      <c r="D497" s="26"/>
      <c r="E497" s="21"/>
    </row>
    <row r="498" spans="4:5">
      <c r="D498" s="26"/>
      <c r="E498" s="21"/>
    </row>
    <row r="499" spans="4:5">
      <c r="D499" s="26"/>
      <c r="E499" s="21"/>
    </row>
    <row r="500" spans="4:5">
      <c r="D500" s="26"/>
      <c r="E500" s="21"/>
    </row>
    <row r="501" spans="4:5">
      <c r="D501" s="26"/>
      <c r="E501" s="21"/>
    </row>
    <row r="502" spans="4:5">
      <c r="D502" s="26"/>
      <c r="E502" s="21"/>
    </row>
    <row r="503" spans="4:5">
      <c r="D503" s="26"/>
      <c r="E503" s="21"/>
    </row>
    <row r="504" spans="4:5">
      <c r="D504" s="26"/>
      <c r="E504" s="21"/>
    </row>
    <row r="572" spans="4:5">
      <c r="D572" s="26"/>
      <c r="E572" s="21"/>
    </row>
    <row r="573" spans="4:5">
      <c r="D573" s="26"/>
      <c r="E573" s="21"/>
    </row>
    <row r="574" spans="4:5">
      <c r="D574" s="26"/>
      <c r="E574" s="21"/>
    </row>
    <row r="575" spans="4:5">
      <c r="D575" s="26"/>
      <c r="E575" s="21"/>
    </row>
    <row r="576" spans="4:5">
      <c r="D576" s="26"/>
      <c r="E576" s="21"/>
    </row>
    <row r="577" spans="4:5">
      <c r="D577" s="26"/>
      <c r="E577" s="21"/>
    </row>
    <row r="578" spans="4:5">
      <c r="D578" s="26"/>
      <c r="E578" s="21"/>
    </row>
    <row r="579" spans="4:5">
      <c r="D579" s="26"/>
      <c r="E579" s="21"/>
    </row>
    <row r="580" spans="4:5">
      <c r="D580" s="26"/>
      <c r="E580" s="21"/>
    </row>
    <row r="581" spans="4:5">
      <c r="D581" s="26"/>
      <c r="E581" s="21"/>
    </row>
    <row r="582" spans="4:5">
      <c r="D582" s="26"/>
      <c r="E582" s="21"/>
    </row>
    <row r="583" spans="4:5">
      <c r="D583" s="26"/>
      <c r="E583" s="21"/>
    </row>
    <row r="584" spans="4:5">
      <c r="D584" s="26"/>
      <c r="E584" s="21"/>
    </row>
    <row r="585" spans="4:5">
      <c r="D585" s="26"/>
      <c r="E585" s="21"/>
    </row>
    <row r="586" spans="4:5">
      <c r="D586" s="26"/>
      <c r="E586" s="21"/>
    </row>
    <row r="587" spans="4:5">
      <c r="D587" s="26"/>
      <c r="E587" s="21"/>
    </row>
    <row r="588" spans="4:5">
      <c r="D588" s="26"/>
      <c r="E588" s="21"/>
    </row>
    <row r="589" spans="4:5">
      <c r="D589" s="26"/>
      <c r="E589" s="21"/>
    </row>
    <row r="590" spans="4:5">
      <c r="D590" s="26"/>
      <c r="E590" s="21"/>
    </row>
    <row r="591" spans="4:5">
      <c r="D591" s="26"/>
      <c r="E591" s="21"/>
    </row>
    <row r="592" spans="4:5">
      <c r="D592" s="26"/>
      <c r="E592" s="21"/>
    </row>
    <row r="593" spans="4:5">
      <c r="D593" s="26"/>
      <c r="E593" s="21"/>
    </row>
    <row r="594" spans="4:5">
      <c r="D594" s="26"/>
      <c r="E594" s="21"/>
    </row>
    <row r="595" spans="4:5">
      <c r="D595" s="26"/>
      <c r="E595" s="21"/>
    </row>
    <row r="596" spans="4:5">
      <c r="D596" s="26"/>
      <c r="E596" s="21"/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Z122"/>
  <sheetViews>
    <sheetView tabSelected="1" workbookViewId="0">
      <pane xSplit="1" ySplit="3" topLeftCell="CN72" activePane="bottomRight" state="frozen"/>
      <selection/>
      <selection pane="topRight"/>
      <selection pane="bottomLeft"/>
      <selection pane="bottomRight" activeCell="CY81" sqref="CY81"/>
    </sheetView>
  </sheetViews>
  <sheetFormatPr defaultColWidth="9" defaultRowHeight="14.4"/>
  <cols>
    <col min="1" max="1" width="21.0833333333333" customWidth="1"/>
    <col min="2" max="2" width="15.5833333333333" customWidth="1"/>
    <col min="3" max="3" width="7.75" customWidth="1"/>
    <col min="4" max="4" width="16.5833333333333" customWidth="1"/>
    <col min="5" max="5" width="16.8333333333333" customWidth="1"/>
    <col min="6" max="6" width="31.3333333333333" customWidth="1"/>
    <col min="7" max="7" width="7.33333333333333" customWidth="1"/>
    <col min="8" max="8" width="17.8333333333333" customWidth="1"/>
    <col min="9" max="9" width="7.33333333333333" customWidth="1"/>
    <col min="10" max="10" width="15.75" customWidth="1"/>
    <col min="11" max="13" width="8.33333333333333" style="3" customWidth="1"/>
    <col min="14" max="14" width="11.75" style="3" customWidth="1"/>
    <col min="15" max="15" width="13.0833333333333" style="3" customWidth="1"/>
    <col min="16" max="16" width="11.5833333333333" style="3" customWidth="1"/>
    <col min="17" max="17" width="21.5" style="3" customWidth="1"/>
    <col min="18" max="18" width="19.8333333333333" style="3" customWidth="1"/>
    <col min="19" max="19" width="16.5833333333333" style="3" customWidth="1"/>
    <col min="20" max="20" width="19.0833333333333" style="3" customWidth="1"/>
    <col min="21" max="21" width="18.3333333333333" style="3" customWidth="1"/>
    <col min="22" max="22" width="17.75" style="3" customWidth="1"/>
    <col min="23" max="23" width="8.33333333333333" style="3" customWidth="1"/>
    <col min="24" max="24" width="18.5" style="3" customWidth="1"/>
    <col min="25" max="25" width="16.5833333333333" customWidth="1"/>
    <col min="26" max="26" width="10.6666666666667" customWidth="1"/>
    <col min="27" max="27" width="8.33333333333333" customWidth="1"/>
    <col min="28" max="28" width="15.1666666666667" customWidth="1"/>
    <col min="29" max="30" width="8.58333333333333" customWidth="1"/>
    <col min="31" max="31" width="13.4166666666667" customWidth="1"/>
    <col min="32" max="32" width="13.75" customWidth="1"/>
    <col min="33" max="33" width="14.5833333333333" customWidth="1"/>
    <col min="34" max="34" width="17.4166666666667" customWidth="1"/>
    <col min="35" max="35" width="8.58333333333333" customWidth="1"/>
    <col min="36" max="36" width="12.5" customWidth="1"/>
    <col min="37" max="37" width="8.58333333333333" customWidth="1"/>
    <col min="38" max="39" width="8.33333333333333" customWidth="1"/>
    <col min="40" max="40" width="15" customWidth="1"/>
    <col min="41" max="41" width="13.25" customWidth="1"/>
    <col min="42" max="43" width="11.8333333333333" customWidth="1"/>
    <col min="44" max="44" width="18.4166666666667" customWidth="1"/>
    <col min="45" max="45" width="12.25" customWidth="1"/>
    <col min="46" max="46" width="11.9166666666667" customWidth="1"/>
    <col min="47" max="47" width="19.5833333333333" customWidth="1"/>
    <col min="48" max="48" width="12.6666666666667" customWidth="1"/>
    <col min="50" max="50" width="7" customWidth="1"/>
    <col min="51" max="51" width="11.75" customWidth="1"/>
    <col min="52" max="52" width="19.75" customWidth="1"/>
    <col min="53" max="53" width="5.08333333333333" customWidth="1"/>
    <col min="54" max="54" width="8.5" customWidth="1"/>
    <col min="55" max="55" width="13.5" customWidth="1"/>
    <col min="56" max="56" width="14.6666666666667" customWidth="1"/>
    <col min="57" max="57" width="10.1666666666667" customWidth="1"/>
    <col min="58" max="58" width="8.25" customWidth="1"/>
    <col min="59" max="65" width="8.33333333333333" customWidth="1"/>
    <col min="66" max="68" width="11.25" customWidth="1"/>
    <col min="69" max="69" width="6.58333333333333" customWidth="1"/>
    <col min="70" max="71" width="8" customWidth="1"/>
    <col min="72" max="72" width="7.33333333333333" style="4" customWidth="1"/>
    <col min="73" max="74" width="8.5" style="4" customWidth="1"/>
    <col min="75" max="76" width="7.83333333333333" style="4" customWidth="1"/>
    <col min="77" max="77" width="22.1666666666667" style="4" customWidth="1"/>
    <col min="78" max="78" width="35" customWidth="1"/>
    <col min="79" max="79" width="20.6666666666667" customWidth="1"/>
    <col min="80" max="80" width="15.75" customWidth="1"/>
    <col min="81" max="81" width="15.5833333333333" customWidth="1"/>
    <col min="82" max="82" width="12.8333333333333" customWidth="1"/>
    <col min="83" max="83" width="16.1666666666667" customWidth="1"/>
    <col min="85" max="85" width="16" customWidth="1"/>
    <col min="86" max="87" width="12.8333333333333" customWidth="1"/>
    <col min="88" max="88" width="23.5833333333333" customWidth="1"/>
    <col min="89" max="89" width="12.8333333333333" customWidth="1"/>
    <col min="90" max="90" width="17.0833333333333" customWidth="1"/>
    <col min="91" max="91" width="9.5"/>
    <col min="97" max="97" width="14" customWidth="1"/>
    <col min="98" max="98" width="8" customWidth="1"/>
    <col min="100" max="100" width="11.0833333333333" customWidth="1"/>
    <col min="101" max="101" width="13.75" customWidth="1"/>
    <col min="102" max="102" width="9.5"/>
    <col min="105" max="106" width="9.5"/>
    <col min="108" max="108" width="15.5" customWidth="1"/>
    <col min="110" max="111" width="9.5"/>
    <col min="112" max="112" width="9" hidden="1" customWidth="1"/>
    <col min="117" max="117" width="9.5"/>
  </cols>
  <sheetData>
    <row r="1" spans="2:111">
      <c r="B1" t="s">
        <v>267</v>
      </c>
      <c r="D1" t="s">
        <v>268</v>
      </c>
      <c r="E1" t="s">
        <v>269</v>
      </c>
      <c r="F1" t="s">
        <v>270</v>
      </c>
      <c r="G1" t="s">
        <v>271</v>
      </c>
      <c r="H1" t="s">
        <v>272</v>
      </c>
      <c r="I1" t="s">
        <v>273</v>
      </c>
      <c r="J1" t="s">
        <v>274</v>
      </c>
      <c r="K1" s="3" t="s">
        <v>275</v>
      </c>
      <c r="L1" s="3" t="s">
        <v>276</v>
      </c>
      <c r="M1" s="3" t="s">
        <v>277</v>
      </c>
      <c r="N1" s="3" t="s">
        <v>278</v>
      </c>
      <c r="O1" s="3" t="s">
        <v>279</v>
      </c>
      <c r="P1" s="3" t="s">
        <v>280</v>
      </c>
      <c r="Q1" s="3" t="s">
        <v>281</v>
      </c>
      <c r="R1" s="3" t="s">
        <v>282</v>
      </c>
      <c r="S1" s="3" t="s">
        <v>283</v>
      </c>
      <c r="T1" s="3" t="s">
        <v>284</v>
      </c>
      <c r="U1" s="3" t="s">
        <v>285</v>
      </c>
      <c r="V1" s="3" t="s">
        <v>286</v>
      </c>
      <c r="W1" s="3" t="s">
        <v>287</v>
      </c>
      <c r="X1" s="3" t="s">
        <v>288</v>
      </c>
      <c r="Y1" t="s">
        <v>289</v>
      </c>
      <c r="Z1" t="s">
        <v>290</v>
      </c>
      <c r="AA1" s="3" t="s">
        <v>291</v>
      </c>
      <c r="AB1" t="s">
        <v>292</v>
      </c>
      <c r="AC1" t="s">
        <v>293</v>
      </c>
      <c r="AD1" t="s">
        <v>294</v>
      </c>
      <c r="AE1" t="s">
        <v>295</v>
      </c>
      <c r="AF1" t="s">
        <v>296</v>
      </c>
      <c r="AG1" t="s">
        <v>297</v>
      </c>
      <c r="AH1" t="s">
        <v>298</v>
      </c>
      <c r="AI1" t="s">
        <v>299</v>
      </c>
      <c r="AJ1" t="s">
        <v>300</v>
      </c>
      <c r="AK1" t="s">
        <v>301</v>
      </c>
      <c r="AL1" t="s">
        <v>302</v>
      </c>
      <c r="AM1" t="s">
        <v>303</v>
      </c>
      <c r="AN1" t="s">
        <v>304</v>
      </c>
      <c r="AO1" t="s">
        <v>305</v>
      </c>
      <c r="AP1" t="s">
        <v>306</v>
      </c>
      <c r="AQ1" t="s">
        <v>307</v>
      </c>
      <c r="AR1" t="s">
        <v>308</v>
      </c>
      <c r="AS1" t="s">
        <v>309</v>
      </c>
      <c r="AT1" t="s">
        <v>310</v>
      </c>
      <c r="AU1" t="s">
        <v>311</v>
      </c>
      <c r="AV1" t="s">
        <v>312</v>
      </c>
      <c r="AW1" t="s">
        <v>313</v>
      </c>
      <c r="AX1" t="s">
        <v>314</v>
      </c>
      <c r="AY1" t="s">
        <v>315</v>
      </c>
      <c r="AZ1" t="s">
        <v>316</v>
      </c>
      <c r="BA1" t="s">
        <v>317</v>
      </c>
      <c r="BB1" t="s">
        <v>318</v>
      </c>
      <c r="BC1" t="s">
        <v>319</v>
      </c>
      <c r="BD1" t="s">
        <v>320</v>
      </c>
      <c r="BE1" t="s">
        <v>321</v>
      </c>
      <c r="BF1" t="s">
        <v>322</v>
      </c>
      <c r="BH1" t="s">
        <v>322</v>
      </c>
      <c r="BI1" t="s">
        <v>323</v>
      </c>
      <c r="BJ1" t="s">
        <v>324</v>
      </c>
      <c r="BK1" t="s">
        <v>325</v>
      </c>
      <c r="BL1" t="s">
        <v>326</v>
      </c>
      <c r="BM1" t="s">
        <v>327</v>
      </c>
      <c r="BN1" t="s">
        <v>328</v>
      </c>
      <c r="BO1" t="s">
        <v>329</v>
      </c>
      <c r="BP1" t="s">
        <v>330</v>
      </c>
      <c r="BQ1" t="s">
        <v>331</v>
      </c>
      <c r="BR1" t="s">
        <v>332</v>
      </c>
      <c r="BS1" t="s">
        <v>333</v>
      </c>
      <c r="BT1" s="4" t="s">
        <v>334</v>
      </c>
      <c r="BU1" s="4" t="s">
        <v>335</v>
      </c>
      <c r="BV1" s="4" t="s">
        <v>336</v>
      </c>
      <c r="BW1" s="4" t="s">
        <v>337</v>
      </c>
      <c r="BX1" s="4" t="s">
        <v>338</v>
      </c>
      <c r="BY1" s="4" t="s">
        <v>339</v>
      </c>
      <c r="BZ1" t="s">
        <v>340</v>
      </c>
      <c r="CA1" s="4" t="s">
        <v>341</v>
      </c>
      <c r="CB1" t="s">
        <v>342</v>
      </c>
      <c r="CC1" t="s">
        <v>343</v>
      </c>
      <c r="CD1" t="s">
        <v>344</v>
      </c>
      <c r="CE1" t="s">
        <v>345</v>
      </c>
      <c r="CF1" t="s">
        <v>346</v>
      </c>
      <c r="CG1" t="s">
        <v>347</v>
      </c>
      <c r="CH1" t="s">
        <v>348</v>
      </c>
      <c r="CI1" t="s">
        <v>349</v>
      </c>
      <c r="CJ1" t="s">
        <v>350</v>
      </c>
      <c r="CK1" t="s">
        <v>351</v>
      </c>
      <c r="CL1" t="s">
        <v>352</v>
      </c>
      <c r="CM1" t="s">
        <v>353</v>
      </c>
      <c r="CN1" t="s">
        <v>354</v>
      </c>
      <c r="CO1" t="s">
        <v>355</v>
      </c>
      <c r="CP1" t="s">
        <v>332</v>
      </c>
      <c r="CQ1" t="s">
        <v>356</v>
      </c>
      <c r="CR1" t="s">
        <v>357</v>
      </c>
      <c r="CS1" t="s">
        <v>358</v>
      </c>
      <c r="CT1" t="s">
        <v>359</v>
      </c>
      <c r="CU1" t="s">
        <v>360</v>
      </c>
      <c r="CV1" t="s">
        <v>361</v>
      </c>
      <c r="CW1" t="s">
        <v>362</v>
      </c>
      <c r="CX1" t="s">
        <v>361</v>
      </c>
      <c r="CY1" t="s">
        <v>363</v>
      </c>
      <c r="CZ1" t="s">
        <v>364</v>
      </c>
      <c r="DA1" t="s">
        <v>365</v>
      </c>
      <c r="DB1" t="s">
        <v>366</v>
      </c>
      <c r="DC1" t="s">
        <v>367</v>
      </c>
      <c r="DD1" t="s">
        <v>368</v>
      </c>
      <c r="DE1" t="s">
        <v>369</v>
      </c>
      <c r="DF1" t="s">
        <v>370</v>
      </c>
      <c r="DG1" t="s">
        <v>371</v>
      </c>
    </row>
    <row r="2" spans="1:111">
      <c r="A2" t="s">
        <v>0</v>
      </c>
      <c r="C2" t="s">
        <v>64</v>
      </c>
      <c r="D2" t="s">
        <v>93</v>
      </c>
      <c r="E2" t="s">
        <v>372</v>
      </c>
      <c r="F2" t="s">
        <v>373</v>
      </c>
      <c r="G2" t="s">
        <v>69</v>
      </c>
      <c r="H2" t="s">
        <v>374</v>
      </c>
      <c r="I2" t="s">
        <v>375</v>
      </c>
      <c r="J2" t="s">
        <v>376</v>
      </c>
      <c r="K2" s="3" t="s">
        <v>377</v>
      </c>
      <c r="L2" s="3" t="s">
        <v>378</v>
      </c>
      <c r="M2" s="3" t="s">
        <v>379</v>
      </c>
      <c r="N2" s="3" t="s">
        <v>380</v>
      </c>
      <c r="O2" s="3" t="s">
        <v>381</v>
      </c>
      <c r="P2" s="3" t="s">
        <v>382</v>
      </c>
      <c r="Q2" s="3" t="s">
        <v>383</v>
      </c>
      <c r="R2" s="3" t="s">
        <v>384</v>
      </c>
      <c r="S2" s="3" t="s">
        <v>385</v>
      </c>
      <c r="T2" s="3" t="s">
        <v>386</v>
      </c>
      <c r="U2" s="3" t="s">
        <v>387</v>
      </c>
      <c r="V2" s="3" t="s">
        <v>388</v>
      </c>
      <c r="W2" s="3" t="s">
        <v>389</v>
      </c>
      <c r="X2" s="3" t="s">
        <v>390</v>
      </c>
      <c r="Y2" t="s">
        <v>391</v>
      </c>
      <c r="Z2" t="s">
        <v>392</v>
      </c>
      <c r="AA2" s="3" t="s">
        <v>393</v>
      </c>
      <c r="AB2" t="s">
        <v>394</v>
      </c>
      <c r="AC2" t="s">
        <v>395</v>
      </c>
      <c r="AD2" t="s">
        <v>396</v>
      </c>
      <c r="AE2" t="s">
        <v>397</v>
      </c>
      <c r="AF2" t="s">
        <v>398</v>
      </c>
      <c r="AG2" t="s">
        <v>399</v>
      </c>
      <c r="AH2" t="s">
        <v>400</v>
      </c>
      <c r="AI2" t="s">
        <v>401</v>
      </c>
      <c r="AJ2" t="s">
        <v>402</v>
      </c>
      <c r="AK2" t="s">
        <v>403</v>
      </c>
      <c r="AL2" t="s">
        <v>404</v>
      </c>
      <c r="AM2" t="s">
        <v>405</v>
      </c>
      <c r="AN2" t="s">
        <v>406</v>
      </c>
      <c r="AO2" t="s">
        <v>407</v>
      </c>
      <c r="AP2" t="s">
        <v>408</v>
      </c>
      <c r="AQ2" t="s">
        <v>409</v>
      </c>
      <c r="AR2" t="s">
        <v>410</v>
      </c>
      <c r="AS2" t="s">
        <v>411</v>
      </c>
      <c r="AT2" t="s">
        <v>412</v>
      </c>
      <c r="AU2" t="s">
        <v>413</v>
      </c>
      <c r="AV2" t="s">
        <v>414</v>
      </c>
      <c r="AW2" t="s">
        <v>415</v>
      </c>
      <c r="AX2" t="s">
        <v>416</v>
      </c>
      <c r="AY2" t="s">
        <v>417</v>
      </c>
      <c r="AZ2" t="s">
        <v>418</v>
      </c>
      <c r="BA2" t="s">
        <v>419</v>
      </c>
      <c r="BB2" t="s">
        <v>420</v>
      </c>
      <c r="BC2" t="s">
        <v>421</v>
      </c>
      <c r="BD2" t="s">
        <v>422</v>
      </c>
      <c r="BE2" t="s">
        <v>423</v>
      </c>
      <c r="BF2" t="s">
        <v>424</v>
      </c>
      <c r="BG2" t="s">
        <v>425</v>
      </c>
      <c r="BH2" t="s">
        <v>426</v>
      </c>
      <c r="BI2" t="s">
        <v>427</v>
      </c>
      <c r="BJ2" t="s">
        <v>428</v>
      </c>
      <c r="BK2" t="s">
        <v>429</v>
      </c>
      <c r="BL2" t="s">
        <v>430</v>
      </c>
      <c r="BM2" t="s">
        <v>95</v>
      </c>
      <c r="BN2" t="s">
        <v>431</v>
      </c>
      <c r="BO2" t="s">
        <v>432</v>
      </c>
      <c r="BP2" t="s">
        <v>433</v>
      </c>
      <c r="BQ2" t="s">
        <v>434</v>
      </c>
      <c r="BR2" t="s">
        <v>435</v>
      </c>
      <c r="BS2" t="s">
        <v>111</v>
      </c>
      <c r="BT2" s="4" t="s">
        <v>436</v>
      </c>
      <c r="BU2" s="4" t="s">
        <v>437</v>
      </c>
      <c r="BV2" s="4" t="s">
        <v>438</v>
      </c>
      <c r="BW2" s="4" t="s">
        <v>439</v>
      </c>
      <c r="BX2" s="4" t="s">
        <v>440</v>
      </c>
      <c r="BY2" s="4" t="s">
        <v>441</v>
      </c>
      <c r="BZ2" t="s">
        <v>442</v>
      </c>
      <c r="CA2" t="s">
        <v>443</v>
      </c>
      <c r="CB2" t="s">
        <v>444</v>
      </c>
      <c r="CC2" t="s">
        <v>445</v>
      </c>
      <c r="CD2" t="s">
        <v>446</v>
      </c>
      <c r="CE2" t="s">
        <v>447</v>
      </c>
      <c r="CF2" t="s">
        <v>448</v>
      </c>
      <c r="CG2" t="s">
        <v>449</v>
      </c>
      <c r="CH2" t="s">
        <v>450</v>
      </c>
      <c r="CI2" t="s">
        <v>451</v>
      </c>
      <c r="CJ2" t="s">
        <v>452</v>
      </c>
      <c r="CK2" t="s">
        <v>453</v>
      </c>
      <c r="CL2" t="s">
        <v>454</v>
      </c>
      <c r="CM2" t="s">
        <v>455</v>
      </c>
      <c r="CN2" t="s">
        <v>456</v>
      </c>
      <c r="CO2" t="s">
        <v>457</v>
      </c>
      <c r="CP2" t="s">
        <v>458</v>
      </c>
      <c r="CQ2" t="s">
        <v>459</v>
      </c>
      <c r="CR2" t="s">
        <v>460</v>
      </c>
      <c r="CS2" t="s">
        <v>461</v>
      </c>
      <c r="CT2" t="s">
        <v>462</v>
      </c>
      <c r="CU2" t="s">
        <v>463</v>
      </c>
      <c r="CV2" t="s">
        <v>464</v>
      </c>
      <c r="CW2" t="s">
        <v>465</v>
      </c>
      <c r="CX2" t="s">
        <v>466</v>
      </c>
      <c r="CY2" t="s">
        <v>467</v>
      </c>
      <c r="CZ2" t="s">
        <v>468</v>
      </c>
      <c r="DA2" t="s">
        <v>469</v>
      </c>
      <c r="DB2" t="s">
        <v>470</v>
      </c>
      <c r="DC2" t="s">
        <v>471</v>
      </c>
      <c r="DD2" t="s">
        <v>472</v>
      </c>
      <c r="DE2" t="s">
        <v>473</v>
      </c>
      <c r="DF2" t="s">
        <v>474</v>
      </c>
      <c r="DG2" t="s">
        <v>475</v>
      </c>
    </row>
    <row r="3" spans="1:111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134</v>
      </c>
      <c r="H3" t="s">
        <v>2</v>
      </c>
      <c r="I3" t="s">
        <v>132</v>
      </c>
      <c r="J3" t="s">
        <v>476</v>
      </c>
      <c r="K3" s="3" t="s">
        <v>477</v>
      </c>
      <c r="L3" s="3" t="s">
        <v>478</v>
      </c>
      <c r="M3" s="3" t="s">
        <v>134</v>
      </c>
      <c r="N3" s="3" t="s">
        <v>134</v>
      </c>
      <c r="O3" s="3" t="s">
        <v>136</v>
      </c>
      <c r="P3" s="3" t="s">
        <v>136</v>
      </c>
      <c r="Q3" s="3" t="s">
        <v>136</v>
      </c>
      <c r="R3" s="3" t="s">
        <v>136</v>
      </c>
      <c r="S3" s="3" t="s">
        <v>132</v>
      </c>
      <c r="T3" s="3" t="s">
        <v>133</v>
      </c>
      <c r="U3" s="3" t="s">
        <v>133</v>
      </c>
      <c r="V3" s="3" t="s">
        <v>133</v>
      </c>
      <c r="W3" s="3" t="s">
        <v>132</v>
      </c>
      <c r="X3" s="3" t="s">
        <v>132</v>
      </c>
      <c r="Y3" t="s">
        <v>132</v>
      </c>
      <c r="Z3" t="s">
        <v>132</v>
      </c>
      <c r="AA3" s="3" t="s">
        <v>133</v>
      </c>
      <c r="AB3" t="s">
        <v>132</v>
      </c>
      <c r="AC3" t="s">
        <v>134</v>
      </c>
      <c r="AD3" t="s">
        <v>132</v>
      </c>
      <c r="AE3" t="s">
        <v>132</v>
      </c>
      <c r="AF3" t="s">
        <v>132</v>
      </c>
      <c r="AG3" t="s">
        <v>479</v>
      </c>
      <c r="AH3" t="s">
        <v>132</v>
      </c>
      <c r="AI3" t="s">
        <v>138</v>
      </c>
      <c r="AJ3" t="s">
        <v>3</v>
      </c>
      <c r="AK3" t="s">
        <v>134</v>
      </c>
      <c r="AL3" t="s">
        <v>134</v>
      </c>
      <c r="AM3" t="s">
        <v>134</v>
      </c>
      <c r="AN3" t="s">
        <v>132</v>
      </c>
      <c r="AO3" t="s">
        <v>480</v>
      </c>
      <c r="AP3" t="s">
        <v>481</v>
      </c>
      <c r="AQ3" t="s">
        <v>2</v>
      </c>
      <c r="AR3" t="s">
        <v>482</v>
      </c>
      <c r="AS3" t="s">
        <v>132</v>
      </c>
      <c r="AT3" t="s">
        <v>133</v>
      </c>
      <c r="AU3" t="s">
        <v>132</v>
      </c>
      <c r="AV3" t="s">
        <v>483</v>
      </c>
      <c r="AW3" t="s">
        <v>132</v>
      </c>
      <c r="AX3" t="s">
        <v>133</v>
      </c>
      <c r="AY3" t="s">
        <v>132</v>
      </c>
      <c r="AZ3" t="s">
        <v>134</v>
      </c>
      <c r="BA3" t="s">
        <v>133</v>
      </c>
      <c r="BB3" t="s">
        <v>134</v>
      </c>
      <c r="BC3" t="s">
        <v>134</v>
      </c>
      <c r="BD3" t="s">
        <v>133</v>
      </c>
      <c r="BE3" t="s">
        <v>132</v>
      </c>
      <c r="BF3" t="s">
        <v>482</v>
      </c>
      <c r="BG3" t="s">
        <v>132</v>
      </c>
      <c r="BH3" t="s">
        <v>133</v>
      </c>
      <c r="BI3" t="s">
        <v>133</v>
      </c>
      <c r="BJ3" t="s">
        <v>133</v>
      </c>
      <c r="BK3" t="s">
        <v>134</v>
      </c>
      <c r="BL3" t="s">
        <v>134</v>
      </c>
      <c r="BM3" t="s">
        <v>135</v>
      </c>
      <c r="BN3" t="s">
        <v>135</v>
      </c>
      <c r="BO3" t="s">
        <v>484</v>
      </c>
      <c r="BP3" t="s">
        <v>485</v>
      </c>
      <c r="BQ3" t="s">
        <v>133</v>
      </c>
      <c r="BR3" t="s">
        <v>133</v>
      </c>
      <c r="BS3" t="s">
        <v>132</v>
      </c>
      <c r="BT3" s="4" t="s">
        <v>133</v>
      </c>
      <c r="BU3" s="4" t="s">
        <v>133</v>
      </c>
      <c r="BV3" s="4" t="s">
        <v>134</v>
      </c>
      <c r="BW3" s="4" t="s">
        <v>486</v>
      </c>
      <c r="BX3" s="4" t="s">
        <v>132</v>
      </c>
      <c r="BY3" s="4" t="s">
        <v>486</v>
      </c>
      <c r="BZ3" t="s">
        <v>140</v>
      </c>
      <c r="CA3" t="s">
        <v>487</v>
      </c>
      <c r="CB3" t="s">
        <v>140</v>
      </c>
      <c r="CC3" t="s">
        <v>140</v>
      </c>
      <c r="CD3" t="s">
        <v>140</v>
      </c>
      <c r="CE3" t="s">
        <v>488</v>
      </c>
      <c r="CF3" t="s">
        <v>489</v>
      </c>
      <c r="CG3" t="s">
        <v>2</v>
      </c>
      <c r="CH3" t="s">
        <v>490</v>
      </c>
      <c r="CI3" t="s">
        <v>490</v>
      </c>
      <c r="CJ3" t="s">
        <v>141</v>
      </c>
      <c r="CK3" t="s">
        <v>136</v>
      </c>
      <c r="CL3" t="s">
        <v>136</v>
      </c>
      <c r="CM3" t="s">
        <v>139</v>
      </c>
      <c r="CN3" t="s">
        <v>139</v>
      </c>
      <c r="CO3" t="s">
        <v>139</v>
      </c>
      <c r="CP3" t="s">
        <v>487</v>
      </c>
      <c r="CQ3" t="s">
        <v>139</v>
      </c>
      <c r="CR3" t="s">
        <v>132</v>
      </c>
      <c r="CS3" t="s">
        <v>141</v>
      </c>
      <c r="CT3" t="s">
        <v>491</v>
      </c>
      <c r="CU3" t="s">
        <v>492</v>
      </c>
      <c r="CV3" t="s">
        <v>492</v>
      </c>
      <c r="CW3" t="s">
        <v>491</v>
      </c>
      <c r="CX3" t="s">
        <v>491</v>
      </c>
      <c r="CY3" t="s">
        <v>491</v>
      </c>
      <c r="CZ3" t="s">
        <v>491</v>
      </c>
      <c r="DA3" t="s">
        <v>491</v>
      </c>
      <c r="DB3" t="s">
        <v>132</v>
      </c>
      <c r="DC3" t="s">
        <v>132</v>
      </c>
      <c r="DD3" t="s">
        <v>132</v>
      </c>
      <c r="DE3" t="s">
        <v>132</v>
      </c>
      <c r="DF3" t="s">
        <v>132</v>
      </c>
      <c r="DG3" t="s">
        <v>132</v>
      </c>
    </row>
    <row r="4" customFormat="1" ht="15" customHeight="1" spans="1:94">
      <c r="A4" t="s">
        <v>493</v>
      </c>
      <c r="C4" t="s">
        <v>494</v>
      </c>
      <c r="I4">
        <v>1</v>
      </c>
      <c r="K4" s="3" t="s">
        <v>495</v>
      </c>
      <c r="L4" s="3" t="s">
        <v>496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AC4">
        <v>1</v>
      </c>
      <c r="AG4" t="s">
        <v>497</v>
      </c>
      <c r="AH4">
        <v>1</v>
      </c>
      <c r="AR4" s="5"/>
      <c r="AW4" s="3"/>
      <c r="BB4">
        <v>1</v>
      </c>
      <c r="BM4" s="6"/>
      <c r="BN4" s="6"/>
      <c r="BZ4" s="3"/>
      <c r="CA4" s="3"/>
      <c r="CB4" s="3"/>
      <c r="CC4" s="3"/>
      <c r="CD4" s="3"/>
      <c r="CF4" s="3"/>
      <c r="CG4" s="3"/>
      <c r="CH4" s="3"/>
      <c r="CI4" s="3"/>
      <c r="CJ4" s="3"/>
      <c r="CK4" s="7"/>
      <c r="CL4" s="8" t="s">
        <v>498</v>
      </c>
      <c r="CM4">
        <v>-0.5</v>
      </c>
      <c r="CN4">
        <v>-1</v>
      </c>
      <c r="CP4">
        <v>99999</v>
      </c>
    </row>
    <row r="5" customFormat="1" ht="15" customHeight="1" spans="1:110">
      <c r="A5" t="s">
        <v>499</v>
      </c>
      <c r="C5" t="s">
        <v>494</v>
      </c>
      <c r="I5">
        <v>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C5">
        <v>2</v>
      </c>
      <c r="AD5">
        <v>1</v>
      </c>
      <c r="AR5" t="s">
        <v>500</v>
      </c>
      <c r="AW5" s="3"/>
      <c r="BB5">
        <v>1</v>
      </c>
      <c r="BM5" s="6"/>
      <c r="BN5" s="6" t="s">
        <v>501</v>
      </c>
      <c r="BQ5">
        <v>0.1</v>
      </c>
      <c r="BZ5" s="3"/>
      <c r="CA5" s="3"/>
      <c r="CB5" s="3"/>
      <c r="CC5" s="3"/>
      <c r="CD5" s="3"/>
      <c r="CF5" s="3"/>
      <c r="CG5" s="3"/>
      <c r="CH5" s="3"/>
      <c r="CI5" s="3"/>
      <c r="CJ5" s="3"/>
      <c r="CK5" s="7"/>
      <c r="CL5" s="8"/>
      <c r="DB5">
        <v>1</v>
      </c>
      <c r="DE5">
        <v>1</v>
      </c>
      <c r="DF5">
        <v>1</v>
      </c>
    </row>
    <row r="6" customFormat="1" ht="15" customHeight="1" spans="1:94">
      <c r="A6" t="s">
        <v>501</v>
      </c>
      <c r="C6" t="s">
        <v>494</v>
      </c>
      <c r="I6">
        <v>1</v>
      </c>
      <c r="K6" s="3" t="s">
        <v>495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AC6">
        <v>1</v>
      </c>
      <c r="AG6" t="s">
        <v>497</v>
      </c>
      <c r="AR6" s="5"/>
      <c r="AW6" s="3"/>
      <c r="BB6">
        <v>1</v>
      </c>
      <c r="BM6" s="6"/>
      <c r="BN6" s="6"/>
      <c r="BZ6" s="3"/>
      <c r="CA6" s="3"/>
      <c r="CB6" s="3"/>
      <c r="CC6" s="3"/>
      <c r="CD6" s="3"/>
      <c r="CF6" s="3"/>
      <c r="CG6" s="3"/>
      <c r="CH6" s="3"/>
      <c r="CI6" s="3"/>
      <c r="CJ6" s="3"/>
      <c r="CK6" s="7"/>
      <c r="CL6" s="8" t="s">
        <v>502</v>
      </c>
      <c r="CM6">
        <v>0.2</v>
      </c>
      <c r="CP6">
        <v>0.2</v>
      </c>
    </row>
    <row r="7" customFormat="1" spans="1:94">
      <c r="A7" t="s">
        <v>503</v>
      </c>
      <c r="C7" t="s">
        <v>504</v>
      </c>
      <c r="I7">
        <v>1</v>
      </c>
      <c r="K7" s="3"/>
      <c r="L7" s="3"/>
      <c r="M7" s="3"/>
      <c r="N7" s="3"/>
      <c r="P7" t="s">
        <v>505</v>
      </c>
      <c r="Q7" s="3"/>
      <c r="R7" s="3"/>
      <c r="S7" s="3"/>
      <c r="T7" s="3"/>
      <c r="U7" s="3"/>
      <c r="V7" s="3"/>
      <c r="W7" s="3"/>
      <c r="X7" s="3"/>
      <c r="AC7">
        <v>2</v>
      </c>
      <c r="AR7" s="5" t="s">
        <v>506</v>
      </c>
      <c r="BB7">
        <v>1</v>
      </c>
      <c r="BM7" s="6" t="s">
        <v>507</v>
      </c>
      <c r="BN7" s="6"/>
      <c r="BQ7">
        <v>0.1</v>
      </c>
      <c r="BU7" s="4"/>
      <c r="BV7" s="4"/>
      <c r="BW7" s="4"/>
      <c r="BX7" s="4"/>
      <c r="BY7" s="4"/>
      <c r="BZ7"/>
      <c r="CA7"/>
      <c r="CB7"/>
      <c r="CC7"/>
      <c r="CD7"/>
      <c r="CE7"/>
      <c r="CF7"/>
      <c r="CG7"/>
      <c r="CH7"/>
      <c r="CI7"/>
      <c r="CJ7" s="3"/>
      <c r="CK7" s="7"/>
      <c r="CL7" s="8" t="s">
        <v>508</v>
      </c>
      <c r="CM7">
        <v>0.1</v>
      </c>
      <c r="CP7">
        <v>0.2</v>
      </c>
    </row>
    <row r="8" customFormat="1" spans="1:94">
      <c r="A8" t="s">
        <v>507</v>
      </c>
      <c r="C8" t="s">
        <v>494</v>
      </c>
      <c r="I8">
        <v>1</v>
      </c>
      <c r="K8" s="3"/>
      <c r="L8" s="3"/>
      <c r="M8" s="3"/>
      <c r="N8" s="3"/>
      <c r="P8" s="3"/>
      <c r="Q8" s="3"/>
      <c r="R8" s="3"/>
      <c r="S8" s="3"/>
      <c r="T8" s="3"/>
      <c r="U8" s="3"/>
      <c r="V8" s="3"/>
      <c r="W8" s="3"/>
      <c r="X8" s="3"/>
      <c r="Z8">
        <v>1</v>
      </c>
      <c r="AC8">
        <v>1</v>
      </c>
      <c r="AG8" t="s">
        <v>497</v>
      </c>
      <c r="AR8" s="5"/>
      <c r="BB8">
        <v>1</v>
      </c>
      <c r="BM8" s="6"/>
      <c r="BN8" s="6"/>
      <c r="BQ8">
        <v>0.1</v>
      </c>
      <c r="BU8" s="4"/>
      <c r="BV8" s="4"/>
      <c r="BW8" s="4"/>
      <c r="BX8" s="4"/>
      <c r="BY8" s="4"/>
      <c r="CJ8" s="3"/>
      <c r="CK8" s="7"/>
      <c r="CL8" s="8" t="s">
        <v>505</v>
      </c>
      <c r="CM8">
        <v>0.1</v>
      </c>
      <c r="CP8">
        <v>0.2</v>
      </c>
    </row>
    <row r="9" customFormat="1"/>
    <row r="10" customFormat="1" spans="1:101">
      <c r="A10" t="s">
        <v>509</v>
      </c>
      <c r="C10" t="s">
        <v>494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/>
      <c r="Z10"/>
      <c r="AC10">
        <v>2</v>
      </c>
      <c r="AD10">
        <v>1</v>
      </c>
      <c r="AO10" t="s">
        <v>510</v>
      </c>
      <c r="AR10" s="5" t="s">
        <v>511</v>
      </c>
      <c r="AV10" t="s">
        <v>512</v>
      </c>
      <c r="AX10">
        <v>1</v>
      </c>
      <c r="BB10">
        <v>1</v>
      </c>
      <c r="BH10">
        <v>1.1</v>
      </c>
      <c r="BI10">
        <v>1</v>
      </c>
      <c r="BJ10">
        <v>1</v>
      </c>
      <c r="BM10" s="6"/>
      <c r="BN10" s="6"/>
      <c r="BT10" s="4"/>
      <c r="BU10" s="4"/>
      <c r="BV10" s="4"/>
      <c r="BW10" s="4"/>
      <c r="BX10" s="4"/>
      <c r="BY10" s="4"/>
      <c r="BZ10" t="s">
        <v>73</v>
      </c>
      <c r="CE10" t="s">
        <v>513</v>
      </c>
      <c r="CK10" s="7"/>
      <c r="CL10" s="8"/>
      <c r="CW10" t="s">
        <v>514</v>
      </c>
    </row>
    <row r="11" customFormat="1" ht="15" customHeight="1" spans="1:94">
      <c r="A11" t="s">
        <v>515</v>
      </c>
      <c r="C11" t="s">
        <v>494</v>
      </c>
      <c r="I11">
        <v>1</v>
      </c>
      <c r="K11" s="3" t="s">
        <v>495</v>
      </c>
      <c r="L11" s="3" t="s">
        <v>496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C11">
        <v>1</v>
      </c>
      <c r="AG11" t="s">
        <v>497</v>
      </c>
      <c r="AH11">
        <v>1</v>
      </c>
      <c r="AR11" s="5"/>
      <c r="AW11" s="3"/>
      <c r="BB11">
        <v>1</v>
      </c>
      <c r="BM11" s="6"/>
      <c r="BN11" s="6"/>
      <c r="BZ11" s="3"/>
      <c r="CA11" s="3"/>
      <c r="CB11" s="3"/>
      <c r="CC11" s="3"/>
      <c r="CD11" s="3"/>
      <c r="CF11" s="3"/>
      <c r="CG11" s="3"/>
      <c r="CH11" s="3"/>
      <c r="CI11" s="3"/>
      <c r="CJ11" s="3"/>
      <c r="CK11" s="7"/>
      <c r="CL11" s="8" t="s">
        <v>515</v>
      </c>
      <c r="CP11">
        <v>99999</v>
      </c>
    </row>
    <row r="12" customFormat="1" ht="15" customHeight="1" spans="11:90"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R12" s="5"/>
      <c r="AW12" s="3"/>
      <c r="BM12" s="6"/>
      <c r="BN12" s="6"/>
      <c r="BZ12" s="3"/>
      <c r="CA12" s="3"/>
      <c r="CB12" s="3"/>
      <c r="CC12" s="3"/>
      <c r="CD12" s="3"/>
      <c r="CF12" s="3"/>
      <c r="CG12" s="3"/>
      <c r="CH12" s="3"/>
      <c r="CI12" s="3"/>
      <c r="CJ12" s="3"/>
      <c r="CK12" s="7"/>
      <c r="CL12" s="8"/>
    </row>
    <row r="13" customFormat="1" spans="1:90">
      <c r="A13" t="s">
        <v>516</v>
      </c>
      <c r="C13" t="s">
        <v>517</v>
      </c>
      <c r="K13" s="3"/>
      <c r="L13" s="3"/>
      <c r="M13" s="3"/>
      <c r="N13" s="3"/>
      <c r="O13" s="3"/>
      <c r="P13" t="s">
        <v>518</v>
      </c>
      <c r="Q13" s="3"/>
      <c r="R13" s="3"/>
      <c r="S13" s="3"/>
      <c r="T13" s="3"/>
      <c r="U13" s="3"/>
      <c r="V13" s="3"/>
      <c r="W13" s="3"/>
      <c r="X13" s="3"/>
      <c r="AC13">
        <v>2</v>
      </c>
      <c r="AO13" t="s">
        <v>510</v>
      </c>
      <c r="AR13" s="5" t="s">
        <v>519</v>
      </c>
      <c r="AV13" t="s">
        <v>520</v>
      </c>
      <c r="AX13">
        <v>1</v>
      </c>
      <c r="BB13">
        <v>1</v>
      </c>
      <c r="BC13">
        <v>1</v>
      </c>
      <c r="BD13">
        <v>0.1</v>
      </c>
      <c r="BM13" s="6" t="s">
        <v>521</v>
      </c>
      <c r="BN13" s="6" t="s">
        <v>522</v>
      </c>
      <c r="BT13" s="4"/>
      <c r="BU13" s="4"/>
      <c r="BV13" s="4"/>
      <c r="BW13" s="4"/>
      <c r="BX13" s="4"/>
      <c r="BY13" s="4"/>
      <c r="BZ13" t="s">
        <v>73</v>
      </c>
      <c r="CE13" t="s">
        <v>513</v>
      </c>
      <c r="CK13" s="7"/>
      <c r="CL13" s="8"/>
    </row>
    <row r="14" customFormat="1" ht="15" customHeight="1" spans="1:94">
      <c r="A14" t="s">
        <v>522</v>
      </c>
      <c r="C14" t="s">
        <v>494</v>
      </c>
      <c r="I14">
        <v>1</v>
      </c>
      <c r="K14" s="3" t="s">
        <v>495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AC14">
        <v>1</v>
      </c>
      <c r="AG14" t="s">
        <v>497</v>
      </c>
      <c r="AH14"/>
      <c r="AR14" s="5"/>
      <c r="AW14" s="3"/>
      <c r="BB14">
        <v>1</v>
      </c>
      <c r="BM14" s="6"/>
      <c r="BN14" s="6"/>
      <c r="BZ14" s="3"/>
      <c r="CA14" s="3"/>
      <c r="CB14" s="3"/>
      <c r="CC14" s="3"/>
      <c r="CD14" s="3"/>
      <c r="CF14" s="3"/>
      <c r="CG14" s="3"/>
      <c r="CH14" s="3"/>
      <c r="CI14" s="3"/>
      <c r="CJ14" s="3"/>
      <c r="CK14" s="7"/>
      <c r="CL14" s="8" t="s">
        <v>523</v>
      </c>
      <c r="CM14">
        <v>0.08</v>
      </c>
      <c r="CP14">
        <v>99999</v>
      </c>
    </row>
    <row r="15" customFormat="1" ht="15" customHeight="1" spans="1:90">
      <c r="A15" t="s">
        <v>524</v>
      </c>
      <c r="C15" t="s">
        <v>494</v>
      </c>
      <c r="I15">
        <v>1</v>
      </c>
      <c r="K15" s="3" t="s">
        <v>495</v>
      </c>
      <c r="L15" s="3" t="s">
        <v>525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AC15">
        <v>1</v>
      </c>
      <c r="AG15" t="s">
        <v>497</v>
      </c>
      <c r="AR15" s="5"/>
      <c r="AW15" s="3"/>
      <c r="BB15">
        <v>1</v>
      </c>
      <c r="BM15" s="6"/>
      <c r="BN15" s="6"/>
      <c r="BQ15">
        <v>0.1</v>
      </c>
      <c r="BZ15" s="3"/>
      <c r="CA15">
        <v>0.11</v>
      </c>
      <c r="CB15" s="3"/>
      <c r="CC15" s="3"/>
      <c r="CD15" s="3"/>
      <c r="CF15" s="3"/>
      <c r="CG15" s="3"/>
      <c r="CH15" s="3"/>
      <c r="CI15" s="3"/>
      <c r="CJ15" s="3"/>
      <c r="CK15" s="7" t="s">
        <v>523</v>
      </c>
      <c r="CL15" s="8"/>
    </row>
    <row r="16" customFormat="1" spans="1:110">
      <c r="A16" t="s">
        <v>526</v>
      </c>
      <c r="C16" t="s">
        <v>517</v>
      </c>
      <c r="I16">
        <v>1</v>
      </c>
      <c r="K16" s="3"/>
      <c r="L16" s="3"/>
      <c r="M16" s="3"/>
      <c r="N16" s="3"/>
      <c r="O16" s="3"/>
      <c r="P16" s="3"/>
      <c r="Q16" s="3"/>
      <c r="R16" s="3" t="s">
        <v>527</v>
      </c>
      <c r="S16" s="3"/>
      <c r="T16" s="3"/>
      <c r="U16" s="3"/>
      <c r="V16" s="3"/>
      <c r="W16" s="3"/>
      <c r="X16" s="3"/>
      <c r="AC16">
        <v>2</v>
      </c>
      <c r="AR16" s="5" t="s">
        <v>519</v>
      </c>
      <c r="BB16">
        <v>99</v>
      </c>
      <c r="BC16"/>
      <c r="BD16"/>
      <c r="BM16" s="6"/>
      <c r="BN16" s="6"/>
      <c r="BT16" s="4"/>
      <c r="BU16" s="4"/>
      <c r="BV16" s="4"/>
      <c r="BW16" s="4"/>
      <c r="BX16" s="4"/>
      <c r="BY16" s="4"/>
      <c r="BZ16"/>
      <c r="CK16" s="7"/>
      <c r="CL16" s="8" t="s">
        <v>526</v>
      </c>
      <c r="CP16">
        <v>99999</v>
      </c>
      <c r="DB16">
        <v>1</v>
      </c>
      <c r="DE16">
        <v>1</v>
      </c>
      <c r="DF16">
        <v>1</v>
      </c>
    </row>
    <row r="17" customFormat="1" ht="15" customHeight="1" spans="1:94">
      <c r="A17" t="s">
        <v>528</v>
      </c>
      <c r="C17" t="s">
        <v>494</v>
      </c>
      <c r="I17">
        <v>1</v>
      </c>
      <c r="K17" s="3" t="s">
        <v>495</v>
      </c>
      <c r="L17" s="3" t="s">
        <v>496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AC17">
        <v>1</v>
      </c>
      <c r="AG17" t="s">
        <v>497</v>
      </c>
      <c r="AH17">
        <v>1</v>
      </c>
      <c r="AR17" s="5"/>
      <c r="AW17" s="3"/>
      <c r="BB17">
        <v>1</v>
      </c>
      <c r="BM17" s="6" t="s">
        <v>529</v>
      </c>
      <c r="BN17" s="6"/>
      <c r="BZ17" s="3"/>
      <c r="CA17" s="3"/>
      <c r="CB17" s="3"/>
      <c r="CC17" s="3"/>
      <c r="CD17" s="3"/>
      <c r="CF17" s="3"/>
      <c r="CG17" s="3"/>
      <c r="CH17" s="3"/>
      <c r="CI17" s="3"/>
      <c r="CJ17" s="3"/>
      <c r="CK17" s="7"/>
      <c r="CL17" s="8" t="s">
        <v>527</v>
      </c>
      <c r="CM17"/>
      <c r="CP17">
        <v>99999</v>
      </c>
    </row>
    <row r="18" customFormat="1" ht="15" customHeight="1" spans="1:94">
      <c r="A18" t="s">
        <v>530</v>
      </c>
      <c r="C18" t="s">
        <v>494</v>
      </c>
      <c r="I18">
        <v>1</v>
      </c>
      <c r="K18" s="3"/>
      <c r="L18" s="3"/>
      <c r="M18" s="3"/>
      <c r="N18" s="3"/>
      <c r="O18" s="3"/>
      <c r="P18" s="3" t="s">
        <v>531</v>
      </c>
      <c r="Q18" s="3"/>
      <c r="R18" s="3"/>
      <c r="S18" s="3"/>
      <c r="T18" s="3"/>
      <c r="U18" s="3"/>
      <c r="V18" s="3"/>
      <c r="W18" s="3"/>
      <c r="X18" s="3"/>
      <c r="AC18">
        <v>1</v>
      </c>
      <c r="AG18" t="s">
        <v>497</v>
      </c>
      <c r="AH18"/>
      <c r="AR18" s="5"/>
      <c r="AW18" s="3"/>
      <c r="BB18">
        <v>1</v>
      </c>
      <c r="BM18" s="6"/>
      <c r="BN18" s="6"/>
      <c r="BQ18">
        <v>0.1</v>
      </c>
      <c r="BZ18" s="3"/>
      <c r="CA18" s="3"/>
      <c r="CB18" s="3"/>
      <c r="CC18" s="3"/>
      <c r="CD18" s="3"/>
      <c r="CF18" s="3"/>
      <c r="CG18" s="3"/>
      <c r="CH18" s="3"/>
      <c r="CI18" s="3"/>
      <c r="CJ18" s="3"/>
      <c r="CK18" s="7"/>
      <c r="CL18" s="8" t="s">
        <v>532</v>
      </c>
      <c r="CM18">
        <v>10</v>
      </c>
      <c r="CP18">
        <v>0.2</v>
      </c>
    </row>
    <row r="19" customFormat="1" ht="15" customHeight="1" spans="1:94">
      <c r="A19" t="s">
        <v>531</v>
      </c>
      <c r="C19" t="s">
        <v>494</v>
      </c>
      <c r="I19">
        <v>1</v>
      </c>
      <c r="K19" s="3"/>
      <c r="L19" s="3"/>
      <c r="M19" s="3"/>
      <c r="N19" s="3"/>
      <c r="O19" s="3"/>
      <c r="P19" s="3"/>
      <c r="Q19" s="3"/>
      <c r="R19" s="3"/>
      <c r="S19" s="3"/>
      <c r="T19" s="3">
        <v>0.5</v>
      </c>
      <c r="U19" s="3"/>
      <c r="V19" s="3"/>
      <c r="W19" s="3"/>
      <c r="X19" s="3"/>
      <c r="AC19">
        <v>1</v>
      </c>
      <c r="AG19" t="s">
        <v>497</v>
      </c>
      <c r="AR19" s="5"/>
      <c r="AW19" s="3"/>
      <c r="BB19">
        <v>1</v>
      </c>
      <c r="BM19" s="6"/>
      <c r="BN19" s="6"/>
      <c r="BQ19">
        <v>0.1</v>
      </c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7"/>
      <c r="CL19" s="8" t="s">
        <v>531</v>
      </c>
      <c r="CM19"/>
      <c r="CP19">
        <v>0.2</v>
      </c>
    </row>
    <row r="20" customFormat="1" ht="15" customHeight="1" spans="1:94">
      <c r="A20" t="s">
        <v>533</v>
      </c>
      <c r="C20" t="s">
        <v>494</v>
      </c>
      <c r="D20" t="s">
        <v>534</v>
      </c>
      <c r="E20" t="s">
        <v>535</v>
      </c>
      <c r="F20" s="2" t="s">
        <v>536</v>
      </c>
      <c r="G20">
        <v>3</v>
      </c>
      <c r="I20">
        <v>1</v>
      </c>
      <c r="K20" s="3" t="s">
        <v>495</v>
      </c>
      <c r="L20" s="3" t="s">
        <v>496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AC20">
        <v>1</v>
      </c>
      <c r="AG20" t="s">
        <v>497</v>
      </c>
      <c r="AH20">
        <v>1</v>
      </c>
      <c r="AR20" s="5"/>
      <c r="AW20" s="3"/>
      <c r="BB20">
        <v>1</v>
      </c>
      <c r="BM20" s="6"/>
      <c r="BN20" s="6"/>
      <c r="BZ20" s="3"/>
      <c r="CA20" s="3"/>
      <c r="CB20" s="3"/>
      <c r="CC20" s="3"/>
      <c r="CD20" s="3"/>
      <c r="CF20" s="3"/>
      <c r="CG20" s="3"/>
      <c r="CH20" s="3"/>
      <c r="CI20" s="3"/>
      <c r="CJ20" s="3"/>
      <c r="CK20" s="7"/>
      <c r="CL20" s="8" t="s">
        <v>537</v>
      </c>
      <c r="CP20">
        <v>99999</v>
      </c>
    </row>
    <row r="21" customFormat="1" spans="1:94">
      <c r="A21" t="s">
        <v>538</v>
      </c>
      <c r="C21" t="s">
        <v>494</v>
      </c>
      <c r="D21" t="s">
        <v>539</v>
      </c>
      <c r="E21" t="s">
        <v>540</v>
      </c>
      <c r="F21" s="2" t="s">
        <v>541</v>
      </c>
      <c r="G21">
        <v>3</v>
      </c>
      <c r="J21" t="s">
        <v>542</v>
      </c>
      <c r="K21" s="3" t="s">
        <v>543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AB21">
        <v>1</v>
      </c>
      <c r="AC21">
        <v>1</v>
      </c>
      <c r="AG21" t="s">
        <v>497</v>
      </c>
      <c r="AR21" s="5"/>
      <c r="AW21" s="3"/>
      <c r="BB21">
        <v>1</v>
      </c>
      <c r="BM21" s="6" t="s">
        <v>544</v>
      </c>
      <c r="BN21" s="6"/>
      <c r="BR21">
        <v>10</v>
      </c>
      <c r="BT21" s="4">
        <v>0</v>
      </c>
      <c r="BU21" s="4">
        <v>20</v>
      </c>
      <c r="BV21" s="4">
        <v>1</v>
      </c>
      <c r="BW21" s="4" t="s">
        <v>545</v>
      </c>
      <c r="BX21" s="4"/>
      <c r="BY21" s="4"/>
      <c r="BZ21" s="3"/>
      <c r="CA21" s="3"/>
      <c r="CB21" s="3"/>
      <c r="CC21" s="3"/>
      <c r="CD21" s="3"/>
      <c r="CF21" s="3"/>
      <c r="CG21" s="3"/>
      <c r="CH21" s="3"/>
      <c r="CI21" s="3"/>
      <c r="CJ21" s="3"/>
      <c r="CK21" s="7"/>
      <c r="CL21" s="8" t="s">
        <v>518</v>
      </c>
      <c r="CM21">
        <v>-0.6</v>
      </c>
      <c r="CP21">
        <v>10</v>
      </c>
    </row>
    <row r="22" customFormat="1" spans="1:90">
      <c r="A22" t="s">
        <v>544</v>
      </c>
      <c r="C22" t="s">
        <v>517</v>
      </c>
      <c r="K22" s="3"/>
      <c r="L22" s="3"/>
      <c r="M22" s="3"/>
      <c r="N22" s="3"/>
      <c r="O22" t="s">
        <v>518</v>
      </c>
      <c r="P22" s="3"/>
      <c r="Q22" s="3"/>
      <c r="R22" s="3"/>
      <c r="S22" s="3"/>
      <c r="T22" s="3"/>
      <c r="U22" s="3"/>
      <c r="V22" s="3"/>
      <c r="W22" s="3"/>
      <c r="X22" s="3"/>
      <c r="AC22">
        <v>2</v>
      </c>
      <c r="AO22" t="s">
        <v>510</v>
      </c>
      <c r="AR22" s="5" t="s">
        <v>519</v>
      </c>
      <c r="AV22" t="s">
        <v>520</v>
      </c>
      <c r="AW22"/>
      <c r="AX22">
        <v>1</v>
      </c>
      <c r="BB22">
        <v>1</v>
      </c>
      <c r="BC22">
        <v>1</v>
      </c>
      <c r="BD22">
        <v>0.1</v>
      </c>
      <c r="BM22" s="6"/>
      <c r="BN22" s="6" t="s">
        <v>522</v>
      </c>
      <c r="BT22" s="4"/>
      <c r="BU22" s="4"/>
      <c r="BV22" s="4"/>
      <c r="BW22" s="4"/>
      <c r="BX22" s="4"/>
      <c r="BY22" s="4"/>
      <c r="BZ22" t="s">
        <v>546</v>
      </c>
      <c r="CA22"/>
      <c r="CB22"/>
      <c r="CC22"/>
      <c r="CD22"/>
      <c r="CE22" t="s">
        <v>513</v>
      </c>
      <c r="CF22"/>
      <c r="CG22"/>
      <c r="CH22"/>
      <c r="CI22"/>
      <c r="CJ22"/>
      <c r="CK22" s="7"/>
      <c r="CL22" s="8"/>
    </row>
    <row r="23" customFormat="1" spans="11:90">
      <c r="K23" s="3"/>
      <c r="L23" s="3"/>
      <c r="M23" s="3"/>
      <c r="N23" s="3"/>
      <c r="P23" s="3"/>
      <c r="Q23" s="3"/>
      <c r="R23" s="3"/>
      <c r="S23" s="3"/>
      <c r="T23" s="3"/>
      <c r="U23" s="3"/>
      <c r="V23" s="3"/>
      <c r="W23" s="3"/>
      <c r="X23" s="3"/>
      <c r="AR23" s="5"/>
      <c r="BM23" s="6"/>
      <c r="BN23" s="6"/>
      <c r="BT23" s="4"/>
      <c r="BU23" s="4"/>
      <c r="BV23" s="4"/>
      <c r="BW23" s="4"/>
      <c r="BX23" s="4"/>
      <c r="BY23" s="4"/>
      <c r="CK23" s="7"/>
      <c r="CL23" s="8"/>
    </row>
    <row r="24" customFormat="1" spans="1:101">
      <c r="A24" t="s">
        <v>169</v>
      </c>
      <c r="C24" t="s">
        <v>494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AC24">
        <v>2</v>
      </c>
      <c r="AD24">
        <v>1</v>
      </c>
      <c r="AO24" t="s">
        <v>510</v>
      </c>
      <c r="AR24" s="5" t="s">
        <v>547</v>
      </c>
      <c r="AV24" t="s">
        <v>512</v>
      </c>
      <c r="AX24">
        <v>1</v>
      </c>
      <c r="BB24">
        <v>1</v>
      </c>
      <c r="BH24">
        <v>1</v>
      </c>
      <c r="BI24">
        <v>1</v>
      </c>
      <c r="BJ24">
        <v>1</v>
      </c>
      <c r="BM24" s="6"/>
      <c r="BN24" s="6"/>
      <c r="BT24" s="4"/>
      <c r="BU24" s="4"/>
      <c r="BV24" s="4"/>
      <c r="BW24" s="4"/>
      <c r="BX24" s="4"/>
      <c r="BY24" s="4"/>
      <c r="BZ24" t="s">
        <v>73</v>
      </c>
      <c r="CE24" t="s">
        <v>513</v>
      </c>
      <c r="CK24" s="7"/>
      <c r="CL24" s="8" t="s">
        <v>548</v>
      </c>
      <c r="CM24">
        <v>-0.8</v>
      </c>
      <c r="CP24">
        <v>1</v>
      </c>
      <c r="CW24" t="s">
        <v>514</v>
      </c>
    </row>
    <row r="25" customFormat="1" spans="1:94">
      <c r="A25" t="s">
        <v>549</v>
      </c>
      <c r="C25" t="s">
        <v>494</v>
      </c>
      <c r="D25" t="s">
        <v>550</v>
      </c>
      <c r="E25" t="s">
        <v>551</v>
      </c>
      <c r="F25" s="2" t="s">
        <v>552</v>
      </c>
      <c r="G25">
        <v>3</v>
      </c>
      <c r="J25" t="s">
        <v>542</v>
      </c>
      <c r="K25" s="3" t="s">
        <v>543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AC25">
        <v>1</v>
      </c>
      <c r="AR25" s="5"/>
      <c r="AW25" s="3"/>
      <c r="BB25">
        <v>1</v>
      </c>
      <c r="BM25" s="6" t="s">
        <v>553</v>
      </c>
      <c r="BN25" s="6"/>
      <c r="BR25">
        <v>30</v>
      </c>
      <c r="BT25" s="4">
        <v>0</v>
      </c>
      <c r="BU25" s="4">
        <v>60</v>
      </c>
      <c r="BV25" s="4">
        <v>1</v>
      </c>
      <c r="BW25" s="4" t="s">
        <v>545</v>
      </c>
      <c r="BX25" s="4"/>
      <c r="BY25" s="4"/>
      <c r="BZ25" s="3"/>
      <c r="CA25" s="3"/>
      <c r="CB25" s="3"/>
      <c r="CC25" s="3"/>
      <c r="CD25" s="3"/>
      <c r="CF25" s="3"/>
      <c r="CG25" s="3"/>
      <c r="CH25" s="3"/>
      <c r="CI25" s="3"/>
      <c r="CJ25" s="3"/>
      <c r="CK25" s="7"/>
      <c r="CL25" s="8" t="s">
        <v>554</v>
      </c>
      <c r="CM25">
        <v>80</v>
      </c>
      <c r="CP25">
        <v>25</v>
      </c>
    </row>
    <row r="26" customFormat="1" spans="1:101">
      <c r="A26" t="s">
        <v>553</v>
      </c>
      <c r="C26" t="s">
        <v>494</v>
      </c>
      <c r="K26" s="3"/>
      <c r="L26" s="3"/>
      <c r="M26" s="3"/>
      <c r="N26" s="3"/>
      <c r="O26" s="3" t="s">
        <v>554</v>
      </c>
      <c r="P26" s="3"/>
      <c r="Q26" s="3"/>
      <c r="R26" s="3"/>
      <c r="S26" s="3"/>
      <c r="T26" s="3"/>
      <c r="U26" s="3"/>
      <c r="V26" s="3"/>
      <c r="W26" s="3"/>
      <c r="X26" s="3"/>
      <c r="AC26">
        <v>2</v>
      </c>
      <c r="AD26">
        <v>1</v>
      </c>
      <c r="AO26" t="s">
        <v>510</v>
      </c>
      <c r="AR26" s="5" t="s">
        <v>547</v>
      </c>
      <c r="AV26" t="s">
        <v>512</v>
      </c>
      <c r="AW26"/>
      <c r="AX26">
        <v>1</v>
      </c>
      <c r="BB26">
        <v>1</v>
      </c>
      <c r="BH26">
        <v>1</v>
      </c>
      <c r="BI26">
        <v>1</v>
      </c>
      <c r="BJ26">
        <v>1</v>
      </c>
      <c r="BM26" s="6"/>
      <c r="BN26" s="6"/>
      <c r="BT26" s="4"/>
      <c r="BU26" s="4"/>
      <c r="BV26" s="4"/>
      <c r="BW26" s="4"/>
      <c r="BX26" s="4"/>
      <c r="BY26" s="4"/>
      <c r="BZ26" t="s">
        <v>73</v>
      </c>
      <c r="CA26"/>
      <c r="CB26"/>
      <c r="CC26"/>
      <c r="CD26"/>
      <c r="CE26" t="s">
        <v>513</v>
      </c>
      <c r="CF26"/>
      <c r="CG26"/>
      <c r="CH26"/>
      <c r="CI26"/>
      <c r="CJ26"/>
      <c r="CK26" s="7"/>
      <c r="CL26" s="8" t="s">
        <v>548</v>
      </c>
      <c r="CM26">
        <v>-0.8</v>
      </c>
      <c r="CP26">
        <v>2</v>
      </c>
      <c r="CW26" t="s">
        <v>514</v>
      </c>
    </row>
    <row r="27" spans="44:90">
      <c r="AR27" s="5"/>
      <c r="BM27" s="6"/>
      <c r="BN27" s="6"/>
      <c r="CJ27" s="3"/>
      <c r="CK27" s="7"/>
      <c r="CL27" s="8"/>
    </row>
    <row r="28" customFormat="1" spans="1:101">
      <c r="A28" t="s">
        <v>555</v>
      </c>
      <c r="C28" t="s">
        <v>494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AC28">
        <v>1</v>
      </c>
      <c r="AO28" t="s">
        <v>556</v>
      </c>
      <c r="AR28" s="5" t="s">
        <v>557</v>
      </c>
      <c r="AW28">
        <v>1</v>
      </c>
      <c r="AX28">
        <v>1</v>
      </c>
      <c r="BB28">
        <v>1</v>
      </c>
      <c r="BM28" s="6" t="s">
        <v>558</v>
      </c>
      <c r="BN28" s="6"/>
      <c r="BT28" s="4"/>
      <c r="BU28" s="4"/>
      <c r="BV28" s="4"/>
      <c r="BW28" s="4"/>
      <c r="BX28" s="4"/>
      <c r="BY28" s="4"/>
      <c r="BZ28" t="s">
        <v>73</v>
      </c>
      <c r="CE28" t="s">
        <v>513</v>
      </c>
      <c r="CF28" t="s">
        <v>559</v>
      </c>
      <c r="CG28" t="s">
        <v>560</v>
      </c>
      <c r="CH28" t="s">
        <v>561</v>
      </c>
      <c r="CK28" s="7"/>
      <c r="CL28" s="8"/>
      <c r="CW28" t="s">
        <v>562</v>
      </c>
    </row>
    <row r="29" customFormat="1" spans="1:94">
      <c r="A29" t="s">
        <v>558</v>
      </c>
      <c r="C29" t="s">
        <v>494</v>
      </c>
      <c r="I29">
        <v>1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0.5</v>
      </c>
      <c r="V29" s="3"/>
      <c r="W29" s="3"/>
      <c r="X29" s="3"/>
      <c r="AC29">
        <v>1</v>
      </c>
      <c r="AR29" s="5" t="s">
        <v>557</v>
      </c>
      <c r="BB29">
        <v>99</v>
      </c>
      <c r="BM29" s="6"/>
      <c r="BN29" s="6"/>
      <c r="BQ29">
        <v>0.1</v>
      </c>
      <c r="BT29" s="4"/>
      <c r="BU29" s="4"/>
      <c r="BV29" s="4"/>
      <c r="BW29" s="4"/>
      <c r="BX29" s="4"/>
      <c r="BY29" s="4"/>
      <c r="CK29" s="7"/>
      <c r="CL29" s="8" t="s">
        <v>563</v>
      </c>
      <c r="CP29">
        <v>0.2</v>
      </c>
    </row>
    <row r="30" customFormat="1" spans="1:110">
      <c r="A30" t="s">
        <v>564</v>
      </c>
      <c r="C30" t="s">
        <v>494</v>
      </c>
      <c r="I30">
        <v>1</v>
      </c>
      <c r="K30" s="3" t="s">
        <v>495</v>
      </c>
      <c r="L30" s="3" t="s">
        <v>565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AC30">
        <v>1</v>
      </c>
      <c r="AF30">
        <v>1</v>
      </c>
      <c r="AH30">
        <v>1</v>
      </c>
      <c r="AM30">
        <v>10</v>
      </c>
      <c r="AR30" s="5"/>
      <c r="AW30" s="3"/>
      <c r="BB30">
        <v>99</v>
      </c>
      <c r="BM30" s="6"/>
      <c r="BN30" s="6"/>
      <c r="BZ30" s="3"/>
      <c r="CA30" s="3"/>
      <c r="CB30" s="3"/>
      <c r="CC30" s="3"/>
      <c r="CD30" s="3"/>
      <c r="CF30" s="3"/>
      <c r="CG30" s="3"/>
      <c r="CH30" s="3"/>
      <c r="CI30" s="3"/>
      <c r="CJ30" s="3"/>
      <c r="CK30" s="7"/>
      <c r="CL30" s="8" t="s">
        <v>566</v>
      </c>
      <c r="CM30">
        <v>0.28</v>
      </c>
      <c r="CP30">
        <v>99999</v>
      </c>
      <c r="DB30">
        <v>1</v>
      </c>
      <c r="DE30">
        <v>1</v>
      </c>
      <c r="DF30">
        <v>1</v>
      </c>
    </row>
    <row r="31" customFormat="1" spans="1:94">
      <c r="A31" t="s">
        <v>567</v>
      </c>
      <c r="C31" t="s">
        <v>494</v>
      </c>
      <c r="D31" t="s">
        <v>568</v>
      </c>
      <c r="E31" t="s">
        <v>569</v>
      </c>
      <c r="F31" s="2" t="s">
        <v>570</v>
      </c>
      <c r="G31">
        <v>3</v>
      </c>
      <c r="J31" t="s">
        <v>542</v>
      </c>
      <c r="K31" s="3" t="s">
        <v>543</v>
      </c>
      <c r="L31" s="3"/>
      <c r="M31" s="3"/>
      <c r="N31" s="3">
        <v>2</v>
      </c>
      <c r="O31" s="3"/>
      <c r="P31" s="3"/>
      <c r="Q31" s="3"/>
      <c r="R31" s="3"/>
      <c r="S31" s="3"/>
      <c r="T31" s="3"/>
      <c r="U31" s="3"/>
      <c r="V31" s="3"/>
      <c r="W31" s="3"/>
      <c r="X31" s="3"/>
      <c r="AC31">
        <v>1</v>
      </c>
      <c r="AR31" s="5"/>
      <c r="AW31" s="3"/>
      <c r="BB31">
        <v>1</v>
      </c>
      <c r="BM31" s="6"/>
      <c r="BN31" s="6"/>
      <c r="BR31">
        <v>30</v>
      </c>
      <c r="BT31" s="4">
        <v>0</v>
      </c>
      <c r="BU31" s="4">
        <v>15</v>
      </c>
      <c r="BV31" s="4">
        <v>1</v>
      </c>
      <c r="BW31" s="4" t="s">
        <v>545</v>
      </c>
      <c r="BX31" s="4"/>
      <c r="BY31" s="4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7"/>
      <c r="CL31" s="8" t="s">
        <v>571</v>
      </c>
      <c r="CM31" s="30" t="s">
        <v>572</v>
      </c>
      <c r="CP31">
        <v>30</v>
      </c>
    </row>
    <row r="32" customFormat="1" spans="11:90"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AR32" s="5"/>
      <c r="BM32" s="6"/>
      <c r="BN32" s="6"/>
      <c r="BT32" s="4"/>
      <c r="BU32" s="4"/>
      <c r="BV32" s="4"/>
      <c r="BW32" s="4"/>
      <c r="BX32" s="4"/>
      <c r="BY32" s="4"/>
      <c r="CK32" s="7"/>
      <c r="CL32" s="8"/>
    </row>
    <row r="33" customFormat="1" spans="1:101">
      <c r="A33" t="s">
        <v>573</v>
      </c>
      <c r="C33" t="s">
        <v>504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AC33">
        <v>2</v>
      </c>
      <c r="AO33" t="s">
        <v>510</v>
      </c>
      <c r="AR33" s="5" t="s">
        <v>519</v>
      </c>
      <c r="AV33" t="s">
        <v>520</v>
      </c>
      <c r="AW33"/>
      <c r="AX33">
        <v>1.1</v>
      </c>
      <c r="BB33">
        <v>1</v>
      </c>
      <c r="BM33" s="6"/>
      <c r="BN33" s="6"/>
      <c r="BT33" s="4"/>
      <c r="BU33" s="4"/>
      <c r="BV33" s="4"/>
      <c r="BW33" s="4"/>
      <c r="BX33" s="4"/>
      <c r="BY33" s="4"/>
      <c r="BZ33" t="s">
        <v>73</v>
      </c>
      <c r="CA33"/>
      <c r="CB33"/>
      <c r="CC33"/>
      <c r="CD33"/>
      <c r="CE33" t="s">
        <v>513</v>
      </c>
      <c r="CF33"/>
      <c r="CG33"/>
      <c r="CH33" t="s">
        <v>574</v>
      </c>
      <c r="CI33"/>
      <c r="CJ33"/>
      <c r="CK33" s="7"/>
      <c r="CL33" s="8"/>
      <c r="CU33" t="s">
        <v>575</v>
      </c>
      <c r="CW33" t="s">
        <v>576</v>
      </c>
    </row>
    <row r="34" customFormat="1" ht="15" customHeight="1" spans="1:94">
      <c r="A34" t="s">
        <v>577</v>
      </c>
      <c r="C34" t="s">
        <v>494</v>
      </c>
      <c r="I34">
        <v>1</v>
      </c>
      <c r="K34" s="3" t="s">
        <v>495</v>
      </c>
      <c r="L34" s="3" t="s">
        <v>496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AC34">
        <v>1</v>
      </c>
      <c r="AG34" t="s">
        <v>497</v>
      </c>
      <c r="AH34">
        <v>1</v>
      </c>
      <c r="AR34" s="5"/>
      <c r="AW34" s="3"/>
      <c r="BB34">
        <v>1</v>
      </c>
      <c r="BM34" s="6"/>
      <c r="BN34" s="6"/>
      <c r="BZ34" s="3"/>
      <c r="CA34" s="3"/>
      <c r="CB34" s="3"/>
      <c r="CC34" s="3"/>
      <c r="CD34" s="3"/>
      <c r="CF34" s="3"/>
      <c r="CG34" s="3"/>
      <c r="CH34" s="3"/>
      <c r="CI34" s="3"/>
      <c r="CJ34" s="3"/>
      <c r="CK34" s="7"/>
      <c r="CL34" s="8" t="s">
        <v>578</v>
      </c>
      <c r="CM34" t="s">
        <v>579</v>
      </c>
      <c r="CP34">
        <v>99999</v>
      </c>
    </row>
    <row r="35" customFormat="1" spans="1:101">
      <c r="A35" t="s">
        <v>580</v>
      </c>
      <c r="C35" t="s">
        <v>504</v>
      </c>
      <c r="D35" t="s">
        <v>581</v>
      </c>
      <c r="E35" t="s">
        <v>582</v>
      </c>
      <c r="F35" t="s">
        <v>583</v>
      </c>
      <c r="G35">
        <v>3</v>
      </c>
      <c r="J35" t="s">
        <v>542</v>
      </c>
      <c r="K35" s="3" t="s">
        <v>545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AC35">
        <v>2</v>
      </c>
      <c r="AD35"/>
      <c r="AO35" t="s">
        <v>510</v>
      </c>
      <c r="AR35" s="5" t="s">
        <v>519</v>
      </c>
      <c r="AV35" t="s">
        <v>520</v>
      </c>
      <c r="AX35">
        <v>2.53</v>
      </c>
      <c r="BB35">
        <v>1</v>
      </c>
      <c r="BM35" s="6"/>
      <c r="BN35" s="6"/>
      <c r="BR35">
        <v>0.2</v>
      </c>
      <c r="BT35" s="4">
        <v>0</v>
      </c>
      <c r="BU35" s="4">
        <v>3</v>
      </c>
      <c r="BV35" s="4">
        <v>1</v>
      </c>
      <c r="BW35" s="4" t="s">
        <v>584</v>
      </c>
      <c r="BX35" s="4"/>
      <c r="BY35" s="4"/>
      <c r="BZ35" t="s">
        <v>73</v>
      </c>
      <c r="CE35" t="s">
        <v>513</v>
      </c>
      <c r="CF35"/>
      <c r="CG35"/>
      <c r="CH35" t="s">
        <v>574</v>
      </c>
      <c r="CK35" s="7"/>
      <c r="CL35" s="8"/>
      <c r="CM35"/>
      <c r="CU35" t="s">
        <v>575</v>
      </c>
      <c r="CW35" t="s">
        <v>576</v>
      </c>
    </row>
    <row r="36" customFormat="1" spans="1:101">
      <c r="A36" t="s">
        <v>585</v>
      </c>
      <c r="C36" t="s">
        <v>517</v>
      </c>
      <c r="D36" t="s">
        <v>586</v>
      </c>
      <c r="E36" t="s">
        <v>587</v>
      </c>
      <c r="F36" s="2" t="s">
        <v>588</v>
      </c>
      <c r="G36">
        <v>3</v>
      </c>
      <c r="J36" t="s">
        <v>542</v>
      </c>
      <c r="K36" s="3" t="s">
        <v>543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AB36">
        <v>1</v>
      </c>
      <c r="AC36">
        <v>2</v>
      </c>
      <c r="AO36" t="s">
        <v>510</v>
      </c>
      <c r="AR36" s="5" t="s">
        <v>589</v>
      </c>
      <c r="AV36" t="s">
        <v>520</v>
      </c>
      <c r="AX36">
        <v>4.4</v>
      </c>
      <c r="BB36">
        <v>5</v>
      </c>
      <c r="BM36" s="6"/>
      <c r="BN36" s="6"/>
      <c r="BR36">
        <v>0.2</v>
      </c>
      <c r="BT36" s="4">
        <v>0</v>
      </c>
      <c r="BU36" s="4">
        <v>17</v>
      </c>
      <c r="BV36" s="4">
        <v>1</v>
      </c>
      <c r="BW36" s="4" t="s">
        <v>584</v>
      </c>
      <c r="BX36" s="4"/>
      <c r="BY36" s="4"/>
      <c r="BZ36" t="s">
        <v>590</v>
      </c>
      <c r="CE36" t="s">
        <v>513</v>
      </c>
      <c r="CH36" t="s">
        <v>574</v>
      </c>
      <c r="CK36" s="7"/>
      <c r="CL36" s="8"/>
      <c r="CV36" t="s">
        <v>591</v>
      </c>
      <c r="CW36" t="s">
        <v>576</v>
      </c>
    </row>
    <row r="37" customFormat="1" spans="6:90">
      <c r="F37" s="2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AR37" s="5"/>
      <c r="BM37" s="6"/>
      <c r="BN37" s="6"/>
      <c r="BT37" s="4"/>
      <c r="BU37" s="4"/>
      <c r="BV37" s="4"/>
      <c r="BW37" s="4"/>
      <c r="BX37" s="4"/>
      <c r="BY37" s="4"/>
      <c r="CK37" s="7"/>
      <c r="CL37" s="8"/>
    </row>
    <row r="38" customFormat="1" spans="1:101">
      <c r="A38" t="s">
        <v>191</v>
      </c>
      <c r="C38" t="s">
        <v>494</v>
      </c>
      <c r="K38" s="3"/>
      <c r="L38" s="3"/>
      <c r="M38" s="3"/>
      <c r="N38" s="3"/>
      <c r="O38" s="3"/>
      <c r="P38" t="s">
        <v>592</v>
      </c>
      <c r="Q38" s="3"/>
      <c r="R38" s="3"/>
      <c r="S38" s="3"/>
      <c r="T38" s="3"/>
      <c r="U38" s="3"/>
      <c r="V38" s="3"/>
      <c r="W38" s="3"/>
      <c r="X38" s="3"/>
      <c r="AC38">
        <v>2</v>
      </c>
      <c r="AD38">
        <v>1</v>
      </c>
      <c r="AO38" t="s">
        <v>510</v>
      </c>
      <c r="AR38" s="5" t="s">
        <v>593</v>
      </c>
      <c r="AV38" t="s">
        <v>512</v>
      </c>
      <c r="AX38">
        <v>1</v>
      </c>
      <c r="BB38">
        <v>1</v>
      </c>
      <c r="BM38" s="6" t="s">
        <v>594</v>
      </c>
      <c r="BN38" s="6"/>
      <c r="BT38" s="4"/>
      <c r="BU38" s="4"/>
      <c r="BV38" s="4"/>
      <c r="BW38" s="4"/>
      <c r="BX38" s="4"/>
      <c r="BY38" s="4"/>
      <c r="BZ38" t="s">
        <v>73</v>
      </c>
      <c r="CE38" t="s">
        <v>513</v>
      </c>
      <c r="CF38" t="s">
        <v>595</v>
      </c>
      <c r="CG38" t="s">
        <v>560</v>
      </c>
      <c r="CK38" s="7"/>
      <c r="CL38" s="8" t="s">
        <v>596</v>
      </c>
      <c r="CM38"/>
      <c r="CP38">
        <v>1</v>
      </c>
      <c r="CQ38">
        <v>0.5</v>
      </c>
      <c r="CW38" t="s">
        <v>597</v>
      </c>
    </row>
    <row r="39" customFormat="1" spans="1:110">
      <c r="A39" t="s">
        <v>594</v>
      </c>
      <c r="C39" t="s">
        <v>494</v>
      </c>
      <c r="I39">
        <v>1</v>
      </c>
      <c r="K39" s="3"/>
      <c r="L39" s="3"/>
      <c r="M39" s="3"/>
      <c r="N39" s="3"/>
      <c r="O39" s="3"/>
      <c r="P39" s="3"/>
      <c r="Q39" s="3" t="s">
        <v>596</v>
      </c>
      <c r="R39" s="3"/>
      <c r="S39" s="3"/>
      <c r="T39" s="3"/>
      <c r="U39" s="3"/>
      <c r="V39" s="3"/>
      <c r="W39" s="3"/>
      <c r="X39" s="3"/>
      <c r="AC39">
        <v>2</v>
      </c>
      <c r="AD39">
        <v>1</v>
      </c>
      <c r="AR39" s="5"/>
      <c r="AT39">
        <v>20</v>
      </c>
      <c r="AU39"/>
      <c r="AW39" s="3"/>
      <c r="BB39">
        <v>1</v>
      </c>
      <c r="BM39" s="6"/>
      <c r="BN39" s="6" t="s">
        <v>598</v>
      </c>
      <c r="BZ39" s="3"/>
      <c r="CA39" s="3"/>
      <c r="CB39" s="3"/>
      <c r="CC39" s="3"/>
      <c r="CD39" s="3"/>
      <c r="CF39" s="3"/>
      <c r="CG39" s="3"/>
      <c r="CH39" s="3"/>
      <c r="CI39" s="3"/>
      <c r="CJ39" s="3"/>
      <c r="CK39" s="7" t="s">
        <v>596</v>
      </c>
      <c r="CL39" s="8"/>
      <c r="DB39">
        <v>1</v>
      </c>
      <c r="DE39">
        <v>1</v>
      </c>
      <c r="DF39">
        <v>1</v>
      </c>
    </row>
    <row r="40" customFormat="1" spans="1:97">
      <c r="A40" t="s">
        <v>598</v>
      </c>
      <c r="C40" t="s">
        <v>599</v>
      </c>
      <c r="I40">
        <v>1</v>
      </c>
      <c r="K40" s="3" t="s">
        <v>495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AC40">
        <v>1</v>
      </c>
      <c r="AD40"/>
      <c r="AG40" t="s">
        <v>497</v>
      </c>
      <c r="AR40" s="5"/>
      <c r="AW40" s="3"/>
      <c r="BB40">
        <v>1</v>
      </c>
      <c r="BM40" s="6"/>
      <c r="BN40" s="6"/>
      <c r="BZ40" s="3"/>
      <c r="CA40" s="3"/>
      <c r="CB40" s="3"/>
      <c r="CC40" s="3"/>
      <c r="CD40" s="3"/>
      <c r="CF40" s="3"/>
      <c r="CG40" s="3"/>
      <c r="CH40" s="3"/>
      <c r="CI40" s="3"/>
      <c r="CJ40" s="3"/>
      <c r="CK40" s="7"/>
      <c r="CL40" s="8"/>
      <c r="CS40" t="s">
        <v>600</v>
      </c>
    </row>
    <row r="41" customFormat="1" spans="1:94">
      <c r="A41" t="s">
        <v>601</v>
      </c>
      <c r="C41" t="s">
        <v>494</v>
      </c>
      <c r="D41" t="s">
        <v>602</v>
      </c>
      <c r="E41" t="s">
        <v>603</v>
      </c>
      <c r="F41" s="2" t="s">
        <v>604</v>
      </c>
      <c r="G41">
        <v>3</v>
      </c>
      <c r="J41" t="s">
        <v>542</v>
      </c>
      <c r="K41" s="3" t="s">
        <v>543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AC41">
        <v>1</v>
      </c>
      <c r="AR41" s="5"/>
      <c r="AW41" s="3"/>
      <c r="BB41">
        <v>1</v>
      </c>
      <c r="BM41" s="6" t="s">
        <v>605</v>
      </c>
      <c r="BN41" s="6"/>
      <c r="BR41">
        <v>60</v>
      </c>
      <c r="BT41" s="4">
        <v>50</v>
      </c>
      <c r="BU41" s="4">
        <v>80</v>
      </c>
      <c r="BV41" s="4">
        <v>1</v>
      </c>
      <c r="BW41" s="4" t="s">
        <v>545</v>
      </c>
      <c r="BX41" s="4"/>
      <c r="BY41" s="4"/>
      <c r="BZ41" s="3"/>
      <c r="CA41" s="3"/>
      <c r="CB41" s="3"/>
      <c r="CC41" s="3"/>
      <c r="CD41" s="3"/>
      <c r="CF41" s="3"/>
      <c r="CG41" s="3"/>
      <c r="CH41" s="3"/>
      <c r="CI41" s="3"/>
      <c r="CJ41" s="3"/>
      <c r="CK41" s="7"/>
      <c r="CL41" s="8" t="s">
        <v>592</v>
      </c>
      <c r="CM41"/>
      <c r="CN41"/>
      <c r="CP41">
        <v>60</v>
      </c>
    </row>
    <row r="42" customFormat="1" ht="15" customHeight="1" spans="1:94">
      <c r="A42" t="s">
        <v>606</v>
      </c>
      <c r="C42" t="s">
        <v>494</v>
      </c>
      <c r="I42">
        <v>1</v>
      </c>
      <c r="K42" s="3" t="s">
        <v>495</v>
      </c>
      <c r="L42" s="3" t="s">
        <v>496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AC42">
        <v>1</v>
      </c>
      <c r="AG42" t="s">
        <v>497</v>
      </c>
      <c r="AH42">
        <v>1</v>
      </c>
      <c r="AR42" s="5"/>
      <c r="AW42" s="3"/>
      <c r="BB42">
        <v>1</v>
      </c>
      <c r="BM42" s="6"/>
      <c r="BN42" s="6"/>
      <c r="BZ42" s="3"/>
      <c r="CA42" s="3"/>
      <c r="CB42" s="3"/>
      <c r="CC42" s="3"/>
      <c r="CD42" s="3"/>
      <c r="CF42" s="3"/>
      <c r="CG42" s="3"/>
      <c r="CH42" s="3"/>
      <c r="CI42" s="3"/>
      <c r="CJ42" s="3"/>
      <c r="CK42" s="7"/>
      <c r="CL42" s="8" t="s">
        <v>607</v>
      </c>
      <c r="CP42">
        <v>99999</v>
      </c>
    </row>
    <row r="43" customFormat="1" spans="1:101">
      <c r="A43" t="s">
        <v>608</v>
      </c>
      <c r="C43" t="s">
        <v>494</v>
      </c>
      <c r="K43" s="3"/>
      <c r="L43" s="3"/>
      <c r="M43" s="3"/>
      <c r="N43" s="3"/>
      <c r="O43" t="s">
        <v>592</v>
      </c>
      <c r="P43" s="3"/>
      <c r="Q43" s="3"/>
      <c r="R43" s="3"/>
      <c r="S43" s="3"/>
      <c r="T43" s="3"/>
      <c r="U43" s="3"/>
      <c r="V43" s="3"/>
      <c r="W43" s="3"/>
      <c r="X43" s="3"/>
      <c r="AC43">
        <v>2</v>
      </c>
      <c r="AD43">
        <v>1</v>
      </c>
      <c r="AO43" t="s">
        <v>510</v>
      </c>
      <c r="AR43" s="5" t="s">
        <v>593</v>
      </c>
      <c r="AV43" t="s">
        <v>512</v>
      </c>
      <c r="AW43"/>
      <c r="AX43">
        <v>1</v>
      </c>
      <c r="BB43">
        <v>1</v>
      </c>
      <c r="BM43" s="6"/>
      <c r="BN43" s="6" t="s">
        <v>609</v>
      </c>
      <c r="BT43" s="4"/>
      <c r="BU43" s="4"/>
      <c r="BV43" s="4"/>
      <c r="BW43" s="4"/>
      <c r="BX43" s="4"/>
      <c r="BY43" s="4"/>
      <c r="BZ43" t="s">
        <v>73</v>
      </c>
      <c r="CA43"/>
      <c r="CB43"/>
      <c r="CC43"/>
      <c r="CD43"/>
      <c r="CE43" t="s">
        <v>513</v>
      </c>
      <c r="CF43" t="s">
        <v>595</v>
      </c>
      <c r="CG43" t="s">
        <v>560</v>
      </c>
      <c r="CH43"/>
      <c r="CI43"/>
      <c r="CJ43"/>
      <c r="CK43" s="7"/>
      <c r="CL43" s="8"/>
      <c r="CW43" t="s">
        <v>597</v>
      </c>
    </row>
    <row r="44" customFormat="1" spans="1:101">
      <c r="A44" t="s">
        <v>609</v>
      </c>
      <c r="C44" t="s">
        <v>494</v>
      </c>
      <c r="I44">
        <v>1</v>
      </c>
      <c r="K44" s="3" t="s">
        <v>495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AC44">
        <v>1</v>
      </c>
      <c r="AO44" t="s">
        <v>556</v>
      </c>
      <c r="AR44" s="5" t="s">
        <v>593</v>
      </c>
      <c r="AW44">
        <v>1</v>
      </c>
      <c r="AX44">
        <v>1</v>
      </c>
      <c r="BB44">
        <v>2</v>
      </c>
      <c r="BM44" s="6"/>
      <c r="BN44" s="6"/>
      <c r="BT44" s="4"/>
      <c r="BU44" s="4"/>
      <c r="BV44" s="4"/>
      <c r="BW44" s="4"/>
      <c r="BX44" s="4"/>
      <c r="BY44" s="4"/>
      <c r="BZ44"/>
      <c r="CF44" t="s">
        <v>610</v>
      </c>
      <c r="CG44" t="s">
        <v>560</v>
      </c>
      <c r="CK44" s="7"/>
      <c r="CL44" s="8"/>
      <c r="CW44" t="s">
        <v>611</v>
      </c>
    </row>
    <row r="45" customFormat="1" spans="1:100">
      <c r="A45" t="s">
        <v>612</v>
      </c>
      <c r="C45" t="s">
        <v>494</v>
      </c>
      <c r="D45" t="s">
        <v>613</v>
      </c>
      <c r="E45" t="s">
        <v>614</v>
      </c>
      <c r="F45" s="2" t="s">
        <v>615</v>
      </c>
      <c r="G45">
        <v>3</v>
      </c>
      <c r="J45" t="s">
        <v>542</v>
      </c>
      <c r="K45" s="3" t="s">
        <v>543</v>
      </c>
      <c r="L45" s="3"/>
      <c r="M45" s="3"/>
      <c r="N45" s="3"/>
      <c r="O45" s="3"/>
      <c r="Q45" s="3"/>
      <c r="R45" s="3"/>
      <c r="S45" s="3"/>
      <c r="T45" s="3"/>
      <c r="U45" s="3"/>
      <c r="V45" s="3"/>
      <c r="W45" s="3"/>
      <c r="X45" s="3"/>
      <c r="AC45">
        <v>2</v>
      </c>
      <c r="AD45">
        <v>1</v>
      </c>
      <c r="AO45" t="s">
        <v>510</v>
      </c>
      <c r="AR45" s="5" t="s">
        <v>593</v>
      </c>
      <c r="BB45">
        <v>5</v>
      </c>
      <c r="BM45" s="6" t="s">
        <v>616</v>
      </c>
      <c r="BN45" s="6"/>
      <c r="BR45">
        <v>0.2</v>
      </c>
      <c r="BT45" s="4">
        <v>0</v>
      </c>
      <c r="BU45" s="4">
        <v>20</v>
      </c>
      <c r="BV45" s="4">
        <v>1</v>
      </c>
      <c r="BW45" s="4" t="s">
        <v>545</v>
      </c>
      <c r="BX45" s="4"/>
      <c r="BY45" s="4"/>
      <c r="BZ45" t="s">
        <v>73</v>
      </c>
      <c r="CE45" t="s">
        <v>513</v>
      </c>
      <c r="CF45"/>
      <c r="CG45"/>
      <c r="CK45" s="7"/>
      <c r="CL45" s="8" t="s">
        <v>617</v>
      </c>
      <c r="CM45">
        <v>-0.6</v>
      </c>
      <c r="CN45">
        <v>600</v>
      </c>
      <c r="CP45">
        <v>10</v>
      </c>
      <c r="CQ45"/>
      <c r="CV45" t="s">
        <v>591</v>
      </c>
    </row>
    <row r="46" customFormat="1" ht="15" customHeight="1" spans="1:94">
      <c r="A46" t="s">
        <v>616</v>
      </c>
      <c r="C46" t="s">
        <v>494</v>
      </c>
      <c r="I46">
        <v>1</v>
      </c>
      <c r="K46" s="3" t="s">
        <v>495</v>
      </c>
      <c r="L46" s="3" t="s">
        <v>496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AC46">
        <v>1</v>
      </c>
      <c r="AG46" t="s">
        <v>497</v>
      </c>
      <c r="AH46">
        <v>1</v>
      </c>
      <c r="AR46" s="5"/>
      <c r="AW46" s="3"/>
      <c r="BB46">
        <v>1</v>
      </c>
      <c r="BM46" s="6"/>
      <c r="BN46" s="6"/>
      <c r="BZ46" s="3"/>
      <c r="CA46" s="3"/>
      <c r="CB46" s="3"/>
      <c r="CC46" s="3"/>
      <c r="CD46" s="3"/>
      <c r="CF46" s="3"/>
      <c r="CG46" s="3"/>
      <c r="CH46" s="3"/>
      <c r="CI46" s="3"/>
      <c r="CJ46" s="3"/>
      <c r="CK46" s="7"/>
      <c r="CL46" s="8" t="s">
        <v>618</v>
      </c>
      <c r="CM46">
        <v>0.23</v>
      </c>
      <c r="CP46">
        <v>99999</v>
      </c>
    </row>
    <row r="47" spans="44:90">
      <c r="AR47" s="5"/>
      <c r="BM47" s="6"/>
      <c r="BN47" s="6"/>
      <c r="CJ47" s="3"/>
      <c r="CK47" s="7"/>
      <c r="CL47" s="8"/>
    </row>
    <row r="48" customFormat="1" spans="1:101">
      <c r="A48" t="s">
        <v>619</v>
      </c>
      <c r="C48" t="s">
        <v>517</v>
      </c>
      <c r="K48" s="3"/>
      <c r="L48" s="3"/>
      <c r="M48" s="3"/>
      <c r="N48" s="3"/>
      <c r="O48" s="3"/>
      <c r="P48" t="s">
        <v>620</v>
      </c>
      <c r="Q48" s="3"/>
      <c r="R48" s="3"/>
      <c r="S48" s="3"/>
      <c r="T48" s="3"/>
      <c r="U48" s="3"/>
      <c r="V48" s="3"/>
      <c r="W48" s="3"/>
      <c r="X48" s="3"/>
      <c r="AC48">
        <v>2</v>
      </c>
      <c r="AO48" t="s">
        <v>510</v>
      </c>
      <c r="AR48" s="5" t="s">
        <v>519</v>
      </c>
      <c r="AV48" t="s">
        <v>520</v>
      </c>
      <c r="AX48">
        <v>1</v>
      </c>
      <c r="BB48">
        <v>1</v>
      </c>
      <c r="BM48" s="6"/>
      <c r="BN48" s="6"/>
      <c r="BU48" s="4"/>
      <c r="BV48" s="4"/>
      <c r="BW48" s="4"/>
      <c r="BX48" s="4"/>
      <c r="BY48" s="4"/>
      <c r="BZ48" t="s">
        <v>621</v>
      </c>
      <c r="CB48" t="s">
        <v>622</v>
      </c>
      <c r="CE48" t="s">
        <v>513</v>
      </c>
      <c r="CJ48" s="3"/>
      <c r="CK48" s="7"/>
      <c r="CL48" s="8"/>
      <c r="CU48" t="s">
        <v>623</v>
      </c>
      <c r="CW48" t="s">
        <v>624</v>
      </c>
    </row>
    <row r="49" customFormat="1" ht="15" customHeight="1" spans="1:110">
      <c r="A49" t="s">
        <v>625</v>
      </c>
      <c r="C49" t="s">
        <v>494</v>
      </c>
      <c r="I49">
        <v>1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AC49">
        <v>1</v>
      </c>
      <c r="AI49" t="s">
        <v>201</v>
      </c>
      <c r="AR49" s="5"/>
      <c r="AT49">
        <v>20</v>
      </c>
      <c r="AU49"/>
      <c r="AW49" s="3"/>
      <c r="BB49">
        <v>99</v>
      </c>
      <c r="BM49" s="6"/>
      <c r="BN49" s="6"/>
      <c r="BQ49">
        <v>0.1</v>
      </c>
      <c r="BZ49" s="3"/>
      <c r="CA49" s="3"/>
      <c r="CB49" s="3"/>
      <c r="CC49" s="3"/>
      <c r="CD49" s="3"/>
      <c r="CF49" s="3"/>
      <c r="CG49" s="3"/>
      <c r="CH49" s="3"/>
      <c r="CI49" s="3"/>
      <c r="CJ49" s="3"/>
      <c r="CK49" s="7"/>
      <c r="CL49" s="8" t="s">
        <v>626</v>
      </c>
      <c r="CP49">
        <v>0.2</v>
      </c>
      <c r="DB49">
        <v>1</v>
      </c>
      <c r="DE49">
        <v>1</v>
      </c>
      <c r="DF49">
        <v>1</v>
      </c>
    </row>
    <row r="50" customFormat="1" spans="1:94">
      <c r="A50" t="s">
        <v>627</v>
      </c>
      <c r="C50" t="s">
        <v>494</v>
      </c>
      <c r="D50" t="s">
        <v>628</v>
      </c>
      <c r="E50" t="s">
        <v>629</v>
      </c>
      <c r="F50" t="s">
        <v>630</v>
      </c>
      <c r="G50">
        <v>3</v>
      </c>
      <c r="J50" t="s">
        <v>542</v>
      </c>
      <c r="K50" s="3" t="s">
        <v>543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AC50">
        <v>1</v>
      </c>
      <c r="AR50" s="5"/>
      <c r="AW50" s="3"/>
      <c r="BB50">
        <v>1</v>
      </c>
      <c r="BM50" s="6" t="s">
        <v>631</v>
      </c>
      <c r="BN50" s="6"/>
      <c r="BR50">
        <v>30</v>
      </c>
      <c r="BT50" s="4">
        <v>50</v>
      </c>
      <c r="BU50" s="4">
        <v>70</v>
      </c>
      <c r="BV50" s="4">
        <v>1</v>
      </c>
      <c r="BW50" s="4" t="s">
        <v>545</v>
      </c>
      <c r="BX50" s="4"/>
      <c r="BY50" s="4"/>
      <c r="BZ50" s="3"/>
      <c r="CA50" s="3"/>
      <c r="CB50" s="3"/>
      <c r="CC50" s="3"/>
      <c r="CD50" s="3"/>
      <c r="CF50" s="3"/>
      <c r="CG50" s="3"/>
      <c r="CH50"/>
      <c r="CI50" s="3"/>
      <c r="CJ50" s="3"/>
      <c r="CK50" s="7"/>
      <c r="CL50" s="8" t="s">
        <v>620</v>
      </c>
      <c r="CM50" t="s">
        <v>632</v>
      </c>
      <c r="CP50">
        <v>30</v>
      </c>
    </row>
    <row r="51" customFormat="1" spans="1:101">
      <c r="A51" t="s">
        <v>631</v>
      </c>
      <c r="C51" t="s">
        <v>504</v>
      </c>
      <c r="K51" s="3"/>
      <c r="L51" s="3"/>
      <c r="M51" s="3"/>
      <c r="N51" s="3"/>
      <c r="O51" t="s">
        <v>620</v>
      </c>
      <c r="P51" s="3"/>
      <c r="Q51" s="3"/>
      <c r="R51" s="3"/>
      <c r="S51" s="3"/>
      <c r="T51" s="3"/>
      <c r="U51" s="3"/>
      <c r="V51" s="3"/>
      <c r="W51" s="3"/>
      <c r="X51" s="3"/>
      <c r="AC51">
        <v>2</v>
      </c>
      <c r="AO51" t="s">
        <v>510</v>
      </c>
      <c r="AR51" s="5" t="s">
        <v>506</v>
      </c>
      <c r="AV51" t="s">
        <v>520</v>
      </c>
      <c r="AW51"/>
      <c r="AX51">
        <v>1</v>
      </c>
      <c r="BB51">
        <v>1</v>
      </c>
      <c r="BM51" s="6"/>
      <c r="BN51" s="6"/>
      <c r="BU51" s="4"/>
      <c r="BV51" s="4"/>
      <c r="BW51" s="4"/>
      <c r="BX51" s="4"/>
      <c r="BY51" s="4"/>
      <c r="BZ51" t="s">
        <v>546</v>
      </c>
      <c r="CA51"/>
      <c r="CB51"/>
      <c r="CC51"/>
      <c r="CD51"/>
      <c r="CE51" t="s">
        <v>513</v>
      </c>
      <c r="CF51"/>
      <c r="CG51"/>
      <c r="CJ51" s="3"/>
      <c r="CK51" s="7"/>
      <c r="CL51" s="8"/>
      <c r="CU51" t="s">
        <v>575</v>
      </c>
      <c r="CW51" t="s">
        <v>576</v>
      </c>
    </row>
    <row r="52" customFormat="1" spans="11:90">
      <c r="K52" s="3"/>
      <c r="L52" s="3"/>
      <c r="M52" s="3"/>
      <c r="N52" s="3"/>
      <c r="P52" s="3"/>
      <c r="Q52" s="3"/>
      <c r="R52" s="3"/>
      <c r="S52" s="3"/>
      <c r="T52" s="3"/>
      <c r="U52" s="3"/>
      <c r="V52" s="3"/>
      <c r="W52" s="3"/>
      <c r="X52" s="3"/>
      <c r="AR52" s="5"/>
      <c r="BM52" s="6"/>
      <c r="BN52" s="6"/>
      <c r="BU52" s="4"/>
      <c r="BV52" s="4"/>
      <c r="BW52" s="4"/>
      <c r="BX52" s="4"/>
      <c r="BY52" s="4"/>
      <c r="CJ52" s="3"/>
      <c r="CK52" s="7"/>
      <c r="CL52" s="8"/>
    </row>
    <row r="53" customFormat="1" spans="1:101">
      <c r="A53" t="s">
        <v>633</v>
      </c>
      <c r="C53" t="s">
        <v>517</v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AC53">
        <v>2</v>
      </c>
      <c r="AD53">
        <v>1</v>
      </c>
      <c r="AO53" t="s">
        <v>510</v>
      </c>
      <c r="AR53" s="5" t="s">
        <v>506</v>
      </c>
      <c r="AV53" t="s">
        <v>520</v>
      </c>
      <c r="AX53">
        <v>1</v>
      </c>
      <c r="BB53">
        <v>1</v>
      </c>
      <c r="BM53" s="6" t="s">
        <v>634</v>
      </c>
      <c r="BN53" s="6"/>
      <c r="BT53" s="4"/>
      <c r="BU53" s="4"/>
      <c r="BV53" s="4"/>
      <c r="BW53" s="4"/>
      <c r="BX53" s="4"/>
      <c r="BY53" s="4"/>
      <c r="BZ53" t="s">
        <v>73</v>
      </c>
      <c r="CB53" t="s">
        <v>635</v>
      </c>
      <c r="CE53" t="s">
        <v>513</v>
      </c>
      <c r="CK53" s="7"/>
      <c r="CL53" s="8"/>
      <c r="CW53" t="s">
        <v>636</v>
      </c>
    </row>
    <row r="54" customFormat="1" spans="1:101">
      <c r="A54" t="s">
        <v>634</v>
      </c>
      <c r="C54" t="s">
        <v>517</v>
      </c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Z54">
        <v>1</v>
      </c>
      <c r="AC54">
        <v>2</v>
      </c>
      <c r="AD54">
        <v>1</v>
      </c>
      <c r="AO54" t="s">
        <v>510</v>
      </c>
      <c r="AR54" s="5" t="s">
        <v>637</v>
      </c>
      <c r="AV54" t="s">
        <v>520</v>
      </c>
      <c r="AX54">
        <v>1.3</v>
      </c>
      <c r="BB54">
        <v>1</v>
      </c>
      <c r="BM54" s="6"/>
      <c r="BN54" s="6"/>
      <c r="BT54" s="4"/>
      <c r="BU54" s="4"/>
      <c r="BV54" s="4"/>
      <c r="BW54" s="4"/>
      <c r="BX54" s="4"/>
      <c r="BY54" s="4"/>
      <c r="BZ54" t="s">
        <v>73</v>
      </c>
      <c r="CB54" t="s">
        <v>635</v>
      </c>
      <c r="CE54" t="s">
        <v>513</v>
      </c>
      <c r="CK54" s="7"/>
      <c r="CL54" s="8"/>
      <c r="CW54" t="s">
        <v>636</v>
      </c>
    </row>
    <row r="55" customFormat="1" ht="15" customHeight="1" spans="1:110">
      <c r="A55" t="s">
        <v>638</v>
      </c>
      <c r="C55" t="s">
        <v>494</v>
      </c>
      <c r="I55">
        <v>1</v>
      </c>
      <c r="K55" s="3"/>
      <c r="L55" s="3"/>
      <c r="M55" s="3"/>
      <c r="N55" s="3"/>
      <c r="O55" s="3"/>
      <c r="P55" s="3" t="s">
        <v>639</v>
      </c>
      <c r="Q55" s="3"/>
      <c r="R55" s="3"/>
      <c r="S55" s="3"/>
      <c r="T55" s="3"/>
      <c r="U55" s="3"/>
      <c r="V55" s="3"/>
      <c r="W55" s="3"/>
      <c r="X55" s="3"/>
      <c r="AC55">
        <v>1</v>
      </c>
      <c r="AL55">
        <v>0</v>
      </c>
      <c r="AR55" s="5" t="s">
        <v>640</v>
      </c>
      <c r="AW55" s="3"/>
      <c r="BB55">
        <v>99</v>
      </c>
      <c r="BM55" s="6" t="s">
        <v>641</v>
      </c>
      <c r="BN55" s="6"/>
      <c r="BQ55">
        <v>0.1</v>
      </c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7"/>
      <c r="CL55" s="8" t="s">
        <v>642</v>
      </c>
      <c r="CM55">
        <v>0.12</v>
      </c>
      <c r="CP55">
        <v>0.2</v>
      </c>
      <c r="DB55">
        <v>1</v>
      </c>
      <c r="DE55">
        <v>1</v>
      </c>
      <c r="DF55">
        <v>1</v>
      </c>
    </row>
    <row r="56" customFormat="1" ht="15" customHeight="1" spans="1:110">
      <c r="A56" t="s">
        <v>641</v>
      </c>
      <c r="C56" t="s">
        <v>494</v>
      </c>
      <c r="I56">
        <v>1</v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AC56">
        <v>1</v>
      </c>
      <c r="AG56" t="s">
        <v>643</v>
      </c>
      <c r="AL56">
        <v>0</v>
      </c>
      <c r="AR56" s="5" t="s">
        <v>640</v>
      </c>
      <c r="AW56" s="3"/>
      <c r="BB56">
        <v>1</v>
      </c>
      <c r="BM56" s="6"/>
      <c r="BN56" s="6" t="s">
        <v>644</v>
      </c>
      <c r="BQ56">
        <v>3</v>
      </c>
      <c r="BZ56" s="3"/>
      <c r="CA56" s="3"/>
      <c r="CB56" s="3"/>
      <c r="CC56" s="3"/>
      <c r="CD56" s="3"/>
      <c r="CF56" s="3"/>
      <c r="CG56" s="3"/>
      <c r="CH56" s="3"/>
      <c r="CI56" s="3"/>
      <c r="CJ56" s="3"/>
      <c r="CK56" s="7"/>
      <c r="CL56" s="8"/>
      <c r="CM56"/>
      <c r="DB56">
        <v>1</v>
      </c>
      <c r="DE56">
        <v>1</v>
      </c>
      <c r="DF56">
        <v>1</v>
      </c>
    </row>
    <row r="57" customFormat="1" spans="1:97">
      <c r="A57" t="s">
        <v>644</v>
      </c>
      <c r="C57" t="s">
        <v>599</v>
      </c>
      <c r="I57">
        <v>1</v>
      </c>
      <c r="K57" s="3" t="s">
        <v>495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AC57">
        <v>1</v>
      </c>
      <c r="AG57" t="s">
        <v>497</v>
      </c>
      <c r="AR57" s="5"/>
      <c r="AW57" s="3"/>
      <c r="BB57">
        <v>1</v>
      </c>
      <c r="BM57" s="6"/>
      <c r="BN57" s="6"/>
      <c r="BZ57" s="3"/>
      <c r="CA57" s="3"/>
      <c r="CB57" s="3"/>
      <c r="CC57" s="3"/>
      <c r="CD57" s="3"/>
      <c r="CF57" s="3"/>
      <c r="CG57" s="3"/>
      <c r="CH57" s="3"/>
      <c r="CI57" s="3"/>
      <c r="CJ57" s="3"/>
      <c r="CK57" s="7"/>
      <c r="CL57" s="8"/>
      <c r="CS57" t="s">
        <v>600</v>
      </c>
    </row>
    <row r="58" customFormat="1" spans="1:94">
      <c r="A58" t="s">
        <v>645</v>
      </c>
      <c r="C58" t="s">
        <v>494</v>
      </c>
      <c r="D58" t="s">
        <v>646</v>
      </c>
      <c r="E58" t="s">
        <v>647</v>
      </c>
      <c r="F58" t="s">
        <v>648</v>
      </c>
      <c r="G58">
        <v>3</v>
      </c>
      <c r="J58" t="s">
        <v>542</v>
      </c>
      <c r="K58" s="3" t="s">
        <v>543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AC58">
        <v>1</v>
      </c>
      <c r="AG58" t="s">
        <v>497</v>
      </c>
      <c r="AR58" s="5"/>
      <c r="AW58" s="3"/>
      <c r="BB58">
        <v>1</v>
      </c>
      <c r="BM58" s="6" t="s">
        <v>649</v>
      </c>
      <c r="BN58" s="6"/>
      <c r="BR58">
        <v>35</v>
      </c>
      <c r="BT58" s="4">
        <v>20</v>
      </c>
      <c r="BU58" s="4">
        <v>40</v>
      </c>
      <c r="BV58" s="4">
        <v>1</v>
      </c>
      <c r="BW58" s="4" t="s">
        <v>545</v>
      </c>
      <c r="BX58" s="4"/>
      <c r="BY58" s="4"/>
      <c r="BZ58" s="3"/>
      <c r="CA58" s="3"/>
      <c r="CB58" s="3"/>
      <c r="CC58" s="3"/>
      <c r="CD58" s="3"/>
      <c r="CF58" s="3"/>
      <c r="CG58" s="3"/>
      <c r="CH58"/>
      <c r="CI58" s="3"/>
      <c r="CJ58" s="3"/>
      <c r="CK58" s="7"/>
      <c r="CL58" s="8" t="s">
        <v>650</v>
      </c>
      <c r="CM58"/>
      <c r="CP58">
        <v>35</v>
      </c>
    </row>
    <row r="59" customFormat="1" ht="15" customHeight="1" spans="1:110">
      <c r="A59" t="s">
        <v>649</v>
      </c>
      <c r="C59" t="s">
        <v>494</v>
      </c>
      <c r="I59">
        <v>1</v>
      </c>
      <c r="K59" s="3"/>
      <c r="L59" s="3"/>
      <c r="M59" s="3"/>
      <c r="N59" s="3"/>
      <c r="O59" s="3" t="s">
        <v>650</v>
      </c>
      <c r="P59" s="3"/>
      <c r="Q59" s="3"/>
      <c r="R59" s="3"/>
      <c r="S59" s="3"/>
      <c r="T59" s="3"/>
      <c r="U59" s="3"/>
      <c r="V59" s="3"/>
      <c r="W59" s="3"/>
      <c r="X59" s="3"/>
      <c r="AC59">
        <v>1</v>
      </c>
      <c r="AL59">
        <v>0</v>
      </c>
      <c r="AR59" s="5" t="s">
        <v>651</v>
      </c>
      <c r="AW59" s="3"/>
      <c r="BB59">
        <v>99</v>
      </c>
      <c r="BM59" s="6"/>
      <c r="BN59" s="6"/>
      <c r="BQ59">
        <v>0.1</v>
      </c>
      <c r="BZ59" s="3"/>
      <c r="CA59" s="3"/>
      <c r="CB59" s="3"/>
      <c r="CC59" s="3"/>
      <c r="CD59" s="3"/>
      <c r="CF59" s="3"/>
      <c r="CG59" s="3"/>
      <c r="CH59" s="3"/>
      <c r="CI59" s="3"/>
      <c r="CJ59" s="3"/>
      <c r="CK59" s="7"/>
      <c r="CL59" s="8" t="s">
        <v>642</v>
      </c>
      <c r="CM59">
        <v>0.24</v>
      </c>
      <c r="CP59">
        <v>0.2</v>
      </c>
      <c r="DB59">
        <v>1</v>
      </c>
      <c r="DE59">
        <v>1</v>
      </c>
      <c r="DF59">
        <v>1</v>
      </c>
    </row>
    <row r="60" customFormat="1" spans="1:94">
      <c r="A60" t="s">
        <v>652</v>
      </c>
      <c r="C60" t="s">
        <v>494</v>
      </c>
      <c r="D60" t="s">
        <v>653</v>
      </c>
      <c r="E60" t="s">
        <v>654</v>
      </c>
      <c r="F60" t="s">
        <v>655</v>
      </c>
      <c r="G60">
        <v>3</v>
      </c>
      <c r="J60" t="s">
        <v>542</v>
      </c>
      <c r="K60" s="3" t="s">
        <v>543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AC60">
        <v>1</v>
      </c>
      <c r="AG60" t="s">
        <v>497</v>
      </c>
      <c r="AR60" s="5"/>
      <c r="AW60" s="3"/>
      <c r="BB60">
        <v>1</v>
      </c>
      <c r="BM60" s="6" t="s">
        <v>656</v>
      </c>
      <c r="BN60" s="6"/>
      <c r="BR60">
        <v>30</v>
      </c>
      <c r="BT60" s="4">
        <v>20</v>
      </c>
      <c r="BU60" s="4">
        <v>45</v>
      </c>
      <c r="BV60" s="4">
        <v>1</v>
      </c>
      <c r="BW60" s="4" t="s">
        <v>584</v>
      </c>
      <c r="BX60" s="4"/>
      <c r="BY60" s="4"/>
      <c r="BZ60" s="3"/>
      <c r="CA60" s="3"/>
      <c r="CB60" s="3"/>
      <c r="CC60" s="3"/>
      <c r="CD60" s="3"/>
      <c r="CF60" s="3"/>
      <c r="CG60" s="3"/>
      <c r="CH60"/>
      <c r="CI60" s="3"/>
      <c r="CJ60" s="3"/>
      <c r="CK60" s="7"/>
      <c r="CL60" s="8" t="s">
        <v>657</v>
      </c>
      <c r="CM60">
        <v>0.8</v>
      </c>
      <c r="CP60">
        <v>30</v>
      </c>
    </row>
    <row r="61" customFormat="1" ht="15" customHeight="1" spans="1:110">
      <c r="A61" t="s">
        <v>656</v>
      </c>
      <c r="C61" t="s">
        <v>494</v>
      </c>
      <c r="I61">
        <v>1</v>
      </c>
      <c r="K61" s="3"/>
      <c r="L61" s="3"/>
      <c r="M61" s="3"/>
      <c r="N61" s="3"/>
      <c r="O61" s="3" t="s">
        <v>657</v>
      </c>
      <c r="Q61" s="3"/>
      <c r="R61" s="3"/>
      <c r="S61" s="3"/>
      <c r="T61" s="3"/>
      <c r="U61" s="3"/>
      <c r="V61" s="3"/>
      <c r="W61" s="3"/>
      <c r="X61" s="3"/>
      <c r="AC61">
        <v>1</v>
      </c>
      <c r="AL61">
        <v>0</v>
      </c>
      <c r="AR61" s="5" t="s">
        <v>640</v>
      </c>
      <c r="AW61" s="3"/>
      <c r="BB61">
        <v>99</v>
      </c>
      <c r="BM61" s="6"/>
      <c r="BN61" s="6"/>
      <c r="BQ61">
        <v>0.1</v>
      </c>
      <c r="BZ61" s="3"/>
      <c r="CA61" s="3"/>
      <c r="CB61" s="3"/>
      <c r="CC61" s="3"/>
      <c r="CD61" s="3"/>
      <c r="CF61" s="3"/>
      <c r="CG61" s="3"/>
      <c r="CH61" s="3"/>
      <c r="CI61" s="3"/>
      <c r="CJ61" s="3"/>
      <c r="CK61" s="7"/>
      <c r="CL61" s="8" t="s">
        <v>642</v>
      </c>
      <c r="CM61">
        <v>0.36</v>
      </c>
      <c r="CP61">
        <v>0.2</v>
      </c>
      <c r="DB61">
        <v>1</v>
      </c>
      <c r="DE61">
        <v>1</v>
      </c>
      <c r="DF61">
        <v>1</v>
      </c>
    </row>
    <row r="62" customFormat="1" ht="15" customHeight="1" spans="11:90"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AR62" s="5"/>
      <c r="AW62" s="3"/>
      <c r="BM62" s="6"/>
      <c r="BN62" s="6"/>
      <c r="BZ62" s="3"/>
      <c r="CA62" s="3"/>
      <c r="CB62" s="3"/>
      <c r="CC62" s="3"/>
      <c r="CD62" s="3"/>
      <c r="CF62" s="3"/>
      <c r="CG62" s="3"/>
      <c r="CH62" s="3"/>
      <c r="CI62" s="3"/>
      <c r="CJ62" s="3"/>
      <c r="CK62" s="7"/>
      <c r="CL62" s="8"/>
    </row>
    <row r="63" customFormat="1" spans="1:101">
      <c r="A63" t="s">
        <v>658</v>
      </c>
      <c r="C63" t="s">
        <v>494</v>
      </c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AC63">
        <v>1</v>
      </c>
      <c r="AO63" t="s">
        <v>556</v>
      </c>
      <c r="AR63" s="5" t="s">
        <v>659</v>
      </c>
      <c r="AW63">
        <v>1</v>
      </c>
      <c r="AX63">
        <v>1</v>
      </c>
      <c r="BB63">
        <v>1</v>
      </c>
      <c r="BM63" s="6" t="s">
        <v>660</v>
      </c>
      <c r="BN63" s="6"/>
      <c r="BT63" s="4"/>
      <c r="BU63" s="4"/>
      <c r="BV63" s="4"/>
      <c r="BW63" s="4"/>
      <c r="BX63" s="4"/>
      <c r="BY63" s="4"/>
      <c r="BZ63" t="s">
        <v>73</v>
      </c>
      <c r="CA63"/>
      <c r="CB63"/>
      <c r="CC63"/>
      <c r="CD63"/>
      <c r="CE63" t="s">
        <v>513</v>
      </c>
      <c r="CF63" t="s">
        <v>661</v>
      </c>
      <c r="CG63" t="s">
        <v>560</v>
      </c>
      <c r="CH63" t="s">
        <v>662</v>
      </c>
      <c r="CI63"/>
      <c r="CJ63"/>
      <c r="CK63" s="7"/>
      <c r="CL63" s="8"/>
      <c r="CW63" t="s">
        <v>562</v>
      </c>
    </row>
    <row r="64" customFormat="1" spans="1:94">
      <c r="A64" t="s">
        <v>660</v>
      </c>
      <c r="C64" t="s">
        <v>494</v>
      </c>
      <c r="I64">
        <v>1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AC64">
        <v>1</v>
      </c>
      <c r="AR64" s="5" t="s">
        <v>663</v>
      </c>
      <c r="BB64">
        <v>99</v>
      </c>
      <c r="BM64" s="6"/>
      <c r="BN64" s="6"/>
      <c r="BQ64">
        <v>0.1</v>
      </c>
      <c r="BT64" s="4"/>
      <c r="BU64" s="4"/>
      <c r="BV64" s="4"/>
      <c r="BW64" s="4"/>
      <c r="BX64" s="4"/>
      <c r="BY64" s="4"/>
      <c r="BZ64"/>
      <c r="CK64" s="7"/>
      <c r="CL64" s="8" t="s">
        <v>664</v>
      </c>
      <c r="CP64">
        <v>0.2</v>
      </c>
    </row>
    <row r="65" customFormat="1" ht="15" customHeight="1" spans="1:94">
      <c r="A65" t="s">
        <v>665</v>
      </c>
      <c r="C65" t="s">
        <v>494</v>
      </c>
      <c r="I65">
        <v>1</v>
      </c>
      <c r="K65" s="3" t="s">
        <v>495</v>
      </c>
      <c r="L65" s="3" t="s">
        <v>496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AC65">
        <v>1</v>
      </c>
      <c r="AG65" t="s">
        <v>497</v>
      </c>
      <c r="AH65">
        <v>1</v>
      </c>
      <c r="AR65" s="5"/>
      <c r="AW65" s="3"/>
      <c r="BB65">
        <v>1</v>
      </c>
      <c r="BM65" s="6" t="s">
        <v>666</v>
      </c>
      <c r="BN65" s="6"/>
      <c r="BZ65" s="3"/>
      <c r="CA65" s="3"/>
      <c r="CB65" s="3"/>
      <c r="CC65" s="3"/>
      <c r="CD65" s="3"/>
      <c r="CF65" s="3"/>
      <c r="CG65" s="3"/>
      <c r="CH65" s="3"/>
      <c r="CI65" s="3"/>
      <c r="CJ65" s="3"/>
      <c r="CK65" s="7"/>
      <c r="CL65" s="8" t="s">
        <v>667</v>
      </c>
      <c r="CM65">
        <v>0.12</v>
      </c>
      <c r="CP65">
        <v>99999</v>
      </c>
    </row>
    <row r="66" customFormat="1" ht="15" customHeight="1" spans="1:110">
      <c r="A66" t="s">
        <v>666</v>
      </c>
      <c r="C66" t="s">
        <v>494</v>
      </c>
      <c r="I66">
        <v>1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AC66">
        <v>4</v>
      </c>
      <c r="AJ66" t="s">
        <v>264</v>
      </c>
      <c r="AN66">
        <v>1</v>
      </c>
      <c r="AR66" s="5"/>
      <c r="AT66">
        <v>20</v>
      </c>
      <c r="AW66" s="3"/>
      <c r="BB66">
        <v>1</v>
      </c>
      <c r="BM66" s="6"/>
      <c r="BN66" s="6" t="s">
        <v>668</v>
      </c>
      <c r="BQ66">
        <v>0.1</v>
      </c>
      <c r="BZ66" s="3"/>
      <c r="CA66" s="3"/>
      <c r="CB66" s="3"/>
      <c r="CC66" s="3"/>
      <c r="CD66" s="3"/>
      <c r="CF66" s="3"/>
      <c r="CG66" s="3"/>
      <c r="CH66" s="3"/>
      <c r="CI66" s="3"/>
      <c r="CJ66" s="3"/>
      <c r="CK66" s="7"/>
      <c r="CL66" s="8"/>
      <c r="DB66">
        <v>1</v>
      </c>
      <c r="DE66">
        <v>1</v>
      </c>
      <c r="DF66">
        <v>1</v>
      </c>
    </row>
    <row r="67" customFormat="1" ht="15" customHeight="1" spans="1:94">
      <c r="A67" t="s">
        <v>668</v>
      </c>
      <c r="C67" t="s">
        <v>494</v>
      </c>
      <c r="I67">
        <v>1</v>
      </c>
      <c r="K67" s="3" t="s">
        <v>495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AC67">
        <v>1</v>
      </c>
      <c r="AG67" t="s">
        <v>497</v>
      </c>
      <c r="AH67"/>
      <c r="AR67" s="5"/>
      <c r="AW67" s="3"/>
      <c r="BB67">
        <v>1</v>
      </c>
      <c r="BM67" s="6"/>
      <c r="BN67" s="6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7"/>
      <c r="CL67" s="8" t="s">
        <v>669</v>
      </c>
      <c r="CM67">
        <v>0.36</v>
      </c>
      <c r="CP67">
        <v>0.2</v>
      </c>
    </row>
    <row r="68" customFormat="1" spans="1:101">
      <c r="A68" t="s">
        <v>670</v>
      </c>
      <c r="C68" t="s">
        <v>494</v>
      </c>
      <c r="D68" t="s">
        <v>671</v>
      </c>
      <c r="E68" t="s">
        <v>672</v>
      </c>
      <c r="F68" t="s">
        <v>673</v>
      </c>
      <c r="G68">
        <v>3</v>
      </c>
      <c r="J68" t="s">
        <v>542</v>
      </c>
      <c r="K68" s="3" t="s">
        <v>545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AC68">
        <v>1</v>
      </c>
      <c r="AO68" t="s">
        <v>556</v>
      </c>
      <c r="AR68" s="5" t="s">
        <v>659</v>
      </c>
      <c r="AW68">
        <v>1</v>
      </c>
      <c r="AX68">
        <v>2</v>
      </c>
      <c r="BB68">
        <v>1</v>
      </c>
      <c r="BM68" s="6"/>
      <c r="BN68" s="6"/>
      <c r="BR68">
        <v>0.2</v>
      </c>
      <c r="BT68" s="4">
        <v>0</v>
      </c>
      <c r="BU68" s="4">
        <v>8</v>
      </c>
      <c r="BV68" s="4">
        <v>3</v>
      </c>
      <c r="BW68" s="4" t="s">
        <v>545</v>
      </c>
      <c r="BX68" s="4"/>
      <c r="BY68" s="4"/>
      <c r="BZ68" t="s">
        <v>73</v>
      </c>
      <c r="CA68"/>
      <c r="CB68"/>
      <c r="CC68"/>
      <c r="CD68"/>
      <c r="CE68" t="s">
        <v>513</v>
      </c>
      <c r="CF68" t="s">
        <v>661</v>
      </c>
      <c r="CG68" t="s">
        <v>560</v>
      </c>
      <c r="CH68"/>
      <c r="CI68"/>
      <c r="CJ68"/>
      <c r="CK68" s="7"/>
      <c r="CL68" s="8"/>
      <c r="CW68" t="s">
        <v>562</v>
      </c>
    </row>
    <row r="69" customFormat="1" spans="1:94">
      <c r="A69" t="s">
        <v>674</v>
      </c>
      <c r="C69" t="s">
        <v>494</v>
      </c>
      <c r="D69" t="s">
        <v>675</v>
      </c>
      <c r="E69" t="s">
        <v>676</v>
      </c>
      <c r="F69" t="s">
        <v>677</v>
      </c>
      <c r="G69">
        <v>3</v>
      </c>
      <c r="J69" t="s">
        <v>542</v>
      </c>
      <c r="K69" s="3" t="s">
        <v>543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AC69">
        <v>1</v>
      </c>
      <c r="AR69" s="5"/>
      <c r="AW69" s="3"/>
      <c r="BB69">
        <v>1</v>
      </c>
      <c r="BM69" s="6" t="s">
        <v>678</v>
      </c>
      <c r="BN69" s="6"/>
      <c r="BR69">
        <v>40</v>
      </c>
      <c r="BT69" s="4">
        <v>40</v>
      </c>
      <c r="BU69" s="4">
        <v>80</v>
      </c>
      <c r="BV69" s="4">
        <v>1</v>
      </c>
      <c r="BW69" s="4" t="s">
        <v>545</v>
      </c>
      <c r="BX69" s="4"/>
      <c r="BY69" s="4"/>
      <c r="BZ69" s="3"/>
      <c r="CA69" s="3"/>
      <c r="CB69" s="3"/>
      <c r="CC69" s="3"/>
      <c r="CD69" s="3"/>
      <c r="CF69" s="3"/>
      <c r="CG69" s="3"/>
      <c r="CH69" s="3"/>
      <c r="CI69" s="3"/>
      <c r="CJ69" s="3"/>
      <c r="CK69" s="7"/>
      <c r="CL69" s="8" t="s">
        <v>679</v>
      </c>
      <c r="CM69">
        <v>0.6</v>
      </c>
      <c r="CP69">
        <v>40</v>
      </c>
    </row>
    <row r="70" customFormat="1" spans="1:101">
      <c r="A70" t="s">
        <v>680</v>
      </c>
      <c r="C70" t="s">
        <v>494</v>
      </c>
      <c r="K70" s="3"/>
      <c r="L70" s="3"/>
      <c r="M70" s="3"/>
      <c r="N70" s="3"/>
      <c r="O70" s="3" t="s">
        <v>679</v>
      </c>
      <c r="P70" s="3"/>
      <c r="Q70" s="3"/>
      <c r="R70" s="3"/>
      <c r="S70" s="3"/>
      <c r="T70" s="3"/>
      <c r="U70" s="3"/>
      <c r="V70" s="3"/>
      <c r="W70" s="3"/>
      <c r="X70" s="3"/>
      <c r="AC70">
        <v>1</v>
      </c>
      <c r="AO70" t="s">
        <v>556</v>
      </c>
      <c r="AR70" s="5" t="s">
        <v>659</v>
      </c>
      <c r="AW70">
        <v>1</v>
      </c>
      <c r="AX70">
        <v>1</v>
      </c>
      <c r="BB70">
        <v>2</v>
      </c>
      <c r="BM70" s="6"/>
      <c r="BN70" s="6"/>
      <c r="BT70" s="4"/>
      <c r="BU70" s="4"/>
      <c r="BV70" s="4"/>
      <c r="BW70" s="4"/>
      <c r="BX70" s="4"/>
      <c r="BY70" s="4"/>
      <c r="BZ70" t="s">
        <v>73</v>
      </c>
      <c r="CA70"/>
      <c r="CB70"/>
      <c r="CC70"/>
      <c r="CD70"/>
      <c r="CE70" t="s">
        <v>513</v>
      </c>
      <c r="CF70" t="s">
        <v>661</v>
      </c>
      <c r="CG70" t="s">
        <v>560</v>
      </c>
      <c r="CH70" t="s">
        <v>662</v>
      </c>
      <c r="CI70"/>
      <c r="CJ70"/>
      <c r="CK70" s="7"/>
      <c r="CL70" s="8"/>
      <c r="CW70" t="s">
        <v>562</v>
      </c>
    </row>
    <row r="71" customFormat="1" spans="1:94">
      <c r="A71" t="s">
        <v>681</v>
      </c>
      <c r="C71" t="s">
        <v>494</v>
      </c>
      <c r="I71">
        <v>1</v>
      </c>
      <c r="K71" s="3"/>
      <c r="L71" s="3"/>
      <c r="M71" s="3"/>
      <c r="N71" s="3"/>
      <c r="O71" s="3" t="s">
        <v>679</v>
      </c>
      <c r="P71" s="3"/>
      <c r="Q71" s="3"/>
      <c r="R71" s="3"/>
      <c r="S71" s="3"/>
      <c r="T71" s="3"/>
      <c r="U71" s="3"/>
      <c r="V71" s="3"/>
      <c r="W71" s="3"/>
      <c r="X71" s="3"/>
      <c r="AC71">
        <v>1</v>
      </c>
      <c r="AR71" s="5" t="s">
        <v>659</v>
      </c>
      <c r="BB71">
        <v>99</v>
      </c>
      <c r="BM71" s="6"/>
      <c r="BN71" s="6"/>
      <c r="BQ71">
        <v>0.1</v>
      </c>
      <c r="BT71" s="4"/>
      <c r="BU71" s="4"/>
      <c r="BV71" s="4"/>
      <c r="BW71" s="4"/>
      <c r="BX71" s="4"/>
      <c r="BY71" s="4"/>
      <c r="CK71" s="7"/>
      <c r="CL71" s="8" t="s">
        <v>682</v>
      </c>
      <c r="CM71">
        <v>-0.5</v>
      </c>
      <c r="CP71">
        <v>0.2</v>
      </c>
    </row>
    <row r="72" customFormat="1" spans="11:90"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AR72" s="11"/>
      <c r="BM72" s="13"/>
      <c r="BN72" s="13"/>
      <c r="BT72" s="4"/>
      <c r="BU72" s="4"/>
      <c r="BV72" s="4"/>
      <c r="BW72" s="4"/>
      <c r="BX72" s="4"/>
      <c r="BY72" s="4"/>
      <c r="CK72" s="17"/>
      <c r="CL72" s="18"/>
    </row>
    <row r="73" customFormat="1" spans="1:101">
      <c r="A73" t="s">
        <v>683</v>
      </c>
      <c r="C73" t="s">
        <v>494</v>
      </c>
      <c r="K73" s="3" t="s">
        <v>545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AC73">
        <v>2</v>
      </c>
      <c r="AD73">
        <v>1</v>
      </c>
      <c r="AO73" t="s">
        <v>510</v>
      </c>
      <c r="AP73"/>
      <c r="AQ73" t="s">
        <v>684</v>
      </c>
      <c r="AR73" t="s">
        <v>500</v>
      </c>
      <c r="AV73" t="s">
        <v>512</v>
      </c>
      <c r="AX73">
        <v>1</v>
      </c>
      <c r="BB73">
        <v>1</v>
      </c>
      <c r="BM73" s="14"/>
      <c r="BN73" s="14"/>
      <c r="BT73" s="4"/>
      <c r="BU73" s="4"/>
      <c r="BV73" s="4"/>
      <c r="BW73" s="4"/>
      <c r="BX73" s="4"/>
      <c r="BY73" s="4"/>
      <c r="BZ73" t="s">
        <v>73</v>
      </c>
      <c r="CE73" t="s">
        <v>513</v>
      </c>
      <c r="CF73" t="s">
        <v>685</v>
      </c>
      <c r="CG73" t="s">
        <v>560</v>
      </c>
      <c r="CH73" t="s">
        <v>686</v>
      </c>
      <c r="CL73" s="19" t="s">
        <v>548</v>
      </c>
      <c r="CM73">
        <v>-0.8</v>
      </c>
      <c r="CP73">
        <v>0.8</v>
      </c>
      <c r="CU73" t="s">
        <v>687</v>
      </c>
      <c r="CW73" t="s">
        <v>688</v>
      </c>
    </row>
    <row r="74" customFormat="1" spans="1:94">
      <c r="A74" t="s">
        <v>689</v>
      </c>
      <c r="C74" t="s">
        <v>494</v>
      </c>
      <c r="D74" t="s">
        <v>675</v>
      </c>
      <c r="E74" t="s">
        <v>690</v>
      </c>
      <c r="F74" t="s">
        <v>691</v>
      </c>
      <c r="G74">
        <v>3</v>
      </c>
      <c r="J74" t="s">
        <v>542</v>
      </c>
      <c r="K74" s="3" t="s">
        <v>543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AC74">
        <v>1</v>
      </c>
      <c r="AR74" s="5"/>
      <c r="AW74" s="3"/>
      <c r="BB74">
        <v>1</v>
      </c>
      <c r="BM74" s="6" t="s">
        <v>692</v>
      </c>
      <c r="BN74" s="6"/>
      <c r="BR74">
        <v>25</v>
      </c>
      <c r="BT74" s="4">
        <v>20</v>
      </c>
      <c r="BU74" s="4">
        <v>35</v>
      </c>
      <c r="BV74" s="4">
        <v>1</v>
      </c>
      <c r="BW74" s="4" t="s">
        <v>545</v>
      </c>
      <c r="BX74" s="4"/>
      <c r="BY74" s="4"/>
      <c r="BZ74" s="3"/>
      <c r="CA74" s="3"/>
      <c r="CB74" s="3"/>
      <c r="CC74" s="3"/>
      <c r="CD74" s="3"/>
      <c r="CF74" s="3"/>
      <c r="CG74" s="3"/>
      <c r="CH74" s="3"/>
      <c r="CI74" s="3"/>
      <c r="CJ74" s="3"/>
      <c r="CK74" s="7"/>
      <c r="CL74" s="8" t="s">
        <v>693</v>
      </c>
      <c r="CM74">
        <v>0.5</v>
      </c>
      <c r="CP74">
        <v>25</v>
      </c>
    </row>
    <row r="75" customFormat="1" spans="1:101">
      <c r="A75" t="s">
        <v>692</v>
      </c>
      <c r="C75" t="s">
        <v>494</v>
      </c>
      <c r="K75" s="3" t="s">
        <v>545</v>
      </c>
      <c r="L75" s="3"/>
      <c r="M75" s="3"/>
      <c r="N75" s="3"/>
      <c r="O75" s="3" t="s">
        <v>693</v>
      </c>
      <c r="P75" s="3"/>
      <c r="Q75" s="3"/>
      <c r="R75" s="3"/>
      <c r="S75" s="3"/>
      <c r="T75" s="3"/>
      <c r="U75" s="3"/>
      <c r="V75" s="3"/>
      <c r="W75" s="3"/>
      <c r="X75" s="3"/>
      <c r="AC75">
        <v>2</v>
      </c>
      <c r="AD75">
        <v>1</v>
      </c>
      <c r="AO75" t="s">
        <v>510</v>
      </c>
      <c r="AQ75" t="s">
        <v>684</v>
      </c>
      <c r="AR75" t="s">
        <v>500</v>
      </c>
      <c r="AV75" t="s">
        <v>512</v>
      </c>
      <c r="AW75"/>
      <c r="AX75">
        <v>1</v>
      </c>
      <c r="BB75">
        <v>2</v>
      </c>
      <c r="BM75" s="14"/>
      <c r="BN75" s="14"/>
      <c r="BT75" s="4"/>
      <c r="BU75" s="4"/>
      <c r="BV75" s="4"/>
      <c r="BW75" s="4"/>
      <c r="BX75" s="4"/>
      <c r="BY75" s="4"/>
      <c r="BZ75" t="s">
        <v>73</v>
      </c>
      <c r="CE75" t="s">
        <v>513</v>
      </c>
      <c r="CF75" t="s">
        <v>685</v>
      </c>
      <c r="CG75" t="s">
        <v>560</v>
      </c>
      <c r="CH75" t="s">
        <v>686</v>
      </c>
      <c r="CL75" s="19" t="s">
        <v>548</v>
      </c>
      <c r="CM75">
        <v>-0.8</v>
      </c>
      <c r="CP75">
        <v>0.8</v>
      </c>
      <c r="CU75" t="s">
        <v>687</v>
      </c>
      <c r="CW75" t="s">
        <v>688</v>
      </c>
    </row>
    <row r="76" customFormat="1" spans="1:101">
      <c r="A76" t="s">
        <v>694</v>
      </c>
      <c r="C76" t="s">
        <v>494</v>
      </c>
      <c r="D76" t="s">
        <v>695</v>
      </c>
      <c r="E76" t="s">
        <v>696</v>
      </c>
      <c r="F76" t="s">
        <v>697</v>
      </c>
      <c r="G76">
        <v>3</v>
      </c>
      <c r="J76" t="s">
        <v>542</v>
      </c>
      <c r="K76" s="3" t="s">
        <v>543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AC76">
        <v>2</v>
      </c>
      <c r="AD76">
        <v>1</v>
      </c>
      <c r="AO76" t="s">
        <v>510</v>
      </c>
      <c r="AQ76" t="s">
        <v>684</v>
      </c>
      <c r="AR76" t="s">
        <v>698</v>
      </c>
      <c r="AV76" t="s">
        <v>512</v>
      </c>
      <c r="AX76">
        <v>4</v>
      </c>
      <c r="BB76">
        <v>99</v>
      </c>
      <c r="BM76" s="14"/>
      <c r="BN76" s="14" t="s">
        <v>699</v>
      </c>
      <c r="BR76">
        <v>0.2</v>
      </c>
      <c r="BT76" s="4">
        <v>20</v>
      </c>
      <c r="BU76" s="4">
        <v>30</v>
      </c>
      <c r="BV76" s="4">
        <v>1</v>
      </c>
      <c r="BW76" s="4" t="s">
        <v>545</v>
      </c>
      <c r="BX76" s="4"/>
      <c r="BY76" s="4"/>
      <c r="BZ76" t="s">
        <v>590</v>
      </c>
      <c r="CE76" t="s">
        <v>513</v>
      </c>
      <c r="CF76"/>
      <c r="CG76"/>
      <c r="CH76" t="s">
        <v>700</v>
      </c>
      <c r="CL76" s="19" t="s">
        <v>701</v>
      </c>
      <c r="CM76"/>
      <c r="CP76">
        <v>6</v>
      </c>
      <c r="CV76" t="s">
        <v>702</v>
      </c>
      <c r="CW76" t="s">
        <v>688</v>
      </c>
    </row>
    <row r="77" customFormat="1" spans="1:100">
      <c r="A77" t="s">
        <v>699</v>
      </c>
      <c r="C77" t="s">
        <v>494</v>
      </c>
      <c r="D77"/>
      <c r="E77"/>
      <c r="F77"/>
      <c r="G77"/>
      <c r="K77" s="3" t="s">
        <v>495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AC77">
        <v>2</v>
      </c>
      <c r="AD77">
        <v>1</v>
      </c>
      <c r="AR77" t="s">
        <v>698</v>
      </c>
      <c r="BB77">
        <v>99</v>
      </c>
      <c r="BM77" s="14"/>
      <c r="BN77" s="14"/>
      <c r="BT77" s="4"/>
      <c r="BU77" s="4"/>
      <c r="BV77" s="4"/>
      <c r="BW77" s="4"/>
      <c r="BX77" s="4"/>
      <c r="BY77" s="4"/>
      <c r="BZ77"/>
      <c r="CL77" s="19" t="s">
        <v>703</v>
      </c>
      <c r="CP77">
        <v>6</v>
      </c>
      <c r="CV77" t="s">
        <v>704</v>
      </c>
    </row>
    <row r="78" customFormat="1" spans="11:90"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BM78" s="14"/>
      <c r="BN78" s="14"/>
      <c r="BT78" s="4"/>
      <c r="BU78" s="4"/>
      <c r="BV78" s="4"/>
      <c r="BW78" s="4"/>
      <c r="BX78" s="4"/>
      <c r="BY78" s="4"/>
      <c r="CL78" s="19"/>
    </row>
    <row r="79" customFormat="1" spans="1:101">
      <c r="A79" t="s">
        <v>705</v>
      </c>
      <c r="C79" t="s">
        <v>517</v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AC79">
        <v>2</v>
      </c>
      <c r="AO79" t="s">
        <v>510</v>
      </c>
      <c r="AR79" t="s">
        <v>519</v>
      </c>
      <c r="AU79" s="12"/>
      <c r="AV79" t="s">
        <v>512</v>
      </c>
      <c r="AX79">
        <v>1</v>
      </c>
      <c r="BB79">
        <v>1</v>
      </c>
      <c r="BM79" s="14"/>
      <c r="BN79" s="14"/>
      <c r="BT79" s="4"/>
      <c r="BU79" s="4"/>
      <c r="BV79" s="4"/>
      <c r="BW79" s="4"/>
      <c r="BX79" s="4"/>
      <c r="BY79" s="4"/>
      <c r="BZ79" t="s">
        <v>73</v>
      </c>
      <c r="CE79" t="s">
        <v>513</v>
      </c>
      <c r="CL79" s="19"/>
      <c r="CV79" t="s">
        <v>706</v>
      </c>
      <c r="CW79" t="s">
        <v>707</v>
      </c>
    </row>
    <row r="80" customFormat="1" spans="1:110">
      <c r="A80" t="s">
        <v>708</v>
      </c>
      <c r="C80" t="s">
        <v>494</v>
      </c>
      <c r="I80">
        <v>1</v>
      </c>
      <c r="K80" s="3"/>
      <c r="L80" s="3"/>
      <c r="M80" s="3"/>
      <c r="N80" s="3">
        <v>5</v>
      </c>
      <c r="O80" s="3"/>
      <c r="P80" s="3"/>
      <c r="Q80" s="3"/>
      <c r="R80" s="3"/>
      <c r="S80" s="3"/>
      <c r="T80" s="3"/>
      <c r="U80" s="3"/>
      <c r="V80" s="3"/>
      <c r="W80" s="3"/>
      <c r="X80" s="3"/>
      <c r="AC80">
        <v>1</v>
      </c>
      <c r="AG80" t="s">
        <v>497</v>
      </c>
      <c r="AR80" s="5"/>
      <c r="AW80" s="3"/>
      <c r="BB80">
        <v>1</v>
      </c>
      <c r="BM80" s="6"/>
      <c r="BN80" s="6"/>
      <c r="BQ80">
        <v>20</v>
      </c>
      <c r="BZ80" s="3"/>
      <c r="CA80" s="3"/>
      <c r="CB80" s="3"/>
      <c r="CC80" s="3"/>
      <c r="CD80" s="3"/>
      <c r="CF80" s="3"/>
      <c r="CG80" s="3"/>
      <c r="CH80" s="3"/>
      <c r="CI80" s="3"/>
      <c r="CJ80" s="3"/>
      <c r="CK80" s="7"/>
      <c r="CL80" s="8" t="s">
        <v>709</v>
      </c>
      <c r="CM80" t="s">
        <v>710</v>
      </c>
      <c r="CP80">
        <v>99999</v>
      </c>
      <c r="DB80">
        <v>1</v>
      </c>
      <c r="DE80">
        <v>1</v>
      </c>
      <c r="DF80">
        <v>1</v>
      </c>
    </row>
    <row r="81" customFormat="1" spans="1:94">
      <c r="A81" t="s">
        <v>711</v>
      </c>
      <c r="C81" t="s">
        <v>494</v>
      </c>
      <c r="D81" t="s">
        <v>712</v>
      </c>
      <c r="E81" t="s">
        <v>713</v>
      </c>
      <c r="F81" t="s">
        <v>714</v>
      </c>
      <c r="G81">
        <v>3</v>
      </c>
      <c r="J81" t="s">
        <v>542</v>
      </c>
      <c r="K81" s="3" t="s">
        <v>543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AC81">
        <v>1</v>
      </c>
      <c r="AG81" t="s">
        <v>497</v>
      </c>
      <c r="AR81" s="5"/>
      <c r="AW81" s="3"/>
      <c r="BB81">
        <v>1</v>
      </c>
      <c r="BM81" s="6"/>
      <c r="BN81" s="6"/>
      <c r="BR81">
        <v>30</v>
      </c>
      <c r="BT81" s="4">
        <v>10</v>
      </c>
      <c r="BU81" s="4">
        <v>30</v>
      </c>
      <c r="BV81" s="4">
        <v>1</v>
      </c>
      <c r="BW81" s="4" t="s">
        <v>545</v>
      </c>
      <c r="BX81" s="4"/>
      <c r="BY81" s="4"/>
      <c r="BZ81" s="3"/>
      <c r="CA81" s="3"/>
      <c r="CB81" s="3"/>
      <c r="CC81" s="3"/>
      <c r="CD81" s="3"/>
      <c r="CF81" s="3"/>
      <c r="CG81" s="3"/>
      <c r="CH81"/>
      <c r="CI81" s="3"/>
      <c r="CJ81" s="3"/>
      <c r="CK81" s="7"/>
      <c r="CL81" s="8" t="s">
        <v>715</v>
      </c>
      <c r="CM81" t="s">
        <v>716</v>
      </c>
      <c r="CP81">
        <v>30</v>
      </c>
    </row>
    <row r="82" customFormat="1" spans="1:94">
      <c r="A82" t="s">
        <v>717</v>
      </c>
      <c r="C82" t="s">
        <v>494</v>
      </c>
      <c r="D82" t="s">
        <v>718</v>
      </c>
      <c r="E82" t="s">
        <v>719</v>
      </c>
      <c r="F82" t="s">
        <v>720</v>
      </c>
      <c r="G82">
        <v>3</v>
      </c>
      <c r="J82" t="s">
        <v>542</v>
      </c>
      <c r="K82" s="3" t="s">
        <v>543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AC82">
        <v>1</v>
      </c>
      <c r="AG82" t="s">
        <v>497</v>
      </c>
      <c r="AR82" s="5"/>
      <c r="AW82" s="3"/>
      <c r="BB82">
        <v>1</v>
      </c>
      <c r="BM82" s="6"/>
      <c r="BN82" s="6"/>
      <c r="BR82">
        <v>15</v>
      </c>
      <c r="BT82" s="4">
        <v>10</v>
      </c>
      <c r="BU82" s="4">
        <v>20</v>
      </c>
      <c r="BV82" s="4">
        <v>1</v>
      </c>
      <c r="BW82" s="4" t="s">
        <v>545</v>
      </c>
      <c r="BX82" s="4"/>
      <c r="BY82" s="4"/>
      <c r="BZ82" s="3"/>
      <c r="CA82" s="3"/>
      <c r="CB82" s="3"/>
      <c r="CC82" s="3"/>
      <c r="CD82" s="3"/>
      <c r="CF82" s="3"/>
      <c r="CG82" s="3"/>
      <c r="CI82" s="3"/>
      <c r="CJ82" s="3"/>
      <c r="CK82" s="7"/>
      <c r="CL82" s="8" t="s">
        <v>721</v>
      </c>
      <c r="CM82" t="s">
        <v>632</v>
      </c>
      <c r="CP82">
        <v>15</v>
      </c>
    </row>
    <row r="83" customFormat="1" spans="1:101">
      <c r="A83" t="s">
        <v>722</v>
      </c>
      <c r="C83" t="s">
        <v>504</v>
      </c>
      <c r="K83" s="3"/>
      <c r="L83" s="3"/>
      <c r="M83" s="3"/>
      <c r="N83" s="3"/>
      <c r="O83" s="3" t="s">
        <v>721</v>
      </c>
      <c r="P83" s="3"/>
      <c r="Q83" s="3"/>
      <c r="R83" s="3"/>
      <c r="S83" s="3"/>
      <c r="T83" s="3"/>
      <c r="U83" s="3"/>
      <c r="V83" s="3"/>
      <c r="W83" s="3"/>
      <c r="X83" s="3"/>
      <c r="AC83">
        <v>2</v>
      </c>
      <c r="AO83" t="s">
        <v>510</v>
      </c>
      <c r="AR83" t="s">
        <v>519</v>
      </c>
      <c r="AU83" s="12"/>
      <c r="AV83" t="s">
        <v>512</v>
      </c>
      <c r="AW83"/>
      <c r="AX83">
        <v>1</v>
      </c>
      <c r="BB83">
        <v>1</v>
      </c>
      <c r="BM83" s="14"/>
      <c r="BN83" s="14"/>
      <c r="BT83" s="4"/>
      <c r="BU83" s="4"/>
      <c r="BV83" s="4"/>
      <c r="BW83" s="4"/>
      <c r="BX83" s="4"/>
      <c r="BY83" s="4"/>
      <c r="BZ83" t="s">
        <v>73</v>
      </c>
      <c r="CA83"/>
      <c r="CB83"/>
      <c r="CC83"/>
      <c r="CD83"/>
      <c r="CE83" t="s">
        <v>513</v>
      </c>
      <c r="CF83"/>
      <c r="CG83"/>
      <c r="CL83" s="19"/>
      <c r="CV83" t="s">
        <v>706</v>
      </c>
      <c r="CW83" t="s">
        <v>723</v>
      </c>
    </row>
    <row r="84" spans="44:90">
      <c r="AR84" s="5"/>
      <c r="BM84" s="6"/>
      <c r="BN84" s="6"/>
      <c r="BT84"/>
      <c r="CK84" s="7"/>
      <c r="CL84" s="7"/>
    </row>
    <row r="85" customFormat="1" ht="15" customHeight="1" spans="1:101">
      <c r="A85" t="s">
        <v>724</v>
      </c>
      <c r="C85" t="s">
        <v>517</v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AC85">
        <v>2</v>
      </c>
      <c r="AO85" t="s">
        <v>510</v>
      </c>
      <c r="AR85" s="5" t="s">
        <v>519</v>
      </c>
      <c r="AV85" t="s">
        <v>520</v>
      </c>
      <c r="AX85">
        <v>1.15</v>
      </c>
      <c r="BB85">
        <v>1</v>
      </c>
      <c r="BM85" s="6"/>
      <c r="BN85" s="6"/>
      <c r="BT85" s="4"/>
      <c r="BU85" s="4"/>
      <c r="BV85" s="4"/>
      <c r="BW85" s="4"/>
      <c r="BX85" s="4"/>
      <c r="BY85" s="4"/>
      <c r="BZ85" t="s">
        <v>725</v>
      </c>
      <c r="CE85" t="s">
        <v>513</v>
      </c>
      <c r="CH85" t="s">
        <v>726</v>
      </c>
      <c r="CK85" s="7"/>
      <c r="CL85" s="8"/>
      <c r="CV85" t="s">
        <v>727</v>
      </c>
      <c r="CW85" t="s">
        <v>728</v>
      </c>
    </row>
    <row r="86" customFormat="1" spans="1:110">
      <c r="A86" t="s">
        <v>729</v>
      </c>
      <c r="C86" t="s">
        <v>494</v>
      </c>
      <c r="I86">
        <v>1</v>
      </c>
      <c r="K86" s="3" t="s">
        <v>495</v>
      </c>
      <c r="L86" s="3" t="s">
        <v>565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AC86">
        <v>1</v>
      </c>
      <c r="AF86">
        <v>1</v>
      </c>
      <c r="AH86">
        <v>1</v>
      </c>
      <c r="AJ86" t="s">
        <v>730</v>
      </c>
      <c r="AR86" s="5"/>
      <c r="AT86">
        <v>20</v>
      </c>
      <c r="AW86" s="3"/>
      <c r="AX86"/>
      <c r="BB86">
        <v>99</v>
      </c>
      <c r="BM86" s="6" t="s">
        <v>731</v>
      </c>
      <c r="BN86" s="6"/>
      <c r="BZ86" s="3"/>
      <c r="CA86" s="3"/>
      <c r="CB86" s="3"/>
      <c r="CC86" s="3"/>
      <c r="CD86" s="3"/>
      <c r="CF86" s="3"/>
      <c r="CG86" s="3"/>
      <c r="CH86" s="3"/>
      <c r="CI86" s="3"/>
      <c r="CJ86" s="3"/>
      <c r="CK86" s="7"/>
      <c r="CL86" s="8" t="s">
        <v>732</v>
      </c>
      <c r="CM86">
        <v>0.16</v>
      </c>
      <c r="CP86">
        <v>99999</v>
      </c>
      <c r="DB86">
        <v>1</v>
      </c>
      <c r="DE86">
        <v>1</v>
      </c>
      <c r="DF86">
        <v>1</v>
      </c>
    </row>
    <row r="87" customFormat="1" ht="15" customHeight="1" spans="1:94">
      <c r="A87" t="s">
        <v>731</v>
      </c>
      <c r="C87" t="s">
        <v>494</v>
      </c>
      <c r="I87">
        <v>1</v>
      </c>
      <c r="K87" s="3" t="s">
        <v>495</v>
      </c>
      <c r="L87" s="3" t="s">
        <v>496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AC87">
        <v>1</v>
      </c>
      <c r="AG87" t="s">
        <v>497</v>
      </c>
      <c r="AH87">
        <v>1</v>
      </c>
      <c r="AR87" s="5"/>
      <c r="AW87" s="3"/>
      <c r="BB87">
        <v>1</v>
      </c>
      <c r="BM87" s="6"/>
      <c r="BN87" s="6"/>
      <c r="BZ87" s="3"/>
      <c r="CA87" s="3"/>
      <c r="CB87" s="3"/>
      <c r="CC87" s="3"/>
      <c r="CD87" s="3"/>
      <c r="CF87" s="3"/>
      <c r="CG87" s="3"/>
      <c r="CH87" s="3"/>
      <c r="CI87" s="3"/>
      <c r="CJ87" s="3"/>
      <c r="CK87" s="7"/>
      <c r="CL87" s="8" t="s">
        <v>733</v>
      </c>
      <c r="CM87">
        <v>-30</v>
      </c>
      <c r="CP87">
        <v>99999</v>
      </c>
    </row>
    <row r="88" customFormat="1" ht="15" customHeight="1" spans="1:94">
      <c r="A88" t="s">
        <v>734</v>
      </c>
      <c r="C88" t="s">
        <v>494</v>
      </c>
      <c r="D88" t="s">
        <v>735</v>
      </c>
      <c r="E88" t="s">
        <v>736</v>
      </c>
      <c r="F88" s="2" t="s">
        <v>737</v>
      </c>
      <c r="G88">
        <v>3</v>
      </c>
      <c r="I88">
        <v>1</v>
      </c>
      <c r="K88" s="3" t="s">
        <v>495</v>
      </c>
      <c r="L88" s="3" t="s">
        <v>738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AC88">
        <v>1</v>
      </c>
      <c r="AG88" t="s">
        <v>497</v>
      </c>
      <c r="AH88"/>
      <c r="AR88" s="5"/>
      <c r="AW88" s="3"/>
      <c r="BB88">
        <v>1</v>
      </c>
      <c r="BM88" s="6"/>
      <c r="BN88" s="6"/>
      <c r="BR88">
        <v>30</v>
      </c>
      <c r="BZ88" s="3"/>
      <c r="CA88" s="3"/>
      <c r="CB88" s="3"/>
      <c r="CC88" s="3"/>
      <c r="CD88" s="3"/>
      <c r="CF88" s="3"/>
      <c r="CG88" s="3"/>
      <c r="CH88" s="3"/>
      <c r="CI88" s="3"/>
      <c r="CJ88" s="3"/>
      <c r="CK88" s="7"/>
      <c r="CL88" s="8" t="s">
        <v>739</v>
      </c>
      <c r="CM88">
        <v>1.7</v>
      </c>
      <c r="CP88">
        <v>39</v>
      </c>
    </row>
    <row r="89" customFormat="1" spans="1:94">
      <c r="A89" t="s">
        <v>740</v>
      </c>
      <c r="C89" t="s">
        <v>494</v>
      </c>
      <c r="D89" t="s">
        <v>741</v>
      </c>
      <c r="E89" t="s">
        <v>742</v>
      </c>
      <c r="F89" t="s">
        <v>743</v>
      </c>
      <c r="G89">
        <v>3</v>
      </c>
      <c r="J89" t="s">
        <v>542</v>
      </c>
      <c r="K89" s="3" t="s">
        <v>543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AC89">
        <v>1</v>
      </c>
      <c r="AG89" t="s">
        <v>497</v>
      </c>
      <c r="AR89" s="5"/>
      <c r="AW89" s="3"/>
      <c r="BB89">
        <v>1</v>
      </c>
      <c r="BM89" s="6"/>
      <c r="BN89" s="6"/>
      <c r="BR89">
        <v>50</v>
      </c>
      <c r="BT89" s="4">
        <v>70</v>
      </c>
      <c r="BU89" s="4">
        <v>90</v>
      </c>
      <c r="BV89" s="4">
        <v>1</v>
      </c>
      <c r="BW89" s="4" t="s">
        <v>545</v>
      </c>
      <c r="BX89" s="4"/>
      <c r="BY89" s="4"/>
      <c r="BZ89" s="3"/>
      <c r="CA89" s="3"/>
      <c r="CB89" s="3"/>
      <c r="CC89" s="3"/>
      <c r="CD89" s="3"/>
      <c r="CF89" s="3"/>
      <c r="CG89" s="3"/>
      <c r="CH89"/>
      <c r="CI89" s="3"/>
      <c r="CJ89" s="3"/>
      <c r="CK89" s="7"/>
      <c r="CL89" s="8" t="s">
        <v>744</v>
      </c>
      <c r="CM89" t="s">
        <v>745</v>
      </c>
      <c r="CP89">
        <v>50</v>
      </c>
    </row>
    <row r="90" spans="44:90">
      <c r="AR90" s="5"/>
      <c r="BM90" s="6"/>
      <c r="BN90" s="6"/>
      <c r="CK90" s="7"/>
      <c r="CL90" s="8"/>
    </row>
    <row r="91" customFormat="1" spans="1:101">
      <c r="A91" t="s">
        <v>746</v>
      </c>
      <c r="C91" t="s">
        <v>517</v>
      </c>
      <c r="K91" s="3"/>
      <c r="L91" s="3"/>
      <c r="M91" s="3"/>
      <c r="N91" s="3"/>
      <c r="O91" s="3"/>
      <c r="P91" t="s">
        <v>747</v>
      </c>
      <c r="Q91" s="3"/>
      <c r="R91" s="3"/>
      <c r="S91" s="3"/>
      <c r="T91" s="3"/>
      <c r="U91" s="3"/>
      <c r="V91" s="3"/>
      <c r="W91" s="3"/>
      <c r="X91" s="3"/>
      <c r="AC91">
        <v>2</v>
      </c>
      <c r="AO91" t="s">
        <v>510</v>
      </c>
      <c r="AR91" s="5" t="s">
        <v>519</v>
      </c>
      <c r="AV91" t="s">
        <v>520</v>
      </c>
      <c r="AX91">
        <v>1</v>
      </c>
      <c r="BB91">
        <v>1</v>
      </c>
      <c r="BC91">
        <v>1</v>
      </c>
      <c r="BD91">
        <v>0.1</v>
      </c>
      <c r="BM91" s="6"/>
      <c r="BN91" s="6"/>
      <c r="BT91" s="4"/>
      <c r="BU91" s="4"/>
      <c r="BV91" s="4"/>
      <c r="BW91" s="4"/>
      <c r="BX91" s="4"/>
      <c r="BY91" s="4"/>
      <c r="BZ91" t="s">
        <v>748</v>
      </c>
      <c r="CE91" t="s">
        <v>513</v>
      </c>
      <c r="CK91" s="7"/>
      <c r="CL91" s="8"/>
      <c r="CV91" t="s">
        <v>727</v>
      </c>
      <c r="CW91" t="s">
        <v>728</v>
      </c>
    </row>
    <row r="92" customFormat="1" ht="15" customHeight="1" spans="1:94">
      <c r="A92" t="s">
        <v>749</v>
      </c>
      <c r="C92" t="s">
        <v>494</v>
      </c>
      <c r="I92">
        <v>1</v>
      </c>
      <c r="K92" s="3" t="s">
        <v>495</v>
      </c>
      <c r="L92" s="3" t="s">
        <v>496</v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AC92">
        <v>1</v>
      </c>
      <c r="AG92" t="s">
        <v>497</v>
      </c>
      <c r="AH92">
        <v>1</v>
      </c>
      <c r="AR92" s="5"/>
      <c r="AW92" s="3"/>
      <c r="BB92">
        <v>1</v>
      </c>
      <c r="BM92" s="6" t="s">
        <v>750</v>
      </c>
      <c r="BN92" s="6"/>
      <c r="BZ92" s="3"/>
      <c r="CA92" s="3"/>
      <c r="CB92" s="3"/>
      <c r="CC92" s="3"/>
      <c r="CD92" s="3"/>
      <c r="CF92" s="3"/>
      <c r="CG92" s="3"/>
      <c r="CH92" s="3"/>
      <c r="CI92" s="3"/>
      <c r="CJ92" s="3"/>
      <c r="CK92" s="7"/>
      <c r="CL92" s="8" t="s">
        <v>751</v>
      </c>
      <c r="CM92" t="s">
        <v>752</v>
      </c>
      <c r="CP92">
        <v>99999</v>
      </c>
    </row>
    <row r="93" customFormat="1" spans="1:110">
      <c r="A93" t="s">
        <v>750</v>
      </c>
      <c r="C93" t="s">
        <v>599</v>
      </c>
      <c r="H93" t="s">
        <v>753</v>
      </c>
      <c r="I93">
        <v>1</v>
      </c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>
        <v>1</v>
      </c>
      <c r="AC93">
        <v>1</v>
      </c>
      <c r="AG93" t="s">
        <v>643</v>
      </c>
      <c r="AR93" s="5"/>
      <c r="AT93">
        <v>20</v>
      </c>
      <c r="AU93"/>
      <c r="AW93" s="3"/>
      <c r="BB93">
        <v>99</v>
      </c>
      <c r="BM93" s="6"/>
      <c r="BN93" s="6" t="s">
        <v>754</v>
      </c>
      <c r="BQ93">
        <v>3</v>
      </c>
      <c r="BZ93" s="3"/>
      <c r="CA93" s="3"/>
      <c r="CB93" s="3"/>
      <c r="CC93" s="3"/>
      <c r="CD93" s="3"/>
      <c r="CF93" s="3"/>
      <c r="CG93" s="3"/>
      <c r="CH93" s="3"/>
      <c r="CI93" s="3"/>
      <c r="CJ93" s="3"/>
      <c r="CK93" s="7"/>
      <c r="CL93" s="8" t="s">
        <v>703</v>
      </c>
      <c r="CP93">
        <v>1.5</v>
      </c>
      <c r="CS93" t="s">
        <v>600</v>
      </c>
      <c r="DB93">
        <v>1</v>
      </c>
      <c r="DE93">
        <v>1</v>
      </c>
      <c r="DF93">
        <v>1</v>
      </c>
    </row>
    <row r="94" customFormat="1" spans="1:97">
      <c r="A94" t="s">
        <v>754</v>
      </c>
      <c r="C94" t="s">
        <v>599</v>
      </c>
      <c r="I94">
        <v>1</v>
      </c>
      <c r="K94" s="3" t="s">
        <v>495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AC94">
        <v>1</v>
      </c>
      <c r="AG94" t="s">
        <v>497</v>
      </c>
      <c r="AR94" s="5"/>
      <c r="AW94" s="3"/>
      <c r="BB94">
        <v>1</v>
      </c>
      <c r="BM94" s="6"/>
      <c r="BN94" s="6"/>
      <c r="BZ94" s="3"/>
      <c r="CA94" s="3"/>
      <c r="CB94" s="3"/>
      <c r="CC94" s="3"/>
      <c r="CD94" s="3"/>
      <c r="CF94" s="3"/>
      <c r="CG94" s="3"/>
      <c r="CH94" s="3"/>
      <c r="CI94" s="3"/>
      <c r="CJ94" s="3"/>
      <c r="CK94" s="7"/>
      <c r="CL94" s="8"/>
      <c r="CS94" t="s">
        <v>755</v>
      </c>
    </row>
    <row r="95" customFormat="1" spans="1:101">
      <c r="A95" t="s">
        <v>756</v>
      </c>
      <c r="C95" t="s">
        <v>517</v>
      </c>
      <c r="D95" t="s">
        <v>757</v>
      </c>
      <c r="E95" t="s">
        <v>758</v>
      </c>
      <c r="F95" t="s">
        <v>759</v>
      </c>
      <c r="G95">
        <v>3</v>
      </c>
      <c r="J95" t="s">
        <v>542</v>
      </c>
      <c r="K95" s="3" t="s">
        <v>545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AC95">
        <v>2</v>
      </c>
      <c r="AO95" t="s">
        <v>510</v>
      </c>
      <c r="AR95" s="5" t="s">
        <v>519</v>
      </c>
      <c r="AV95" t="s">
        <v>520</v>
      </c>
      <c r="AW95"/>
      <c r="AX95">
        <v>3.52</v>
      </c>
      <c r="BB95">
        <v>1</v>
      </c>
      <c r="BM95" s="6" t="s">
        <v>760</v>
      </c>
      <c r="BN95" s="6"/>
      <c r="BR95">
        <v>1</v>
      </c>
      <c r="BT95" s="4">
        <v>0</v>
      </c>
      <c r="BU95" s="4">
        <v>4</v>
      </c>
      <c r="BV95" s="4">
        <v>1</v>
      </c>
      <c r="BW95" s="4" t="s">
        <v>584</v>
      </c>
      <c r="BX95" s="4"/>
      <c r="BY95" s="4"/>
      <c r="BZ95" t="s">
        <v>590</v>
      </c>
      <c r="CA95"/>
      <c r="CB95"/>
      <c r="CC95"/>
      <c r="CD95"/>
      <c r="CE95" t="s">
        <v>513</v>
      </c>
      <c r="CF95"/>
      <c r="CG95"/>
      <c r="CH95"/>
      <c r="CI95"/>
      <c r="CJ95"/>
      <c r="CK95" s="7"/>
      <c r="CL95" s="8" t="s">
        <v>703</v>
      </c>
      <c r="CP95">
        <v>1.5</v>
      </c>
      <c r="CV95" t="s">
        <v>591</v>
      </c>
      <c r="CW95" t="s">
        <v>761</v>
      </c>
    </row>
    <row r="96" customFormat="1" spans="1:128">
      <c r="A96" s="2" t="s">
        <v>760</v>
      </c>
      <c r="C96" t="s">
        <v>494</v>
      </c>
      <c r="D96" s="2"/>
      <c r="E96" s="2"/>
      <c r="F96" s="2"/>
      <c r="I96">
        <v>1</v>
      </c>
      <c r="K96" s="10" t="s">
        <v>495</v>
      </c>
      <c r="L96" s="10" t="s">
        <v>762</v>
      </c>
      <c r="M96"/>
      <c r="N96"/>
      <c r="O96" s="10"/>
      <c r="P96" s="10"/>
      <c r="Q96" s="10"/>
      <c r="R96" s="10"/>
      <c r="S96" s="10"/>
      <c r="T96" s="10"/>
      <c r="U96" s="10"/>
      <c r="V96" s="10"/>
      <c r="W96" s="10"/>
      <c r="X96" s="10"/>
      <c r="AC96">
        <v>1</v>
      </c>
      <c r="AG96" t="s">
        <v>497</v>
      </c>
      <c r="AH96" s="10"/>
      <c r="AI96" s="10"/>
      <c r="AR96" s="5"/>
      <c r="BB96">
        <v>1</v>
      </c>
      <c r="BM96" s="6"/>
      <c r="BN96" s="6"/>
      <c r="BQ96" s="10"/>
      <c r="BR96" s="10"/>
      <c r="BT96" s="15"/>
      <c r="BU96" s="15"/>
      <c r="BV96" s="15"/>
      <c r="BW96" s="15"/>
      <c r="BX96"/>
      <c r="BY96"/>
      <c r="BZ96" s="2" t="s">
        <v>763</v>
      </c>
      <c r="CA96" s="10"/>
      <c r="CB96" s="10"/>
      <c r="CC96" s="10"/>
      <c r="CD96" s="10"/>
      <c r="CE96" t="s">
        <v>513</v>
      </c>
      <c r="CK96" s="7"/>
      <c r="CL96" s="7"/>
      <c r="CQ96" s="2"/>
      <c r="CV96" s="10"/>
      <c r="CX96" s="15"/>
      <c r="CY96" s="15"/>
      <c r="CZ96" s="15"/>
      <c r="DA96" s="15"/>
      <c r="DB96" s="15"/>
      <c r="DC96" s="15"/>
      <c r="DD96" s="2"/>
      <c r="DE96" s="10"/>
      <c r="DF96" s="10"/>
      <c r="DG96" s="10"/>
      <c r="DH96" s="10"/>
      <c r="DJ96" s="10"/>
      <c r="DK96" s="10"/>
      <c r="DM96" s="10"/>
      <c r="DN96" s="10"/>
      <c r="DO96" s="2"/>
      <c r="DX96" s="2"/>
    </row>
    <row r="97" customFormat="1" spans="1:101">
      <c r="A97" t="s">
        <v>764</v>
      </c>
      <c r="C97" t="s">
        <v>517</v>
      </c>
      <c r="D97" t="s">
        <v>765</v>
      </c>
      <c r="E97" t="s">
        <v>766</v>
      </c>
      <c r="F97" t="s">
        <v>767</v>
      </c>
      <c r="G97">
        <v>3</v>
      </c>
      <c r="J97" t="s">
        <v>542</v>
      </c>
      <c r="K97" s="3" t="s">
        <v>543</v>
      </c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AB97">
        <v>1</v>
      </c>
      <c r="AC97">
        <v>2</v>
      </c>
      <c r="AD97">
        <v>1</v>
      </c>
      <c r="AO97" t="s">
        <v>510</v>
      </c>
      <c r="AR97" s="5" t="s">
        <v>768</v>
      </c>
      <c r="AV97" t="s">
        <v>520</v>
      </c>
      <c r="AX97">
        <v>5.5</v>
      </c>
      <c r="BB97">
        <v>7</v>
      </c>
      <c r="BM97" s="6" t="s">
        <v>769</v>
      </c>
      <c r="BN97" s="6"/>
      <c r="BR97">
        <v>1.167</v>
      </c>
      <c r="BT97" s="4">
        <v>20</v>
      </c>
      <c r="BU97" s="4">
        <v>20</v>
      </c>
      <c r="BV97" s="4">
        <v>1</v>
      </c>
      <c r="BW97" s="4" t="s">
        <v>584</v>
      </c>
      <c r="BX97" s="4"/>
      <c r="BY97" s="4"/>
      <c r="BZ97" t="s">
        <v>770</v>
      </c>
      <c r="CE97" t="s">
        <v>513</v>
      </c>
      <c r="CK97" s="7"/>
      <c r="CL97" s="8" t="s">
        <v>771</v>
      </c>
      <c r="CP97">
        <v>1</v>
      </c>
      <c r="CV97" t="s">
        <v>591</v>
      </c>
      <c r="CW97" t="s">
        <v>761</v>
      </c>
    </row>
    <row r="98" customFormat="1" spans="1:109">
      <c r="A98" t="s">
        <v>772</v>
      </c>
      <c r="C98" t="s">
        <v>494</v>
      </c>
      <c r="I98">
        <v>1</v>
      </c>
      <c r="K98" s="3"/>
      <c r="L98" s="3"/>
      <c r="M98" s="3"/>
      <c r="N98" s="3"/>
      <c r="O98" s="3"/>
      <c r="P98" s="3"/>
      <c r="Q98" s="3" t="s">
        <v>771</v>
      </c>
      <c r="R98" s="3"/>
      <c r="S98" s="3"/>
      <c r="T98" s="3"/>
      <c r="U98" s="3"/>
      <c r="V98" s="3"/>
      <c r="W98" s="3"/>
      <c r="X98" s="3"/>
      <c r="AC98">
        <v>2</v>
      </c>
      <c r="AD98">
        <v>1</v>
      </c>
      <c r="AR98" s="5"/>
      <c r="AT98">
        <v>20</v>
      </c>
      <c r="AU98"/>
      <c r="AV98" t="s">
        <v>512</v>
      </c>
      <c r="AW98" s="3"/>
      <c r="AX98">
        <v>5.5</v>
      </c>
      <c r="BB98">
        <v>99</v>
      </c>
      <c r="BM98" s="6"/>
      <c r="BN98" s="6"/>
      <c r="BZ98" s="3"/>
      <c r="CA98" s="3"/>
      <c r="CB98" s="3"/>
      <c r="CC98" s="3"/>
      <c r="CD98" s="3"/>
      <c r="CF98" s="3"/>
      <c r="CG98" s="3"/>
      <c r="CH98" s="3"/>
      <c r="CI98" s="3"/>
      <c r="CJ98" s="3"/>
      <c r="CK98" s="7" t="s">
        <v>771</v>
      </c>
      <c r="CL98" s="8"/>
      <c r="DB98">
        <v>1</v>
      </c>
      <c r="DE98">
        <v>1</v>
      </c>
    </row>
    <row r="99" customFormat="1" spans="1:128">
      <c r="A99" s="2" t="s">
        <v>773</v>
      </c>
      <c r="C99" t="s">
        <v>494</v>
      </c>
      <c r="D99" s="2"/>
      <c r="E99" s="2"/>
      <c r="F99" s="2"/>
      <c r="I99">
        <v>1</v>
      </c>
      <c r="K99" s="10" t="s">
        <v>495</v>
      </c>
      <c r="L99" s="10" t="s">
        <v>762</v>
      </c>
      <c r="M99"/>
      <c r="N99"/>
      <c r="O99" s="10"/>
      <c r="P99" s="10"/>
      <c r="Q99" s="10"/>
      <c r="R99" s="10"/>
      <c r="S99" s="10"/>
      <c r="T99" s="10"/>
      <c r="U99" s="10"/>
      <c r="V99" s="10"/>
      <c r="W99" s="10"/>
      <c r="X99" s="10"/>
      <c r="AC99">
        <v>1</v>
      </c>
      <c r="AG99" t="s">
        <v>497</v>
      </c>
      <c r="AH99" s="10"/>
      <c r="AI99" s="10"/>
      <c r="AR99" s="5"/>
      <c r="BB99">
        <v>1</v>
      </c>
      <c r="BM99" s="6"/>
      <c r="BN99" s="6"/>
      <c r="BQ99" s="10"/>
      <c r="BR99" s="10"/>
      <c r="BT99" s="15"/>
      <c r="BU99" s="15"/>
      <c r="BV99" s="15"/>
      <c r="BW99" s="15"/>
      <c r="BZ99" s="2" t="s">
        <v>774</v>
      </c>
      <c r="CA99" s="10"/>
      <c r="CB99" s="10"/>
      <c r="CC99" s="10"/>
      <c r="CD99" s="10"/>
      <c r="CE99" t="s">
        <v>513</v>
      </c>
      <c r="CF99"/>
      <c r="CG99"/>
      <c r="CH99"/>
      <c r="CI99"/>
      <c r="CJ99"/>
      <c r="CK99" s="7"/>
      <c r="CL99" s="7"/>
      <c r="CQ99" s="2"/>
      <c r="CV99" s="10"/>
      <c r="CX99" s="15"/>
      <c r="CY99" s="15"/>
      <c r="CZ99" s="15"/>
      <c r="DA99" s="15"/>
      <c r="DB99" s="15"/>
      <c r="DC99" s="15"/>
      <c r="DD99" s="2"/>
      <c r="DE99" s="10"/>
      <c r="DF99" s="10"/>
      <c r="DG99" s="10"/>
      <c r="DH99" s="10"/>
      <c r="DJ99" s="10"/>
      <c r="DK99" s="10"/>
      <c r="DM99" s="10"/>
      <c r="DN99" s="10"/>
      <c r="DO99" s="2"/>
      <c r="DX99" s="2"/>
    </row>
    <row r="100" customFormat="1" spans="1:130">
      <c r="A100" s="2" t="s">
        <v>775</v>
      </c>
      <c r="C100" t="s">
        <v>494</v>
      </c>
      <c r="D100" s="2" t="s">
        <v>776</v>
      </c>
      <c r="E100" s="2" t="s">
        <v>777</v>
      </c>
      <c r="F100" s="2" t="s">
        <v>778</v>
      </c>
      <c r="G100">
        <v>3</v>
      </c>
      <c r="J100" t="s">
        <v>542</v>
      </c>
      <c r="K100" s="10" t="s">
        <v>543</v>
      </c>
      <c r="L100" s="10"/>
      <c r="M100"/>
      <c r="N10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AB100">
        <v>1</v>
      </c>
      <c r="AC100">
        <v>2</v>
      </c>
      <c r="AD100">
        <v>1</v>
      </c>
      <c r="AH100" s="10"/>
      <c r="AI100" s="10"/>
      <c r="AR100" s="5" t="s">
        <v>779</v>
      </c>
      <c r="BB100">
        <v>1</v>
      </c>
      <c r="BM100" s="16" t="s">
        <v>780</v>
      </c>
      <c r="BN100" s="16" t="s">
        <v>781</v>
      </c>
      <c r="BR100">
        <v>3</v>
      </c>
      <c r="BS100"/>
      <c r="BT100" s="15">
        <v>16</v>
      </c>
      <c r="BU100" s="15">
        <v>24</v>
      </c>
      <c r="BV100" s="15">
        <v>1</v>
      </c>
      <c r="BW100" s="15" t="s">
        <v>545</v>
      </c>
      <c r="CK100" s="7"/>
      <c r="CL100" s="7"/>
      <c r="CQ100" s="2"/>
      <c r="CX100" s="15"/>
      <c r="CY100" s="15"/>
      <c r="CZ100" s="15"/>
      <c r="DA100" s="15"/>
      <c r="DB100" s="15"/>
      <c r="DC100" s="15"/>
      <c r="DD100" s="2"/>
      <c r="DJ100" s="10"/>
      <c r="DK100" s="10"/>
      <c r="DM100" s="10"/>
      <c r="DN100" s="10"/>
      <c r="DO100" s="2"/>
      <c r="DY100" s="2"/>
      <c r="DZ100" s="2"/>
    </row>
    <row r="101" customFormat="1" spans="1:129">
      <c r="A101" s="2" t="s">
        <v>782</v>
      </c>
      <c r="C101" t="s">
        <v>494</v>
      </c>
      <c r="D101" s="2"/>
      <c r="E101" s="2"/>
      <c r="F101" s="2"/>
      <c r="I101">
        <v>1</v>
      </c>
      <c r="K101" s="10" t="s">
        <v>495</v>
      </c>
      <c r="L101" s="10"/>
      <c r="M101"/>
      <c r="N101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AC101">
        <v>1</v>
      </c>
      <c r="AG101" t="s">
        <v>497</v>
      </c>
      <c r="AH101" s="10"/>
      <c r="AI101" s="10"/>
      <c r="AR101" s="5"/>
      <c r="BB101">
        <v>1</v>
      </c>
      <c r="BM101" s="6"/>
      <c r="BN101" s="6"/>
      <c r="BT101" s="15"/>
      <c r="BU101" s="15"/>
      <c r="BV101" s="15"/>
      <c r="BW101" s="15"/>
      <c r="CK101" s="7"/>
      <c r="CL101" s="8" t="s">
        <v>783</v>
      </c>
      <c r="CM101">
        <v>-9999</v>
      </c>
      <c r="CN101">
        <v>-2</v>
      </c>
      <c r="CP101">
        <v>3</v>
      </c>
      <c r="CQ101" s="2"/>
      <c r="CX101" s="15"/>
      <c r="CY101" s="15"/>
      <c r="CZ101" s="15"/>
      <c r="DA101" s="15"/>
      <c r="DB101" s="15"/>
      <c r="DC101" s="15"/>
      <c r="DJ101" s="10"/>
      <c r="DK101" s="10"/>
      <c r="DM101" s="10"/>
      <c r="DN101" s="10"/>
      <c r="DO101" s="2"/>
      <c r="DP101"/>
      <c r="DY101" s="2"/>
    </row>
    <row r="102" customFormat="1" spans="1:129">
      <c r="A102" s="2" t="s">
        <v>784</v>
      </c>
      <c r="C102" t="s">
        <v>494</v>
      </c>
      <c r="D102" s="2"/>
      <c r="E102" s="2"/>
      <c r="F102" s="2"/>
      <c r="I102">
        <v>1</v>
      </c>
      <c r="K102" s="10" t="s">
        <v>495</v>
      </c>
      <c r="L102" s="10"/>
      <c r="M102"/>
      <c r="N102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AC102">
        <v>1</v>
      </c>
      <c r="AG102" t="s">
        <v>497</v>
      </c>
      <c r="AH102" s="10"/>
      <c r="AI102" s="10"/>
      <c r="AR102" s="5"/>
      <c r="BB102">
        <v>1</v>
      </c>
      <c r="BM102" s="6"/>
      <c r="BN102" s="6"/>
      <c r="BT102" s="15"/>
      <c r="BU102" s="15"/>
      <c r="BV102" s="15"/>
      <c r="BW102" s="15"/>
      <c r="CK102" s="7"/>
      <c r="CL102" s="8" t="s">
        <v>785</v>
      </c>
      <c r="CM102"/>
      <c r="CP102">
        <v>2.9</v>
      </c>
      <c r="CQ102" s="2"/>
      <c r="CX102" s="15"/>
      <c r="CY102" s="15"/>
      <c r="CZ102" s="15"/>
      <c r="DA102" s="15"/>
      <c r="DB102" s="15"/>
      <c r="DC102" s="15"/>
      <c r="DJ102" s="10"/>
      <c r="DK102" s="10"/>
      <c r="DM102" s="10"/>
      <c r="DN102" s="10"/>
      <c r="DO102" s="2"/>
      <c r="DP102"/>
      <c r="DY102" s="2"/>
    </row>
    <row r="103" customFormat="1" spans="1:128">
      <c r="A103" s="2" t="s">
        <v>786</v>
      </c>
      <c r="C103" t="s">
        <v>494</v>
      </c>
      <c r="D103" s="2"/>
      <c r="E103" s="2"/>
      <c r="F103" s="2"/>
      <c r="I103">
        <v>1</v>
      </c>
      <c r="K103" s="10" t="s">
        <v>495</v>
      </c>
      <c r="L103" s="10"/>
      <c r="M103"/>
      <c r="N103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AC103">
        <v>1</v>
      </c>
      <c r="AG103" t="s">
        <v>497</v>
      </c>
      <c r="AH103" s="10"/>
      <c r="AI103" s="10"/>
      <c r="AR103" s="5"/>
      <c r="BB103">
        <v>1</v>
      </c>
      <c r="BM103" s="6"/>
      <c r="BN103" s="6"/>
      <c r="BQ103" s="10">
        <v>2.933</v>
      </c>
      <c r="BT103" s="15"/>
      <c r="BU103" s="15"/>
      <c r="BV103" s="15"/>
      <c r="BW103" s="15"/>
      <c r="BZ103" s="2" t="s">
        <v>787</v>
      </c>
      <c r="CA103" s="10"/>
      <c r="CB103" s="10"/>
      <c r="CC103" s="10"/>
      <c r="CD103" s="10"/>
      <c r="CE103" t="s">
        <v>513</v>
      </c>
      <c r="CF103"/>
      <c r="CG103"/>
      <c r="CH103"/>
      <c r="CI103"/>
      <c r="CJ103"/>
      <c r="CK103" s="7"/>
      <c r="CL103" s="7"/>
      <c r="CQ103" s="2"/>
      <c r="CV103" s="10"/>
      <c r="CX103" s="15"/>
      <c r="CY103" s="15"/>
      <c r="CZ103" s="15"/>
      <c r="DA103" s="15"/>
      <c r="DB103" s="15"/>
      <c r="DC103" s="15"/>
      <c r="DD103" s="2"/>
      <c r="DE103" s="10"/>
      <c r="DF103" s="10"/>
      <c r="DG103" s="10"/>
      <c r="DH103" s="10"/>
      <c r="DI103"/>
      <c r="DJ103" s="10"/>
      <c r="DK103" s="10"/>
      <c r="DM103" s="10"/>
      <c r="DN103" s="10"/>
      <c r="DO103" s="2"/>
      <c r="DX103" s="2"/>
    </row>
    <row r="104" customFormat="1" spans="1:130">
      <c r="A104" s="2" t="s">
        <v>788</v>
      </c>
      <c r="C104" t="s">
        <v>494</v>
      </c>
      <c r="D104" s="2"/>
      <c r="E104" s="2"/>
      <c r="F104" s="2"/>
      <c r="G104"/>
      <c r="I104">
        <v>1</v>
      </c>
      <c r="K104" s="10" t="s">
        <v>495</v>
      </c>
      <c r="L104" s="10"/>
      <c r="M104"/>
      <c r="N104"/>
      <c r="O104" s="10"/>
      <c r="P104" s="10"/>
      <c r="Q104" s="10"/>
      <c r="R104" s="10"/>
      <c r="S104" s="10"/>
      <c r="T104" s="10"/>
      <c r="U104" s="10"/>
      <c r="V104" s="10"/>
      <c r="W104" s="10"/>
      <c r="X104" s="3">
        <v>1</v>
      </c>
      <c r="Y104">
        <v>1</v>
      </c>
      <c r="AC104">
        <v>2</v>
      </c>
      <c r="AD104">
        <v>1</v>
      </c>
      <c r="AH104" s="10"/>
      <c r="AI104" s="10"/>
      <c r="AO104" s="2" t="s">
        <v>789</v>
      </c>
      <c r="AP104" t="s">
        <v>790</v>
      </c>
      <c r="AR104" s="5" t="s">
        <v>779</v>
      </c>
      <c r="AV104" t="s">
        <v>520</v>
      </c>
      <c r="AX104">
        <v>3.52</v>
      </c>
      <c r="AY104" s="10"/>
      <c r="AZ104"/>
      <c r="BB104">
        <v>1</v>
      </c>
      <c r="BC104">
        <v>8</v>
      </c>
      <c r="BD104">
        <v>0.2</v>
      </c>
      <c r="BE104">
        <v>1</v>
      </c>
      <c r="BM104" s="6"/>
      <c r="BN104" s="6"/>
      <c r="BQ104" s="10"/>
      <c r="BT104" s="15"/>
      <c r="BU104" s="15"/>
      <c r="BV104" s="15"/>
      <c r="BW104" s="15"/>
      <c r="BZ104" s="2"/>
      <c r="CA104" s="10">
        <v>0.6</v>
      </c>
      <c r="CB104" s="10"/>
      <c r="CC104" s="10"/>
      <c r="CD104" s="10"/>
      <c r="CE104"/>
      <c r="CF104"/>
      <c r="CG104"/>
      <c r="CH104"/>
      <c r="CI104"/>
      <c r="CJ104"/>
      <c r="CK104" s="7"/>
      <c r="CL104" s="7"/>
      <c r="CM104"/>
      <c r="CQ104" s="2"/>
      <c r="CV104" s="10"/>
      <c r="CW104" t="s">
        <v>761</v>
      </c>
      <c r="CX104" s="15"/>
      <c r="CY104" s="15"/>
      <c r="CZ104" s="15"/>
      <c r="DA104" s="15"/>
      <c r="DB104" s="15"/>
      <c r="DC104" s="15"/>
      <c r="DD104" s="2"/>
      <c r="DE104" s="10"/>
      <c r="DF104" s="10"/>
      <c r="DG104" s="10"/>
      <c r="DH104" s="10"/>
      <c r="DJ104" s="10"/>
      <c r="DK104" s="10"/>
      <c r="DL104" s="2"/>
      <c r="DM104" s="10"/>
      <c r="DN104" s="10"/>
      <c r="DO104" s="2"/>
      <c r="DP104"/>
      <c r="DY104" s="2"/>
      <c r="DZ104" s="2"/>
    </row>
    <row r="105" customFormat="1" spans="1:130">
      <c r="A105" s="2" t="s">
        <v>791</v>
      </c>
      <c r="C105" t="s">
        <v>494</v>
      </c>
      <c r="D105" s="2"/>
      <c r="E105" s="2"/>
      <c r="F105" s="2"/>
      <c r="G105"/>
      <c r="I105">
        <v>1</v>
      </c>
      <c r="K105" s="10" t="s">
        <v>495</v>
      </c>
      <c r="L105" s="10"/>
      <c r="M105"/>
      <c r="N105"/>
      <c r="O105" s="10"/>
      <c r="P105" s="10"/>
      <c r="Q105" s="10"/>
      <c r="R105" s="10"/>
      <c r="S105" s="3"/>
      <c r="T105" s="10"/>
      <c r="U105" s="10"/>
      <c r="V105" s="10"/>
      <c r="W105" s="10"/>
      <c r="X105" s="3">
        <v>1</v>
      </c>
      <c r="Y105">
        <v>1</v>
      </c>
      <c r="AC105">
        <v>2</v>
      </c>
      <c r="AD105">
        <v>1</v>
      </c>
      <c r="AH105" s="10"/>
      <c r="AI105" s="10"/>
      <c r="AO105" s="2" t="s">
        <v>789</v>
      </c>
      <c r="AP105" t="s">
        <v>790</v>
      </c>
      <c r="AR105" s="5" t="s">
        <v>779</v>
      </c>
      <c r="AV105" t="s">
        <v>520</v>
      </c>
      <c r="AX105">
        <v>3.52</v>
      </c>
      <c r="AY105" s="10"/>
      <c r="AZ105"/>
      <c r="BB105">
        <v>1</v>
      </c>
      <c r="BM105" s="6"/>
      <c r="BN105" s="6"/>
      <c r="BQ105" s="10"/>
      <c r="BT105" s="15"/>
      <c r="BU105" s="15"/>
      <c r="BV105" s="15"/>
      <c r="BW105" s="15"/>
      <c r="BZ105" s="2"/>
      <c r="CA105" s="10">
        <v>3</v>
      </c>
      <c r="CB105" s="10"/>
      <c r="CC105" s="10"/>
      <c r="CD105" s="10"/>
      <c r="CE105"/>
      <c r="CF105"/>
      <c r="CG105"/>
      <c r="CH105"/>
      <c r="CI105"/>
      <c r="CJ105"/>
      <c r="CK105" s="7"/>
      <c r="CL105" s="8" t="s">
        <v>703</v>
      </c>
      <c r="CM105"/>
      <c r="CP105">
        <v>4</v>
      </c>
      <c r="CQ105" s="2"/>
      <c r="CV105" s="10"/>
      <c r="CW105" t="s">
        <v>761</v>
      </c>
      <c r="CX105" s="15"/>
      <c r="CY105" s="15"/>
      <c r="CZ105" s="15"/>
      <c r="DA105" s="15"/>
      <c r="DB105" s="15"/>
      <c r="DC105" s="15"/>
      <c r="DD105" s="2"/>
      <c r="DE105" s="10"/>
      <c r="DF105" s="10"/>
      <c r="DG105" s="10"/>
      <c r="DH105" s="10"/>
      <c r="DJ105" s="10"/>
      <c r="DK105" s="10"/>
      <c r="DL105" s="2"/>
      <c r="DM105" s="10"/>
      <c r="DN105" s="10"/>
      <c r="DO105" s="2"/>
      <c r="DP105"/>
      <c r="DY105" s="2"/>
      <c r="DZ105" s="2"/>
    </row>
    <row r="106" customFormat="1" spans="1:130">
      <c r="A106" s="2" t="s">
        <v>780</v>
      </c>
      <c r="C106" t="s">
        <v>494</v>
      </c>
      <c r="D106" s="2"/>
      <c r="E106" s="2"/>
      <c r="F106" s="2"/>
      <c r="I106">
        <v>1</v>
      </c>
      <c r="K106" s="10"/>
      <c r="L106" s="10"/>
      <c r="M106"/>
      <c r="N106"/>
      <c r="O106" s="10" t="s">
        <v>747</v>
      </c>
      <c r="P106" s="3" t="s">
        <v>785</v>
      </c>
      <c r="Q106" s="10"/>
      <c r="R106" s="10"/>
      <c r="S106" s="10"/>
      <c r="T106" s="10"/>
      <c r="U106" s="10"/>
      <c r="V106" s="10"/>
      <c r="W106" s="10"/>
      <c r="X106" s="10"/>
      <c r="AC106">
        <v>1</v>
      </c>
      <c r="AG106" t="s">
        <v>497</v>
      </c>
      <c r="AH106" s="10"/>
      <c r="AI106" s="10"/>
      <c r="BB106">
        <v>1</v>
      </c>
      <c r="BM106" s="6"/>
      <c r="BN106" s="6"/>
      <c r="BQ106" s="10">
        <v>0.3</v>
      </c>
      <c r="BT106" s="15"/>
      <c r="BU106" s="15"/>
      <c r="BV106" s="15"/>
      <c r="BW106" s="15"/>
      <c r="BZ106" s="2" t="s">
        <v>792</v>
      </c>
      <c r="CA106" s="10"/>
      <c r="CB106" s="10"/>
      <c r="CC106" s="10"/>
      <c r="CD106" s="10"/>
      <c r="CE106" s="2" t="s">
        <v>513</v>
      </c>
      <c r="CF106"/>
      <c r="CG106"/>
      <c r="CH106"/>
      <c r="CI106"/>
      <c r="CJ106"/>
      <c r="CK106" s="7"/>
      <c r="CL106" s="7"/>
      <c r="CP106" s="2"/>
      <c r="CQ106" s="2"/>
      <c r="CV106" s="10"/>
      <c r="CX106" s="15"/>
      <c r="CY106" s="15"/>
      <c r="CZ106" s="15"/>
      <c r="DA106" s="15"/>
      <c r="DB106" s="15"/>
      <c r="DC106" s="15"/>
      <c r="DD106" s="2"/>
      <c r="DE106" s="10"/>
      <c r="DF106" s="10"/>
      <c r="DG106" s="10"/>
      <c r="DH106" s="10"/>
      <c r="DI106" s="2"/>
      <c r="DJ106" s="10"/>
      <c r="DK106" s="10"/>
      <c r="DM106" s="10"/>
      <c r="DN106" s="10"/>
      <c r="DO106" s="2"/>
      <c r="DX106" s="2"/>
      <c r="DZ106" s="2"/>
    </row>
    <row r="108" customFormat="1" spans="1:101">
      <c r="A108" t="s">
        <v>793</v>
      </c>
      <c r="C108" t="s">
        <v>494</v>
      </c>
      <c r="K108" s="10"/>
      <c r="L108" s="3"/>
      <c r="M108" s="3"/>
      <c r="N108" s="3"/>
      <c r="O108" s="3"/>
      <c r="P108" t="s">
        <v>794</v>
      </c>
      <c r="Q108" s="3"/>
      <c r="R108" s="3"/>
      <c r="S108" s="3"/>
      <c r="T108" s="3"/>
      <c r="U108" s="3"/>
      <c r="V108" s="3"/>
      <c r="W108" s="3"/>
      <c r="X108" s="3"/>
      <c r="AC108">
        <v>2</v>
      </c>
      <c r="AD108">
        <v>1</v>
      </c>
      <c r="AR108" t="s">
        <v>547</v>
      </c>
      <c r="AV108" t="s">
        <v>520</v>
      </c>
      <c r="AX108">
        <v>1</v>
      </c>
      <c r="BB108">
        <v>1</v>
      </c>
      <c r="BM108" s="14" t="s">
        <v>795</v>
      </c>
      <c r="BN108" s="14"/>
      <c r="BT108" s="4"/>
      <c r="BU108" s="4"/>
      <c r="BV108" s="4"/>
      <c r="BW108" s="4"/>
      <c r="BX108" s="4"/>
      <c r="BY108" s="4"/>
      <c r="BZ108" t="s">
        <v>796</v>
      </c>
      <c r="CE108" t="s">
        <v>513</v>
      </c>
      <c r="CF108" t="s">
        <v>797</v>
      </c>
      <c r="CG108" t="s">
        <v>560</v>
      </c>
      <c r="CL108" s="19"/>
      <c r="CU108" t="s">
        <v>798</v>
      </c>
      <c r="CV108"/>
      <c r="CW108" t="s">
        <v>799</v>
      </c>
    </row>
    <row r="109" customFormat="1" spans="1:101">
      <c r="A109" t="s">
        <v>795</v>
      </c>
      <c r="C109" t="s">
        <v>494</v>
      </c>
      <c r="K109" s="10"/>
      <c r="L109" s="3"/>
      <c r="M109" s="3"/>
      <c r="N109" s="3"/>
      <c r="O109" s="3"/>
      <c r="P109" t="s">
        <v>794</v>
      </c>
      <c r="Q109" s="3"/>
      <c r="R109" s="3"/>
      <c r="S109" s="3"/>
      <c r="T109" s="3"/>
      <c r="U109" s="3"/>
      <c r="V109" s="3"/>
      <c r="W109" s="3"/>
      <c r="X109" s="3"/>
      <c r="AA109">
        <v>0.2</v>
      </c>
      <c r="AC109">
        <v>2</v>
      </c>
      <c r="AD109">
        <v>1</v>
      </c>
      <c r="AR109" t="s">
        <v>547</v>
      </c>
      <c r="AV109" t="s">
        <v>520</v>
      </c>
      <c r="AX109">
        <v>1.6</v>
      </c>
      <c r="BB109">
        <v>1</v>
      </c>
      <c r="BM109" s="14"/>
      <c r="BN109" s="14"/>
      <c r="BT109" s="4"/>
      <c r="BU109" s="4"/>
      <c r="BV109" s="4"/>
      <c r="BW109" s="4"/>
      <c r="BX109" s="4"/>
      <c r="BY109" s="4"/>
      <c r="BZ109" t="s">
        <v>796</v>
      </c>
      <c r="CE109" t="s">
        <v>513</v>
      </c>
      <c r="CF109" t="s">
        <v>797</v>
      </c>
      <c r="CG109" t="s">
        <v>560</v>
      </c>
      <c r="CL109" s="19" t="s">
        <v>800</v>
      </c>
      <c r="CM109">
        <v>-0.2</v>
      </c>
      <c r="CP109">
        <v>5</v>
      </c>
      <c r="CU109" t="s">
        <v>798</v>
      </c>
      <c r="CV109"/>
      <c r="CW109" t="s">
        <v>799</v>
      </c>
    </row>
    <row r="110" customFormat="1" ht="15" customHeight="1" spans="1:94">
      <c r="A110" t="s">
        <v>801</v>
      </c>
      <c r="C110" t="s">
        <v>494</v>
      </c>
      <c r="I110">
        <v>1</v>
      </c>
      <c r="K110" s="3" t="s">
        <v>495</v>
      </c>
      <c r="L110" s="3" t="s">
        <v>496</v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AC110">
        <v>1</v>
      </c>
      <c r="AG110" t="s">
        <v>497</v>
      </c>
      <c r="AH110">
        <v>1</v>
      </c>
      <c r="AR110" s="5"/>
      <c r="AW110" s="3"/>
      <c r="BB110">
        <v>1</v>
      </c>
      <c r="BM110" s="6" t="s">
        <v>802</v>
      </c>
      <c r="BN110" s="6"/>
      <c r="BZ110" s="3"/>
      <c r="CA110" s="3"/>
      <c r="CB110" s="3"/>
      <c r="CC110" s="3"/>
      <c r="CD110" s="3"/>
      <c r="CF110" s="3"/>
      <c r="CG110" s="3"/>
      <c r="CH110" s="3"/>
      <c r="CI110" s="3"/>
      <c r="CJ110" s="3"/>
      <c r="CK110" s="7"/>
      <c r="CL110" s="8" t="s">
        <v>803</v>
      </c>
      <c r="CM110">
        <v>-25</v>
      </c>
      <c r="CP110">
        <v>99999</v>
      </c>
    </row>
    <row r="111" customFormat="1" ht="15" customHeight="1" spans="1:110">
      <c r="A111" t="s">
        <v>802</v>
      </c>
      <c r="C111" t="s">
        <v>494</v>
      </c>
      <c r="I111">
        <v>1</v>
      </c>
      <c r="K111" s="3" t="s">
        <v>495</v>
      </c>
      <c r="L111" s="3" t="s">
        <v>565</v>
      </c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AC111">
        <v>1</v>
      </c>
      <c r="AF111">
        <v>1</v>
      </c>
      <c r="AG111" t="s">
        <v>643</v>
      </c>
      <c r="AH111">
        <v>1</v>
      </c>
      <c r="AI111" t="s">
        <v>258</v>
      </c>
      <c r="AJ111"/>
      <c r="AR111" s="5"/>
      <c r="AT111">
        <v>20</v>
      </c>
      <c r="AW111" s="3"/>
      <c r="BB111">
        <v>1</v>
      </c>
      <c r="BM111" s="6"/>
      <c r="BN111" s="6" t="s">
        <v>804</v>
      </c>
      <c r="BZ111" s="3"/>
      <c r="CA111" s="3"/>
      <c r="CB111" s="3"/>
      <c r="CC111" s="3"/>
      <c r="CD111" s="3"/>
      <c r="CF111" s="3"/>
      <c r="CG111" s="3"/>
      <c r="CH111" s="3"/>
      <c r="CI111" s="3"/>
      <c r="CJ111" s="3"/>
      <c r="CK111" s="7"/>
      <c r="CL111" s="8" t="s">
        <v>805</v>
      </c>
      <c r="CM111">
        <v>0.15</v>
      </c>
      <c r="CP111">
        <v>99999</v>
      </c>
      <c r="DB111">
        <v>1</v>
      </c>
      <c r="DE111">
        <v>1</v>
      </c>
      <c r="DF111">
        <v>1</v>
      </c>
    </row>
    <row r="112" customFormat="1" spans="1:110">
      <c r="A112" t="s">
        <v>804</v>
      </c>
      <c r="C112" t="s">
        <v>494</v>
      </c>
      <c r="I112">
        <v>1</v>
      </c>
      <c r="K112" s="3" t="s">
        <v>495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AC112">
        <v>1</v>
      </c>
      <c r="AG112" t="s">
        <v>497</v>
      </c>
      <c r="AH112">
        <v>1</v>
      </c>
      <c r="AI112"/>
      <c r="AJ112"/>
      <c r="AR112" s="5"/>
      <c r="AW112" s="3"/>
      <c r="BB112">
        <v>99</v>
      </c>
      <c r="BM112" s="6"/>
      <c r="BN112" s="6"/>
      <c r="BZ112" s="3"/>
      <c r="CA112" s="3"/>
      <c r="CB112" s="3"/>
      <c r="CC112" s="3"/>
      <c r="CD112" s="3"/>
      <c r="CF112" s="3"/>
      <c r="CG112" s="3"/>
      <c r="CH112" s="3"/>
      <c r="CI112" s="3"/>
      <c r="CJ112" s="3"/>
      <c r="CK112" s="7"/>
      <c r="CL112" s="8" t="s">
        <v>805</v>
      </c>
      <c r="CM112">
        <v>0.15</v>
      </c>
      <c r="CP112">
        <v>99999</v>
      </c>
      <c r="DB112">
        <v>1</v>
      </c>
      <c r="DE112">
        <v>1</v>
      </c>
      <c r="DF112">
        <v>1</v>
      </c>
    </row>
    <row r="113" customFormat="1" spans="1:90">
      <c r="A113" t="s">
        <v>806</v>
      </c>
      <c r="C113" t="s">
        <v>494</v>
      </c>
      <c r="D113" t="s">
        <v>807</v>
      </c>
      <c r="E113" t="s">
        <v>808</v>
      </c>
      <c r="F113" t="s">
        <v>809</v>
      </c>
      <c r="G113">
        <v>3</v>
      </c>
      <c r="J113" t="s">
        <v>542</v>
      </c>
      <c r="K113" s="3" t="s">
        <v>545</v>
      </c>
      <c r="L113" s="3"/>
      <c r="M113" s="3"/>
      <c r="N113" s="3"/>
      <c r="O113" s="3"/>
      <c r="Q113" s="3"/>
      <c r="R113" s="3"/>
      <c r="S113" s="3"/>
      <c r="T113" s="3"/>
      <c r="U113" s="3"/>
      <c r="V113" s="3"/>
      <c r="W113" s="3"/>
      <c r="X113" s="3"/>
      <c r="AC113">
        <v>2</v>
      </c>
      <c r="AD113">
        <v>1</v>
      </c>
      <c r="AR113" t="s">
        <v>547</v>
      </c>
      <c r="BB113">
        <v>1</v>
      </c>
      <c r="BM113" s="14"/>
      <c r="BN113" s="14" t="s">
        <v>810</v>
      </c>
      <c r="BO113" t="s">
        <v>811</v>
      </c>
      <c r="BR113">
        <v>0.2</v>
      </c>
      <c r="BT113" s="4">
        <v>0</v>
      </c>
      <c r="BU113" s="4">
        <v>3</v>
      </c>
      <c r="BV113" s="4">
        <v>1</v>
      </c>
      <c r="BW113" s="4" t="s">
        <v>584</v>
      </c>
      <c r="BX113" s="4"/>
      <c r="BY113" s="4"/>
      <c r="BZ113"/>
      <c r="CE113" t="s">
        <v>513</v>
      </c>
      <c r="CF113"/>
      <c r="CG113"/>
      <c r="CL113" s="19"/>
    </row>
    <row r="114" customFormat="1" spans="1:101">
      <c r="A114" t="s">
        <v>812</v>
      </c>
      <c r="C114" t="s">
        <v>494</v>
      </c>
      <c r="K114" s="3" t="s">
        <v>495</v>
      </c>
      <c r="L114" s="3"/>
      <c r="M114" s="3"/>
      <c r="N114" s="3"/>
      <c r="O114" s="3"/>
      <c r="Q114" s="3"/>
      <c r="R114" s="3"/>
      <c r="S114" s="3"/>
      <c r="T114" s="3"/>
      <c r="U114" s="3"/>
      <c r="V114" s="3"/>
      <c r="W114" s="3"/>
      <c r="X114" s="3"/>
      <c r="AC114">
        <v>2</v>
      </c>
      <c r="AD114">
        <v>1</v>
      </c>
      <c r="AR114" t="s">
        <v>547</v>
      </c>
      <c r="AV114" t="s">
        <v>520</v>
      </c>
      <c r="AX114">
        <v>2.2</v>
      </c>
      <c r="BB114">
        <v>1</v>
      </c>
      <c r="BM114" s="14"/>
      <c r="BN114" s="14"/>
      <c r="BT114" s="4"/>
      <c r="BU114" s="4"/>
      <c r="BV114" s="4"/>
      <c r="BW114" s="4"/>
      <c r="BX114" s="4"/>
      <c r="BY114" s="4"/>
      <c r="BZ114" t="s">
        <v>796</v>
      </c>
      <c r="CE114" t="s">
        <v>513</v>
      </c>
      <c r="CF114" t="s">
        <v>797</v>
      </c>
      <c r="CG114" t="s">
        <v>560</v>
      </c>
      <c r="CL114" s="19"/>
      <c r="CM114"/>
      <c r="CU114" t="s">
        <v>798</v>
      </c>
      <c r="CW114" t="s">
        <v>799</v>
      </c>
    </row>
    <row r="115" customFormat="1" spans="1:101">
      <c r="A115" t="s">
        <v>813</v>
      </c>
      <c r="C115" t="s">
        <v>494</v>
      </c>
      <c r="K115" s="3" t="s">
        <v>495</v>
      </c>
      <c r="L115" s="3"/>
      <c r="M115" s="3"/>
      <c r="N115" s="3"/>
      <c r="O115" s="3"/>
      <c r="Q115" s="3"/>
      <c r="R115" s="3"/>
      <c r="S115" s="3"/>
      <c r="T115" s="3"/>
      <c r="U115" s="3"/>
      <c r="V115" s="3"/>
      <c r="W115" s="3"/>
      <c r="X115" s="3"/>
      <c r="AC115">
        <v>2</v>
      </c>
      <c r="AD115">
        <v>1</v>
      </c>
      <c r="AR115" t="s">
        <v>547</v>
      </c>
      <c r="AV115" t="s">
        <v>520</v>
      </c>
      <c r="AX115">
        <v>3.52</v>
      </c>
      <c r="BB115">
        <v>1</v>
      </c>
      <c r="BM115" s="14"/>
      <c r="BN115" s="14"/>
      <c r="BT115" s="4"/>
      <c r="BU115" s="4"/>
      <c r="BV115" s="4"/>
      <c r="BW115" s="4"/>
      <c r="BX115" s="4"/>
      <c r="BY115" s="4"/>
      <c r="BZ115" t="s">
        <v>796</v>
      </c>
      <c r="CE115" t="s">
        <v>513</v>
      </c>
      <c r="CF115" t="s">
        <v>797</v>
      </c>
      <c r="CG115" t="s">
        <v>560</v>
      </c>
      <c r="CL115" s="19" t="s">
        <v>800</v>
      </c>
      <c r="CM115">
        <v>-0.2</v>
      </c>
      <c r="CP115">
        <v>5</v>
      </c>
      <c r="CU115" t="s">
        <v>798</v>
      </c>
      <c r="CW115" t="s">
        <v>799</v>
      </c>
    </row>
    <row r="116" customFormat="1" spans="1:94">
      <c r="A116" t="s">
        <v>814</v>
      </c>
      <c r="C116" t="s">
        <v>494</v>
      </c>
      <c r="D116" t="s">
        <v>815</v>
      </c>
      <c r="E116" t="s">
        <v>816</v>
      </c>
      <c r="F116" t="s">
        <v>817</v>
      </c>
      <c r="G116">
        <v>3</v>
      </c>
      <c r="J116" t="s">
        <v>542</v>
      </c>
      <c r="K116" s="3" t="s">
        <v>543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AC116">
        <v>1</v>
      </c>
      <c r="AG116" t="s">
        <v>497</v>
      </c>
      <c r="AR116" s="5"/>
      <c r="AW116" s="3"/>
      <c r="BB116">
        <v>1</v>
      </c>
      <c r="BM116" s="6" t="s">
        <v>818</v>
      </c>
      <c r="BN116" s="6"/>
      <c r="BR116">
        <v>40</v>
      </c>
      <c r="BT116" s="4">
        <v>20</v>
      </c>
      <c r="BU116" s="4">
        <v>30</v>
      </c>
      <c r="BV116" s="4">
        <v>1</v>
      </c>
      <c r="BW116" s="4" t="s">
        <v>545</v>
      </c>
      <c r="BX116" s="4"/>
      <c r="BY116" s="4"/>
      <c r="BZ116" s="3"/>
      <c r="CA116" s="3"/>
      <c r="CB116" s="3"/>
      <c r="CC116" s="3"/>
      <c r="CD116" s="3"/>
      <c r="CF116" s="3"/>
      <c r="CG116" s="3"/>
      <c r="CI116" s="3"/>
      <c r="CJ116" s="3"/>
      <c r="CK116" s="7"/>
      <c r="CL116" s="8" t="s">
        <v>819</v>
      </c>
      <c r="CM116">
        <v>1.3</v>
      </c>
      <c r="CP116">
        <v>40</v>
      </c>
    </row>
    <row r="117" customFormat="1" spans="1:101">
      <c r="A117" t="s">
        <v>820</v>
      </c>
      <c r="C117" t="s">
        <v>494</v>
      </c>
      <c r="K117" s="10"/>
      <c r="L117" s="3"/>
      <c r="M117" s="3"/>
      <c r="N117" s="3"/>
      <c r="O117" s="3" t="s">
        <v>819</v>
      </c>
      <c r="Q117" s="3"/>
      <c r="R117" s="3"/>
      <c r="S117" s="3"/>
      <c r="T117" s="3"/>
      <c r="U117" s="3"/>
      <c r="V117" s="3"/>
      <c r="W117" s="3"/>
      <c r="X117" s="3"/>
      <c r="AC117">
        <v>2</v>
      </c>
      <c r="AD117">
        <v>1</v>
      </c>
      <c r="AR117" t="s">
        <v>547</v>
      </c>
      <c r="AV117" t="s">
        <v>520</v>
      </c>
      <c r="AX117">
        <v>1</v>
      </c>
      <c r="BB117">
        <v>1</v>
      </c>
      <c r="BM117" s="14"/>
      <c r="BN117" s="14"/>
      <c r="BT117" s="4"/>
      <c r="BU117" s="4"/>
      <c r="BV117" s="4"/>
      <c r="BW117" s="4"/>
      <c r="BX117" s="4"/>
      <c r="BY117" s="4"/>
      <c r="BZ117" t="s">
        <v>796</v>
      </c>
      <c r="CE117" t="s">
        <v>513</v>
      </c>
      <c r="CF117" t="s">
        <v>797</v>
      </c>
      <c r="CG117" t="s">
        <v>560</v>
      </c>
      <c r="CL117" s="19"/>
      <c r="CU117" t="s">
        <v>798</v>
      </c>
      <c r="CW117" t="s">
        <v>799</v>
      </c>
    </row>
    <row r="118" customFormat="1" spans="1:101">
      <c r="A118" t="s">
        <v>821</v>
      </c>
      <c r="C118" t="s">
        <v>494</v>
      </c>
      <c r="K118" s="10"/>
      <c r="L118" s="3"/>
      <c r="M118" s="3"/>
      <c r="N118" s="3"/>
      <c r="O118" s="3" t="s">
        <v>819</v>
      </c>
      <c r="Q118" s="3"/>
      <c r="R118" s="3"/>
      <c r="S118" s="3"/>
      <c r="T118" s="3"/>
      <c r="U118" s="3"/>
      <c r="V118" s="3"/>
      <c r="W118" s="3"/>
      <c r="X118" s="3"/>
      <c r="AA118">
        <v>0.5</v>
      </c>
      <c r="AC118">
        <v>2</v>
      </c>
      <c r="AD118">
        <v>1</v>
      </c>
      <c r="AR118" t="s">
        <v>547</v>
      </c>
      <c r="AV118" t="s">
        <v>520</v>
      </c>
      <c r="AX118">
        <v>1.6</v>
      </c>
      <c r="BB118">
        <v>1</v>
      </c>
      <c r="BM118" s="14"/>
      <c r="BN118" s="14"/>
      <c r="BT118" s="4"/>
      <c r="BU118" s="4"/>
      <c r="BV118" s="4"/>
      <c r="BW118" s="4"/>
      <c r="BX118" s="4"/>
      <c r="BY118" s="4"/>
      <c r="BZ118" t="s">
        <v>796</v>
      </c>
      <c r="CE118" t="s">
        <v>513</v>
      </c>
      <c r="CF118" t="s">
        <v>797</v>
      </c>
      <c r="CG118" t="s">
        <v>560</v>
      </c>
      <c r="CL118" s="19" t="s">
        <v>800</v>
      </c>
      <c r="CM118">
        <v>-0.2</v>
      </c>
      <c r="CP118">
        <v>5</v>
      </c>
      <c r="CU118" t="s">
        <v>798</v>
      </c>
      <c r="CW118" t="s">
        <v>799</v>
      </c>
    </row>
    <row r="119" customFormat="1" spans="1:94">
      <c r="A119" t="s">
        <v>822</v>
      </c>
      <c r="C119" t="s">
        <v>494</v>
      </c>
      <c r="D119" t="s">
        <v>823</v>
      </c>
      <c r="E119" t="s">
        <v>824</v>
      </c>
      <c r="F119" t="s">
        <v>825</v>
      </c>
      <c r="G119">
        <v>3</v>
      </c>
      <c r="J119" t="s">
        <v>542</v>
      </c>
      <c r="K119" s="3" t="s">
        <v>543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AB119">
        <v>1</v>
      </c>
      <c r="AC119">
        <v>1</v>
      </c>
      <c r="AG119" t="s">
        <v>497</v>
      </c>
      <c r="AR119" s="5"/>
      <c r="AW119" s="3"/>
      <c r="BB119">
        <v>1</v>
      </c>
      <c r="BM119" s="6" t="s">
        <v>826</v>
      </c>
      <c r="BN119" s="6"/>
      <c r="BQ119">
        <v>0.6</v>
      </c>
      <c r="BR119">
        <v>25</v>
      </c>
      <c r="BT119" s="4">
        <v>12</v>
      </c>
      <c r="BU119" s="4">
        <v>25</v>
      </c>
      <c r="BV119" s="4">
        <v>1</v>
      </c>
      <c r="BW119" s="4" t="s">
        <v>545</v>
      </c>
      <c r="BX119" s="4"/>
      <c r="BY119" s="4"/>
      <c r="BZ119" s="3" t="s">
        <v>827</v>
      </c>
      <c r="CA119" s="3"/>
      <c r="CB119" s="3"/>
      <c r="CC119" s="3"/>
      <c r="CD119" s="3"/>
      <c r="CE119" t="s">
        <v>828</v>
      </c>
      <c r="CF119" s="3"/>
      <c r="CG119" s="3"/>
      <c r="CI119" s="3"/>
      <c r="CJ119" s="3"/>
      <c r="CK119" s="7"/>
      <c r="CL119" s="8" t="s">
        <v>829</v>
      </c>
      <c r="CM119" t="s">
        <v>830</v>
      </c>
      <c r="CP119">
        <v>25</v>
      </c>
    </row>
    <row r="120" customFormat="1" spans="1:101">
      <c r="A120" t="s">
        <v>831</v>
      </c>
      <c r="C120" t="s">
        <v>494</v>
      </c>
      <c r="J120" t="s">
        <v>832</v>
      </c>
      <c r="K120" s="10"/>
      <c r="L120" s="3"/>
      <c r="M120" s="3"/>
      <c r="N120" s="3"/>
      <c r="O120" s="3"/>
      <c r="P120"/>
      <c r="Q120" s="3"/>
      <c r="R120" s="3"/>
      <c r="S120" s="3"/>
      <c r="T120" s="3"/>
      <c r="U120" s="3"/>
      <c r="V120" s="3"/>
      <c r="W120" s="3"/>
      <c r="X120" s="3"/>
      <c r="AC120">
        <v>2</v>
      </c>
      <c r="AD120">
        <v>1</v>
      </c>
      <c r="AR120" t="s">
        <v>833</v>
      </c>
      <c r="AV120" t="s">
        <v>520</v>
      </c>
      <c r="AW120"/>
      <c r="AX120">
        <v>1.6</v>
      </c>
      <c r="BB120">
        <v>1</v>
      </c>
      <c r="BM120" s="14"/>
      <c r="BN120" s="14"/>
      <c r="BT120" s="4"/>
      <c r="BU120" s="4"/>
      <c r="BV120" s="4"/>
      <c r="BW120" s="4"/>
      <c r="BX120" s="4"/>
      <c r="BY120" s="4"/>
      <c r="BZ120" s="3" t="s">
        <v>834</v>
      </c>
      <c r="CA120"/>
      <c r="CB120"/>
      <c r="CC120"/>
      <c r="CD120"/>
      <c r="CE120" t="s">
        <v>513</v>
      </c>
      <c r="CF120" t="s">
        <v>835</v>
      </c>
      <c r="CG120" t="s">
        <v>560</v>
      </c>
      <c r="CL120" s="19" t="s">
        <v>800</v>
      </c>
      <c r="CM120">
        <v>-0.2</v>
      </c>
      <c r="CP120">
        <v>5</v>
      </c>
      <c r="CU120" t="s">
        <v>798</v>
      </c>
      <c r="CW120" t="s">
        <v>836</v>
      </c>
    </row>
    <row r="121" customFormat="1" spans="1:128">
      <c r="A121" s="2" t="s">
        <v>837</v>
      </c>
      <c r="C121" t="s">
        <v>494</v>
      </c>
      <c r="D121" s="2"/>
      <c r="E121" s="2"/>
      <c r="F121" s="2"/>
      <c r="I121">
        <v>1</v>
      </c>
      <c r="K121" s="10" t="s">
        <v>495</v>
      </c>
      <c r="L121" s="10" t="s">
        <v>762</v>
      </c>
      <c r="M121"/>
      <c r="N121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AC121">
        <v>1</v>
      </c>
      <c r="AG121" t="s">
        <v>497</v>
      </c>
      <c r="AH121" s="10"/>
      <c r="AI121" s="10"/>
      <c r="AR121" s="5"/>
      <c r="BB121">
        <v>1</v>
      </c>
      <c r="BM121" s="6"/>
      <c r="BN121" s="6"/>
      <c r="BQ121" s="10"/>
      <c r="BR121" s="10"/>
      <c r="BT121" s="15"/>
      <c r="BU121" s="15"/>
      <c r="BV121" s="15"/>
      <c r="BW121" s="15"/>
      <c r="BX121"/>
      <c r="BY121"/>
      <c r="BZ121" s="2" t="s">
        <v>763</v>
      </c>
      <c r="CA121" s="10"/>
      <c r="CB121" s="10"/>
      <c r="CC121" s="10"/>
      <c r="CD121" s="10"/>
      <c r="CE121" t="s">
        <v>513</v>
      </c>
      <c r="CK121" s="7"/>
      <c r="CL121" s="7"/>
      <c r="CQ121" s="2"/>
      <c r="CV121" s="10"/>
      <c r="CX121" s="15"/>
      <c r="CY121" s="15"/>
      <c r="CZ121" s="15"/>
      <c r="DA121" s="15"/>
      <c r="DB121" s="15"/>
      <c r="DC121" s="15"/>
      <c r="DD121" s="2"/>
      <c r="DE121" s="10"/>
      <c r="DF121" s="10"/>
      <c r="DG121" s="10"/>
      <c r="DH121" s="10"/>
      <c r="DJ121" s="10"/>
      <c r="DK121" s="10"/>
      <c r="DM121" s="10"/>
      <c r="DN121" s="10"/>
      <c r="DO121" s="2"/>
      <c r="DX121" s="2"/>
    </row>
    <row r="122" customFormat="1"/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pane xSplit="1" ySplit="3" topLeftCell="C4" activePane="bottomRight" state="frozen"/>
      <selection/>
      <selection pane="topRight"/>
      <selection pane="bottomLeft"/>
      <selection pane="bottomRight" activeCell="E9" sqref="E9"/>
    </sheetView>
  </sheetViews>
  <sheetFormatPr defaultColWidth="9" defaultRowHeight="14.4"/>
  <cols>
    <col min="1" max="1" width="19" customWidth="1"/>
    <col min="2" max="2" width="31.25" customWidth="1"/>
    <col min="7" max="7" width="18.75" customWidth="1"/>
    <col min="8" max="8" width="15" customWidth="1"/>
    <col min="14" max="14" width="16.0833333333333" customWidth="1"/>
    <col min="15" max="15" width="9.5" customWidth="1"/>
    <col min="16" max="16" width="22.1666666666667" customWidth="1"/>
    <col min="17" max="17" width="12.8333333333333" customWidth="1"/>
    <col min="20" max="20" width="9" customWidth="1"/>
  </cols>
  <sheetData>
    <row r="1" spans="1:16">
      <c r="A1" t="s">
        <v>0</v>
      </c>
      <c r="B1" t="s">
        <v>21</v>
      </c>
      <c r="E1" t="s">
        <v>838</v>
      </c>
      <c r="F1" t="s">
        <v>839</v>
      </c>
      <c r="G1" t="s">
        <v>840</v>
      </c>
      <c r="H1" t="s">
        <v>841</v>
      </c>
      <c r="I1" t="s">
        <v>842</v>
      </c>
      <c r="J1" t="s">
        <v>843</v>
      </c>
      <c r="L1" t="s">
        <v>844</v>
      </c>
      <c r="M1" t="s">
        <v>845</v>
      </c>
      <c r="N1" t="s">
        <v>846</v>
      </c>
      <c r="O1" t="s">
        <v>847</v>
      </c>
      <c r="P1" s="2" t="s">
        <v>848</v>
      </c>
    </row>
    <row r="2" spans="1:17">
      <c r="A2" t="s">
        <v>0</v>
      </c>
      <c r="C2" t="s">
        <v>64</v>
      </c>
      <c r="D2" t="s">
        <v>93</v>
      </c>
      <c r="E2" t="s">
        <v>849</v>
      </c>
      <c r="F2" t="s">
        <v>850</v>
      </c>
      <c r="G2" t="s">
        <v>851</v>
      </c>
      <c r="H2" t="s">
        <v>852</v>
      </c>
      <c r="I2" t="s">
        <v>853</v>
      </c>
      <c r="J2" t="s">
        <v>854</v>
      </c>
      <c r="K2" t="s">
        <v>855</v>
      </c>
      <c r="L2" t="s">
        <v>69</v>
      </c>
      <c r="M2" t="s">
        <v>856</v>
      </c>
      <c r="N2" t="s">
        <v>857</v>
      </c>
      <c r="O2" t="s">
        <v>858</v>
      </c>
      <c r="P2" s="2" t="s">
        <v>859</v>
      </c>
      <c r="Q2" t="s">
        <v>461</v>
      </c>
    </row>
    <row r="3" spans="1:17">
      <c r="A3" t="s">
        <v>2</v>
      </c>
      <c r="C3" t="s">
        <v>2</v>
      </c>
      <c r="D3" t="s">
        <v>2</v>
      </c>
      <c r="E3" t="s">
        <v>134</v>
      </c>
      <c r="F3" t="s">
        <v>134</v>
      </c>
      <c r="G3" t="s">
        <v>134</v>
      </c>
      <c r="H3" t="s">
        <v>132</v>
      </c>
      <c r="I3" t="s">
        <v>132</v>
      </c>
      <c r="J3" t="s">
        <v>491</v>
      </c>
      <c r="K3" t="s">
        <v>133</v>
      </c>
      <c r="L3" t="s">
        <v>455</v>
      </c>
      <c r="M3" t="s">
        <v>132</v>
      </c>
      <c r="N3" t="s">
        <v>132</v>
      </c>
      <c r="O3" t="s">
        <v>455</v>
      </c>
      <c r="P3" t="s">
        <v>132</v>
      </c>
      <c r="Q3" t="s">
        <v>141</v>
      </c>
    </row>
    <row r="4" customFormat="1" spans="1:3">
      <c r="A4" t="s">
        <v>860</v>
      </c>
      <c r="C4" t="s">
        <v>861</v>
      </c>
    </row>
    <row r="5" customFormat="1" spans="1:17">
      <c r="A5" s="2" t="s">
        <v>862</v>
      </c>
      <c r="C5" s="2" t="s">
        <v>863</v>
      </c>
      <c r="Q5" s="2"/>
    </row>
    <row r="6" customFormat="1" spans="1:17">
      <c r="A6" t="s">
        <v>864</v>
      </c>
      <c r="C6" t="s">
        <v>865</v>
      </c>
      <c r="Q6" t="s">
        <v>866</v>
      </c>
    </row>
    <row r="7" customFormat="1" spans="1:17">
      <c r="A7" t="s">
        <v>502</v>
      </c>
      <c r="C7" t="s">
        <v>865</v>
      </c>
      <c r="Q7" t="s">
        <v>867</v>
      </c>
    </row>
    <row r="8" customFormat="1" spans="1:17">
      <c r="A8" t="s">
        <v>508</v>
      </c>
      <c r="C8" t="s">
        <v>865</v>
      </c>
      <c r="H8">
        <v>1</v>
      </c>
      <c r="Q8" t="s">
        <v>868</v>
      </c>
    </row>
    <row r="9" customFormat="1" spans="1:3">
      <c r="A9" t="s">
        <v>505</v>
      </c>
      <c r="C9" t="s">
        <v>869</v>
      </c>
    </row>
    <row r="10" customFormat="1"/>
    <row r="11" customFormat="1" spans="1:17">
      <c r="A11" t="s">
        <v>515</v>
      </c>
      <c r="C11" t="s">
        <v>870</v>
      </c>
      <c r="N11">
        <v>1</v>
      </c>
      <c r="Q11" t="s">
        <v>871</v>
      </c>
    </row>
    <row r="12" spans="1:17">
      <c r="A12" t="s">
        <v>578</v>
      </c>
      <c r="C12" t="s">
        <v>865</v>
      </c>
      <c r="N12">
        <v>1</v>
      </c>
      <c r="Q12" t="s">
        <v>872</v>
      </c>
    </row>
    <row r="14" spans="1:17">
      <c r="A14" t="s">
        <v>526</v>
      </c>
      <c r="C14" t="s">
        <v>873</v>
      </c>
      <c r="Q14" t="s">
        <v>874</v>
      </c>
    </row>
    <row r="15" customFormat="1" spans="1:3">
      <c r="A15" t="s">
        <v>527</v>
      </c>
      <c r="C15" t="s">
        <v>505</v>
      </c>
    </row>
    <row r="16" spans="1:17">
      <c r="A16" t="s">
        <v>532</v>
      </c>
      <c r="C16" t="s">
        <v>865</v>
      </c>
      <c r="Q16" t="s">
        <v>875</v>
      </c>
    </row>
    <row r="17" customFormat="1" spans="1:17">
      <c r="A17" t="s">
        <v>523</v>
      </c>
      <c r="C17" s="2" t="s">
        <v>876</v>
      </c>
      <c r="Q17" t="s">
        <v>877</v>
      </c>
    </row>
    <row r="18" customFormat="1" spans="1:3">
      <c r="A18" t="s">
        <v>531</v>
      </c>
      <c r="C18" t="s">
        <v>869</v>
      </c>
    </row>
    <row r="19" customFormat="1" spans="1:17">
      <c r="A19" t="s">
        <v>537</v>
      </c>
      <c r="C19" t="s">
        <v>870</v>
      </c>
      <c r="N19">
        <v>1</v>
      </c>
      <c r="Q19" t="s">
        <v>878</v>
      </c>
    </row>
    <row r="20" customFormat="1" spans="1:17">
      <c r="A20" t="s">
        <v>518</v>
      </c>
      <c r="C20" t="s">
        <v>865</v>
      </c>
      <c r="J20" t="s">
        <v>879</v>
      </c>
      <c r="K20">
        <v>5</v>
      </c>
      <c r="Q20" t="s">
        <v>880</v>
      </c>
    </row>
    <row r="21" customFormat="1"/>
    <row r="22" spans="1:17">
      <c r="A22" t="s">
        <v>554</v>
      </c>
      <c r="C22" t="s">
        <v>865</v>
      </c>
      <c r="J22" t="s">
        <v>879</v>
      </c>
      <c r="K22">
        <v>5</v>
      </c>
      <c r="Q22" t="s">
        <v>875</v>
      </c>
    </row>
    <row r="23" customFormat="1"/>
    <row r="24" customFormat="1" spans="1:3">
      <c r="A24" t="s">
        <v>563</v>
      </c>
      <c r="C24" t="s">
        <v>869</v>
      </c>
    </row>
    <row r="25" customFormat="1" ht="15" customHeight="1" spans="1:17">
      <c r="A25" s="2" t="s">
        <v>566</v>
      </c>
      <c r="C25" t="s">
        <v>865</v>
      </c>
      <c r="N25">
        <v>1</v>
      </c>
      <c r="Q25" s="2" t="s">
        <v>881</v>
      </c>
    </row>
    <row r="26" customFormat="1" spans="1:17">
      <c r="A26" t="s">
        <v>882</v>
      </c>
      <c r="C26" t="s">
        <v>865</v>
      </c>
      <c r="J26" t="s">
        <v>883</v>
      </c>
      <c r="K26">
        <v>5</v>
      </c>
      <c r="Q26" t="s">
        <v>884</v>
      </c>
    </row>
    <row r="27" customFormat="1" spans="1:17">
      <c r="A27" t="s">
        <v>571</v>
      </c>
      <c r="C27" t="s">
        <v>865</v>
      </c>
      <c r="J27" t="s">
        <v>883</v>
      </c>
      <c r="K27">
        <v>5</v>
      </c>
      <c r="Q27" t="s">
        <v>885</v>
      </c>
    </row>
    <row r="28" customFormat="1"/>
    <row r="29" customFormat="1" spans="1:17">
      <c r="A29" t="s">
        <v>886</v>
      </c>
      <c r="C29" t="s">
        <v>870</v>
      </c>
      <c r="N29">
        <v>1</v>
      </c>
      <c r="Q29" t="s">
        <v>887</v>
      </c>
    </row>
    <row r="30" customFormat="1" spans="1:17">
      <c r="A30" t="s">
        <v>888</v>
      </c>
      <c r="C30" t="s">
        <v>870</v>
      </c>
      <c r="N30">
        <v>1</v>
      </c>
      <c r="Q30" t="s">
        <v>889</v>
      </c>
    </row>
    <row r="31" spans="1:3">
      <c r="A31" t="s">
        <v>596</v>
      </c>
      <c r="C31" t="s">
        <v>869</v>
      </c>
    </row>
    <row r="32" spans="1:11">
      <c r="A32" t="s">
        <v>592</v>
      </c>
      <c r="C32" t="s">
        <v>869</v>
      </c>
      <c r="J32" t="s">
        <v>883</v>
      </c>
      <c r="K32">
        <v>5</v>
      </c>
    </row>
    <row r="33" spans="1:17">
      <c r="A33" t="s">
        <v>618</v>
      </c>
      <c r="C33" t="s">
        <v>865</v>
      </c>
      <c r="N33">
        <v>1</v>
      </c>
      <c r="Q33" t="s">
        <v>884</v>
      </c>
    </row>
    <row r="34" spans="1:17">
      <c r="A34" t="s">
        <v>890</v>
      </c>
      <c r="C34" t="s">
        <v>865</v>
      </c>
      <c r="Q34" t="s">
        <v>891</v>
      </c>
    </row>
    <row r="35" spans="1:17">
      <c r="A35" t="s">
        <v>892</v>
      </c>
      <c r="C35" t="s">
        <v>893</v>
      </c>
      <c r="J35" t="s">
        <v>894</v>
      </c>
      <c r="K35">
        <v>3</v>
      </c>
      <c r="Q35" t="s">
        <v>895</v>
      </c>
    </row>
    <row r="36" customFormat="1"/>
    <row r="37" customFormat="1" spans="1:17">
      <c r="A37" t="s">
        <v>626</v>
      </c>
      <c r="C37" t="s">
        <v>870</v>
      </c>
      <c r="N37">
        <v>1</v>
      </c>
      <c r="Q37" t="s">
        <v>896</v>
      </c>
    </row>
    <row r="38" customFormat="1" spans="1:17">
      <c r="A38" t="s">
        <v>620</v>
      </c>
      <c r="C38" t="s">
        <v>865</v>
      </c>
      <c r="J38" t="s">
        <v>897</v>
      </c>
      <c r="Q38" t="s">
        <v>898</v>
      </c>
    </row>
    <row r="40" spans="1:17">
      <c r="A40" t="s">
        <v>642</v>
      </c>
      <c r="C40" t="s">
        <v>865</v>
      </c>
      <c r="Q40" t="s">
        <v>884</v>
      </c>
    </row>
    <row r="41" spans="1:11">
      <c r="A41" t="s">
        <v>650</v>
      </c>
      <c r="C41" t="s">
        <v>869</v>
      </c>
      <c r="J41" t="s">
        <v>883</v>
      </c>
      <c r="K41">
        <v>5</v>
      </c>
    </row>
    <row r="42" customFormat="1" spans="1:17">
      <c r="A42" t="s">
        <v>657</v>
      </c>
      <c r="C42" t="s">
        <v>865</v>
      </c>
      <c r="J42" t="s">
        <v>879</v>
      </c>
      <c r="K42">
        <v>5</v>
      </c>
      <c r="Q42" t="s">
        <v>884</v>
      </c>
    </row>
    <row r="43" customFormat="1"/>
    <row r="44" customFormat="1" spans="1:3">
      <c r="A44" t="s">
        <v>664</v>
      </c>
      <c r="C44" t="s">
        <v>869</v>
      </c>
    </row>
    <row r="45" customFormat="1" spans="1:17">
      <c r="A45" t="s">
        <v>667</v>
      </c>
      <c r="C45" t="s">
        <v>865</v>
      </c>
      <c r="N45">
        <v>1</v>
      </c>
      <c r="Q45" t="s">
        <v>884</v>
      </c>
    </row>
    <row r="46" customFormat="1" spans="1:17">
      <c r="A46" t="s">
        <v>669</v>
      </c>
      <c r="C46" t="s">
        <v>865</v>
      </c>
      <c r="N46">
        <v>1</v>
      </c>
      <c r="Q46" t="s">
        <v>884</v>
      </c>
    </row>
    <row r="47" customFormat="1" spans="1:17">
      <c r="A47" t="s">
        <v>679</v>
      </c>
      <c r="C47" t="s">
        <v>865</v>
      </c>
      <c r="J47" t="s">
        <v>883</v>
      </c>
      <c r="K47">
        <v>5</v>
      </c>
      <c r="Q47" t="s">
        <v>884</v>
      </c>
    </row>
    <row r="48" customFormat="1"/>
    <row r="49" customFormat="1" spans="1:17">
      <c r="A49" t="s">
        <v>693</v>
      </c>
      <c r="C49" t="s">
        <v>865</v>
      </c>
      <c r="J49" t="s">
        <v>879</v>
      </c>
      <c r="K49">
        <v>5</v>
      </c>
      <c r="Q49" t="s">
        <v>884</v>
      </c>
    </row>
    <row r="50" customFormat="1"/>
    <row r="51" customFormat="1" spans="1:17">
      <c r="A51" t="s">
        <v>709</v>
      </c>
      <c r="C51" s="2" t="s">
        <v>876</v>
      </c>
      <c r="Q51" t="s">
        <v>899</v>
      </c>
    </row>
    <row r="52" customFormat="1" spans="1:17">
      <c r="A52" t="s">
        <v>715</v>
      </c>
      <c r="C52" t="s">
        <v>865</v>
      </c>
      <c r="J52" t="s">
        <v>879</v>
      </c>
      <c r="K52">
        <v>5</v>
      </c>
      <c r="Q52" t="s">
        <v>872</v>
      </c>
    </row>
    <row r="53" customFormat="1" spans="1:17">
      <c r="A53" t="s">
        <v>721</v>
      </c>
      <c r="C53" t="s">
        <v>865</v>
      </c>
      <c r="J53" t="s">
        <v>879</v>
      </c>
      <c r="K53">
        <v>5</v>
      </c>
      <c r="Q53" t="s">
        <v>898</v>
      </c>
    </row>
    <row r="54" customFormat="1"/>
    <row r="55" customFormat="1" spans="1:17">
      <c r="A55" t="s">
        <v>732</v>
      </c>
      <c r="C55" t="s">
        <v>865</v>
      </c>
      <c r="N55">
        <v>1</v>
      </c>
      <c r="Q55" t="s">
        <v>884</v>
      </c>
    </row>
    <row r="56" spans="1:17">
      <c r="A56" t="s">
        <v>733</v>
      </c>
      <c r="C56" t="s">
        <v>865</v>
      </c>
      <c r="N56">
        <v>1</v>
      </c>
      <c r="Q56" t="s">
        <v>900</v>
      </c>
    </row>
    <row r="57" spans="1:17">
      <c r="A57" t="s">
        <v>739</v>
      </c>
      <c r="C57" t="s">
        <v>865</v>
      </c>
      <c r="J57" t="s">
        <v>879</v>
      </c>
      <c r="K57">
        <v>5</v>
      </c>
      <c r="Q57" t="s">
        <v>884</v>
      </c>
    </row>
    <row r="58" customFormat="1" spans="1:17">
      <c r="A58" t="s">
        <v>744</v>
      </c>
      <c r="C58" t="s">
        <v>865</v>
      </c>
      <c r="J58" t="s">
        <v>879</v>
      </c>
      <c r="K58">
        <v>5</v>
      </c>
      <c r="Q58" t="s">
        <v>901</v>
      </c>
    </row>
    <row r="60" customFormat="1" spans="1:17">
      <c r="A60" t="s">
        <v>902</v>
      </c>
      <c r="C60" t="s">
        <v>865</v>
      </c>
      <c r="N60">
        <v>1</v>
      </c>
      <c r="Q60" t="s">
        <v>872</v>
      </c>
    </row>
    <row r="61" customFormat="1" spans="1:17">
      <c r="A61" t="s">
        <v>903</v>
      </c>
      <c r="C61" t="s">
        <v>870</v>
      </c>
      <c r="N61">
        <v>1</v>
      </c>
      <c r="Q61" t="s">
        <v>904</v>
      </c>
    </row>
    <row r="62" spans="1:3">
      <c r="A62" t="s">
        <v>771</v>
      </c>
      <c r="C62" t="s">
        <v>869</v>
      </c>
    </row>
    <row r="63" customFormat="1" spans="1:3">
      <c r="A63" t="s">
        <v>747</v>
      </c>
      <c r="C63" t="s">
        <v>861</v>
      </c>
    </row>
    <row r="64" spans="1:3">
      <c r="A64" t="s">
        <v>785</v>
      </c>
      <c r="C64" t="s">
        <v>869</v>
      </c>
    </row>
    <row r="66" customFormat="1" spans="1:17">
      <c r="A66" t="s">
        <v>803</v>
      </c>
      <c r="C66" t="s">
        <v>865</v>
      </c>
      <c r="N66">
        <v>1</v>
      </c>
      <c r="Q66" t="s">
        <v>900</v>
      </c>
    </row>
    <row r="67" spans="1:17">
      <c r="A67" t="s">
        <v>800</v>
      </c>
      <c r="C67" t="s">
        <v>865</v>
      </c>
      <c r="J67" t="s">
        <v>905</v>
      </c>
      <c r="K67">
        <v>5</v>
      </c>
      <c r="Q67" t="s">
        <v>906</v>
      </c>
    </row>
    <row r="68" spans="1:17">
      <c r="A68" t="s">
        <v>805</v>
      </c>
      <c r="C68" t="s">
        <v>865</v>
      </c>
      <c r="N68">
        <v>1</v>
      </c>
      <c r="Q68" t="s">
        <v>884</v>
      </c>
    </row>
    <row r="69" spans="1:17">
      <c r="A69" t="s">
        <v>819</v>
      </c>
      <c r="C69" t="s">
        <v>865</v>
      </c>
      <c r="J69" t="s">
        <v>879</v>
      </c>
      <c r="K69">
        <v>5</v>
      </c>
      <c r="Q69" t="s">
        <v>884</v>
      </c>
    </row>
    <row r="70" customFormat="1" spans="1:17">
      <c r="A70" t="s">
        <v>794</v>
      </c>
      <c r="C70" t="s">
        <v>865</v>
      </c>
      <c r="J70" t="s">
        <v>907</v>
      </c>
      <c r="K70">
        <v>5</v>
      </c>
      <c r="Q70" t="s">
        <v>908</v>
      </c>
    </row>
    <row r="71" customFormat="1" spans="1:17">
      <c r="A71" t="s">
        <v>909</v>
      </c>
      <c r="C71" t="s">
        <v>343</v>
      </c>
      <c r="Q71" t="s">
        <v>910</v>
      </c>
    </row>
    <row r="72" customFormat="1" spans="1:10">
      <c r="A72" t="s">
        <v>911</v>
      </c>
      <c r="C72" t="s">
        <v>869</v>
      </c>
      <c r="J72" t="s">
        <v>912</v>
      </c>
    </row>
    <row r="73" customFormat="1" spans="1:17">
      <c r="A73" t="s">
        <v>913</v>
      </c>
      <c r="C73" t="s">
        <v>343</v>
      </c>
      <c r="Q73" t="s">
        <v>914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topLeftCell="A2" workbookViewId="0">
      <selection activeCell="F33" sqref="F33"/>
    </sheetView>
  </sheetViews>
  <sheetFormatPr defaultColWidth="9" defaultRowHeight="14.4" outlineLevelCol="3"/>
  <cols>
    <col min="1" max="1" width="11.3333333333333" customWidth="1"/>
    <col min="2" max="2" width="11.25" customWidth="1"/>
    <col min="4" max="4" width="27.5" customWidth="1"/>
  </cols>
  <sheetData>
    <row r="1" spans="1:3">
      <c r="A1" t="s">
        <v>0</v>
      </c>
      <c r="C1" t="s">
        <v>915</v>
      </c>
    </row>
    <row r="2" spans="1:4">
      <c r="A2" t="s">
        <v>0</v>
      </c>
      <c r="B2" t="s">
        <v>64</v>
      </c>
      <c r="C2" t="s">
        <v>916</v>
      </c>
      <c r="D2" t="s">
        <v>461</v>
      </c>
    </row>
    <row r="3" spans="1:4">
      <c r="A3" t="s">
        <v>2</v>
      </c>
      <c r="B3" t="s">
        <v>2</v>
      </c>
      <c r="C3" t="s">
        <v>455</v>
      </c>
      <c r="D3" t="s">
        <v>141</v>
      </c>
    </row>
    <row r="4" spans="1:4">
      <c r="A4" t="s">
        <v>574</v>
      </c>
      <c r="B4" t="s">
        <v>917</v>
      </c>
      <c r="D4" t="s">
        <v>918</v>
      </c>
    </row>
    <row r="5" spans="1:4">
      <c r="A5" t="s">
        <v>726</v>
      </c>
      <c r="B5" t="s">
        <v>917</v>
      </c>
      <c r="D5" t="s">
        <v>919</v>
      </c>
    </row>
    <row r="6" spans="1:4">
      <c r="A6" t="s">
        <v>561</v>
      </c>
      <c r="B6" t="s">
        <v>920</v>
      </c>
      <c r="C6" t="s">
        <v>563</v>
      </c>
      <c r="D6" t="s">
        <v>921</v>
      </c>
    </row>
    <row r="7" spans="1:4">
      <c r="A7" t="s">
        <v>662</v>
      </c>
      <c r="B7" t="s">
        <v>920</v>
      </c>
      <c r="C7" t="s">
        <v>664</v>
      </c>
      <c r="D7" t="s">
        <v>922</v>
      </c>
    </row>
    <row r="8" spans="1:4">
      <c r="A8" t="s">
        <v>686</v>
      </c>
      <c r="B8" t="s">
        <v>923</v>
      </c>
      <c r="D8" t="s">
        <v>924</v>
      </c>
    </row>
    <row r="9" customFormat="1" spans="1:4">
      <c r="A9" t="s">
        <v>700</v>
      </c>
      <c r="B9" t="s">
        <v>923</v>
      </c>
      <c r="D9" t="s">
        <v>925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"/>
  <sheetViews>
    <sheetView workbookViewId="0">
      <selection activeCell="F16" sqref="F16"/>
    </sheetView>
  </sheetViews>
  <sheetFormatPr defaultColWidth="9" defaultRowHeight="14.4" outlineLevelRow="2"/>
  <cols>
    <col min="1" max="1" width="15.25" customWidth="1"/>
    <col min="3" max="3" width="27.25" customWidth="1"/>
    <col min="4" max="4" width="10.8333333333333" customWidth="1"/>
    <col min="9" max="9" width="9" customWidth="1"/>
  </cols>
  <sheetData>
    <row r="2" spans="1:9">
      <c r="A2" t="s">
        <v>0</v>
      </c>
      <c r="B2" t="s">
        <v>64</v>
      </c>
      <c r="C2" t="s">
        <v>66</v>
      </c>
      <c r="D2" t="s">
        <v>926</v>
      </c>
      <c r="E2" t="s">
        <v>88</v>
      </c>
      <c r="F2" t="s">
        <v>927</v>
      </c>
      <c r="G2" t="s">
        <v>928</v>
      </c>
      <c r="H2" t="s">
        <v>929</v>
      </c>
      <c r="I2" t="s">
        <v>461</v>
      </c>
    </row>
    <row r="3" spans="1:9">
      <c r="A3" t="s">
        <v>2</v>
      </c>
      <c r="B3" t="s">
        <v>2</v>
      </c>
      <c r="C3" t="s">
        <v>2</v>
      </c>
      <c r="D3" t="s">
        <v>2</v>
      </c>
      <c r="E3" t="s">
        <v>133</v>
      </c>
      <c r="F3" t="s">
        <v>134</v>
      </c>
      <c r="G3" t="s">
        <v>134</v>
      </c>
      <c r="H3" t="s">
        <v>134</v>
      </c>
      <c r="I3" t="s">
        <v>141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5" sqref="F5"/>
    </sheetView>
  </sheetViews>
  <sheetFormatPr defaultColWidth="9" defaultRowHeight="14.4" outlineLevelRow="4"/>
  <cols>
    <col min="1" max="1" width="15.25" customWidth="1"/>
    <col min="2" max="2" width="28" customWidth="1"/>
    <col min="3" max="4" width="10.0833333333333" customWidth="1"/>
    <col min="5" max="10" width="11.25" customWidth="1"/>
    <col min="11" max="11" width="6.33333333333333" customWidth="1"/>
  </cols>
  <sheetData>
    <row r="1" spans="1:12">
      <c r="A1" t="s">
        <v>0</v>
      </c>
      <c r="B1" t="s">
        <v>930</v>
      </c>
      <c r="C1" t="s">
        <v>931</v>
      </c>
      <c r="D1" t="s">
        <v>932</v>
      </c>
      <c r="E1" t="s">
        <v>933</v>
      </c>
      <c r="F1" t="s">
        <v>934</v>
      </c>
      <c r="H1" t="s">
        <v>935</v>
      </c>
      <c r="I1" t="s">
        <v>936</v>
      </c>
      <c r="J1" t="s">
        <v>937</v>
      </c>
      <c r="K1" t="s">
        <v>938</v>
      </c>
      <c r="L1" t="s">
        <v>939</v>
      </c>
    </row>
    <row r="2" spans="1:12">
      <c r="A2" t="s">
        <v>0</v>
      </c>
      <c r="B2" t="s">
        <v>940</v>
      </c>
      <c r="C2" t="s">
        <v>941</v>
      </c>
      <c r="D2" t="s">
        <v>942</v>
      </c>
      <c r="E2" t="s">
        <v>943</v>
      </c>
      <c r="F2" t="s">
        <v>944</v>
      </c>
      <c r="G2" t="s">
        <v>945</v>
      </c>
      <c r="H2" t="s">
        <v>946</v>
      </c>
      <c r="I2" t="s">
        <v>947</v>
      </c>
      <c r="J2" t="s">
        <v>948</v>
      </c>
      <c r="K2" t="s">
        <v>927</v>
      </c>
      <c r="L2" t="s">
        <v>113</v>
      </c>
    </row>
    <row r="3" spans="1:12">
      <c r="A3" t="s">
        <v>2</v>
      </c>
      <c r="B3" t="s">
        <v>2</v>
      </c>
      <c r="C3" t="s">
        <v>134</v>
      </c>
      <c r="D3" t="s">
        <v>949</v>
      </c>
      <c r="E3" t="s">
        <v>2</v>
      </c>
      <c r="F3" t="s">
        <v>132</v>
      </c>
      <c r="G3" t="s">
        <v>132</v>
      </c>
      <c r="H3" t="s">
        <v>134</v>
      </c>
      <c r="I3" t="s">
        <v>134</v>
      </c>
      <c r="J3" t="s">
        <v>134</v>
      </c>
      <c r="K3" t="s">
        <v>133</v>
      </c>
      <c r="L3" t="s">
        <v>133</v>
      </c>
    </row>
    <row r="4" customFormat="1" spans="1:12">
      <c r="A4" t="s">
        <v>907</v>
      </c>
      <c r="B4" t="s">
        <v>950</v>
      </c>
      <c r="D4" t="s">
        <v>951</v>
      </c>
      <c r="I4">
        <v>2</v>
      </c>
      <c r="K4">
        <v>60</v>
      </c>
      <c r="L4">
        <v>40</v>
      </c>
    </row>
    <row r="5" customFormat="1" spans="1:9">
      <c r="A5" t="s">
        <v>912</v>
      </c>
      <c r="B5" t="s">
        <v>952</v>
      </c>
      <c r="E5" t="s">
        <v>953</v>
      </c>
      <c r="F5">
        <v>1</v>
      </c>
      <c r="H5">
        <v>2</v>
      </c>
      <c r="I5">
        <v>1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4.4" outlineLevelRow="2"/>
  <cols>
    <col min="1" max="1" width="19.0833333333333" customWidth="1"/>
    <col min="2" max="2" width="16.25" customWidth="1"/>
    <col min="3" max="3" width="16.3333333333333" customWidth="1"/>
    <col min="4" max="4" width="47.8333333333333" customWidth="1"/>
    <col min="5" max="5" width="10.25" customWidth="1"/>
    <col min="6" max="6" width="12.8333333333333" customWidth="1"/>
    <col min="10" max="10" width="11.8333333333333" customWidth="1"/>
  </cols>
  <sheetData>
    <row r="2" spans="1:10">
      <c r="A2" t="s">
        <v>0</v>
      </c>
      <c r="B2" t="s">
        <v>373</v>
      </c>
      <c r="C2" t="s">
        <v>93</v>
      </c>
      <c r="D2" t="s">
        <v>954</v>
      </c>
      <c r="E2" t="s">
        <v>955</v>
      </c>
      <c r="F2" t="s">
        <v>95</v>
      </c>
      <c r="G2" t="s">
        <v>956</v>
      </c>
      <c r="H2" t="s">
        <v>401</v>
      </c>
      <c r="I2" t="s">
        <v>957</v>
      </c>
      <c r="J2" t="s">
        <v>70</v>
      </c>
    </row>
    <row r="3" spans="1:10">
      <c r="A3" t="s">
        <v>2</v>
      </c>
      <c r="B3" t="s">
        <v>2</v>
      </c>
      <c r="C3" t="s">
        <v>2</v>
      </c>
      <c r="D3" t="s">
        <v>2</v>
      </c>
      <c r="E3" t="s">
        <v>134</v>
      </c>
      <c r="F3" t="s">
        <v>135</v>
      </c>
      <c r="G3" t="s">
        <v>134</v>
      </c>
      <c r="H3" t="s">
        <v>958</v>
      </c>
      <c r="I3" t="s">
        <v>134</v>
      </c>
      <c r="J3" t="s">
        <v>134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F8" sqref="F8"/>
    </sheetView>
  </sheetViews>
  <sheetFormatPr defaultColWidth="8.75" defaultRowHeight="14.4" outlineLevelRow="2"/>
  <cols>
    <col min="1" max="1" width="7.5" customWidth="1"/>
    <col min="2" max="2" width="10.6666666666667" customWidth="1"/>
    <col min="3" max="3" width="21.9166666666667" customWidth="1"/>
    <col min="4" max="4" width="16.25" customWidth="1"/>
    <col min="5" max="5" width="14" customWidth="1"/>
    <col min="6" max="7" width="15.1666666666667" customWidth="1"/>
    <col min="8" max="8" width="12.9166666666667" customWidth="1"/>
    <col min="9" max="9" width="14" customWidth="1"/>
  </cols>
  <sheetData>
    <row r="1" s="1" customFormat="1" spans="1:9">
      <c r="A1" s="1" t="s">
        <v>0</v>
      </c>
      <c r="B1" s="1" t="s">
        <v>959</v>
      </c>
      <c r="C1" s="1" t="s">
        <v>960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  <c r="I1" s="1" t="s">
        <v>966</v>
      </c>
    </row>
    <row r="2" s="1" customFormat="1" spans="1:9">
      <c r="A2" s="1" t="s">
        <v>0</v>
      </c>
      <c r="B2" s="1" t="s">
        <v>967</v>
      </c>
      <c r="C2" s="1" t="s">
        <v>968</v>
      </c>
      <c r="D2" s="1" t="s">
        <v>969</v>
      </c>
      <c r="E2" s="1" t="s">
        <v>970</v>
      </c>
      <c r="F2" s="1" t="s">
        <v>971</v>
      </c>
      <c r="G2" s="1" t="s">
        <v>972</v>
      </c>
      <c r="H2" s="1" t="s">
        <v>973</v>
      </c>
      <c r="I2" s="1" t="s">
        <v>974</v>
      </c>
    </row>
    <row r="3" s="1" customFormat="1" spans="1:9">
      <c r="A3" s="1" t="s">
        <v>2</v>
      </c>
      <c r="B3" s="1" t="s">
        <v>132</v>
      </c>
      <c r="C3" s="1" t="s">
        <v>132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Foehn·Uragan</cp:lastModifiedBy>
  <dcterms:created xsi:type="dcterms:W3CDTF">2021-01-13T06:40:00Z</dcterms:created>
  <dcterms:modified xsi:type="dcterms:W3CDTF">2025-10-22T10:22:57Z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