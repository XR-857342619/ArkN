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尊尼获加\"/>
    </mc:Choice>
  </mc:AlternateContent>
  <xr:revisionPtr revIDLastSave="0" documentId="13_ncr:1_{B051E325-6DE5-474B-9BA2-5D06D4A9E461}" xr6:coauthVersionLast="47" xr6:coauthVersionMax="47" xr10:uidLastSave="{00000000-0000-0000-0000-000000000000}"/>
  <bookViews>
    <workbookView xWindow="4432" yWindow="3843" windowWidth="17953" windowHeight="10398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" i="1" l="1"/>
  <c r="BE7" i="1"/>
  <c r="BF5" i="1"/>
  <c r="BE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<sst xmlns="http://schemas.openxmlformats.org/spreadsheetml/2006/main" count="1251" uniqueCount="666">
  <si>
    <t>Id</t>
  </si>
  <si>
    <t>units</t>
  </si>
  <si>
    <t>string</t>
  </si>
  <si>
    <t>UnitData[]</t>
  </si>
  <si>
    <t>莫菲丝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</si>
  <si>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</si>
  <si>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</si>
  <si>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</si>
  <si>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</si>
  <si>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</si>
  <si>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</si>
  <si>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</si>
  <si>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</si>
  <si>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</si>
  <si>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</si>
  <si>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</si>
  <si>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</si>
  <si>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</si>
  <si>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</si>
  <si>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</si>
  <si>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</si>
  <si>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</si>
  <si>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</si>
  <si>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</si>
  <si>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</si>
  <si>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</si>
  <si>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</si>
  <si>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</si>
  <si>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</si>
  <si>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</si>
  <si>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</si>
  <si>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</si>
  <si>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</si>
  <si>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</si>
  <si>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</si>
  <si>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</si>
  <si>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</si>
  <si>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</si>
  <si>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</si>
  <si>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</si>
  <si>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</si>
  <si>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</si>
  <si>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</si>
  <si>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</si>
  <si>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</si>
  <si>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</si>
  <si>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</si>
  <si>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</si>
  <si>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</si>
  <si>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</si>
  <si>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</si>
  <si>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</si>
  <si>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</si>
  <si>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</si>
  <si>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</si>
  <si>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</si>
  <si>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</si>
  <si>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</si>
  <si>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</si>
  <si>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</si>
  <si>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</si>
  <si>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</si>
  <si>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</si>
  <si>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</si>
  <si>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</si>
  <si>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</si>
  <si>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</si>
  <si>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</si>
  <si>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</si>
  <si>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</si>
  <si>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</si>
  <si>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</si>
  <si>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</si>
  <si>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</si>
  <si>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</si>
  <si>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</si>
  <si>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</si>
  <si>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</si>
  <si>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</si>
  <si>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</si>
  <si>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</si>
  <si>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</si>
  <si>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</si>
  <si>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</si>
  <si>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</si>
  <si>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</si>
  <si>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</si>
  <si>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</si>
  <si>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</si>
  <si>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</si>
  <si>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</si>
  <si>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</si>
  <si>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</si>
  <si>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</si>
  <si>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</si>
  <si>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</si>
  <si>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</si>
  <si>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</si>
  <si>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</si>
  <si>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</si>
  <si>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</si>
  <si>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</si>
  <si>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</si>
  <si>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</si>
  <si>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</si>
  <si>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</si>
  <si>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</si>
  <si>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</si>
  <si>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</si>
  <si>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</si>
  <si>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</si>
  <si>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</si>
  <si>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</si>
  <si>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</si>
  <si>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</si>
  <si>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</si>
  <si>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</si>
  <si>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</si>
  <si>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</si>
  <si>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</si>
  <si>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</si>
  <si>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</si>
  <si>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</si>
  <si>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</si>
  <si>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</si>
  <si>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</si>
  <si>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</si>
  <si>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</si>
  <si>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211,81,1500,1500</t>
  </si>
  <si>
    <t>远程位</t>
  </si>
  <si>
    <t>Default</t>
  </si>
  <si>
    <t>Idle</t>
  </si>
  <si>
    <t>Die</t>
  </si>
  <si>
    <t>近战位</t>
  </si>
  <si>
    <t>维多利亚,远程</t>
  </si>
  <si>
    <t>辅助</t>
  </si>
  <si>
    <t>hamoni</t>
  </si>
  <si>
    <t>莫菲丝攻击,莫菲丝入场,莫菲丝死亡倒计时</t>
  </si>
  <si>
    <t>莫菲丝1,莫菲丝2,莫菲丝3</t>
  </si>
  <si>
    <t>削弱者</t>
  </si>
  <si>
    <t>icon_morphis</t>
  </si>
  <si>
    <t>攻击造成法术伤害,对目标造成10％虚弱效果，持续2秒</t>
  </si>
  <si>
    <t>{"梦境缠绕":"自身及召唤物可以攻击进入睡眠状态的敌人，且攻击倍率提升至160%，优先攻击自身未攻击过或睡眠中的敌人，自身对每个敌人首次造成伤害的同时，令其进入8秒睡眠。被自身睡眠的敌人法术抗性-100%。若睡眠失败或被打断睡眠则改为等时长的束缚，期间其法术抗性-40%","意识脱离":"攻击范围内敌人濒死或生命值低于自身攻击力150%时，令其进入意识脱离状态，持续10秒，期间目标获得无敌，不可移动与攻击，不可被阻挡，场上不存在卡尔顿时，选择一个处于意识脱离状态的敌人所在格部署卡尔顿，卡尔顿所在格及周围八格的敌人攻击力-40%，移动速度-40%。目标意识脱离状态结束后将其击杀，且自身攻击范围内所有干员回复2点技力"}</t>
  </si>
  <si>
    <t>B_Default</t>
  </si>
  <si>
    <t>B_Idle</t>
  </si>
  <si>
    <t>B_Die</t>
  </si>
  <si>
    <t>沃尔夫</t>
  </si>
  <si>
    <t>mjcgst</t>
  </si>
  <si>
    <t>10109</t>
  </si>
  <si>
    <t>沃尔夫攻击,通用绝食</t>
  </si>
  <si>
    <t>沃尔夫描述</t>
  </si>
  <si>
    <t>召唤物</t>
  </si>
  <si>
    <t>icon_wolf</t>
  </si>
  <si>
    <t>召唤物,远程</t>
  </si>
  <si>
    <t>卡尔顿</t>
  </si>
  <si>
    <t>mjcbat</t>
  </si>
  <si>
    <t>10106</t>
  </si>
  <si>
    <t>卡尔顿攻击,卡尔顿减益,卡尔顿检测</t>
  </si>
  <si>
    <t>卡尔顿描述</t>
  </si>
  <si>
    <t>召唤物,近战,远程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</si>
  <si>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</si>
  <si>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</si>
  <si>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</si>
  <si>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</si>
  <si>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</si>
  <si>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</si>
  <si>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</si>
  <si>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</si>
  <si>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</si>
  <si>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</si>
  <si>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</si>
  <si>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</si>
  <si>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</si>
  <si>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</si>
  <si>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</si>
  <si>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</si>
  <si>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</si>
  <si>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</si>
  <si>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</si>
  <si>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</si>
  <si>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</si>
  <si>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</si>
  <si>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</si>
  <si>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</si>
  <si>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</si>
  <si>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</si>
  <si>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</si>
  <si>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</si>
  <si>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</si>
  <si>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</si>
  <si>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</si>
  <si>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</si>
  <si>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</si>
  <si>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</si>
  <si>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</si>
  <si>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</si>
  <si>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</si>
  <si>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</si>
  <si>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</si>
  <si>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</si>
  <si>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</si>
  <si>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</si>
  <si>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</si>
  <si>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</si>
  <si>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</si>
  <si>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</si>
  <si>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</si>
  <si>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</si>
  <si>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</si>
  <si>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</si>
  <si>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</si>
  <si>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</si>
  <si>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</si>
  <si>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</si>
  <si>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</si>
  <si>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</si>
  <si>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</si>
  <si>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</si>
  <si>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</si>
  <si>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</si>
  <si>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</si>
  <si>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</si>
  <si>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</si>
  <si>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</si>
  <si>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</si>
  <si>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</si>
  <si>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</si>
  <si>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</si>
  <si>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</si>
  <si>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</si>
  <si>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</si>
  <si>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</si>
  <si>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</si>
  <si>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</si>
  <si>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</si>
  <si>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</si>
  <si>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</si>
  <si>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</si>
  <si>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</si>
  <si>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</si>
  <si>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</si>
  <si>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</si>
  <si>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</si>
  <si>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</si>
  <si>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</si>
  <si>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</si>
  <si>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</si>
  <si>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</si>
  <si>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</si>
  <si>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</si>
  <si>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</si>
  <si>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</si>
  <si>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</si>
  <si>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</si>
  <si>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</si>
  <si>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</si>
  <si>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</si>
  <si>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</si>
  <si>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</si>
  <si>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</si>
  <si>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</si>
  <si>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</si>
  <si>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</si>
  <si>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</si>
  <si>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</si>
  <si>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</si>
  <si>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</si>
  <si>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</si>
  <si>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</si>
  <si>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</si>
  <si>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</si>
  <si>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</si>
  <si>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</si>
  <si>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</si>
  <si>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</si>
  <si>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</si>
  <si>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</si>
  <si>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</si>
  <si>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</si>
  <si>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</si>
  <si>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</si>
  <si>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</si>
  <si>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</si>
  <si>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</si>
  <si>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</si>
  <si>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</si>
  <si>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</si>
  <si>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</si>
  <si>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</si>
  <si>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</si>
  <si>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</si>
  <si>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</si>
  <si>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</si>
  <si>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</si>
  <si>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</si>
  <si>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</si>
  <si>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</si>
  <si>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</si>
  <si>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</si>
  <si>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</si>
  <si>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</si>
  <si>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</si>
  <si>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</si>
  <si>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</si>
  <si>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</si>
  <si>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</si>
  <si>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</si>
  <si>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</si>
  <si>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</si>
  <si>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</si>
  <si>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</si>
  <si>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</si>
  <si>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</si>
  <si>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</si>
  <si>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</si>
  <si>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</si>
  <si>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</si>
  <si>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</si>
  <si>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</si>
  <si>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</si>
  <si>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</si>
  <si>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</si>
  <si>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</si>
  <si>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</si>
  <si>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</si>
  <si>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</si>
  <si>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</si>
  <si>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</si>
  <si>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</si>
  <si>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</si>
  <si>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</si>
  <si>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</si>
  <si>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</si>
  <si>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</si>
  <si>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</si>
  <si>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</si>
  <si>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</si>
  <si>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</si>
  <si>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</si>
  <si>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</si>
  <si>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</si>
  <si>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</si>
  <si>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</si>
  <si>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</si>
  <si>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</si>
  <si>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</si>
  <si>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</si>
  <si>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</si>
  <si>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</si>
  <si>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</si>
  <si>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</si>
  <si>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</si>
  <si>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</si>
  <si>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</si>
  <si>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</si>
  <si>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</si>
  <si>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</si>
  <si>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</si>
  <si>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</si>
  <si>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</si>
  <si>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</si>
  <si>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</si>
  <si>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</si>
  <si>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</si>
  <si>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</si>
  <si>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</si>
  <si>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</si>
  <si>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</si>
  <si>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</si>
  <si>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</si>
  <si>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</si>
  <si>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</si>
  <si>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</si>
  <si>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</si>
  <si>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</si>
  <si>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</si>
  <si>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</si>
  <si>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</si>
  <si>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</si>
  <si>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</si>
  <si>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</si>
  <si>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</si>
  <si>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</si>
  <si>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</si>
  <si>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</si>
  <si>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</si>
  <si>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</si>
  <si>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</si>
  <si>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</si>
  <si>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</si>
  <si>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普通技能</t>
  </si>
  <si>
    <t>被动</t>
  </si>
  <si>
    <t>出场</t>
  </si>
  <si>
    <t>仅自己</t>
  </si>
  <si>
    <t>终点距离</t>
  </si>
  <si>
    <t>Magic</t>
  </si>
  <si>
    <t>跟随攻击</t>
  </si>
  <si>
    <t>充能释放</t>
  </si>
  <si>
    <t>手动</t>
  </si>
  <si>
    <t>自动</t>
  </si>
  <si>
    <t>Muzzle</t>
  </si>
  <si>
    <t>推王攻击启动</t>
  </si>
  <si>
    <t>0,0#0,1#0,-1#1,0#2,0#1,1#1,-1#2,1#2,-1#3,0</t>
  </si>
  <si>
    <t>史都华德弹道</t>
  </si>
  <si>
    <t>史都华德击中</t>
  </si>
  <si>
    <t>回复技力</t>
  </si>
  <si>
    <t>0,0#0,1#0,-1#1,0#1,1#1,-1#-1,0#-1,1#-1,-1</t>
  </si>
  <si>
    <t>梅尔弹道</t>
  </si>
  <si>
    <t>0,0#0,1#0,-1#1,0#-1,0#2,0#1,1#1,-1#0,2#0,-2#-1,1#-1,-1#-2,0#3,0#2,1#2,-1#1,2#1,-2#0,3#0,-3#-1,2#-1,-2#-2,-1#-2,1#-3,0</t>
  </si>
  <si>
    <t>格劳克斯2眩晕</t>
  </si>
  <si>
    <t>落地</t>
  </si>
  <si>
    <t>{"PowerCount":2}</t>
  </si>
  <si>
    <t>技能结束</t>
  </si>
  <si>
    <t>特技激活</t>
  </si>
  <si>
    <t>莫菲丝攻击</t>
  </si>
  <si>
    <t>莫菲丝2动作</t>
  </si>
  <si>
    <t>莫菲丝命中标记</t>
  </si>
  <si>
    <t>0,0#0,1#0,-1#1,0#2,0#1,1#1,-1#2,1#2,-1#-1,0#-1,1#-1,-1#0,2#1,2#0,-2#1,-2</t>
  </si>
  <si>
    <t>莫菲丝睡眠攻击,莫菲丝缠绕,莫菲丝命中,莫菲丝其他睡眠,莫菲丝削抗1,莫菲丝削抗2,莫菲丝转束缚</t>
  </si>
  <si>
    <t>B_Attack</t>
  </si>
  <si>
    <t>C_Weapon_RB</t>
  </si>
  <si>
    <t>莫菲丝睡眠增伤</t>
  </si>
  <si>
    <t>虚弱</t>
  </si>
  <si>
    <t>真理击中</t>
  </si>
  <si>
    <t>莫菲丝睡眠攻击</t>
  </si>
  <si>
    <t>睡眠,莫菲丝命中标记</t>
  </si>
  <si>
    <t>莫菲丝缠绕</t>
  </si>
  <si>
    <t>B_Skill_3</t>
  </si>
  <si>
    <t>虚弱,睡眠,莫菲丝缠绕标记</t>
  </si>
  <si>
    <t>莫菲丝命中</t>
  </si>
  <si>
    <t>莫菲丝缠绕标记</t>
  </si>
  <si>
    <t>莫菲丝其他睡眠</t>
  </si>
  <si>
    <t>莫菲丝命中标记2</t>
  </si>
  <si>
    <t>莫菲丝缠绕标记,莫菲丝命中标记</t>
  </si>
  <si>
    <t>莫菲丝削抗1</t>
  </si>
  <si>
    <t>睡眠,莫菲丝缠绕标记</t>
  </si>
  <si>
    <t>莫菲丝削抗</t>
  </si>
  <si>
    <t>-1</t>
  </si>
  <si>
    <t>莫菲丝削抗2</t>
  </si>
  <si>
    <t>睡眠</t>
  </si>
  <si>
    <t>-0.4</t>
  </si>
  <si>
    <t>莫菲丝转束缚</t>
  </si>
  <si>
    <t>莫菲丝束缚</t>
  </si>
  <si>
    <t>莫菲丝死亡倒计时</t>
  </si>
  <si>
    <t>Target.Hp &lt; Unit.Attack * 1.5</t>
  </si>
  <si>
    <t>莫菲丝3增益</t>
  </si>
  <si>
    <t>莫菲丝死亡倒计时2,莫菲丝锁血标记,莫菲丝死亡缠绕,莫菲丝解除死亡,莫菲丝生成卡尔顿索敌,莫菲丝锁定卡尔顿</t>
  </si>
  <si>
    <t>莫菲丝死亡倒计时,莫菲丝死亡标记</t>
  </si>
  <si>
    <t>莫菲丝死亡倒计时2</t>
  </si>
  <si>
    <t>Target.Hp &lt; Unit.Attack * 4.5</t>
  </si>
  <si>
    <t>莫菲丝锁血标记</t>
  </si>
  <si>
    <t>莫菲丝死亡无敌,莫菲丝死亡标记4,莫菲丝死亡标记5</t>
  </si>
  <si>
    <t>莫菲丝锁血</t>
  </si>
  <si>
    <t>莫菲丝死亡缠绕</t>
  </si>
  <si>
    <t>莫菲丝死亡标记</t>
  </si>
  <si>
    <t>莫菲丝死亡标记2,莫菲丝死亡标记3,莫菲丝死亡标记4,莫菲丝死亡标记5</t>
  </si>
  <si>
    <t>莫菲丝3死亡后续</t>
  </si>
  <si>
    <t>莫菲丝死亡无敌,莫菲丝束缚,莫菲丝缴械,莫菲丝不可阻挡,莫菲丝死亡标记2</t>
  </si>
  <si>
    <t>莫菲丝死亡标记2</t>
  </si>
  <si>
    <t>莫菲丝死亡标记,莫菲丝死亡标记3,莫菲丝死亡标记4,莫菲丝死亡标记5</t>
  </si>
  <si>
    <t>莫菲丝死亡标记3</t>
  </si>
  <si>
    <t>莫菲丝生成卡尔顿索敌</t>
  </si>
  <si>
    <t>卡尔顿检测标记</t>
  </si>
  <si>
    <t>莫菲丝死亡无敌</t>
  </si>
  <si>
    <t>莫菲丝生成卡尔顿</t>
  </si>
  <si>
    <t>部署干员</t>
  </si>
  <si>
    <t>莫菲丝生成卡尔顿2</t>
  </si>
  <si>
    <t>{"UnitId":"卡尔顿","TargetPos":"useTargetPos","SetMod":"Add","UseMod":"UserDirection","UserName":"莫菲丝"}</t>
  </si>
  <si>
    <t>莫菲丝锁定卡尔顿</t>
  </si>
  <si>
    <t>莫菲丝锁定卡尔顿后续</t>
  </si>
  <si>
    <t>B_Skill_2_End</t>
  </si>
  <si>
    <t>莫菲丝3被动</t>
  </si>
  <si>
    <t>莫菲丝解除死亡</t>
  </si>
  <si>
    <t>莫菲丝死亡伤害</t>
  </si>
  <si>
    <t>莫菲丝回复技力</t>
  </si>
  <si>
    <t>莫菲丝死亡无敌,莫菲丝束缚,莫菲丝缴械,莫菲丝不可阻挡</t>
  </si>
  <si>
    <t>莫菲丝死亡标记4</t>
  </si>
  <si>
    <t>莫菲丝死亡无敌,莫菲丝死亡标记5</t>
  </si>
  <si>
    <t>Real</t>
  </si>
  <si>
    <t>莫菲丝死亡标记5</t>
  </si>
  <si>
    <t>莫菲丝1</t>
  </si>
  <si>
    <t>意识强化</t>
  </si>
  <si>
    <t>攻击力+8%，最多叠加25层，若攻击范围内存在可攻击目标，则对最多两个敌人造成攻击力160%的伤害并沉睡5秒\n可充能两次</t>
  </si>
  <si>
    <t>skill_icon_skchr_iris_2</t>
  </si>
  <si>
    <t>莫菲丝1延长睡眠</t>
  </si>
  <si>
    <t>莫菲丝1攻击</t>
  </si>
  <si>
    <t>B_Skill_1</t>
  </si>
  <si>
    <t>莫菲丝1增益</t>
  </si>
  <si>
    <t>睡眠,莫菲丝缠绕标记,莫菲丝1标记</t>
  </si>
  <si>
    <t>莫菲丝1标记</t>
  </si>
  <si>
    <t>莫菲丝2</t>
  </si>
  <si>
    <t>噩梦惊醒</t>
  </si>
  <si>
    <t>被动效果：可携带一个可部署在高台位的沃尔夫\n主动效果：沃尔夫攻击速度+80，自身第一天赋的减法抗效果提升50%，攻击改为持续锁定攻击范围内生命值最高的敌人，令其以及周围敌人持续睡眠，每秒受到墨菲丝攻击力120%的伤害并施加60%法术脆弱，技能结束时对锁定的敌人周围造成攻击力300%的法术溅射伤害并施加8秒80%法术脆弱和停顿</t>
  </si>
  <si>
    <t>skill_icon_skchr_sora_1</t>
  </si>
  <si>
    <t>莫菲丝2攻击,莫菲丝2睡眠,莫菲丝2结束,莫菲丝2削抗1,莫菲丝2削抗2,莫菲丝获得沃尔夫,莫菲丝隐身沃尔夫,莫菲丝加成沃尔夫</t>
  </si>
  <si>
    <t>B_Skill_2_Begin</t>
  </si>
  <si>
    <t>莫菲丝常态动作</t>
  </si>
  <si>
    <t>莫菲丝2攻击</t>
  </si>
  <si>
    <t>最大血量降序</t>
  </si>
  <si>
    <t>虚弱,法术脆弱,莫菲丝缠绕标记,莫菲丝2标记</t>
  </si>
  <si>
    <t>远山普攻击中</t>
  </si>
  <si>
    <t>莫菲丝2睡眠</t>
  </si>
  <si>
    <t>莫菲丝2标记</t>
  </si>
  <si>
    <t>沃尔夫唤醒标记</t>
  </si>
  <si>
    <t>莫菲丝2结束</t>
  </si>
  <si>
    <t>莫菲丝2结束攻击,莫菲丝2结束解除标记</t>
  </si>
  <si>
    <t>莫菲丝2结束攻击</t>
  </si>
  <si>
    <t>法术脆弱,减速,莫菲丝命中标记2</t>
  </si>
  <si>
    <t>陨星2击中</t>
  </si>
  <si>
    <t>莫菲丝2结束解除标记</t>
  </si>
  <si>
    <t>莫菲丝2削抗1</t>
  </si>
  <si>
    <t>-1.5</t>
  </si>
  <si>
    <t>莫菲丝2削抗2</t>
  </si>
  <si>
    <t>-0.6</t>
  </si>
  <si>
    <t>莫菲丝获得沃尔夫</t>
  </si>
  <si>
    <t>获取单位</t>
  </si>
  <si>
    <t>自己入场</t>
  </si>
  <si>
    <t>{"Count":1,"UnitId":"沃尔夫"}</t>
  </si>
  <si>
    <t>莫菲丝隐身沃尔夫</t>
  </si>
  <si>
    <t>隐身</t>
  </si>
  <si>
    <t>莫菲丝加成沃尔夫</t>
  </si>
  <si>
    <t>沃尔夫增益</t>
  </si>
  <si>
    <t>莫菲丝3</t>
  </si>
  <si>
    <t>睡梦狂欢</t>
  </si>
  <si>
    <t>第二天赋的移动速度降低效果+100%，意识脱离触发血量阈值提升200%，令原攻击范围内敌人立即沉睡15秒，随后攻击范围扩大，攻击间隔缩短（-0.8），攻击改为随机对4个敌人造成伤害。技能期间攻击范围内所有敌人降低自身攻击力40%的攻击以及攻击力3%的法术抗性，且每触发一次第二天赋，自身攻击力+15%，最多叠加8次。</t>
  </si>
  <si>
    <t>skill_icon_skchr_bena_2</t>
  </si>
  <si>
    <t>随机</t>
  </si>
  <si>
    <t>莫菲丝3buff,莫菲丝3减益,莫菲丝3结束,莫菲丝加成卡尔顿</t>
  </si>
  <si>
    <t>B_Skill_4_Begin,B_Skill_4_Loop,B_Skill_4_End</t>
  </si>
  <si>
    <t>莫菲丝3buff</t>
  </si>
  <si>
    <t>释放技能</t>
  </si>
  <si>
    <t>莫菲丝3睡眠</t>
  </si>
  <si>
    <t>莫菲丝3增益,莫菲丝3动作</t>
  </si>
  <si>
    <t>莫菲丝3减益</t>
  </si>
  <si>
    <t>-0.4,-0.03</t>
  </si>
  <si>
    <t>莫菲丝3结束</t>
  </si>
  <si>
    <t>莫菲丝3动作,莫菲丝3被动</t>
  </si>
  <si>
    <t>莫菲丝加成卡尔顿</t>
  </si>
  <si>
    <t>卡尔顿增益</t>
  </si>
  <si>
    <t>莫菲丝入场</t>
  </si>
  <si>
    <t>A_Skill_4_End</t>
  </si>
  <si>
    <t>攻击解除目标睡眠，在莫菲丝攻击范围内时自身获得隐匿</t>
  </si>
  <si>
    <t>沃尔夫攻击</t>
  </si>
  <si>
    <t>沃尔夫技能攻击</t>
  </si>
  <si>
    <t>阿米娅弹道</t>
  </si>
  <si>
    <t>Hand_R_B</t>
  </si>
  <si>
    <t>不可阻挡，无敌，自身所在格没有处于意识脱离状态的敌人时退场</t>
  </si>
  <si>
    <t>不可阻挡,无特效无敌</t>
  </si>
  <si>
    <t>卡尔顿攻击</t>
  </si>
  <si>
    <t>卡尔顿减益</t>
  </si>
  <si>
    <t>卡尔顿技能减益</t>
  </si>
  <si>
    <t>莫菲丝死亡减益</t>
  </si>
  <si>
    <t>-0.4,-0.4</t>
  </si>
  <si>
    <t>-0.4,-0.8</t>
  </si>
  <si>
    <t>卡尔顿检测</t>
  </si>
  <si>
    <t>卡尔顿退场</t>
  </si>
  <si>
    <t>卡尔顿检测后续</t>
  </si>
  <si>
    <t>即死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</si>
  <si>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</si>
  <si>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</si>
  <si>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</si>
  <si>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</si>
  <si>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</si>
  <si>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</si>
  <si>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</si>
  <si>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</si>
  <si>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</si>
  <si>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</si>
  <si>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</si>
  <si>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</si>
  <si>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</si>
  <si>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</si>
  <si>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</si>
  <si>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</si>
  <si>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</si>
  <si>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</si>
  <si>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</si>
  <si>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</si>
  <si>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</si>
  <si>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</si>
  <si>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</si>
  <si>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{"t":["AgiAdd"]}</t>
  </si>
  <si>
    <t>数值变化叠加</t>
  </si>
  <si>
    <t>普通Buff</t>
  </si>
  <si>
    <t>支援强化</t>
  </si>
  <si>
    <t>{"t":["AttackGapAdd"]}</t>
  </si>
  <si>
    <t>无敌</t>
  </si>
  <si>
    <t>降防</t>
  </si>
  <si>
    <t>{"t":["MagicDefenceRate"]}</t>
  </si>
  <si>
    <t>诅咒</t>
  </si>
  <si>
    <t>{"t":["AttackRate","SpeedRate"],"MaxLevel":5}</t>
  </si>
  <si>
    <t>{"t":["AttackRate"],"MaxLevel":25}</t>
  </si>
  <si>
    <t>{"IdleAnimation":["B_Skill_2_Loop"]}</t>
  </si>
  <si>
    <t>{"IdleAnimation":["B_Idle"]}</t>
  </si>
  <si>
    <t>设置属性</t>
  </si>
  <si>
    <t>冒黑雾</t>
  </si>
  <si>
    <t>{"t":["Speed","SpeedBase"],"v":[0,0]}</t>
  </si>
  <si>
    <t>莫菲丝缴械</t>
  </si>
  <si>
    <t>缴械</t>
  </si>
  <si>
    <t>莫菲丝不可阻挡</t>
  </si>
  <si>
    <t>不可阻挡</t>
  </si>
  <si>
    <t>锁血</t>
  </si>
  <si>
    <t>{"TriggerPoint":0.1}</t>
  </si>
  <si>
    <t>莫菲丝3动作</t>
  </si>
  <si>
    <t>{"IdleAnimation":["B_Skill_4_Loop"]}</t>
  </si>
  <si>
    <t>鼓舞</t>
  </si>
  <si>
    <t>{"t":["AttackAdd","MagicDefenceAdd"]}</t>
  </si>
  <si>
    <t>{"t":["AttackRate"],"MaxLevel":8}</t>
  </si>
  <si>
    <t>相关buff</t>
  </si>
  <si>
    <t>Buff</t>
  </si>
  <si>
    <t>对buff伤害</t>
  </si>
  <si>
    <t>{"DamageRate":1.6}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</si>
  <si>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</si>
  <si>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</si>
  <si>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</si>
  <si>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</si>
  <si>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</si>
  <si>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</si>
  <si>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</si>
  <si>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</si>
  <si>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</si>
  <si>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</si>
  <si>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</si>
  <si>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</si>
  <si>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</si>
  <si>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</si>
  <si>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</si>
  <si>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</si>
  <si>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</si>
  <si>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</si>
  <si>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</si>
  <si>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</si>
  <si>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</si>
  <si>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</si>
  <si>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</si>
  <si>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</si>
  <si>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</si>
  <si>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</si>
  <si>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</si>
  <si>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</si>
  <si>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</si>
  <si>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</si>
  <si>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</si>
  <si>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</si>
  <si>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</si>
  <si>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</si>
  <si>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</si>
  <si>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</si>
  <si>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</si>
  <si>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</si>
  <si>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</si>
  <si>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</si>
  <si>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</si>
  <si>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</si>
  <si>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</si>
  <si>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</si>
  <si>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</si>
  <si>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/Spine/莫菲丝/enemy_1569_ldevil.atlas.txt</t>
  </si>
  <si>
    <t>/Spine/莫菲丝/enemy_1569_ldevil.png</t>
  </si>
  <si>
    <t>/Spine/莫菲丝/enemy_1569_ldevil.skel.bytes</t>
  </si>
  <si>
    <t>/Spine/沃尔夫/enemy_10109_mjcgst.atlas.txt</t>
  </si>
  <si>
    <t>/Spine/沃尔夫/enemy_10109_mjcgst.png</t>
  </si>
  <si>
    <t>/Spine/沃尔夫/enemy_10109_mjcgst.skel.bytes</t>
  </si>
  <si>
    <t>/Spine/卡尔顿/enemy_10106_mjcbat.atlas.txt</t>
  </si>
  <si>
    <t>/Spine/卡尔顿/enemy_10106_mjcbat.png</t>
  </si>
  <si>
    <t>/Spine/卡尔顿/enemy_10106_mjcbat.skel.bytes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</si>
</sst>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9C57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5">
    <xf numFmtId="0" fontId="0" fillId="0" borderId="0">
      <alignment vertical="center"/>
    </xf>
    <xf numFmtId="0" fontId="8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3" fillId="0" borderId="0">
      <alignment vertical="center"/>
    </xf>
  </cellStyleXfs>
  <cellXfs count="19">
    <xf numFmtId="0" fontId="0" fillId="0" borderId="0" xfId="0">
      <alignment vertical="center"/>
    </xf>
    <xf numFmtId="0" fontId="13" fillId="0" borderId="0" xfId="4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1" fillId="2" borderId="1" xfId="0" applyFont="1" applyFill="1" applyBorder="1">
      <alignment vertical="center"/>
    </xf>
    <xf numFmtId="0" fontId="0" fillId="3" borderId="0" xfId="3" applyFont="1">
      <alignment vertical="center"/>
    </xf>
    <xf numFmtId="0" fontId="0" fillId="4" borderId="1" xfId="2" applyFont="1" applyBorder="1">
      <alignment vertical="center"/>
    </xf>
    <xf numFmtId="0" fontId="3" fillId="4" borderId="0" xfId="2" applyFont="1">
      <alignment vertical="center"/>
    </xf>
    <xf numFmtId="0" fontId="0" fillId="5" borderId="1" xfId="0" applyFill="1" applyBorder="1">
      <alignment vertical="center"/>
    </xf>
    <xf numFmtId="0" fontId="0" fillId="5" borderId="1" xfId="1" applyFont="1" applyBorder="1">
      <alignment vertical="center"/>
    </xf>
    <xf numFmtId="0" fontId="4" fillId="5" borderId="0" xfId="1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7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10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colors>
    <mruColors>
      <color rgb="FFEBF1D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80"/>
  <sheetViews>
    <sheetView tabSelected="1" workbookViewId="0">
      <pane xSplit="1" ySplit="3" topLeftCell="BC4" activePane="bottomRight" state="frozen"/>
      <selection pane="topRight"/>
      <selection pane="bottomLeft"/>
      <selection pane="bottomRight" activeCell="BD6" sqref="BD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2" max="62" width="27.33203125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136</v>
      </c>
      <c r="E5" s="14">
        <v>297</v>
      </c>
      <c r="F5" t="s">
        <v>4</v>
      </c>
      <c r="G5">
        <v>1</v>
      </c>
      <c r="I5">
        <v>2</v>
      </c>
      <c r="J5">
        <v>90</v>
      </c>
      <c r="K5">
        <v>1950</v>
      </c>
      <c r="M5">
        <v>605</v>
      </c>
      <c r="N5">
        <v>90</v>
      </c>
      <c r="O5">
        <v>125</v>
      </c>
      <c r="Q5">
        <v>25</v>
      </c>
      <c r="S5">
        <v>13</v>
      </c>
      <c r="T5">
        <v>-2</v>
      </c>
      <c r="U5">
        <v>0.5</v>
      </c>
      <c r="V5">
        <v>70</v>
      </c>
      <c r="W5">
        <v>-4</v>
      </c>
      <c r="X5">
        <v>7</v>
      </c>
      <c r="Y5">
        <v>0.05</v>
      </c>
      <c r="Z5">
        <v>1.6</v>
      </c>
      <c r="AC5">
        <v>1</v>
      </c>
      <c r="AG5" t="s">
        <v>4</v>
      </c>
      <c r="AH5" t="s">
        <v>127</v>
      </c>
      <c r="AI5" t="s">
        <v>137</v>
      </c>
      <c r="AJ5" t="s">
        <v>138</v>
      </c>
      <c r="AM5">
        <v>1</v>
      </c>
      <c r="AO5">
        <v>1</v>
      </c>
      <c r="AP5">
        <v>0.5</v>
      </c>
      <c r="AW5">
        <v>0.25</v>
      </c>
      <c r="BB5" t="s">
        <v>135</v>
      </c>
      <c r="BC5" t="s">
        <v>139</v>
      </c>
      <c r="BD5" t="s">
        <v>140</v>
      </c>
      <c r="BE5" t="str">
        <f>"half_"&amp;D5</f>
        <v>half_hamoni</v>
      </c>
      <c r="BF5" t="str">
        <f t="shared" ref="BF5" si="0">D5</f>
        <v>hamoni</v>
      </c>
      <c r="BG5" t="s">
        <v>128</v>
      </c>
      <c r="BH5">
        <v>6</v>
      </c>
      <c r="BI5" t="s">
        <v>129</v>
      </c>
      <c r="BJ5" t="s">
        <v>134</v>
      </c>
      <c r="BK5" t="s">
        <v>141</v>
      </c>
      <c r="BL5" t="s">
        <v>142</v>
      </c>
      <c r="BM5" t="s">
        <v>143</v>
      </c>
      <c r="BN5" t="s">
        <v>144</v>
      </c>
      <c r="BP5" t="s">
        <v>145</v>
      </c>
      <c r="BQ5" t="s">
        <v>145</v>
      </c>
      <c r="BS5">
        <v>1</v>
      </c>
    </row>
    <row r="6" spans="1:71" x14ac:dyDescent="0.25">
      <c r="A6" t="s">
        <v>146</v>
      </c>
      <c r="B6" t="s">
        <v>126</v>
      </c>
      <c r="D6" t="s">
        <v>147</v>
      </c>
      <c r="E6" s="13" t="s">
        <v>148</v>
      </c>
      <c r="F6" t="s">
        <v>146</v>
      </c>
      <c r="G6">
        <v>1</v>
      </c>
      <c r="I6">
        <v>2</v>
      </c>
      <c r="J6">
        <v>90</v>
      </c>
      <c r="K6">
        <v>1500</v>
      </c>
      <c r="M6">
        <v>520</v>
      </c>
      <c r="O6">
        <v>115</v>
      </c>
      <c r="Q6">
        <v>50</v>
      </c>
      <c r="S6">
        <v>0</v>
      </c>
      <c r="U6">
        <v>0.5</v>
      </c>
      <c r="V6">
        <v>25</v>
      </c>
      <c r="Y6">
        <v>0.05</v>
      </c>
      <c r="Z6">
        <v>1.2</v>
      </c>
      <c r="AC6">
        <v>0</v>
      </c>
      <c r="AG6" t="s">
        <v>146</v>
      </c>
      <c r="AH6" t="s">
        <v>127</v>
      </c>
      <c r="AI6" t="s">
        <v>149</v>
      </c>
      <c r="AJ6" t="s">
        <v>150</v>
      </c>
      <c r="AK6">
        <v>1</v>
      </c>
      <c r="AM6">
        <v>1</v>
      </c>
      <c r="AO6">
        <v>1</v>
      </c>
      <c r="AP6">
        <v>0.5</v>
      </c>
      <c r="AW6">
        <v>0.25</v>
      </c>
      <c r="BB6" t="s">
        <v>135</v>
      </c>
      <c r="BC6" t="s">
        <v>151</v>
      </c>
      <c r="BD6" t="s">
        <v>152</v>
      </c>
      <c r="BH6">
        <v>6</v>
      </c>
      <c r="BI6" t="s">
        <v>129</v>
      </c>
      <c r="BJ6" t="s">
        <v>153</v>
      </c>
      <c r="BM6" t="s">
        <v>130</v>
      </c>
      <c r="BN6" t="s">
        <v>131</v>
      </c>
      <c r="BP6" t="s">
        <v>132</v>
      </c>
      <c r="BQ6" t="s">
        <v>132</v>
      </c>
      <c r="BS6">
        <v>1</v>
      </c>
    </row>
    <row r="7" spans="1:71" x14ac:dyDescent="0.25">
      <c r="A7" t="s">
        <v>154</v>
      </c>
      <c r="B7" t="s">
        <v>126</v>
      </c>
      <c r="D7" t="s">
        <v>155</v>
      </c>
      <c r="E7" s="13" t="s">
        <v>156</v>
      </c>
      <c r="F7" t="s">
        <v>154</v>
      </c>
      <c r="G7">
        <v>1</v>
      </c>
      <c r="I7">
        <v>2</v>
      </c>
      <c r="J7">
        <v>90</v>
      </c>
      <c r="K7">
        <v>100</v>
      </c>
      <c r="M7">
        <v>175</v>
      </c>
      <c r="O7">
        <v>0</v>
      </c>
      <c r="Q7">
        <v>0</v>
      </c>
      <c r="S7">
        <v>0</v>
      </c>
      <c r="U7">
        <v>0</v>
      </c>
      <c r="V7">
        <v>10</v>
      </c>
      <c r="Y7">
        <v>0.05</v>
      </c>
      <c r="Z7">
        <v>0.4</v>
      </c>
      <c r="AC7">
        <v>0</v>
      </c>
      <c r="AD7">
        <v>1</v>
      </c>
      <c r="AG7" t="s">
        <v>154</v>
      </c>
      <c r="AH7" t="s">
        <v>127</v>
      </c>
      <c r="AI7" t="s">
        <v>157</v>
      </c>
      <c r="AJ7" t="s">
        <v>158</v>
      </c>
      <c r="AK7">
        <v>1</v>
      </c>
      <c r="AM7">
        <v>1</v>
      </c>
      <c r="AN7">
        <v>1</v>
      </c>
      <c r="AO7">
        <v>0</v>
      </c>
      <c r="AP7">
        <v>0</v>
      </c>
      <c r="AW7">
        <v>0</v>
      </c>
      <c r="BB7" t="s">
        <v>135</v>
      </c>
      <c r="BC7" t="s">
        <v>151</v>
      </c>
      <c r="BE7" t="str">
        <f>"half_"&amp;D7</f>
        <v>half_mjcbat</v>
      </c>
      <c r="BF7" t="str">
        <f>D7</f>
        <v>mjcbat</v>
      </c>
      <c r="BG7" t="s">
        <v>128</v>
      </c>
      <c r="BH7">
        <v>6</v>
      </c>
      <c r="BI7" t="s">
        <v>133</v>
      </c>
      <c r="BJ7" t="s">
        <v>159</v>
      </c>
      <c r="BM7" t="s">
        <v>130</v>
      </c>
      <c r="BN7" t="s">
        <v>131</v>
      </c>
      <c r="BP7" t="s">
        <v>132</v>
      </c>
      <c r="BQ7" t="s">
        <v>132</v>
      </c>
      <c r="BS7">
        <v>1</v>
      </c>
    </row>
    <row r="12" spans="1:71" hidden="1" x14ac:dyDescent="0.25"/>
    <row r="18" spans="4:70" ht="14.5" x14ac:dyDescent="0.25">
      <c r="D18" s="15"/>
      <c r="E18" s="13"/>
      <c r="BO18" s="16"/>
      <c r="BR18" s="16"/>
    </row>
    <row r="19" spans="4:70" ht="14.5" x14ac:dyDescent="0.25">
      <c r="D19" s="15"/>
      <c r="E19" s="13"/>
      <c r="BO19" s="16"/>
      <c r="BR19" s="16"/>
    </row>
    <row r="20" spans="4:70" ht="14.5" x14ac:dyDescent="0.25">
      <c r="D20" s="15"/>
      <c r="E20" s="13"/>
      <c r="BO20" s="16"/>
      <c r="BR20" s="16"/>
    </row>
    <row r="21" spans="4:70" ht="14.5" x14ac:dyDescent="0.25">
      <c r="D21" s="15"/>
      <c r="E21" s="13"/>
      <c r="BO21" s="16"/>
      <c r="BR21" s="16"/>
    </row>
    <row r="22" spans="4:70" ht="14.5" x14ac:dyDescent="0.25">
      <c r="D22" s="15"/>
      <c r="E22" s="13"/>
      <c r="BO22" s="16"/>
      <c r="BR22" s="16"/>
    </row>
    <row r="23" spans="4:70" ht="14.5" x14ac:dyDescent="0.25">
      <c r="D23" s="15"/>
      <c r="E23" s="13"/>
      <c r="BO23" s="16"/>
      <c r="BR23" s="16"/>
    </row>
    <row r="24" spans="4:70" ht="14.5" x14ac:dyDescent="0.25">
      <c r="D24" s="15"/>
      <c r="E24" s="13"/>
      <c r="BO24" s="16"/>
      <c r="BR24" s="16"/>
    </row>
    <row r="25" spans="4:70" ht="14.5" x14ac:dyDescent="0.25">
      <c r="D25" s="15"/>
      <c r="E25" s="13"/>
      <c r="BR25" s="16"/>
    </row>
    <row r="26" spans="4:70" ht="14.5" x14ac:dyDescent="0.25">
      <c r="D26" s="15"/>
      <c r="E26" s="13"/>
      <c r="BR26" s="16"/>
    </row>
    <row r="27" spans="4:70" ht="14.5" x14ac:dyDescent="0.25">
      <c r="D27" s="15"/>
      <c r="E27" s="13"/>
      <c r="BR27" s="16"/>
    </row>
    <row r="28" spans="4:70" ht="14.5" x14ac:dyDescent="0.25">
      <c r="D28" s="15"/>
      <c r="E28" s="13"/>
      <c r="BO28" s="16"/>
      <c r="BR28" s="16"/>
    </row>
    <row r="29" spans="4:70" ht="14.5" x14ac:dyDescent="0.25">
      <c r="D29" s="15"/>
      <c r="E29" s="13"/>
      <c r="BO29" s="16"/>
      <c r="BR29" s="16"/>
    </row>
    <row r="30" spans="4:70" ht="14.5" x14ac:dyDescent="0.25">
      <c r="D30" s="15"/>
      <c r="E30" s="13"/>
      <c r="BO30" s="16"/>
      <c r="BR30" s="16"/>
    </row>
    <row r="31" spans="4:70" ht="14.5" x14ac:dyDescent="0.25">
      <c r="D31" s="15"/>
      <c r="E31" s="13"/>
      <c r="BO31" s="16"/>
      <c r="BR31" s="16"/>
    </row>
    <row r="32" spans="4:70" ht="14.5" x14ac:dyDescent="0.25">
      <c r="D32" s="15"/>
      <c r="E32" s="13"/>
      <c r="BO32" s="16"/>
      <c r="BR32" s="16"/>
    </row>
    <row r="33" spans="4:70" ht="14.5" x14ac:dyDescent="0.25">
      <c r="D33" s="15"/>
      <c r="E33" s="13"/>
      <c r="BO33" s="16"/>
      <c r="BR33" s="16"/>
    </row>
    <row r="34" spans="4:70" ht="14.5" x14ac:dyDescent="0.25">
      <c r="D34" s="15"/>
      <c r="E34" s="13"/>
      <c r="BO34" s="16"/>
      <c r="BR34" s="16"/>
    </row>
    <row r="35" spans="4:70" ht="14.5" x14ac:dyDescent="0.25">
      <c r="D35" s="15"/>
      <c r="E35" s="13"/>
      <c r="BO35" s="16"/>
      <c r="BR35" s="16"/>
    </row>
    <row r="36" spans="4:70" ht="14.5" x14ac:dyDescent="0.25">
      <c r="D36" s="15"/>
      <c r="E36" s="13"/>
      <c r="BO36" s="16"/>
      <c r="BR36" s="16"/>
    </row>
    <row r="37" spans="4:70" ht="14.5" x14ac:dyDescent="0.25">
      <c r="D37" s="15"/>
      <c r="E37" s="13"/>
      <c r="BO37" s="16"/>
      <c r="BR37" s="16"/>
    </row>
    <row r="38" spans="4:70" ht="14.5" x14ac:dyDescent="0.25">
      <c r="D38" s="15"/>
      <c r="E38" s="13"/>
      <c r="BO38" s="16"/>
      <c r="BR38" s="16"/>
    </row>
    <row r="39" spans="4:70" ht="14.5" x14ac:dyDescent="0.25">
      <c r="D39" s="15"/>
      <c r="E39" s="13"/>
      <c r="BO39" s="16"/>
      <c r="BR39" s="16"/>
    </row>
    <row r="40" spans="4:70" ht="14.5" x14ac:dyDescent="0.25">
      <c r="D40" s="15"/>
      <c r="E40" s="13"/>
      <c r="BO40" s="16"/>
      <c r="BR40" s="16"/>
    </row>
    <row r="41" spans="4:70" ht="14.5" x14ac:dyDescent="0.25">
      <c r="D41" s="15"/>
      <c r="E41" s="13"/>
      <c r="BO41" s="16"/>
      <c r="BR41" s="16"/>
    </row>
    <row r="42" spans="4:70" ht="14.5" x14ac:dyDescent="0.25">
      <c r="D42" s="15"/>
      <c r="E42" s="13"/>
      <c r="BO42" s="16"/>
      <c r="BR42" s="16"/>
    </row>
    <row r="43" spans="4:70" ht="14.5" x14ac:dyDescent="0.25">
      <c r="D43" s="15"/>
      <c r="E43" s="13"/>
      <c r="BO43" s="16"/>
      <c r="BR43" s="16"/>
    </row>
    <row r="44" spans="4:70" ht="14.5" x14ac:dyDescent="0.25">
      <c r="D44" s="15"/>
      <c r="E44" s="13"/>
      <c r="BO44" s="16"/>
      <c r="BR44" s="16"/>
    </row>
    <row r="45" spans="4:70" ht="14.5" x14ac:dyDescent="0.25">
      <c r="D45" s="15"/>
      <c r="E45" s="13"/>
      <c r="BO45" s="16"/>
      <c r="BR45" s="16"/>
    </row>
    <row r="46" spans="4:70" ht="14.5" x14ac:dyDescent="0.25">
      <c r="D46" s="15"/>
      <c r="E46" s="13"/>
      <c r="BO46" s="16"/>
      <c r="BR46" s="16"/>
    </row>
    <row r="47" spans="4:70" ht="14.5" x14ac:dyDescent="0.25">
      <c r="D47" s="15"/>
      <c r="E47" s="13"/>
      <c r="BO47" s="16"/>
      <c r="BR47" s="16"/>
    </row>
    <row r="48" spans="4:70" ht="14.5" x14ac:dyDescent="0.25">
      <c r="D48" s="15"/>
      <c r="E48" s="13"/>
      <c r="BO48" s="16"/>
      <c r="BR48" s="16"/>
    </row>
    <row r="49" spans="4:70" ht="14.5" x14ac:dyDescent="0.25">
      <c r="D49" s="15"/>
      <c r="E49" s="13"/>
      <c r="BO49" s="16"/>
      <c r="BR49" s="16"/>
    </row>
    <row r="50" spans="4:70" ht="14.5" x14ac:dyDescent="0.25">
      <c r="D50" s="15"/>
      <c r="E50" s="13"/>
      <c r="BO50" s="16"/>
      <c r="BR50" s="16"/>
    </row>
    <row r="51" spans="4:70" ht="14.5" x14ac:dyDescent="0.25">
      <c r="D51" s="15"/>
      <c r="E51" s="13"/>
      <c r="BO51" s="16"/>
      <c r="BR51" s="16"/>
    </row>
    <row r="52" spans="4:70" ht="14.5" x14ac:dyDescent="0.25">
      <c r="D52" s="15"/>
      <c r="E52" s="13"/>
      <c r="BO52" s="16"/>
      <c r="BR52" s="16"/>
    </row>
    <row r="53" spans="4:70" ht="14.5" x14ac:dyDescent="0.25">
      <c r="D53" s="15"/>
      <c r="E53" s="13"/>
      <c r="BO53" s="16"/>
      <c r="BR53" s="16"/>
    </row>
    <row r="54" spans="4:70" ht="14.5" x14ac:dyDescent="0.25">
      <c r="D54" s="15"/>
      <c r="E54" s="13"/>
      <c r="BO54" s="16"/>
      <c r="BR54" s="16"/>
    </row>
    <row r="55" spans="4:70" ht="14.5" x14ac:dyDescent="0.25">
      <c r="D55" s="15"/>
      <c r="E55" s="13"/>
      <c r="BO55" s="16"/>
      <c r="BR55" s="16"/>
    </row>
    <row r="56" spans="4:70" ht="14.5" x14ac:dyDescent="0.25">
      <c r="D56" s="15"/>
      <c r="E56" s="13"/>
      <c r="BO56" s="16"/>
      <c r="BR56" s="16"/>
    </row>
    <row r="57" spans="4:70" ht="14.5" x14ac:dyDescent="0.25">
      <c r="D57" s="15"/>
      <c r="E57" s="13"/>
      <c r="BO57" s="16"/>
      <c r="BR57" s="16"/>
    </row>
    <row r="58" spans="4:70" ht="14.5" x14ac:dyDescent="0.25">
      <c r="D58" s="15"/>
      <c r="E58" s="13"/>
      <c r="BO58" s="16"/>
      <c r="BR58" s="16"/>
    </row>
    <row r="59" spans="4:70" ht="14.5" x14ac:dyDescent="0.25">
      <c r="D59" s="15"/>
      <c r="E59" s="13"/>
      <c r="BO59" s="16"/>
      <c r="BR59" s="16"/>
    </row>
    <row r="60" spans="4:70" ht="14.5" x14ac:dyDescent="0.25">
      <c r="D60" s="15"/>
      <c r="E60" s="13"/>
      <c r="BO60" s="16"/>
      <c r="BR60" s="16"/>
    </row>
    <row r="61" spans="4:70" ht="14.5" x14ac:dyDescent="0.25">
      <c r="D61" s="15"/>
      <c r="E61" s="13"/>
      <c r="BO61" s="16"/>
      <c r="BR61" s="16"/>
    </row>
    <row r="62" spans="4:70" ht="14.5" x14ac:dyDescent="0.25">
      <c r="D62" s="15"/>
      <c r="E62" s="13"/>
      <c r="BO62" s="16"/>
      <c r="BR62" s="16"/>
    </row>
    <row r="63" spans="4:70" ht="14.5" x14ac:dyDescent="0.25">
      <c r="D63" s="15"/>
      <c r="E63" s="13"/>
      <c r="BO63" s="16"/>
      <c r="BR63" s="16"/>
    </row>
    <row r="64" spans="4:70" ht="14.5" x14ac:dyDescent="0.25">
      <c r="D64" s="15"/>
      <c r="E64" s="13"/>
      <c r="BO64" s="16"/>
      <c r="BR64" s="16"/>
    </row>
    <row r="65" spans="4:70" ht="14.5" x14ac:dyDescent="0.25">
      <c r="D65" s="15"/>
      <c r="E65" s="13"/>
      <c r="BO65" s="16"/>
      <c r="BR65" s="16"/>
    </row>
    <row r="66" spans="4:70" ht="14.5" x14ac:dyDescent="0.25">
      <c r="D66" s="15"/>
      <c r="E66" s="13"/>
      <c r="BO66" s="16"/>
      <c r="BR66" s="16"/>
    </row>
    <row r="67" spans="4:70" ht="14.5" x14ac:dyDescent="0.25">
      <c r="D67" s="15"/>
      <c r="E67" s="13"/>
      <c r="BO67" s="16"/>
      <c r="BR67" s="16"/>
    </row>
    <row r="68" spans="4:70" ht="14.5" x14ac:dyDescent="0.25">
      <c r="D68" s="15"/>
      <c r="E68" s="13"/>
      <c r="BO68" s="16"/>
      <c r="BR68" s="16"/>
    </row>
    <row r="69" spans="4:70" ht="14.5" x14ac:dyDescent="0.25">
      <c r="D69" s="15"/>
      <c r="E69" s="13"/>
      <c r="BO69" s="16"/>
      <c r="BR69" s="16"/>
    </row>
    <row r="70" spans="4:70" ht="14.5" x14ac:dyDescent="0.25">
      <c r="D70" s="15"/>
      <c r="E70" s="13"/>
      <c r="BO70" s="16"/>
      <c r="BR70" s="16"/>
    </row>
    <row r="71" spans="4:70" ht="14.5" x14ac:dyDescent="0.25">
      <c r="D71" s="15"/>
      <c r="E71" s="13"/>
      <c r="BO71" s="16"/>
      <c r="BR71" s="16"/>
    </row>
    <row r="72" spans="4:70" ht="14.5" x14ac:dyDescent="0.25">
      <c r="D72" s="15"/>
      <c r="E72" s="13"/>
      <c r="BO72" s="16"/>
      <c r="BR72" s="16"/>
    </row>
    <row r="73" spans="4:70" ht="14.5" x14ac:dyDescent="0.25">
      <c r="D73" s="15"/>
      <c r="E73" s="13"/>
      <c r="BO73" s="16"/>
      <c r="BR73" s="16"/>
    </row>
    <row r="74" spans="4:70" ht="14.5" x14ac:dyDescent="0.25">
      <c r="D74" s="15"/>
      <c r="E74" s="13"/>
      <c r="BO74" s="16"/>
      <c r="BR74" s="16"/>
    </row>
    <row r="75" spans="4:70" ht="14.5" x14ac:dyDescent="0.25">
      <c r="D75" s="15"/>
      <c r="E75" s="13"/>
      <c r="BO75" s="16"/>
      <c r="BR75" s="16"/>
    </row>
    <row r="76" spans="4:70" ht="14.5" x14ac:dyDescent="0.25">
      <c r="D76" s="15"/>
      <c r="E76" s="13"/>
      <c r="BO76" s="16"/>
      <c r="BR76" s="16"/>
    </row>
    <row r="77" spans="4:70" ht="14.5" x14ac:dyDescent="0.25">
      <c r="D77" s="15"/>
      <c r="E77" s="13"/>
      <c r="BO77" s="16"/>
      <c r="BR77" s="16"/>
    </row>
    <row r="78" spans="4:70" ht="14.5" x14ac:dyDescent="0.25">
      <c r="D78" s="15"/>
      <c r="E78" s="13"/>
      <c r="BO78" s="16"/>
      <c r="BR78" s="16"/>
    </row>
    <row r="79" spans="4:70" ht="14.5" x14ac:dyDescent="0.25">
      <c r="D79" s="15"/>
      <c r="E79" s="13"/>
      <c r="BO79" s="16"/>
      <c r="BR79" s="16"/>
    </row>
    <row r="80" spans="4:70" ht="14.5" x14ac:dyDescent="0.25">
      <c r="D80" s="15"/>
      <c r="E80" s="13"/>
      <c r="BO80" s="16"/>
      <c r="BR80" s="16"/>
    </row>
    <row r="81" spans="4:70" ht="14.5" x14ac:dyDescent="0.25">
      <c r="D81" s="15"/>
      <c r="E81" s="13"/>
      <c r="BO81" s="16"/>
      <c r="BR81" s="16"/>
    </row>
    <row r="82" spans="4:70" ht="14.5" x14ac:dyDescent="0.25">
      <c r="D82" s="15"/>
      <c r="E82" s="13"/>
      <c r="BO82" s="16"/>
      <c r="BR82" s="16"/>
    </row>
    <row r="83" spans="4:70" ht="14.5" x14ac:dyDescent="0.25">
      <c r="D83" s="15"/>
      <c r="E83" s="13"/>
      <c r="BO83" s="16"/>
      <c r="BR83" s="16"/>
    </row>
    <row r="84" spans="4:70" ht="14.5" x14ac:dyDescent="0.25">
      <c r="D84" s="15"/>
      <c r="E84" s="13"/>
      <c r="BO84" s="16"/>
      <c r="BR84" s="16"/>
    </row>
    <row r="85" spans="4:70" ht="14.5" x14ac:dyDescent="0.25">
      <c r="D85" s="15"/>
      <c r="E85" s="13"/>
      <c r="BO85" s="16"/>
      <c r="BR85" s="16"/>
    </row>
    <row r="86" spans="4:70" ht="14.5" x14ac:dyDescent="0.25">
      <c r="D86" s="15"/>
      <c r="E86" s="13"/>
      <c r="BO86" s="16"/>
      <c r="BR86" s="16"/>
    </row>
    <row r="87" spans="4:70" ht="14.5" x14ac:dyDescent="0.25">
      <c r="D87" s="15"/>
      <c r="E87" s="13"/>
      <c r="BO87" s="16"/>
      <c r="BR87" s="16"/>
    </row>
    <row r="88" spans="4:70" ht="14.5" x14ac:dyDescent="0.25">
      <c r="D88" s="15"/>
      <c r="E88" s="13"/>
      <c r="BO88" s="16"/>
      <c r="BR88" s="16"/>
    </row>
    <row r="89" spans="4:70" ht="14.5" x14ac:dyDescent="0.25">
      <c r="D89" s="15"/>
      <c r="E89" s="13"/>
      <c r="BO89" s="16"/>
      <c r="BR89" s="16"/>
    </row>
    <row r="90" spans="4:70" ht="14.5" x14ac:dyDescent="0.25">
      <c r="D90" s="15"/>
      <c r="E90" s="13"/>
      <c r="BO90" s="16"/>
      <c r="BR90" s="16"/>
    </row>
    <row r="91" spans="4:70" ht="14.5" x14ac:dyDescent="0.25">
      <c r="D91" s="15"/>
      <c r="E91" s="13"/>
      <c r="BO91" s="16"/>
      <c r="BR91" s="16"/>
    </row>
    <row r="92" spans="4:70" ht="14.5" x14ac:dyDescent="0.25">
      <c r="D92" s="15"/>
      <c r="E92" s="13"/>
      <c r="BO92" s="16"/>
      <c r="BR92" s="16"/>
    </row>
    <row r="93" spans="4:70" ht="14.5" x14ac:dyDescent="0.25">
      <c r="D93" s="15"/>
      <c r="E93" s="13"/>
      <c r="BO93" s="16"/>
      <c r="BR93" s="16"/>
    </row>
    <row r="94" spans="4:70" ht="14.5" x14ac:dyDescent="0.25">
      <c r="D94" s="15"/>
      <c r="E94" s="13"/>
      <c r="BO94" s="16"/>
      <c r="BR94" s="16"/>
    </row>
    <row r="95" spans="4:70" ht="14.5" x14ac:dyDescent="0.25">
      <c r="D95" s="15"/>
      <c r="E95" s="13"/>
      <c r="BO95" s="16"/>
      <c r="BR95" s="16"/>
    </row>
    <row r="96" spans="4:70" ht="14.5" x14ac:dyDescent="0.25">
      <c r="D96" s="15"/>
      <c r="E96" s="13"/>
      <c r="BO96" s="16"/>
      <c r="BR96" s="16"/>
    </row>
    <row r="97" spans="4:70" ht="14.5" x14ac:dyDescent="0.25">
      <c r="D97" s="15"/>
      <c r="E97" s="13"/>
      <c r="BO97" s="16"/>
      <c r="BR97" s="16"/>
    </row>
    <row r="98" spans="4:70" ht="14.5" x14ac:dyDescent="0.25">
      <c r="D98" s="15"/>
      <c r="E98" s="13"/>
      <c r="BO98" s="16"/>
      <c r="BR98" s="16"/>
    </row>
    <row r="99" spans="4:70" ht="14.5" x14ac:dyDescent="0.25">
      <c r="D99" s="15"/>
      <c r="E99" s="13"/>
      <c r="BO99" s="16"/>
      <c r="BR99" s="16"/>
    </row>
    <row r="100" spans="4:70" ht="14.5" x14ac:dyDescent="0.25">
      <c r="D100" s="15"/>
      <c r="E100" s="13"/>
      <c r="BO100" s="16"/>
      <c r="BR100" s="16"/>
    </row>
    <row r="101" spans="4:70" ht="14.5" x14ac:dyDescent="0.25">
      <c r="D101" s="15"/>
      <c r="E101" s="13"/>
      <c r="BO101" s="16"/>
      <c r="BR101" s="16"/>
    </row>
    <row r="102" spans="4:70" ht="14.5" x14ac:dyDescent="0.25">
      <c r="D102" s="15"/>
      <c r="E102" s="13"/>
      <c r="BO102" s="16"/>
      <c r="BR102" s="16"/>
    </row>
    <row r="103" spans="4:70" ht="14.5" x14ac:dyDescent="0.25">
      <c r="D103" s="15"/>
      <c r="E103" s="13"/>
      <c r="BO103" s="16"/>
      <c r="BR103" s="16"/>
    </row>
    <row r="104" spans="4:70" ht="14.5" x14ac:dyDescent="0.25">
      <c r="D104" s="15"/>
      <c r="E104" s="13"/>
      <c r="BO104" s="16"/>
      <c r="BR104" s="16"/>
    </row>
    <row r="105" spans="4:70" ht="14.5" x14ac:dyDescent="0.25">
      <c r="D105" s="15"/>
      <c r="E105" s="13"/>
      <c r="BO105" s="16"/>
      <c r="BR105" s="16"/>
    </row>
    <row r="106" spans="4:70" ht="14.5" x14ac:dyDescent="0.25">
      <c r="D106" s="15"/>
      <c r="E106" s="13"/>
      <c r="BO106" s="16"/>
      <c r="BR106" s="16"/>
    </row>
    <row r="107" spans="4:70" ht="14.5" x14ac:dyDescent="0.25">
      <c r="D107" s="15"/>
      <c r="E107" s="13"/>
      <c r="BO107" s="16"/>
      <c r="BR107" s="16"/>
    </row>
    <row r="108" spans="4:70" ht="14.5" x14ac:dyDescent="0.25">
      <c r="D108" s="15"/>
      <c r="E108" s="13"/>
      <c r="BO108" s="16"/>
      <c r="BR108" s="16"/>
    </row>
    <row r="109" spans="4:70" ht="14.5" x14ac:dyDescent="0.25">
      <c r="D109" s="15"/>
      <c r="E109" s="13"/>
      <c r="BO109" s="16"/>
      <c r="BR109" s="16"/>
    </row>
    <row r="110" spans="4:70" ht="14.5" x14ac:dyDescent="0.25">
      <c r="D110" s="15"/>
      <c r="E110" s="13"/>
      <c r="BO110" s="16"/>
      <c r="BR110" s="16"/>
    </row>
    <row r="111" spans="4:70" ht="14.5" x14ac:dyDescent="0.25">
      <c r="D111" s="15"/>
      <c r="E111" s="13"/>
      <c r="BO111" s="16"/>
      <c r="BR111" s="16"/>
    </row>
    <row r="112" spans="4:70" ht="14.5" x14ac:dyDescent="0.25">
      <c r="D112" s="15"/>
      <c r="E112" s="13"/>
      <c r="BO112" s="16"/>
      <c r="BR112" s="16"/>
    </row>
    <row r="113" spans="4:70" ht="14.5" x14ac:dyDescent="0.25">
      <c r="D113" s="15"/>
      <c r="E113" s="13"/>
      <c r="BO113" s="16"/>
      <c r="BR113" s="16"/>
    </row>
    <row r="114" spans="4:70" ht="14.5" x14ac:dyDescent="0.25">
      <c r="D114" s="15"/>
      <c r="E114" s="13"/>
      <c r="BO114" s="16"/>
      <c r="BR114" s="16"/>
    </row>
    <row r="115" spans="4:70" ht="14.5" x14ac:dyDescent="0.25">
      <c r="D115" s="15"/>
      <c r="E115" s="13"/>
      <c r="BO115" s="16"/>
      <c r="BR115" s="16"/>
    </row>
    <row r="116" spans="4:70" ht="14.5" x14ac:dyDescent="0.25">
      <c r="D116" s="15"/>
      <c r="E116" s="13"/>
      <c r="BO116" s="16"/>
      <c r="BR116" s="16"/>
    </row>
    <row r="117" spans="4:70" ht="14.5" x14ac:dyDescent="0.25">
      <c r="D117" s="15"/>
      <c r="E117" s="13"/>
      <c r="BO117" s="16"/>
      <c r="BR117" s="16"/>
    </row>
    <row r="118" spans="4:70" ht="14.5" x14ac:dyDescent="0.25">
      <c r="D118" s="15"/>
      <c r="E118" s="13"/>
      <c r="BO118" s="16"/>
      <c r="BR118" s="16"/>
    </row>
    <row r="119" spans="4:70" ht="14.5" x14ac:dyDescent="0.25">
      <c r="D119" s="15"/>
      <c r="E119" s="13"/>
      <c r="BO119" s="16"/>
      <c r="BR119" s="16"/>
    </row>
    <row r="120" spans="4:70" ht="14.5" x14ac:dyDescent="0.25">
      <c r="D120" s="15"/>
      <c r="E120" s="13"/>
      <c r="BO120" s="16"/>
      <c r="BR120" s="16"/>
    </row>
    <row r="121" spans="4:70" ht="14.5" x14ac:dyDescent="0.25">
      <c r="D121" s="15"/>
      <c r="E121" s="13"/>
      <c r="BO121" s="16"/>
      <c r="BR121" s="16"/>
    </row>
    <row r="122" spans="4:70" ht="14.5" x14ac:dyDescent="0.25">
      <c r="D122" s="15"/>
      <c r="E122" s="13"/>
      <c r="BO122" s="16"/>
      <c r="BR122" s="16"/>
    </row>
    <row r="123" spans="4:70" ht="14.5" x14ac:dyDescent="0.25">
      <c r="D123" s="15"/>
      <c r="E123" s="13"/>
      <c r="BO123" s="16"/>
      <c r="BR123" s="16"/>
    </row>
    <row r="124" spans="4:70" ht="14.5" x14ac:dyDescent="0.25">
      <c r="D124" s="15"/>
      <c r="E124" s="13"/>
      <c r="BO124" s="16"/>
      <c r="BR124" s="16"/>
    </row>
    <row r="125" spans="4:70" ht="14.5" x14ac:dyDescent="0.25">
      <c r="D125" s="15"/>
      <c r="E125" s="13"/>
      <c r="BO125" s="16"/>
      <c r="BR125" s="16"/>
    </row>
    <row r="126" spans="4:70" ht="14.5" x14ac:dyDescent="0.25">
      <c r="D126" s="15"/>
      <c r="E126" s="13"/>
      <c r="BO126" s="16"/>
      <c r="BR126" s="16"/>
    </row>
    <row r="127" spans="4:70" ht="14.5" x14ac:dyDescent="0.25">
      <c r="D127" s="15"/>
      <c r="E127" s="13"/>
      <c r="BO127" s="16"/>
      <c r="BR127" s="16"/>
    </row>
    <row r="128" spans="4:70" ht="14.5" x14ac:dyDescent="0.25">
      <c r="D128" s="15"/>
      <c r="E128" s="13"/>
      <c r="BO128" s="16"/>
      <c r="BR128" s="16"/>
    </row>
    <row r="129" spans="4:70" ht="14.5" x14ac:dyDescent="0.25">
      <c r="D129" s="15"/>
      <c r="E129" s="13"/>
      <c r="BO129" s="16"/>
      <c r="BR129" s="16"/>
    </row>
    <row r="130" spans="4:70" ht="14.5" x14ac:dyDescent="0.25">
      <c r="D130" s="15"/>
      <c r="E130" s="13"/>
      <c r="BO130" s="16"/>
      <c r="BR130" s="16"/>
    </row>
    <row r="131" spans="4:70" ht="14.5" x14ac:dyDescent="0.25">
      <c r="D131" s="15"/>
      <c r="E131" s="13"/>
      <c r="BO131" s="16"/>
      <c r="BR131" s="16"/>
    </row>
    <row r="132" spans="4:70" ht="14.5" x14ac:dyDescent="0.25">
      <c r="D132" s="15"/>
      <c r="E132" s="13"/>
      <c r="BO132" s="16"/>
      <c r="BR132" s="16"/>
    </row>
    <row r="133" spans="4:70" ht="14.5" x14ac:dyDescent="0.25">
      <c r="D133" s="15"/>
      <c r="E133" s="13"/>
      <c r="BO133" s="16"/>
      <c r="BR133" s="16"/>
    </row>
    <row r="134" spans="4:70" ht="14.5" x14ac:dyDescent="0.25">
      <c r="D134" s="15"/>
      <c r="E134" s="13"/>
      <c r="BO134" s="16"/>
      <c r="BR134" s="16"/>
    </row>
    <row r="135" spans="4:70" ht="14.5" x14ac:dyDescent="0.25">
      <c r="D135" s="15"/>
      <c r="E135" s="13"/>
      <c r="BO135" s="16"/>
      <c r="BR135" s="16"/>
    </row>
    <row r="136" spans="4:70" ht="14.5" x14ac:dyDescent="0.25">
      <c r="D136" s="15"/>
      <c r="E136" s="13"/>
      <c r="BO136" s="16"/>
      <c r="BR136" s="16"/>
    </row>
    <row r="137" spans="4:70" ht="14.5" x14ac:dyDescent="0.25">
      <c r="D137" s="15"/>
      <c r="E137" s="13"/>
      <c r="BO137" s="16"/>
      <c r="BR137" s="16"/>
    </row>
    <row r="138" spans="4:70" ht="14.5" x14ac:dyDescent="0.25">
      <c r="D138" s="15"/>
      <c r="E138" s="13"/>
      <c r="BO138" s="16"/>
      <c r="BR138" s="16"/>
    </row>
    <row r="139" spans="4:70" ht="14.5" x14ac:dyDescent="0.25">
      <c r="D139" s="15"/>
      <c r="E139" s="13"/>
      <c r="BO139" s="16"/>
      <c r="BR139" s="16"/>
    </row>
    <row r="140" spans="4:70" ht="14.5" x14ac:dyDescent="0.25">
      <c r="D140" s="15"/>
      <c r="E140" s="13"/>
      <c r="BO140" s="16"/>
      <c r="BR140" s="16"/>
    </row>
    <row r="141" spans="4:70" ht="14.5" x14ac:dyDescent="0.25">
      <c r="D141" s="15"/>
      <c r="E141" s="13"/>
      <c r="BO141" s="16"/>
      <c r="BR141" s="16"/>
    </row>
    <row r="142" spans="4:70" ht="14.5" x14ac:dyDescent="0.25">
      <c r="D142" s="15"/>
      <c r="E142" s="13"/>
      <c r="BO142" s="16"/>
      <c r="BR142" s="16"/>
    </row>
    <row r="143" spans="4:70" ht="14.5" x14ac:dyDescent="0.25">
      <c r="D143" s="15"/>
      <c r="E143" s="13"/>
      <c r="BO143" s="16"/>
      <c r="BR143" s="16"/>
    </row>
    <row r="144" spans="4:70" ht="14.5" x14ac:dyDescent="0.25">
      <c r="D144" s="15"/>
      <c r="E144" s="13"/>
      <c r="BO144" s="16"/>
      <c r="BR144" s="16"/>
    </row>
    <row r="145" spans="4:70" ht="14.5" x14ac:dyDescent="0.25">
      <c r="D145" s="15"/>
      <c r="E145" s="13"/>
      <c r="BO145" s="16"/>
      <c r="BR145" s="16"/>
    </row>
    <row r="146" spans="4:70" ht="14.5" x14ac:dyDescent="0.25">
      <c r="D146" s="15"/>
      <c r="E146" s="13"/>
      <c r="BO146" s="16"/>
      <c r="BR146" s="16"/>
    </row>
    <row r="147" spans="4:70" ht="14.5" x14ac:dyDescent="0.25">
      <c r="D147" s="15"/>
      <c r="E147" s="13"/>
      <c r="BO147" s="16"/>
      <c r="BR147" s="16"/>
    </row>
    <row r="148" spans="4:70" ht="14.5" x14ac:dyDescent="0.25">
      <c r="D148" s="15"/>
      <c r="E148" s="13"/>
      <c r="BO148" s="16"/>
      <c r="BR148" s="16"/>
    </row>
    <row r="149" spans="4:70" ht="14.5" x14ac:dyDescent="0.25">
      <c r="D149" s="15"/>
      <c r="E149" s="13"/>
      <c r="BO149" s="16"/>
      <c r="BR149" s="16"/>
    </row>
    <row r="150" spans="4:70" ht="14.5" x14ac:dyDescent="0.25">
      <c r="D150" s="15"/>
      <c r="E150" s="13"/>
      <c r="BO150" s="16"/>
      <c r="BR150" s="16"/>
    </row>
    <row r="151" spans="4:70" ht="14.5" x14ac:dyDescent="0.25">
      <c r="D151" s="15"/>
      <c r="E151" s="13"/>
      <c r="BO151" s="16"/>
      <c r="BR151" s="16"/>
    </row>
    <row r="152" spans="4:70" ht="14.5" x14ac:dyDescent="0.25">
      <c r="D152" s="15"/>
      <c r="E152" s="13"/>
      <c r="BO152" s="16"/>
      <c r="BR152" s="16"/>
    </row>
    <row r="153" spans="4:70" ht="14.5" x14ac:dyDescent="0.25">
      <c r="D153" s="15"/>
      <c r="E153" s="13"/>
      <c r="BO153" s="16"/>
      <c r="BR153" s="16"/>
    </row>
    <row r="154" spans="4:70" ht="14.5" x14ac:dyDescent="0.25">
      <c r="D154" s="15"/>
      <c r="E154" s="13"/>
      <c r="BO154" s="16"/>
      <c r="BR154" s="16"/>
    </row>
    <row r="155" spans="4:70" ht="14.5" x14ac:dyDescent="0.25">
      <c r="D155" s="15"/>
      <c r="E155" s="13"/>
      <c r="BO155" s="16"/>
      <c r="BR155" s="16"/>
    </row>
    <row r="156" spans="4:70" ht="14.5" x14ac:dyDescent="0.25">
      <c r="D156" s="15"/>
      <c r="E156" s="13"/>
      <c r="BO156" s="16"/>
      <c r="BR156" s="16"/>
    </row>
    <row r="157" spans="4:70" ht="14.5" x14ac:dyDescent="0.25">
      <c r="D157" s="15"/>
      <c r="E157" s="13"/>
      <c r="BO157" s="16"/>
      <c r="BR157" s="16"/>
    </row>
    <row r="158" spans="4:70" ht="14.5" x14ac:dyDescent="0.25">
      <c r="D158" s="15"/>
      <c r="E158" s="13"/>
      <c r="BO158" s="16"/>
      <c r="BR158" s="16"/>
    </row>
    <row r="159" spans="4:70" ht="14.5" x14ac:dyDescent="0.25">
      <c r="D159" s="15"/>
      <c r="E159" s="13"/>
      <c r="BO159" s="16"/>
      <c r="BR159" s="16"/>
    </row>
    <row r="160" spans="4:70" ht="14.5" x14ac:dyDescent="0.25">
      <c r="D160" s="15"/>
      <c r="E160" s="13"/>
      <c r="BO160" s="16"/>
      <c r="BR160" s="16"/>
    </row>
    <row r="161" spans="4:70" ht="14.5" x14ac:dyDescent="0.25">
      <c r="D161" s="15"/>
      <c r="E161" s="13"/>
      <c r="BO161" s="16"/>
      <c r="BR161" s="16"/>
    </row>
    <row r="162" spans="4:70" ht="14.5" x14ac:dyDescent="0.25">
      <c r="D162" s="15"/>
      <c r="E162" s="13"/>
      <c r="BO162" s="16"/>
      <c r="BR162" s="16"/>
    </row>
    <row r="163" spans="4:70" ht="14.5" x14ac:dyDescent="0.25">
      <c r="D163" s="15"/>
      <c r="E163" s="13"/>
      <c r="BO163" s="16"/>
      <c r="BR163" s="16"/>
    </row>
    <row r="164" spans="4:70" ht="14.5" x14ac:dyDescent="0.25">
      <c r="D164" s="15"/>
      <c r="E164" s="13"/>
      <c r="BO164" s="16"/>
      <c r="BR164" s="16"/>
    </row>
    <row r="165" spans="4:70" ht="14.5" x14ac:dyDescent="0.25">
      <c r="D165" s="15"/>
      <c r="E165" s="13"/>
      <c r="BO165" s="16"/>
      <c r="BR165" s="16"/>
    </row>
    <row r="166" spans="4:70" ht="14.5" x14ac:dyDescent="0.25">
      <c r="D166" s="15"/>
      <c r="E166" s="13"/>
      <c r="BO166" s="16"/>
      <c r="BR166" s="16"/>
    </row>
    <row r="167" spans="4:70" ht="14.5" x14ac:dyDescent="0.25">
      <c r="D167" s="15"/>
      <c r="E167" s="13"/>
      <c r="BO167" s="16"/>
      <c r="BR167" s="16"/>
    </row>
    <row r="168" spans="4:70" ht="14.5" x14ac:dyDescent="0.25">
      <c r="D168" s="15"/>
      <c r="E168" s="13"/>
      <c r="BO168" s="16"/>
      <c r="BR168" s="16"/>
    </row>
    <row r="169" spans="4:70" ht="14.5" x14ac:dyDescent="0.25">
      <c r="D169" s="15"/>
      <c r="E169" s="13"/>
      <c r="BO169" s="16"/>
      <c r="BR169" s="16"/>
    </row>
    <row r="170" spans="4:70" ht="14.5" x14ac:dyDescent="0.25">
      <c r="D170" s="15"/>
      <c r="E170" s="13"/>
      <c r="BO170" s="16"/>
      <c r="BR170" s="16"/>
    </row>
    <row r="171" spans="4:70" ht="14.5" x14ac:dyDescent="0.25">
      <c r="D171" s="15"/>
      <c r="E171" s="13"/>
      <c r="BO171" s="16"/>
      <c r="BR171" s="16"/>
    </row>
    <row r="172" spans="4:70" ht="14.5" x14ac:dyDescent="0.25">
      <c r="D172" s="15"/>
      <c r="E172" s="13"/>
      <c r="BO172" s="16"/>
      <c r="BR172" s="16"/>
    </row>
    <row r="173" spans="4:70" ht="14.5" x14ac:dyDescent="0.25">
      <c r="D173" s="15"/>
      <c r="E173" s="13"/>
      <c r="BO173" s="16"/>
      <c r="BR173" s="16"/>
    </row>
    <row r="174" spans="4:70" ht="14.5" x14ac:dyDescent="0.25">
      <c r="D174" s="15"/>
      <c r="E174" s="13"/>
      <c r="BO174" s="16"/>
      <c r="BR174" s="16"/>
    </row>
    <row r="175" spans="4:70" ht="14.5" x14ac:dyDescent="0.25">
      <c r="D175" s="15"/>
      <c r="E175" s="13"/>
      <c r="BO175" s="16"/>
      <c r="BR175" s="16"/>
    </row>
    <row r="176" spans="4:70" ht="14.5" x14ac:dyDescent="0.25">
      <c r="D176" s="15"/>
      <c r="E176" s="13"/>
      <c r="BO176" s="16"/>
      <c r="BR176" s="16"/>
    </row>
    <row r="177" spans="4:70" ht="14.5" x14ac:dyDescent="0.25">
      <c r="D177" s="15"/>
      <c r="E177" s="13"/>
      <c r="BO177" s="16"/>
      <c r="BR177" s="16"/>
    </row>
    <row r="178" spans="4:70" ht="14.5" x14ac:dyDescent="0.25">
      <c r="D178" s="15"/>
      <c r="E178" s="13"/>
      <c r="BO178" s="16"/>
      <c r="BR178" s="16"/>
    </row>
    <row r="179" spans="4:70" ht="14.5" x14ac:dyDescent="0.25">
      <c r="D179" s="15"/>
      <c r="E179" s="13"/>
      <c r="BO179" s="16"/>
      <c r="BR179" s="16"/>
    </row>
    <row r="180" spans="4:70" ht="14.5" x14ac:dyDescent="0.25">
      <c r="D180" s="15"/>
      <c r="E180" s="13"/>
      <c r="BO180" s="16"/>
      <c r="BR180" s="16"/>
    </row>
    <row r="181" spans="4:70" ht="14.5" x14ac:dyDescent="0.25">
      <c r="D181" s="15"/>
      <c r="E181" s="13"/>
      <c r="BO181" s="16"/>
      <c r="BR181" s="16"/>
    </row>
    <row r="182" spans="4:70" ht="14.5" x14ac:dyDescent="0.25">
      <c r="D182" s="15"/>
      <c r="E182" s="13"/>
      <c r="BO182" s="16"/>
      <c r="BR182" s="16"/>
    </row>
    <row r="183" spans="4:70" ht="14.5" x14ac:dyDescent="0.25">
      <c r="D183" s="15"/>
      <c r="E183" s="13"/>
      <c r="BO183" s="16"/>
      <c r="BR183" s="16"/>
    </row>
    <row r="184" spans="4:70" ht="14.5" x14ac:dyDescent="0.25">
      <c r="D184" s="15"/>
      <c r="E184" s="13"/>
      <c r="BO184" s="16"/>
      <c r="BR184" s="16"/>
    </row>
    <row r="185" spans="4:70" ht="14.5" x14ac:dyDescent="0.25">
      <c r="D185" s="15"/>
      <c r="E185" s="13"/>
      <c r="BO185" s="16"/>
      <c r="BR185" s="16"/>
    </row>
    <row r="186" spans="4:70" ht="14.5" x14ac:dyDescent="0.25">
      <c r="D186" s="15"/>
      <c r="E186" s="13"/>
      <c r="BO186" s="16"/>
      <c r="BR186" s="16"/>
    </row>
    <row r="187" spans="4:70" ht="14.5" x14ac:dyDescent="0.25">
      <c r="D187" s="15"/>
      <c r="E187" s="13"/>
      <c r="BO187" s="16"/>
      <c r="BR187" s="16"/>
    </row>
    <row r="188" spans="4:70" ht="14.5" x14ac:dyDescent="0.25">
      <c r="D188" s="15"/>
      <c r="E188" s="13"/>
      <c r="BO188" s="16"/>
      <c r="BR188" s="16"/>
    </row>
    <row r="189" spans="4:70" ht="14.5" x14ac:dyDescent="0.25">
      <c r="D189" s="15"/>
      <c r="E189" s="13"/>
      <c r="BO189" s="16"/>
      <c r="BR189" s="16"/>
    </row>
    <row r="190" spans="4:70" ht="14.5" x14ac:dyDescent="0.25">
      <c r="D190" s="15"/>
      <c r="E190" s="13"/>
      <c r="BO190" s="16"/>
      <c r="BR190" s="16"/>
    </row>
    <row r="191" spans="4:70" ht="14.5" x14ac:dyDescent="0.25">
      <c r="D191" s="15"/>
      <c r="E191" s="13"/>
      <c r="BO191" s="16"/>
      <c r="BR191" s="16"/>
    </row>
    <row r="192" spans="4:70" ht="14.5" x14ac:dyDescent="0.25">
      <c r="D192" s="15"/>
      <c r="E192" s="13"/>
      <c r="BO192" s="16"/>
      <c r="BR192" s="16"/>
    </row>
    <row r="193" spans="4:70" ht="14.5" x14ac:dyDescent="0.25">
      <c r="D193" s="15"/>
      <c r="E193" s="13"/>
      <c r="BO193" s="16"/>
      <c r="BR193" s="16"/>
    </row>
    <row r="194" spans="4:70" ht="14.5" x14ac:dyDescent="0.25">
      <c r="D194" s="15"/>
      <c r="E194" s="13"/>
      <c r="BO194" s="16"/>
      <c r="BR194" s="16"/>
    </row>
    <row r="195" spans="4:70" ht="14.5" x14ac:dyDescent="0.25">
      <c r="D195" s="15"/>
      <c r="E195" s="13"/>
      <c r="BO195" s="16"/>
      <c r="BR195" s="16"/>
    </row>
    <row r="196" spans="4:70" ht="14.5" x14ac:dyDescent="0.25">
      <c r="D196" s="15"/>
      <c r="E196" s="13"/>
      <c r="BO196" s="16"/>
      <c r="BR196" s="16"/>
    </row>
    <row r="197" spans="4:70" ht="14.5" x14ac:dyDescent="0.25">
      <c r="D197" s="15"/>
      <c r="E197" s="13"/>
      <c r="BO197" s="16"/>
      <c r="BR197" s="16"/>
    </row>
    <row r="198" spans="4:70" ht="14.5" x14ac:dyDescent="0.25">
      <c r="D198" s="15"/>
      <c r="E198" s="13"/>
      <c r="BO198" s="16"/>
      <c r="BR198" s="16"/>
    </row>
    <row r="199" spans="4:70" ht="14.5" x14ac:dyDescent="0.25">
      <c r="D199" s="15"/>
      <c r="E199" s="13"/>
      <c r="BO199" s="16"/>
      <c r="BR199" s="16"/>
    </row>
    <row r="200" spans="4:70" ht="14.5" x14ac:dyDescent="0.25">
      <c r="D200" s="15"/>
      <c r="E200" s="13"/>
      <c r="BO200" s="16"/>
      <c r="BR200" s="16"/>
    </row>
    <row r="201" spans="4:70" ht="14.5" x14ac:dyDescent="0.25">
      <c r="D201" s="15"/>
      <c r="E201" s="13"/>
      <c r="BO201" s="16"/>
      <c r="BR201" s="16"/>
    </row>
    <row r="202" spans="4:70" ht="14.5" x14ac:dyDescent="0.25">
      <c r="D202" s="15"/>
      <c r="E202" s="13"/>
      <c r="BO202" s="16"/>
      <c r="BR202" s="16"/>
    </row>
    <row r="203" spans="4:70" ht="14.5" x14ac:dyDescent="0.25">
      <c r="D203" s="15"/>
      <c r="E203" s="13"/>
      <c r="BO203" s="16"/>
      <c r="BR203" s="16"/>
    </row>
    <row r="204" spans="4:70" ht="14.5" x14ac:dyDescent="0.25">
      <c r="D204" s="15"/>
      <c r="E204" s="13"/>
      <c r="BO204" s="16"/>
      <c r="BR204" s="16"/>
    </row>
    <row r="205" spans="4:70" ht="14.5" x14ac:dyDescent="0.25">
      <c r="D205" s="15"/>
      <c r="E205" s="13"/>
      <c r="BO205" s="16"/>
      <c r="BR205" s="16"/>
    </row>
    <row r="206" spans="4:70" ht="14.5" x14ac:dyDescent="0.25">
      <c r="D206" s="15"/>
      <c r="E206" s="13"/>
      <c r="BO206" s="16"/>
      <c r="BR206" s="16"/>
    </row>
    <row r="207" spans="4:70" ht="14.5" x14ac:dyDescent="0.25">
      <c r="D207" s="15"/>
      <c r="E207" s="13"/>
      <c r="BO207" s="16"/>
      <c r="BR207" s="16"/>
    </row>
    <row r="208" spans="4:70" ht="14.5" x14ac:dyDescent="0.25">
      <c r="D208" s="15"/>
      <c r="E208" s="13"/>
      <c r="BO208" s="16"/>
      <c r="BR208" s="16"/>
    </row>
    <row r="209" spans="4:70" ht="14.5" x14ac:dyDescent="0.25">
      <c r="D209" s="15"/>
      <c r="E209" s="13"/>
      <c r="BO209" s="16"/>
      <c r="BR209" s="16"/>
    </row>
    <row r="210" spans="4:70" ht="14.5" x14ac:dyDescent="0.25">
      <c r="D210" s="15"/>
      <c r="E210" s="13"/>
      <c r="BO210" s="16"/>
      <c r="BR210" s="16"/>
    </row>
    <row r="211" spans="4:70" ht="14.5" x14ac:dyDescent="0.25">
      <c r="D211" s="15"/>
      <c r="E211" s="13"/>
      <c r="BO211" s="16"/>
      <c r="BR211" s="16"/>
    </row>
    <row r="212" spans="4:70" ht="14.5" x14ac:dyDescent="0.25">
      <c r="D212" s="15"/>
      <c r="E212" s="13"/>
      <c r="BO212" s="16"/>
      <c r="BR212" s="16"/>
    </row>
    <row r="213" spans="4:70" ht="14.5" x14ac:dyDescent="0.25">
      <c r="D213" s="15"/>
      <c r="E213" s="13"/>
      <c r="BO213" s="16"/>
      <c r="BR213" s="16"/>
    </row>
    <row r="214" spans="4:70" ht="14.5" x14ac:dyDescent="0.25">
      <c r="D214" s="15"/>
      <c r="E214" s="13"/>
      <c r="BO214" s="16"/>
      <c r="BR214" s="16"/>
    </row>
    <row r="215" spans="4:70" ht="14.5" x14ac:dyDescent="0.25">
      <c r="D215" s="15"/>
      <c r="E215" s="13"/>
      <c r="BO215" s="16"/>
      <c r="BR215" s="16"/>
    </row>
    <row r="216" spans="4:70" ht="14.5" x14ac:dyDescent="0.25">
      <c r="D216" s="15"/>
      <c r="E216" s="13"/>
      <c r="BO216" s="16"/>
      <c r="BR216" s="16"/>
    </row>
    <row r="217" spans="4:70" ht="14.5" x14ac:dyDescent="0.25">
      <c r="D217" s="15"/>
      <c r="E217" s="13"/>
      <c r="BO217" s="16"/>
      <c r="BR217" s="16"/>
    </row>
    <row r="218" spans="4:70" ht="14.5" x14ac:dyDescent="0.25">
      <c r="D218" s="15"/>
      <c r="E218" s="13"/>
      <c r="BO218" s="16"/>
      <c r="BR218" s="16"/>
    </row>
    <row r="219" spans="4:70" ht="14.5" x14ac:dyDescent="0.25">
      <c r="D219" s="15"/>
      <c r="E219" s="13"/>
      <c r="BO219" s="16"/>
      <c r="BR219" s="16"/>
    </row>
    <row r="220" spans="4:70" ht="14.5" x14ac:dyDescent="0.25">
      <c r="D220" s="15"/>
      <c r="E220" s="13"/>
      <c r="BO220" s="16"/>
      <c r="BR220" s="16"/>
    </row>
    <row r="221" spans="4:70" ht="14.5" x14ac:dyDescent="0.25">
      <c r="D221" s="15"/>
      <c r="E221" s="13"/>
      <c r="BO221" s="16"/>
      <c r="BR221" s="16"/>
    </row>
    <row r="222" spans="4:70" ht="14.5" x14ac:dyDescent="0.25">
      <c r="D222" s="15"/>
      <c r="E222" s="13"/>
      <c r="BO222" s="16"/>
      <c r="BR222" s="16"/>
    </row>
    <row r="223" spans="4:70" ht="14.5" x14ac:dyDescent="0.25">
      <c r="D223" s="15"/>
      <c r="E223" s="13"/>
      <c r="BO223" s="16"/>
      <c r="BR223" s="16"/>
    </row>
    <row r="224" spans="4:70" ht="14.5" x14ac:dyDescent="0.25">
      <c r="D224" s="15"/>
      <c r="E224" s="13"/>
      <c r="BO224" s="16"/>
      <c r="BR224" s="16"/>
    </row>
    <row r="225" spans="4:70" ht="14.5" x14ac:dyDescent="0.25">
      <c r="D225" s="15"/>
      <c r="E225" s="13"/>
      <c r="BR225" s="16"/>
    </row>
    <row r="226" spans="4:70" ht="14.5" x14ac:dyDescent="0.25">
      <c r="D226" s="15"/>
      <c r="E226" s="13"/>
      <c r="BO226" s="16"/>
      <c r="BR226" s="16"/>
    </row>
    <row r="227" spans="4:70" ht="14.5" x14ac:dyDescent="0.25">
      <c r="D227" s="15"/>
      <c r="E227" s="13"/>
      <c r="BO227" s="16"/>
      <c r="BR227" s="16"/>
    </row>
    <row r="228" spans="4:70" ht="14.5" x14ac:dyDescent="0.25">
      <c r="D228" s="15"/>
      <c r="E228" s="13"/>
      <c r="BO228" s="16"/>
      <c r="BR228" s="16"/>
    </row>
    <row r="229" spans="4:70" ht="14.5" x14ac:dyDescent="0.25">
      <c r="D229" s="15"/>
      <c r="E229" s="13"/>
      <c r="BO229" s="16"/>
      <c r="BR229" s="16"/>
    </row>
    <row r="230" spans="4:70" ht="14.5" x14ac:dyDescent="0.25">
      <c r="D230" s="15"/>
      <c r="E230" s="13"/>
      <c r="BO230" s="16"/>
      <c r="BR230" s="16"/>
    </row>
    <row r="231" spans="4:70" ht="14.5" x14ac:dyDescent="0.25">
      <c r="D231" s="15"/>
      <c r="E231" s="13"/>
      <c r="BO231" s="16"/>
      <c r="BR231" s="16"/>
    </row>
    <row r="232" spans="4:70" ht="14.5" x14ac:dyDescent="0.25">
      <c r="D232" s="15"/>
      <c r="E232" s="13"/>
      <c r="BO232" s="16"/>
      <c r="BR232" s="16"/>
    </row>
    <row r="233" spans="4:70" ht="14.5" x14ac:dyDescent="0.25">
      <c r="D233" s="15"/>
      <c r="E233" s="13"/>
      <c r="BO233" s="16"/>
      <c r="BR233" s="16"/>
    </row>
    <row r="234" spans="4:70" ht="14.5" x14ac:dyDescent="0.25">
      <c r="D234" s="15"/>
      <c r="E234" s="13"/>
      <c r="BO234" s="16"/>
      <c r="BR234" s="16"/>
    </row>
    <row r="235" spans="4:70" ht="14.5" x14ac:dyDescent="0.25">
      <c r="D235" s="15"/>
      <c r="E235" s="13"/>
      <c r="BO235" s="16"/>
      <c r="BR235" s="16"/>
    </row>
    <row r="236" spans="4:70" ht="14.5" x14ac:dyDescent="0.25">
      <c r="D236" s="15"/>
      <c r="E236" s="13"/>
      <c r="BO236" s="16"/>
      <c r="BR236" s="16"/>
    </row>
    <row r="237" spans="4:70" ht="14.5" x14ac:dyDescent="0.25">
      <c r="D237" s="15"/>
      <c r="E237" s="13"/>
      <c r="BO237" s="16"/>
      <c r="BR237" s="16"/>
    </row>
    <row r="238" spans="4:70" ht="14.5" x14ac:dyDescent="0.25">
      <c r="D238" s="15"/>
      <c r="E238" s="13"/>
      <c r="BO238" s="16"/>
      <c r="BR238" s="16"/>
    </row>
    <row r="239" spans="4:70" ht="14.5" x14ac:dyDescent="0.25">
      <c r="D239" s="15"/>
      <c r="E239" s="13"/>
      <c r="BO239" s="16"/>
      <c r="BR239" s="16"/>
    </row>
    <row r="240" spans="4:70" ht="14.5" x14ac:dyDescent="0.25">
      <c r="D240" s="15"/>
      <c r="E240" s="13"/>
      <c r="BO240" s="16"/>
      <c r="BR240" s="16"/>
    </row>
    <row r="241" spans="4:70" ht="14.5" x14ac:dyDescent="0.25">
      <c r="D241" s="15"/>
      <c r="E241" s="13"/>
      <c r="BO241" s="16"/>
      <c r="BR241" s="16"/>
    </row>
    <row r="242" spans="4:70" ht="14.5" x14ac:dyDescent="0.25">
      <c r="D242" s="15"/>
      <c r="E242" s="13"/>
      <c r="BO242" s="16"/>
      <c r="BR242" s="16"/>
    </row>
    <row r="243" spans="4:70" ht="14.5" x14ac:dyDescent="0.25">
      <c r="D243" s="15"/>
      <c r="E243" s="13"/>
      <c r="BO243" s="16"/>
      <c r="BR243" s="16"/>
    </row>
    <row r="244" spans="4:70" ht="14.5" x14ac:dyDescent="0.25">
      <c r="D244" s="15"/>
      <c r="E244" s="13"/>
      <c r="BO244" s="16"/>
      <c r="BR244" s="16"/>
    </row>
    <row r="245" spans="4:70" ht="14.5" x14ac:dyDescent="0.25">
      <c r="D245" s="15"/>
      <c r="E245" s="13"/>
      <c r="BO245" s="16"/>
      <c r="BR245" s="16"/>
    </row>
    <row r="246" spans="4:70" ht="14.5" x14ac:dyDescent="0.25">
      <c r="D246" s="15"/>
      <c r="E246" s="13"/>
      <c r="BO246" s="16"/>
      <c r="BR246" s="16"/>
    </row>
    <row r="247" spans="4:70" ht="14.5" x14ac:dyDescent="0.25">
      <c r="D247" s="15"/>
      <c r="E247" s="13"/>
      <c r="BO247" s="16"/>
      <c r="BR247" s="16"/>
    </row>
    <row r="248" spans="4:70" ht="14.5" x14ac:dyDescent="0.25">
      <c r="D248" s="15"/>
      <c r="E248" s="13"/>
      <c r="BO248" s="16"/>
      <c r="BR248" s="16"/>
    </row>
    <row r="249" spans="4:70" ht="14.5" x14ac:dyDescent="0.25">
      <c r="D249" s="15"/>
      <c r="E249" s="13"/>
      <c r="BO249" s="16"/>
      <c r="BR249" s="16"/>
    </row>
    <row r="250" spans="4:70" ht="14.5" x14ac:dyDescent="0.25">
      <c r="D250" s="15"/>
      <c r="E250" s="13"/>
      <c r="BO250" s="16"/>
      <c r="BR250" s="16"/>
    </row>
    <row r="251" spans="4:70" ht="14.5" x14ac:dyDescent="0.25">
      <c r="D251" s="15"/>
      <c r="E251" s="13"/>
      <c r="BO251" s="16"/>
      <c r="BR251" s="16"/>
    </row>
    <row r="252" spans="4:70" ht="14.5" x14ac:dyDescent="0.25">
      <c r="D252" s="15"/>
      <c r="E252" s="13"/>
      <c r="BO252" s="16"/>
      <c r="BR252" s="16"/>
    </row>
    <row r="253" spans="4:70" ht="14.5" x14ac:dyDescent="0.25">
      <c r="D253" s="15"/>
      <c r="E253" s="13"/>
      <c r="BO253" s="16"/>
      <c r="BR253" s="16"/>
    </row>
    <row r="254" spans="4:70" ht="14.5" x14ac:dyDescent="0.25">
      <c r="D254" s="15"/>
      <c r="E254" s="13"/>
      <c r="BO254" s="16"/>
      <c r="BR254" s="16"/>
    </row>
    <row r="255" spans="4:70" ht="14.5" x14ac:dyDescent="0.25">
      <c r="D255" s="15"/>
      <c r="E255" s="13"/>
      <c r="BO255" s="16"/>
      <c r="BR255" s="16"/>
    </row>
    <row r="256" spans="4:70" ht="14.5" x14ac:dyDescent="0.25">
      <c r="D256" s="15"/>
      <c r="E256" s="13"/>
      <c r="BO256" s="16"/>
      <c r="BR256" s="16"/>
    </row>
    <row r="257" spans="4:70" ht="14.5" x14ac:dyDescent="0.25">
      <c r="D257" s="15"/>
      <c r="E257" s="13"/>
      <c r="BO257" s="16"/>
      <c r="BR257" s="16"/>
    </row>
    <row r="258" spans="4:70" ht="14.5" x14ac:dyDescent="0.25">
      <c r="D258" s="15"/>
      <c r="E258" s="13"/>
      <c r="BO258" s="16"/>
      <c r="BR258" s="16"/>
    </row>
    <row r="259" spans="4:70" ht="14.5" x14ac:dyDescent="0.25">
      <c r="D259" s="15"/>
      <c r="E259" s="13"/>
      <c r="BO259" s="16"/>
      <c r="BR259" s="16"/>
    </row>
    <row r="260" spans="4:70" ht="14.5" x14ac:dyDescent="0.25">
      <c r="D260" s="15"/>
      <c r="E260" s="13"/>
      <c r="BO260" s="16"/>
      <c r="BR260" s="16"/>
    </row>
    <row r="261" spans="4:70" ht="14.5" x14ac:dyDescent="0.25">
      <c r="D261" s="15"/>
      <c r="E261" s="13"/>
      <c r="BO261" s="16"/>
      <c r="BR261" s="16"/>
    </row>
    <row r="262" spans="4:70" ht="14.5" x14ac:dyDescent="0.25">
      <c r="D262" s="15"/>
      <c r="E262" s="13"/>
      <c r="BO262" s="16"/>
      <c r="BR262" s="16"/>
    </row>
    <row r="263" spans="4:70" ht="14.5" x14ac:dyDescent="0.25">
      <c r="D263" s="15"/>
      <c r="E263" s="13"/>
      <c r="BO263" s="16"/>
      <c r="BR263" s="16"/>
    </row>
    <row r="264" spans="4:70" ht="14.5" x14ac:dyDescent="0.25">
      <c r="D264" s="15"/>
      <c r="E264" s="13"/>
      <c r="BO264" s="16"/>
      <c r="BR264" s="16"/>
    </row>
    <row r="265" spans="4:70" ht="14.5" x14ac:dyDescent="0.25">
      <c r="D265" s="15"/>
      <c r="E265" s="13"/>
      <c r="BO265" s="16"/>
      <c r="BR265" s="16"/>
    </row>
    <row r="266" spans="4:70" ht="14.5" x14ac:dyDescent="0.25">
      <c r="D266" s="15"/>
      <c r="E266" s="13"/>
      <c r="BO266" s="16"/>
      <c r="BR266" s="16"/>
    </row>
    <row r="267" spans="4:70" ht="14.5" x14ac:dyDescent="0.25">
      <c r="D267" s="15"/>
      <c r="E267" s="13"/>
      <c r="BO267" s="16"/>
      <c r="BR267" s="16"/>
    </row>
    <row r="268" spans="4:70" ht="14.5" x14ac:dyDescent="0.25">
      <c r="D268" s="15"/>
      <c r="E268" s="13"/>
      <c r="BR268" s="16"/>
    </row>
    <row r="269" spans="4:70" ht="14.5" x14ac:dyDescent="0.25">
      <c r="D269" s="15"/>
      <c r="E269" s="13"/>
      <c r="BO269" s="16"/>
      <c r="BR269" s="16"/>
    </row>
    <row r="270" spans="4:70" ht="14.5" x14ac:dyDescent="0.25">
      <c r="D270" s="15"/>
      <c r="E270" s="13"/>
      <c r="BO270" s="16"/>
      <c r="BR270" s="16"/>
    </row>
    <row r="271" spans="4:70" ht="14.5" x14ac:dyDescent="0.25">
      <c r="D271" s="15"/>
      <c r="E271" s="13"/>
      <c r="BO271" s="16"/>
      <c r="BR271" s="16"/>
    </row>
    <row r="272" spans="4:70" ht="14.5" x14ac:dyDescent="0.25">
      <c r="D272" s="15"/>
      <c r="E272" s="13"/>
      <c r="BO272" s="16"/>
      <c r="BR272" s="16"/>
    </row>
    <row r="273" spans="4:70" ht="14.5" x14ac:dyDescent="0.25">
      <c r="D273" s="15"/>
      <c r="E273" s="13"/>
      <c r="BO273" s="16"/>
      <c r="BR273" s="16"/>
    </row>
    <row r="274" spans="4:70" ht="14.5" x14ac:dyDescent="0.25">
      <c r="D274" s="15"/>
      <c r="E274" s="13"/>
      <c r="BO274" s="16"/>
      <c r="BR274" s="16"/>
    </row>
    <row r="275" spans="4:70" ht="14.5" x14ac:dyDescent="0.25">
      <c r="D275" s="15"/>
      <c r="E275" s="13"/>
      <c r="BO275" s="16"/>
      <c r="BR275" s="16"/>
    </row>
    <row r="276" spans="4:70" ht="14.5" x14ac:dyDescent="0.25">
      <c r="D276" s="15"/>
      <c r="E276" s="13"/>
      <c r="BO276" s="16"/>
      <c r="BR276" s="16"/>
    </row>
    <row r="277" spans="4:70" ht="14.5" x14ac:dyDescent="0.25">
      <c r="D277" s="15"/>
      <c r="E277" s="13"/>
      <c r="BO277" s="16"/>
      <c r="BR277" s="16"/>
    </row>
    <row r="278" spans="4:70" ht="14.5" x14ac:dyDescent="0.25">
      <c r="D278" s="15"/>
      <c r="E278" s="13"/>
      <c r="BO278" s="16"/>
      <c r="BR278" s="16"/>
    </row>
    <row r="279" spans="4:70" ht="14.5" x14ac:dyDescent="0.25">
      <c r="D279" s="15"/>
      <c r="E279" s="13"/>
      <c r="BO279" s="16"/>
      <c r="BR279" s="16"/>
    </row>
    <row r="280" spans="4:70" ht="14.5" x14ac:dyDescent="0.25">
      <c r="D280" s="15"/>
      <c r="E280" s="13"/>
      <c r="BO280" s="16"/>
      <c r="BR280" s="16"/>
    </row>
    <row r="281" spans="4:70" ht="14.5" x14ac:dyDescent="0.25">
      <c r="D281" s="15"/>
      <c r="E281" s="13"/>
      <c r="BO281" s="16"/>
      <c r="BR281" s="16"/>
    </row>
    <row r="282" spans="4:70" ht="14.5" x14ac:dyDescent="0.25">
      <c r="D282" s="15"/>
      <c r="E282" s="13"/>
      <c r="BO282" s="16"/>
      <c r="BR282" s="16"/>
    </row>
    <row r="283" spans="4:70" ht="14.5" x14ac:dyDescent="0.25">
      <c r="D283" s="15"/>
      <c r="E283" s="13"/>
      <c r="BO283" s="16"/>
      <c r="BR283" s="16"/>
    </row>
    <row r="284" spans="4:70" ht="14.5" x14ac:dyDescent="0.25">
      <c r="D284" s="15"/>
      <c r="E284" s="13"/>
      <c r="BO284" s="16"/>
      <c r="BR284" s="16"/>
    </row>
    <row r="285" spans="4:70" ht="14.5" x14ac:dyDescent="0.25">
      <c r="D285" s="15"/>
      <c r="E285" s="13"/>
      <c r="BO285" s="16"/>
      <c r="BR285" s="16"/>
    </row>
    <row r="286" spans="4:70" ht="14.5" x14ac:dyDescent="0.25">
      <c r="D286" s="15"/>
      <c r="E286" s="13"/>
      <c r="BO286" s="16"/>
      <c r="BR286" s="16"/>
    </row>
    <row r="287" spans="4:70" ht="14.5" x14ac:dyDescent="0.25">
      <c r="D287" s="15"/>
      <c r="E287" s="13"/>
      <c r="BO287" s="16"/>
      <c r="BR287" s="16"/>
    </row>
    <row r="288" spans="4:70" ht="14.5" x14ac:dyDescent="0.25">
      <c r="D288" s="15"/>
      <c r="E288" s="13"/>
      <c r="BO288" s="16"/>
      <c r="BR288" s="16"/>
    </row>
    <row r="289" spans="4:70" ht="14.5" x14ac:dyDescent="0.25">
      <c r="D289" s="15"/>
      <c r="E289" s="13"/>
      <c r="BO289" s="16"/>
      <c r="BR289" s="16"/>
    </row>
    <row r="290" spans="4:70" ht="14.5" x14ac:dyDescent="0.25">
      <c r="D290" s="15"/>
      <c r="E290" s="13"/>
      <c r="BO290" s="16"/>
      <c r="BR290" s="16"/>
    </row>
    <row r="291" spans="4:70" ht="14.5" x14ac:dyDescent="0.25">
      <c r="D291" s="15"/>
      <c r="E291" s="13"/>
      <c r="BO291" s="16"/>
      <c r="BR291" s="16"/>
    </row>
    <row r="292" spans="4:70" ht="14.5" x14ac:dyDescent="0.25">
      <c r="D292" s="15"/>
      <c r="E292" s="13"/>
      <c r="BO292" s="16"/>
      <c r="BR292" s="16"/>
    </row>
    <row r="293" spans="4:70" ht="14.5" x14ac:dyDescent="0.25">
      <c r="D293" s="15"/>
      <c r="E293" s="13"/>
      <c r="BO293" s="16"/>
      <c r="BR293" s="16"/>
    </row>
    <row r="294" spans="4:70" ht="14.5" x14ac:dyDescent="0.25">
      <c r="D294" s="15"/>
      <c r="E294" s="13"/>
      <c r="BO294" s="16"/>
      <c r="BR294" s="16"/>
    </row>
    <row r="295" spans="4:70" ht="14.5" x14ac:dyDescent="0.25">
      <c r="D295" s="15"/>
      <c r="E295" s="13"/>
      <c r="BO295" s="16"/>
      <c r="BR295" s="16"/>
    </row>
    <row r="296" spans="4:70" ht="14.5" x14ac:dyDescent="0.25">
      <c r="D296" s="15"/>
      <c r="E296" s="13"/>
      <c r="BO296" s="16"/>
      <c r="BR296" s="16"/>
    </row>
    <row r="297" spans="4:70" ht="14.5" x14ac:dyDescent="0.25">
      <c r="D297" s="15"/>
      <c r="E297" s="13"/>
      <c r="BO297" s="16"/>
      <c r="BR297" s="16"/>
    </row>
    <row r="298" spans="4:70" ht="14.5" x14ac:dyDescent="0.25">
      <c r="D298" s="15"/>
      <c r="E298" s="13"/>
      <c r="BO298" s="16"/>
      <c r="BR298" s="16"/>
    </row>
    <row r="299" spans="4:70" ht="14.5" x14ac:dyDescent="0.25">
      <c r="D299" s="15"/>
      <c r="E299" s="13"/>
      <c r="BO299" s="16"/>
      <c r="BR299" s="16"/>
    </row>
    <row r="300" spans="4:70" ht="14.5" x14ac:dyDescent="0.25">
      <c r="D300" s="15"/>
      <c r="E300" s="13"/>
      <c r="BO300" s="16"/>
      <c r="BR300" s="16"/>
    </row>
    <row r="301" spans="4:70" ht="14.5" x14ac:dyDescent="0.25">
      <c r="D301" s="15"/>
      <c r="E301" s="13"/>
      <c r="BO301" s="16"/>
      <c r="BR301" s="16"/>
    </row>
    <row r="302" spans="4:70" ht="14.5" x14ac:dyDescent="0.25">
      <c r="D302" s="15"/>
      <c r="E302" s="13"/>
      <c r="BO302" s="16"/>
      <c r="BR302" s="16"/>
    </row>
    <row r="303" spans="4:70" ht="14.5" x14ac:dyDescent="0.25">
      <c r="D303" s="15"/>
      <c r="E303" s="13"/>
      <c r="BO303" s="16"/>
      <c r="BR303" s="16"/>
    </row>
    <row r="304" spans="4:70" ht="14.5" x14ac:dyDescent="0.25">
      <c r="D304" s="15"/>
      <c r="E304" s="13"/>
      <c r="BO304" s="16"/>
      <c r="BR304" s="16"/>
    </row>
    <row r="305" spans="4:70" ht="14.5" x14ac:dyDescent="0.25">
      <c r="D305" s="15"/>
      <c r="E305" s="13"/>
      <c r="BO305" s="16"/>
      <c r="BR305" s="16"/>
    </row>
    <row r="306" spans="4:70" ht="14.5" x14ac:dyDescent="0.25">
      <c r="D306" s="15"/>
      <c r="E306" s="13"/>
      <c r="BO306" s="16"/>
      <c r="BR306" s="16"/>
    </row>
    <row r="307" spans="4:70" ht="14.5" x14ac:dyDescent="0.25">
      <c r="D307" s="15"/>
      <c r="E307" s="13"/>
      <c r="BO307" s="16"/>
      <c r="BR307" s="16"/>
    </row>
    <row r="308" spans="4:70" ht="14.5" x14ac:dyDescent="0.25">
      <c r="D308" s="15"/>
      <c r="E308" s="13"/>
      <c r="BO308" s="16"/>
      <c r="BR308" s="16"/>
    </row>
    <row r="309" spans="4:70" ht="14.5" x14ac:dyDescent="0.25">
      <c r="D309" s="15"/>
      <c r="E309" s="13"/>
      <c r="BO309" s="16"/>
      <c r="BR309" s="16"/>
    </row>
    <row r="310" spans="4:70" ht="14.5" x14ac:dyDescent="0.25">
      <c r="D310" s="15"/>
      <c r="E310" s="13"/>
      <c r="BO310" s="16"/>
      <c r="BR310" s="16"/>
    </row>
    <row r="311" spans="4:70" ht="14.5" x14ac:dyDescent="0.25">
      <c r="D311" s="15"/>
      <c r="E311" s="13"/>
      <c r="BO311" s="16"/>
      <c r="BR311" s="16"/>
    </row>
    <row r="312" spans="4:70" ht="14.5" x14ac:dyDescent="0.25">
      <c r="D312" s="15"/>
      <c r="E312" s="13"/>
      <c r="BO312" s="16"/>
      <c r="BR312" s="16"/>
    </row>
    <row r="313" spans="4:70" ht="14.5" x14ac:dyDescent="0.25">
      <c r="D313" s="15"/>
      <c r="E313" s="13"/>
      <c r="BO313" s="16"/>
      <c r="BR313" s="16"/>
    </row>
    <row r="314" spans="4:70" ht="14.5" x14ac:dyDescent="0.25">
      <c r="D314" s="15"/>
      <c r="E314" s="13"/>
      <c r="BO314" s="16"/>
      <c r="BR314" s="16"/>
    </row>
    <row r="315" spans="4:70" ht="14.5" x14ac:dyDescent="0.25">
      <c r="D315" s="15"/>
      <c r="E315" s="13"/>
      <c r="BO315" s="16"/>
      <c r="BR315" s="16"/>
    </row>
    <row r="316" spans="4:70" ht="14.5" x14ac:dyDescent="0.25">
      <c r="D316" s="15"/>
      <c r="E316" s="13"/>
      <c r="BO316" s="16"/>
      <c r="BR316" s="16"/>
    </row>
    <row r="317" spans="4:70" ht="14.5" x14ac:dyDescent="0.25">
      <c r="D317" s="15"/>
      <c r="E317" s="13"/>
      <c r="BO317" s="16"/>
      <c r="BR317" s="16"/>
    </row>
    <row r="318" spans="4:70" ht="14.5" x14ac:dyDescent="0.25">
      <c r="D318" s="15"/>
      <c r="E318" s="13"/>
      <c r="BO318" s="16"/>
      <c r="BR318" s="16"/>
    </row>
    <row r="319" spans="4:70" ht="14.5" x14ac:dyDescent="0.25">
      <c r="D319" s="15"/>
      <c r="E319" s="13"/>
      <c r="BO319" s="16"/>
      <c r="BR319" s="16"/>
    </row>
    <row r="320" spans="4:70" ht="14.5" x14ac:dyDescent="0.25">
      <c r="D320" s="15"/>
      <c r="E320" s="13"/>
      <c r="BO320" s="16"/>
      <c r="BR320" s="16"/>
    </row>
    <row r="321" spans="4:70" ht="14.5" x14ac:dyDescent="0.25">
      <c r="D321" s="15"/>
      <c r="E321" s="13"/>
      <c r="BO321" s="16"/>
      <c r="BR321" s="16"/>
    </row>
    <row r="322" spans="4:70" ht="14.5" x14ac:dyDescent="0.25">
      <c r="D322" s="15"/>
      <c r="E322" s="13"/>
      <c r="BO322" s="16"/>
      <c r="BR322" s="16"/>
    </row>
    <row r="323" spans="4:70" ht="14.5" x14ac:dyDescent="0.25">
      <c r="D323" s="15"/>
      <c r="E323" s="13"/>
      <c r="BO323" s="16"/>
      <c r="BR323" s="16"/>
    </row>
    <row r="324" spans="4:70" ht="14.5" x14ac:dyDescent="0.25">
      <c r="D324" s="15"/>
      <c r="E324" s="13"/>
      <c r="BR324" s="16"/>
    </row>
    <row r="325" spans="4:70" ht="14.5" x14ac:dyDescent="0.25">
      <c r="D325" s="15"/>
      <c r="E325" s="13"/>
      <c r="BR325" s="16"/>
    </row>
    <row r="326" spans="4:70" ht="14.5" x14ac:dyDescent="0.25">
      <c r="D326" s="15"/>
      <c r="E326" s="13"/>
      <c r="BR326" s="16"/>
    </row>
    <row r="327" spans="4:70" ht="14.5" x14ac:dyDescent="0.25">
      <c r="D327" s="15"/>
      <c r="E327" s="13"/>
      <c r="BO327" s="16"/>
      <c r="BR327" s="16"/>
    </row>
    <row r="328" spans="4:70" ht="14.5" x14ac:dyDescent="0.25">
      <c r="D328" s="15"/>
      <c r="E328" s="13"/>
      <c r="BO328" s="16"/>
      <c r="BR328" s="16"/>
    </row>
    <row r="329" spans="4:70" ht="14.5" x14ac:dyDescent="0.25">
      <c r="D329" s="15"/>
      <c r="E329" s="13"/>
      <c r="BO329" s="16"/>
      <c r="BR329" s="16"/>
    </row>
    <row r="330" spans="4:70" ht="14.5" x14ac:dyDescent="0.25">
      <c r="D330" s="15"/>
      <c r="E330" s="13"/>
      <c r="BO330" s="16"/>
      <c r="BR330" s="16"/>
    </row>
    <row r="331" spans="4:70" ht="14.5" x14ac:dyDescent="0.25">
      <c r="D331" s="15"/>
      <c r="E331" s="13"/>
      <c r="BO331" s="16"/>
      <c r="BR331" s="16"/>
    </row>
    <row r="332" spans="4:70" ht="14.5" x14ac:dyDescent="0.25">
      <c r="D332" s="15"/>
      <c r="E332" s="13"/>
      <c r="BO332" s="16"/>
      <c r="BR332" s="16"/>
    </row>
    <row r="333" spans="4:70" ht="14.5" x14ac:dyDescent="0.25">
      <c r="D333" s="15"/>
      <c r="E333" s="13"/>
      <c r="BO333" s="16"/>
      <c r="BR333" s="16"/>
    </row>
    <row r="334" spans="4:70" ht="14.5" x14ac:dyDescent="0.25">
      <c r="D334" s="15"/>
      <c r="E334" s="13"/>
      <c r="BO334" s="16"/>
      <c r="BR334" s="16"/>
    </row>
    <row r="335" spans="4:70" ht="14.5" x14ac:dyDescent="0.25">
      <c r="D335" s="15"/>
      <c r="E335" s="13"/>
      <c r="BO335" s="16"/>
      <c r="BR335" s="16"/>
    </row>
    <row r="336" spans="4:70" ht="14.5" x14ac:dyDescent="0.25">
      <c r="D336" s="15"/>
      <c r="E336" s="13"/>
      <c r="BO336" s="16"/>
      <c r="BR336" s="16"/>
    </row>
    <row r="337" spans="4:70" ht="14.5" x14ac:dyDescent="0.25">
      <c r="D337" s="15"/>
      <c r="E337" s="13"/>
      <c r="BO337" s="16"/>
      <c r="BR337" s="16"/>
    </row>
    <row r="338" spans="4:70" ht="14.5" x14ac:dyDescent="0.25">
      <c r="D338" s="15"/>
      <c r="E338" s="13"/>
      <c r="BO338" s="16"/>
      <c r="BR338" s="16"/>
    </row>
    <row r="339" spans="4:70" ht="14.5" x14ac:dyDescent="0.25">
      <c r="D339" s="15"/>
      <c r="E339" s="13"/>
      <c r="BO339" s="16"/>
      <c r="BR339" s="16"/>
    </row>
    <row r="340" spans="4:70" ht="14.5" x14ac:dyDescent="0.25">
      <c r="D340" s="15"/>
      <c r="E340" s="13"/>
      <c r="BO340" s="16"/>
      <c r="BR340" s="16"/>
    </row>
    <row r="341" spans="4:70" ht="14.5" x14ac:dyDescent="0.25">
      <c r="D341" s="15"/>
      <c r="E341" s="13"/>
      <c r="BO341" s="16"/>
      <c r="BR341" s="16"/>
    </row>
    <row r="342" spans="4:70" ht="14.5" x14ac:dyDescent="0.25">
      <c r="D342" s="15"/>
      <c r="E342" s="13"/>
      <c r="BO342" s="16"/>
      <c r="BR342" s="16"/>
    </row>
    <row r="343" spans="4:70" ht="14.5" x14ac:dyDescent="0.25">
      <c r="D343" s="15"/>
      <c r="E343" s="13"/>
      <c r="BO343" s="16"/>
      <c r="BR343" s="16"/>
    </row>
    <row r="344" spans="4:70" ht="14.5" x14ac:dyDescent="0.25">
      <c r="D344" s="15"/>
      <c r="E344" s="13"/>
      <c r="BO344" s="16"/>
      <c r="BR344" s="16"/>
    </row>
    <row r="345" spans="4:70" ht="14.5" x14ac:dyDescent="0.25">
      <c r="D345" s="15"/>
      <c r="E345" s="13"/>
      <c r="BO345" s="16"/>
      <c r="BR345" s="16"/>
    </row>
    <row r="346" spans="4:70" ht="14.5" x14ac:dyDescent="0.25">
      <c r="D346" s="15"/>
      <c r="E346" s="13"/>
      <c r="BO346" s="16"/>
      <c r="BR346" s="16"/>
    </row>
    <row r="347" spans="4:70" ht="14.5" x14ac:dyDescent="0.25">
      <c r="D347" s="15"/>
      <c r="E347" s="13"/>
      <c r="BO347" s="16"/>
      <c r="BR347" s="16"/>
    </row>
    <row r="348" spans="4:70" ht="14.5" x14ac:dyDescent="0.25">
      <c r="D348" s="15"/>
      <c r="E348" s="13"/>
      <c r="BO348" s="16"/>
      <c r="BR348" s="16"/>
    </row>
    <row r="349" spans="4:70" ht="14.5" x14ac:dyDescent="0.25">
      <c r="D349" s="15"/>
      <c r="E349" s="13"/>
      <c r="BO349" s="16"/>
      <c r="BR349" s="16"/>
    </row>
    <row r="350" spans="4:70" ht="14.5" x14ac:dyDescent="0.25">
      <c r="D350" s="15"/>
      <c r="E350" s="13"/>
      <c r="BO350" s="16"/>
      <c r="BR350" s="16"/>
    </row>
    <row r="351" spans="4:70" ht="14.5" x14ac:dyDescent="0.25">
      <c r="D351" s="15"/>
      <c r="E351" s="13"/>
      <c r="BO351" s="16"/>
      <c r="BR351" s="16"/>
    </row>
    <row r="352" spans="4:70" ht="14.5" x14ac:dyDescent="0.25">
      <c r="D352" s="15"/>
      <c r="E352" s="13"/>
      <c r="BO352" s="16"/>
      <c r="BR352" s="16"/>
    </row>
    <row r="353" spans="4:70" ht="14.5" x14ac:dyDescent="0.25">
      <c r="D353" s="15"/>
      <c r="E353" s="13"/>
      <c r="BO353" s="16"/>
      <c r="BR353" s="16"/>
    </row>
    <row r="354" spans="4:70" ht="14.5" x14ac:dyDescent="0.25">
      <c r="D354" s="15"/>
      <c r="E354" s="13"/>
      <c r="BO354" s="16"/>
      <c r="BR354" s="16"/>
    </row>
    <row r="355" spans="4:70" ht="14.5" x14ac:dyDescent="0.25">
      <c r="D355" s="15"/>
      <c r="E355" s="13"/>
      <c r="BO355" s="16"/>
      <c r="BR355" s="16"/>
    </row>
    <row r="356" spans="4:70" ht="14.5" x14ac:dyDescent="0.25">
      <c r="D356" s="15"/>
      <c r="E356" s="13"/>
      <c r="BO356" s="16"/>
      <c r="BR356" s="16"/>
    </row>
    <row r="357" spans="4:70" ht="14.5" x14ac:dyDescent="0.25">
      <c r="D357" s="15"/>
      <c r="E357" s="13"/>
      <c r="BO357" s="16"/>
      <c r="BR357" s="16"/>
    </row>
    <row r="358" spans="4:70" ht="14.5" x14ac:dyDescent="0.25">
      <c r="D358" s="15"/>
      <c r="E358" s="13"/>
      <c r="BO358" s="16"/>
      <c r="BR358" s="16"/>
    </row>
    <row r="359" spans="4:70" ht="14.5" x14ac:dyDescent="0.25">
      <c r="D359" s="15"/>
      <c r="E359" s="13"/>
      <c r="BO359" s="16"/>
      <c r="BR359" s="16"/>
    </row>
    <row r="360" spans="4:70" ht="14.5" x14ac:dyDescent="0.25">
      <c r="D360" s="15"/>
      <c r="E360" s="13"/>
      <c r="BO360" s="16"/>
      <c r="BR360" s="16"/>
    </row>
    <row r="361" spans="4:70" ht="14.5" x14ac:dyDescent="0.25">
      <c r="D361" s="15"/>
      <c r="E361" s="13"/>
      <c r="BR361" s="16"/>
    </row>
    <row r="362" spans="4:70" ht="14.5" x14ac:dyDescent="0.25">
      <c r="D362" s="15"/>
      <c r="E362" s="13"/>
      <c r="BR362" s="16"/>
    </row>
    <row r="363" spans="4:70" ht="14.5" x14ac:dyDescent="0.25">
      <c r="D363" s="15"/>
      <c r="E363" s="13"/>
      <c r="BO363" s="16"/>
      <c r="BR363" s="16"/>
    </row>
    <row r="364" spans="4:70" ht="14.5" x14ac:dyDescent="0.25">
      <c r="D364" s="15"/>
      <c r="E364" s="13"/>
      <c r="BO364" s="16"/>
      <c r="BR364" s="16"/>
    </row>
    <row r="365" spans="4:70" ht="14.5" x14ac:dyDescent="0.25">
      <c r="D365" s="15"/>
      <c r="E365" s="13"/>
      <c r="BO365" s="16"/>
      <c r="BR365" s="16"/>
    </row>
    <row r="366" spans="4:70" ht="14.5" x14ac:dyDescent="0.25">
      <c r="D366" s="15"/>
      <c r="E366" s="13"/>
      <c r="BO366" s="16"/>
      <c r="BR366" s="16"/>
    </row>
    <row r="367" spans="4:70" ht="14.5" x14ac:dyDescent="0.25">
      <c r="D367" s="15"/>
      <c r="E367" s="13"/>
      <c r="BO367" s="16"/>
      <c r="BR367" s="16"/>
    </row>
    <row r="368" spans="4:70" ht="14.5" x14ac:dyDescent="0.25">
      <c r="D368" s="15"/>
      <c r="E368" s="13"/>
      <c r="BO368" s="16"/>
      <c r="BR368" s="16"/>
    </row>
    <row r="369" spans="4:70" ht="14.5" x14ac:dyDescent="0.25">
      <c r="D369" s="15"/>
      <c r="E369" s="13"/>
      <c r="BO369" s="16"/>
      <c r="BR369" s="16"/>
    </row>
    <row r="370" spans="4:70" ht="14.5" x14ac:dyDescent="0.25">
      <c r="D370" s="15"/>
      <c r="E370" s="13"/>
      <c r="BO370" s="16"/>
      <c r="BR370" s="16"/>
    </row>
    <row r="371" spans="4:70" ht="14.5" x14ac:dyDescent="0.25">
      <c r="D371" s="15"/>
      <c r="E371" s="13"/>
      <c r="BO371" s="16"/>
      <c r="BR371" s="16"/>
    </row>
    <row r="372" spans="4:70" ht="14.5" x14ac:dyDescent="0.25">
      <c r="D372" s="15"/>
      <c r="E372" s="13"/>
      <c r="BO372" s="16"/>
      <c r="BR372" s="16"/>
    </row>
    <row r="373" spans="4:70" ht="14.5" x14ac:dyDescent="0.25">
      <c r="D373" s="15"/>
      <c r="E373" s="13"/>
      <c r="BO373" s="16"/>
      <c r="BR373" s="16"/>
    </row>
    <row r="374" spans="4:70" ht="14.5" x14ac:dyDescent="0.25">
      <c r="D374" s="15"/>
      <c r="E374" s="13"/>
      <c r="BO374" s="16"/>
      <c r="BR374" s="16"/>
    </row>
    <row r="375" spans="4:70" ht="14.5" x14ac:dyDescent="0.25">
      <c r="D375" s="15"/>
      <c r="E375" s="13"/>
      <c r="BO375" s="16"/>
      <c r="BR375" s="16"/>
    </row>
    <row r="376" spans="4:70" ht="14.5" x14ac:dyDescent="0.25">
      <c r="D376" s="15"/>
      <c r="E376" s="13"/>
      <c r="BO376" s="16"/>
      <c r="BR376" s="16"/>
    </row>
    <row r="377" spans="4:70" ht="14.5" x14ac:dyDescent="0.25">
      <c r="D377" s="15"/>
      <c r="E377" s="13"/>
      <c r="BO377" s="16"/>
      <c r="BR377" s="16"/>
    </row>
    <row r="378" spans="4:70" ht="14.5" x14ac:dyDescent="0.25">
      <c r="D378" s="15"/>
      <c r="E378" s="13"/>
      <c r="BO378" s="16"/>
      <c r="BR378" s="16"/>
    </row>
    <row r="379" spans="4:70" ht="14.5" x14ac:dyDescent="0.25">
      <c r="D379" s="15"/>
      <c r="E379" s="13"/>
      <c r="BO379" s="16"/>
      <c r="BR379" s="16"/>
    </row>
    <row r="380" spans="4:70" ht="14.5" x14ac:dyDescent="0.25">
      <c r="D380" s="15"/>
      <c r="E380" s="13"/>
      <c r="BO380" s="16"/>
      <c r="BR380" s="16"/>
    </row>
    <row r="381" spans="4:70" ht="14.5" x14ac:dyDescent="0.25">
      <c r="D381" s="15"/>
      <c r="E381" s="13"/>
      <c r="BO381" s="16"/>
      <c r="BR381" s="16"/>
    </row>
    <row r="382" spans="4:70" ht="14.5" x14ac:dyDescent="0.25">
      <c r="D382" s="15"/>
      <c r="E382" s="13"/>
      <c r="BO382" s="16"/>
      <c r="BR382" s="16"/>
    </row>
    <row r="383" spans="4:70" ht="14.5" x14ac:dyDescent="0.25">
      <c r="D383" s="15"/>
      <c r="E383" s="13"/>
      <c r="BO383" s="16"/>
      <c r="BR383" s="16"/>
    </row>
    <row r="384" spans="4:70" ht="14.5" x14ac:dyDescent="0.25">
      <c r="D384" s="15"/>
      <c r="E384" s="13"/>
      <c r="BO384" s="16"/>
      <c r="BR384" s="16"/>
    </row>
    <row r="385" spans="4:70" ht="14.5" x14ac:dyDescent="0.25">
      <c r="D385" s="15"/>
      <c r="E385" s="13"/>
      <c r="BO385" s="16"/>
      <c r="BR385" s="16"/>
    </row>
    <row r="386" spans="4:70" ht="14.5" x14ac:dyDescent="0.25">
      <c r="D386" s="15"/>
      <c r="E386" s="13"/>
      <c r="BR386" s="16"/>
    </row>
    <row r="387" spans="4:70" ht="14.5" x14ac:dyDescent="0.25">
      <c r="D387" s="15"/>
      <c r="E387" s="13"/>
      <c r="BR387" s="16"/>
    </row>
    <row r="388" spans="4:70" ht="14.5" x14ac:dyDescent="0.25">
      <c r="D388" s="15"/>
      <c r="E388" s="13"/>
      <c r="BO388" s="16"/>
      <c r="BR388" s="16"/>
    </row>
    <row r="389" spans="4:70" ht="14.5" x14ac:dyDescent="0.25">
      <c r="D389" s="15"/>
      <c r="E389" s="13"/>
      <c r="BO389" s="16"/>
      <c r="BR389" s="16"/>
    </row>
    <row r="390" spans="4:70" ht="14.5" x14ac:dyDescent="0.25">
      <c r="D390" s="15"/>
      <c r="E390" s="13"/>
      <c r="BR390" s="16"/>
    </row>
    <row r="391" spans="4:70" ht="14.5" x14ac:dyDescent="0.25">
      <c r="D391" s="15"/>
      <c r="E391" s="13"/>
      <c r="BR391" s="16"/>
    </row>
    <row r="392" spans="4:70" ht="14.5" x14ac:dyDescent="0.25">
      <c r="D392" s="15"/>
      <c r="E392" s="13"/>
      <c r="BO392" s="16"/>
      <c r="BR392" s="16"/>
    </row>
    <row r="393" spans="4:70" ht="14.5" x14ac:dyDescent="0.25">
      <c r="D393" s="15"/>
      <c r="E393" s="13"/>
      <c r="BO393" s="16"/>
      <c r="BR393" s="16"/>
    </row>
    <row r="394" spans="4:70" ht="14.5" x14ac:dyDescent="0.25">
      <c r="D394" s="15"/>
      <c r="E394" s="13"/>
      <c r="BO394" s="16"/>
      <c r="BR394" s="16"/>
    </row>
    <row r="395" spans="4:70" ht="14.5" x14ac:dyDescent="0.25">
      <c r="D395" s="15"/>
      <c r="E395" s="13"/>
      <c r="BO395" s="16"/>
      <c r="BR395" s="16"/>
    </row>
    <row r="396" spans="4:70" ht="14.5" x14ac:dyDescent="0.25">
      <c r="D396" s="15"/>
      <c r="E396" s="13"/>
      <c r="BO396" s="16"/>
      <c r="BR396" s="16"/>
    </row>
    <row r="397" spans="4:70" ht="14.5" x14ac:dyDescent="0.25">
      <c r="D397" s="15"/>
      <c r="E397" s="13"/>
      <c r="BO397" s="16"/>
      <c r="BR397" s="16"/>
    </row>
    <row r="398" spans="4:70" ht="14.5" x14ac:dyDescent="0.25">
      <c r="D398" s="15"/>
      <c r="E398" s="13"/>
      <c r="BO398" s="16"/>
      <c r="BR398" s="16"/>
    </row>
    <row r="399" spans="4:70" ht="14.5" x14ac:dyDescent="0.25">
      <c r="D399" s="15"/>
      <c r="E399" s="13"/>
      <c r="BO399" s="16"/>
      <c r="BR399" s="16"/>
    </row>
    <row r="400" spans="4:70" ht="14.5" x14ac:dyDescent="0.25">
      <c r="D400" s="15"/>
      <c r="E400" s="13"/>
      <c r="BO400" s="16"/>
      <c r="BR400" s="16"/>
    </row>
    <row r="401" spans="4:70" ht="14.5" x14ac:dyDescent="0.25">
      <c r="D401" s="15"/>
      <c r="E401" s="13"/>
      <c r="BO401" s="16"/>
      <c r="BR401" s="16"/>
    </row>
    <row r="402" spans="4:70" ht="14.5" x14ac:dyDescent="0.25">
      <c r="D402" s="15"/>
      <c r="E402" s="13"/>
      <c r="BO402" s="16"/>
      <c r="BR402" s="16"/>
    </row>
    <row r="403" spans="4:70" ht="14.5" x14ac:dyDescent="0.25">
      <c r="D403" s="15"/>
      <c r="E403" s="13"/>
      <c r="BO403" s="16"/>
      <c r="BR403" s="16"/>
    </row>
    <row r="404" spans="4:70" ht="14.5" x14ac:dyDescent="0.25">
      <c r="D404" s="15"/>
      <c r="E404" s="13"/>
      <c r="BO404" s="16"/>
      <c r="BR404" s="16"/>
    </row>
    <row r="405" spans="4:70" ht="14.5" x14ac:dyDescent="0.25">
      <c r="D405" s="15"/>
      <c r="E405" s="13"/>
      <c r="BO405" s="16"/>
      <c r="BR405" s="16"/>
    </row>
    <row r="406" spans="4:70" ht="14.5" x14ac:dyDescent="0.25">
      <c r="D406" s="15"/>
      <c r="E406" s="13"/>
      <c r="BO406" s="16"/>
      <c r="BR406" s="16"/>
    </row>
    <row r="407" spans="4:70" ht="14.5" x14ac:dyDescent="0.25">
      <c r="D407" s="15"/>
      <c r="E407" s="13"/>
      <c r="BO407" s="16"/>
      <c r="BR407" s="16"/>
    </row>
    <row r="408" spans="4:70" ht="14.5" x14ac:dyDescent="0.25">
      <c r="D408" s="15"/>
      <c r="E408" s="13"/>
      <c r="BO408" s="16"/>
      <c r="BR408" s="16"/>
    </row>
    <row r="409" spans="4:70" ht="14.5" x14ac:dyDescent="0.25">
      <c r="D409" s="15"/>
      <c r="E409" s="13"/>
    </row>
    <row r="410" spans="4:70" ht="14.5" x14ac:dyDescent="0.25">
      <c r="D410" s="15"/>
      <c r="E410" s="13"/>
    </row>
    <row r="411" spans="4:70" ht="14.5" x14ac:dyDescent="0.25">
      <c r="D411" s="15"/>
      <c r="E411" s="13"/>
    </row>
    <row r="412" spans="4:70" ht="14.5" x14ac:dyDescent="0.25">
      <c r="D412" s="15"/>
      <c r="E412" s="13"/>
    </row>
    <row r="413" spans="4:70" ht="14.5" x14ac:dyDescent="0.25">
      <c r="D413" s="15"/>
      <c r="E413" s="13"/>
    </row>
    <row r="414" spans="4:70" ht="14.5" x14ac:dyDescent="0.25">
      <c r="D414" s="15"/>
      <c r="E414" s="13"/>
    </row>
    <row r="415" spans="4:70" ht="14.5" x14ac:dyDescent="0.25">
      <c r="D415" s="15"/>
      <c r="E415" s="13"/>
    </row>
    <row r="416" spans="4:70" ht="14.5" x14ac:dyDescent="0.25">
      <c r="D416" s="15"/>
      <c r="E416" s="13"/>
    </row>
    <row r="417" spans="4:5" ht="14.5" x14ac:dyDescent="0.25">
      <c r="D417" s="15"/>
      <c r="E417" s="13"/>
    </row>
    <row r="418" spans="4:5" ht="14.5" x14ac:dyDescent="0.25">
      <c r="D418" s="15"/>
      <c r="E418" s="13"/>
    </row>
    <row r="419" spans="4:5" ht="14.5" x14ac:dyDescent="0.25">
      <c r="D419" s="15"/>
      <c r="E419" s="13"/>
    </row>
    <row r="420" spans="4:5" ht="14.5" x14ac:dyDescent="0.25">
      <c r="D420" s="15"/>
      <c r="E420" s="13"/>
    </row>
    <row r="421" spans="4:5" ht="14.5" x14ac:dyDescent="0.25">
      <c r="D421" s="15"/>
      <c r="E421" s="13"/>
    </row>
    <row r="422" spans="4:5" ht="14.5" x14ac:dyDescent="0.25">
      <c r="D422" s="15"/>
      <c r="E422" s="13"/>
    </row>
    <row r="423" spans="4:5" ht="14.5" x14ac:dyDescent="0.25">
      <c r="D423" s="15"/>
      <c r="E423" s="13"/>
    </row>
    <row r="424" spans="4:5" ht="14.5" x14ac:dyDescent="0.25">
      <c r="D424" s="15"/>
      <c r="E424" s="13"/>
    </row>
    <row r="425" spans="4:5" ht="14.5" x14ac:dyDescent="0.25">
      <c r="D425" s="15"/>
      <c r="E425" s="13"/>
    </row>
    <row r="426" spans="4:5" ht="14.5" x14ac:dyDescent="0.25">
      <c r="D426" s="15"/>
      <c r="E426" s="13"/>
    </row>
    <row r="427" spans="4:5" ht="14.5" x14ac:dyDescent="0.25">
      <c r="D427" s="15"/>
      <c r="E427" s="13"/>
    </row>
    <row r="428" spans="4:5" ht="14.5" x14ac:dyDescent="0.25">
      <c r="D428" s="15"/>
      <c r="E428" s="13"/>
    </row>
    <row r="429" spans="4:5" ht="14.5" x14ac:dyDescent="0.25">
      <c r="D429" s="15"/>
      <c r="E429" s="13"/>
    </row>
    <row r="430" spans="4:5" ht="14.5" x14ac:dyDescent="0.25">
      <c r="D430" s="15"/>
      <c r="E430" s="13"/>
    </row>
    <row r="431" spans="4:5" ht="14.5" x14ac:dyDescent="0.25">
      <c r="D431" s="15"/>
      <c r="E431" s="13"/>
    </row>
    <row r="432" spans="4:5" ht="14.5" x14ac:dyDescent="0.25">
      <c r="D432" s="15"/>
      <c r="E432" s="13"/>
    </row>
    <row r="433" spans="4:5" ht="14.5" x14ac:dyDescent="0.25">
      <c r="D433" s="15"/>
      <c r="E433" s="13"/>
    </row>
    <row r="434" spans="4:5" ht="14.5" x14ac:dyDescent="0.25">
      <c r="D434" s="15"/>
      <c r="E434" s="13"/>
    </row>
    <row r="435" spans="4:5" ht="14.5" x14ac:dyDescent="0.25">
      <c r="D435" s="15"/>
      <c r="E435" s="13"/>
    </row>
    <row r="436" spans="4:5" ht="14.5" x14ac:dyDescent="0.25">
      <c r="D436" s="15"/>
      <c r="E436" s="13"/>
    </row>
    <row r="437" spans="4:5" ht="14.5" x14ac:dyDescent="0.25">
      <c r="D437" s="15"/>
      <c r="E437" s="13"/>
    </row>
    <row r="438" spans="4:5" ht="14.5" x14ac:dyDescent="0.25">
      <c r="D438" s="15"/>
      <c r="E438" s="13"/>
    </row>
    <row r="439" spans="4:5" ht="14.5" x14ac:dyDescent="0.25">
      <c r="D439" s="15"/>
      <c r="E439" s="13"/>
    </row>
    <row r="440" spans="4:5" ht="14.5" x14ac:dyDescent="0.25">
      <c r="D440" s="15"/>
      <c r="E440" s="13"/>
    </row>
    <row r="441" spans="4:5" ht="14.5" x14ac:dyDescent="0.25">
      <c r="D441" s="15"/>
      <c r="E441" s="13"/>
    </row>
    <row r="442" spans="4:5" ht="14.5" x14ac:dyDescent="0.25">
      <c r="D442" s="15"/>
      <c r="E442" s="13"/>
    </row>
    <row r="443" spans="4:5" ht="14.5" x14ac:dyDescent="0.25">
      <c r="D443" s="15"/>
      <c r="E443" s="13"/>
    </row>
    <row r="444" spans="4:5" ht="14.5" x14ac:dyDescent="0.25">
      <c r="D444" s="15"/>
      <c r="E444" s="13"/>
    </row>
    <row r="445" spans="4:5" ht="14.5" x14ac:dyDescent="0.25">
      <c r="D445" s="15"/>
      <c r="E445" s="13"/>
    </row>
    <row r="446" spans="4:5" ht="14.5" x14ac:dyDescent="0.25">
      <c r="D446" s="15"/>
      <c r="E446" s="13"/>
    </row>
    <row r="447" spans="4:5" ht="14.5" x14ac:dyDescent="0.25">
      <c r="D447" s="15"/>
      <c r="E447" s="13"/>
    </row>
    <row r="448" spans="4:5" ht="14.5" x14ac:dyDescent="0.25">
      <c r="D448" s="15"/>
      <c r="E448" s="13"/>
    </row>
    <row r="449" spans="4:5" ht="14.5" x14ac:dyDescent="0.25">
      <c r="D449" s="15"/>
      <c r="E449" s="13"/>
    </row>
    <row r="450" spans="4:5" ht="14.5" x14ac:dyDescent="0.25">
      <c r="D450" s="15"/>
      <c r="E450" s="13"/>
    </row>
    <row r="451" spans="4:5" ht="14.5" x14ac:dyDescent="0.25">
      <c r="D451" s="15"/>
      <c r="E451" s="13"/>
    </row>
    <row r="452" spans="4:5" ht="14.5" x14ac:dyDescent="0.25">
      <c r="D452" s="15"/>
      <c r="E452" s="13"/>
    </row>
    <row r="453" spans="4:5" ht="14.5" x14ac:dyDescent="0.25">
      <c r="D453" s="15"/>
      <c r="E453" s="13"/>
    </row>
    <row r="454" spans="4:5" ht="14.5" x14ac:dyDescent="0.25">
      <c r="D454" s="15"/>
      <c r="E454" s="13"/>
    </row>
    <row r="455" spans="4:5" ht="14.5" x14ac:dyDescent="0.25">
      <c r="D455" s="15"/>
      <c r="E455" s="13"/>
    </row>
    <row r="456" spans="4:5" ht="14.5" x14ac:dyDescent="0.25">
      <c r="D456" s="15"/>
      <c r="E456" s="13"/>
    </row>
    <row r="457" spans="4:5" ht="14.5" x14ac:dyDescent="0.25">
      <c r="D457" s="15"/>
      <c r="E457" s="13"/>
    </row>
    <row r="458" spans="4:5" ht="14.5" x14ac:dyDescent="0.25">
      <c r="D458" s="15"/>
      <c r="E458" s="13"/>
    </row>
    <row r="459" spans="4:5" ht="14.5" x14ac:dyDescent="0.25">
      <c r="D459" s="15"/>
      <c r="E459" s="13"/>
    </row>
    <row r="460" spans="4:5" ht="14.5" x14ac:dyDescent="0.25">
      <c r="D460" s="15"/>
      <c r="E460" s="13"/>
    </row>
    <row r="461" spans="4:5" ht="14.5" x14ac:dyDescent="0.25">
      <c r="D461" s="15"/>
      <c r="E461" s="13"/>
    </row>
    <row r="462" spans="4:5" ht="14.5" x14ac:dyDescent="0.25">
      <c r="D462" s="15"/>
      <c r="E462" s="13"/>
    </row>
    <row r="463" spans="4:5" ht="14.5" x14ac:dyDescent="0.25">
      <c r="D463" s="15"/>
      <c r="E463" s="13"/>
    </row>
    <row r="464" spans="4:5" ht="14.5" x14ac:dyDescent="0.25">
      <c r="D464" s="15"/>
      <c r="E464" s="13"/>
    </row>
    <row r="465" spans="4:5" ht="14.5" x14ac:dyDescent="0.25">
      <c r="D465" s="15"/>
      <c r="E465" s="13"/>
    </row>
    <row r="466" spans="4:5" ht="14.5" x14ac:dyDescent="0.25">
      <c r="D466" s="15"/>
      <c r="E466" s="13"/>
    </row>
    <row r="467" spans="4:5" ht="14.5" x14ac:dyDescent="0.25">
      <c r="D467" s="15"/>
      <c r="E467" s="13"/>
    </row>
    <row r="468" spans="4:5" ht="14.5" x14ac:dyDescent="0.25">
      <c r="D468" s="15"/>
      <c r="E468" s="13"/>
    </row>
    <row r="469" spans="4:5" ht="14.5" x14ac:dyDescent="0.25">
      <c r="D469" s="15"/>
      <c r="E469" s="13"/>
    </row>
    <row r="470" spans="4:5" ht="14.5" x14ac:dyDescent="0.25">
      <c r="D470" s="15"/>
      <c r="E470" s="13"/>
    </row>
    <row r="471" spans="4:5" ht="14.5" x14ac:dyDescent="0.25">
      <c r="D471" s="15"/>
      <c r="E471" s="13"/>
    </row>
    <row r="472" spans="4:5" ht="14.5" x14ac:dyDescent="0.25">
      <c r="D472" s="15"/>
      <c r="E472" s="13"/>
    </row>
    <row r="473" spans="4:5" ht="14.5" x14ac:dyDescent="0.25">
      <c r="D473" s="15"/>
      <c r="E473" s="13"/>
    </row>
    <row r="474" spans="4:5" ht="14.5" x14ac:dyDescent="0.25">
      <c r="D474" s="15"/>
      <c r="E474" s="13"/>
    </row>
    <row r="475" spans="4:5" ht="14.5" x14ac:dyDescent="0.25">
      <c r="D475" s="15"/>
      <c r="E475" s="13"/>
    </row>
    <row r="476" spans="4:5" ht="14.5" x14ac:dyDescent="0.25">
      <c r="D476" s="15"/>
      <c r="E476" s="13"/>
    </row>
    <row r="477" spans="4:5" ht="14.5" x14ac:dyDescent="0.25">
      <c r="D477" s="15"/>
      <c r="E477" s="13"/>
    </row>
    <row r="478" spans="4:5" ht="14.5" x14ac:dyDescent="0.25">
      <c r="D478" s="15"/>
      <c r="E478" s="13"/>
    </row>
    <row r="479" spans="4:5" ht="14.5" x14ac:dyDescent="0.25">
      <c r="D479" s="15"/>
      <c r="E479" s="13"/>
    </row>
    <row r="480" spans="4:5" ht="14.5" x14ac:dyDescent="0.25">
      <c r="D480" s="15"/>
      <c r="E480" s="13"/>
    </row>
    <row r="481" spans="4:5" ht="14.5" x14ac:dyDescent="0.25">
      <c r="D481" s="15"/>
      <c r="E481" s="13"/>
    </row>
    <row r="482" spans="4:5" ht="14.5" x14ac:dyDescent="0.25">
      <c r="D482" s="15"/>
      <c r="E482" s="13"/>
    </row>
    <row r="483" spans="4:5" ht="14.5" x14ac:dyDescent="0.25">
      <c r="D483" s="15"/>
      <c r="E483" s="13"/>
    </row>
    <row r="484" spans="4:5" ht="14.5" x14ac:dyDescent="0.25">
      <c r="D484" s="15"/>
      <c r="E484" s="13"/>
    </row>
    <row r="485" spans="4:5" ht="14.5" x14ac:dyDescent="0.25">
      <c r="D485" s="15"/>
      <c r="E485" s="13"/>
    </row>
    <row r="486" spans="4:5" ht="14.5" x14ac:dyDescent="0.25">
      <c r="D486" s="15"/>
      <c r="E486" s="13"/>
    </row>
    <row r="487" spans="4:5" ht="14.5" x14ac:dyDescent="0.25">
      <c r="D487" s="15"/>
      <c r="E487" s="13"/>
    </row>
    <row r="488" spans="4:5" ht="14.5" x14ac:dyDescent="0.25">
      <c r="D488" s="15"/>
      <c r="E488" s="13"/>
    </row>
    <row r="556" spans="4:5" ht="14.5" x14ac:dyDescent="0.25">
      <c r="D556" s="15"/>
      <c r="E556" s="13"/>
    </row>
    <row r="557" spans="4:5" ht="14.5" x14ac:dyDescent="0.25">
      <c r="D557" s="15"/>
      <c r="E557" s="13"/>
    </row>
    <row r="558" spans="4:5" ht="14.5" x14ac:dyDescent="0.25">
      <c r="D558" s="15"/>
      <c r="E558" s="13"/>
    </row>
    <row r="559" spans="4:5" ht="14.5" x14ac:dyDescent="0.25">
      <c r="D559" s="15"/>
      <c r="E559" s="13"/>
    </row>
    <row r="560" spans="4:5" ht="14.5" x14ac:dyDescent="0.25">
      <c r="D560" s="15"/>
      <c r="E560" s="13"/>
    </row>
    <row r="561" spans="4:5" ht="14.5" x14ac:dyDescent="0.25">
      <c r="D561" s="15"/>
      <c r="E561" s="13"/>
    </row>
    <row r="562" spans="4:5" ht="14.5" x14ac:dyDescent="0.25">
      <c r="D562" s="15"/>
      <c r="E562" s="13"/>
    </row>
    <row r="563" spans="4:5" ht="14.5" x14ac:dyDescent="0.25">
      <c r="D563" s="15"/>
      <c r="E563" s="13"/>
    </row>
    <row r="564" spans="4:5" ht="14.5" x14ac:dyDescent="0.25">
      <c r="D564" s="15"/>
      <c r="E564" s="13"/>
    </row>
    <row r="565" spans="4:5" ht="14.5" x14ac:dyDescent="0.25">
      <c r="D565" s="15"/>
      <c r="E565" s="13"/>
    </row>
    <row r="566" spans="4:5" ht="14.5" x14ac:dyDescent="0.25">
      <c r="D566" s="15"/>
      <c r="E566" s="13"/>
    </row>
    <row r="567" spans="4:5" ht="14.5" x14ac:dyDescent="0.25">
      <c r="D567" s="15"/>
      <c r="E567" s="13"/>
    </row>
    <row r="568" spans="4:5" ht="14.5" x14ac:dyDescent="0.25">
      <c r="D568" s="15"/>
      <c r="E568" s="13"/>
    </row>
    <row r="569" spans="4:5" ht="14.5" x14ac:dyDescent="0.25">
      <c r="D569" s="15"/>
      <c r="E569" s="13"/>
    </row>
    <row r="570" spans="4:5" ht="14.5" x14ac:dyDescent="0.25">
      <c r="D570" s="15"/>
      <c r="E570" s="13"/>
    </row>
    <row r="571" spans="4:5" ht="14.5" x14ac:dyDescent="0.25">
      <c r="D571" s="15"/>
      <c r="E571" s="13"/>
    </row>
    <row r="572" spans="4:5" ht="14.5" x14ac:dyDescent="0.25">
      <c r="D572" s="15"/>
      <c r="E572" s="13"/>
    </row>
    <row r="573" spans="4:5" ht="14.5" x14ac:dyDescent="0.25">
      <c r="D573" s="15"/>
      <c r="E573" s="13"/>
    </row>
    <row r="574" spans="4:5" ht="14.5" x14ac:dyDescent="0.25">
      <c r="D574" s="15"/>
      <c r="E574" s="13"/>
    </row>
    <row r="575" spans="4:5" ht="14.5" x14ac:dyDescent="0.25">
      <c r="D575" s="15"/>
      <c r="E575" s="13"/>
    </row>
    <row r="576" spans="4:5" ht="14.5" x14ac:dyDescent="0.25">
      <c r="D576" s="15"/>
      <c r="E576" s="13"/>
    </row>
    <row r="577" spans="4:5" ht="14.5" x14ac:dyDescent="0.25">
      <c r="D577" s="15"/>
      <c r="E577" s="13"/>
    </row>
    <row r="578" spans="4:5" ht="14.5" x14ac:dyDescent="0.25">
      <c r="D578" s="15"/>
      <c r="E578" s="13"/>
    </row>
    <row r="579" spans="4:5" ht="14.5" x14ac:dyDescent="0.25">
      <c r="D579" s="15"/>
      <c r="E579" s="13"/>
    </row>
    <row r="580" spans="4:5" ht="14.5" x14ac:dyDescent="0.25">
      <c r="D580" s="15"/>
      <c r="E580" s="13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P59"/>
  <sheetViews>
    <sheetView workbookViewId="0">
      <pane xSplit="1" ySplit="3" topLeftCell="CM4" activePane="bottomRight" state="frozen"/>
      <selection pane="topRight"/>
      <selection pane="bottomLeft"/>
      <selection pane="bottomRight" activeCell="CN5" sqref="CN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2" customWidth="1"/>
    <col min="14" max="14" width="11.75" style="2" customWidth="1"/>
    <col min="15" max="15" width="13.08203125" style="2" customWidth="1"/>
    <col min="16" max="16" width="11.58203125" style="2" customWidth="1"/>
    <col min="17" max="17" width="21.5" style="2" customWidth="1"/>
    <col min="18" max="18" width="19.83203125" style="2" customWidth="1"/>
    <col min="19" max="19" width="16.58203125" style="2" customWidth="1"/>
    <col min="20" max="20" width="19.08203125" style="2" customWidth="1"/>
    <col min="21" max="21" width="18.33203125" style="2" customWidth="1"/>
    <col min="22" max="22" width="17.75" style="2" customWidth="1"/>
    <col min="23" max="23" width="8.33203125" style="2" customWidth="1"/>
    <col min="24" max="24" width="18.5" style="2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6" width="8.33203125" customWidth="1"/>
    <col min="67" max="67" width="19.25" customWidth="1"/>
    <col min="68" max="68" width="22.33203125" customWidth="1"/>
    <col min="69" max="70" width="11.25" customWidth="1"/>
    <col min="71" max="71" width="6.58203125" customWidth="1"/>
    <col min="72" max="73" width="8" customWidth="1"/>
    <col min="74" max="74" width="7.33203125" style="3" customWidth="1"/>
    <col min="75" max="76" width="8.5" style="3" customWidth="1"/>
    <col min="77" max="78" width="7.83203125" style="3" customWidth="1"/>
    <col min="79" max="79" width="22.1640625" style="3" customWidth="1"/>
    <col min="80" max="80" width="35" customWidth="1"/>
    <col min="81" max="81" width="20.6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25.91406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s="2" t="s">
        <v>168</v>
      </c>
      <c r="L1" s="2" t="s">
        <v>169</v>
      </c>
      <c r="M1" s="2" t="s">
        <v>170</v>
      </c>
      <c r="N1" s="2" t="s">
        <v>171</v>
      </c>
      <c r="O1" s="2" t="s">
        <v>172</v>
      </c>
      <c r="P1" s="2" t="s">
        <v>173</v>
      </c>
      <c r="Q1" s="2" t="s">
        <v>174</v>
      </c>
      <c r="R1" s="2" t="s">
        <v>175</v>
      </c>
      <c r="S1" s="2" t="s">
        <v>176</v>
      </c>
      <c r="T1" s="2" t="s">
        <v>177</v>
      </c>
      <c r="U1" s="2" t="s">
        <v>178</v>
      </c>
      <c r="V1" s="2" t="s">
        <v>179</v>
      </c>
      <c r="W1" s="2" t="s">
        <v>180</v>
      </c>
      <c r="X1" s="2" t="s">
        <v>181</v>
      </c>
      <c r="Y1" t="s">
        <v>182</v>
      </c>
      <c r="Z1" t="s">
        <v>183</v>
      </c>
      <c r="AA1" s="2" t="s">
        <v>184</v>
      </c>
      <c r="AB1" t="s">
        <v>185</v>
      </c>
      <c r="AC1" t="s">
        <v>186</v>
      </c>
      <c r="AD1" t="s">
        <v>187</v>
      </c>
      <c r="AE1" t="s">
        <v>188</v>
      </c>
      <c r="AF1" t="s">
        <v>189</v>
      </c>
      <c r="AG1" t="s">
        <v>190</v>
      </c>
      <c r="AH1" t="s">
        <v>191</v>
      </c>
      <c r="AI1" t="s">
        <v>192</v>
      </c>
      <c r="AJ1" t="s">
        <v>193</v>
      </c>
      <c r="AK1" t="s">
        <v>194</v>
      </c>
      <c r="AL1" t="s">
        <v>195</v>
      </c>
      <c r="AM1" t="s">
        <v>196</v>
      </c>
      <c r="AN1" t="s">
        <v>197</v>
      </c>
      <c r="AO1" t="s">
        <v>198</v>
      </c>
      <c r="AP1" t="s">
        <v>199</v>
      </c>
      <c r="AQ1" t="s">
        <v>200</v>
      </c>
      <c r="AR1" t="s">
        <v>201</v>
      </c>
      <c r="AS1" t="s">
        <v>202</v>
      </c>
      <c r="AT1" t="s">
        <v>203</v>
      </c>
      <c r="AU1" t="s">
        <v>204</v>
      </c>
      <c r="AV1" t="s">
        <v>205</v>
      </c>
      <c r="AW1" t="s">
        <v>206</v>
      </c>
      <c r="AX1" t="s">
        <v>207</v>
      </c>
      <c r="AY1" t="s">
        <v>208</v>
      </c>
      <c r="AZ1" t="s">
        <v>209</v>
      </c>
      <c r="BA1" t="s">
        <v>210</v>
      </c>
      <c r="BB1" t="s">
        <v>211</v>
      </c>
      <c r="BC1" t="s">
        <v>212</v>
      </c>
      <c r="BD1" t="s">
        <v>213</v>
      </c>
      <c r="BE1" t="s">
        <v>214</v>
      </c>
      <c r="BF1" t="s">
        <v>215</v>
      </c>
      <c r="BG1" t="s">
        <v>216</v>
      </c>
      <c r="BH1" t="s">
        <v>217</v>
      </c>
      <c r="BJ1" t="s">
        <v>217</v>
      </c>
      <c r="BK1" t="s">
        <v>218</v>
      </c>
      <c r="BL1" t="s">
        <v>219</v>
      </c>
      <c r="BM1" t="s">
        <v>220</v>
      </c>
      <c r="BN1" t="s">
        <v>221</v>
      </c>
      <c r="BO1" t="s">
        <v>222</v>
      </c>
      <c r="BP1" t="s">
        <v>223</v>
      </c>
      <c r="BQ1" t="s">
        <v>224</v>
      </c>
      <c r="BR1" t="s">
        <v>225</v>
      </c>
      <c r="BS1" t="s">
        <v>226</v>
      </c>
      <c r="BT1" t="s">
        <v>227</v>
      </c>
      <c r="BU1" t="s">
        <v>228</v>
      </c>
      <c r="BV1" s="3" t="s">
        <v>229</v>
      </c>
      <c r="BW1" s="3" t="s">
        <v>230</v>
      </c>
      <c r="BX1" s="3" t="s">
        <v>231</v>
      </c>
      <c r="BY1" s="3" t="s">
        <v>232</v>
      </c>
      <c r="BZ1" s="3" t="s">
        <v>233</v>
      </c>
      <c r="CA1" s="3" t="s">
        <v>234</v>
      </c>
      <c r="CB1" t="s">
        <v>235</v>
      </c>
      <c r="CC1" s="3" t="s">
        <v>236</v>
      </c>
      <c r="CD1" t="s">
        <v>237</v>
      </c>
      <c r="CE1" t="s">
        <v>238</v>
      </c>
      <c r="CF1" t="s">
        <v>239</v>
      </c>
      <c r="CG1" t="s">
        <v>240</v>
      </c>
      <c r="CH1" t="s">
        <v>241</v>
      </c>
      <c r="CI1" t="s">
        <v>242</v>
      </c>
      <c r="CJ1" t="s">
        <v>243</v>
      </c>
      <c r="CK1" t="s">
        <v>244</v>
      </c>
      <c r="CL1" t="s">
        <v>245</v>
      </c>
      <c r="CM1" t="s">
        <v>246</v>
      </c>
      <c r="CN1" t="s">
        <v>247</v>
      </c>
      <c r="CO1" t="s">
        <v>248</v>
      </c>
      <c r="CP1" t="s">
        <v>249</v>
      </c>
      <c r="CQ1" t="s">
        <v>250</v>
      </c>
      <c r="CR1" t="s">
        <v>227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256</v>
      </c>
      <c r="DA1" t="s">
        <v>258</v>
      </c>
      <c r="DB1" t="s">
        <v>259</v>
      </c>
      <c r="DC1" t="s">
        <v>260</v>
      </c>
      <c r="DD1" t="s">
        <v>261</v>
      </c>
      <c r="DE1" t="s">
        <v>262</v>
      </c>
      <c r="DF1" t="s">
        <v>263</v>
      </c>
      <c r="DG1" t="s">
        <v>264</v>
      </c>
      <c r="DH1" t="s">
        <v>265</v>
      </c>
      <c r="DI1" t="s">
        <v>266</v>
      </c>
    </row>
    <row r="2" spans="1:113" x14ac:dyDescent="0.25">
      <c r="A2" t="s">
        <v>0</v>
      </c>
      <c r="C2" t="s">
        <v>48</v>
      </c>
      <c r="D2" t="s">
        <v>77</v>
      </c>
      <c r="E2" t="s">
        <v>267</v>
      </c>
      <c r="F2" t="s">
        <v>268</v>
      </c>
      <c r="G2" t="s">
        <v>53</v>
      </c>
      <c r="H2" t="s">
        <v>269</v>
      </c>
      <c r="I2" t="s">
        <v>270</v>
      </c>
      <c r="J2" t="s">
        <v>271</v>
      </c>
      <c r="K2" s="2" t="s">
        <v>272</v>
      </c>
      <c r="L2" s="2" t="s">
        <v>273</v>
      </c>
      <c r="M2" s="2" t="s">
        <v>274</v>
      </c>
      <c r="N2" s="2" t="s">
        <v>275</v>
      </c>
      <c r="O2" s="2" t="s">
        <v>276</v>
      </c>
      <c r="P2" s="2" t="s">
        <v>277</v>
      </c>
      <c r="Q2" s="2" t="s">
        <v>278</v>
      </c>
      <c r="R2" s="2" t="s">
        <v>279</v>
      </c>
      <c r="S2" s="2" t="s">
        <v>280</v>
      </c>
      <c r="T2" s="2" t="s">
        <v>281</v>
      </c>
      <c r="U2" s="2" t="s">
        <v>282</v>
      </c>
      <c r="V2" s="2" t="s">
        <v>283</v>
      </c>
      <c r="W2" s="2" t="s">
        <v>284</v>
      </c>
      <c r="X2" s="2" t="s">
        <v>285</v>
      </c>
      <c r="Y2" t="s">
        <v>286</v>
      </c>
      <c r="Z2" t="s">
        <v>287</v>
      </c>
      <c r="AA2" s="2" t="s">
        <v>288</v>
      </c>
      <c r="AB2" t="s">
        <v>289</v>
      </c>
      <c r="AC2" t="s">
        <v>290</v>
      </c>
      <c r="AD2" t="s">
        <v>291</v>
      </c>
      <c r="AE2" t="s">
        <v>292</v>
      </c>
      <c r="AF2" t="s">
        <v>293</v>
      </c>
      <c r="AG2" t="s">
        <v>294</v>
      </c>
      <c r="AH2" t="s">
        <v>295</v>
      </c>
      <c r="AI2" t="s">
        <v>296</v>
      </c>
      <c r="AJ2" t="s">
        <v>297</v>
      </c>
      <c r="AK2" t="s">
        <v>298</v>
      </c>
      <c r="AL2" t="s">
        <v>299</v>
      </c>
      <c r="AM2" t="s">
        <v>300</v>
      </c>
      <c r="AN2" t="s">
        <v>301</v>
      </c>
      <c r="AO2" t="s">
        <v>302</v>
      </c>
      <c r="AP2" t="s">
        <v>303</v>
      </c>
      <c r="AQ2" t="s">
        <v>304</v>
      </c>
      <c r="AR2" t="s">
        <v>305</v>
      </c>
      <c r="AS2" t="s">
        <v>306</v>
      </c>
      <c r="AT2" t="s">
        <v>307</v>
      </c>
      <c r="AU2" t="s">
        <v>308</v>
      </c>
      <c r="AV2" t="s">
        <v>309</v>
      </c>
      <c r="AW2" t="s">
        <v>310</v>
      </c>
      <c r="AX2" t="s">
        <v>311</v>
      </c>
      <c r="AY2" t="s">
        <v>312</v>
      </c>
      <c r="AZ2" t="s">
        <v>313</v>
      </c>
      <c r="BA2" t="s">
        <v>314</v>
      </c>
      <c r="BB2" t="s">
        <v>315</v>
      </c>
      <c r="BC2" t="s">
        <v>316</v>
      </c>
      <c r="BD2" t="s">
        <v>317</v>
      </c>
      <c r="BE2" t="s">
        <v>318</v>
      </c>
      <c r="BF2" t="s">
        <v>319</v>
      </c>
      <c r="BG2" t="s">
        <v>320</v>
      </c>
      <c r="BH2" t="s">
        <v>321</v>
      </c>
      <c r="BI2" t="s">
        <v>322</v>
      </c>
      <c r="BJ2" t="s">
        <v>323</v>
      </c>
      <c r="BK2" t="s">
        <v>324</v>
      </c>
      <c r="BL2" t="s">
        <v>325</v>
      </c>
      <c r="BM2" t="s">
        <v>326</v>
      </c>
      <c r="BN2" t="s">
        <v>327</v>
      </c>
      <c r="BO2" t="s">
        <v>79</v>
      </c>
      <c r="BP2" t="s">
        <v>328</v>
      </c>
      <c r="BQ2" t="s">
        <v>329</v>
      </c>
      <c r="BR2" t="s">
        <v>330</v>
      </c>
      <c r="BS2" t="s">
        <v>331</v>
      </c>
      <c r="BT2" t="s">
        <v>332</v>
      </c>
      <c r="BU2" t="s">
        <v>95</v>
      </c>
      <c r="BV2" s="3" t="s">
        <v>333</v>
      </c>
      <c r="BW2" s="3" t="s">
        <v>334</v>
      </c>
      <c r="BX2" s="3" t="s">
        <v>335</v>
      </c>
      <c r="BY2" s="3" t="s">
        <v>336</v>
      </c>
      <c r="BZ2" s="3" t="s">
        <v>337</v>
      </c>
      <c r="CA2" s="3" t="s">
        <v>338</v>
      </c>
      <c r="CB2" t="s">
        <v>339</v>
      </c>
      <c r="CC2" t="s">
        <v>340</v>
      </c>
      <c r="CD2" t="s">
        <v>341</v>
      </c>
      <c r="CE2" t="s">
        <v>342</v>
      </c>
      <c r="CF2" t="s">
        <v>343</v>
      </c>
      <c r="CG2" t="s">
        <v>344</v>
      </c>
      <c r="CH2" t="s">
        <v>345</v>
      </c>
      <c r="CI2" t="s">
        <v>346</v>
      </c>
      <c r="CJ2" t="s">
        <v>347</v>
      </c>
      <c r="CK2" t="s">
        <v>348</v>
      </c>
      <c r="CL2" t="s">
        <v>349</v>
      </c>
      <c r="CM2" t="s">
        <v>350</v>
      </c>
      <c r="CN2" t="s">
        <v>351</v>
      </c>
      <c r="CO2" t="s">
        <v>352</v>
      </c>
      <c r="CP2" t="s">
        <v>353</v>
      </c>
      <c r="CQ2" t="s">
        <v>354</v>
      </c>
      <c r="CR2" t="s">
        <v>355</v>
      </c>
      <c r="CS2" t="s">
        <v>356</v>
      </c>
      <c r="CT2" t="s">
        <v>357</v>
      </c>
      <c r="CU2" t="s">
        <v>358</v>
      </c>
      <c r="CV2" t="s">
        <v>359</v>
      </c>
      <c r="CW2" t="s">
        <v>360</v>
      </c>
      <c r="CX2" t="s">
        <v>361</v>
      </c>
      <c r="CY2" t="s">
        <v>362</v>
      </c>
      <c r="CZ2" t="s">
        <v>363</v>
      </c>
      <c r="DA2" t="s">
        <v>364</v>
      </c>
      <c r="DB2" t="s">
        <v>365</v>
      </c>
      <c r="DC2" t="s">
        <v>366</v>
      </c>
      <c r="DD2" t="s">
        <v>367</v>
      </c>
      <c r="DE2" t="s">
        <v>368</v>
      </c>
      <c r="DF2" t="s">
        <v>369</v>
      </c>
      <c r="DG2" t="s">
        <v>370</v>
      </c>
      <c r="DH2" t="s">
        <v>371</v>
      </c>
      <c r="DI2" t="s">
        <v>372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373</v>
      </c>
      <c r="K3" s="2" t="s">
        <v>374</v>
      </c>
      <c r="L3" s="2" t="s">
        <v>375</v>
      </c>
      <c r="M3" s="2" t="s">
        <v>118</v>
      </c>
      <c r="N3" s="2" t="s">
        <v>118</v>
      </c>
      <c r="O3" s="2" t="s">
        <v>120</v>
      </c>
      <c r="P3" s="2" t="s">
        <v>120</v>
      </c>
      <c r="Q3" s="2" t="s">
        <v>120</v>
      </c>
      <c r="R3" s="2" t="s">
        <v>120</v>
      </c>
      <c r="S3" s="2" t="s">
        <v>116</v>
      </c>
      <c r="T3" s="2" t="s">
        <v>117</v>
      </c>
      <c r="U3" s="2" t="s">
        <v>117</v>
      </c>
      <c r="V3" s="2" t="s">
        <v>117</v>
      </c>
      <c r="W3" s="2" t="s">
        <v>116</v>
      </c>
      <c r="X3" s="2" t="s">
        <v>116</v>
      </c>
      <c r="Y3" t="s">
        <v>116</v>
      </c>
      <c r="Z3" t="s">
        <v>116</v>
      </c>
      <c r="AA3" s="2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376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377</v>
      </c>
      <c r="AP3" t="s">
        <v>378</v>
      </c>
      <c r="AQ3" t="s">
        <v>2</v>
      </c>
      <c r="AR3" t="s">
        <v>2</v>
      </c>
      <c r="AS3" t="s">
        <v>2</v>
      </c>
      <c r="AT3" t="s">
        <v>379</v>
      </c>
      <c r="AU3" t="s">
        <v>116</v>
      </c>
      <c r="AV3" t="s">
        <v>117</v>
      </c>
      <c r="AW3" t="s">
        <v>116</v>
      </c>
      <c r="AX3" t="s">
        <v>380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379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381</v>
      </c>
      <c r="BR3" t="s">
        <v>382</v>
      </c>
      <c r="BS3" t="s">
        <v>117</v>
      </c>
      <c r="BT3" t="s">
        <v>117</v>
      </c>
      <c r="BU3" t="s">
        <v>116</v>
      </c>
      <c r="BV3" s="3" t="s">
        <v>117</v>
      </c>
      <c r="BW3" s="3" t="s">
        <v>117</v>
      </c>
      <c r="BX3" s="3" t="s">
        <v>118</v>
      </c>
      <c r="BY3" s="3" t="s">
        <v>383</v>
      </c>
      <c r="BZ3" s="3" t="s">
        <v>116</v>
      </c>
      <c r="CA3" s="3" t="s">
        <v>383</v>
      </c>
      <c r="CB3" t="s">
        <v>124</v>
      </c>
      <c r="CC3" t="s">
        <v>384</v>
      </c>
      <c r="CD3" t="s">
        <v>124</v>
      </c>
      <c r="CE3" t="s">
        <v>124</v>
      </c>
      <c r="CF3" t="s">
        <v>124</v>
      </c>
      <c r="CG3" t="s">
        <v>385</v>
      </c>
      <c r="CH3" t="s">
        <v>386</v>
      </c>
      <c r="CI3" t="s">
        <v>2</v>
      </c>
      <c r="CJ3" t="s">
        <v>387</v>
      </c>
      <c r="CK3" t="s">
        <v>387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384</v>
      </c>
      <c r="CS3" t="s">
        <v>123</v>
      </c>
      <c r="CT3" t="s">
        <v>116</v>
      </c>
      <c r="CU3" t="s">
        <v>125</v>
      </c>
      <c r="CV3" t="s">
        <v>388</v>
      </c>
      <c r="CW3" t="s">
        <v>389</v>
      </c>
      <c r="CX3" t="s">
        <v>389</v>
      </c>
      <c r="CY3" t="s">
        <v>388</v>
      </c>
      <c r="CZ3" t="s">
        <v>388</v>
      </c>
      <c r="DA3" t="s">
        <v>388</v>
      </c>
      <c r="DB3" t="s">
        <v>388</v>
      </c>
      <c r="DC3" t="s">
        <v>388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ht="13" customHeight="1" x14ac:dyDescent="0.25">
      <c r="CM4" s="8"/>
      <c r="CN4" s="8"/>
    </row>
    <row r="5" spans="1:113" x14ac:dyDescent="0.25">
      <c r="A5" t="s">
        <v>414</v>
      </c>
      <c r="C5" t="s">
        <v>390</v>
      </c>
      <c r="O5"/>
      <c r="P5" t="s">
        <v>415</v>
      </c>
      <c r="Q5" s="2" t="s">
        <v>416</v>
      </c>
      <c r="AC5">
        <v>2</v>
      </c>
      <c r="AD5">
        <v>1</v>
      </c>
      <c r="AO5" t="s">
        <v>394</v>
      </c>
      <c r="AT5" t="s">
        <v>417</v>
      </c>
      <c r="AW5" s="5"/>
      <c r="AX5" t="s">
        <v>395</v>
      </c>
      <c r="AZ5">
        <v>1</v>
      </c>
      <c r="BD5">
        <v>1</v>
      </c>
      <c r="BO5" s="7" t="s">
        <v>418</v>
      </c>
      <c r="BP5" s="7"/>
      <c r="CB5" t="s">
        <v>419</v>
      </c>
      <c r="CG5" t="s">
        <v>396</v>
      </c>
      <c r="CH5" t="s">
        <v>407</v>
      </c>
      <c r="CI5" t="s">
        <v>420</v>
      </c>
      <c r="CJ5" t="s">
        <v>421</v>
      </c>
      <c r="CM5" s="8"/>
      <c r="CN5" s="9" t="s">
        <v>422</v>
      </c>
      <c r="CO5">
        <v>-0.1</v>
      </c>
      <c r="CR5">
        <v>2</v>
      </c>
      <c r="CW5" t="s">
        <v>401</v>
      </c>
      <c r="CY5" t="s">
        <v>423</v>
      </c>
      <c r="DG5">
        <v>1</v>
      </c>
    </row>
    <row r="6" spans="1:113" x14ac:dyDescent="0.25">
      <c r="A6" t="s">
        <v>424</v>
      </c>
      <c r="C6" t="s">
        <v>390</v>
      </c>
      <c r="O6"/>
      <c r="P6" t="s">
        <v>415</v>
      </c>
      <c r="Q6" s="2" t="s">
        <v>425</v>
      </c>
      <c r="AC6">
        <v>2</v>
      </c>
      <c r="AD6">
        <v>1</v>
      </c>
      <c r="AO6" t="s">
        <v>394</v>
      </c>
      <c r="AT6" t="s">
        <v>417</v>
      </c>
      <c r="AW6" s="5"/>
      <c r="AX6" t="s">
        <v>395</v>
      </c>
      <c r="AZ6">
        <v>1</v>
      </c>
      <c r="BD6">
        <v>1</v>
      </c>
      <c r="BO6" s="7"/>
      <c r="BP6" s="7"/>
      <c r="CB6" t="s">
        <v>419</v>
      </c>
      <c r="CG6" t="s">
        <v>396</v>
      </c>
      <c r="CH6" t="s">
        <v>407</v>
      </c>
      <c r="CI6" t="s">
        <v>420</v>
      </c>
      <c r="CJ6" t="s">
        <v>421</v>
      </c>
      <c r="CM6" s="8"/>
      <c r="CN6" s="9" t="s">
        <v>422</v>
      </c>
      <c r="CO6">
        <v>-0.1</v>
      </c>
      <c r="CR6">
        <v>2</v>
      </c>
      <c r="CW6" t="s">
        <v>401</v>
      </c>
      <c r="CY6" t="s">
        <v>423</v>
      </c>
      <c r="DG6">
        <v>1</v>
      </c>
    </row>
    <row r="7" spans="1:113" x14ac:dyDescent="0.25">
      <c r="A7" t="s">
        <v>426</v>
      </c>
      <c r="C7" t="s">
        <v>390</v>
      </c>
      <c r="O7"/>
      <c r="P7" t="s">
        <v>415</v>
      </c>
      <c r="R7" s="2" t="s">
        <v>416</v>
      </c>
      <c r="AC7">
        <v>2</v>
      </c>
      <c r="AD7">
        <v>1</v>
      </c>
      <c r="AO7" t="s">
        <v>394</v>
      </c>
      <c r="AT7" t="s">
        <v>417</v>
      </c>
      <c r="AW7" s="5"/>
      <c r="AX7" t="s">
        <v>395</v>
      </c>
      <c r="AZ7">
        <v>1</v>
      </c>
      <c r="BD7">
        <v>1</v>
      </c>
      <c r="BO7" s="7"/>
      <c r="BP7" s="7"/>
      <c r="CB7" t="s">
        <v>427</v>
      </c>
      <c r="CG7" t="s">
        <v>396</v>
      </c>
      <c r="CH7" t="s">
        <v>407</v>
      </c>
      <c r="CI7" t="s">
        <v>420</v>
      </c>
      <c r="CJ7" t="s">
        <v>421</v>
      </c>
      <c r="CM7" s="8"/>
      <c r="CN7" s="9" t="s">
        <v>428</v>
      </c>
      <c r="CO7">
        <v>-0.1</v>
      </c>
      <c r="CR7">
        <v>8</v>
      </c>
      <c r="CW7" t="s">
        <v>401</v>
      </c>
      <c r="CY7" t="s">
        <v>423</v>
      </c>
      <c r="DG7">
        <v>1</v>
      </c>
    </row>
    <row r="8" spans="1:113" x14ac:dyDescent="0.25">
      <c r="A8" t="s">
        <v>429</v>
      </c>
      <c r="C8" t="s">
        <v>390</v>
      </c>
      <c r="I8">
        <v>1</v>
      </c>
      <c r="O8"/>
      <c r="P8"/>
      <c r="Q8" s="2" t="s">
        <v>430</v>
      </c>
      <c r="R8" t="s">
        <v>416</v>
      </c>
      <c r="AC8">
        <v>2</v>
      </c>
      <c r="AD8">
        <v>1</v>
      </c>
      <c r="AV8">
        <v>20</v>
      </c>
      <c r="AW8" s="5"/>
      <c r="BD8">
        <v>99</v>
      </c>
      <c r="BO8" s="7"/>
      <c r="BP8" s="7"/>
      <c r="CH8" s="2"/>
      <c r="CM8" s="8"/>
      <c r="CN8" s="9" t="s">
        <v>416</v>
      </c>
      <c r="CR8">
        <v>99999</v>
      </c>
      <c r="DG8">
        <v>1</v>
      </c>
    </row>
    <row r="9" spans="1:113" x14ac:dyDescent="0.25">
      <c r="A9" t="s">
        <v>431</v>
      </c>
      <c r="C9" t="s">
        <v>390</v>
      </c>
      <c r="I9">
        <v>1</v>
      </c>
      <c r="O9"/>
      <c r="P9"/>
      <c r="Q9" s="2" t="s">
        <v>432</v>
      </c>
      <c r="R9" s="2" t="s">
        <v>433</v>
      </c>
      <c r="AC9">
        <v>2</v>
      </c>
      <c r="AD9">
        <v>1</v>
      </c>
      <c r="AV9">
        <v>20</v>
      </c>
      <c r="AW9" s="5"/>
      <c r="BD9">
        <v>99</v>
      </c>
      <c r="BO9" s="7"/>
      <c r="BP9" s="7"/>
      <c r="CH9" s="2"/>
      <c r="CM9" s="8"/>
      <c r="CN9" s="9" t="s">
        <v>428</v>
      </c>
      <c r="CO9">
        <v>-0.1</v>
      </c>
      <c r="CR9">
        <v>8</v>
      </c>
      <c r="DG9">
        <v>1</v>
      </c>
    </row>
    <row r="10" spans="1:113" x14ac:dyDescent="0.25">
      <c r="A10" t="s">
        <v>434</v>
      </c>
      <c r="C10" t="s">
        <v>390</v>
      </c>
      <c r="I10">
        <v>1</v>
      </c>
      <c r="O10"/>
      <c r="P10" t="s">
        <v>415</v>
      </c>
      <c r="Q10" s="2" t="s">
        <v>435</v>
      </c>
      <c r="AC10">
        <v>2</v>
      </c>
      <c r="AD10">
        <v>1</v>
      </c>
      <c r="AV10">
        <v>20</v>
      </c>
      <c r="AW10" s="5"/>
      <c r="BD10">
        <v>99</v>
      </c>
      <c r="BO10" s="7"/>
      <c r="BP10" s="7"/>
      <c r="BS10">
        <v>0.1</v>
      </c>
      <c r="CH10" s="2"/>
      <c r="CM10" s="8"/>
      <c r="CN10" s="9" t="s">
        <v>436</v>
      </c>
      <c r="CO10" s="17" t="s">
        <v>437</v>
      </c>
      <c r="CR10">
        <v>0.2</v>
      </c>
      <c r="DG10">
        <v>1</v>
      </c>
    </row>
    <row r="11" spans="1:113" x14ac:dyDescent="0.25">
      <c r="A11" t="s">
        <v>438</v>
      </c>
      <c r="C11" t="s">
        <v>390</v>
      </c>
      <c r="I11">
        <v>1</v>
      </c>
      <c r="O11"/>
      <c r="P11" t="s">
        <v>415</v>
      </c>
      <c r="Q11" s="2" t="s">
        <v>430</v>
      </c>
      <c r="R11" s="2" t="s">
        <v>439</v>
      </c>
      <c r="AC11">
        <v>2</v>
      </c>
      <c r="AD11">
        <v>1</v>
      </c>
      <c r="AV11">
        <v>20</v>
      </c>
      <c r="AW11" s="5"/>
      <c r="BD11">
        <v>99</v>
      </c>
      <c r="BO11" s="7"/>
      <c r="BP11" s="7"/>
      <c r="BS11">
        <v>0.1</v>
      </c>
      <c r="CH11" s="2"/>
      <c r="CM11" s="8"/>
      <c r="CN11" s="9" t="s">
        <v>436</v>
      </c>
      <c r="CO11" s="17" t="s">
        <v>440</v>
      </c>
      <c r="CR11">
        <v>0.2</v>
      </c>
      <c r="DG11">
        <v>1</v>
      </c>
    </row>
    <row r="12" spans="1:113" x14ac:dyDescent="0.25">
      <c r="A12" t="s">
        <v>441</v>
      </c>
      <c r="C12" t="s">
        <v>390</v>
      </c>
      <c r="I12">
        <v>1</v>
      </c>
      <c r="O12"/>
      <c r="P12"/>
      <c r="Q12" s="2" t="s">
        <v>430</v>
      </c>
      <c r="R12" s="2" t="s">
        <v>439</v>
      </c>
      <c r="AC12">
        <v>2</v>
      </c>
      <c r="AD12">
        <v>1</v>
      </c>
      <c r="AV12">
        <v>20</v>
      </c>
      <c r="AW12" s="5"/>
      <c r="BD12">
        <v>99</v>
      </c>
      <c r="BO12" s="7"/>
      <c r="BP12" s="7"/>
      <c r="BS12">
        <v>0.1</v>
      </c>
      <c r="CH12" s="2"/>
      <c r="CM12" s="8"/>
      <c r="CN12" s="9" t="s">
        <v>442</v>
      </c>
      <c r="CR12">
        <v>0.2</v>
      </c>
      <c r="DG12">
        <v>1</v>
      </c>
    </row>
    <row r="13" spans="1:113" x14ac:dyDescent="0.25">
      <c r="A13" t="s">
        <v>443</v>
      </c>
      <c r="C13" t="s">
        <v>390</v>
      </c>
      <c r="H13" t="s">
        <v>444</v>
      </c>
      <c r="I13">
        <v>1</v>
      </c>
      <c r="P13" s="2" t="s">
        <v>445</v>
      </c>
      <c r="AC13">
        <v>2</v>
      </c>
      <c r="AD13">
        <v>1</v>
      </c>
      <c r="AW13" s="5">
        <v>1</v>
      </c>
      <c r="BD13">
        <v>1</v>
      </c>
      <c r="BO13" s="7" t="s">
        <v>446</v>
      </c>
      <c r="BP13" s="7"/>
      <c r="CM13" s="8"/>
      <c r="CN13" s="9" t="s">
        <v>447</v>
      </c>
      <c r="CR13">
        <v>10</v>
      </c>
      <c r="DG13">
        <v>1</v>
      </c>
    </row>
    <row r="14" spans="1:113" x14ac:dyDescent="0.25">
      <c r="A14" t="s">
        <v>448</v>
      </c>
      <c r="C14" t="s">
        <v>390</v>
      </c>
      <c r="H14" t="s">
        <v>449</v>
      </c>
      <c r="I14">
        <v>1</v>
      </c>
      <c r="O14" s="2" t="s">
        <v>445</v>
      </c>
      <c r="AC14">
        <v>2</v>
      </c>
      <c r="AD14">
        <v>1</v>
      </c>
      <c r="AW14" s="5">
        <v>1</v>
      </c>
      <c r="BD14">
        <v>1</v>
      </c>
      <c r="BO14" s="7"/>
      <c r="BP14" s="7"/>
      <c r="CM14" s="8"/>
      <c r="CN14" s="9" t="s">
        <v>447</v>
      </c>
      <c r="CR14">
        <v>10</v>
      </c>
      <c r="DG14">
        <v>1</v>
      </c>
    </row>
    <row r="15" spans="1:113" x14ac:dyDescent="0.25">
      <c r="A15" t="s">
        <v>450</v>
      </c>
      <c r="C15" t="s">
        <v>390</v>
      </c>
      <c r="I15">
        <v>1</v>
      </c>
      <c r="O15"/>
      <c r="P15"/>
      <c r="R15" s="2" t="s">
        <v>451</v>
      </c>
      <c r="AC15">
        <v>2</v>
      </c>
      <c r="AD15">
        <v>1</v>
      </c>
      <c r="AW15" s="5">
        <v>1</v>
      </c>
      <c r="BD15">
        <v>99</v>
      </c>
      <c r="BO15" s="7"/>
      <c r="BP15" s="7"/>
      <c r="BS15">
        <v>0.1</v>
      </c>
      <c r="CM15" s="8"/>
      <c r="CN15" s="9" t="s">
        <v>452</v>
      </c>
      <c r="CR15">
        <v>0.2</v>
      </c>
      <c r="DG15">
        <v>1</v>
      </c>
    </row>
    <row r="16" spans="1:113" x14ac:dyDescent="0.25">
      <c r="A16" t="s">
        <v>453</v>
      </c>
      <c r="C16" t="s">
        <v>390</v>
      </c>
      <c r="I16">
        <v>1</v>
      </c>
      <c r="Q16" s="2" t="s">
        <v>454</v>
      </c>
      <c r="R16" t="s">
        <v>455</v>
      </c>
      <c r="AC16">
        <v>2</v>
      </c>
      <c r="AD16">
        <v>1</v>
      </c>
      <c r="AW16" s="5">
        <v>1</v>
      </c>
      <c r="BD16">
        <v>99</v>
      </c>
      <c r="BO16" s="7" t="s">
        <v>454</v>
      </c>
      <c r="BP16" s="7" t="s">
        <v>456</v>
      </c>
      <c r="CM16" s="8" t="s">
        <v>454</v>
      </c>
      <c r="CN16" s="9" t="s">
        <v>457</v>
      </c>
      <c r="CR16">
        <v>10.1</v>
      </c>
      <c r="DG16">
        <v>1</v>
      </c>
    </row>
    <row r="17" spans="1:120" x14ac:dyDescent="0.25">
      <c r="A17" t="s">
        <v>454</v>
      </c>
      <c r="C17" t="s">
        <v>390</v>
      </c>
      <c r="I17">
        <v>1</v>
      </c>
      <c r="Q17" s="2" t="s">
        <v>458</v>
      </c>
      <c r="R17" t="s">
        <v>459</v>
      </c>
      <c r="AC17">
        <v>2</v>
      </c>
      <c r="AD17">
        <v>1</v>
      </c>
      <c r="AW17" s="5">
        <v>1</v>
      </c>
      <c r="BD17">
        <v>99</v>
      </c>
      <c r="BO17" s="7"/>
      <c r="BP17" s="7" t="s">
        <v>456</v>
      </c>
      <c r="CM17" s="8" t="s">
        <v>458</v>
      </c>
      <c r="CN17" s="9" t="s">
        <v>460</v>
      </c>
      <c r="CR17">
        <v>99999</v>
      </c>
      <c r="DG17">
        <v>1</v>
      </c>
    </row>
    <row r="18" spans="1:120" x14ac:dyDescent="0.25">
      <c r="A18" t="s">
        <v>461</v>
      </c>
      <c r="C18" t="s">
        <v>390</v>
      </c>
      <c r="I18">
        <v>1</v>
      </c>
      <c r="P18" s="2" t="s">
        <v>462</v>
      </c>
      <c r="Q18" s="2" t="s">
        <v>463</v>
      </c>
      <c r="R18"/>
      <c r="AC18">
        <v>2</v>
      </c>
      <c r="AD18">
        <v>1</v>
      </c>
      <c r="AW18" s="5">
        <v>1</v>
      </c>
      <c r="BD18">
        <v>1</v>
      </c>
      <c r="BO18" s="7"/>
      <c r="BP18" s="7" t="s">
        <v>464</v>
      </c>
      <c r="BS18">
        <v>1</v>
      </c>
      <c r="CM18" s="8"/>
      <c r="CN18" s="9"/>
      <c r="DG18">
        <v>1</v>
      </c>
      <c r="DH18">
        <v>1</v>
      </c>
      <c r="DI18">
        <v>1</v>
      </c>
    </row>
    <row r="19" spans="1:120" x14ac:dyDescent="0.25">
      <c r="A19" t="s">
        <v>464</v>
      </c>
      <c r="C19" t="s">
        <v>465</v>
      </c>
      <c r="I19">
        <v>1</v>
      </c>
      <c r="K19" s="2" t="s">
        <v>391</v>
      </c>
      <c r="Q19"/>
      <c r="R19"/>
      <c r="AC19">
        <v>1</v>
      </c>
      <c r="AG19" t="s">
        <v>393</v>
      </c>
      <c r="BD19">
        <v>1</v>
      </c>
      <c r="BO19" t="s">
        <v>466</v>
      </c>
      <c r="CU19" t="s">
        <v>467</v>
      </c>
      <c r="DI19">
        <v>1</v>
      </c>
    </row>
    <row r="20" spans="1:120" x14ac:dyDescent="0.25">
      <c r="A20" t="s">
        <v>466</v>
      </c>
      <c r="C20" t="s">
        <v>390</v>
      </c>
      <c r="I20">
        <v>1</v>
      </c>
      <c r="Q20" s="2" t="s">
        <v>463</v>
      </c>
      <c r="R20"/>
      <c r="AC20">
        <v>2</v>
      </c>
      <c r="AD20">
        <v>1</v>
      </c>
      <c r="AW20" s="5">
        <v>1</v>
      </c>
      <c r="BD20">
        <v>1</v>
      </c>
      <c r="BO20" s="7"/>
      <c r="BP20" s="7"/>
      <c r="BS20">
        <v>0.1</v>
      </c>
      <c r="CM20" s="8"/>
      <c r="CN20" s="9"/>
      <c r="DG20">
        <v>1</v>
      </c>
      <c r="DH20">
        <v>1</v>
      </c>
      <c r="DI20">
        <v>1</v>
      </c>
    </row>
    <row r="21" spans="1:120" ht="15" customHeight="1" x14ac:dyDescent="0.25">
      <c r="A21" t="s">
        <v>468</v>
      </c>
      <c r="C21" t="s">
        <v>390</v>
      </c>
      <c r="I21">
        <v>1</v>
      </c>
      <c r="O21"/>
      <c r="AC21">
        <v>1</v>
      </c>
      <c r="AJ21" t="s">
        <v>154</v>
      </c>
      <c r="AT21" s="4"/>
      <c r="AV21">
        <v>20</v>
      </c>
      <c r="AY21" s="2"/>
      <c r="BD21">
        <v>99</v>
      </c>
      <c r="BO21" s="6"/>
      <c r="BP21" s="6" t="s">
        <v>469</v>
      </c>
      <c r="BS21">
        <v>0.1</v>
      </c>
      <c r="CC21" s="2"/>
      <c r="CD21" s="2"/>
      <c r="CE21" s="2"/>
      <c r="CF21" s="2"/>
      <c r="CH21" s="2"/>
      <c r="CI21" s="2"/>
      <c r="CK21" s="2"/>
      <c r="CL21" s="2"/>
      <c r="CM21" s="8"/>
      <c r="CN21" s="9"/>
      <c r="DH21">
        <v>1</v>
      </c>
      <c r="DI21">
        <v>1</v>
      </c>
    </row>
    <row r="22" spans="1:120" ht="15" customHeight="1" x14ac:dyDescent="0.25">
      <c r="A22" t="s">
        <v>469</v>
      </c>
      <c r="C22" t="s">
        <v>390</v>
      </c>
      <c r="I22">
        <v>1</v>
      </c>
      <c r="K22" s="2" t="s">
        <v>391</v>
      </c>
      <c r="AC22">
        <v>1</v>
      </c>
      <c r="AG22" t="s">
        <v>393</v>
      </c>
      <c r="AT22" s="4"/>
      <c r="AY22" s="2"/>
      <c r="BD22">
        <v>1</v>
      </c>
      <c r="BO22" s="6"/>
      <c r="BP22" s="6"/>
      <c r="BV22"/>
      <c r="BW22"/>
      <c r="BX22"/>
      <c r="BY22"/>
      <c r="BZ22"/>
      <c r="CA22"/>
      <c r="CB22" s="2"/>
      <c r="CC22" s="2"/>
      <c r="CD22" s="2"/>
      <c r="CE22" s="2"/>
      <c r="CF22" s="2"/>
      <c r="CH22" s="2"/>
      <c r="CI22" s="2"/>
      <c r="CJ22" s="2"/>
      <c r="CK22" s="2"/>
      <c r="CL22" s="2"/>
      <c r="CM22" s="8"/>
      <c r="CN22" s="9" t="s">
        <v>462</v>
      </c>
      <c r="CR22">
        <v>1.1000000000000001</v>
      </c>
      <c r="DH22">
        <v>1</v>
      </c>
      <c r="DI22">
        <v>1</v>
      </c>
    </row>
    <row r="23" spans="1:120" x14ac:dyDescent="0.25">
      <c r="A23" t="s">
        <v>456</v>
      </c>
      <c r="C23" t="s">
        <v>390</v>
      </c>
      <c r="I23">
        <v>1</v>
      </c>
      <c r="K23" s="11" t="s">
        <v>391</v>
      </c>
      <c r="L23" s="11"/>
      <c r="M23"/>
      <c r="N23"/>
      <c r="O23" s="11"/>
      <c r="P23" s="11"/>
      <c r="Q23" s="11" t="s">
        <v>445</v>
      </c>
      <c r="R23" s="11"/>
      <c r="S23" s="11"/>
      <c r="T23" s="11"/>
      <c r="U23" s="11"/>
      <c r="V23" s="11"/>
      <c r="W23" s="11"/>
      <c r="X23" s="11"/>
      <c r="AC23">
        <v>1</v>
      </c>
      <c r="AG23" t="s">
        <v>393</v>
      </c>
      <c r="AH23" s="11"/>
      <c r="AI23" s="11"/>
      <c r="AT23" s="4"/>
      <c r="BD23">
        <v>1</v>
      </c>
      <c r="BO23" s="6"/>
      <c r="BP23" s="6"/>
      <c r="BS23" s="11"/>
      <c r="BT23" s="11"/>
      <c r="BV23" s="12"/>
      <c r="BW23" s="12"/>
      <c r="BX23" s="12"/>
      <c r="BY23" s="12"/>
      <c r="BZ23"/>
      <c r="CA23"/>
      <c r="CB23" t="s">
        <v>470</v>
      </c>
      <c r="CC23" s="11"/>
      <c r="CD23" s="11"/>
      <c r="CE23" s="11"/>
      <c r="CF23" s="11"/>
      <c r="CG23" t="s">
        <v>396</v>
      </c>
      <c r="CM23" s="9"/>
      <c r="CN23" s="8" t="s">
        <v>471</v>
      </c>
      <c r="CO23">
        <v>0.15</v>
      </c>
      <c r="CR23">
        <v>99999</v>
      </c>
      <c r="CX23" s="11"/>
      <c r="CZ23" s="12"/>
      <c r="DA23" s="12"/>
      <c r="DB23" s="12"/>
      <c r="DC23" s="12"/>
      <c r="DD23" s="12"/>
      <c r="DE23" s="12"/>
      <c r="DG23" s="11"/>
      <c r="DH23" s="11"/>
      <c r="DI23" s="11"/>
      <c r="DJ23" s="11"/>
      <c r="DL23" s="11"/>
      <c r="DM23" s="11"/>
      <c r="DO23" s="11"/>
      <c r="DP23" s="11"/>
    </row>
    <row r="24" spans="1:120" x14ac:dyDescent="0.25">
      <c r="A24" t="s">
        <v>472</v>
      </c>
      <c r="C24" t="s">
        <v>390</v>
      </c>
      <c r="I24">
        <v>1</v>
      </c>
      <c r="Q24" s="2" t="s">
        <v>463</v>
      </c>
      <c r="R24" s="2" t="s">
        <v>443</v>
      </c>
      <c r="AC24">
        <v>2</v>
      </c>
      <c r="AD24">
        <v>1</v>
      </c>
      <c r="AV24">
        <v>20</v>
      </c>
      <c r="AW24" s="5"/>
      <c r="BD24">
        <v>99</v>
      </c>
      <c r="BO24" s="7" t="s">
        <v>473</v>
      </c>
      <c r="BP24" s="7" t="s">
        <v>474</v>
      </c>
      <c r="CM24" s="8" t="s">
        <v>475</v>
      </c>
      <c r="CN24" s="9" t="s">
        <v>476</v>
      </c>
      <c r="CR24">
        <v>99999</v>
      </c>
      <c r="DG24">
        <v>1</v>
      </c>
      <c r="DH24">
        <v>1</v>
      </c>
    </row>
    <row r="25" spans="1:120" x14ac:dyDescent="0.25">
      <c r="A25" t="s">
        <v>474</v>
      </c>
      <c r="C25" t="s">
        <v>405</v>
      </c>
      <c r="I25">
        <v>1</v>
      </c>
      <c r="K25" s="2" t="s">
        <v>391</v>
      </c>
      <c r="AC25">
        <v>1</v>
      </c>
      <c r="AT25" s="4"/>
      <c r="AW25">
        <v>1</v>
      </c>
      <c r="AY25" s="2"/>
      <c r="BD25">
        <v>99</v>
      </c>
      <c r="BO25" s="6"/>
      <c r="BP25" s="6"/>
      <c r="BV25"/>
      <c r="BW25"/>
      <c r="BX25"/>
      <c r="BY25"/>
      <c r="BZ25"/>
      <c r="CA25"/>
      <c r="CB25" s="2"/>
      <c r="CC25" s="2"/>
      <c r="CD25" s="2"/>
      <c r="CE25" s="2"/>
      <c r="CF25" s="2"/>
      <c r="CH25" s="2"/>
      <c r="CI25" s="2"/>
      <c r="CJ25" s="2"/>
      <c r="CK25" s="2"/>
      <c r="CL25" s="2"/>
      <c r="CM25" s="8"/>
      <c r="CN25" s="9"/>
      <c r="CU25" t="s">
        <v>411</v>
      </c>
    </row>
    <row r="26" spans="1:120" x14ac:dyDescent="0.25">
      <c r="A26" t="s">
        <v>473</v>
      </c>
      <c r="C26" t="s">
        <v>390</v>
      </c>
      <c r="I26">
        <v>1</v>
      </c>
      <c r="Q26" s="2" t="s">
        <v>476</v>
      </c>
      <c r="R26" s="2" t="s">
        <v>477</v>
      </c>
      <c r="AC26">
        <v>2</v>
      </c>
      <c r="AD26">
        <v>1</v>
      </c>
      <c r="AV26">
        <v>20</v>
      </c>
      <c r="AW26" s="5"/>
      <c r="AX26" t="s">
        <v>478</v>
      </c>
      <c r="AZ26">
        <v>9999999</v>
      </c>
      <c r="BB26">
        <v>2</v>
      </c>
      <c r="BD26">
        <v>99</v>
      </c>
      <c r="BO26" s="7"/>
      <c r="BP26" s="7"/>
      <c r="CM26" s="8" t="s">
        <v>476</v>
      </c>
      <c r="CN26" s="9" t="s">
        <v>479</v>
      </c>
      <c r="CR26">
        <v>99999</v>
      </c>
      <c r="DG26">
        <v>1</v>
      </c>
      <c r="DH26">
        <v>1</v>
      </c>
    </row>
    <row r="27" spans="1:120" x14ac:dyDescent="0.25">
      <c r="A27" t="s">
        <v>480</v>
      </c>
      <c r="C27" t="s">
        <v>390</v>
      </c>
      <c r="D27" t="s">
        <v>481</v>
      </c>
      <c r="E27" t="s">
        <v>482</v>
      </c>
      <c r="F27" t="s">
        <v>483</v>
      </c>
      <c r="G27">
        <v>3</v>
      </c>
      <c r="J27" t="s">
        <v>397</v>
      </c>
      <c r="K27" s="2" t="s">
        <v>399</v>
      </c>
      <c r="O27"/>
      <c r="AC27">
        <v>1</v>
      </c>
      <c r="AG27" t="s">
        <v>393</v>
      </c>
      <c r="AT27" s="4"/>
      <c r="AY27" s="2"/>
      <c r="BD27">
        <v>1</v>
      </c>
      <c r="BO27" s="6" t="s">
        <v>484</v>
      </c>
      <c r="BP27" s="6" t="s">
        <v>485</v>
      </c>
      <c r="BT27">
        <v>0.2</v>
      </c>
      <c r="BV27" s="3">
        <v>0</v>
      </c>
      <c r="BW27" s="3">
        <v>12</v>
      </c>
      <c r="BX27" s="3">
        <v>2</v>
      </c>
      <c r="BY27" s="3" t="s">
        <v>399</v>
      </c>
      <c r="CB27" t="s">
        <v>486</v>
      </c>
      <c r="CC27" s="2"/>
      <c r="CD27" s="2"/>
      <c r="CE27" s="2"/>
      <c r="CF27" s="2"/>
      <c r="CG27" t="s">
        <v>396</v>
      </c>
      <c r="CH27" s="2"/>
      <c r="CI27" s="2"/>
      <c r="CK27" s="2"/>
      <c r="CL27" s="2"/>
      <c r="CM27" s="8"/>
      <c r="CN27" s="9" t="s">
        <v>487</v>
      </c>
      <c r="CO27">
        <v>0.08</v>
      </c>
      <c r="CR27">
        <v>99999</v>
      </c>
    </row>
    <row r="28" spans="1:120" x14ac:dyDescent="0.25">
      <c r="A28" t="s">
        <v>485</v>
      </c>
      <c r="C28" t="s">
        <v>390</v>
      </c>
      <c r="K28" s="2" t="s">
        <v>391</v>
      </c>
      <c r="O28"/>
      <c r="P28"/>
      <c r="AC28">
        <v>2</v>
      </c>
      <c r="AD28">
        <v>1</v>
      </c>
      <c r="AO28" t="s">
        <v>394</v>
      </c>
      <c r="AR28" t="s">
        <v>439</v>
      </c>
      <c r="AW28" s="5">
        <v>1</v>
      </c>
      <c r="AX28" t="s">
        <v>395</v>
      </c>
      <c r="AZ28">
        <v>1.6</v>
      </c>
      <c r="BD28">
        <v>2</v>
      </c>
      <c r="BO28" s="7"/>
      <c r="BP28" s="7"/>
      <c r="CG28" t="s">
        <v>396</v>
      </c>
      <c r="CH28" t="s">
        <v>407</v>
      </c>
      <c r="CI28" t="s">
        <v>420</v>
      </c>
      <c r="CJ28" t="s">
        <v>421</v>
      </c>
      <c r="CM28" s="8"/>
      <c r="CN28" s="9" t="s">
        <v>488</v>
      </c>
      <c r="CR28">
        <v>5</v>
      </c>
      <c r="CW28" t="s">
        <v>401</v>
      </c>
      <c r="CY28" t="s">
        <v>423</v>
      </c>
      <c r="DG28">
        <v>1</v>
      </c>
    </row>
    <row r="29" spans="1:120" x14ac:dyDescent="0.25">
      <c r="A29" t="s">
        <v>484</v>
      </c>
      <c r="C29" t="s">
        <v>390</v>
      </c>
      <c r="I29">
        <v>1</v>
      </c>
      <c r="O29"/>
      <c r="P29"/>
      <c r="Q29" s="2" t="s">
        <v>489</v>
      </c>
      <c r="R29" t="s">
        <v>416</v>
      </c>
      <c r="AC29">
        <v>2</v>
      </c>
      <c r="AD29">
        <v>1</v>
      </c>
      <c r="AV29">
        <v>20</v>
      </c>
      <c r="AW29" s="5"/>
      <c r="BD29">
        <v>99</v>
      </c>
      <c r="BO29" s="7"/>
      <c r="BP29" s="7"/>
      <c r="CH29" s="2"/>
      <c r="CM29" s="8"/>
      <c r="CN29" s="9" t="s">
        <v>428</v>
      </c>
      <c r="CO29">
        <v>-0.1</v>
      </c>
      <c r="CR29">
        <v>10</v>
      </c>
      <c r="DG29">
        <v>1</v>
      </c>
    </row>
    <row r="30" spans="1:120" x14ac:dyDescent="0.25">
      <c r="A30" t="s">
        <v>490</v>
      </c>
      <c r="C30" t="s">
        <v>390</v>
      </c>
      <c r="D30" t="s">
        <v>491</v>
      </c>
      <c r="E30" t="s">
        <v>492</v>
      </c>
      <c r="F30" t="s">
        <v>493</v>
      </c>
      <c r="G30">
        <v>3</v>
      </c>
      <c r="J30" t="s">
        <v>397</v>
      </c>
      <c r="K30" s="2" t="s">
        <v>398</v>
      </c>
      <c r="O30"/>
      <c r="AB30">
        <v>1</v>
      </c>
      <c r="AC30">
        <v>1</v>
      </c>
      <c r="AG30" t="s">
        <v>393</v>
      </c>
      <c r="AT30" s="4"/>
      <c r="AY30" s="2"/>
      <c r="BD30">
        <v>1</v>
      </c>
      <c r="BO30" s="6" t="s">
        <v>494</v>
      </c>
      <c r="BP30" s="6"/>
      <c r="BT30">
        <v>15</v>
      </c>
      <c r="BV30" s="3">
        <v>20</v>
      </c>
      <c r="BW30" s="3">
        <v>30</v>
      </c>
      <c r="BX30" s="3">
        <v>1</v>
      </c>
      <c r="BY30" s="3" t="s">
        <v>399</v>
      </c>
      <c r="CB30" t="s">
        <v>495</v>
      </c>
      <c r="CC30" s="2"/>
      <c r="CD30" s="2"/>
      <c r="CE30" s="2"/>
      <c r="CF30" s="2"/>
      <c r="CG30" t="s">
        <v>396</v>
      </c>
      <c r="CH30" s="2"/>
      <c r="CI30" s="2"/>
      <c r="CK30" s="2"/>
      <c r="CL30" s="2"/>
      <c r="CM30" s="8" t="s">
        <v>496</v>
      </c>
      <c r="CN30" s="9" t="s">
        <v>415</v>
      </c>
      <c r="CR30">
        <v>15</v>
      </c>
    </row>
    <row r="31" spans="1:120" x14ac:dyDescent="0.25">
      <c r="A31" t="s">
        <v>497</v>
      </c>
      <c r="C31" t="s">
        <v>390</v>
      </c>
      <c r="O31" t="s">
        <v>415</v>
      </c>
      <c r="P31"/>
      <c r="AC31">
        <v>2</v>
      </c>
      <c r="AD31">
        <v>1</v>
      </c>
      <c r="AO31" t="s">
        <v>498</v>
      </c>
      <c r="AT31" t="s">
        <v>417</v>
      </c>
      <c r="AW31" s="5"/>
      <c r="AX31" t="s">
        <v>395</v>
      </c>
      <c r="AZ31">
        <v>1.2</v>
      </c>
      <c r="BD31">
        <v>1</v>
      </c>
      <c r="BJ31">
        <v>1.1000000000000001</v>
      </c>
      <c r="BK31">
        <v>1</v>
      </c>
      <c r="BL31">
        <v>1</v>
      </c>
      <c r="BO31" s="7"/>
      <c r="BP31" s="7"/>
      <c r="BS31">
        <v>1</v>
      </c>
      <c r="CH31" t="s">
        <v>407</v>
      </c>
      <c r="CI31" t="s">
        <v>420</v>
      </c>
      <c r="CJ31" t="s">
        <v>421</v>
      </c>
      <c r="CM31" s="8"/>
      <c r="CN31" s="9" t="s">
        <v>499</v>
      </c>
      <c r="CO31">
        <v>-0.1</v>
      </c>
      <c r="CP31">
        <v>0.6</v>
      </c>
      <c r="CR31">
        <v>2</v>
      </c>
      <c r="CY31" t="s">
        <v>500</v>
      </c>
      <c r="DG31">
        <v>1</v>
      </c>
    </row>
    <row r="32" spans="1:120" x14ac:dyDescent="0.25">
      <c r="A32" t="s">
        <v>501</v>
      </c>
      <c r="C32" t="s">
        <v>390</v>
      </c>
      <c r="I32">
        <v>1</v>
      </c>
      <c r="O32"/>
      <c r="P32"/>
      <c r="Q32" s="2" t="s">
        <v>502</v>
      </c>
      <c r="R32" s="2" t="s">
        <v>503</v>
      </c>
      <c r="AC32">
        <v>2</v>
      </c>
      <c r="AD32">
        <v>1</v>
      </c>
      <c r="AV32">
        <v>20</v>
      </c>
      <c r="AW32" s="5"/>
      <c r="BD32">
        <v>99</v>
      </c>
      <c r="BO32" s="7"/>
      <c r="BP32" s="7"/>
      <c r="CH32" s="2"/>
      <c r="CM32" s="8" t="s">
        <v>502</v>
      </c>
      <c r="CN32" s="9" t="s">
        <v>439</v>
      </c>
      <c r="CR32">
        <v>2</v>
      </c>
      <c r="DG32">
        <v>1</v>
      </c>
    </row>
    <row r="33" spans="1:120" x14ac:dyDescent="0.25">
      <c r="A33" t="s">
        <v>504</v>
      </c>
      <c r="C33" t="s">
        <v>390</v>
      </c>
      <c r="I33">
        <v>1</v>
      </c>
      <c r="K33" s="11" t="s">
        <v>391</v>
      </c>
      <c r="L33" s="11" t="s">
        <v>412</v>
      </c>
      <c r="M33"/>
      <c r="N33"/>
      <c r="O33" s="11"/>
      <c r="P33" s="11"/>
      <c r="Q33" s="11"/>
      <c r="R33" s="11"/>
      <c r="S33" s="11"/>
      <c r="T33" s="11"/>
      <c r="U33" s="11"/>
      <c r="V33" s="11"/>
      <c r="W33" s="11"/>
      <c r="X33" s="11"/>
      <c r="AC33">
        <v>1</v>
      </c>
      <c r="AG33" t="s">
        <v>393</v>
      </c>
      <c r="AH33" s="11"/>
      <c r="AI33" s="11"/>
      <c r="AT33" s="4"/>
      <c r="BD33">
        <v>1</v>
      </c>
      <c r="BO33" s="6"/>
      <c r="BP33" s="6" t="s">
        <v>505</v>
      </c>
      <c r="BS33" s="11"/>
      <c r="BT33" s="11"/>
      <c r="BV33" s="12"/>
      <c r="BW33" s="12"/>
      <c r="BX33" s="12"/>
      <c r="BY33" s="12"/>
      <c r="BZ33"/>
      <c r="CA33"/>
      <c r="CB33" t="s">
        <v>470</v>
      </c>
      <c r="CC33" s="11"/>
      <c r="CD33" s="11"/>
      <c r="CE33" s="11"/>
      <c r="CF33" s="11"/>
      <c r="CG33" t="s">
        <v>396</v>
      </c>
      <c r="CM33" s="9" t="s">
        <v>415</v>
      </c>
      <c r="CN33" s="8" t="s">
        <v>496</v>
      </c>
      <c r="CR33">
        <v>1</v>
      </c>
      <c r="CX33" s="11"/>
      <c r="CZ33" s="12"/>
      <c r="DA33" s="12"/>
      <c r="DB33" s="12"/>
      <c r="DC33" s="12"/>
      <c r="DD33" s="12"/>
      <c r="DE33" s="12"/>
      <c r="DG33" s="11"/>
      <c r="DH33" s="11"/>
      <c r="DI33" s="11"/>
      <c r="DJ33" s="11"/>
      <c r="DL33" s="11"/>
      <c r="DM33" s="11"/>
      <c r="DO33" s="11"/>
      <c r="DP33" s="11"/>
    </row>
    <row r="34" spans="1:120" x14ac:dyDescent="0.25">
      <c r="A34" t="s">
        <v>506</v>
      </c>
      <c r="C34" t="s">
        <v>390</v>
      </c>
      <c r="K34" s="11" t="s">
        <v>391</v>
      </c>
      <c r="O34"/>
      <c r="P34"/>
      <c r="AC34">
        <v>2</v>
      </c>
      <c r="AD34">
        <v>1</v>
      </c>
      <c r="AO34" t="s">
        <v>498</v>
      </c>
      <c r="AT34" t="s">
        <v>417</v>
      </c>
      <c r="AW34" s="5"/>
      <c r="AX34" t="s">
        <v>395</v>
      </c>
      <c r="AZ34">
        <v>3</v>
      </c>
      <c r="BD34">
        <v>1</v>
      </c>
      <c r="BJ34">
        <v>2</v>
      </c>
      <c r="BK34">
        <v>1</v>
      </c>
      <c r="BL34">
        <v>1</v>
      </c>
      <c r="BO34" s="7"/>
      <c r="BP34" s="7"/>
      <c r="CG34" t="s">
        <v>396</v>
      </c>
      <c r="CJ34" t="s">
        <v>421</v>
      </c>
      <c r="CM34" s="8"/>
      <c r="CN34" s="9" t="s">
        <v>507</v>
      </c>
      <c r="CO34">
        <v>0.8</v>
      </c>
      <c r="CP34">
        <v>-0.8</v>
      </c>
      <c r="CR34">
        <v>8</v>
      </c>
      <c r="CY34" t="s">
        <v>508</v>
      </c>
      <c r="DG34">
        <v>1</v>
      </c>
    </row>
    <row r="35" spans="1:120" x14ac:dyDescent="0.25">
      <c r="A35" t="s">
        <v>509</v>
      </c>
      <c r="C35" t="s">
        <v>390</v>
      </c>
      <c r="K35" s="11" t="s">
        <v>391</v>
      </c>
      <c r="O35"/>
      <c r="P35"/>
      <c r="AC35">
        <v>2</v>
      </c>
      <c r="AD35">
        <v>1</v>
      </c>
      <c r="AV35">
        <v>20</v>
      </c>
      <c r="AW35" s="5"/>
      <c r="BD35">
        <v>99</v>
      </c>
      <c r="BO35" s="7"/>
      <c r="BP35" s="7"/>
      <c r="CM35" s="8" t="s">
        <v>503</v>
      </c>
      <c r="CN35" s="9"/>
      <c r="DG35">
        <v>1</v>
      </c>
    </row>
    <row r="36" spans="1:120" x14ac:dyDescent="0.25">
      <c r="A36" t="s">
        <v>510</v>
      </c>
      <c r="C36" t="s">
        <v>390</v>
      </c>
      <c r="I36">
        <v>1</v>
      </c>
      <c r="O36" t="s">
        <v>415</v>
      </c>
      <c r="P36"/>
      <c r="Q36" s="2" t="s">
        <v>435</v>
      </c>
      <c r="AC36">
        <v>2</v>
      </c>
      <c r="AD36">
        <v>1</v>
      </c>
      <c r="AV36">
        <v>20</v>
      </c>
      <c r="AW36" s="5"/>
      <c r="BD36">
        <v>99</v>
      </c>
      <c r="BO36" s="7"/>
      <c r="BP36" s="7"/>
      <c r="BS36">
        <v>0.1</v>
      </c>
      <c r="CH36" s="2"/>
      <c r="CM36" s="8"/>
      <c r="CN36" s="9" t="s">
        <v>436</v>
      </c>
      <c r="CO36" s="17" t="s">
        <v>511</v>
      </c>
      <c r="CR36">
        <v>0.2</v>
      </c>
      <c r="DG36">
        <v>1</v>
      </c>
    </row>
    <row r="37" spans="1:120" x14ac:dyDescent="0.25">
      <c r="A37" t="s">
        <v>512</v>
      </c>
      <c r="C37" t="s">
        <v>390</v>
      </c>
      <c r="I37">
        <v>1</v>
      </c>
      <c r="O37" t="s">
        <v>415</v>
      </c>
      <c r="P37"/>
      <c r="Q37" s="2" t="s">
        <v>430</v>
      </c>
      <c r="R37" s="2" t="s">
        <v>439</v>
      </c>
      <c r="AC37">
        <v>2</v>
      </c>
      <c r="AD37">
        <v>1</v>
      </c>
      <c r="AV37">
        <v>20</v>
      </c>
      <c r="AW37" s="5"/>
      <c r="BD37">
        <v>99</v>
      </c>
      <c r="BO37" s="7"/>
      <c r="BP37" s="7"/>
      <c r="BS37">
        <v>0.1</v>
      </c>
      <c r="CH37" s="2"/>
      <c r="CM37" s="8"/>
      <c r="CN37" s="9" t="s">
        <v>436</v>
      </c>
      <c r="CO37" s="17" t="s">
        <v>513</v>
      </c>
      <c r="CR37">
        <v>0.2</v>
      </c>
      <c r="DG37">
        <v>1</v>
      </c>
    </row>
    <row r="38" spans="1:120" x14ac:dyDescent="0.25">
      <c r="A38" t="s">
        <v>514</v>
      </c>
      <c r="C38" t="s">
        <v>515</v>
      </c>
      <c r="I38">
        <v>1</v>
      </c>
      <c r="K38" s="2" t="s">
        <v>391</v>
      </c>
      <c r="L38" s="2" t="s">
        <v>516</v>
      </c>
      <c r="AC38">
        <v>1</v>
      </c>
      <c r="AF38">
        <v>1</v>
      </c>
      <c r="AG38" t="s">
        <v>393</v>
      </c>
      <c r="AW38" s="5"/>
      <c r="BD38">
        <v>1</v>
      </c>
      <c r="BO38" s="7"/>
      <c r="BP38" s="7"/>
      <c r="CM38" s="8"/>
      <c r="CN38" s="9"/>
      <c r="CU38" t="s">
        <v>517</v>
      </c>
    </row>
    <row r="39" spans="1:120" x14ac:dyDescent="0.25">
      <c r="A39" t="s">
        <v>518</v>
      </c>
      <c r="C39" t="s">
        <v>390</v>
      </c>
      <c r="I39">
        <v>1</v>
      </c>
      <c r="O39"/>
      <c r="AC39">
        <v>1</v>
      </c>
      <c r="AJ39" t="s">
        <v>146</v>
      </c>
      <c r="AT39" s="4"/>
      <c r="AW39">
        <v>1</v>
      </c>
      <c r="AY39" s="2"/>
      <c r="BD39">
        <v>99</v>
      </c>
      <c r="BO39" s="6"/>
      <c r="BP39" s="6"/>
      <c r="BS39">
        <v>0.1</v>
      </c>
      <c r="CC39" s="2"/>
      <c r="CD39" s="2"/>
      <c r="CE39" s="2"/>
      <c r="CF39" s="2"/>
      <c r="CH39" s="2"/>
      <c r="CI39" s="2"/>
      <c r="CK39" s="2"/>
      <c r="CL39" s="2"/>
      <c r="CM39" s="8"/>
      <c r="CN39" s="9" t="s">
        <v>519</v>
      </c>
      <c r="CR39">
        <v>0.2</v>
      </c>
      <c r="DI39">
        <v>1</v>
      </c>
    </row>
    <row r="40" spans="1:120" x14ac:dyDescent="0.25">
      <c r="A40" t="s">
        <v>520</v>
      </c>
      <c r="C40" t="s">
        <v>390</v>
      </c>
      <c r="I40">
        <v>1</v>
      </c>
      <c r="O40" t="s">
        <v>415</v>
      </c>
      <c r="AC40">
        <v>1</v>
      </c>
      <c r="AJ40" t="s">
        <v>146</v>
      </c>
      <c r="AT40" s="4"/>
      <c r="AV40">
        <v>20</v>
      </c>
      <c r="AY40" s="2"/>
      <c r="BD40">
        <v>99</v>
      </c>
      <c r="BO40" s="6"/>
      <c r="BP40" s="6"/>
      <c r="BS40">
        <v>0.1</v>
      </c>
      <c r="CC40" s="2"/>
      <c r="CD40" s="2"/>
      <c r="CE40" s="2"/>
      <c r="CF40" s="2"/>
      <c r="CH40" s="2"/>
      <c r="CI40" s="2"/>
      <c r="CK40" s="2"/>
      <c r="CL40" s="2"/>
      <c r="CM40" s="8"/>
      <c r="CN40" s="9" t="s">
        <v>521</v>
      </c>
      <c r="CO40">
        <v>80</v>
      </c>
      <c r="CR40">
        <v>0.2</v>
      </c>
      <c r="DI40">
        <v>1</v>
      </c>
    </row>
    <row r="41" spans="1:120" ht="15" customHeight="1" x14ac:dyDescent="0.25">
      <c r="A41" t="s">
        <v>522</v>
      </c>
      <c r="C41" t="s">
        <v>390</v>
      </c>
      <c r="D41" t="s">
        <v>523</v>
      </c>
      <c r="E41" t="s">
        <v>524</v>
      </c>
      <c r="F41" t="s">
        <v>525</v>
      </c>
      <c r="G41">
        <v>3</v>
      </c>
      <c r="J41" t="s">
        <v>413</v>
      </c>
      <c r="K41" s="2" t="s">
        <v>398</v>
      </c>
      <c r="AB41">
        <v>1</v>
      </c>
      <c r="AC41">
        <v>2</v>
      </c>
      <c r="AD41">
        <v>1</v>
      </c>
      <c r="AO41" t="s">
        <v>526</v>
      </c>
      <c r="AT41" t="s">
        <v>408</v>
      </c>
      <c r="AW41" s="5"/>
      <c r="AX41" t="s">
        <v>395</v>
      </c>
      <c r="AZ41">
        <v>1</v>
      </c>
      <c r="BD41">
        <v>4</v>
      </c>
      <c r="BO41" s="7" t="s">
        <v>527</v>
      </c>
      <c r="BP41" s="7"/>
      <c r="BT41">
        <v>35</v>
      </c>
      <c r="BV41" s="3">
        <v>45</v>
      </c>
      <c r="BW41" s="3">
        <v>60</v>
      </c>
      <c r="BX41" s="3">
        <v>1</v>
      </c>
      <c r="BY41" s="3" t="s">
        <v>399</v>
      </c>
      <c r="CB41" t="s">
        <v>144</v>
      </c>
      <c r="CE41" t="s">
        <v>528</v>
      </c>
      <c r="CG41" t="s">
        <v>396</v>
      </c>
      <c r="CH41" t="s">
        <v>407</v>
      </c>
      <c r="CI41" t="s">
        <v>420</v>
      </c>
      <c r="CJ41" t="s">
        <v>421</v>
      </c>
      <c r="CN41" s="10" t="s">
        <v>432</v>
      </c>
      <c r="CR41">
        <v>1</v>
      </c>
      <c r="CY41" t="s">
        <v>423</v>
      </c>
      <c r="DG41">
        <v>1</v>
      </c>
      <c r="DI41">
        <v>1</v>
      </c>
    </row>
    <row r="42" spans="1:120" x14ac:dyDescent="0.25">
      <c r="A42" t="s">
        <v>529</v>
      </c>
      <c r="C42" t="s">
        <v>390</v>
      </c>
      <c r="K42" s="2" t="s">
        <v>391</v>
      </c>
      <c r="L42" s="2" t="s">
        <v>530</v>
      </c>
      <c r="AC42">
        <v>1</v>
      </c>
      <c r="AW42" s="5"/>
      <c r="AY42" s="2"/>
      <c r="BD42">
        <v>1</v>
      </c>
      <c r="BO42" s="7"/>
      <c r="BP42" s="7" t="s">
        <v>531</v>
      </c>
      <c r="CB42" s="2"/>
      <c r="CC42" s="2"/>
      <c r="CD42" s="2"/>
      <c r="CE42" s="2"/>
      <c r="CF42" s="2"/>
      <c r="CH42" s="2"/>
      <c r="CI42" s="2"/>
      <c r="CJ42" s="2"/>
      <c r="CK42" s="2"/>
      <c r="CL42" s="2"/>
      <c r="CM42" s="2"/>
      <c r="CN42" s="10" t="s">
        <v>532</v>
      </c>
      <c r="CO42">
        <v>-0.8</v>
      </c>
      <c r="CR42">
        <v>35</v>
      </c>
      <c r="DD42">
        <v>1</v>
      </c>
    </row>
    <row r="43" spans="1:120" x14ac:dyDescent="0.25">
      <c r="A43" t="s">
        <v>531</v>
      </c>
      <c r="C43" t="s">
        <v>390</v>
      </c>
      <c r="K43" s="11" t="s">
        <v>391</v>
      </c>
      <c r="O43"/>
      <c r="P43"/>
      <c r="AC43">
        <v>2</v>
      </c>
      <c r="AD43">
        <v>1</v>
      </c>
      <c r="AT43" t="s">
        <v>417</v>
      </c>
      <c r="AW43" s="5"/>
      <c r="BD43">
        <v>99</v>
      </c>
      <c r="BO43" s="7"/>
      <c r="BP43" s="7"/>
      <c r="CM43" s="8"/>
      <c r="CN43" s="9" t="s">
        <v>435</v>
      </c>
      <c r="CR43">
        <v>15</v>
      </c>
      <c r="DG43">
        <v>1</v>
      </c>
    </row>
    <row r="44" spans="1:120" x14ac:dyDescent="0.25">
      <c r="A44" t="s">
        <v>533</v>
      </c>
      <c r="C44" t="s">
        <v>390</v>
      </c>
      <c r="O44" t="s">
        <v>445</v>
      </c>
      <c r="P44"/>
      <c r="AC44">
        <v>2</v>
      </c>
      <c r="AD44">
        <v>1</v>
      </c>
      <c r="AW44" s="5">
        <v>1</v>
      </c>
      <c r="BD44">
        <v>99</v>
      </c>
      <c r="BO44" s="7"/>
      <c r="BP44" s="7"/>
      <c r="BS44">
        <v>0.1</v>
      </c>
      <c r="CM44" s="8"/>
      <c r="CN44" s="9" t="s">
        <v>533</v>
      </c>
      <c r="CO44" s="17" t="s">
        <v>534</v>
      </c>
      <c r="CR44">
        <v>0.2</v>
      </c>
      <c r="DG44">
        <v>1</v>
      </c>
    </row>
    <row r="45" spans="1:120" x14ac:dyDescent="0.25">
      <c r="A45" t="s">
        <v>535</v>
      </c>
      <c r="C45" t="s">
        <v>390</v>
      </c>
      <c r="I45">
        <v>1</v>
      </c>
      <c r="K45" s="11" t="s">
        <v>391</v>
      </c>
      <c r="L45" s="11" t="s">
        <v>412</v>
      </c>
      <c r="M45"/>
      <c r="N45"/>
      <c r="O45" s="11"/>
      <c r="P45" s="11"/>
      <c r="Q45" s="11"/>
      <c r="R45" s="11"/>
      <c r="S45" s="11"/>
      <c r="T45" s="11"/>
      <c r="U45" s="11"/>
      <c r="V45" s="11"/>
      <c r="W45" s="11"/>
      <c r="X45" s="11"/>
      <c r="AC45">
        <v>1</v>
      </c>
      <c r="AG45" t="s">
        <v>393</v>
      </c>
      <c r="AH45" s="11"/>
      <c r="AI45" s="11"/>
      <c r="AT45" s="4"/>
      <c r="BD45">
        <v>1</v>
      </c>
      <c r="BO45" s="6"/>
      <c r="BP45" s="6"/>
      <c r="BS45" s="11"/>
      <c r="BT45" s="11"/>
      <c r="BV45" s="12"/>
      <c r="BW45" s="12"/>
      <c r="BX45" s="12"/>
      <c r="BY45" s="12"/>
      <c r="BZ45"/>
      <c r="CA45"/>
      <c r="CB45" t="s">
        <v>470</v>
      </c>
      <c r="CC45" s="11"/>
      <c r="CD45" s="11"/>
      <c r="CE45" s="11"/>
      <c r="CF45" s="11"/>
      <c r="CG45" t="s">
        <v>396</v>
      </c>
      <c r="CM45" s="9" t="s">
        <v>536</v>
      </c>
      <c r="CN45" s="8" t="s">
        <v>496</v>
      </c>
      <c r="CR45">
        <v>1</v>
      </c>
      <c r="CX45" s="11"/>
      <c r="CZ45" s="12"/>
      <c r="DA45" s="12"/>
      <c r="DB45" s="12"/>
      <c r="DC45" s="12"/>
      <c r="DD45" s="12"/>
      <c r="DE45" s="12"/>
      <c r="DG45" s="11"/>
      <c r="DH45" s="11"/>
      <c r="DI45" s="11"/>
      <c r="DJ45" s="11"/>
      <c r="DL45" s="11"/>
      <c r="DM45" s="11"/>
      <c r="DO45" s="11"/>
      <c r="DP45" s="11"/>
    </row>
    <row r="46" spans="1:120" x14ac:dyDescent="0.25">
      <c r="A46" t="s">
        <v>537</v>
      </c>
      <c r="C46" t="s">
        <v>390</v>
      </c>
      <c r="I46">
        <v>1</v>
      </c>
      <c r="O46" t="s">
        <v>445</v>
      </c>
      <c r="AC46">
        <v>1</v>
      </c>
      <c r="AJ46" t="s">
        <v>154</v>
      </c>
      <c r="AT46" s="4"/>
      <c r="AV46">
        <v>20</v>
      </c>
      <c r="AY46" s="2"/>
      <c r="BD46">
        <v>99</v>
      </c>
      <c r="BO46" s="6"/>
      <c r="BP46" s="6"/>
      <c r="BS46">
        <v>0.1</v>
      </c>
      <c r="CC46" s="2"/>
      <c r="CD46" s="2"/>
      <c r="CE46" s="2"/>
      <c r="CF46" s="2"/>
      <c r="CH46" s="2"/>
      <c r="CI46" s="2"/>
      <c r="CK46" s="2"/>
      <c r="CL46" s="2"/>
      <c r="CM46" s="8"/>
      <c r="CN46" s="9" t="s">
        <v>538</v>
      </c>
      <c r="CR46">
        <v>0.2</v>
      </c>
      <c r="DH46">
        <v>1</v>
      </c>
      <c r="DI46">
        <v>1</v>
      </c>
    </row>
    <row r="47" spans="1:120" ht="15" customHeight="1" x14ac:dyDescent="0.25">
      <c r="A47" t="s">
        <v>539</v>
      </c>
      <c r="C47" t="s">
        <v>390</v>
      </c>
      <c r="I47">
        <v>1</v>
      </c>
      <c r="K47" s="2" t="s">
        <v>391</v>
      </c>
      <c r="L47" s="2" t="s">
        <v>410</v>
      </c>
      <c r="N47" s="2">
        <v>1</v>
      </c>
      <c r="AC47">
        <v>1</v>
      </c>
      <c r="AG47" t="s">
        <v>393</v>
      </c>
      <c r="AT47" s="4"/>
      <c r="AY47" s="2"/>
      <c r="BD47">
        <v>1</v>
      </c>
      <c r="BO47" s="6"/>
      <c r="BP47" s="6"/>
      <c r="BV47"/>
      <c r="BW47"/>
      <c r="BX47"/>
      <c r="BY47"/>
      <c r="BZ47"/>
      <c r="CA47"/>
      <c r="CB47" s="2" t="s">
        <v>540</v>
      </c>
      <c r="CC47" s="2"/>
      <c r="CD47" s="2"/>
      <c r="CE47" s="2"/>
      <c r="CF47" s="2"/>
      <c r="CG47" t="s">
        <v>396</v>
      </c>
      <c r="CH47" s="2"/>
      <c r="CI47" s="2"/>
      <c r="CJ47" s="2"/>
      <c r="CK47" s="2"/>
      <c r="CL47" s="2"/>
      <c r="CM47" s="8"/>
      <c r="CN47" s="9"/>
    </row>
    <row r="48" spans="1:120" ht="15" customHeight="1" x14ac:dyDescent="0.25">
      <c r="CM48" s="8"/>
      <c r="CN48" s="8"/>
    </row>
    <row r="49" spans="1:112" x14ac:dyDescent="0.25">
      <c r="A49" t="s">
        <v>150</v>
      </c>
      <c r="C49" t="s">
        <v>390</v>
      </c>
      <c r="D49" t="s">
        <v>146</v>
      </c>
      <c r="E49" t="s">
        <v>541</v>
      </c>
      <c r="I49">
        <v>1</v>
      </c>
      <c r="K49" s="2" t="s">
        <v>391</v>
      </c>
      <c r="L49" s="2" t="s">
        <v>392</v>
      </c>
      <c r="O49"/>
      <c r="AC49">
        <v>1</v>
      </c>
      <c r="AG49" t="s">
        <v>393</v>
      </c>
      <c r="AT49" s="4"/>
      <c r="AY49" s="2"/>
      <c r="BD49">
        <v>1</v>
      </c>
      <c r="BO49" s="6"/>
      <c r="BP49" s="6"/>
      <c r="CC49" s="2"/>
      <c r="CD49" s="2"/>
      <c r="CE49" s="2"/>
      <c r="CF49" s="2"/>
      <c r="CH49" s="2"/>
      <c r="CI49" s="2"/>
      <c r="CK49" s="2"/>
      <c r="CL49" s="2"/>
      <c r="CM49" s="8"/>
      <c r="CN49" s="9"/>
    </row>
    <row r="50" spans="1:112" x14ac:dyDescent="0.25">
      <c r="A50" t="s">
        <v>542</v>
      </c>
      <c r="C50" t="s">
        <v>390</v>
      </c>
      <c r="P50"/>
      <c r="AC50">
        <v>2</v>
      </c>
      <c r="AD50">
        <v>1</v>
      </c>
      <c r="AO50" t="s">
        <v>394</v>
      </c>
      <c r="AR50" t="s">
        <v>439</v>
      </c>
      <c r="AT50" s="4" t="s">
        <v>402</v>
      </c>
      <c r="AX50" t="s">
        <v>395</v>
      </c>
      <c r="AZ50">
        <v>1</v>
      </c>
      <c r="BD50">
        <v>1</v>
      </c>
      <c r="BO50" s="6" t="s">
        <v>543</v>
      </c>
      <c r="BP50" s="6"/>
      <c r="CB50" t="s">
        <v>57</v>
      </c>
      <c r="CG50" t="s">
        <v>396</v>
      </c>
      <c r="CH50" t="s">
        <v>544</v>
      </c>
      <c r="CI50" t="s">
        <v>545</v>
      </c>
      <c r="CJ50" t="s">
        <v>421</v>
      </c>
      <c r="CM50" s="8" t="s">
        <v>439</v>
      </c>
      <c r="CN50" s="9"/>
      <c r="CY50" t="s">
        <v>423</v>
      </c>
      <c r="DG50">
        <v>1</v>
      </c>
    </row>
    <row r="51" spans="1:112" x14ac:dyDescent="0.25">
      <c r="A51" t="s">
        <v>543</v>
      </c>
      <c r="C51" t="s">
        <v>390</v>
      </c>
      <c r="O51" s="2" t="s">
        <v>521</v>
      </c>
      <c r="P51"/>
      <c r="AC51">
        <v>2</v>
      </c>
      <c r="AD51">
        <v>1</v>
      </c>
      <c r="AO51" t="s">
        <v>394</v>
      </c>
      <c r="AR51" t="s">
        <v>439</v>
      </c>
      <c r="AT51" s="4" t="s">
        <v>402</v>
      </c>
      <c r="AX51" t="s">
        <v>395</v>
      </c>
      <c r="AZ51">
        <v>1</v>
      </c>
      <c r="BD51">
        <v>1</v>
      </c>
      <c r="BO51" s="6"/>
      <c r="BP51" s="6"/>
      <c r="CB51" t="s">
        <v>57</v>
      </c>
      <c r="CG51" t="s">
        <v>396</v>
      </c>
      <c r="CH51" t="s">
        <v>544</v>
      </c>
      <c r="CI51" t="s">
        <v>545</v>
      </c>
      <c r="CJ51" t="s">
        <v>421</v>
      </c>
      <c r="CM51" s="8" t="s">
        <v>439</v>
      </c>
      <c r="CN51" s="9" t="s">
        <v>503</v>
      </c>
      <c r="CR51">
        <v>15</v>
      </c>
      <c r="CY51" t="s">
        <v>423</v>
      </c>
      <c r="DG51">
        <v>1</v>
      </c>
    </row>
    <row r="53" spans="1:112" x14ac:dyDescent="0.25">
      <c r="A53" t="s">
        <v>158</v>
      </c>
      <c r="C53" t="s">
        <v>390</v>
      </c>
      <c r="D53" t="s">
        <v>154</v>
      </c>
      <c r="E53" t="s">
        <v>546</v>
      </c>
      <c r="I53">
        <v>1</v>
      </c>
      <c r="K53" s="2" t="s">
        <v>391</v>
      </c>
      <c r="L53" s="2" t="s">
        <v>392</v>
      </c>
      <c r="O53"/>
      <c r="AC53">
        <v>1</v>
      </c>
      <c r="AG53" t="s">
        <v>393</v>
      </c>
      <c r="AT53" s="4"/>
      <c r="AY53" s="2"/>
      <c r="BD53">
        <v>1</v>
      </c>
      <c r="BO53" s="6"/>
      <c r="BP53" s="6"/>
      <c r="CC53" s="2"/>
      <c r="CD53" s="2"/>
      <c r="CE53" s="2"/>
      <c r="CF53" s="2"/>
      <c r="CH53" s="2"/>
      <c r="CI53" s="2"/>
      <c r="CK53" s="2"/>
      <c r="CL53" s="2"/>
      <c r="CM53" s="8"/>
      <c r="CN53" s="9" t="s">
        <v>547</v>
      </c>
      <c r="CR53">
        <v>99999</v>
      </c>
    </row>
    <row r="54" spans="1:112" x14ac:dyDescent="0.25">
      <c r="A54" t="s">
        <v>548</v>
      </c>
      <c r="C54" t="s">
        <v>390</v>
      </c>
      <c r="P54"/>
      <c r="AC54">
        <v>2</v>
      </c>
      <c r="AD54">
        <v>1</v>
      </c>
      <c r="AO54" t="s">
        <v>394</v>
      </c>
      <c r="AR54" t="s">
        <v>439</v>
      </c>
      <c r="AT54" s="4" t="s">
        <v>406</v>
      </c>
      <c r="AX54" t="s">
        <v>395</v>
      </c>
      <c r="AZ54">
        <v>1</v>
      </c>
      <c r="BD54">
        <v>1</v>
      </c>
      <c r="BO54" s="6"/>
      <c r="BP54" s="6"/>
      <c r="CB54" t="s">
        <v>57</v>
      </c>
      <c r="CG54" t="s">
        <v>396</v>
      </c>
      <c r="CH54" t="s">
        <v>403</v>
      </c>
      <c r="CI54" t="s">
        <v>400</v>
      </c>
      <c r="CJ54" t="s">
        <v>421</v>
      </c>
      <c r="CM54" s="8"/>
      <c r="CN54" s="9"/>
      <c r="CY54" t="s">
        <v>404</v>
      </c>
      <c r="DG54">
        <v>1</v>
      </c>
    </row>
    <row r="55" spans="1:112" x14ac:dyDescent="0.25">
      <c r="A55" t="s">
        <v>549</v>
      </c>
      <c r="C55" t="s">
        <v>390</v>
      </c>
      <c r="I55">
        <v>1</v>
      </c>
      <c r="P55" s="2" t="s">
        <v>538</v>
      </c>
      <c r="AC55">
        <v>2</v>
      </c>
      <c r="AD55">
        <v>1</v>
      </c>
      <c r="AT55" s="4" t="s">
        <v>406</v>
      </c>
      <c r="AW55" s="5"/>
      <c r="BD55">
        <v>99</v>
      </c>
      <c r="BO55" s="7" t="s">
        <v>550</v>
      </c>
      <c r="BP55" s="7"/>
      <c r="BS55">
        <v>0.1</v>
      </c>
      <c r="CM55" s="8"/>
      <c r="CN55" s="9" t="s">
        <v>551</v>
      </c>
      <c r="CO55" s="17" t="s">
        <v>552</v>
      </c>
      <c r="CR55">
        <v>0.2</v>
      </c>
    </row>
    <row r="56" spans="1:112" x14ac:dyDescent="0.25">
      <c r="A56" t="s">
        <v>550</v>
      </c>
      <c r="C56" t="s">
        <v>390</v>
      </c>
      <c r="I56">
        <v>1</v>
      </c>
      <c r="O56" s="2" t="s">
        <v>538</v>
      </c>
      <c r="AC56">
        <v>2</v>
      </c>
      <c r="AD56">
        <v>1</v>
      </c>
      <c r="AT56" s="4" t="s">
        <v>406</v>
      </c>
      <c r="AW56" s="5"/>
      <c r="BD56">
        <v>99</v>
      </c>
      <c r="BO56" s="7"/>
      <c r="BP56" s="7"/>
      <c r="BS56">
        <v>0.1</v>
      </c>
      <c r="CM56" s="8"/>
      <c r="CN56" s="9" t="s">
        <v>551</v>
      </c>
      <c r="CO56" s="17" t="s">
        <v>553</v>
      </c>
      <c r="CR56">
        <v>0.2</v>
      </c>
    </row>
    <row r="57" spans="1:112" x14ac:dyDescent="0.25">
      <c r="A57" t="s">
        <v>554</v>
      </c>
      <c r="C57" t="s">
        <v>390</v>
      </c>
      <c r="I57">
        <v>1</v>
      </c>
      <c r="P57"/>
      <c r="Q57" s="2" t="s">
        <v>463</v>
      </c>
      <c r="AC57">
        <v>2</v>
      </c>
      <c r="AD57">
        <v>1</v>
      </c>
      <c r="AT57" s="4"/>
      <c r="AV57">
        <v>0.8</v>
      </c>
      <c r="BD57">
        <v>1</v>
      </c>
      <c r="BO57" s="6" t="s">
        <v>555</v>
      </c>
      <c r="BP57" s="6" t="s">
        <v>556</v>
      </c>
      <c r="BS57">
        <v>0.1</v>
      </c>
      <c r="CM57" s="8"/>
      <c r="CN57" s="9"/>
      <c r="DG57">
        <v>1</v>
      </c>
      <c r="DH57">
        <v>1</v>
      </c>
    </row>
    <row r="58" spans="1:112" ht="15" customHeight="1" x14ac:dyDescent="0.25">
      <c r="A58" t="s">
        <v>556</v>
      </c>
      <c r="C58" t="s">
        <v>390</v>
      </c>
      <c r="I58">
        <v>1</v>
      </c>
      <c r="K58" s="2" t="s">
        <v>391</v>
      </c>
      <c r="AC58">
        <v>1</v>
      </c>
      <c r="AG58" t="s">
        <v>393</v>
      </c>
      <c r="AT58" s="4"/>
      <c r="AY58" s="2"/>
      <c r="BD58">
        <v>1</v>
      </c>
      <c r="BO58" s="6"/>
      <c r="BP58" s="6"/>
      <c r="BV58"/>
      <c r="BW58"/>
      <c r="BX58"/>
      <c r="BY58"/>
      <c r="BZ58"/>
      <c r="CA58"/>
      <c r="CB58" s="2"/>
      <c r="CC58" s="2"/>
      <c r="CD58" s="2"/>
      <c r="CE58" s="2"/>
      <c r="CF58" s="2"/>
      <c r="CH58" s="2"/>
      <c r="CI58" s="2"/>
      <c r="CJ58" s="2"/>
      <c r="CK58" s="2"/>
      <c r="CL58" s="2"/>
      <c r="CM58" s="8"/>
      <c r="CN58" s="9" t="s">
        <v>462</v>
      </c>
      <c r="CR58">
        <v>0.2</v>
      </c>
      <c r="DH58">
        <v>1</v>
      </c>
    </row>
    <row r="59" spans="1:112" x14ac:dyDescent="0.25">
      <c r="A59" t="s">
        <v>555</v>
      </c>
      <c r="C59" t="s">
        <v>390</v>
      </c>
      <c r="I59">
        <v>1</v>
      </c>
      <c r="O59"/>
      <c r="P59" s="2" t="s">
        <v>462</v>
      </c>
      <c r="AC59">
        <v>1</v>
      </c>
      <c r="AG59" t="s">
        <v>393</v>
      </c>
      <c r="AT59" s="4"/>
      <c r="AY59" s="2"/>
      <c r="BD59">
        <v>1</v>
      </c>
      <c r="BO59" s="6"/>
      <c r="BP59" s="6"/>
      <c r="BS59">
        <v>1</v>
      </c>
      <c r="CC59" s="2"/>
      <c r="CD59" s="2"/>
      <c r="CE59" s="2"/>
      <c r="CF59" s="2"/>
      <c r="CH59" s="2"/>
      <c r="CI59" s="2"/>
      <c r="CK59" s="2"/>
      <c r="CL59" s="2"/>
      <c r="CM59" s="8"/>
      <c r="CN59" s="9" t="s">
        <v>557</v>
      </c>
      <c r="CR59">
        <v>99999</v>
      </c>
      <c r="DH59">
        <v>1</v>
      </c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P126"/>
  <sheetViews>
    <sheetView workbookViewId="0">
      <pane xSplit="1" ySplit="3" topLeftCell="G21" activePane="bottomRight" state="frozen"/>
      <selection pane="topRight"/>
      <selection pane="bottomLeft"/>
      <selection pane="bottomRight" activeCell="A36" sqref="A36"/>
    </sheetView>
  </sheetViews>
  <sheetFormatPr defaultColWidth="9" defaultRowHeight="14.05" x14ac:dyDescent="0.25"/>
  <cols>
    <col min="1" max="1" width="19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68" x14ac:dyDescent="0.25">
      <c r="A1" t="s">
        <v>0</v>
      </c>
      <c r="B1" t="s">
        <v>5</v>
      </c>
      <c r="E1" t="s">
        <v>558</v>
      </c>
      <c r="F1" t="s">
        <v>559</v>
      </c>
      <c r="G1" t="s">
        <v>560</v>
      </c>
      <c r="H1" t="s">
        <v>561</v>
      </c>
      <c r="I1" t="s">
        <v>562</v>
      </c>
      <c r="J1" t="s">
        <v>563</v>
      </c>
      <c r="L1" t="s">
        <v>564</v>
      </c>
      <c r="M1" t="s">
        <v>565</v>
      </c>
      <c r="N1" t="s">
        <v>566</v>
      </c>
      <c r="O1" t="s">
        <v>567</v>
      </c>
      <c r="P1" t="s">
        <v>568</v>
      </c>
    </row>
    <row r="2" spans="1:68" x14ac:dyDescent="0.25">
      <c r="A2" t="s">
        <v>0</v>
      </c>
      <c r="C2" t="s">
        <v>48</v>
      </c>
      <c r="D2" t="s">
        <v>77</v>
      </c>
      <c r="E2" t="s">
        <v>569</v>
      </c>
      <c r="F2" t="s">
        <v>570</v>
      </c>
      <c r="G2" t="s">
        <v>571</v>
      </c>
      <c r="H2" t="s">
        <v>572</v>
      </c>
      <c r="I2" t="s">
        <v>573</v>
      </c>
      <c r="J2" t="s">
        <v>574</v>
      </c>
      <c r="K2" t="s">
        <v>575</v>
      </c>
      <c r="L2" t="s">
        <v>53</v>
      </c>
      <c r="M2" t="s">
        <v>576</v>
      </c>
      <c r="N2" t="s">
        <v>577</v>
      </c>
      <c r="O2" t="s">
        <v>578</v>
      </c>
      <c r="P2" t="s">
        <v>579</v>
      </c>
      <c r="Q2" t="s">
        <v>358</v>
      </c>
    </row>
    <row r="3" spans="1:68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388</v>
      </c>
      <c r="K3" t="s">
        <v>117</v>
      </c>
      <c r="L3" t="s">
        <v>352</v>
      </c>
      <c r="M3" t="s">
        <v>116</v>
      </c>
      <c r="N3" t="s">
        <v>116</v>
      </c>
      <c r="O3" t="s">
        <v>352</v>
      </c>
      <c r="P3" t="s">
        <v>116</v>
      </c>
      <c r="Q3" t="s">
        <v>125</v>
      </c>
    </row>
    <row r="5" spans="1:68" x14ac:dyDescent="0.25">
      <c r="A5" t="s">
        <v>430</v>
      </c>
      <c r="C5" t="s">
        <v>583</v>
      </c>
    </row>
    <row r="6" spans="1:68" x14ac:dyDescent="0.25">
      <c r="A6" t="s">
        <v>416</v>
      </c>
      <c r="C6" t="s">
        <v>583</v>
      </c>
    </row>
    <row r="7" spans="1:68" x14ac:dyDescent="0.25">
      <c r="A7" t="s">
        <v>436</v>
      </c>
      <c r="C7" t="s">
        <v>580</v>
      </c>
      <c r="J7" t="s">
        <v>587</v>
      </c>
      <c r="K7">
        <v>5</v>
      </c>
      <c r="Q7" t="s">
        <v>588</v>
      </c>
    </row>
    <row r="8" spans="1:68" x14ac:dyDescent="0.25">
      <c r="A8" t="s">
        <v>463</v>
      </c>
      <c r="C8" t="s">
        <v>586</v>
      </c>
      <c r="BP8" t="s">
        <v>409</v>
      </c>
    </row>
    <row r="9" spans="1:68" x14ac:dyDescent="0.25">
      <c r="A9" t="s">
        <v>551</v>
      </c>
      <c r="C9" t="s">
        <v>580</v>
      </c>
      <c r="H9">
        <v>1</v>
      </c>
      <c r="J9" t="s">
        <v>589</v>
      </c>
      <c r="K9">
        <v>5</v>
      </c>
      <c r="Q9" t="s">
        <v>590</v>
      </c>
    </row>
    <row r="10" spans="1:68" ht="15" customHeight="1" x14ac:dyDescent="0.25">
      <c r="A10" t="s">
        <v>443</v>
      </c>
      <c r="C10" t="s">
        <v>583</v>
      </c>
    </row>
    <row r="11" spans="1:68" x14ac:dyDescent="0.25">
      <c r="A11" t="s">
        <v>487</v>
      </c>
      <c r="C11" t="s">
        <v>582</v>
      </c>
      <c r="Q11" t="s">
        <v>591</v>
      </c>
    </row>
    <row r="12" spans="1:68" x14ac:dyDescent="0.25">
      <c r="A12" t="s">
        <v>489</v>
      </c>
      <c r="C12" t="s">
        <v>583</v>
      </c>
    </row>
    <row r="13" spans="1:68" x14ac:dyDescent="0.25">
      <c r="A13" t="s">
        <v>415</v>
      </c>
      <c r="C13" t="s">
        <v>238</v>
      </c>
      <c r="J13" t="s">
        <v>584</v>
      </c>
      <c r="K13">
        <v>5</v>
      </c>
      <c r="Q13" t="s">
        <v>592</v>
      </c>
    </row>
    <row r="14" spans="1:68" x14ac:dyDescent="0.25">
      <c r="A14" t="s">
        <v>496</v>
      </c>
      <c r="C14" t="s">
        <v>238</v>
      </c>
      <c r="Q14" t="s">
        <v>593</v>
      </c>
    </row>
    <row r="15" spans="1:68" x14ac:dyDescent="0.25">
      <c r="A15" t="s">
        <v>503</v>
      </c>
      <c r="C15" t="s">
        <v>583</v>
      </c>
    </row>
    <row r="16" spans="1:68" x14ac:dyDescent="0.25">
      <c r="A16" t="s">
        <v>521</v>
      </c>
      <c r="C16" t="s">
        <v>580</v>
      </c>
      <c r="J16" t="s">
        <v>584</v>
      </c>
      <c r="K16">
        <v>5</v>
      </c>
      <c r="Q16" t="s">
        <v>581</v>
      </c>
    </row>
    <row r="17" spans="1:17" x14ac:dyDescent="0.25">
      <c r="A17" t="s">
        <v>442</v>
      </c>
      <c r="C17" t="s">
        <v>594</v>
      </c>
      <c r="J17" t="s">
        <v>595</v>
      </c>
      <c r="Q17" t="s">
        <v>596</v>
      </c>
    </row>
    <row r="18" spans="1:17" x14ac:dyDescent="0.25">
      <c r="A18" t="s">
        <v>597</v>
      </c>
      <c r="C18" t="s">
        <v>598</v>
      </c>
    </row>
    <row r="19" spans="1:17" x14ac:dyDescent="0.25">
      <c r="A19" t="s">
        <v>599</v>
      </c>
      <c r="C19" t="s">
        <v>600</v>
      </c>
    </row>
    <row r="20" spans="1:17" x14ac:dyDescent="0.25">
      <c r="A20" t="s">
        <v>454</v>
      </c>
      <c r="C20" t="s">
        <v>583</v>
      </c>
    </row>
    <row r="21" spans="1:17" x14ac:dyDescent="0.25">
      <c r="A21" t="s">
        <v>458</v>
      </c>
      <c r="C21" t="s">
        <v>583</v>
      </c>
    </row>
    <row r="22" spans="1:17" x14ac:dyDescent="0.25">
      <c r="A22" t="s">
        <v>460</v>
      </c>
      <c r="C22" t="s">
        <v>583</v>
      </c>
    </row>
    <row r="23" spans="1:17" x14ac:dyDescent="0.25">
      <c r="A23" t="s">
        <v>476</v>
      </c>
      <c r="C23" t="s">
        <v>583</v>
      </c>
    </row>
    <row r="24" spans="1:17" x14ac:dyDescent="0.25">
      <c r="A24" t="s">
        <v>479</v>
      </c>
      <c r="C24" t="s">
        <v>583</v>
      </c>
    </row>
    <row r="25" spans="1:17" x14ac:dyDescent="0.25">
      <c r="A25" t="s">
        <v>502</v>
      </c>
      <c r="C25" t="s">
        <v>583</v>
      </c>
    </row>
    <row r="26" spans="1:17" x14ac:dyDescent="0.25">
      <c r="A26" t="s">
        <v>432</v>
      </c>
      <c r="C26" t="s">
        <v>583</v>
      </c>
    </row>
    <row r="27" spans="1:17" x14ac:dyDescent="0.25">
      <c r="A27" t="s">
        <v>452</v>
      </c>
      <c r="C27" t="s">
        <v>601</v>
      </c>
      <c r="Q27" t="s">
        <v>602</v>
      </c>
    </row>
    <row r="28" spans="1:17" x14ac:dyDescent="0.25">
      <c r="A28" t="s">
        <v>445</v>
      </c>
      <c r="C28" t="s">
        <v>580</v>
      </c>
      <c r="J28" t="s">
        <v>584</v>
      </c>
      <c r="K28">
        <v>5</v>
      </c>
      <c r="Q28" t="s">
        <v>585</v>
      </c>
    </row>
    <row r="29" spans="1:17" x14ac:dyDescent="0.25">
      <c r="A29" t="s">
        <v>603</v>
      </c>
      <c r="C29" t="s">
        <v>238</v>
      </c>
      <c r="Q29" t="s">
        <v>604</v>
      </c>
    </row>
    <row r="30" spans="1:17" x14ac:dyDescent="0.25">
      <c r="A30" t="s">
        <v>533</v>
      </c>
      <c r="C30" t="s">
        <v>605</v>
      </c>
      <c r="K30">
        <v>5</v>
      </c>
      <c r="Q30" t="s">
        <v>606</v>
      </c>
    </row>
    <row r="31" spans="1:17" x14ac:dyDescent="0.25">
      <c r="A31" t="s">
        <v>471</v>
      </c>
      <c r="C31" t="s">
        <v>582</v>
      </c>
      <c r="K31">
        <v>5</v>
      </c>
      <c r="Q31" t="s">
        <v>607</v>
      </c>
    </row>
    <row r="32" spans="1:17" x14ac:dyDescent="0.25">
      <c r="A32" t="s">
        <v>462</v>
      </c>
      <c r="C32" t="s">
        <v>583</v>
      </c>
    </row>
    <row r="33" spans="1:17" x14ac:dyDescent="0.25">
      <c r="A33" t="s">
        <v>538</v>
      </c>
      <c r="C33" t="s">
        <v>583</v>
      </c>
    </row>
    <row r="34" spans="1:17" x14ac:dyDescent="0.25">
      <c r="A34" t="s">
        <v>548</v>
      </c>
    </row>
    <row r="35" spans="1:17" x14ac:dyDescent="0.25">
      <c r="A35" t="s">
        <v>549</v>
      </c>
    </row>
    <row r="37" spans="1:17" x14ac:dyDescent="0.25">
      <c r="A37" s="18"/>
      <c r="C37" s="18"/>
      <c r="Q37" s="18"/>
    </row>
    <row r="125" spans="1:1" x14ac:dyDescent="0.25">
      <c r="A125" t="s">
        <v>548</v>
      </c>
    </row>
    <row r="126" spans="1:1" x14ac:dyDescent="0.25">
      <c r="A126" t="s">
        <v>549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E23" sqref="E2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608</v>
      </c>
    </row>
    <row r="2" spans="1:4" x14ac:dyDescent="0.25">
      <c r="A2" t="s">
        <v>0</v>
      </c>
      <c r="B2" t="s">
        <v>48</v>
      </c>
      <c r="C2" t="s">
        <v>609</v>
      </c>
      <c r="D2" t="s">
        <v>358</v>
      </c>
    </row>
    <row r="3" spans="1:4" x14ac:dyDescent="0.25">
      <c r="A3" t="s">
        <v>2</v>
      </c>
      <c r="B3" t="s">
        <v>2</v>
      </c>
      <c r="C3" t="s">
        <v>352</v>
      </c>
      <c r="D3" t="s">
        <v>125</v>
      </c>
    </row>
    <row r="4" spans="1:4" x14ac:dyDescent="0.25">
      <c r="A4" t="s">
        <v>421</v>
      </c>
      <c r="B4" t="s">
        <v>610</v>
      </c>
      <c r="C4" t="s">
        <v>439</v>
      </c>
      <c r="D4" t="s">
        <v>611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selection activeCell="F20" sqref="F20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243</v>
      </c>
    </row>
    <row r="2" spans="1:10" x14ac:dyDescent="0.25">
      <c r="A2" t="s">
        <v>0</v>
      </c>
      <c r="B2" t="s">
        <v>48</v>
      </c>
      <c r="C2" t="s">
        <v>50</v>
      </c>
      <c r="D2" t="s">
        <v>612</v>
      </c>
      <c r="E2" t="s">
        <v>72</v>
      </c>
      <c r="F2" t="s">
        <v>613</v>
      </c>
      <c r="G2" t="s">
        <v>614</v>
      </c>
      <c r="H2" t="s">
        <v>615</v>
      </c>
      <c r="I2" t="s">
        <v>347</v>
      </c>
      <c r="J2" t="s">
        <v>358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387</v>
      </c>
      <c r="J3" t="s">
        <v>125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E24" sqref="E2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616</v>
      </c>
      <c r="C1" t="s">
        <v>617</v>
      </c>
      <c r="D1" t="s">
        <v>618</v>
      </c>
      <c r="E1" t="s">
        <v>619</v>
      </c>
      <c r="F1" t="s">
        <v>620</v>
      </c>
      <c r="H1" t="s">
        <v>621</v>
      </c>
      <c r="I1" t="s">
        <v>622</v>
      </c>
      <c r="J1" t="s">
        <v>623</v>
      </c>
      <c r="K1" t="s">
        <v>624</v>
      </c>
      <c r="L1" t="s">
        <v>625</v>
      </c>
    </row>
    <row r="2" spans="1:12" x14ac:dyDescent="0.25">
      <c r="A2" t="s">
        <v>0</v>
      </c>
      <c r="B2" t="s">
        <v>626</v>
      </c>
      <c r="C2" t="s">
        <v>627</v>
      </c>
      <c r="D2" t="s">
        <v>628</v>
      </c>
      <c r="E2" t="s">
        <v>629</v>
      </c>
      <c r="F2" t="s">
        <v>630</v>
      </c>
      <c r="G2" t="s">
        <v>631</v>
      </c>
      <c r="H2" t="s">
        <v>632</v>
      </c>
      <c r="I2" t="s">
        <v>633</v>
      </c>
      <c r="J2" t="s">
        <v>634</v>
      </c>
      <c r="K2" t="s">
        <v>613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635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4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268</v>
      </c>
      <c r="C2" t="s">
        <v>77</v>
      </c>
      <c r="D2" t="s">
        <v>636</v>
      </c>
      <c r="E2" t="s">
        <v>637</v>
      </c>
      <c r="F2" t="s">
        <v>79</v>
      </c>
      <c r="G2" t="s">
        <v>638</v>
      </c>
      <c r="H2" t="s">
        <v>296</v>
      </c>
      <c r="I2" t="s">
        <v>639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640</v>
      </c>
      <c r="I3" t="s">
        <v>118</v>
      </c>
      <c r="J3" t="s">
        <v>118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"/>
  <sheetViews>
    <sheetView workbookViewId="0">
      <selection activeCell="D8" sqref="D8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641</v>
      </c>
      <c r="C1" s="1" t="s">
        <v>642</v>
      </c>
      <c r="D1" s="1" t="s">
        <v>643</v>
      </c>
      <c r="E1" s="1" t="s">
        <v>644</v>
      </c>
      <c r="F1" s="1" t="s">
        <v>645</v>
      </c>
      <c r="G1" s="1" t="s">
        <v>646</v>
      </c>
      <c r="H1" s="1" t="s">
        <v>647</v>
      </c>
      <c r="I1" s="1" t="s">
        <v>648</v>
      </c>
    </row>
    <row r="2" spans="1:9" s="1" customFormat="1" x14ac:dyDescent="0.25">
      <c r="A2" s="1" t="s">
        <v>0</v>
      </c>
      <c r="B2" s="1" t="s">
        <v>649</v>
      </c>
      <c r="C2" s="1" t="s">
        <v>650</v>
      </c>
      <c r="D2" s="1" t="s">
        <v>651</v>
      </c>
      <c r="E2" s="1" t="s">
        <v>652</v>
      </c>
      <c r="F2" s="1" t="s">
        <v>653</v>
      </c>
      <c r="G2" s="1" t="s">
        <v>654</v>
      </c>
      <c r="H2" s="1" t="s">
        <v>655</v>
      </c>
      <c r="I2" s="1" t="s">
        <v>656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x14ac:dyDescent="0.25">
      <c r="A4" t="s">
        <v>4</v>
      </c>
      <c r="B4">
        <v>1</v>
      </c>
      <c r="C4">
        <v>1</v>
      </c>
      <c r="D4" s="1" t="s">
        <v>657</v>
      </c>
      <c r="E4" s="1" t="s">
        <v>658</v>
      </c>
      <c r="F4" s="1" t="s">
        <v>659</v>
      </c>
      <c r="G4" s="1" t="s">
        <v>657</v>
      </c>
      <c r="H4" s="1" t="s">
        <v>658</v>
      </c>
      <c r="I4" s="1" t="s">
        <v>659</v>
      </c>
    </row>
    <row r="5" spans="1:9" x14ac:dyDescent="0.25">
      <c r="A5" t="s">
        <v>146</v>
      </c>
      <c r="B5">
        <v>1</v>
      </c>
      <c r="C5">
        <v>1</v>
      </c>
      <c r="D5" s="1" t="s">
        <v>660</v>
      </c>
      <c r="E5" s="1" t="s">
        <v>661</v>
      </c>
      <c r="F5" s="1" t="s">
        <v>662</v>
      </c>
      <c r="G5" s="1" t="s">
        <v>660</v>
      </c>
      <c r="H5" s="1" t="s">
        <v>661</v>
      </c>
      <c r="I5" s="1" t="s">
        <v>662</v>
      </c>
    </row>
    <row r="6" spans="1:9" x14ac:dyDescent="0.25">
      <c r="A6" t="s">
        <v>154</v>
      </c>
      <c r="B6">
        <v>1</v>
      </c>
      <c r="C6">
        <v>1</v>
      </c>
      <c r="D6" s="1" t="s">
        <v>663</v>
      </c>
      <c r="E6" s="1" t="s">
        <v>664</v>
      </c>
      <c r="F6" s="1" t="s">
        <v>665</v>
      </c>
      <c r="G6" s="1" t="s">
        <v>663</v>
      </c>
      <c r="H6" s="1" t="s">
        <v>664</v>
      </c>
      <c r="I6" s="1" t="s">
        <v>665</v>
      </c>
    </row>
  </sheetData>
  <phoneticPr fontId="1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2025-10-27T17:09:48Z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