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4B475ADF-E6B5-44BA-84B0-D36366CA0179}" xr6:coauthVersionLast="47" xr6:coauthVersionMax="47" xr10:uidLastSave="{00000000-0000-0000-0000-000000000000}"/>
  <bookViews>
    <workbookView xWindow="-103" yWindow="-103" windowWidth="24144" windowHeight="14447" firstSheet="2" activeTab="5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6" i="1"/>
  <c r="BE6" i="1"/>
  <c r="BF5" i="1"/>
  <c r="BE5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<sst xmlns="http://schemas.openxmlformats.org/spreadsheetml/2006/main" count="1043" uniqueCount="581">
  <si>
    <t>Id</t>
  </si>
  <si>
    <t>units</t>
  </si>
  <si>
    <t>string</t>
  </si>
  <si>
    <t>UnitData[]</t>
  </si>
  <si>
    <t>艾拉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</si>
  <si>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</si>
  <si>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</si>
  <si>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</si>
  <si>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</si>
  <si>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</si>
  <si>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</si>
  <si>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</si>
  <si>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</si>
  <si>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</si>
  <si>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</si>
  <si>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</si>
  <si>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</si>
  <si>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</si>
  <si>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</si>
  <si>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</si>
  <si>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</si>
  <si>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</si>
  <si>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</si>
  <si>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</si>
  <si>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</si>
  <si>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</si>
  <si>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</si>
  <si>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</si>
  <si>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</si>
  <si>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</si>
  <si>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</si>
  <si>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</si>
  <si>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</si>
  <si>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</si>
  <si>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</si>
  <si>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</si>
  <si>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</si>
  <si>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</si>
  <si>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</si>
  <si>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</si>
  <si>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</si>
  <si>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</si>
  <si>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</si>
  <si>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</si>
  <si>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</si>
  <si>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</si>
  <si>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</si>
  <si>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</si>
  <si>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</si>
  <si>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</si>
  <si>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</si>
  <si>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</si>
  <si>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</si>
  <si>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</si>
  <si>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</si>
  <si>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</si>
  <si>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</si>
  <si>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</si>
  <si>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</si>
  <si>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</si>
  <si>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</si>
  <si>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</si>
  <si>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</si>
  <si>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</si>
  <si>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</si>
  <si>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</si>
  <si>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</si>
  <si>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</si>
  <si>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</si>
  <si>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</si>
  <si>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</si>
  <si>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</si>
  <si>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</si>
  <si>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</si>
  <si>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</si>
  <si>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</si>
  <si>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</si>
  <si>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</si>
  <si>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</si>
  <si>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</si>
  <si>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</si>
  <si>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</si>
  <si>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</si>
  <si>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</si>
  <si>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</si>
  <si>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</si>
  <si>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</si>
  <si>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</si>
  <si>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</si>
  <si>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</si>
  <si>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</si>
  <si>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</si>
  <si>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</si>
  <si>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</si>
  <si>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</si>
  <si>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</si>
  <si>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</si>
  <si>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</si>
  <si>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</si>
  <si>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</si>
  <si>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</si>
  <si>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</si>
  <si>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</si>
  <si>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</si>
  <si>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</si>
  <si>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</si>
  <si>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</si>
  <si>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</si>
  <si>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</si>
  <si>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</si>
  <si>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</si>
  <si>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</si>
  <si>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</si>
  <si>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</si>
  <si>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</si>
  <si>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</si>
  <si>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</si>
  <si>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</si>
  <si>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</si>
  <si>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</si>
  <si>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</si>
  <si>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</si>
  <si>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</si>
  <si>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</si>
  <si>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</si>
  <si>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</si>
  <si>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</si>
  <si>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ela</t>
  </si>
  <si>
    <t>4123</t>
  </si>
  <si>
    <t>Hip</t>
  </si>
  <si>
    <t>艾拉攻击</t>
  </si>
  <si>
    <t>艾拉1,艾拉2,艾拉3</t>
  </si>
  <si>
    <t>特种</t>
  </si>
  <si>
    <t>陷阱师</t>
  </si>
  <si>
    <t>enemy_1504_cqbw</t>
  </si>
  <si>
    <t>half_headbr</t>
  </si>
  <si>
    <t>headbr</t>
  </si>
  <si>
    <t>211,81,1500,1500</t>
  </si>
  <si>
    <t>远程位</t>
  </si>
  <si>
    <t>远程,彩虹小队</t>
  </si>
  <si>
    <t>可以使用陷阱来协助作战，但陷阱无法放置于敌人已在的格子中</t>
  </si>
  <si>
    <t>Default</t>
  </si>
  <si>
    <t>Idle</t>
  </si>
  <si>
    <t>Die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</si>
  <si>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</si>
  <si>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</si>
  <si>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</si>
  <si>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</si>
  <si>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</si>
  <si>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</si>
  <si>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</si>
  <si>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</si>
  <si>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近战位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</si>
  <si>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</si>
  <si>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</si>
  <si>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</si>
  <si>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</si>
  <si>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</si>
  <si>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</si>
  <si>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</si>
  <si>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</si>
  <si>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</si>
  <si>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</si>
  <si>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</si>
  <si>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</si>
  <si>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</si>
  <si>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</si>
  <si>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</si>
  <si>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</si>
  <si>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</si>
  <si>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</si>
  <si>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</si>
  <si>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</si>
  <si>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</si>
  <si>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</si>
  <si>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</si>
  <si>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</si>
  <si>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</si>
  <si>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</si>
  <si>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</si>
  <si>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</si>
  <si>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</si>
  <si>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</si>
  <si>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</si>
  <si>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</si>
  <si>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</si>
  <si>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</si>
  <si>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</si>
  <si>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</si>
  <si>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</si>
  <si>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</si>
  <si>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</si>
  <si>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</si>
  <si>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</si>
  <si>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</si>
  <si>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</si>
  <si>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</si>
  <si>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</si>
  <si>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</si>
  <si>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</si>
  <si>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</si>
  <si>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</si>
  <si>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</si>
  <si>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</si>
  <si>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</si>
  <si>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</si>
  <si>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</si>
  <si>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</si>
  <si>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</si>
  <si>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</si>
  <si>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</si>
  <si>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</si>
  <si>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</si>
  <si>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</si>
  <si>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</si>
  <si>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</si>
  <si>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</si>
  <si>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</si>
  <si>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</si>
  <si>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</si>
  <si>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</si>
  <si>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</si>
  <si>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</si>
  <si>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</si>
  <si>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</si>
  <si>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</si>
  <si>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</si>
  <si>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</si>
  <si>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</si>
  <si>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</si>
  <si>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</si>
  <si>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</si>
  <si>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</si>
  <si>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</si>
  <si>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</si>
  <si>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</si>
  <si>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</si>
  <si>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</si>
  <si>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</si>
  <si>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</si>
  <si>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</si>
  <si>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</si>
  <si>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</si>
  <si>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</si>
  <si>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</si>
  <si>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</si>
  <si>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</si>
  <si>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</si>
  <si>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</si>
  <si>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</si>
  <si>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</si>
  <si>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</si>
  <si>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</si>
  <si>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</si>
  <si>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</si>
  <si>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</si>
  <si>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</si>
  <si>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</si>
  <si>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</si>
  <si>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</si>
  <si>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</si>
  <si>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</si>
  <si>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</si>
  <si>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</si>
  <si>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</si>
  <si>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</si>
  <si>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</si>
  <si>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</si>
  <si>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</si>
  <si>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</si>
  <si>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</si>
  <si>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</si>
  <si>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</si>
  <si>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</si>
  <si>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</si>
  <si>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</si>
  <si>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</si>
  <si>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</si>
  <si>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</si>
  <si>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</si>
  <si>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</si>
  <si>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</si>
  <si>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</si>
  <si>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</si>
  <si>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</si>
  <si>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</si>
  <si>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</si>
  <si>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</si>
  <si>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</si>
  <si>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</si>
  <si>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</si>
  <si>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</si>
  <si>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</si>
  <si>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</si>
  <si>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</si>
  <si>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</si>
  <si>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</si>
  <si>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</si>
  <si>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</si>
  <si>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</si>
  <si>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</si>
  <si>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</si>
  <si>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</si>
  <si>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</si>
  <si>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</si>
  <si>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</si>
  <si>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</si>
  <si>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</si>
  <si>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</si>
  <si>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</si>
  <si>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</si>
  <si>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</si>
  <si>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</si>
  <si>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</si>
  <si>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</si>
  <si>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</si>
  <si>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</si>
  <si>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</si>
  <si>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</si>
  <si>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</si>
  <si>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</si>
  <si>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</si>
  <si>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</si>
  <si>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</si>
  <si>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</si>
  <si>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</si>
  <si>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</si>
  <si>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</si>
  <si>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</si>
  <si>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</si>
  <si>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</si>
  <si>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</si>
  <si>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</si>
  <si>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</si>
  <si>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</si>
  <si>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</si>
  <si>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</si>
  <si>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</si>
  <si>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</si>
  <si>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</si>
  <si>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</si>
  <si>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</si>
  <si>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</si>
  <si>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</si>
  <si>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</si>
  <si>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</si>
  <si>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</si>
  <si>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</si>
  <si>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</si>
  <si>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</si>
  <si>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</si>
  <si>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</si>
  <si>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</si>
  <si>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</si>
  <si>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</si>
  <si>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</si>
  <si>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</si>
  <si>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</si>
  <si>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</si>
  <si>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</si>
  <si>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</si>
  <si>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</si>
  <si>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</si>
  <si>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</si>
  <si>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</si>
  <si>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</si>
  <si>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</si>
  <si>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</si>
  <si>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</si>
  <si>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</si>
  <si>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</si>
  <si>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</si>
  <si>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</si>
  <si>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</si>
  <si>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</si>
  <si>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</si>
  <si>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</si>
  <si>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</si>
  <si>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</si>
  <si>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</si>
  <si>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</si>
  <si>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</si>
  <si>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</si>
  <si>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</si>
  <si>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</si>
  <si>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</si>
  <si>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#未完成内容：没有陷阱类单位，召唤物不显示技能，召唤物的范围特效，艾拉天赋的暴击修饰器重叠问题，艾拉1技能的命中率（目前只写成普通buff），1技能召唤物已满4个，仍然发动技能获得更多召唤物，1技能召唤物已满时不触发阻回，3技能已经做好了，仅需要修改主动打断技能不会触发技能结束的激活时点问题</t>
  </si>
  <si>
    <t>普通技能</t>
  </si>
  <si>
    <t>终点距离</t>
  </si>
  <si>
    <t>0,0#0,1#0,-1#1,0#2,0#1,1#1,-1#2,1#2,-1#3,0#3,1#3,-1</t>
  </si>
  <si>
    <t>Normal</t>
  </si>
  <si>
    <t>Attack_Begin,Attack_Loop,Attack_End</t>
  </si>
  <si>
    <t>Attack_Begin,Attack_Down_Loop,Attack_End</t>
  </si>
  <si>
    <t>跟随攻击</t>
  </si>
  <si>
    <t>艾拉弹道</t>
  </si>
  <si>
    <t>Muzzle</t>
  </si>
  <si>
    <t>艾拉暴击1,艾拉暴击2</t>
  </si>
  <si>
    <t>守林人击中</t>
  </si>
  <si>
    <t>艾拉1</t>
  </si>
  <si>
    <t>获取单位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</si>
  <si>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</si>
  <si>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</si>
  <si>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</si>
  <si>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充能释放</t>
  </si>
  <si>
    <t>自动</t>
  </si>
  <si>
    <t>仅自己</t>
  </si>
  <si>
    <t>艾拉1入场获得装置,艾拉1撤退爆炸,艾拉1退场爆炸</t>
  </si>
  <si>
    <t>{"Count":1,"UnitId":"艾拉地雷A","MaxCount":4}</t>
  </si>
  <si>
    <t>艾拉1入场获得装置</t>
  </si>
  <si>
    <t>被动</t>
  </si>
  <si>
    <t>自己入场</t>
  </si>
  <si>
    <t>{"Count":4,"UnitId":"艾拉地雷A","MaxCount":4}</t>
  </si>
  <si>
    <t>艾拉1撤退爆炸</t>
  </si>
  <si>
    <t>撤退</t>
  </si>
  <si>
    <t>减速,艾拉地雷A减命中,艾拉地雷标记</t>
  </si>
  <si>
    <t>远山普攻击中</t>
  </si>
  <si>
    <t>艾拉1退场爆炸</t>
  </si>
  <si>
    <t>离场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</si>
  <si>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</si>
  <si>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</si>
  <si>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</si>
  <si>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</si>
  <si>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手动</t>
  </si>
  <si>
    <t>艾拉2入场获得装置,艾拉2攻击,艾拉2结束,艾拉2结束获得装置,艾拉2撤退爆炸,艾拉2退场爆炸</t>
  </si>
  <si>
    <t>艾拉2启动</t>
  </si>
  <si>
    <t>攻击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</si>
  <si>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</si>
  <si>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</si>
  <si>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</si>
  <si>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</si>
  <si>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</si>
  <si>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</si>
  <si>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Skill_2_Loop</t>
  </si>
  <si>
    <t>艾拉2穿甲,艾拉暴击1,艾拉暴击2</t>
  </si>
  <si>
    <t>陨星击中</t>
  </si>
  <si>
    <t>Skill_2_Begin</t>
  </si>
  <si>
    <t>艾拉2结束</t>
  </si>
  <si>
    <t>技能结束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</si>
  <si>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</si>
  <si>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</si>
  <si>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</si>
  <si>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</si>
  <si>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</si>
  <si>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</si>
  <si>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</si>
  <si>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</si>
  <si>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</si>
  <si>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</si>
  <si>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</si>
  <si>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</si>
  <si>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</si>
  <si>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</si>
  <si>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</si>
  <si>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</si>
  <si>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</si>
  <si>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</si>
  <si>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</si>
  <si>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Skill_3_Loop</t>
  </si>
  <si>
    <r>
      <rPr>
        <sz val="10.5"/>
        <color rgb="FF333639"/>
        <rFont val="Arial"/>
        <family val="2"/>
      </rPr>
      <t>Skill_Down_3_Loop</t>
    </r>
  </si>
  <si>
    <t>艾拉暴击1</t>
  </si>
  <si>
    <t>艾拉3攻击标记</t>
  </si>
  <si>
    <t>艾拉暴击2</t>
  </si>
  <si>
    <t>Skill_3_Begin</t>
  </si>
  <si>
    <t>艾拉3结束</t>
  </si>
  <si>
    <t>Skill_3_End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</si>
  <si>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</si>
  <si>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</si>
  <si>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</si>
  <si>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</si>
  <si>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</si>
  <si>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0,0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</si>
  <si>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</si>
  <si>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</si>
  <si>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</si>
  <si>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</si>
  <si>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</si>
  <si>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</si>
  <si>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</si>
  <si>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</si>
  <si>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</si>
  <si>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</si>
  <si>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</si>
  <si>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</si>
  <si>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</si>
  <si>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Real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</si>
  <si>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</si>
  <si>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</si>
  <si>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</si>
  <si>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</si>
  <si>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</si>
  <si>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</si>
  <si>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</si>
  <si>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</si>
  <si>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</si>
  <si>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</si>
  <si>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</si>
  <si>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</si>
  <si>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</si>
  <si>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</si>
  <si>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</si>
  <si>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</si>
  <si>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</si>
  <si>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</si>
  <si>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</si>
  <si>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</si>
  <si>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普通Buff</t>
  </si>
  <si>
    <t>投降</t>
  </si>
  <si>
    <t>艾拉地雷光环</t>
  </si>
  <si>
    <t>地雷范围</t>
  </si>
  <si>
    <t>艾拉地雷A减命中</t>
  </si>
  <si>
    <t>数值变化</t>
  </si>
  <si>
    <t>攻击强化</t>
  </si>
  <si>
    <t>{"t":["DefenceRate"]}</t>
  </si>
  <si>
    <t>艾拉2动作</t>
  </si>
  <si>
    <t>{"IdleAnimation":["Skill_2_Idle"]}</t>
  </si>
  <si>
    <t>{"t":["AttackGapAdd","AttackRate"]}</t>
  </si>
  <si>
    <t>艾拉3动作</t>
  </si>
  <si>
    <t>{"IdleAnimation":["Skill_3_Idle"]}</t>
  </si>
  <si>
    <t>相关buff</t>
  </si>
  <si>
    <t>Buff</t>
  </si>
  <si>
    <t>暴击</t>
  </si>
  <si>
    <t>{"Chance":0.5,"Rate":1.8}</t>
  </si>
  <si>
    <t>对buff伤害</t>
  </si>
  <si>
    <t>{"DamageRate":1.8}</t>
  </si>
  <si>
    <t>艾拉2穿甲</t>
  </si>
  <si>
    <t>穿甲</t>
  </si>
  <si>
    <t>{"Chance":1,"Value":800}</t>
  </si>
  <si>
    <t>Line</t>
  </si>
  <si>
    <t>FaceCamera</t>
  </si>
  <si>
    <t>ScaleX</t>
  </si>
  <si>
    <t>EffectBase</t>
  </si>
  <si>
    <t>angle_skill_01_trail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</si>
  <si>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</si>
  <si>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</si>
  <si>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</si>
  <si>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</si>
  <si>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</si>
  <si>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</si>
  <si>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</si>
  <si>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</si>
  <si>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</si>
  <si>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</si>
  <si>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</si>
  <si>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</si>
  <si>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</si>
  <si>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</si>
  <si>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</si>
  <si>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</si>
  <si>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</si>
  <si>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</si>
  <si>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</si>
  <si>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</si>
  <si>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</si>
  <si>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</si>
  <si>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</si>
  <si>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</si>
  <si>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</si>
  <si>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</si>
  <si>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</si>
  <si>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</si>
  <si>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</si>
  <si>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</si>
  <si>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</si>
  <si>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</si>
  <si>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</si>
  <si>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</si>
  <si>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</si>
  <si>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</si>
  <si>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</si>
  <si>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</si>
  <si>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</si>
  <si>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</si>
  <si>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</si>
  <si>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</si>
  <si>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无</t>
    <phoneticPr fontId="14" type="noConversion"/>
  </si>
  <si>
    <t>减速,易伤,艾拉地雷标记</t>
    <phoneticPr fontId="14" type="noConversion"/>
  </si>
  <si>
    <t>优先Buff</t>
    <phoneticPr fontId="14" type="noConversion"/>
  </si>
  <si>
    <t>自定义优先级</t>
    <phoneticPr fontId="14" type="noConversion"/>
  </si>
  <si>
    <t>OrderBuff</t>
    <phoneticPr fontId="14" type="noConversion"/>
  </si>
  <si>
    <t>OrderExpression</t>
    <phoneticPr fontId="14" type="noConversion"/>
  </si>
  <si>
    <t>string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</si>
</sst>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0.5"/>
      <color rgb="FF333639"/>
      <name val="Arial"/>
      <family val="2"/>
    </font>
    <font>
      <sz val="11"/>
      <color rgb="FF9C0006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11" fillId="5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2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3" fillId="3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6" fillId="0" borderId="0" xfId="0" applyFont="1">
      <alignment vertical="center"/>
    </xf>
    <xf numFmtId="0" fontId="5" fillId="3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1" applyFont="1" applyFill="1">
      <alignment vertical="center"/>
    </xf>
    <xf numFmtId="0" fontId="0" fillId="4" borderId="0" xfId="0" applyFill="1">
      <alignment vertical="center"/>
    </xf>
    <xf numFmtId="0" fontId="5" fillId="4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10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" fillId="0" borderId="0" xfId="0" applyFont="1">
      <alignment vertical="center"/>
    </xf>
  </cellXfs>
  <cellStyles count="3">
    <cellStyle name="差" xfId="1" builtinId="27"/>
    <cellStyle name="常规" xfId="0" builtinId="0"/>
    <cellStyle name="常规 2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D16" sqref="D16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87"/>
  <sheetViews>
    <sheetView workbookViewId="0">
      <pane xSplit="1" ySplit="3" topLeftCell="B4" activePane="bottomRight" state="frozen"/>
      <selection pane="topRight"/>
      <selection pane="bottomLeft"/>
      <selection pane="bottomRight" activeCell="F19" sqref="F19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D4" t="s">
        <v>127</v>
      </c>
      <c r="E4" s="16" t="s">
        <v>128</v>
      </c>
      <c r="F4" t="str">
        <f>"char_"&amp;E4&amp;"_"&amp;D4</f>
        <v>char_4123_ela</v>
      </c>
      <c r="G4">
        <v>1</v>
      </c>
      <c r="I4">
        <v>2</v>
      </c>
      <c r="J4">
        <v>90</v>
      </c>
      <c r="K4">
        <v>1468</v>
      </c>
      <c r="M4">
        <v>755</v>
      </c>
      <c r="O4">
        <v>203</v>
      </c>
      <c r="Q4">
        <v>0</v>
      </c>
      <c r="S4">
        <v>12</v>
      </c>
      <c r="T4">
        <v>-2</v>
      </c>
      <c r="U4">
        <v>0.5</v>
      </c>
      <c r="V4">
        <v>70</v>
      </c>
      <c r="Y4">
        <v>0.05</v>
      </c>
      <c r="Z4">
        <v>0.85</v>
      </c>
      <c r="AC4">
        <v>1</v>
      </c>
      <c r="AG4" t="s">
        <v>4</v>
      </c>
      <c r="AH4" t="s">
        <v>129</v>
      </c>
      <c r="AI4" t="s">
        <v>130</v>
      </c>
      <c r="AJ4" t="s">
        <v>131</v>
      </c>
      <c r="AM4">
        <v>1</v>
      </c>
      <c r="AN4">
        <v>1</v>
      </c>
      <c r="AO4">
        <v>1</v>
      </c>
      <c r="AP4">
        <v>0.5</v>
      </c>
      <c r="AW4">
        <v>0.25</v>
      </c>
      <c r="BB4" t="s">
        <v>132</v>
      </c>
      <c r="BC4" t="s">
        <v>133</v>
      </c>
      <c r="BD4" t="s">
        <v>134</v>
      </c>
      <c r="BE4" t="s">
        <v>135</v>
      </c>
      <c r="BF4" t="s">
        <v>136</v>
      </c>
      <c r="BG4" t="s">
        <v>137</v>
      </c>
      <c r="BH4">
        <v>6</v>
      </c>
      <c r="BI4" t="s">
        <v>138</v>
      </c>
      <c r="BJ4" t="s">
        <v>139</v>
      </c>
      <c r="BK4" t="s">
        <v>140</v>
      </c>
      <c r="BM4" t="s">
        <v>141</v>
      </c>
      <c r="BN4" t="s">
        <v>142</v>
      </c>
      <c r="BP4" t="s">
        <v>143</v>
      </c>
      <c r="BQ4" t="s">
        <v>143</v>
      </c>
      <c r="BS4">
        <v>1.2</v>
      </c>
    </row>
    <row r="5" spans="1:71" x14ac:dyDescent="0.25">
      <c r="A5" t="s">
        <v>144</v>
      </c>
      <c r="B5" t="s">
        <v>126</v>
      </c>
      <c r="D5" t="s">
        <v>145</v>
      </c>
      <c r="E5" s="17" t="s">
        <v>146</v>
      </c>
      <c r="F5" t="s">
        <v>147</v>
      </c>
      <c r="G5">
        <v>1</v>
      </c>
      <c r="I5">
        <v>2</v>
      </c>
      <c r="J5">
        <v>90</v>
      </c>
      <c r="K5">
        <v>1000</v>
      </c>
      <c r="M5">
        <v>100</v>
      </c>
      <c r="O5">
        <v>0</v>
      </c>
      <c r="Q5">
        <v>0</v>
      </c>
      <c r="S5">
        <v>5</v>
      </c>
      <c r="U5">
        <v>0</v>
      </c>
      <c r="V5">
        <v>5</v>
      </c>
      <c r="Y5">
        <v>0.05</v>
      </c>
      <c r="Z5">
        <v>1</v>
      </c>
      <c r="AC5">
        <v>0</v>
      </c>
      <c r="AD5">
        <v>1</v>
      </c>
      <c r="AG5" t="s">
        <v>148</v>
      </c>
      <c r="AH5" t="s">
        <v>129</v>
      </c>
      <c r="AI5" t="s">
        <v>149</v>
      </c>
      <c r="AJ5" t="s">
        <v>150</v>
      </c>
      <c r="AK5">
        <v>1</v>
      </c>
      <c r="AM5">
        <v>1</v>
      </c>
      <c r="AN5">
        <v>1</v>
      </c>
      <c r="AO5">
        <v>0</v>
      </c>
      <c r="AP5">
        <v>0</v>
      </c>
      <c r="AW5">
        <v>0.25</v>
      </c>
      <c r="BB5" t="s">
        <v>132</v>
      </c>
      <c r="BD5" t="s">
        <v>151</v>
      </c>
      <c r="BE5" t="str">
        <f t="shared" ref="BE5:BE7" si="0">"half_"&amp;D5</f>
        <v>half_deepcl</v>
      </c>
      <c r="BF5" t="str">
        <f t="shared" ref="BF5:BF7" si="1">D5</f>
        <v>deepcl</v>
      </c>
      <c r="BG5" t="s">
        <v>137</v>
      </c>
      <c r="BH5">
        <v>6</v>
      </c>
      <c r="BI5" t="s">
        <v>152</v>
      </c>
      <c r="BJ5" t="s">
        <v>153</v>
      </c>
      <c r="BM5" t="s">
        <v>141</v>
      </c>
      <c r="BN5" t="s">
        <v>142</v>
      </c>
      <c r="BS5">
        <v>1</v>
      </c>
    </row>
    <row r="6" spans="1:71" x14ac:dyDescent="0.25">
      <c r="A6" t="s">
        <v>154</v>
      </c>
      <c r="B6" t="s">
        <v>126</v>
      </c>
      <c r="D6" t="s">
        <v>145</v>
      </c>
      <c r="E6" s="17" t="s">
        <v>146</v>
      </c>
      <c r="F6" t="s">
        <v>147</v>
      </c>
      <c r="G6">
        <v>1</v>
      </c>
      <c r="I6">
        <v>2</v>
      </c>
      <c r="J6">
        <v>90</v>
      </c>
      <c r="K6">
        <v>1000</v>
      </c>
      <c r="M6">
        <v>100</v>
      </c>
      <c r="O6">
        <v>0</v>
      </c>
      <c r="Q6">
        <v>0</v>
      </c>
      <c r="S6">
        <v>5</v>
      </c>
      <c r="U6">
        <v>0</v>
      </c>
      <c r="V6">
        <v>5</v>
      </c>
      <c r="Y6">
        <v>0.05</v>
      </c>
      <c r="Z6">
        <v>1</v>
      </c>
      <c r="AC6">
        <v>0</v>
      </c>
      <c r="AD6">
        <v>1</v>
      </c>
      <c r="AG6" t="s">
        <v>148</v>
      </c>
      <c r="AH6" t="s">
        <v>129</v>
      </c>
      <c r="AI6" t="s">
        <v>155</v>
      </c>
      <c r="AJ6" t="s">
        <v>156</v>
      </c>
      <c r="AK6">
        <v>1</v>
      </c>
      <c r="AM6">
        <v>1</v>
      </c>
      <c r="AN6">
        <v>1</v>
      </c>
      <c r="AO6">
        <v>0</v>
      </c>
      <c r="AP6">
        <v>0</v>
      </c>
      <c r="AW6">
        <v>0.25</v>
      </c>
      <c r="BB6" t="s">
        <v>132</v>
      </c>
      <c r="BD6" t="s">
        <v>151</v>
      </c>
      <c r="BE6" t="str">
        <f t="shared" si="0"/>
        <v>half_deepcl</v>
      </c>
      <c r="BF6" t="str">
        <f t="shared" si="1"/>
        <v>deepcl</v>
      </c>
      <c r="BG6" t="s">
        <v>137</v>
      </c>
      <c r="BH6">
        <v>6</v>
      </c>
      <c r="BI6" t="s">
        <v>152</v>
      </c>
      <c r="BJ6" t="s">
        <v>153</v>
      </c>
      <c r="BM6" t="s">
        <v>141</v>
      </c>
      <c r="BN6" t="s">
        <v>142</v>
      </c>
      <c r="BS6">
        <v>1</v>
      </c>
    </row>
    <row r="7" spans="1:71" x14ac:dyDescent="0.25">
      <c r="A7" t="s">
        <v>157</v>
      </c>
      <c r="B7" t="s">
        <v>126</v>
      </c>
      <c r="D7" t="s">
        <v>145</v>
      </c>
      <c r="E7" s="17" t="s">
        <v>146</v>
      </c>
      <c r="F7" t="s">
        <v>147</v>
      </c>
      <c r="G7">
        <v>1</v>
      </c>
      <c r="I7">
        <v>2</v>
      </c>
      <c r="J7">
        <v>90</v>
      </c>
      <c r="K7">
        <v>1000</v>
      </c>
      <c r="M7">
        <v>100</v>
      </c>
      <c r="O7">
        <v>0</v>
      </c>
      <c r="Q7">
        <v>0</v>
      </c>
      <c r="S7">
        <v>5</v>
      </c>
      <c r="U7">
        <v>0</v>
      </c>
      <c r="V7">
        <v>5</v>
      </c>
      <c r="Y7">
        <v>0.05</v>
      </c>
      <c r="Z7">
        <v>1</v>
      </c>
      <c r="AC7">
        <v>0</v>
      </c>
      <c r="AD7">
        <v>1</v>
      </c>
      <c r="AG7" t="s">
        <v>148</v>
      </c>
      <c r="AH7" t="s">
        <v>129</v>
      </c>
      <c r="AI7" t="s">
        <v>158</v>
      </c>
      <c r="AJ7" t="s">
        <v>159</v>
      </c>
      <c r="AK7">
        <v>1</v>
      </c>
      <c r="AM7">
        <v>1</v>
      </c>
      <c r="AN7">
        <v>1</v>
      </c>
      <c r="AO7">
        <v>0</v>
      </c>
      <c r="AP7">
        <v>0</v>
      </c>
      <c r="AW7">
        <v>0.25</v>
      </c>
      <c r="BB7" t="s">
        <v>132</v>
      </c>
      <c r="BD7" t="s">
        <v>151</v>
      </c>
      <c r="BE7" t="str">
        <f t="shared" si="0"/>
        <v>half_deepcl</v>
      </c>
      <c r="BF7" t="str">
        <f t="shared" si="1"/>
        <v>deepcl</v>
      </c>
      <c r="BG7" t="s">
        <v>137</v>
      </c>
      <c r="BH7">
        <v>6</v>
      </c>
      <c r="BI7" t="s">
        <v>152</v>
      </c>
      <c r="BJ7" t="s">
        <v>153</v>
      </c>
      <c r="BM7" t="s">
        <v>141</v>
      </c>
      <c r="BN7" t="s">
        <v>142</v>
      </c>
      <c r="BS7">
        <v>1</v>
      </c>
    </row>
    <row r="25" spans="4:70" ht="14.5" x14ac:dyDescent="0.25">
      <c r="D25" s="18"/>
      <c r="E25" s="17"/>
      <c r="BO25" s="19"/>
      <c r="BR25" s="19"/>
    </row>
    <row r="26" spans="4:70" ht="14.5" x14ac:dyDescent="0.25">
      <c r="D26" s="18"/>
      <c r="E26" s="17"/>
      <c r="BO26" s="19"/>
      <c r="BR26" s="19"/>
    </row>
    <row r="27" spans="4:70" ht="14.5" x14ac:dyDescent="0.25">
      <c r="D27" s="18"/>
      <c r="E27" s="17"/>
      <c r="BO27" s="19"/>
      <c r="BR27" s="19"/>
    </row>
    <row r="28" spans="4:70" ht="14.5" x14ac:dyDescent="0.25">
      <c r="D28" s="18"/>
      <c r="E28" s="17"/>
      <c r="BO28" s="19"/>
      <c r="BR28" s="19"/>
    </row>
    <row r="29" spans="4:70" ht="14.5" x14ac:dyDescent="0.25">
      <c r="D29" s="18"/>
      <c r="E29" s="17"/>
      <c r="BO29" s="19"/>
      <c r="BR29" s="19"/>
    </row>
    <row r="30" spans="4:70" ht="14.5" x14ac:dyDescent="0.25">
      <c r="D30" s="18"/>
      <c r="E30" s="17"/>
      <c r="BO30" s="19"/>
      <c r="BR30" s="19"/>
    </row>
    <row r="31" spans="4:70" ht="14.5" x14ac:dyDescent="0.25">
      <c r="D31" s="18"/>
      <c r="E31" s="17"/>
      <c r="BO31" s="19"/>
      <c r="BR31" s="19"/>
    </row>
    <row r="32" spans="4:70" ht="14.5" x14ac:dyDescent="0.25">
      <c r="D32" s="18"/>
      <c r="E32" s="17"/>
      <c r="BR32" s="19"/>
    </row>
    <row r="33" spans="4:70" ht="14.5" x14ac:dyDescent="0.25">
      <c r="D33" s="18"/>
      <c r="E33" s="17"/>
      <c r="BR33" s="19"/>
    </row>
    <row r="34" spans="4:70" ht="14.5" x14ac:dyDescent="0.25">
      <c r="D34" s="18"/>
      <c r="E34" s="17"/>
      <c r="BR34" s="19"/>
    </row>
    <row r="35" spans="4:70" ht="14.5" x14ac:dyDescent="0.25">
      <c r="D35" s="18"/>
      <c r="E35" s="17"/>
      <c r="BO35" s="19"/>
      <c r="BR35" s="19"/>
    </row>
    <row r="36" spans="4:70" ht="14.5" x14ac:dyDescent="0.25">
      <c r="D36" s="18"/>
      <c r="E36" s="17"/>
      <c r="BO36" s="19"/>
      <c r="BR36" s="19"/>
    </row>
    <row r="37" spans="4:70" ht="14.5" x14ac:dyDescent="0.25">
      <c r="D37" s="18"/>
      <c r="E37" s="17"/>
      <c r="BO37" s="19"/>
      <c r="BR37" s="19"/>
    </row>
    <row r="38" spans="4:70" ht="14.5" x14ac:dyDescent="0.25">
      <c r="D38" s="18"/>
      <c r="E38" s="17"/>
      <c r="BO38" s="19"/>
      <c r="BR38" s="19"/>
    </row>
    <row r="39" spans="4:70" ht="14.5" x14ac:dyDescent="0.25">
      <c r="D39" s="18"/>
      <c r="E39" s="17"/>
      <c r="BO39" s="19"/>
      <c r="BR39" s="19"/>
    </row>
    <row r="40" spans="4:70" ht="14.5" x14ac:dyDescent="0.25">
      <c r="D40" s="18"/>
      <c r="E40" s="17"/>
      <c r="BO40" s="19"/>
      <c r="BR40" s="19"/>
    </row>
    <row r="41" spans="4:70" ht="14.5" x14ac:dyDescent="0.25">
      <c r="D41" s="18"/>
      <c r="E41" s="17"/>
      <c r="BO41" s="19"/>
      <c r="BR41" s="19"/>
    </row>
    <row r="42" spans="4:70" ht="14.5" x14ac:dyDescent="0.25">
      <c r="D42" s="18"/>
      <c r="E42" s="17"/>
      <c r="BO42" s="19"/>
      <c r="BR42" s="19"/>
    </row>
    <row r="43" spans="4:70" ht="14.5" x14ac:dyDescent="0.25">
      <c r="D43" s="18"/>
      <c r="E43" s="17"/>
      <c r="BO43" s="19"/>
      <c r="BR43" s="19"/>
    </row>
    <row r="44" spans="4:70" ht="14.5" x14ac:dyDescent="0.25">
      <c r="D44" s="18"/>
      <c r="E44" s="17"/>
      <c r="BO44" s="19"/>
      <c r="BR44" s="19"/>
    </row>
    <row r="45" spans="4:70" ht="14.5" x14ac:dyDescent="0.25">
      <c r="D45" s="18"/>
      <c r="E45" s="17"/>
      <c r="BO45" s="19"/>
      <c r="BR45" s="19"/>
    </row>
    <row r="46" spans="4:70" ht="14.5" x14ac:dyDescent="0.25">
      <c r="D46" s="18"/>
      <c r="E46" s="17"/>
      <c r="BO46" s="19"/>
      <c r="BR46" s="19"/>
    </row>
    <row r="47" spans="4:70" ht="14.5" x14ac:dyDescent="0.25">
      <c r="D47" s="18"/>
      <c r="E47" s="17"/>
      <c r="BO47" s="19"/>
      <c r="BR47" s="19"/>
    </row>
    <row r="48" spans="4:70" ht="14.5" x14ac:dyDescent="0.25">
      <c r="D48" s="18"/>
      <c r="E48" s="17"/>
      <c r="BO48" s="19"/>
      <c r="BR48" s="19"/>
    </row>
    <row r="49" spans="4:70" ht="14.5" x14ac:dyDescent="0.25">
      <c r="D49" s="18"/>
      <c r="E49" s="17"/>
      <c r="BO49" s="19"/>
      <c r="BR49" s="19"/>
    </row>
    <row r="50" spans="4:70" ht="14.5" x14ac:dyDescent="0.25">
      <c r="D50" s="18"/>
      <c r="E50" s="17"/>
      <c r="BO50" s="19"/>
      <c r="BR50" s="19"/>
    </row>
    <row r="51" spans="4:70" ht="14.5" x14ac:dyDescent="0.25">
      <c r="D51" s="18"/>
      <c r="E51" s="17"/>
      <c r="BO51" s="19"/>
      <c r="BR51" s="19"/>
    </row>
    <row r="52" spans="4:70" ht="14.5" x14ac:dyDescent="0.25">
      <c r="D52" s="18"/>
      <c r="E52" s="17"/>
      <c r="BO52" s="19"/>
      <c r="BR52" s="19"/>
    </row>
    <row r="53" spans="4:70" ht="14.5" x14ac:dyDescent="0.25">
      <c r="D53" s="18"/>
      <c r="E53" s="17"/>
      <c r="BO53" s="19"/>
      <c r="BR53" s="19"/>
    </row>
    <row r="54" spans="4:70" ht="14.5" x14ac:dyDescent="0.25">
      <c r="D54" s="18"/>
      <c r="E54" s="17"/>
      <c r="BO54" s="19"/>
      <c r="BR54" s="19"/>
    </row>
    <row r="55" spans="4:70" ht="14.5" x14ac:dyDescent="0.25">
      <c r="D55" s="18"/>
      <c r="E55" s="17"/>
      <c r="BO55" s="19"/>
      <c r="BR55" s="19"/>
    </row>
    <row r="56" spans="4:70" ht="14.5" x14ac:dyDescent="0.25">
      <c r="D56" s="18"/>
      <c r="E56" s="17"/>
      <c r="BO56" s="19"/>
      <c r="BR56" s="19"/>
    </row>
    <row r="57" spans="4:70" ht="14.5" x14ac:dyDescent="0.25">
      <c r="D57" s="18"/>
      <c r="E57" s="17"/>
      <c r="BO57" s="19"/>
      <c r="BR57" s="19"/>
    </row>
    <row r="58" spans="4:70" ht="14.5" x14ac:dyDescent="0.25">
      <c r="D58" s="18"/>
      <c r="E58" s="17"/>
      <c r="BO58" s="19"/>
      <c r="BR58" s="19"/>
    </row>
    <row r="59" spans="4:70" ht="14.5" x14ac:dyDescent="0.25">
      <c r="D59" s="18"/>
      <c r="E59" s="17"/>
      <c r="BO59" s="19"/>
      <c r="BR59" s="19"/>
    </row>
    <row r="60" spans="4:70" ht="14.5" x14ac:dyDescent="0.25">
      <c r="D60" s="18"/>
      <c r="E60" s="17"/>
      <c r="BO60" s="19"/>
      <c r="BR60" s="19"/>
    </row>
    <row r="61" spans="4:70" ht="14.5" x14ac:dyDescent="0.25">
      <c r="D61" s="18"/>
      <c r="E61" s="17"/>
      <c r="BO61" s="19"/>
      <c r="BR61" s="19"/>
    </row>
    <row r="62" spans="4:70" ht="14.5" x14ac:dyDescent="0.25">
      <c r="D62" s="18"/>
      <c r="E62" s="17"/>
      <c r="BO62" s="19"/>
      <c r="BR62" s="19"/>
    </row>
    <row r="63" spans="4:70" ht="14.5" x14ac:dyDescent="0.25">
      <c r="D63" s="18"/>
      <c r="E63" s="17"/>
      <c r="BO63" s="19"/>
      <c r="BR63" s="19"/>
    </row>
    <row r="64" spans="4:70" ht="14.5" x14ac:dyDescent="0.25">
      <c r="D64" s="18"/>
      <c r="E64" s="17"/>
      <c r="BO64" s="19"/>
      <c r="BR64" s="19"/>
    </row>
    <row r="65" spans="4:70" ht="14.5" x14ac:dyDescent="0.25">
      <c r="D65" s="18"/>
      <c r="E65" s="17"/>
      <c r="BO65" s="19"/>
      <c r="BR65" s="19"/>
    </row>
    <row r="66" spans="4:70" ht="14.5" x14ac:dyDescent="0.25">
      <c r="D66" s="18"/>
      <c r="E66" s="17"/>
      <c r="BO66" s="19"/>
      <c r="BR66" s="19"/>
    </row>
    <row r="67" spans="4:70" ht="14.5" x14ac:dyDescent="0.25">
      <c r="D67" s="18"/>
      <c r="E67" s="17"/>
      <c r="BO67" s="19"/>
      <c r="BR67" s="19"/>
    </row>
    <row r="68" spans="4:70" ht="14.5" x14ac:dyDescent="0.25">
      <c r="D68" s="18"/>
      <c r="E68" s="17"/>
      <c r="BO68" s="19"/>
      <c r="BR68" s="19"/>
    </row>
    <row r="69" spans="4:70" ht="14.5" x14ac:dyDescent="0.25">
      <c r="D69" s="18"/>
      <c r="E69" s="17"/>
      <c r="BO69" s="19"/>
      <c r="BR69" s="19"/>
    </row>
    <row r="70" spans="4:70" ht="14.5" x14ac:dyDescent="0.25">
      <c r="D70" s="18"/>
      <c r="E70" s="17"/>
      <c r="BO70" s="19"/>
      <c r="BR70" s="19"/>
    </row>
    <row r="71" spans="4:70" ht="14.5" x14ac:dyDescent="0.25">
      <c r="D71" s="18"/>
      <c r="E71" s="17"/>
      <c r="BO71" s="19"/>
      <c r="BR71" s="19"/>
    </row>
    <row r="72" spans="4:70" ht="14.5" x14ac:dyDescent="0.25">
      <c r="D72" s="18"/>
      <c r="E72" s="17"/>
      <c r="BO72" s="19"/>
      <c r="BR72" s="19"/>
    </row>
    <row r="73" spans="4:70" ht="14.5" x14ac:dyDescent="0.25">
      <c r="D73" s="18"/>
      <c r="E73" s="17"/>
      <c r="BO73" s="19"/>
      <c r="BR73" s="19"/>
    </row>
    <row r="74" spans="4:70" ht="14.5" x14ac:dyDescent="0.25">
      <c r="D74" s="18"/>
      <c r="E74" s="17"/>
      <c r="BO74" s="19"/>
      <c r="BR74" s="19"/>
    </row>
    <row r="75" spans="4:70" ht="14.5" x14ac:dyDescent="0.25">
      <c r="D75" s="18"/>
      <c r="E75" s="17"/>
      <c r="BO75" s="19"/>
      <c r="BR75" s="19"/>
    </row>
    <row r="76" spans="4:70" ht="14.5" x14ac:dyDescent="0.25">
      <c r="D76" s="18"/>
      <c r="E76" s="17"/>
      <c r="BO76" s="19"/>
      <c r="BR76" s="19"/>
    </row>
    <row r="77" spans="4:70" ht="14.5" x14ac:dyDescent="0.25">
      <c r="D77" s="18"/>
      <c r="E77" s="17"/>
      <c r="BO77" s="19"/>
      <c r="BR77" s="19"/>
    </row>
    <row r="78" spans="4:70" ht="14.5" x14ac:dyDescent="0.25">
      <c r="D78" s="18"/>
      <c r="E78" s="17"/>
      <c r="BO78" s="19"/>
      <c r="BR78" s="19"/>
    </row>
    <row r="79" spans="4:70" ht="14.5" x14ac:dyDescent="0.25">
      <c r="D79" s="18"/>
      <c r="E79" s="17"/>
      <c r="BO79" s="19"/>
      <c r="BR79" s="19"/>
    </row>
    <row r="80" spans="4:70" ht="14.5" x14ac:dyDescent="0.25">
      <c r="D80" s="18"/>
      <c r="E80" s="17"/>
      <c r="BO80" s="19"/>
      <c r="BR80" s="19"/>
    </row>
    <row r="81" spans="4:70" ht="14.5" x14ac:dyDescent="0.25">
      <c r="D81" s="18"/>
      <c r="E81" s="17"/>
      <c r="BO81" s="19"/>
      <c r="BR81" s="19"/>
    </row>
    <row r="82" spans="4:70" ht="14.5" x14ac:dyDescent="0.25">
      <c r="D82" s="18"/>
      <c r="E82" s="17"/>
      <c r="BO82" s="19"/>
      <c r="BR82" s="19"/>
    </row>
    <row r="83" spans="4:70" ht="14.5" x14ac:dyDescent="0.25">
      <c r="D83" s="18"/>
      <c r="E83" s="17"/>
      <c r="BO83" s="19"/>
      <c r="BR83" s="19"/>
    </row>
    <row r="84" spans="4:70" ht="14.5" x14ac:dyDescent="0.25">
      <c r="D84" s="18"/>
      <c r="E84" s="17"/>
      <c r="BO84" s="19"/>
      <c r="BR84" s="19"/>
    </row>
    <row r="85" spans="4:70" ht="14.5" x14ac:dyDescent="0.25">
      <c r="D85" s="18"/>
      <c r="E85" s="17"/>
      <c r="BO85" s="19"/>
      <c r="BR85" s="19"/>
    </row>
    <row r="86" spans="4:70" ht="14.5" x14ac:dyDescent="0.25">
      <c r="D86" s="18"/>
      <c r="E86" s="17"/>
      <c r="BO86" s="19"/>
      <c r="BR86" s="19"/>
    </row>
    <row r="87" spans="4:70" ht="14.5" x14ac:dyDescent="0.25">
      <c r="D87" s="18"/>
      <c r="E87" s="17"/>
      <c r="BO87" s="19"/>
      <c r="BR87" s="19"/>
    </row>
    <row r="88" spans="4:70" ht="14.5" x14ac:dyDescent="0.25">
      <c r="D88" s="18"/>
      <c r="E88" s="17"/>
      <c r="BO88" s="19"/>
      <c r="BR88" s="19"/>
    </row>
    <row r="89" spans="4:70" ht="14.5" x14ac:dyDescent="0.25">
      <c r="D89" s="18"/>
      <c r="E89" s="17"/>
      <c r="BO89" s="19"/>
      <c r="BR89" s="19"/>
    </row>
    <row r="90" spans="4:70" ht="14.5" x14ac:dyDescent="0.25">
      <c r="D90" s="18"/>
      <c r="E90" s="17"/>
      <c r="BO90" s="19"/>
      <c r="BR90" s="19"/>
    </row>
    <row r="91" spans="4:70" ht="14.5" x14ac:dyDescent="0.25">
      <c r="D91" s="18"/>
      <c r="E91" s="17"/>
      <c r="BO91" s="19"/>
      <c r="BR91" s="19"/>
    </row>
    <row r="92" spans="4:70" ht="14.5" x14ac:dyDescent="0.25">
      <c r="D92" s="18"/>
      <c r="E92" s="17"/>
      <c r="BO92" s="19"/>
      <c r="BR92" s="19"/>
    </row>
    <row r="93" spans="4:70" ht="14.5" x14ac:dyDescent="0.25">
      <c r="D93" s="18"/>
      <c r="E93" s="17"/>
      <c r="BO93" s="19"/>
      <c r="BR93" s="19"/>
    </row>
    <row r="94" spans="4:70" ht="14.5" x14ac:dyDescent="0.25">
      <c r="D94" s="18"/>
      <c r="E94" s="17"/>
      <c r="BO94" s="19"/>
      <c r="BR94" s="19"/>
    </row>
    <row r="95" spans="4:70" ht="14.5" x14ac:dyDescent="0.25">
      <c r="D95" s="18"/>
      <c r="E95" s="17"/>
      <c r="BO95" s="19"/>
      <c r="BR95" s="19"/>
    </row>
    <row r="96" spans="4:70" ht="14.5" x14ac:dyDescent="0.25">
      <c r="D96" s="18"/>
      <c r="E96" s="17"/>
      <c r="BO96" s="19"/>
      <c r="BR96" s="19"/>
    </row>
    <row r="97" spans="4:70" ht="14.5" x14ac:dyDescent="0.25">
      <c r="D97" s="18"/>
      <c r="E97" s="17"/>
      <c r="BO97" s="19"/>
      <c r="BR97" s="19"/>
    </row>
    <row r="98" spans="4:70" ht="14.5" x14ac:dyDescent="0.25">
      <c r="D98" s="18"/>
      <c r="E98" s="17"/>
      <c r="BO98" s="19"/>
      <c r="BR98" s="19"/>
    </row>
    <row r="99" spans="4:70" ht="14.5" x14ac:dyDescent="0.25">
      <c r="D99" s="18"/>
      <c r="E99" s="17"/>
      <c r="BO99" s="19"/>
      <c r="BR99" s="19"/>
    </row>
    <row r="100" spans="4:70" ht="14.5" x14ac:dyDescent="0.25">
      <c r="D100" s="18"/>
      <c r="E100" s="17"/>
      <c r="BO100" s="19"/>
      <c r="BR100" s="19"/>
    </row>
    <row r="101" spans="4:70" ht="14.5" x14ac:dyDescent="0.25">
      <c r="D101" s="18"/>
      <c r="E101" s="17"/>
      <c r="BO101" s="19"/>
      <c r="BR101" s="19"/>
    </row>
    <row r="102" spans="4:70" ht="14.5" x14ac:dyDescent="0.25">
      <c r="D102" s="18"/>
      <c r="E102" s="17"/>
      <c r="BO102" s="19"/>
      <c r="BR102" s="19"/>
    </row>
    <row r="103" spans="4:70" ht="14.5" x14ac:dyDescent="0.25">
      <c r="D103" s="18"/>
      <c r="E103" s="17"/>
      <c r="BO103" s="19"/>
      <c r="BR103" s="19"/>
    </row>
    <row r="104" spans="4:70" ht="14.5" x14ac:dyDescent="0.25">
      <c r="D104" s="18"/>
      <c r="E104" s="17"/>
      <c r="BO104" s="19"/>
      <c r="BR104" s="19"/>
    </row>
    <row r="105" spans="4:70" ht="14.5" x14ac:dyDescent="0.25">
      <c r="D105" s="18"/>
      <c r="E105" s="17"/>
      <c r="BO105" s="19"/>
      <c r="BR105" s="19"/>
    </row>
    <row r="106" spans="4:70" ht="14.5" x14ac:dyDescent="0.25">
      <c r="D106" s="18"/>
      <c r="E106" s="17"/>
      <c r="BO106" s="19"/>
      <c r="BR106" s="19"/>
    </row>
    <row r="107" spans="4:70" ht="14.5" x14ac:dyDescent="0.25">
      <c r="D107" s="18"/>
      <c r="E107" s="17"/>
      <c r="BO107" s="19"/>
      <c r="BR107" s="19"/>
    </row>
    <row r="108" spans="4:70" ht="14.5" x14ac:dyDescent="0.25">
      <c r="D108" s="18"/>
      <c r="E108" s="17"/>
      <c r="BO108" s="19"/>
      <c r="BR108" s="19"/>
    </row>
    <row r="109" spans="4:70" ht="14.5" x14ac:dyDescent="0.25">
      <c r="D109" s="18"/>
      <c r="E109" s="17"/>
      <c r="BO109" s="19"/>
      <c r="BR109" s="19"/>
    </row>
    <row r="110" spans="4:70" ht="14.5" x14ac:dyDescent="0.25">
      <c r="D110" s="18"/>
      <c r="E110" s="17"/>
      <c r="BO110" s="19"/>
      <c r="BR110" s="19"/>
    </row>
    <row r="111" spans="4:70" ht="14.5" x14ac:dyDescent="0.25">
      <c r="D111" s="18"/>
      <c r="E111" s="17"/>
      <c r="BO111" s="19"/>
      <c r="BR111" s="19"/>
    </row>
    <row r="112" spans="4:70" ht="14.5" x14ac:dyDescent="0.25">
      <c r="D112" s="18"/>
      <c r="E112" s="17"/>
      <c r="BO112" s="19"/>
      <c r="BR112" s="19"/>
    </row>
    <row r="113" spans="4:70" ht="14.5" x14ac:dyDescent="0.25">
      <c r="D113" s="18"/>
      <c r="E113" s="17"/>
      <c r="BO113" s="19"/>
      <c r="BR113" s="19"/>
    </row>
    <row r="114" spans="4:70" ht="14.5" x14ac:dyDescent="0.25">
      <c r="D114" s="18"/>
      <c r="E114" s="17"/>
      <c r="BO114" s="19"/>
      <c r="BR114" s="19"/>
    </row>
    <row r="115" spans="4:70" ht="14.5" x14ac:dyDescent="0.25">
      <c r="D115" s="18"/>
      <c r="E115" s="17"/>
      <c r="BO115" s="19"/>
      <c r="BR115" s="19"/>
    </row>
    <row r="116" spans="4:70" ht="14.5" x14ac:dyDescent="0.25">
      <c r="D116" s="18"/>
      <c r="E116" s="17"/>
      <c r="BO116" s="19"/>
      <c r="BR116" s="19"/>
    </row>
    <row r="117" spans="4:70" ht="14.5" x14ac:dyDescent="0.25">
      <c r="D117" s="18"/>
      <c r="E117" s="17"/>
      <c r="BO117" s="19"/>
      <c r="BR117" s="19"/>
    </row>
    <row r="118" spans="4:70" ht="14.5" x14ac:dyDescent="0.25">
      <c r="D118" s="18"/>
      <c r="E118" s="17"/>
      <c r="BO118" s="19"/>
      <c r="BR118" s="19"/>
    </row>
    <row r="119" spans="4:70" ht="14.5" x14ac:dyDescent="0.25">
      <c r="D119" s="18"/>
      <c r="E119" s="17"/>
      <c r="BO119" s="19"/>
      <c r="BR119" s="19"/>
    </row>
    <row r="120" spans="4:70" ht="14.5" x14ac:dyDescent="0.25">
      <c r="D120" s="18"/>
      <c r="E120" s="17"/>
      <c r="BO120" s="19"/>
      <c r="BR120" s="19"/>
    </row>
    <row r="121" spans="4:70" ht="14.5" x14ac:dyDescent="0.25">
      <c r="D121" s="18"/>
      <c r="E121" s="17"/>
      <c r="BO121" s="19"/>
      <c r="BR121" s="19"/>
    </row>
    <row r="122" spans="4:70" ht="14.5" x14ac:dyDescent="0.25">
      <c r="D122" s="18"/>
      <c r="E122" s="17"/>
      <c r="BO122" s="19"/>
      <c r="BR122" s="19"/>
    </row>
    <row r="123" spans="4:70" ht="14.5" x14ac:dyDescent="0.25">
      <c r="D123" s="18"/>
      <c r="E123" s="17"/>
      <c r="BO123" s="19"/>
      <c r="BR123" s="19"/>
    </row>
    <row r="124" spans="4:70" ht="14.5" x14ac:dyDescent="0.25">
      <c r="D124" s="18"/>
      <c r="E124" s="17"/>
      <c r="BO124" s="19"/>
      <c r="BR124" s="19"/>
    </row>
    <row r="125" spans="4:70" ht="14.5" x14ac:dyDescent="0.25">
      <c r="D125" s="18"/>
      <c r="E125" s="17"/>
      <c r="BO125" s="19"/>
      <c r="BR125" s="19"/>
    </row>
    <row r="126" spans="4:70" ht="14.5" x14ac:dyDescent="0.25">
      <c r="D126" s="18"/>
      <c r="E126" s="17"/>
      <c r="BO126" s="19"/>
      <c r="BR126" s="19"/>
    </row>
    <row r="127" spans="4:70" ht="14.5" x14ac:dyDescent="0.25">
      <c r="D127" s="18"/>
      <c r="E127" s="17"/>
      <c r="BO127" s="19"/>
      <c r="BR127" s="19"/>
    </row>
    <row r="128" spans="4:70" ht="14.5" x14ac:dyDescent="0.25">
      <c r="D128" s="18"/>
      <c r="E128" s="17"/>
      <c r="BO128" s="19"/>
      <c r="BR128" s="19"/>
    </row>
    <row r="129" spans="4:70" ht="14.5" x14ac:dyDescent="0.25">
      <c r="D129" s="18"/>
      <c r="E129" s="17"/>
      <c r="BO129" s="19"/>
      <c r="BR129" s="19"/>
    </row>
    <row r="130" spans="4:70" ht="14.5" x14ac:dyDescent="0.25">
      <c r="D130" s="18"/>
      <c r="E130" s="17"/>
      <c r="BO130" s="19"/>
      <c r="BR130" s="19"/>
    </row>
    <row r="131" spans="4:70" ht="14.5" x14ac:dyDescent="0.25">
      <c r="D131" s="18"/>
      <c r="E131" s="17"/>
      <c r="BO131" s="19"/>
      <c r="BR131" s="19"/>
    </row>
    <row r="132" spans="4:70" ht="14.5" x14ac:dyDescent="0.25">
      <c r="D132" s="18"/>
      <c r="E132" s="17"/>
      <c r="BO132" s="19"/>
      <c r="BR132" s="19"/>
    </row>
    <row r="133" spans="4:70" ht="14.5" x14ac:dyDescent="0.25">
      <c r="D133" s="18"/>
      <c r="E133" s="17"/>
      <c r="BO133" s="19"/>
      <c r="BR133" s="19"/>
    </row>
    <row r="134" spans="4:70" ht="14.5" x14ac:dyDescent="0.25">
      <c r="D134" s="18"/>
      <c r="E134" s="17"/>
      <c r="BO134" s="19"/>
      <c r="BR134" s="19"/>
    </row>
    <row r="135" spans="4:70" ht="14.5" x14ac:dyDescent="0.25">
      <c r="D135" s="18"/>
      <c r="E135" s="17"/>
      <c r="BO135" s="19"/>
      <c r="BR135" s="19"/>
    </row>
    <row r="136" spans="4:70" ht="14.5" x14ac:dyDescent="0.25">
      <c r="D136" s="18"/>
      <c r="E136" s="17"/>
      <c r="BO136" s="19"/>
      <c r="BR136" s="19"/>
    </row>
    <row r="137" spans="4:70" ht="14.5" x14ac:dyDescent="0.25">
      <c r="D137" s="18"/>
      <c r="E137" s="17"/>
      <c r="BO137" s="19"/>
      <c r="BR137" s="19"/>
    </row>
    <row r="138" spans="4:70" ht="14.5" x14ac:dyDescent="0.25">
      <c r="D138" s="18"/>
      <c r="E138" s="17"/>
      <c r="BO138" s="19"/>
      <c r="BR138" s="19"/>
    </row>
    <row r="139" spans="4:70" ht="14.5" x14ac:dyDescent="0.25">
      <c r="D139" s="18"/>
      <c r="E139" s="17"/>
      <c r="BO139" s="19"/>
      <c r="BR139" s="19"/>
    </row>
    <row r="140" spans="4:70" ht="14.5" x14ac:dyDescent="0.25">
      <c r="D140" s="18"/>
      <c r="E140" s="17"/>
      <c r="BO140" s="19"/>
      <c r="BR140" s="19"/>
    </row>
    <row r="141" spans="4:70" ht="14.5" x14ac:dyDescent="0.25">
      <c r="D141" s="18"/>
      <c r="E141" s="17"/>
      <c r="BO141" s="19"/>
      <c r="BR141" s="19"/>
    </row>
    <row r="142" spans="4:70" ht="14.5" x14ac:dyDescent="0.25">
      <c r="D142" s="18"/>
      <c r="E142" s="17"/>
      <c r="BO142" s="19"/>
      <c r="BR142" s="19"/>
    </row>
    <row r="143" spans="4:70" ht="14.5" x14ac:dyDescent="0.25">
      <c r="D143" s="18"/>
      <c r="E143" s="17"/>
      <c r="BO143" s="19"/>
      <c r="BR143" s="19"/>
    </row>
    <row r="144" spans="4:70" ht="14.5" x14ac:dyDescent="0.25">
      <c r="D144" s="18"/>
      <c r="E144" s="17"/>
      <c r="BO144" s="19"/>
      <c r="BR144" s="19"/>
    </row>
    <row r="145" spans="4:70" ht="14.5" x14ac:dyDescent="0.25">
      <c r="D145" s="18"/>
      <c r="E145" s="17"/>
      <c r="BO145" s="19"/>
      <c r="BR145" s="19"/>
    </row>
    <row r="146" spans="4:70" ht="14.5" x14ac:dyDescent="0.25">
      <c r="D146" s="18"/>
      <c r="E146" s="17"/>
      <c r="BO146" s="19"/>
      <c r="BR146" s="19"/>
    </row>
    <row r="147" spans="4:70" ht="14.5" x14ac:dyDescent="0.25">
      <c r="D147" s="18"/>
      <c r="E147" s="17"/>
      <c r="BO147" s="19"/>
      <c r="BR147" s="19"/>
    </row>
    <row r="148" spans="4:70" ht="14.5" x14ac:dyDescent="0.25">
      <c r="D148" s="18"/>
      <c r="E148" s="17"/>
      <c r="BO148" s="19"/>
      <c r="BR148" s="19"/>
    </row>
    <row r="149" spans="4:70" ht="14.5" x14ac:dyDescent="0.25">
      <c r="D149" s="18"/>
      <c r="E149" s="17"/>
      <c r="BO149" s="19"/>
      <c r="BR149" s="19"/>
    </row>
    <row r="150" spans="4:70" ht="14.5" x14ac:dyDescent="0.25">
      <c r="D150" s="18"/>
      <c r="E150" s="17"/>
      <c r="BO150" s="19"/>
      <c r="BR150" s="19"/>
    </row>
    <row r="151" spans="4:70" ht="14.5" x14ac:dyDescent="0.25">
      <c r="D151" s="18"/>
      <c r="E151" s="17"/>
      <c r="BO151" s="19"/>
      <c r="BR151" s="19"/>
    </row>
    <row r="152" spans="4:70" ht="14.5" x14ac:dyDescent="0.25">
      <c r="D152" s="18"/>
      <c r="E152" s="17"/>
      <c r="BO152" s="19"/>
      <c r="BR152" s="19"/>
    </row>
    <row r="153" spans="4:70" ht="14.5" x14ac:dyDescent="0.25">
      <c r="D153" s="18"/>
      <c r="E153" s="17"/>
      <c r="BO153" s="19"/>
      <c r="BR153" s="19"/>
    </row>
    <row r="154" spans="4:70" ht="14.5" x14ac:dyDescent="0.25">
      <c r="D154" s="18"/>
      <c r="E154" s="17"/>
      <c r="BO154" s="19"/>
      <c r="BR154" s="19"/>
    </row>
    <row r="155" spans="4:70" ht="14.5" x14ac:dyDescent="0.25">
      <c r="D155" s="18"/>
      <c r="E155" s="17"/>
      <c r="BO155" s="19"/>
      <c r="BR155" s="19"/>
    </row>
    <row r="156" spans="4:70" ht="14.5" x14ac:dyDescent="0.25">
      <c r="D156" s="18"/>
      <c r="E156" s="17"/>
      <c r="BO156" s="19"/>
      <c r="BR156" s="19"/>
    </row>
    <row r="157" spans="4:70" ht="14.5" x14ac:dyDescent="0.25">
      <c r="D157" s="18"/>
      <c r="E157" s="17"/>
      <c r="BO157" s="19"/>
      <c r="BR157" s="19"/>
    </row>
    <row r="158" spans="4:70" ht="14.5" x14ac:dyDescent="0.25">
      <c r="D158" s="18"/>
      <c r="E158" s="17"/>
      <c r="BO158" s="19"/>
      <c r="BR158" s="19"/>
    </row>
    <row r="159" spans="4:70" ht="14.5" x14ac:dyDescent="0.25">
      <c r="D159" s="18"/>
      <c r="E159" s="17"/>
      <c r="BO159" s="19"/>
      <c r="BR159" s="19"/>
    </row>
    <row r="160" spans="4:70" ht="14.5" x14ac:dyDescent="0.25">
      <c r="D160" s="18"/>
      <c r="E160" s="17"/>
      <c r="BO160" s="19"/>
      <c r="BR160" s="19"/>
    </row>
    <row r="161" spans="4:70" ht="14.5" x14ac:dyDescent="0.25">
      <c r="D161" s="18"/>
      <c r="E161" s="17"/>
      <c r="BO161" s="19"/>
      <c r="BR161" s="19"/>
    </row>
    <row r="162" spans="4:70" ht="14.5" x14ac:dyDescent="0.25">
      <c r="D162" s="18"/>
      <c r="E162" s="17"/>
      <c r="BO162" s="19"/>
      <c r="BR162" s="19"/>
    </row>
    <row r="163" spans="4:70" ht="14.5" x14ac:dyDescent="0.25">
      <c r="D163" s="18"/>
      <c r="E163" s="17"/>
      <c r="BO163" s="19"/>
      <c r="BR163" s="19"/>
    </row>
    <row r="164" spans="4:70" ht="14.5" x14ac:dyDescent="0.25">
      <c r="D164" s="18"/>
      <c r="E164" s="17"/>
      <c r="BO164" s="19"/>
      <c r="BR164" s="19"/>
    </row>
    <row r="165" spans="4:70" ht="14.5" x14ac:dyDescent="0.25">
      <c r="D165" s="18"/>
      <c r="E165" s="17"/>
      <c r="BO165" s="19"/>
      <c r="BR165" s="19"/>
    </row>
    <row r="166" spans="4:70" ht="14.5" x14ac:dyDescent="0.25">
      <c r="D166" s="18"/>
      <c r="E166" s="17"/>
      <c r="BO166" s="19"/>
      <c r="BR166" s="19"/>
    </row>
    <row r="167" spans="4:70" ht="14.5" x14ac:dyDescent="0.25">
      <c r="D167" s="18"/>
      <c r="E167" s="17"/>
      <c r="BO167" s="19"/>
      <c r="BR167" s="19"/>
    </row>
    <row r="168" spans="4:70" ht="14.5" x14ac:dyDescent="0.25">
      <c r="D168" s="18"/>
      <c r="E168" s="17"/>
      <c r="BO168" s="19"/>
      <c r="BR168" s="19"/>
    </row>
    <row r="169" spans="4:70" ht="14.5" x14ac:dyDescent="0.25">
      <c r="D169" s="18"/>
      <c r="E169" s="17"/>
      <c r="BO169" s="19"/>
      <c r="BR169" s="19"/>
    </row>
    <row r="170" spans="4:70" ht="14.5" x14ac:dyDescent="0.25">
      <c r="D170" s="18"/>
      <c r="E170" s="17"/>
      <c r="BO170" s="19"/>
      <c r="BR170" s="19"/>
    </row>
    <row r="171" spans="4:70" ht="14.5" x14ac:dyDescent="0.25">
      <c r="D171" s="18"/>
      <c r="E171" s="17"/>
      <c r="BO171" s="19"/>
      <c r="BR171" s="19"/>
    </row>
    <row r="172" spans="4:70" ht="14.5" x14ac:dyDescent="0.25">
      <c r="D172" s="18"/>
      <c r="E172" s="17"/>
      <c r="BO172" s="19"/>
      <c r="BR172" s="19"/>
    </row>
    <row r="173" spans="4:70" ht="14.5" x14ac:dyDescent="0.25">
      <c r="D173" s="18"/>
      <c r="E173" s="17"/>
      <c r="BO173" s="19"/>
      <c r="BR173" s="19"/>
    </row>
    <row r="174" spans="4:70" ht="14.5" x14ac:dyDescent="0.25">
      <c r="D174" s="18"/>
      <c r="E174" s="17"/>
      <c r="BO174" s="19"/>
      <c r="BR174" s="19"/>
    </row>
    <row r="175" spans="4:70" ht="14.5" x14ac:dyDescent="0.25">
      <c r="D175" s="18"/>
      <c r="E175" s="17"/>
      <c r="BO175" s="19"/>
      <c r="BR175" s="19"/>
    </row>
    <row r="176" spans="4:70" ht="14.5" x14ac:dyDescent="0.25">
      <c r="D176" s="18"/>
      <c r="E176" s="17"/>
      <c r="BO176" s="19"/>
      <c r="BR176" s="19"/>
    </row>
    <row r="177" spans="4:70" ht="14.5" x14ac:dyDescent="0.25">
      <c r="D177" s="18"/>
      <c r="E177" s="17"/>
      <c r="BO177" s="19"/>
      <c r="BR177" s="19"/>
    </row>
    <row r="178" spans="4:70" ht="14.5" x14ac:dyDescent="0.25">
      <c r="D178" s="18"/>
      <c r="E178" s="17"/>
      <c r="BO178" s="19"/>
      <c r="BR178" s="19"/>
    </row>
    <row r="179" spans="4:70" ht="14.5" x14ac:dyDescent="0.25">
      <c r="D179" s="18"/>
      <c r="E179" s="17"/>
      <c r="BO179" s="19"/>
      <c r="BR179" s="19"/>
    </row>
    <row r="180" spans="4:70" ht="14.5" x14ac:dyDescent="0.25">
      <c r="D180" s="18"/>
      <c r="E180" s="17"/>
      <c r="BO180" s="19"/>
      <c r="BR180" s="19"/>
    </row>
    <row r="181" spans="4:70" ht="14.5" x14ac:dyDescent="0.25">
      <c r="D181" s="18"/>
      <c r="E181" s="17"/>
      <c r="BO181" s="19"/>
      <c r="BR181" s="19"/>
    </row>
    <row r="182" spans="4:70" ht="14.5" x14ac:dyDescent="0.25">
      <c r="D182" s="18"/>
      <c r="E182" s="17"/>
      <c r="BO182" s="19"/>
      <c r="BR182" s="19"/>
    </row>
    <row r="183" spans="4:70" ht="14.5" x14ac:dyDescent="0.25">
      <c r="D183" s="18"/>
      <c r="E183" s="17"/>
      <c r="BO183" s="19"/>
      <c r="BR183" s="19"/>
    </row>
    <row r="184" spans="4:70" ht="14.5" x14ac:dyDescent="0.25">
      <c r="D184" s="18"/>
      <c r="E184" s="17"/>
      <c r="BO184" s="19"/>
      <c r="BR184" s="19"/>
    </row>
    <row r="185" spans="4:70" ht="14.5" x14ac:dyDescent="0.25">
      <c r="D185" s="18"/>
      <c r="E185" s="17"/>
      <c r="BO185" s="19"/>
      <c r="BR185" s="19"/>
    </row>
    <row r="186" spans="4:70" ht="14.5" x14ac:dyDescent="0.25">
      <c r="D186" s="18"/>
      <c r="E186" s="17"/>
      <c r="BO186" s="19"/>
      <c r="BR186" s="19"/>
    </row>
    <row r="187" spans="4:70" ht="14.5" x14ac:dyDescent="0.25">
      <c r="D187" s="18"/>
      <c r="E187" s="17"/>
      <c r="BO187" s="19"/>
      <c r="BR187" s="19"/>
    </row>
    <row r="188" spans="4:70" ht="14.5" x14ac:dyDescent="0.25">
      <c r="D188" s="18"/>
      <c r="E188" s="17"/>
      <c r="BO188" s="19"/>
      <c r="BR188" s="19"/>
    </row>
    <row r="189" spans="4:70" ht="14.5" x14ac:dyDescent="0.25">
      <c r="D189" s="18"/>
      <c r="E189" s="17"/>
      <c r="BO189" s="19"/>
      <c r="BR189" s="19"/>
    </row>
    <row r="190" spans="4:70" ht="14.5" x14ac:dyDescent="0.25">
      <c r="D190" s="18"/>
      <c r="E190" s="17"/>
      <c r="BO190" s="19"/>
      <c r="BR190" s="19"/>
    </row>
    <row r="191" spans="4:70" ht="14.5" x14ac:dyDescent="0.25">
      <c r="D191" s="18"/>
      <c r="E191" s="17"/>
      <c r="BO191" s="19"/>
      <c r="BR191" s="19"/>
    </row>
    <row r="192" spans="4:70" ht="14.5" x14ac:dyDescent="0.25">
      <c r="D192" s="18"/>
      <c r="E192" s="17"/>
      <c r="BO192" s="19"/>
      <c r="BR192" s="19"/>
    </row>
    <row r="193" spans="4:70" ht="14.5" x14ac:dyDescent="0.25">
      <c r="D193" s="18"/>
      <c r="E193" s="17"/>
      <c r="BO193" s="19"/>
      <c r="BR193" s="19"/>
    </row>
    <row r="194" spans="4:70" ht="14.5" x14ac:dyDescent="0.25">
      <c r="D194" s="18"/>
      <c r="E194" s="17"/>
      <c r="BO194" s="19"/>
      <c r="BR194" s="19"/>
    </row>
    <row r="195" spans="4:70" ht="14.5" x14ac:dyDescent="0.25">
      <c r="D195" s="18"/>
      <c r="E195" s="17"/>
      <c r="BO195" s="19"/>
      <c r="BR195" s="19"/>
    </row>
    <row r="196" spans="4:70" ht="14.5" x14ac:dyDescent="0.25">
      <c r="D196" s="18"/>
      <c r="E196" s="17"/>
      <c r="BO196" s="19"/>
      <c r="BR196" s="19"/>
    </row>
    <row r="197" spans="4:70" ht="14.5" x14ac:dyDescent="0.25">
      <c r="D197" s="18"/>
      <c r="E197" s="17"/>
      <c r="BO197" s="19"/>
      <c r="BR197" s="19"/>
    </row>
    <row r="198" spans="4:70" ht="14.5" x14ac:dyDescent="0.25">
      <c r="D198" s="18"/>
      <c r="E198" s="17"/>
      <c r="BO198" s="19"/>
      <c r="BR198" s="19"/>
    </row>
    <row r="199" spans="4:70" ht="14.5" x14ac:dyDescent="0.25">
      <c r="D199" s="18"/>
      <c r="E199" s="17"/>
      <c r="BO199" s="19"/>
      <c r="BR199" s="19"/>
    </row>
    <row r="200" spans="4:70" ht="14.5" x14ac:dyDescent="0.25">
      <c r="D200" s="18"/>
      <c r="E200" s="17"/>
      <c r="BO200" s="19"/>
      <c r="BR200" s="19"/>
    </row>
    <row r="201" spans="4:70" ht="14.5" x14ac:dyDescent="0.25">
      <c r="D201" s="18"/>
      <c r="E201" s="17"/>
      <c r="BO201" s="19"/>
      <c r="BR201" s="19"/>
    </row>
    <row r="202" spans="4:70" ht="14.5" x14ac:dyDescent="0.25">
      <c r="D202" s="18"/>
      <c r="E202" s="17"/>
      <c r="BO202" s="19"/>
      <c r="BR202" s="19"/>
    </row>
    <row r="203" spans="4:70" ht="14.5" x14ac:dyDescent="0.25">
      <c r="D203" s="18"/>
      <c r="E203" s="17"/>
      <c r="BO203" s="19"/>
      <c r="BR203" s="19"/>
    </row>
    <row r="204" spans="4:70" ht="14.5" x14ac:dyDescent="0.25">
      <c r="D204" s="18"/>
      <c r="E204" s="17"/>
      <c r="BO204" s="19"/>
      <c r="BR204" s="19"/>
    </row>
    <row r="205" spans="4:70" ht="14.5" x14ac:dyDescent="0.25">
      <c r="D205" s="18"/>
      <c r="E205" s="17"/>
      <c r="BO205" s="19"/>
      <c r="BR205" s="19"/>
    </row>
    <row r="206" spans="4:70" ht="14.5" x14ac:dyDescent="0.25">
      <c r="D206" s="18"/>
      <c r="E206" s="17"/>
      <c r="BO206" s="19"/>
      <c r="BR206" s="19"/>
    </row>
    <row r="207" spans="4:70" ht="14.5" x14ac:dyDescent="0.25">
      <c r="D207" s="18"/>
      <c r="E207" s="17"/>
      <c r="BO207" s="19"/>
      <c r="BR207" s="19"/>
    </row>
    <row r="208" spans="4:70" ht="14.5" x14ac:dyDescent="0.25">
      <c r="D208" s="18"/>
      <c r="E208" s="17"/>
      <c r="BO208" s="19"/>
      <c r="BR208" s="19"/>
    </row>
    <row r="209" spans="4:70" ht="14.5" x14ac:dyDescent="0.25">
      <c r="D209" s="18"/>
      <c r="E209" s="17"/>
      <c r="BO209" s="19"/>
      <c r="BR209" s="19"/>
    </row>
    <row r="210" spans="4:70" ht="14.5" x14ac:dyDescent="0.25">
      <c r="D210" s="18"/>
      <c r="E210" s="17"/>
      <c r="BO210" s="19"/>
      <c r="BR210" s="19"/>
    </row>
    <row r="211" spans="4:70" ht="14.5" x14ac:dyDescent="0.25">
      <c r="D211" s="18"/>
      <c r="E211" s="17"/>
      <c r="BO211" s="19"/>
      <c r="BR211" s="19"/>
    </row>
    <row r="212" spans="4:70" ht="14.5" x14ac:dyDescent="0.25">
      <c r="D212" s="18"/>
      <c r="E212" s="17"/>
      <c r="BO212" s="19"/>
      <c r="BR212" s="19"/>
    </row>
    <row r="213" spans="4:70" ht="14.5" x14ac:dyDescent="0.25">
      <c r="D213" s="18"/>
      <c r="E213" s="17"/>
      <c r="BO213" s="19"/>
      <c r="BR213" s="19"/>
    </row>
    <row r="214" spans="4:70" ht="14.5" x14ac:dyDescent="0.25">
      <c r="D214" s="18"/>
      <c r="E214" s="17"/>
      <c r="BO214" s="19"/>
      <c r="BR214" s="19"/>
    </row>
    <row r="215" spans="4:70" ht="14.5" x14ac:dyDescent="0.25">
      <c r="D215" s="18"/>
      <c r="E215" s="17"/>
      <c r="BO215" s="19"/>
      <c r="BR215" s="19"/>
    </row>
    <row r="216" spans="4:70" ht="14.5" x14ac:dyDescent="0.25">
      <c r="D216" s="18"/>
      <c r="E216" s="17"/>
      <c r="BO216" s="19"/>
      <c r="BR216" s="19"/>
    </row>
    <row r="217" spans="4:70" ht="14.5" x14ac:dyDescent="0.25">
      <c r="D217" s="18"/>
      <c r="E217" s="17"/>
      <c r="BO217" s="19"/>
      <c r="BR217" s="19"/>
    </row>
    <row r="218" spans="4:70" ht="14.5" x14ac:dyDescent="0.25">
      <c r="D218" s="18"/>
      <c r="E218" s="17"/>
      <c r="BO218" s="19"/>
      <c r="BR218" s="19"/>
    </row>
    <row r="219" spans="4:70" ht="14.5" x14ac:dyDescent="0.25">
      <c r="D219" s="18"/>
      <c r="E219" s="17"/>
      <c r="BO219" s="19"/>
      <c r="BR219" s="19"/>
    </row>
    <row r="220" spans="4:70" ht="14.5" x14ac:dyDescent="0.25">
      <c r="D220" s="18"/>
      <c r="E220" s="17"/>
      <c r="BO220" s="19"/>
      <c r="BR220" s="19"/>
    </row>
    <row r="221" spans="4:70" ht="14.5" x14ac:dyDescent="0.25">
      <c r="D221" s="18"/>
      <c r="E221" s="17"/>
      <c r="BO221" s="19"/>
      <c r="BR221" s="19"/>
    </row>
    <row r="222" spans="4:70" ht="14.5" x14ac:dyDescent="0.25">
      <c r="D222" s="18"/>
      <c r="E222" s="17"/>
      <c r="BO222" s="19"/>
      <c r="BR222" s="19"/>
    </row>
    <row r="223" spans="4:70" ht="14.5" x14ac:dyDescent="0.25">
      <c r="D223" s="18"/>
      <c r="E223" s="17"/>
      <c r="BO223" s="19"/>
      <c r="BR223" s="19"/>
    </row>
    <row r="224" spans="4:70" ht="14.5" x14ac:dyDescent="0.25">
      <c r="D224" s="18"/>
      <c r="E224" s="17"/>
      <c r="BO224" s="19"/>
      <c r="BR224" s="19"/>
    </row>
    <row r="225" spans="4:70" ht="14.5" x14ac:dyDescent="0.25">
      <c r="D225" s="18"/>
      <c r="E225" s="17"/>
      <c r="BO225" s="19"/>
      <c r="BR225" s="19"/>
    </row>
    <row r="226" spans="4:70" ht="14.5" x14ac:dyDescent="0.25">
      <c r="D226" s="18"/>
      <c r="E226" s="17"/>
      <c r="BO226" s="19"/>
      <c r="BR226" s="19"/>
    </row>
    <row r="227" spans="4:70" ht="14.5" x14ac:dyDescent="0.25">
      <c r="D227" s="18"/>
      <c r="E227" s="17"/>
      <c r="BO227" s="19"/>
      <c r="BR227" s="19"/>
    </row>
    <row r="228" spans="4:70" ht="14.5" x14ac:dyDescent="0.25">
      <c r="D228" s="18"/>
      <c r="E228" s="17"/>
      <c r="BO228" s="19"/>
      <c r="BR228" s="19"/>
    </row>
    <row r="229" spans="4:70" ht="14.5" x14ac:dyDescent="0.25">
      <c r="D229" s="18"/>
      <c r="E229" s="17"/>
      <c r="BO229" s="19"/>
      <c r="BR229" s="19"/>
    </row>
    <row r="230" spans="4:70" ht="14.5" x14ac:dyDescent="0.25">
      <c r="D230" s="18"/>
      <c r="E230" s="17"/>
      <c r="BO230" s="19"/>
      <c r="BR230" s="19"/>
    </row>
    <row r="231" spans="4:70" ht="14.5" x14ac:dyDescent="0.25">
      <c r="D231" s="18"/>
      <c r="E231" s="17"/>
      <c r="BO231" s="19"/>
      <c r="BR231" s="19"/>
    </row>
    <row r="232" spans="4:70" ht="14.5" x14ac:dyDescent="0.25">
      <c r="D232" s="18"/>
      <c r="E232" s="17"/>
      <c r="BR232" s="19"/>
    </row>
    <row r="233" spans="4:70" ht="14.5" x14ac:dyDescent="0.25">
      <c r="D233" s="18"/>
      <c r="E233" s="17"/>
      <c r="BO233" s="19"/>
      <c r="BR233" s="19"/>
    </row>
    <row r="234" spans="4:70" ht="14.5" x14ac:dyDescent="0.25">
      <c r="D234" s="18"/>
      <c r="E234" s="17"/>
      <c r="BO234" s="19"/>
      <c r="BR234" s="19"/>
    </row>
    <row r="235" spans="4:70" ht="14.5" x14ac:dyDescent="0.25">
      <c r="D235" s="18"/>
      <c r="E235" s="17"/>
      <c r="BO235" s="19"/>
      <c r="BR235" s="19"/>
    </row>
    <row r="236" spans="4:70" ht="14.5" x14ac:dyDescent="0.25">
      <c r="D236" s="18"/>
      <c r="E236" s="17"/>
      <c r="BO236" s="19"/>
      <c r="BR236" s="19"/>
    </row>
    <row r="237" spans="4:70" ht="14.5" x14ac:dyDescent="0.25">
      <c r="D237" s="18"/>
      <c r="E237" s="17"/>
      <c r="BO237" s="19"/>
      <c r="BR237" s="19"/>
    </row>
    <row r="238" spans="4:70" ht="14.5" x14ac:dyDescent="0.25">
      <c r="D238" s="18"/>
      <c r="E238" s="17"/>
      <c r="BO238" s="19"/>
      <c r="BR238" s="19"/>
    </row>
    <row r="239" spans="4:70" ht="14.5" x14ac:dyDescent="0.25">
      <c r="D239" s="18"/>
      <c r="E239" s="17"/>
      <c r="BO239" s="19"/>
      <c r="BR239" s="19"/>
    </row>
    <row r="240" spans="4:70" ht="14.5" x14ac:dyDescent="0.25">
      <c r="D240" s="18"/>
      <c r="E240" s="17"/>
      <c r="BO240" s="19"/>
      <c r="BR240" s="19"/>
    </row>
    <row r="241" spans="4:70" ht="14.5" x14ac:dyDescent="0.25">
      <c r="D241" s="18"/>
      <c r="E241" s="17"/>
      <c r="BO241" s="19"/>
      <c r="BR241" s="19"/>
    </row>
    <row r="242" spans="4:70" ht="14.5" x14ac:dyDescent="0.25">
      <c r="D242" s="18"/>
      <c r="E242" s="17"/>
      <c r="BO242" s="19"/>
      <c r="BR242" s="19"/>
    </row>
    <row r="243" spans="4:70" ht="14.5" x14ac:dyDescent="0.25">
      <c r="D243" s="18"/>
      <c r="E243" s="17"/>
      <c r="BO243" s="19"/>
      <c r="BR243" s="19"/>
    </row>
    <row r="244" spans="4:70" ht="14.5" x14ac:dyDescent="0.25">
      <c r="D244" s="18"/>
      <c r="E244" s="17"/>
      <c r="BO244" s="19"/>
      <c r="BR244" s="19"/>
    </row>
    <row r="245" spans="4:70" ht="14.5" x14ac:dyDescent="0.25">
      <c r="D245" s="18"/>
      <c r="E245" s="17"/>
      <c r="BO245" s="19"/>
      <c r="BR245" s="19"/>
    </row>
    <row r="246" spans="4:70" ht="14.5" x14ac:dyDescent="0.25">
      <c r="D246" s="18"/>
      <c r="E246" s="17"/>
      <c r="BO246" s="19"/>
      <c r="BR246" s="19"/>
    </row>
    <row r="247" spans="4:70" ht="14.5" x14ac:dyDescent="0.25">
      <c r="D247" s="18"/>
      <c r="E247" s="17"/>
      <c r="BO247" s="19"/>
      <c r="BR247" s="19"/>
    </row>
    <row r="248" spans="4:70" ht="14.5" x14ac:dyDescent="0.25">
      <c r="D248" s="18"/>
      <c r="E248" s="17"/>
      <c r="BO248" s="19"/>
      <c r="BR248" s="19"/>
    </row>
    <row r="249" spans="4:70" ht="14.5" x14ac:dyDescent="0.25">
      <c r="D249" s="18"/>
      <c r="E249" s="17"/>
      <c r="BO249" s="19"/>
      <c r="BR249" s="19"/>
    </row>
    <row r="250" spans="4:70" ht="14.5" x14ac:dyDescent="0.25">
      <c r="D250" s="18"/>
      <c r="E250" s="17"/>
      <c r="BO250" s="19"/>
      <c r="BR250" s="19"/>
    </row>
    <row r="251" spans="4:70" ht="14.5" x14ac:dyDescent="0.25">
      <c r="D251" s="18"/>
      <c r="E251" s="17"/>
      <c r="BO251" s="19"/>
      <c r="BR251" s="19"/>
    </row>
    <row r="252" spans="4:70" ht="14.5" x14ac:dyDescent="0.25">
      <c r="D252" s="18"/>
      <c r="E252" s="17"/>
      <c r="BO252" s="19"/>
      <c r="BR252" s="19"/>
    </row>
    <row r="253" spans="4:70" ht="14.5" x14ac:dyDescent="0.25">
      <c r="D253" s="18"/>
      <c r="E253" s="17"/>
      <c r="BO253" s="19"/>
      <c r="BR253" s="19"/>
    </row>
    <row r="254" spans="4:70" ht="14.5" x14ac:dyDescent="0.25">
      <c r="D254" s="18"/>
      <c r="E254" s="17"/>
      <c r="BO254" s="19"/>
      <c r="BR254" s="19"/>
    </row>
    <row r="255" spans="4:70" ht="14.5" x14ac:dyDescent="0.25">
      <c r="D255" s="18"/>
      <c r="E255" s="17"/>
      <c r="BO255" s="19"/>
      <c r="BR255" s="19"/>
    </row>
    <row r="256" spans="4:70" ht="14.5" x14ac:dyDescent="0.25">
      <c r="D256" s="18"/>
      <c r="E256" s="17"/>
      <c r="BO256" s="19"/>
      <c r="BR256" s="19"/>
    </row>
    <row r="257" spans="4:70" ht="14.5" x14ac:dyDescent="0.25">
      <c r="D257" s="18"/>
      <c r="E257" s="17"/>
      <c r="BO257" s="19"/>
      <c r="BR257" s="19"/>
    </row>
    <row r="258" spans="4:70" ht="14.5" x14ac:dyDescent="0.25">
      <c r="D258" s="18"/>
      <c r="E258" s="17"/>
      <c r="BO258" s="19"/>
      <c r="BR258" s="19"/>
    </row>
    <row r="259" spans="4:70" ht="14.5" x14ac:dyDescent="0.25">
      <c r="D259" s="18"/>
      <c r="E259" s="17"/>
      <c r="BO259" s="19"/>
      <c r="BR259" s="19"/>
    </row>
    <row r="260" spans="4:70" ht="14.5" x14ac:dyDescent="0.25">
      <c r="D260" s="18"/>
      <c r="E260" s="17"/>
      <c r="BO260" s="19"/>
      <c r="BR260" s="19"/>
    </row>
    <row r="261" spans="4:70" ht="14.5" x14ac:dyDescent="0.25">
      <c r="D261" s="18"/>
      <c r="E261" s="17"/>
      <c r="BO261" s="19"/>
      <c r="BR261" s="19"/>
    </row>
    <row r="262" spans="4:70" ht="14.5" x14ac:dyDescent="0.25">
      <c r="D262" s="18"/>
      <c r="E262" s="17"/>
      <c r="BO262" s="19"/>
      <c r="BR262" s="19"/>
    </row>
    <row r="263" spans="4:70" ht="14.5" x14ac:dyDescent="0.25">
      <c r="D263" s="18"/>
      <c r="E263" s="17"/>
      <c r="BO263" s="19"/>
      <c r="BR263" s="19"/>
    </row>
    <row r="264" spans="4:70" ht="14.5" x14ac:dyDescent="0.25">
      <c r="D264" s="18"/>
      <c r="E264" s="17"/>
      <c r="BO264" s="19"/>
      <c r="BR264" s="19"/>
    </row>
    <row r="265" spans="4:70" ht="14.5" x14ac:dyDescent="0.25">
      <c r="D265" s="18"/>
      <c r="E265" s="17"/>
      <c r="BO265" s="19"/>
      <c r="BR265" s="19"/>
    </row>
    <row r="266" spans="4:70" ht="14.5" x14ac:dyDescent="0.25">
      <c r="D266" s="18"/>
      <c r="E266" s="17"/>
      <c r="BO266" s="19"/>
      <c r="BR266" s="19"/>
    </row>
    <row r="267" spans="4:70" ht="14.5" x14ac:dyDescent="0.25">
      <c r="D267" s="18"/>
      <c r="E267" s="17"/>
      <c r="BO267" s="19"/>
      <c r="BR267" s="19"/>
    </row>
    <row r="268" spans="4:70" ht="14.5" x14ac:dyDescent="0.25">
      <c r="D268" s="18"/>
      <c r="E268" s="17"/>
      <c r="BO268" s="19"/>
      <c r="BR268" s="19"/>
    </row>
    <row r="269" spans="4:70" ht="14.5" x14ac:dyDescent="0.25">
      <c r="D269" s="18"/>
      <c r="E269" s="17"/>
      <c r="BO269" s="19"/>
      <c r="BR269" s="19"/>
    </row>
    <row r="270" spans="4:70" ht="14.5" x14ac:dyDescent="0.25">
      <c r="D270" s="18"/>
      <c r="E270" s="17"/>
      <c r="BO270" s="19"/>
      <c r="BR270" s="19"/>
    </row>
    <row r="271" spans="4:70" ht="14.5" x14ac:dyDescent="0.25">
      <c r="D271" s="18"/>
      <c r="E271" s="17"/>
      <c r="BO271" s="19"/>
      <c r="BR271" s="19"/>
    </row>
    <row r="272" spans="4:70" ht="14.5" x14ac:dyDescent="0.25">
      <c r="D272" s="18"/>
      <c r="E272" s="17"/>
      <c r="BO272" s="19"/>
      <c r="BR272" s="19"/>
    </row>
    <row r="273" spans="4:70" ht="14.5" x14ac:dyDescent="0.25">
      <c r="D273" s="18"/>
      <c r="E273" s="17"/>
      <c r="BO273" s="19"/>
      <c r="BR273" s="19"/>
    </row>
    <row r="274" spans="4:70" ht="14.5" x14ac:dyDescent="0.25">
      <c r="D274" s="18"/>
      <c r="E274" s="17"/>
      <c r="BO274" s="19"/>
      <c r="BR274" s="19"/>
    </row>
    <row r="275" spans="4:70" ht="14.5" x14ac:dyDescent="0.25">
      <c r="D275" s="18"/>
      <c r="E275" s="17"/>
      <c r="BR275" s="19"/>
    </row>
    <row r="276" spans="4:70" ht="14.5" x14ac:dyDescent="0.25">
      <c r="D276" s="18"/>
      <c r="E276" s="17"/>
      <c r="BO276" s="19"/>
      <c r="BR276" s="19"/>
    </row>
    <row r="277" spans="4:70" ht="14.5" x14ac:dyDescent="0.25">
      <c r="D277" s="18"/>
      <c r="E277" s="17"/>
      <c r="BO277" s="19"/>
      <c r="BR277" s="19"/>
    </row>
    <row r="278" spans="4:70" ht="14.5" x14ac:dyDescent="0.25">
      <c r="D278" s="18"/>
      <c r="E278" s="17"/>
      <c r="BO278" s="19"/>
      <c r="BR278" s="19"/>
    </row>
    <row r="279" spans="4:70" ht="14.5" x14ac:dyDescent="0.25">
      <c r="D279" s="18"/>
      <c r="E279" s="17"/>
      <c r="BO279" s="19"/>
      <c r="BR279" s="19"/>
    </row>
    <row r="280" spans="4:70" ht="14.5" x14ac:dyDescent="0.25">
      <c r="D280" s="18"/>
      <c r="E280" s="17"/>
      <c r="BO280" s="19"/>
      <c r="BR280" s="19"/>
    </row>
    <row r="281" spans="4:70" ht="14.5" x14ac:dyDescent="0.25">
      <c r="D281" s="18"/>
      <c r="E281" s="17"/>
      <c r="BO281" s="19"/>
      <c r="BR281" s="19"/>
    </row>
    <row r="282" spans="4:70" ht="14.5" x14ac:dyDescent="0.25">
      <c r="D282" s="18"/>
      <c r="E282" s="17"/>
      <c r="BO282" s="19"/>
      <c r="BR282" s="19"/>
    </row>
    <row r="283" spans="4:70" ht="14.5" x14ac:dyDescent="0.25">
      <c r="D283" s="18"/>
      <c r="E283" s="17"/>
      <c r="BO283" s="19"/>
      <c r="BR283" s="19"/>
    </row>
    <row r="284" spans="4:70" ht="14.5" x14ac:dyDescent="0.25">
      <c r="D284" s="18"/>
      <c r="E284" s="17"/>
      <c r="BO284" s="19"/>
      <c r="BR284" s="19"/>
    </row>
    <row r="285" spans="4:70" ht="14.5" x14ac:dyDescent="0.25">
      <c r="D285" s="18"/>
      <c r="E285" s="17"/>
      <c r="BO285" s="19"/>
      <c r="BR285" s="19"/>
    </row>
    <row r="286" spans="4:70" ht="14.5" x14ac:dyDescent="0.25">
      <c r="D286" s="18"/>
      <c r="E286" s="17"/>
      <c r="BO286" s="19"/>
      <c r="BR286" s="19"/>
    </row>
    <row r="287" spans="4:70" ht="14.5" x14ac:dyDescent="0.25">
      <c r="D287" s="18"/>
      <c r="E287" s="17"/>
      <c r="BO287" s="19"/>
      <c r="BR287" s="19"/>
    </row>
    <row r="288" spans="4:70" ht="14.5" x14ac:dyDescent="0.25">
      <c r="D288" s="18"/>
      <c r="E288" s="17"/>
      <c r="BO288" s="19"/>
      <c r="BR288" s="19"/>
    </row>
    <row r="289" spans="4:70" ht="14.5" x14ac:dyDescent="0.25">
      <c r="D289" s="18"/>
      <c r="E289" s="17"/>
      <c r="BO289" s="19"/>
      <c r="BR289" s="19"/>
    </row>
    <row r="290" spans="4:70" ht="14.5" x14ac:dyDescent="0.25">
      <c r="D290" s="18"/>
      <c r="E290" s="17"/>
      <c r="BO290" s="19"/>
      <c r="BR290" s="19"/>
    </row>
    <row r="291" spans="4:70" ht="14.5" x14ac:dyDescent="0.25">
      <c r="D291" s="18"/>
      <c r="E291" s="17"/>
      <c r="BO291" s="19"/>
      <c r="BR291" s="19"/>
    </row>
    <row r="292" spans="4:70" ht="14.5" x14ac:dyDescent="0.25">
      <c r="D292" s="18"/>
      <c r="E292" s="17"/>
      <c r="BO292" s="19"/>
      <c r="BR292" s="19"/>
    </row>
    <row r="293" spans="4:70" ht="14.5" x14ac:dyDescent="0.25">
      <c r="D293" s="18"/>
      <c r="E293" s="17"/>
      <c r="BO293" s="19"/>
      <c r="BR293" s="19"/>
    </row>
    <row r="294" spans="4:70" ht="14.5" x14ac:dyDescent="0.25">
      <c r="D294" s="18"/>
      <c r="E294" s="17"/>
      <c r="BO294" s="19"/>
      <c r="BR294" s="19"/>
    </row>
    <row r="295" spans="4:70" ht="14.5" x14ac:dyDescent="0.25">
      <c r="D295" s="18"/>
      <c r="E295" s="17"/>
      <c r="BO295" s="19"/>
      <c r="BR295" s="19"/>
    </row>
    <row r="296" spans="4:70" ht="14.5" x14ac:dyDescent="0.25">
      <c r="D296" s="18"/>
      <c r="E296" s="17"/>
      <c r="BO296" s="19"/>
      <c r="BR296" s="19"/>
    </row>
    <row r="297" spans="4:70" ht="14.5" x14ac:dyDescent="0.25">
      <c r="D297" s="18"/>
      <c r="E297" s="17"/>
      <c r="BO297" s="19"/>
      <c r="BR297" s="19"/>
    </row>
    <row r="298" spans="4:70" ht="14.5" x14ac:dyDescent="0.25">
      <c r="D298" s="18"/>
      <c r="E298" s="17"/>
      <c r="BO298" s="19"/>
      <c r="BR298" s="19"/>
    </row>
    <row r="299" spans="4:70" ht="14.5" x14ac:dyDescent="0.25">
      <c r="D299" s="18"/>
      <c r="E299" s="17"/>
      <c r="BO299" s="19"/>
      <c r="BR299" s="19"/>
    </row>
    <row r="300" spans="4:70" ht="14.5" x14ac:dyDescent="0.25">
      <c r="D300" s="18"/>
      <c r="E300" s="17"/>
      <c r="BO300" s="19"/>
      <c r="BR300" s="19"/>
    </row>
    <row r="301" spans="4:70" ht="14.5" x14ac:dyDescent="0.25">
      <c r="D301" s="18"/>
      <c r="E301" s="17"/>
      <c r="BO301" s="19"/>
      <c r="BR301" s="19"/>
    </row>
    <row r="302" spans="4:70" ht="14.5" x14ac:dyDescent="0.25">
      <c r="D302" s="18"/>
      <c r="E302" s="17"/>
      <c r="BO302" s="19"/>
      <c r="BR302" s="19"/>
    </row>
    <row r="303" spans="4:70" ht="14.5" x14ac:dyDescent="0.25">
      <c r="D303" s="18"/>
      <c r="E303" s="17"/>
      <c r="BO303" s="19"/>
      <c r="BR303" s="19"/>
    </row>
    <row r="304" spans="4:70" ht="14.5" x14ac:dyDescent="0.25">
      <c r="D304" s="18"/>
      <c r="E304" s="17"/>
      <c r="BO304" s="19"/>
      <c r="BR304" s="19"/>
    </row>
    <row r="305" spans="4:70" ht="14.5" x14ac:dyDescent="0.25">
      <c r="D305" s="18"/>
      <c r="E305" s="17"/>
      <c r="BO305" s="19"/>
      <c r="BR305" s="19"/>
    </row>
    <row r="306" spans="4:70" ht="14.5" x14ac:dyDescent="0.25">
      <c r="D306" s="18"/>
      <c r="E306" s="17"/>
      <c r="BO306" s="19"/>
      <c r="BR306" s="19"/>
    </row>
    <row r="307" spans="4:70" ht="14.5" x14ac:dyDescent="0.25">
      <c r="D307" s="18"/>
      <c r="E307" s="17"/>
      <c r="BO307" s="19"/>
      <c r="BR307" s="19"/>
    </row>
    <row r="308" spans="4:70" ht="14.5" x14ac:dyDescent="0.25">
      <c r="D308" s="18"/>
      <c r="E308" s="17"/>
      <c r="BO308" s="19"/>
      <c r="BR308" s="19"/>
    </row>
    <row r="309" spans="4:70" ht="14.5" x14ac:dyDescent="0.25">
      <c r="D309" s="18"/>
      <c r="E309" s="17"/>
      <c r="BO309" s="19"/>
      <c r="BR309" s="19"/>
    </row>
    <row r="310" spans="4:70" ht="14.5" x14ac:dyDescent="0.25">
      <c r="D310" s="18"/>
      <c r="E310" s="17"/>
      <c r="BO310" s="19"/>
      <c r="BR310" s="19"/>
    </row>
    <row r="311" spans="4:70" ht="14.5" x14ac:dyDescent="0.25">
      <c r="D311" s="18"/>
      <c r="E311" s="17"/>
      <c r="BO311" s="19"/>
      <c r="BR311" s="19"/>
    </row>
    <row r="312" spans="4:70" ht="14.5" x14ac:dyDescent="0.25">
      <c r="D312" s="18"/>
      <c r="E312" s="17"/>
      <c r="BO312" s="19"/>
      <c r="BR312" s="19"/>
    </row>
    <row r="313" spans="4:70" ht="14.5" x14ac:dyDescent="0.25">
      <c r="D313" s="18"/>
      <c r="E313" s="17"/>
      <c r="BO313" s="19"/>
      <c r="BR313" s="19"/>
    </row>
    <row r="314" spans="4:70" ht="14.5" x14ac:dyDescent="0.25">
      <c r="D314" s="18"/>
      <c r="E314" s="17"/>
      <c r="BO314" s="19"/>
      <c r="BR314" s="19"/>
    </row>
    <row r="315" spans="4:70" ht="14.5" x14ac:dyDescent="0.25">
      <c r="D315" s="18"/>
      <c r="E315" s="17"/>
      <c r="BO315" s="19"/>
      <c r="BR315" s="19"/>
    </row>
    <row r="316" spans="4:70" ht="14.5" x14ac:dyDescent="0.25">
      <c r="D316" s="18"/>
      <c r="E316" s="17"/>
      <c r="BO316" s="19"/>
      <c r="BR316" s="19"/>
    </row>
    <row r="317" spans="4:70" ht="14.5" x14ac:dyDescent="0.25">
      <c r="D317" s="18"/>
      <c r="E317" s="17"/>
      <c r="BO317" s="19"/>
      <c r="BR317" s="19"/>
    </row>
    <row r="318" spans="4:70" ht="14.5" x14ac:dyDescent="0.25">
      <c r="D318" s="18"/>
      <c r="E318" s="17"/>
      <c r="BO318" s="19"/>
      <c r="BR318" s="19"/>
    </row>
    <row r="319" spans="4:70" ht="14.5" x14ac:dyDescent="0.25">
      <c r="D319" s="18"/>
      <c r="E319" s="17"/>
      <c r="BO319" s="19"/>
      <c r="BR319" s="19"/>
    </row>
    <row r="320" spans="4:70" ht="14.5" x14ac:dyDescent="0.25">
      <c r="D320" s="18"/>
      <c r="E320" s="17"/>
      <c r="BO320" s="19"/>
      <c r="BR320" s="19"/>
    </row>
    <row r="321" spans="4:70" ht="14.5" x14ac:dyDescent="0.25">
      <c r="D321" s="18"/>
      <c r="E321" s="17"/>
      <c r="BO321" s="19"/>
      <c r="BR321" s="19"/>
    </row>
    <row r="322" spans="4:70" ht="14.5" x14ac:dyDescent="0.25">
      <c r="D322" s="18"/>
      <c r="E322" s="17"/>
      <c r="BO322" s="19"/>
      <c r="BR322" s="19"/>
    </row>
    <row r="323" spans="4:70" ht="14.5" x14ac:dyDescent="0.25">
      <c r="D323" s="18"/>
      <c r="E323" s="17"/>
      <c r="BO323" s="19"/>
      <c r="BR323" s="19"/>
    </row>
    <row r="324" spans="4:70" ht="14.5" x14ac:dyDescent="0.25">
      <c r="D324" s="18"/>
      <c r="E324" s="17"/>
      <c r="BO324" s="19"/>
      <c r="BR324" s="19"/>
    </row>
    <row r="325" spans="4:70" ht="14.5" x14ac:dyDescent="0.25">
      <c r="D325" s="18"/>
      <c r="E325" s="17"/>
      <c r="BO325" s="19"/>
      <c r="BR325" s="19"/>
    </row>
    <row r="326" spans="4:70" ht="14.5" x14ac:dyDescent="0.25">
      <c r="D326" s="18"/>
      <c r="E326" s="17"/>
      <c r="BO326" s="19"/>
      <c r="BR326" s="19"/>
    </row>
    <row r="327" spans="4:70" ht="14.5" x14ac:dyDescent="0.25">
      <c r="D327" s="18"/>
      <c r="E327" s="17"/>
      <c r="BO327" s="19"/>
      <c r="BR327" s="19"/>
    </row>
    <row r="328" spans="4:70" ht="14.5" x14ac:dyDescent="0.25">
      <c r="D328" s="18"/>
      <c r="E328" s="17"/>
      <c r="BO328" s="19"/>
      <c r="BR328" s="19"/>
    </row>
    <row r="329" spans="4:70" ht="14.5" x14ac:dyDescent="0.25">
      <c r="D329" s="18"/>
      <c r="E329" s="17"/>
      <c r="BO329" s="19"/>
      <c r="BR329" s="19"/>
    </row>
    <row r="330" spans="4:70" ht="14.5" x14ac:dyDescent="0.25">
      <c r="D330" s="18"/>
      <c r="E330" s="17"/>
      <c r="BO330" s="19"/>
      <c r="BR330" s="19"/>
    </row>
    <row r="331" spans="4:70" ht="14.5" x14ac:dyDescent="0.25">
      <c r="D331" s="18"/>
      <c r="E331" s="17"/>
      <c r="BR331" s="19"/>
    </row>
    <row r="332" spans="4:70" ht="14.5" x14ac:dyDescent="0.25">
      <c r="D332" s="18"/>
      <c r="E332" s="17"/>
      <c r="BR332" s="19"/>
    </row>
    <row r="333" spans="4:70" ht="14.5" x14ac:dyDescent="0.25">
      <c r="D333" s="18"/>
      <c r="E333" s="17"/>
      <c r="BR333" s="19"/>
    </row>
    <row r="334" spans="4:70" ht="14.5" x14ac:dyDescent="0.25">
      <c r="D334" s="18"/>
      <c r="E334" s="17"/>
      <c r="BO334" s="19"/>
      <c r="BR334" s="19"/>
    </row>
    <row r="335" spans="4:70" ht="14.5" x14ac:dyDescent="0.25">
      <c r="D335" s="18"/>
      <c r="E335" s="17"/>
      <c r="BO335" s="19"/>
      <c r="BR335" s="19"/>
    </row>
    <row r="336" spans="4:70" ht="14.5" x14ac:dyDescent="0.25">
      <c r="D336" s="18"/>
      <c r="E336" s="17"/>
      <c r="BO336" s="19"/>
      <c r="BR336" s="19"/>
    </row>
    <row r="337" spans="4:70" ht="14.5" x14ac:dyDescent="0.25">
      <c r="D337" s="18"/>
      <c r="E337" s="17"/>
      <c r="BO337" s="19"/>
      <c r="BR337" s="19"/>
    </row>
    <row r="338" spans="4:70" ht="14.5" x14ac:dyDescent="0.25">
      <c r="D338" s="18"/>
      <c r="E338" s="17"/>
      <c r="BO338" s="19"/>
      <c r="BR338" s="19"/>
    </row>
    <row r="339" spans="4:70" ht="14.5" x14ac:dyDescent="0.25">
      <c r="D339" s="18"/>
      <c r="E339" s="17"/>
      <c r="BO339" s="19"/>
      <c r="BR339" s="19"/>
    </row>
    <row r="340" spans="4:70" ht="14.5" x14ac:dyDescent="0.25">
      <c r="D340" s="18"/>
      <c r="E340" s="17"/>
      <c r="BO340" s="19"/>
      <c r="BR340" s="19"/>
    </row>
    <row r="341" spans="4:70" ht="14.5" x14ac:dyDescent="0.25">
      <c r="D341" s="18"/>
      <c r="E341" s="17"/>
      <c r="BO341" s="19"/>
      <c r="BR341" s="19"/>
    </row>
    <row r="342" spans="4:70" ht="14.5" x14ac:dyDescent="0.25">
      <c r="D342" s="18"/>
      <c r="E342" s="17"/>
      <c r="BO342" s="19"/>
      <c r="BR342" s="19"/>
    </row>
    <row r="343" spans="4:70" ht="14.5" x14ac:dyDescent="0.25">
      <c r="D343" s="18"/>
      <c r="E343" s="17"/>
      <c r="BO343" s="19"/>
      <c r="BR343" s="19"/>
    </row>
    <row r="344" spans="4:70" ht="14.5" x14ac:dyDescent="0.25">
      <c r="D344" s="18"/>
      <c r="E344" s="17"/>
      <c r="BO344" s="19"/>
      <c r="BR344" s="19"/>
    </row>
    <row r="345" spans="4:70" ht="14.5" x14ac:dyDescent="0.25">
      <c r="D345" s="18"/>
      <c r="E345" s="17"/>
      <c r="BO345" s="19"/>
      <c r="BR345" s="19"/>
    </row>
    <row r="346" spans="4:70" ht="14.5" x14ac:dyDescent="0.25">
      <c r="D346" s="18"/>
      <c r="E346" s="17"/>
      <c r="BO346" s="19"/>
      <c r="BR346" s="19"/>
    </row>
    <row r="347" spans="4:70" ht="14.5" x14ac:dyDescent="0.25">
      <c r="D347" s="18"/>
      <c r="E347" s="17"/>
      <c r="BO347" s="19"/>
      <c r="BR347" s="19"/>
    </row>
    <row r="348" spans="4:70" ht="14.5" x14ac:dyDescent="0.25">
      <c r="D348" s="18"/>
      <c r="E348" s="17"/>
      <c r="BO348" s="19"/>
      <c r="BR348" s="19"/>
    </row>
    <row r="349" spans="4:70" ht="14.5" x14ac:dyDescent="0.25">
      <c r="D349" s="18"/>
      <c r="E349" s="17"/>
      <c r="BO349" s="19"/>
      <c r="BR349" s="19"/>
    </row>
    <row r="350" spans="4:70" ht="14.5" x14ac:dyDescent="0.25">
      <c r="D350" s="18"/>
      <c r="E350" s="17"/>
      <c r="BO350" s="19"/>
      <c r="BR350" s="19"/>
    </row>
    <row r="351" spans="4:70" ht="14.5" x14ac:dyDescent="0.25">
      <c r="D351" s="18"/>
      <c r="E351" s="17"/>
      <c r="BO351" s="19"/>
      <c r="BR351" s="19"/>
    </row>
    <row r="352" spans="4:70" ht="14.5" x14ac:dyDescent="0.25">
      <c r="D352" s="18"/>
      <c r="E352" s="17"/>
      <c r="BO352" s="19"/>
      <c r="BR352" s="19"/>
    </row>
    <row r="353" spans="4:70" ht="14.5" x14ac:dyDescent="0.25">
      <c r="D353" s="18"/>
      <c r="E353" s="17"/>
      <c r="BO353" s="19"/>
      <c r="BR353" s="19"/>
    </row>
    <row r="354" spans="4:70" ht="14.5" x14ac:dyDescent="0.25">
      <c r="D354" s="18"/>
      <c r="E354" s="17"/>
      <c r="BO354" s="19"/>
      <c r="BR354" s="19"/>
    </row>
    <row r="355" spans="4:70" ht="14.5" x14ac:dyDescent="0.25">
      <c r="D355" s="18"/>
      <c r="E355" s="17"/>
      <c r="BO355" s="19"/>
      <c r="BR355" s="19"/>
    </row>
    <row r="356" spans="4:70" ht="14.5" x14ac:dyDescent="0.25">
      <c r="D356" s="18"/>
      <c r="E356" s="17"/>
      <c r="BO356" s="19"/>
      <c r="BR356" s="19"/>
    </row>
    <row r="357" spans="4:70" ht="14.5" x14ac:dyDescent="0.25">
      <c r="D357" s="18"/>
      <c r="E357" s="17"/>
      <c r="BO357" s="19"/>
      <c r="BR357" s="19"/>
    </row>
    <row r="358" spans="4:70" ht="14.5" x14ac:dyDescent="0.25">
      <c r="D358" s="18"/>
      <c r="E358" s="17"/>
      <c r="BO358" s="19"/>
      <c r="BR358" s="19"/>
    </row>
    <row r="359" spans="4:70" ht="14.5" x14ac:dyDescent="0.25">
      <c r="D359" s="18"/>
      <c r="E359" s="17"/>
      <c r="BO359" s="19"/>
      <c r="BR359" s="19"/>
    </row>
    <row r="360" spans="4:70" ht="14.5" x14ac:dyDescent="0.25">
      <c r="D360" s="18"/>
      <c r="E360" s="17"/>
      <c r="BO360" s="19"/>
      <c r="BR360" s="19"/>
    </row>
    <row r="361" spans="4:70" ht="14.5" x14ac:dyDescent="0.25">
      <c r="D361" s="18"/>
      <c r="E361" s="17"/>
      <c r="BO361" s="19"/>
      <c r="BR361" s="19"/>
    </row>
    <row r="362" spans="4:70" ht="14.5" x14ac:dyDescent="0.25">
      <c r="D362" s="18"/>
      <c r="E362" s="17"/>
      <c r="BO362" s="19"/>
      <c r="BR362" s="19"/>
    </row>
    <row r="363" spans="4:70" ht="14.5" x14ac:dyDescent="0.25">
      <c r="D363" s="18"/>
      <c r="E363" s="17"/>
      <c r="BO363" s="19"/>
      <c r="BR363" s="19"/>
    </row>
    <row r="364" spans="4:70" ht="14.5" x14ac:dyDescent="0.25">
      <c r="D364" s="18"/>
      <c r="E364" s="17"/>
      <c r="BO364" s="19"/>
      <c r="BR364" s="19"/>
    </row>
    <row r="365" spans="4:70" ht="14.5" x14ac:dyDescent="0.25">
      <c r="D365" s="18"/>
      <c r="E365" s="17"/>
      <c r="BO365" s="19"/>
      <c r="BR365" s="19"/>
    </row>
    <row r="366" spans="4:70" ht="14.5" x14ac:dyDescent="0.25">
      <c r="D366" s="18"/>
      <c r="E366" s="17"/>
      <c r="BO366" s="19"/>
      <c r="BR366" s="19"/>
    </row>
    <row r="367" spans="4:70" ht="14.5" x14ac:dyDescent="0.25">
      <c r="D367" s="18"/>
      <c r="E367" s="17"/>
      <c r="BO367" s="19"/>
      <c r="BR367" s="19"/>
    </row>
    <row r="368" spans="4:70" ht="14.5" x14ac:dyDescent="0.25">
      <c r="D368" s="18"/>
      <c r="E368" s="17"/>
      <c r="BR368" s="19"/>
    </row>
    <row r="369" spans="4:70" ht="14.5" x14ac:dyDescent="0.25">
      <c r="D369" s="18"/>
      <c r="E369" s="17"/>
      <c r="BR369" s="19"/>
    </row>
    <row r="370" spans="4:70" ht="14.5" x14ac:dyDescent="0.25">
      <c r="D370" s="18"/>
      <c r="E370" s="17"/>
      <c r="BO370" s="19"/>
      <c r="BR370" s="19"/>
    </row>
    <row r="371" spans="4:70" ht="14.5" x14ac:dyDescent="0.25">
      <c r="D371" s="18"/>
      <c r="E371" s="17"/>
      <c r="BO371" s="19"/>
      <c r="BR371" s="19"/>
    </row>
    <row r="372" spans="4:70" ht="14.5" x14ac:dyDescent="0.25">
      <c r="D372" s="18"/>
      <c r="E372" s="17"/>
      <c r="BO372" s="19"/>
      <c r="BR372" s="19"/>
    </row>
    <row r="373" spans="4:70" ht="14.5" x14ac:dyDescent="0.25">
      <c r="D373" s="18"/>
      <c r="E373" s="17"/>
      <c r="BO373" s="19"/>
      <c r="BR373" s="19"/>
    </row>
    <row r="374" spans="4:70" ht="14.5" x14ac:dyDescent="0.25">
      <c r="D374" s="18"/>
      <c r="E374" s="17"/>
      <c r="BO374" s="19"/>
      <c r="BR374" s="19"/>
    </row>
    <row r="375" spans="4:70" ht="14.5" x14ac:dyDescent="0.25">
      <c r="D375" s="18"/>
      <c r="E375" s="17"/>
      <c r="BO375" s="19"/>
      <c r="BR375" s="19"/>
    </row>
    <row r="376" spans="4:70" ht="14.5" x14ac:dyDescent="0.25">
      <c r="D376" s="18"/>
      <c r="E376" s="17"/>
      <c r="BO376" s="19"/>
      <c r="BR376" s="19"/>
    </row>
    <row r="377" spans="4:70" ht="14.5" x14ac:dyDescent="0.25">
      <c r="D377" s="18"/>
      <c r="E377" s="17"/>
      <c r="BO377" s="19"/>
      <c r="BR377" s="19"/>
    </row>
    <row r="378" spans="4:70" ht="14.5" x14ac:dyDescent="0.25">
      <c r="D378" s="18"/>
      <c r="E378" s="17"/>
      <c r="BO378" s="19"/>
      <c r="BR378" s="19"/>
    </row>
    <row r="379" spans="4:70" ht="14.5" x14ac:dyDescent="0.25">
      <c r="D379" s="18"/>
      <c r="E379" s="17"/>
      <c r="BO379" s="19"/>
      <c r="BR379" s="19"/>
    </row>
    <row r="380" spans="4:70" ht="14.5" x14ac:dyDescent="0.25">
      <c r="D380" s="18"/>
      <c r="E380" s="17"/>
      <c r="BO380" s="19"/>
      <c r="BR380" s="19"/>
    </row>
    <row r="381" spans="4:70" ht="14.5" x14ac:dyDescent="0.25">
      <c r="D381" s="18"/>
      <c r="E381" s="17"/>
      <c r="BO381" s="19"/>
      <c r="BR381" s="19"/>
    </row>
    <row r="382" spans="4:70" ht="14.5" x14ac:dyDescent="0.25">
      <c r="D382" s="18"/>
      <c r="E382" s="17"/>
      <c r="BO382" s="19"/>
      <c r="BR382" s="19"/>
    </row>
    <row r="383" spans="4:70" ht="14.5" x14ac:dyDescent="0.25">
      <c r="D383" s="18"/>
      <c r="E383" s="17"/>
      <c r="BO383" s="19"/>
      <c r="BR383" s="19"/>
    </row>
    <row r="384" spans="4:70" ht="14.5" x14ac:dyDescent="0.25">
      <c r="D384" s="18"/>
      <c r="E384" s="17"/>
      <c r="BO384" s="19"/>
      <c r="BR384" s="19"/>
    </row>
    <row r="385" spans="4:70" ht="14.5" x14ac:dyDescent="0.25">
      <c r="D385" s="18"/>
      <c r="E385" s="17"/>
      <c r="BO385" s="19"/>
      <c r="BR385" s="19"/>
    </row>
    <row r="386" spans="4:70" ht="14.5" x14ac:dyDescent="0.25">
      <c r="D386" s="18"/>
      <c r="E386" s="17"/>
      <c r="BO386" s="19"/>
      <c r="BR386" s="19"/>
    </row>
    <row r="387" spans="4:70" ht="14.5" x14ac:dyDescent="0.25">
      <c r="D387" s="18"/>
      <c r="E387" s="17"/>
      <c r="BO387" s="19"/>
      <c r="BR387" s="19"/>
    </row>
    <row r="388" spans="4:70" ht="14.5" x14ac:dyDescent="0.25">
      <c r="D388" s="18"/>
      <c r="E388" s="17"/>
      <c r="BO388" s="19"/>
      <c r="BR388" s="19"/>
    </row>
    <row r="389" spans="4:70" ht="14.5" x14ac:dyDescent="0.25">
      <c r="D389" s="18"/>
      <c r="E389" s="17"/>
      <c r="BO389" s="19"/>
      <c r="BR389" s="19"/>
    </row>
    <row r="390" spans="4:70" ht="14.5" x14ac:dyDescent="0.25">
      <c r="D390" s="18"/>
      <c r="E390" s="17"/>
      <c r="BO390" s="19"/>
      <c r="BR390" s="19"/>
    </row>
    <row r="391" spans="4:70" ht="14.5" x14ac:dyDescent="0.25">
      <c r="D391" s="18"/>
      <c r="E391" s="17"/>
      <c r="BO391" s="19"/>
      <c r="BR391" s="19"/>
    </row>
    <row r="392" spans="4:70" ht="14.5" x14ac:dyDescent="0.25">
      <c r="D392" s="18"/>
      <c r="E392" s="17"/>
      <c r="BO392" s="19"/>
      <c r="BR392" s="19"/>
    </row>
    <row r="393" spans="4:70" ht="14.5" x14ac:dyDescent="0.25">
      <c r="D393" s="18"/>
      <c r="E393" s="17"/>
      <c r="BR393" s="19"/>
    </row>
    <row r="394" spans="4:70" ht="14.5" x14ac:dyDescent="0.25">
      <c r="D394" s="18"/>
      <c r="E394" s="17"/>
      <c r="BR394" s="19"/>
    </row>
    <row r="395" spans="4:70" ht="14.5" x14ac:dyDescent="0.25">
      <c r="D395" s="18"/>
      <c r="E395" s="17"/>
      <c r="BO395" s="19"/>
      <c r="BR395" s="19"/>
    </row>
    <row r="396" spans="4:70" ht="14.5" x14ac:dyDescent="0.25">
      <c r="D396" s="18"/>
      <c r="E396" s="17"/>
      <c r="BO396" s="19"/>
      <c r="BR396" s="19"/>
    </row>
    <row r="397" spans="4:70" ht="14.5" x14ac:dyDescent="0.25">
      <c r="D397" s="18"/>
      <c r="E397" s="17"/>
      <c r="BR397" s="19"/>
    </row>
    <row r="398" spans="4:70" ht="14.5" x14ac:dyDescent="0.25">
      <c r="D398" s="18"/>
      <c r="E398" s="17"/>
      <c r="BR398" s="19"/>
    </row>
    <row r="399" spans="4:70" ht="14.5" x14ac:dyDescent="0.25">
      <c r="D399" s="18"/>
      <c r="E399" s="17"/>
      <c r="BO399" s="19"/>
      <c r="BR399" s="19"/>
    </row>
    <row r="400" spans="4:70" ht="14.5" x14ac:dyDescent="0.25">
      <c r="D400" s="18"/>
      <c r="E400" s="17"/>
      <c r="BO400" s="19"/>
      <c r="BR400" s="19"/>
    </row>
    <row r="401" spans="4:70" ht="14.5" x14ac:dyDescent="0.25">
      <c r="D401" s="18"/>
      <c r="E401" s="17"/>
      <c r="BO401" s="19"/>
      <c r="BR401" s="19"/>
    </row>
    <row r="402" spans="4:70" ht="14.5" x14ac:dyDescent="0.25">
      <c r="D402" s="18"/>
      <c r="E402" s="17"/>
      <c r="BO402" s="19"/>
      <c r="BR402" s="19"/>
    </row>
    <row r="403" spans="4:70" ht="14.5" x14ac:dyDescent="0.25">
      <c r="D403" s="18"/>
      <c r="E403" s="17"/>
      <c r="BO403" s="19"/>
      <c r="BR403" s="19"/>
    </row>
    <row r="404" spans="4:70" ht="14.5" x14ac:dyDescent="0.25">
      <c r="D404" s="18"/>
      <c r="E404" s="17"/>
      <c r="BO404" s="19"/>
      <c r="BR404" s="19"/>
    </row>
    <row r="405" spans="4:70" ht="14.5" x14ac:dyDescent="0.25">
      <c r="D405" s="18"/>
      <c r="E405" s="17"/>
      <c r="BO405" s="19"/>
      <c r="BR405" s="19"/>
    </row>
    <row r="406" spans="4:70" ht="14.5" x14ac:dyDescent="0.25">
      <c r="D406" s="18"/>
      <c r="E406" s="17"/>
      <c r="BO406" s="19"/>
      <c r="BR406" s="19"/>
    </row>
    <row r="407" spans="4:70" ht="14.5" x14ac:dyDescent="0.25">
      <c r="D407" s="18"/>
      <c r="E407" s="17"/>
      <c r="BO407" s="19"/>
      <c r="BR407" s="19"/>
    </row>
    <row r="408" spans="4:70" ht="14.5" x14ac:dyDescent="0.25">
      <c r="D408" s="18"/>
      <c r="E408" s="17"/>
      <c r="BO408" s="19"/>
      <c r="BR408" s="19"/>
    </row>
    <row r="409" spans="4:70" ht="14.5" x14ac:dyDescent="0.25">
      <c r="D409" s="18"/>
      <c r="E409" s="17"/>
      <c r="BO409" s="19"/>
      <c r="BR409" s="19"/>
    </row>
    <row r="410" spans="4:70" ht="14.5" x14ac:dyDescent="0.25">
      <c r="D410" s="18"/>
      <c r="E410" s="17"/>
      <c r="BO410" s="19"/>
      <c r="BR410" s="19"/>
    </row>
    <row r="411" spans="4:70" ht="14.5" x14ac:dyDescent="0.25">
      <c r="D411" s="18"/>
      <c r="E411" s="17"/>
      <c r="BO411" s="19"/>
      <c r="BR411" s="19"/>
    </row>
    <row r="412" spans="4:70" ht="14.5" x14ac:dyDescent="0.25">
      <c r="D412" s="18"/>
      <c r="E412" s="17"/>
      <c r="BO412" s="19"/>
      <c r="BR412" s="19"/>
    </row>
    <row r="413" spans="4:70" ht="14.5" x14ac:dyDescent="0.25">
      <c r="D413" s="18"/>
      <c r="E413" s="17"/>
      <c r="BO413" s="19"/>
      <c r="BR413" s="19"/>
    </row>
    <row r="414" spans="4:70" ht="14.5" x14ac:dyDescent="0.25">
      <c r="D414" s="18"/>
      <c r="E414" s="17"/>
      <c r="BO414" s="19"/>
      <c r="BR414" s="19"/>
    </row>
    <row r="415" spans="4:70" ht="14.5" x14ac:dyDescent="0.25">
      <c r="D415" s="18"/>
      <c r="E415" s="17"/>
      <c r="BO415" s="19"/>
      <c r="BR415" s="19"/>
    </row>
    <row r="416" spans="4:70" ht="14.5" x14ac:dyDescent="0.25">
      <c r="D416" s="18"/>
      <c r="E416" s="17"/>
    </row>
    <row r="417" spans="4:5" ht="14.5" x14ac:dyDescent="0.25">
      <c r="D417" s="18"/>
      <c r="E417" s="17"/>
    </row>
    <row r="418" spans="4:5" ht="14.5" x14ac:dyDescent="0.25">
      <c r="D418" s="18"/>
      <c r="E418" s="17"/>
    </row>
    <row r="419" spans="4:5" ht="14.5" x14ac:dyDescent="0.25">
      <c r="D419" s="18"/>
      <c r="E419" s="17"/>
    </row>
    <row r="420" spans="4:5" ht="14.5" x14ac:dyDescent="0.25">
      <c r="D420" s="18"/>
      <c r="E420" s="17"/>
    </row>
    <row r="421" spans="4:5" ht="14.5" x14ac:dyDescent="0.25">
      <c r="D421" s="18"/>
      <c r="E421" s="17"/>
    </row>
    <row r="422" spans="4:5" ht="14.5" x14ac:dyDescent="0.25">
      <c r="D422" s="18"/>
      <c r="E422" s="17"/>
    </row>
    <row r="423" spans="4:5" ht="14.5" x14ac:dyDescent="0.25">
      <c r="D423" s="18"/>
      <c r="E423" s="17"/>
    </row>
    <row r="424" spans="4:5" ht="14.5" x14ac:dyDescent="0.25">
      <c r="D424" s="18"/>
      <c r="E424" s="17"/>
    </row>
    <row r="425" spans="4:5" ht="14.5" x14ac:dyDescent="0.25">
      <c r="D425" s="18"/>
      <c r="E425" s="17"/>
    </row>
    <row r="426" spans="4:5" ht="14.5" x14ac:dyDescent="0.25">
      <c r="D426" s="18"/>
      <c r="E426" s="17"/>
    </row>
    <row r="427" spans="4:5" ht="14.5" x14ac:dyDescent="0.25">
      <c r="D427" s="18"/>
      <c r="E427" s="17"/>
    </row>
    <row r="428" spans="4:5" ht="14.5" x14ac:dyDescent="0.25">
      <c r="D428" s="18"/>
      <c r="E428" s="17"/>
    </row>
    <row r="429" spans="4:5" ht="14.5" x14ac:dyDescent="0.25">
      <c r="D429" s="18"/>
      <c r="E429" s="17"/>
    </row>
    <row r="430" spans="4:5" ht="14.5" x14ac:dyDescent="0.25">
      <c r="D430" s="18"/>
      <c r="E430" s="17"/>
    </row>
    <row r="431" spans="4:5" ht="14.5" x14ac:dyDescent="0.25">
      <c r="D431" s="18"/>
      <c r="E431" s="17"/>
    </row>
    <row r="432" spans="4:5" ht="14.5" x14ac:dyDescent="0.25">
      <c r="D432" s="18"/>
      <c r="E432" s="17"/>
    </row>
    <row r="433" spans="4:5" ht="14.5" x14ac:dyDescent="0.25">
      <c r="D433" s="18"/>
      <c r="E433" s="17"/>
    </row>
    <row r="434" spans="4:5" ht="14.5" x14ac:dyDescent="0.25">
      <c r="D434" s="18"/>
      <c r="E434" s="17"/>
    </row>
    <row r="435" spans="4:5" ht="14.5" x14ac:dyDescent="0.25">
      <c r="D435" s="18"/>
      <c r="E435" s="17"/>
    </row>
    <row r="436" spans="4:5" ht="14.5" x14ac:dyDescent="0.25">
      <c r="D436" s="18"/>
      <c r="E436" s="17"/>
    </row>
    <row r="437" spans="4:5" ht="14.5" x14ac:dyDescent="0.25">
      <c r="D437" s="18"/>
      <c r="E437" s="17"/>
    </row>
    <row r="438" spans="4:5" ht="14.5" x14ac:dyDescent="0.25">
      <c r="D438" s="18"/>
      <c r="E438" s="17"/>
    </row>
    <row r="439" spans="4:5" ht="14.5" x14ac:dyDescent="0.25">
      <c r="D439" s="18"/>
      <c r="E439" s="17"/>
    </row>
    <row r="440" spans="4:5" ht="14.5" x14ac:dyDescent="0.25">
      <c r="D440" s="18"/>
      <c r="E440" s="17"/>
    </row>
    <row r="441" spans="4:5" ht="14.5" x14ac:dyDescent="0.25">
      <c r="D441" s="18"/>
      <c r="E441" s="17"/>
    </row>
    <row r="442" spans="4:5" ht="14.5" x14ac:dyDescent="0.25">
      <c r="D442" s="18"/>
      <c r="E442" s="17"/>
    </row>
    <row r="443" spans="4:5" ht="14.5" x14ac:dyDescent="0.25">
      <c r="D443" s="18"/>
      <c r="E443" s="17"/>
    </row>
    <row r="444" spans="4:5" ht="14.5" x14ac:dyDescent="0.25">
      <c r="D444" s="18"/>
      <c r="E444" s="17"/>
    </row>
    <row r="445" spans="4:5" ht="14.5" x14ac:dyDescent="0.25">
      <c r="D445" s="18"/>
      <c r="E445" s="17"/>
    </row>
    <row r="446" spans="4:5" ht="14.5" x14ac:dyDescent="0.25">
      <c r="D446" s="18"/>
      <c r="E446" s="17"/>
    </row>
    <row r="447" spans="4:5" ht="14.5" x14ac:dyDescent="0.25">
      <c r="D447" s="18"/>
      <c r="E447" s="17"/>
    </row>
    <row r="448" spans="4:5" ht="14.5" x14ac:dyDescent="0.25">
      <c r="D448" s="18"/>
      <c r="E448" s="17"/>
    </row>
    <row r="449" spans="4:5" ht="14.5" x14ac:dyDescent="0.25">
      <c r="D449" s="18"/>
      <c r="E449" s="17"/>
    </row>
    <row r="450" spans="4:5" ht="14.5" x14ac:dyDescent="0.25">
      <c r="D450" s="18"/>
      <c r="E450" s="17"/>
    </row>
    <row r="451" spans="4:5" ht="14.5" x14ac:dyDescent="0.25">
      <c r="D451" s="18"/>
      <c r="E451" s="17"/>
    </row>
    <row r="452" spans="4:5" ht="14.5" x14ac:dyDescent="0.25">
      <c r="D452" s="18"/>
      <c r="E452" s="17"/>
    </row>
    <row r="453" spans="4:5" ht="14.5" x14ac:dyDescent="0.25">
      <c r="D453" s="18"/>
      <c r="E453" s="17"/>
    </row>
    <row r="454" spans="4:5" ht="14.5" x14ac:dyDescent="0.25">
      <c r="D454" s="18"/>
      <c r="E454" s="17"/>
    </row>
    <row r="455" spans="4:5" ht="14.5" x14ac:dyDescent="0.25">
      <c r="D455" s="18"/>
      <c r="E455" s="17"/>
    </row>
    <row r="456" spans="4:5" ht="14.5" x14ac:dyDescent="0.25">
      <c r="D456" s="18"/>
      <c r="E456" s="17"/>
    </row>
    <row r="457" spans="4:5" ht="14.5" x14ac:dyDescent="0.25">
      <c r="D457" s="18"/>
      <c r="E457" s="17"/>
    </row>
    <row r="458" spans="4:5" ht="14.5" x14ac:dyDescent="0.25">
      <c r="D458" s="18"/>
      <c r="E458" s="17"/>
    </row>
    <row r="459" spans="4:5" ht="14.5" x14ac:dyDescent="0.25">
      <c r="D459" s="18"/>
      <c r="E459" s="17"/>
    </row>
    <row r="460" spans="4:5" ht="14.5" x14ac:dyDescent="0.25">
      <c r="D460" s="18"/>
      <c r="E460" s="17"/>
    </row>
    <row r="461" spans="4:5" ht="14.5" x14ac:dyDescent="0.25">
      <c r="D461" s="18"/>
      <c r="E461" s="17"/>
    </row>
    <row r="462" spans="4:5" ht="14.5" x14ac:dyDescent="0.25">
      <c r="D462" s="18"/>
      <c r="E462" s="17"/>
    </row>
    <row r="463" spans="4:5" ht="14.5" x14ac:dyDescent="0.25">
      <c r="D463" s="18"/>
      <c r="E463" s="17"/>
    </row>
    <row r="464" spans="4:5" ht="14.5" x14ac:dyDescent="0.25">
      <c r="D464" s="18"/>
      <c r="E464" s="17"/>
    </row>
    <row r="465" spans="4:5" ht="14.5" x14ac:dyDescent="0.25">
      <c r="D465" s="18"/>
      <c r="E465" s="17"/>
    </row>
    <row r="466" spans="4:5" ht="14.5" x14ac:dyDescent="0.25">
      <c r="D466" s="18"/>
      <c r="E466" s="17"/>
    </row>
    <row r="467" spans="4:5" ht="14.5" x14ac:dyDescent="0.25">
      <c r="D467" s="18"/>
      <c r="E467" s="17"/>
    </row>
    <row r="468" spans="4:5" ht="14.5" x14ac:dyDescent="0.25">
      <c r="D468" s="18"/>
      <c r="E468" s="17"/>
    </row>
    <row r="469" spans="4:5" ht="14.5" x14ac:dyDescent="0.25">
      <c r="D469" s="18"/>
      <c r="E469" s="17"/>
    </row>
    <row r="470" spans="4:5" ht="14.5" x14ac:dyDescent="0.25">
      <c r="D470" s="18"/>
      <c r="E470" s="17"/>
    </row>
    <row r="471" spans="4:5" ht="14.5" x14ac:dyDescent="0.25">
      <c r="D471" s="18"/>
      <c r="E471" s="17"/>
    </row>
    <row r="472" spans="4:5" ht="14.5" x14ac:dyDescent="0.25">
      <c r="D472" s="18"/>
      <c r="E472" s="17"/>
    </row>
    <row r="473" spans="4:5" ht="14.5" x14ac:dyDescent="0.25">
      <c r="D473" s="18"/>
      <c r="E473" s="17"/>
    </row>
    <row r="474" spans="4:5" ht="14.5" x14ac:dyDescent="0.25">
      <c r="D474" s="18"/>
      <c r="E474" s="17"/>
    </row>
    <row r="475" spans="4:5" ht="14.5" x14ac:dyDescent="0.25">
      <c r="D475" s="18"/>
      <c r="E475" s="17"/>
    </row>
    <row r="476" spans="4:5" ht="14.5" x14ac:dyDescent="0.25">
      <c r="D476" s="18"/>
      <c r="E476" s="17"/>
    </row>
    <row r="477" spans="4:5" ht="14.5" x14ac:dyDescent="0.25">
      <c r="D477" s="18"/>
      <c r="E477" s="17"/>
    </row>
    <row r="478" spans="4:5" ht="14.5" x14ac:dyDescent="0.25">
      <c r="D478" s="18"/>
      <c r="E478" s="17"/>
    </row>
    <row r="479" spans="4:5" ht="14.5" x14ac:dyDescent="0.25">
      <c r="D479" s="18"/>
      <c r="E479" s="17"/>
    </row>
    <row r="480" spans="4:5" ht="14.5" x14ac:dyDescent="0.25">
      <c r="D480" s="18"/>
      <c r="E480" s="17"/>
    </row>
    <row r="481" spans="4:5" ht="14.5" x14ac:dyDescent="0.25">
      <c r="D481" s="18"/>
      <c r="E481" s="17"/>
    </row>
    <row r="482" spans="4:5" ht="14.5" x14ac:dyDescent="0.25">
      <c r="D482" s="18"/>
      <c r="E482" s="17"/>
    </row>
    <row r="483" spans="4:5" ht="14.5" x14ac:dyDescent="0.25">
      <c r="D483" s="18"/>
      <c r="E483" s="17"/>
    </row>
    <row r="484" spans="4:5" ht="14.5" x14ac:dyDescent="0.25">
      <c r="D484" s="18"/>
      <c r="E484" s="17"/>
    </row>
    <row r="485" spans="4:5" ht="14.5" x14ac:dyDescent="0.25">
      <c r="D485" s="18"/>
      <c r="E485" s="17"/>
    </row>
    <row r="486" spans="4:5" ht="14.5" x14ac:dyDescent="0.25">
      <c r="D486" s="18"/>
      <c r="E486" s="17"/>
    </row>
    <row r="487" spans="4:5" ht="14.5" x14ac:dyDescent="0.25">
      <c r="D487" s="18"/>
      <c r="E487" s="17"/>
    </row>
    <row r="488" spans="4:5" ht="14.5" x14ac:dyDescent="0.25">
      <c r="D488" s="18"/>
      <c r="E488" s="17"/>
    </row>
    <row r="489" spans="4:5" ht="14.5" x14ac:dyDescent="0.25">
      <c r="D489" s="18"/>
      <c r="E489" s="17"/>
    </row>
    <row r="490" spans="4:5" ht="14.5" x14ac:dyDescent="0.25">
      <c r="D490" s="18"/>
      <c r="E490" s="17"/>
    </row>
    <row r="491" spans="4:5" ht="14.5" x14ac:dyDescent="0.25">
      <c r="D491" s="18"/>
      <c r="E491" s="17"/>
    </row>
    <row r="492" spans="4:5" ht="14.5" x14ac:dyDescent="0.25">
      <c r="D492" s="18"/>
      <c r="E492" s="17"/>
    </row>
    <row r="493" spans="4:5" ht="14.5" x14ac:dyDescent="0.25">
      <c r="D493" s="18"/>
      <c r="E493" s="17"/>
    </row>
    <row r="494" spans="4:5" ht="14.5" x14ac:dyDescent="0.25">
      <c r="D494" s="18"/>
      <c r="E494" s="17"/>
    </row>
    <row r="495" spans="4:5" ht="14.5" x14ac:dyDescent="0.25">
      <c r="D495" s="18"/>
      <c r="E495" s="17"/>
    </row>
    <row r="563" spans="4:5" ht="14.5" x14ac:dyDescent="0.25">
      <c r="D563" s="18"/>
      <c r="E563" s="17"/>
    </row>
    <row r="564" spans="4:5" ht="14.5" x14ac:dyDescent="0.25">
      <c r="D564" s="18"/>
      <c r="E564" s="17"/>
    </row>
    <row r="565" spans="4:5" ht="14.5" x14ac:dyDescent="0.25">
      <c r="D565" s="18"/>
      <c r="E565" s="17"/>
    </row>
    <row r="566" spans="4:5" ht="14.5" x14ac:dyDescent="0.25">
      <c r="D566" s="18"/>
      <c r="E566" s="17"/>
    </row>
    <row r="567" spans="4:5" ht="14.5" x14ac:dyDescent="0.25">
      <c r="D567" s="18"/>
      <c r="E567" s="17"/>
    </row>
    <row r="568" spans="4:5" ht="14.5" x14ac:dyDescent="0.25">
      <c r="D568" s="18"/>
      <c r="E568" s="17"/>
    </row>
    <row r="569" spans="4:5" ht="14.5" x14ac:dyDescent="0.25">
      <c r="D569" s="18"/>
      <c r="E569" s="17"/>
    </row>
    <row r="570" spans="4:5" ht="14.5" x14ac:dyDescent="0.25">
      <c r="D570" s="18"/>
      <c r="E570" s="17"/>
    </row>
    <row r="571" spans="4:5" ht="14.5" x14ac:dyDescent="0.25">
      <c r="D571" s="18"/>
      <c r="E571" s="17"/>
    </row>
    <row r="572" spans="4:5" ht="14.5" x14ac:dyDescent="0.25">
      <c r="D572" s="18"/>
      <c r="E572" s="17"/>
    </row>
    <row r="573" spans="4:5" ht="14.5" x14ac:dyDescent="0.25">
      <c r="D573" s="18"/>
      <c r="E573" s="17"/>
    </row>
    <row r="574" spans="4:5" ht="14.5" x14ac:dyDescent="0.25">
      <c r="D574" s="18"/>
      <c r="E574" s="17"/>
    </row>
    <row r="575" spans="4:5" ht="14.5" x14ac:dyDescent="0.25">
      <c r="D575" s="18"/>
      <c r="E575" s="17"/>
    </row>
    <row r="576" spans="4:5" ht="14.5" x14ac:dyDescent="0.25">
      <c r="D576" s="18"/>
      <c r="E576" s="17"/>
    </row>
    <row r="577" spans="4:5" ht="14.5" x14ac:dyDescent="0.25">
      <c r="D577" s="18"/>
      <c r="E577" s="17"/>
    </row>
    <row r="578" spans="4:5" ht="14.5" x14ac:dyDescent="0.25">
      <c r="D578" s="18"/>
      <c r="E578" s="17"/>
    </row>
    <row r="579" spans="4:5" ht="14.5" x14ac:dyDescent="0.25">
      <c r="D579" s="18"/>
      <c r="E579" s="17"/>
    </row>
    <row r="580" spans="4:5" ht="14.5" x14ac:dyDescent="0.25">
      <c r="D580" s="18"/>
      <c r="E580" s="17"/>
    </row>
    <row r="581" spans="4:5" ht="14.5" x14ac:dyDescent="0.25">
      <c r="D581" s="18"/>
      <c r="E581" s="17"/>
    </row>
    <row r="582" spans="4:5" ht="14.5" x14ac:dyDescent="0.25">
      <c r="D582" s="18"/>
      <c r="E582" s="17"/>
    </row>
    <row r="583" spans="4:5" ht="14.5" x14ac:dyDescent="0.25">
      <c r="D583" s="18"/>
      <c r="E583" s="17"/>
    </row>
    <row r="584" spans="4:5" ht="14.5" x14ac:dyDescent="0.25">
      <c r="D584" s="18"/>
      <c r="E584" s="17"/>
    </row>
    <row r="585" spans="4:5" ht="14.5" x14ac:dyDescent="0.25">
      <c r="D585" s="18"/>
      <c r="E585" s="17"/>
    </row>
    <row r="586" spans="4:5" ht="14.5" x14ac:dyDescent="0.25">
      <c r="D586" s="18"/>
      <c r="E586" s="17"/>
    </row>
    <row r="587" spans="4:5" ht="14.5" x14ac:dyDescent="0.25">
      <c r="D587" s="18"/>
      <c r="E587" s="17"/>
    </row>
  </sheetData>
  <phoneticPr fontId="1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S783"/>
  <sheetViews>
    <sheetView workbookViewId="0">
      <pane xSplit="1" ySplit="3" topLeftCell="AK24" activePane="bottomRight" state="frozen"/>
      <selection pane="topRight"/>
      <selection pane="bottomLeft"/>
      <selection pane="bottomRight" activeCell="AR1" sqref="AR1:AS104857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6" customWidth="1"/>
    <col min="14" max="14" width="11.75" style="6" customWidth="1"/>
    <col min="15" max="15" width="13.08203125" style="6" customWidth="1"/>
    <col min="16" max="16" width="11.58203125" style="6" customWidth="1"/>
    <col min="17" max="17" width="21.5" style="6" customWidth="1"/>
    <col min="18" max="18" width="19.83203125" style="6" customWidth="1"/>
    <col min="19" max="19" width="16.58203125" style="6" customWidth="1"/>
    <col min="20" max="20" width="19.08203125" style="6" customWidth="1"/>
    <col min="21" max="21" width="18.33203125" style="6" customWidth="1"/>
    <col min="22" max="22" width="17.75" style="6" customWidth="1"/>
    <col min="23" max="23" width="8.33203125" style="6" customWidth="1"/>
    <col min="24" max="24" width="18.5" style="6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7" customWidth="1"/>
    <col min="75" max="76" width="8.5" style="7" customWidth="1"/>
    <col min="77" max="78" width="7.83203125" style="7" customWidth="1"/>
    <col min="79" max="79" width="22.1640625" style="7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s="6" t="s">
        <v>168</v>
      </c>
      <c r="L1" s="6" t="s">
        <v>169</v>
      </c>
      <c r="M1" s="6" t="s">
        <v>170</v>
      </c>
      <c r="N1" s="6" t="s">
        <v>171</v>
      </c>
      <c r="O1" s="6" t="s">
        <v>172</v>
      </c>
      <c r="P1" s="6" t="s">
        <v>173</v>
      </c>
      <c r="Q1" s="6" t="s">
        <v>174</v>
      </c>
      <c r="R1" s="6" t="s">
        <v>175</v>
      </c>
      <c r="S1" s="6" t="s">
        <v>176</v>
      </c>
      <c r="T1" s="6" t="s">
        <v>177</v>
      </c>
      <c r="U1" s="6" t="s">
        <v>177</v>
      </c>
      <c r="V1" s="6" t="s">
        <v>178</v>
      </c>
      <c r="W1" s="6" t="s">
        <v>179</v>
      </c>
      <c r="X1" s="6" t="s">
        <v>180</v>
      </c>
      <c r="Y1" t="s">
        <v>181</v>
      </c>
      <c r="Z1" t="s">
        <v>182</v>
      </c>
      <c r="AA1" s="6" t="s">
        <v>183</v>
      </c>
      <c r="AB1" t="s">
        <v>184</v>
      </c>
      <c r="AC1" t="s">
        <v>185</v>
      </c>
      <c r="AD1" t="s">
        <v>186</v>
      </c>
      <c r="AE1" t="s">
        <v>187</v>
      </c>
      <c r="AF1" t="s">
        <v>188</v>
      </c>
      <c r="AG1" t="s">
        <v>189</v>
      </c>
      <c r="AH1" t="s">
        <v>190</v>
      </c>
      <c r="AI1" t="s">
        <v>191</v>
      </c>
      <c r="AJ1" t="s">
        <v>192</v>
      </c>
      <c r="AK1" t="s">
        <v>193</v>
      </c>
      <c r="AL1" t="s">
        <v>194</v>
      </c>
      <c r="AM1" t="s">
        <v>195</v>
      </c>
      <c r="AN1" t="s">
        <v>196</v>
      </c>
      <c r="AO1" t="s">
        <v>197</v>
      </c>
      <c r="AP1" t="s">
        <v>198</v>
      </c>
      <c r="AQ1" t="s">
        <v>199</v>
      </c>
      <c r="AR1" s="23" t="s">
        <v>576</v>
      </c>
      <c r="AS1" s="23" t="s">
        <v>577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J1" t="s">
        <v>214</v>
      </c>
      <c r="BK1" t="s">
        <v>215</v>
      </c>
      <c r="BL1" t="s">
        <v>216</v>
      </c>
      <c r="BM1" t="s">
        <v>217</v>
      </c>
      <c r="BN1" t="s">
        <v>218</v>
      </c>
      <c r="BO1" t="s">
        <v>219</v>
      </c>
      <c r="BP1" t="s">
        <v>220</v>
      </c>
      <c r="BQ1" t="s">
        <v>221</v>
      </c>
      <c r="BR1" t="s">
        <v>222</v>
      </c>
      <c r="BS1" t="s">
        <v>223</v>
      </c>
      <c r="BT1" t="s">
        <v>224</v>
      </c>
      <c r="BU1" t="s">
        <v>225</v>
      </c>
      <c r="BV1" s="7" t="s">
        <v>226</v>
      </c>
      <c r="BW1" s="7" t="s">
        <v>227</v>
      </c>
      <c r="BX1" s="7" t="s">
        <v>228</v>
      </c>
      <c r="BY1" s="7" t="s">
        <v>229</v>
      </c>
      <c r="BZ1" s="7" t="s">
        <v>230</v>
      </c>
      <c r="CA1" s="7" t="s">
        <v>231</v>
      </c>
      <c r="CB1" t="s">
        <v>232</v>
      </c>
      <c r="CC1" s="7" t="s">
        <v>233</v>
      </c>
      <c r="CD1" t="s">
        <v>234</v>
      </c>
      <c r="CE1" t="s">
        <v>235</v>
      </c>
      <c r="CF1" t="s">
        <v>236</v>
      </c>
      <c r="CG1" t="s">
        <v>237</v>
      </c>
      <c r="CH1" t="s">
        <v>238</v>
      </c>
      <c r="CI1" t="s">
        <v>239</v>
      </c>
      <c r="CJ1" t="s">
        <v>240</v>
      </c>
      <c r="CK1" t="s">
        <v>241</v>
      </c>
      <c r="CL1" t="s">
        <v>242</v>
      </c>
      <c r="CM1" t="s">
        <v>243</v>
      </c>
      <c r="CN1" t="s">
        <v>244</v>
      </c>
      <c r="CO1" t="s">
        <v>245</v>
      </c>
      <c r="CP1" t="s">
        <v>246</v>
      </c>
      <c r="CQ1" t="s">
        <v>247</v>
      </c>
      <c r="CR1" t="s">
        <v>224</v>
      </c>
      <c r="CS1" t="s">
        <v>248</v>
      </c>
      <c r="CT1" t="s">
        <v>249</v>
      </c>
      <c r="CU1" t="s">
        <v>250</v>
      </c>
      <c r="CV1" t="s">
        <v>251</v>
      </c>
      <c r="CW1" t="s">
        <v>252</v>
      </c>
      <c r="CX1" t="s">
        <v>253</v>
      </c>
      <c r="CY1" t="s">
        <v>254</v>
      </c>
      <c r="CZ1" t="s">
        <v>253</v>
      </c>
      <c r="DA1" t="s">
        <v>255</v>
      </c>
      <c r="DB1" t="s">
        <v>256</v>
      </c>
      <c r="DC1" t="s">
        <v>257</v>
      </c>
      <c r="DD1" t="s">
        <v>258</v>
      </c>
      <c r="DE1" t="s">
        <v>259</v>
      </c>
      <c r="DF1" t="s">
        <v>260</v>
      </c>
      <c r="DG1" t="s">
        <v>261</v>
      </c>
      <c r="DH1" t="s">
        <v>262</v>
      </c>
      <c r="DI1" t="s">
        <v>263</v>
      </c>
    </row>
    <row r="2" spans="1:113" x14ac:dyDescent="0.25">
      <c r="A2" t="s">
        <v>0</v>
      </c>
      <c r="C2" t="s">
        <v>48</v>
      </c>
      <c r="D2" t="s">
        <v>77</v>
      </c>
      <c r="E2" t="s">
        <v>264</v>
      </c>
      <c r="F2" t="s">
        <v>265</v>
      </c>
      <c r="G2" t="s">
        <v>53</v>
      </c>
      <c r="H2" t="s">
        <v>266</v>
      </c>
      <c r="I2" t="s">
        <v>267</v>
      </c>
      <c r="J2" t="s">
        <v>268</v>
      </c>
      <c r="K2" s="6" t="s">
        <v>269</v>
      </c>
      <c r="L2" s="6" t="s">
        <v>270</v>
      </c>
      <c r="M2" s="6" t="s">
        <v>271</v>
      </c>
      <c r="N2" s="6" t="s">
        <v>272</v>
      </c>
      <c r="O2" s="6" t="s">
        <v>273</v>
      </c>
      <c r="P2" s="6" t="s">
        <v>274</v>
      </c>
      <c r="Q2" s="6" t="s">
        <v>275</v>
      </c>
      <c r="R2" s="6" t="s">
        <v>276</v>
      </c>
      <c r="S2" s="6" t="s">
        <v>277</v>
      </c>
      <c r="T2" s="6" t="s">
        <v>278</v>
      </c>
      <c r="U2" s="6" t="s">
        <v>279</v>
      </c>
      <c r="V2" s="6" t="s">
        <v>280</v>
      </c>
      <c r="W2" s="6" t="s">
        <v>281</v>
      </c>
      <c r="X2" s="6" t="s">
        <v>282</v>
      </c>
      <c r="Y2" t="s">
        <v>283</v>
      </c>
      <c r="Z2" t="s">
        <v>284</v>
      </c>
      <c r="AA2" s="6" t="s">
        <v>285</v>
      </c>
      <c r="AB2" t="s">
        <v>286</v>
      </c>
      <c r="AC2" t="s">
        <v>287</v>
      </c>
      <c r="AD2" t="s">
        <v>288</v>
      </c>
      <c r="AE2" t="s">
        <v>289</v>
      </c>
      <c r="AF2" t="s">
        <v>290</v>
      </c>
      <c r="AG2" t="s">
        <v>291</v>
      </c>
      <c r="AH2" t="s">
        <v>292</v>
      </c>
      <c r="AI2" t="s">
        <v>293</v>
      </c>
      <c r="AJ2" t="s">
        <v>294</v>
      </c>
      <c r="AK2" t="s">
        <v>295</v>
      </c>
      <c r="AL2" t="s">
        <v>296</v>
      </c>
      <c r="AM2" t="s">
        <v>297</v>
      </c>
      <c r="AN2" t="s">
        <v>298</v>
      </c>
      <c r="AO2" t="s">
        <v>299</v>
      </c>
      <c r="AP2" t="s">
        <v>300</v>
      </c>
      <c r="AQ2" t="s">
        <v>301</v>
      </c>
      <c r="AR2" s="23" t="s">
        <v>578</v>
      </c>
      <c r="AS2" s="23" t="s">
        <v>579</v>
      </c>
      <c r="AT2" t="s">
        <v>302</v>
      </c>
      <c r="AU2" t="s">
        <v>303</v>
      </c>
      <c r="AV2" t="s">
        <v>304</v>
      </c>
      <c r="AW2" t="s">
        <v>305</v>
      </c>
      <c r="AX2" t="s">
        <v>306</v>
      </c>
      <c r="AY2" t="s">
        <v>307</v>
      </c>
      <c r="AZ2" t="s">
        <v>308</v>
      </c>
      <c r="BA2" t="s">
        <v>309</v>
      </c>
      <c r="BB2" t="s">
        <v>310</v>
      </c>
      <c r="BC2" t="s">
        <v>311</v>
      </c>
      <c r="BD2" t="s">
        <v>312</v>
      </c>
      <c r="BE2" t="s">
        <v>313</v>
      </c>
      <c r="BF2" t="s">
        <v>314</v>
      </c>
      <c r="BG2" t="s">
        <v>315</v>
      </c>
      <c r="BH2" t="s">
        <v>316</v>
      </c>
      <c r="BI2" t="s">
        <v>317</v>
      </c>
      <c r="BJ2" t="s">
        <v>318</v>
      </c>
      <c r="BK2" t="s">
        <v>319</v>
      </c>
      <c r="BL2" t="s">
        <v>320</v>
      </c>
      <c r="BM2" t="s">
        <v>321</v>
      </c>
      <c r="BN2" t="s">
        <v>322</v>
      </c>
      <c r="BO2" t="s">
        <v>79</v>
      </c>
      <c r="BP2" t="s">
        <v>323</v>
      </c>
      <c r="BQ2" t="s">
        <v>324</v>
      </c>
      <c r="BR2" t="s">
        <v>325</v>
      </c>
      <c r="BS2" t="s">
        <v>326</v>
      </c>
      <c r="BT2" t="s">
        <v>327</v>
      </c>
      <c r="BU2" t="s">
        <v>95</v>
      </c>
      <c r="BV2" s="7" t="s">
        <v>328</v>
      </c>
      <c r="BW2" s="7" t="s">
        <v>329</v>
      </c>
      <c r="BX2" s="7" t="s">
        <v>330</v>
      </c>
      <c r="BY2" s="7" t="s">
        <v>331</v>
      </c>
      <c r="BZ2" s="7" t="s">
        <v>332</v>
      </c>
      <c r="CA2" s="7" t="s">
        <v>333</v>
      </c>
      <c r="CB2" t="s">
        <v>334</v>
      </c>
      <c r="CC2" t="s">
        <v>335</v>
      </c>
      <c r="CD2" t="s">
        <v>336</v>
      </c>
      <c r="CE2" t="s">
        <v>337</v>
      </c>
      <c r="CF2" t="s">
        <v>338</v>
      </c>
      <c r="CG2" t="s">
        <v>339</v>
      </c>
      <c r="CH2" t="s">
        <v>340</v>
      </c>
      <c r="CI2" t="s">
        <v>341</v>
      </c>
      <c r="CJ2" t="s">
        <v>342</v>
      </c>
      <c r="CK2" t="s">
        <v>343</v>
      </c>
      <c r="CL2" t="s">
        <v>344</v>
      </c>
      <c r="CM2" t="s">
        <v>345</v>
      </c>
      <c r="CN2" t="s">
        <v>346</v>
      </c>
      <c r="CO2" t="s">
        <v>347</v>
      </c>
      <c r="CP2" t="s">
        <v>348</v>
      </c>
      <c r="CQ2" t="s">
        <v>349</v>
      </c>
      <c r="CR2" t="s">
        <v>350</v>
      </c>
      <c r="CS2" t="s">
        <v>351</v>
      </c>
      <c r="CT2" t="s">
        <v>352</v>
      </c>
      <c r="CU2" t="s">
        <v>353</v>
      </c>
      <c r="CV2" t="s">
        <v>354</v>
      </c>
      <c r="CW2" t="s">
        <v>355</v>
      </c>
      <c r="CX2" t="s">
        <v>356</v>
      </c>
      <c r="CY2" t="s">
        <v>357</v>
      </c>
      <c r="CZ2" t="s">
        <v>358</v>
      </c>
      <c r="DA2" t="s">
        <v>359</v>
      </c>
      <c r="DB2" t="s">
        <v>360</v>
      </c>
      <c r="DC2" t="s">
        <v>361</v>
      </c>
      <c r="DD2" t="s">
        <v>362</v>
      </c>
      <c r="DE2" t="s">
        <v>363</v>
      </c>
      <c r="DF2" t="s">
        <v>364</v>
      </c>
      <c r="DG2" t="s">
        <v>365</v>
      </c>
      <c r="DH2" t="s">
        <v>366</v>
      </c>
      <c r="DI2" t="s">
        <v>367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368</v>
      </c>
      <c r="K3" s="6" t="s">
        <v>369</v>
      </c>
      <c r="L3" s="6" t="s">
        <v>370</v>
      </c>
      <c r="M3" s="6" t="s">
        <v>118</v>
      </c>
      <c r="N3" s="6" t="s">
        <v>118</v>
      </c>
      <c r="O3" s="6" t="s">
        <v>120</v>
      </c>
      <c r="P3" s="6" t="s">
        <v>120</v>
      </c>
      <c r="Q3" s="6" t="s">
        <v>120</v>
      </c>
      <c r="R3" s="6" t="s">
        <v>120</v>
      </c>
      <c r="S3" s="6" t="s">
        <v>116</v>
      </c>
      <c r="T3" s="6" t="s">
        <v>117</v>
      </c>
      <c r="U3" s="6" t="s">
        <v>117</v>
      </c>
      <c r="V3" s="6" t="s">
        <v>117</v>
      </c>
      <c r="W3" s="6" t="s">
        <v>116</v>
      </c>
      <c r="X3" s="6" t="s">
        <v>116</v>
      </c>
      <c r="Y3" t="s">
        <v>116</v>
      </c>
      <c r="Z3" t="s">
        <v>116</v>
      </c>
      <c r="AA3" s="6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371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372</v>
      </c>
      <c r="AP3" t="s">
        <v>373</v>
      </c>
      <c r="AQ3" t="s">
        <v>2</v>
      </c>
      <c r="AR3" s="23" t="s">
        <v>580</v>
      </c>
      <c r="AS3" s="23" t="s">
        <v>580</v>
      </c>
      <c r="AT3" t="s">
        <v>374</v>
      </c>
      <c r="AU3" t="s">
        <v>116</v>
      </c>
      <c r="AV3" t="s">
        <v>117</v>
      </c>
      <c r="AW3" t="s">
        <v>116</v>
      </c>
      <c r="AX3" t="s">
        <v>375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374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376</v>
      </c>
      <c r="BR3" t="s">
        <v>377</v>
      </c>
      <c r="BS3" t="s">
        <v>117</v>
      </c>
      <c r="BT3" t="s">
        <v>117</v>
      </c>
      <c r="BU3" t="s">
        <v>116</v>
      </c>
      <c r="BV3" s="7" t="s">
        <v>117</v>
      </c>
      <c r="BW3" s="7" t="s">
        <v>117</v>
      </c>
      <c r="BX3" s="7" t="s">
        <v>118</v>
      </c>
      <c r="BY3" s="7" t="s">
        <v>378</v>
      </c>
      <c r="BZ3" s="7" t="s">
        <v>116</v>
      </c>
      <c r="CA3" s="7" t="s">
        <v>378</v>
      </c>
      <c r="CB3" t="s">
        <v>124</v>
      </c>
      <c r="CC3" t="s">
        <v>379</v>
      </c>
      <c r="CD3" t="s">
        <v>124</v>
      </c>
      <c r="CE3" t="s">
        <v>124</v>
      </c>
      <c r="CF3" t="s">
        <v>124</v>
      </c>
      <c r="CG3" t="s">
        <v>380</v>
      </c>
      <c r="CH3" t="s">
        <v>381</v>
      </c>
      <c r="CI3" t="s">
        <v>2</v>
      </c>
      <c r="CJ3" t="s">
        <v>382</v>
      </c>
      <c r="CK3" t="s">
        <v>382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379</v>
      </c>
      <c r="CS3" t="s">
        <v>123</v>
      </c>
      <c r="CT3" t="s">
        <v>116</v>
      </c>
      <c r="CU3" t="s">
        <v>125</v>
      </c>
      <c r="CV3" t="s">
        <v>383</v>
      </c>
      <c r="CW3" t="s">
        <v>384</v>
      </c>
      <c r="CX3" t="s">
        <v>384</v>
      </c>
      <c r="CY3" t="s">
        <v>383</v>
      </c>
      <c r="CZ3" t="s">
        <v>383</v>
      </c>
      <c r="DA3" t="s">
        <v>383</v>
      </c>
      <c r="DB3" t="s">
        <v>383</v>
      </c>
      <c r="DC3" t="s">
        <v>383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3" customFormat="1" x14ac:dyDescent="0.25">
      <c r="A4" s="3" t="s">
        <v>385</v>
      </c>
    </row>
    <row r="5" spans="1:113" s="4" customFormat="1" x14ac:dyDescent="0.25"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AR5"/>
      <c r="AS5"/>
      <c r="BV5" s="7"/>
      <c r="BW5" s="7"/>
      <c r="BX5" s="7"/>
      <c r="BY5" s="7"/>
      <c r="BZ5" s="7"/>
      <c r="CA5" s="7"/>
    </row>
    <row r="6" spans="1:113" s="5" customFormat="1" x14ac:dyDescent="0.25">
      <c r="A6" s="8" t="s">
        <v>386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AR6"/>
      <c r="AS6"/>
      <c r="BV6" s="10"/>
      <c r="BW6" s="10"/>
      <c r="BX6" s="10"/>
      <c r="BY6" s="10"/>
      <c r="BZ6" s="10"/>
      <c r="CA6" s="10"/>
    </row>
    <row r="7" spans="1:113" s="4" customFormat="1" x14ac:dyDescent="0.25"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AR7"/>
      <c r="AS7"/>
      <c r="BV7" s="7"/>
      <c r="BW7" s="7"/>
      <c r="BX7" s="7"/>
      <c r="BY7" s="7"/>
      <c r="BZ7" s="7"/>
      <c r="CA7" s="7"/>
    </row>
    <row r="8" spans="1:113" x14ac:dyDescent="0.25">
      <c r="A8" t="s">
        <v>130</v>
      </c>
      <c r="C8" t="s">
        <v>387</v>
      </c>
      <c r="R8"/>
      <c r="AC8">
        <v>2</v>
      </c>
      <c r="AD8">
        <v>1</v>
      </c>
      <c r="AO8" t="s">
        <v>388</v>
      </c>
      <c r="AT8" t="s">
        <v>389</v>
      </c>
      <c r="AX8" t="s">
        <v>390</v>
      </c>
      <c r="AZ8">
        <v>1</v>
      </c>
      <c r="BD8">
        <v>1</v>
      </c>
      <c r="CB8" t="s">
        <v>391</v>
      </c>
      <c r="CD8" t="s">
        <v>392</v>
      </c>
      <c r="CG8" t="s">
        <v>393</v>
      </c>
      <c r="CH8" t="s">
        <v>394</v>
      </c>
      <c r="CI8" t="s">
        <v>395</v>
      </c>
      <c r="CJ8" t="s">
        <v>396</v>
      </c>
      <c r="CN8" s="13"/>
      <c r="CY8" t="s">
        <v>397</v>
      </c>
    </row>
    <row r="9" spans="1:113" x14ac:dyDescent="0.25">
      <c r="R9"/>
      <c r="CN9" s="13"/>
    </row>
    <row r="10" spans="1:113" x14ac:dyDescent="0.25">
      <c r="A10" t="s">
        <v>398</v>
      </c>
      <c r="C10" t="s">
        <v>399</v>
      </c>
      <c r="D10" t="s">
        <v>400</v>
      </c>
      <c r="E10" t="s">
        <v>401</v>
      </c>
      <c r="F10" t="s">
        <v>402</v>
      </c>
      <c r="G10">
        <v>3</v>
      </c>
      <c r="J10" t="s">
        <v>403</v>
      </c>
      <c r="K10" s="6" t="s">
        <v>404</v>
      </c>
      <c r="M10"/>
      <c r="N10"/>
      <c r="S10"/>
      <c r="Y10" s="6"/>
      <c r="Z10" s="6"/>
      <c r="AA10" s="6"/>
      <c r="AB10" s="6"/>
      <c r="AC10">
        <v>1</v>
      </c>
      <c r="AG10" t="s">
        <v>405</v>
      </c>
      <c r="BD10">
        <v>1</v>
      </c>
      <c r="BO10" t="s">
        <v>406</v>
      </c>
      <c r="BV10" s="7">
        <v>0</v>
      </c>
      <c r="BW10" s="7">
        <v>18</v>
      </c>
      <c r="BX10" s="7">
        <v>1</v>
      </c>
      <c r="BY10" s="7" t="s">
        <v>404</v>
      </c>
      <c r="CU10" t="s">
        <v>407</v>
      </c>
    </row>
    <row r="11" spans="1:113" x14ac:dyDescent="0.25">
      <c r="A11" t="s">
        <v>408</v>
      </c>
      <c r="C11" t="s">
        <v>399</v>
      </c>
      <c r="I11">
        <v>1</v>
      </c>
      <c r="K11" s="9" t="s">
        <v>409</v>
      </c>
      <c r="L11" s="9" t="s">
        <v>410</v>
      </c>
      <c r="M11"/>
      <c r="N11"/>
      <c r="O11" s="9"/>
      <c r="P11"/>
      <c r="Q11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>
        <v>1</v>
      </c>
      <c r="AG11" t="s">
        <v>405</v>
      </c>
      <c r="BD11">
        <v>1</v>
      </c>
      <c r="BV11" s="11"/>
      <c r="BW11" s="11"/>
      <c r="BX11" s="11"/>
      <c r="BY11" s="11"/>
      <c r="BZ11" s="11"/>
      <c r="CA11" s="11"/>
      <c r="CU11" t="s">
        <v>411</v>
      </c>
      <c r="DD11">
        <v>1</v>
      </c>
      <c r="DF11">
        <v>1</v>
      </c>
      <c r="DG11">
        <v>1</v>
      </c>
      <c r="DH11">
        <v>1</v>
      </c>
    </row>
    <row r="12" spans="1:113" x14ac:dyDescent="0.25">
      <c r="A12" t="s">
        <v>412</v>
      </c>
      <c r="C12" t="s">
        <v>387</v>
      </c>
      <c r="I12">
        <v>1</v>
      </c>
      <c r="K12" s="9" t="s">
        <v>409</v>
      </c>
      <c r="L12" s="9" t="s">
        <v>413</v>
      </c>
      <c r="M12"/>
      <c r="N12"/>
      <c r="O12" s="9"/>
      <c r="P12"/>
      <c r="Q12"/>
      <c r="R12" s="9"/>
      <c r="S12" s="9"/>
      <c r="T12" s="9"/>
      <c r="U12" s="9"/>
      <c r="V12" s="9"/>
      <c r="W12" s="9"/>
      <c r="X12" s="9"/>
      <c r="AC12">
        <v>2</v>
      </c>
      <c r="AV12">
        <v>1.7</v>
      </c>
      <c r="BD12">
        <v>99</v>
      </c>
      <c r="BV12"/>
      <c r="BW12" s="11"/>
      <c r="BX12" s="11"/>
      <c r="BY12" s="11"/>
      <c r="BZ12" s="11"/>
      <c r="CA12" s="11"/>
      <c r="CG12" t="s">
        <v>393</v>
      </c>
      <c r="CN12" t="s">
        <v>414</v>
      </c>
      <c r="CO12">
        <v>-0.8</v>
      </c>
      <c r="CR12">
        <v>10</v>
      </c>
      <c r="CX12" t="s">
        <v>415</v>
      </c>
      <c r="DH12">
        <v>1</v>
      </c>
    </row>
    <row r="13" spans="1:113" x14ac:dyDescent="0.25">
      <c r="A13" t="s">
        <v>416</v>
      </c>
      <c r="C13" t="s">
        <v>387</v>
      </c>
      <c r="I13">
        <v>1</v>
      </c>
      <c r="K13" s="9" t="s">
        <v>409</v>
      </c>
      <c r="L13" s="9" t="s">
        <v>417</v>
      </c>
      <c r="M13"/>
      <c r="N13"/>
      <c r="O13" s="9"/>
      <c r="P13"/>
      <c r="Q13"/>
      <c r="R13" s="9"/>
      <c r="S13" s="9"/>
      <c r="T13" s="9"/>
      <c r="U13" s="9"/>
      <c r="V13" s="9"/>
      <c r="W13" s="9"/>
      <c r="X13" s="9"/>
      <c r="AC13">
        <v>2</v>
      </c>
      <c r="AV13">
        <v>1.7</v>
      </c>
      <c r="BD13">
        <v>99</v>
      </c>
      <c r="BV13"/>
      <c r="BW13" s="11"/>
      <c r="BX13" s="11"/>
      <c r="BY13" s="11"/>
      <c r="BZ13" s="11"/>
      <c r="CA13" s="11"/>
      <c r="CG13" t="s">
        <v>393</v>
      </c>
      <c r="CN13" t="s">
        <v>414</v>
      </c>
      <c r="CO13">
        <v>-0.8</v>
      </c>
      <c r="CR13">
        <v>10</v>
      </c>
      <c r="CX13" t="s">
        <v>415</v>
      </c>
      <c r="DH13">
        <v>1</v>
      </c>
    </row>
    <row r="14" spans="1:113" x14ac:dyDescent="0.25">
      <c r="R14"/>
      <c r="CN14" s="13"/>
    </row>
    <row r="15" spans="1:113" x14ac:dyDescent="0.25">
      <c r="A15" t="s">
        <v>418</v>
      </c>
      <c r="C15" t="s">
        <v>387</v>
      </c>
      <c r="D15" t="s">
        <v>419</v>
      </c>
      <c r="E15" t="s">
        <v>420</v>
      </c>
      <c r="F15" t="s">
        <v>421</v>
      </c>
      <c r="G15">
        <v>3</v>
      </c>
      <c r="J15" t="s">
        <v>403</v>
      </c>
      <c r="K15" s="6" t="s">
        <v>422</v>
      </c>
      <c r="M15"/>
      <c r="N15"/>
      <c r="P15"/>
      <c r="Y15" s="6"/>
      <c r="Z15" s="6"/>
      <c r="AA15" s="6"/>
      <c r="AB15" s="6"/>
      <c r="AC15">
        <v>1</v>
      </c>
      <c r="AG15" t="s">
        <v>405</v>
      </c>
      <c r="BD15">
        <v>1</v>
      </c>
      <c r="BO15" t="s">
        <v>423</v>
      </c>
      <c r="BP15" t="s">
        <v>424</v>
      </c>
      <c r="BT15">
        <v>20</v>
      </c>
      <c r="BV15" s="7">
        <v>12</v>
      </c>
      <c r="BW15" s="7">
        <v>16</v>
      </c>
      <c r="BX15" s="7">
        <v>1</v>
      </c>
      <c r="BY15" s="7" t="s">
        <v>425</v>
      </c>
      <c r="BZ15"/>
      <c r="CB15" s="7"/>
      <c r="CN15" t="s">
        <v>426</v>
      </c>
      <c r="CO15">
        <v>3</v>
      </c>
      <c r="CR15">
        <v>20</v>
      </c>
    </row>
    <row r="16" spans="1:113" x14ac:dyDescent="0.25">
      <c r="A16" t="s">
        <v>427</v>
      </c>
      <c r="C16" t="s">
        <v>399</v>
      </c>
      <c r="I16">
        <v>1</v>
      </c>
      <c r="K16" s="9" t="s">
        <v>409</v>
      </c>
      <c r="L16" s="9" t="s">
        <v>410</v>
      </c>
      <c r="M16"/>
      <c r="N16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>
        <v>1</v>
      </c>
      <c r="AG16" t="s">
        <v>405</v>
      </c>
      <c r="BD16">
        <v>1</v>
      </c>
      <c r="BV16" s="11"/>
      <c r="BW16" s="11"/>
      <c r="BX16" s="11"/>
      <c r="BY16" s="11"/>
      <c r="BZ16"/>
      <c r="CA16" s="11"/>
      <c r="CB16" s="11"/>
      <c r="CU16" t="s">
        <v>428</v>
      </c>
      <c r="DD16">
        <v>1</v>
      </c>
      <c r="DF16">
        <v>1</v>
      </c>
      <c r="DG16">
        <v>1</v>
      </c>
      <c r="DH16">
        <v>1</v>
      </c>
    </row>
    <row r="17" spans="1:123" x14ac:dyDescent="0.25">
      <c r="A17" t="s">
        <v>429</v>
      </c>
      <c r="C17" t="s">
        <v>387</v>
      </c>
      <c r="M17"/>
      <c r="N17"/>
      <c r="O17" t="s">
        <v>430</v>
      </c>
      <c r="Y17" s="6"/>
      <c r="Z17" s="6"/>
      <c r="AA17" s="6"/>
      <c r="AB17" s="6"/>
      <c r="AC17">
        <v>2</v>
      </c>
      <c r="AD17">
        <v>1</v>
      </c>
      <c r="AO17" t="s">
        <v>388</v>
      </c>
      <c r="AT17" t="s">
        <v>431</v>
      </c>
      <c r="AX17" t="s">
        <v>390</v>
      </c>
      <c r="AZ17">
        <v>1</v>
      </c>
      <c r="BD17">
        <v>1</v>
      </c>
      <c r="BJ17">
        <v>1.1000000000000001</v>
      </c>
      <c r="BK17">
        <v>1</v>
      </c>
      <c r="BL17">
        <v>1</v>
      </c>
      <c r="BZ17"/>
      <c r="CB17" t="s">
        <v>432</v>
      </c>
      <c r="CG17" t="s">
        <v>393</v>
      </c>
      <c r="CH17" t="s">
        <v>394</v>
      </c>
      <c r="CI17" t="s">
        <v>395</v>
      </c>
      <c r="CJ17" t="s">
        <v>433</v>
      </c>
      <c r="CY17" t="s">
        <v>434</v>
      </c>
    </row>
    <row r="18" spans="1:123" x14ac:dyDescent="0.25">
      <c r="A18" t="s">
        <v>424</v>
      </c>
      <c r="C18" t="s">
        <v>387</v>
      </c>
      <c r="I18">
        <v>1</v>
      </c>
      <c r="K18" s="6" t="s">
        <v>409</v>
      </c>
      <c r="M18"/>
      <c r="N18"/>
      <c r="O18"/>
      <c r="Y18" s="6"/>
      <c r="Z18" s="6"/>
      <c r="AA18" s="6"/>
      <c r="AB18" s="6"/>
      <c r="AC18">
        <v>1</v>
      </c>
      <c r="AG18" t="s">
        <v>405</v>
      </c>
      <c r="BD18">
        <v>1</v>
      </c>
      <c r="BS18">
        <v>0.5</v>
      </c>
      <c r="BZ18"/>
      <c r="CB18" t="s">
        <v>435</v>
      </c>
      <c r="CG18" t="s">
        <v>393</v>
      </c>
      <c r="DD18">
        <v>1</v>
      </c>
      <c r="DF18">
        <v>1</v>
      </c>
      <c r="DG18">
        <v>1</v>
      </c>
      <c r="DH18">
        <v>1</v>
      </c>
    </row>
    <row r="19" spans="1:123" x14ac:dyDescent="0.25">
      <c r="A19" t="s">
        <v>436</v>
      </c>
      <c r="C19" t="s">
        <v>387</v>
      </c>
      <c r="I19">
        <v>1</v>
      </c>
      <c r="K19" s="6" t="s">
        <v>409</v>
      </c>
      <c r="L19" s="6" t="s">
        <v>437</v>
      </c>
      <c r="M19"/>
      <c r="N19"/>
      <c r="O19"/>
      <c r="Y19" s="6"/>
      <c r="Z19" s="6"/>
      <c r="AA19" s="6"/>
      <c r="AB19" s="6"/>
      <c r="AC19">
        <v>1</v>
      </c>
      <c r="AG19" t="s">
        <v>405</v>
      </c>
      <c r="BD19">
        <v>1</v>
      </c>
      <c r="BS19">
        <v>0.5</v>
      </c>
      <c r="BZ19"/>
      <c r="CB19" t="s">
        <v>438</v>
      </c>
      <c r="CG19" t="s">
        <v>393</v>
      </c>
      <c r="DD19">
        <v>1</v>
      </c>
      <c r="DF19">
        <v>1</v>
      </c>
      <c r="DG19">
        <v>1</v>
      </c>
      <c r="DH19">
        <v>1</v>
      </c>
    </row>
    <row r="20" spans="1:123" x14ac:dyDescent="0.25">
      <c r="A20" t="s">
        <v>439</v>
      </c>
      <c r="C20" t="s">
        <v>399</v>
      </c>
      <c r="I20">
        <v>1</v>
      </c>
      <c r="K20" s="9" t="s">
        <v>409</v>
      </c>
      <c r="L20" s="6" t="s">
        <v>437</v>
      </c>
      <c r="M20"/>
      <c r="N2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>
        <v>1</v>
      </c>
      <c r="AG20" t="s">
        <v>405</v>
      </c>
      <c r="BD20">
        <v>1</v>
      </c>
      <c r="BV20"/>
      <c r="BW20" s="11"/>
      <c r="BX20" s="11"/>
      <c r="BY20" s="11"/>
      <c r="BZ20" s="11"/>
      <c r="CA20" s="11"/>
      <c r="CB20" s="11"/>
      <c r="CU20" t="s">
        <v>440</v>
      </c>
      <c r="DD20">
        <v>1</v>
      </c>
      <c r="DF20">
        <v>1</v>
      </c>
      <c r="DG20">
        <v>1</v>
      </c>
      <c r="DH20">
        <v>1</v>
      </c>
    </row>
    <row r="21" spans="1:123" x14ac:dyDescent="0.25">
      <c r="A21" t="s">
        <v>441</v>
      </c>
      <c r="C21" t="s">
        <v>387</v>
      </c>
      <c r="I21">
        <v>1</v>
      </c>
      <c r="K21" s="9" t="s">
        <v>409</v>
      </c>
      <c r="L21" s="9" t="s">
        <v>413</v>
      </c>
      <c r="M21"/>
      <c r="N21"/>
      <c r="O21" s="9"/>
      <c r="P21"/>
      <c r="Q21"/>
      <c r="R21" s="9"/>
      <c r="S21" s="9"/>
      <c r="T21" s="9"/>
      <c r="U21" s="9"/>
      <c r="V21" s="9"/>
      <c r="W21" s="9"/>
      <c r="X21" s="9"/>
      <c r="AC21">
        <v>2</v>
      </c>
      <c r="AV21">
        <v>1.7</v>
      </c>
      <c r="BD21">
        <v>99</v>
      </c>
      <c r="BV21"/>
      <c r="BW21" s="11"/>
      <c r="BX21" s="11"/>
      <c r="BY21" s="11"/>
      <c r="BZ21" s="11"/>
      <c r="CA21" s="11"/>
      <c r="CG21" t="s">
        <v>393</v>
      </c>
      <c r="CN21" t="s">
        <v>442</v>
      </c>
      <c r="CR21">
        <v>5</v>
      </c>
      <c r="CX21" t="s">
        <v>415</v>
      </c>
      <c r="DH21">
        <v>1</v>
      </c>
    </row>
    <row r="22" spans="1:123" x14ac:dyDescent="0.25">
      <c r="A22" t="s">
        <v>443</v>
      </c>
      <c r="C22" t="s">
        <v>387</v>
      </c>
      <c r="I22">
        <v>1</v>
      </c>
      <c r="K22" s="9" t="s">
        <v>409</v>
      </c>
      <c r="L22" s="9" t="s">
        <v>417</v>
      </c>
      <c r="M22"/>
      <c r="N22"/>
      <c r="O22" s="9"/>
      <c r="P22"/>
      <c r="Q22"/>
      <c r="R22" s="9"/>
      <c r="S22" s="9"/>
      <c r="T22" s="9"/>
      <c r="U22" s="9"/>
      <c r="V22" s="9"/>
      <c r="W22" s="9"/>
      <c r="X22" s="9"/>
      <c r="AC22">
        <v>2</v>
      </c>
      <c r="AV22">
        <v>1.7</v>
      </c>
      <c r="BD22">
        <v>99</v>
      </c>
      <c r="BV22"/>
      <c r="BW22" s="11"/>
      <c r="BX22" s="11"/>
      <c r="BY22" s="11"/>
      <c r="BZ22" s="11"/>
      <c r="CA22" s="11"/>
      <c r="CG22" t="s">
        <v>393</v>
      </c>
      <c r="CN22" t="s">
        <v>442</v>
      </c>
      <c r="CR22">
        <v>5</v>
      </c>
      <c r="CX22" t="s">
        <v>415</v>
      </c>
      <c r="DH22">
        <v>1</v>
      </c>
    </row>
    <row r="23" spans="1:123" x14ac:dyDescent="0.25">
      <c r="J23" s="9"/>
      <c r="L23" s="9"/>
      <c r="M23"/>
      <c r="N23"/>
      <c r="O23" s="9"/>
      <c r="P23"/>
      <c r="Q23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J23" s="9"/>
      <c r="BV23"/>
      <c r="BW23"/>
      <c r="BX23"/>
      <c r="BY23"/>
      <c r="BZ23"/>
      <c r="CA23"/>
      <c r="CZ23" s="11"/>
      <c r="DA23" s="11"/>
      <c r="DB23" s="11"/>
      <c r="DC23" s="11"/>
      <c r="DD23" s="11"/>
      <c r="DE23" s="11"/>
    </row>
    <row r="24" spans="1:123" x14ac:dyDescent="0.25">
      <c r="A24" t="s">
        <v>444</v>
      </c>
      <c r="C24" t="s">
        <v>387</v>
      </c>
      <c r="D24" t="s">
        <v>445</v>
      </c>
      <c r="E24" t="s">
        <v>446</v>
      </c>
      <c r="F24" t="s">
        <v>447</v>
      </c>
      <c r="G24">
        <v>3</v>
      </c>
      <c r="J24" t="s">
        <v>403</v>
      </c>
      <c r="K24" s="6" t="s">
        <v>422</v>
      </c>
      <c r="M24"/>
      <c r="N24"/>
      <c r="P24"/>
      <c r="AC24">
        <v>1</v>
      </c>
      <c r="AG24" t="s">
        <v>405</v>
      </c>
      <c r="BD24">
        <v>1</v>
      </c>
      <c r="BO24" t="s">
        <v>448</v>
      </c>
      <c r="BP24" t="s">
        <v>449</v>
      </c>
      <c r="BT24">
        <v>40</v>
      </c>
      <c r="BU24">
        <v>1</v>
      </c>
      <c r="BV24" s="7">
        <v>24</v>
      </c>
      <c r="BW24" s="7">
        <v>34</v>
      </c>
      <c r="BX24" s="7">
        <v>1</v>
      </c>
      <c r="BY24" s="7" t="s">
        <v>404</v>
      </c>
      <c r="CA24" s="21" t="s">
        <v>574</v>
      </c>
      <c r="CN24" t="s">
        <v>450</v>
      </c>
      <c r="CO24" s="20" t="s">
        <v>451</v>
      </c>
      <c r="CR24">
        <v>99999</v>
      </c>
      <c r="CT24">
        <v>1</v>
      </c>
    </row>
    <row r="25" spans="1:123" x14ac:dyDescent="0.25">
      <c r="A25" t="s">
        <v>452</v>
      </c>
      <c r="C25" t="s">
        <v>399</v>
      </c>
      <c r="I25">
        <v>1</v>
      </c>
      <c r="K25" s="9" t="s">
        <v>409</v>
      </c>
      <c r="L25" s="9" t="s">
        <v>410</v>
      </c>
      <c r="M25"/>
      <c r="N25"/>
      <c r="O25" s="9"/>
      <c r="P25" s="9"/>
      <c r="Q25" s="9"/>
      <c r="R25" s="9"/>
      <c r="S25" s="9"/>
      <c r="T25" s="9"/>
      <c r="U25" s="9"/>
      <c r="V25" s="9"/>
      <c r="W25" s="9"/>
      <c r="X25" s="9"/>
      <c r="AC25">
        <v>1</v>
      </c>
      <c r="AG25" t="s">
        <v>405</v>
      </c>
      <c r="BD25">
        <v>1</v>
      </c>
      <c r="BV25" s="11"/>
      <c r="BW25" s="11"/>
      <c r="BX25" s="11"/>
      <c r="BY25" s="11"/>
      <c r="BZ25" s="11"/>
      <c r="CA25" s="11"/>
      <c r="CU25" t="s">
        <v>453</v>
      </c>
      <c r="DD25">
        <v>1</v>
      </c>
      <c r="DG25">
        <v>1</v>
      </c>
      <c r="DH25">
        <v>1</v>
      </c>
    </row>
    <row r="26" spans="1:123" x14ac:dyDescent="0.25">
      <c r="A26" t="s">
        <v>454</v>
      </c>
      <c r="C26" t="s">
        <v>387</v>
      </c>
      <c r="M26"/>
      <c r="N26"/>
      <c r="O26" t="s">
        <v>455</v>
      </c>
      <c r="R26" t="s">
        <v>456</v>
      </c>
      <c r="AC26">
        <v>2</v>
      </c>
      <c r="AD26">
        <v>1</v>
      </c>
      <c r="AO26" t="s">
        <v>388</v>
      </c>
      <c r="AT26" t="s">
        <v>389</v>
      </c>
      <c r="AX26" t="s">
        <v>390</v>
      </c>
      <c r="AZ26">
        <v>1</v>
      </c>
      <c r="BD26">
        <v>1</v>
      </c>
      <c r="CA26" s="7" t="s">
        <v>425</v>
      </c>
      <c r="CB26" t="s">
        <v>457</v>
      </c>
      <c r="CD26" s="12" t="s">
        <v>458</v>
      </c>
      <c r="CG26" t="s">
        <v>393</v>
      </c>
      <c r="CH26" t="s">
        <v>394</v>
      </c>
      <c r="CI26" t="s">
        <v>395</v>
      </c>
      <c r="CJ26" t="s">
        <v>459</v>
      </c>
      <c r="CY26" t="s">
        <v>397</v>
      </c>
    </row>
    <row r="27" spans="1:123" x14ac:dyDescent="0.25">
      <c r="A27" t="s">
        <v>460</v>
      </c>
      <c r="C27" t="s">
        <v>387</v>
      </c>
      <c r="M27"/>
      <c r="N27"/>
      <c r="O27" t="s">
        <v>455</v>
      </c>
      <c r="Q27" t="s">
        <v>456</v>
      </c>
      <c r="AC27">
        <v>2</v>
      </c>
      <c r="AD27">
        <v>1</v>
      </c>
      <c r="AO27" t="s">
        <v>388</v>
      </c>
      <c r="AT27" t="s">
        <v>389</v>
      </c>
      <c r="AX27" t="s">
        <v>390</v>
      </c>
      <c r="AZ27">
        <v>1</v>
      </c>
      <c r="BD27">
        <v>1</v>
      </c>
      <c r="CA27" s="7" t="s">
        <v>425</v>
      </c>
      <c r="CB27" t="s">
        <v>457</v>
      </c>
      <c r="CD27" s="12" t="s">
        <v>458</v>
      </c>
      <c r="CG27" t="s">
        <v>393</v>
      </c>
      <c r="CH27" t="s">
        <v>394</v>
      </c>
      <c r="CI27" t="s">
        <v>395</v>
      </c>
      <c r="CJ27" t="s">
        <v>461</v>
      </c>
      <c r="CY27" t="s">
        <v>397</v>
      </c>
    </row>
    <row r="28" spans="1:123" x14ac:dyDescent="0.25">
      <c r="A28" t="s">
        <v>449</v>
      </c>
      <c r="C28" t="s">
        <v>387</v>
      </c>
      <c r="I28">
        <v>1</v>
      </c>
      <c r="K28" s="6" t="s">
        <v>409</v>
      </c>
      <c r="M28"/>
      <c r="N28"/>
      <c r="O28"/>
      <c r="AC28">
        <v>1</v>
      </c>
      <c r="AG28" t="s">
        <v>405</v>
      </c>
      <c r="BD28">
        <v>1</v>
      </c>
      <c r="BS28">
        <v>0.5</v>
      </c>
      <c r="CB28" t="s">
        <v>462</v>
      </c>
      <c r="CG28" t="s">
        <v>393</v>
      </c>
      <c r="DD28">
        <v>1</v>
      </c>
      <c r="DG28">
        <v>1</v>
      </c>
      <c r="DH28">
        <v>1</v>
      </c>
    </row>
    <row r="29" spans="1:123" x14ac:dyDescent="0.25">
      <c r="A29" t="s">
        <v>463</v>
      </c>
      <c r="C29" t="s">
        <v>387</v>
      </c>
      <c r="I29">
        <v>1</v>
      </c>
      <c r="K29" s="6" t="s">
        <v>409</v>
      </c>
      <c r="L29" s="6" t="s">
        <v>437</v>
      </c>
      <c r="M29"/>
      <c r="N29"/>
      <c r="O29"/>
      <c r="AC29">
        <v>1</v>
      </c>
      <c r="AG29" t="s">
        <v>405</v>
      </c>
      <c r="BD29">
        <v>1</v>
      </c>
      <c r="BS29">
        <v>0.5</v>
      </c>
      <c r="CB29" t="s">
        <v>464</v>
      </c>
      <c r="CG29" t="s">
        <v>393</v>
      </c>
      <c r="DD29">
        <v>1</v>
      </c>
      <c r="DG29">
        <v>1</v>
      </c>
      <c r="DH29">
        <v>1</v>
      </c>
    </row>
    <row r="30" spans="1:123" x14ac:dyDescent="0.25">
      <c r="A30" t="s">
        <v>465</v>
      </c>
      <c r="C30" t="s">
        <v>399</v>
      </c>
      <c r="I30">
        <v>1</v>
      </c>
      <c r="K30" s="9" t="s">
        <v>409</v>
      </c>
      <c r="L30" s="6" t="s">
        <v>437</v>
      </c>
      <c r="M30"/>
      <c r="N30"/>
      <c r="O30" s="9"/>
      <c r="P30" s="9"/>
      <c r="Q30" s="9"/>
      <c r="R30" s="9"/>
      <c r="S30" s="9"/>
      <c r="T30" s="9"/>
      <c r="U30" s="9"/>
      <c r="V30" s="9"/>
      <c r="W30" s="9"/>
      <c r="X30" s="9"/>
      <c r="AC30">
        <v>1</v>
      </c>
      <c r="AG30" t="s">
        <v>405</v>
      </c>
      <c r="BD30">
        <v>1</v>
      </c>
      <c r="BV30" s="11"/>
      <c r="BW30" s="11"/>
      <c r="BX30" s="11"/>
      <c r="BY30" s="11"/>
      <c r="BZ30" s="11"/>
      <c r="CA30" s="11"/>
      <c r="CU30" t="s">
        <v>466</v>
      </c>
      <c r="DD30">
        <v>1</v>
      </c>
      <c r="DG30">
        <v>1</v>
      </c>
      <c r="DH30">
        <v>1</v>
      </c>
    </row>
    <row r="31" spans="1:123" x14ac:dyDescent="0.25">
      <c r="A31" t="s">
        <v>467</v>
      </c>
      <c r="C31" t="s">
        <v>387</v>
      </c>
      <c r="I31">
        <v>1</v>
      </c>
      <c r="K31" s="9" t="s">
        <v>409</v>
      </c>
      <c r="L31" s="9" t="s">
        <v>410</v>
      </c>
      <c r="M31"/>
      <c r="N31" s="9">
        <v>1</v>
      </c>
      <c r="P31"/>
      <c r="Q31"/>
      <c r="R31" s="9"/>
      <c r="S31" s="9"/>
      <c r="T31" s="9"/>
      <c r="U31" s="9"/>
      <c r="V31" s="9"/>
      <c r="W31" s="9"/>
      <c r="X31"/>
      <c r="AC31">
        <v>1</v>
      </c>
      <c r="AG31" t="s">
        <v>405</v>
      </c>
      <c r="BD31">
        <v>1</v>
      </c>
      <c r="BO31" t="s">
        <v>468</v>
      </c>
      <c r="BV31"/>
      <c r="BW31" s="11"/>
      <c r="BX31" s="11"/>
      <c r="BY31" s="11"/>
      <c r="BZ31" s="11"/>
      <c r="CA31" s="11"/>
      <c r="CB31" s="11"/>
      <c r="CN31" t="s">
        <v>469</v>
      </c>
      <c r="CR31">
        <v>99999</v>
      </c>
      <c r="DD31">
        <v>1</v>
      </c>
      <c r="DG31">
        <v>1</v>
      </c>
      <c r="DH31">
        <v>1</v>
      </c>
    </row>
    <row r="32" spans="1:123" x14ac:dyDescent="0.25">
      <c r="A32" t="s">
        <v>468</v>
      </c>
      <c r="C32" t="s">
        <v>387</v>
      </c>
      <c r="I32">
        <v>1</v>
      </c>
      <c r="J32" s="9"/>
      <c r="K32" s="9"/>
      <c r="L32" s="9"/>
      <c r="M32"/>
      <c r="N32"/>
      <c r="O32" s="9"/>
      <c r="P32"/>
      <c r="Q32"/>
      <c r="R32" s="9"/>
      <c r="S32" s="9"/>
      <c r="T32" s="9"/>
      <c r="U32" s="9"/>
      <c r="V32" s="9"/>
      <c r="W32" s="9"/>
      <c r="X32" s="9"/>
      <c r="AC32">
        <v>1</v>
      </c>
      <c r="AG32" t="s">
        <v>405</v>
      </c>
      <c r="AT32" t="s">
        <v>470</v>
      </c>
      <c r="BD32">
        <v>1</v>
      </c>
      <c r="BV32"/>
      <c r="BW32" s="11"/>
      <c r="BX32" s="11"/>
      <c r="BY32" s="11"/>
      <c r="BZ32" s="11"/>
      <c r="CA32" s="11"/>
      <c r="CB32" s="11"/>
      <c r="DD32">
        <v>1</v>
      </c>
      <c r="DG32">
        <v>1</v>
      </c>
      <c r="DH32">
        <v>1</v>
      </c>
      <c r="DS32">
        <v>1</v>
      </c>
    </row>
    <row r="33" spans="1:112" x14ac:dyDescent="0.25">
      <c r="A33" t="s">
        <v>471</v>
      </c>
      <c r="C33" t="s">
        <v>387</v>
      </c>
      <c r="I33">
        <v>1</v>
      </c>
      <c r="K33" s="9" t="s">
        <v>409</v>
      </c>
      <c r="L33" s="9" t="s">
        <v>413</v>
      </c>
      <c r="M33"/>
      <c r="N33"/>
      <c r="O33" s="9"/>
      <c r="P33"/>
      <c r="Q33"/>
      <c r="R33" s="9"/>
      <c r="S33" s="9"/>
      <c r="T33" s="9"/>
      <c r="U33" s="9"/>
      <c r="V33" s="9"/>
      <c r="W33" s="9"/>
      <c r="X33" s="9"/>
      <c r="AC33">
        <v>2</v>
      </c>
      <c r="AV33">
        <v>1.7</v>
      </c>
      <c r="BD33">
        <v>99</v>
      </c>
      <c r="BV33"/>
      <c r="BW33" s="11"/>
      <c r="BX33" s="11"/>
      <c r="BY33" s="11"/>
      <c r="BZ33" s="11"/>
      <c r="CA33" s="11"/>
      <c r="CG33" t="s">
        <v>393</v>
      </c>
      <c r="CN33" t="s">
        <v>472</v>
      </c>
      <c r="CO33">
        <v>-0.8</v>
      </c>
      <c r="CP33">
        <v>0.35</v>
      </c>
      <c r="CR33">
        <v>7</v>
      </c>
      <c r="CX33" t="s">
        <v>415</v>
      </c>
      <c r="DH33">
        <v>1</v>
      </c>
    </row>
    <row r="34" spans="1:112" x14ac:dyDescent="0.25">
      <c r="A34" t="s">
        <v>473</v>
      </c>
      <c r="C34" t="s">
        <v>387</v>
      </c>
      <c r="I34">
        <v>1</v>
      </c>
      <c r="K34" s="9" t="s">
        <v>409</v>
      </c>
      <c r="L34" s="9" t="s">
        <v>417</v>
      </c>
      <c r="M34"/>
      <c r="N34"/>
      <c r="O34" s="9"/>
      <c r="P34"/>
      <c r="Q34"/>
      <c r="R34" s="9"/>
      <c r="S34" s="9"/>
      <c r="T34" s="9"/>
      <c r="U34" s="9"/>
      <c r="V34" s="9"/>
      <c r="W34" s="9"/>
      <c r="X34" s="9"/>
      <c r="AC34">
        <v>2</v>
      </c>
      <c r="AV34">
        <v>1.7</v>
      </c>
      <c r="BD34">
        <v>99</v>
      </c>
      <c r="BV34"/>
      <c r="BW34" s="11"/>
      <c r="BX34" s="11"/>
      <c r="BY34" s="11"/>
      <c r="BZ34" s="11"/>
      <c r="CA34" s="11"/>
      <c r="CG34" t="s">
        <v>393</v>
      </c>
      <c r="CN34" t="s">
        <v>472</v>
      </c>
      <c r="CO34">
        <v>-0.8</v>
      </c>
      <c r="CP34">
        <v>0.35</v>
      </c>
      <c r="CR34">
        <v>7</v>
      </c>
      <c r="CX34" t="s">
        <v>415</v>
      </c>
      <c r="DH34">
        <v>1</v>
      </c>
    </row>
    <row r="37" spans="1:112" x14ac:dyDescent="0.25">
      <c r="A37" t="s">
        <v>150</v>
      </c>
      <c r="C37" t="s">
        <v>387</v>
      </c>
      <c r="D37" t="s">
        <v>400</v>
      </c>
      <c r="E37" t="s">
        <v>474</v>
      </c>
      <c r="F37" t="s">
        <v>402</v>
      </c>
      <c r="K37" s="9" t="s">
        <v>409</v>
      </c>
      <c r="L37" s="9"/>
      <c r="M37"/>
      <c r="N37"/>
      <c r="O37" s="9"/>
      <c r="P37"/>
      <c r="Q37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>
        <v>2</v>
      </c>
      <c r="AT37" t="s">
        <v>470</v>
      </c>
      <c r="BD37">
        <v>1</v>
      </c>
      <c r="BV37"/>
      <c r="BW37" s="11"/>
      <c r="BX37" s="11"/>
      <c r="BY37" s="11"/>
      <c r="BZ37" s="11"/>
      <c r="CA37" s="11"/>
    </row>
    <row r="38" spans="1:112" x14ac:dyDescent="0.25">
      <c r="A38" t="s">
        <v>475</v>
      </c>
      <c r="C38" t="s">
        <v>387</v>
      </c>
      <c r="I38">
        <v>1</v>
      </c>
      <c r="K38" s="9"/>
      <c r="L38" s="9"/>
      <c r="M38"/>
      <c r="N38"/>
      <c r="O38" s="9"/>
      <c r="P38"/>
      <c r="Q38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>
        <v>2</v>
      </c>
      <c r="AV38">
        <v>1.35</v>
      </c>
      <c r="BD38">
        <v>1</v>
      </c>
      <c r="BP38" t="s">
        <v>476</v>
      </c>
      <c r="BV38"/>
      <c r="BW38" s="11"/>
      <c r="BX38" s="11"/>
      <c r="BY38" s="11"/>
      <c r="BZ38" s="11"/>
      <c r="CA38" s="11"/>
      <c r="DH38">
        <v>1</v>
      </c>
    </row>
    <row r="39" spans="1:112" x14ac:dyDescent="0.25">
      <c r="A39" t="s">
        <v>476</v>
      </c>
      <c r="C39" t="s">
        <v>387</v>
      </c>
      <c r="I39">
        <v>1</v>
      </c>
      <c r="K39" s="9" t="s">
        <v>409</v>
      </c>
      <c r="L39" s="9"/>
      <c r="M39"/>
      <c r="N39"/>
      <c r="O39" s="9"/>
      <c r="P39"/>
      <c r="Q3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>
        <v>2</v>
      </c>
      <c r="AV39">
        <v>1.7</v>
      </c>
      <c r="BD39">
        <v>99</v>
      </c>
      <c r="BP39" t="s">
        <v>477</v>
      </c>
      <c r="BS39">
        <v>0.5</v>
      </c>
      <c r="BV39"/>
      <c r="BW39" s="11"/>
      <c r="BX39" s="11"/>
      <c r="BY39" s="11"/>
      <c r="BZ39" s="11"/>
      <c r="CA39" s="11"/>
      <c r="CB39" t="s">
        <v>57</v>
      </c>
      <c r="CG39" t="s">
        <v>393</v>
      </c>
      <c r="CN39" t="s">
        <v>414</v>
      </c>
      <c r="CO39">
        <v>-0.8</v>
      </c>
      <c r="CR39">
        <v>10</v>
      </c>
      <c r="CX39" t="s">
        <v>415</v>
      </c>
      <c r="DH39">
        <v>1</v>
      </c>
    </row>
    <row r="40" spans="1:112" x14ac:dyDescent="0.25">
      <c r="A40" t="s">
        <v>156</v>
      </c>
      <c r="C40" t="s">
        <v>387</v>
      </c>
      <c r="D40" t="s">
        <v>419</v>
      </c>
      <c r="E40" t="s">
        <v>478</v>
      </c>
      <c r="F40" t="s">
        <v>421</v>
      </c>
      <c r="K40" s="9" t="s">
        <v>409</v>
      </c>
      <c r="L40" s="9"/>
      <c r="M40"/>
      <c r="N40"/>
      <c r="O40" s="9"/>
      <c r="P40"/>
      <c r="Q40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>
        <v>2</v>
      </c>
      <c r="AT40" t="s">
        <v>470</v>
      </c>
      <c r="BD40">
        <v>1</v>
      </c>
      <c r="BV40"/>
      <c r="BW40" s="11"/>
      <c r="BX40" s="11"/>
      <c r="BY40" s="11"/>
      <c r="BZ40" s="11"/>
      <c r="CA40" s="11"/>
    </row>
    <row r="41" spans="1:112" x14ac:dyDescent="0.25">
      <c r="A41" t="s">
        <v>479</v>
      </c>
      <c r="C41" t="s">
        <v>387</v>
      </c>
      <c r="I41">
        <v>1</v>
      </c>
      <c r="K41" s="9"/>
      <c r="L41" s="9"/>
      <c r="M41"/>
      <c r="N41"/>
      <c r="O41" s="9"/>
      <c r="P41"/>
      <c r="Q41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>
        <v>2</v>
      </c>
      <c r="AV41">
        <v>1.35</v>
      </c>
      <c r="BD41">
        <v>1</v>
      </c>
      <c r="BP41" t="s">
        <v>480</v>
      </c>
      <c r="BV41"/>
      <c r="BW41" s="11"/>
      <c r="BX41" s="11"/>
      <c r="BY41" s="11"/>
      <c r="BZ41" s="11"/>
      <c r="CA41" s="11"/>
      <c r="DH41">
        <v>1</v>
      </c>
    </row>
    <row r="42" spans="1:112" x14ac:dyDescent="0.25">
      <c r="A42" t="s">
        <v>480</v>
      </c>
      <c r="C42" t="s">
        <v>387</v>
      </c>
      <c r="I42">
        <v>1</v>
      </c>
      <c r="K42" s="9" t="s">
        <v>409</v>
      </c>
      <c r="L42" s="9"/>
      <c r="M42"/>
      <c r="N42"/>
      <c r="O42" s="9"/>
      <c r="P42"/>
      <c r="Q42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>
        <v>2</v>
      </c>
      <c r="AV42">
        <v>1.7</v>
      </c>
      <c r="BD42">
        <v>99</v>
      </c>
      <c r="BP42" t="s">
        <v>477</v>
      </c>
      <c r="BS42">
        <v>0.5</v>
      </c>
      <c r="BV42"/>
      <c r="BW42" s="11"/>
      <c r="BX42" s="11"/>
      <c r="BY42" s="11"/>
      <c r="BZ42" s="11"/>
      <c r="CA42" s="11"/>
      <c r="CB42" t="s">
        <v>57</v>
      </c>
      <c r="CG42" t="s">
        <v>393</v>
      </c>
      <c r="CN42" t="s">
        <v>442</v>
      </c>
      <c r="CR42">
        <v>5</v>
      </c>
      <c r="CX42" t="s">
        <v>415</v>
      </c>
      <c r="DH42">
        <v>1</v>
      </c>
    </row>
    <row r="43" spans="1:112" x14ac:dyDescent="0.25">
      <c r="A43" t="s">
        <v>159</v>
      </c>
      <c r="C43" t="s">
        <v>387</v>
      </c>
      <c r="D43" t="s">
        <v>445</v>
      </c>
      <c r="E43" t="s">
        <v>481</v>
      </c>
      <c r="F43" t="s">
        <v>447</v>
      </c>
      <c r="K43" s="9" t="s">
        <v>409</v>
      </c>
      <c r="L43" s="9"/>
      <c r="M43"/>
      <c r="N43"/>
      <c r="O43" s="9"/>
      <c r="P43"/>
      <c r="Q43"/>
      <c r="R43" s="9"/>
      <c r="S43" s="9"/>
      <c r="T43" s="9"/>
      <c r="U43" s="9"/>
      <c r="V43" s="9"/>
      <c r="W43" s="9"/>
      <c r="X43" s="9"/>
      <c r="AC43">
        <v>2</v>
      </c>
      <c r="AT43" t="s">
        <v>470</v>
      </c>
      <c r="BD43">
        <v>1</v>
      </c>
      <c r="BV43"/>
      <c r="BW43" s="11"/>
      <c r="BX43" s="11"/>
      <c r="BY43" s="11"/>
      <c r="BZ43" s="11"/>
      <c r="CA43" s="11"/>
    </row>
    <row r="44" spans="1:112" x14ac:dyDescent="0.25">
      <c r="A44" t="s">
        <v>482</v>
      </c>
      <c r="C44" t="s">
        <v>387</v>
      </c>
      <c r="I44">
        <v>1</v>
      </c>
      <c r="K44" s="9"/>
      <c r="L44" s="9"/>
      <c r="M44"/>
      <c r="N44"/>
      <c r="O44" s="9"/>
      <c r="P44"/>
      <c r="Q44"/>
      <c r="R44" s="9"/>
      <c r="S44" s="9"/>
      <c r="T44" s="9"/>
      <c r="U44" s="9"/>
      <c r="V44" s="9"/>
      <c r="W44" s="9"/>
      <c r="X44" s="9"/>
      <c r="AC44">
        <v>2</v>
      </c>
      <c r="AV44">
        <v>1.35</v>
      </c>
      <c r="BD44">
        <v>1</v>
      </c>
      <c r="BP44" t="s">
        <v>483</v>
      </c>
      <c r="BV44"/>
      <c r="BW44" s="11"/>
      <c r="BX44" s="11"/>
      <c r="BY44" s="11"/>
      <c r="BZ44" s="11"/>
      <c r="CA44" s="11"/>
      <c r="DH44">
        <v>1</v>
      </c>
    </row>
    <row r="45" spans="1:112" x14ac:dyDescent="0.25">
      <c r="A45" t="s">
        <v>483</v>
      </c>
      <c r="C45" t="s">
        <v>387</v>
      </c>
      <c r="I45">
        <v>1</v>
      </c>
      <c r="K45" s="9" t="s">
        <v>409</v>
      </c>
      <c r="L45" s="9"/>
      <c r="M45"/>
      <c r="N45"/>
      <c r="O45" s="9"/>
      <c r="P45"/>
      <c r="Q45"/>
      <c r="R45" s="9"/>
      <c r="S45" s="9"/>
      <c r="T45" s="9"/>
      <c r="U45" s="9"/>
      <c r="V45" s="9"/>
      <c r="W45" s="9"/>
      <c r="X45" s="9"/>
      <c r="AC45">
        <v>2</v>
      </c>
      <c r="AV45">
        <v>1.7</v>
      </c>
      <c r="BD45">
        <v>99</v>
      </c>
      <c r="BP45" t="s">
        <v>477</v>
      </c>
      <c r="BS45">
        <v>0.5</v>
      </c>
      <c r="BV45"/>
      <c r="BW45" s="11"/>
      <c r="BX45" s="11"/>
      <c r="BY45" s="11"/>
      <c r="BZ45" s="11"/>
      <c r="CA45" s="11"/>
      <c r="CB45" t="s">
        <v>57</v>
      </c>
      <c r="CG45" t="s">
        <v>393</v>
      </c>
      <c r="CN45" s="22" t="s">
        <v>575</v>
      </c>
      <c r="CO45">
        <v>-0.8</v>
      </c>
      <c r="CP45">
        <v>1.35</v>
      </c>
      <c r="CR45">
        <v>7</v>
      </c>
      <c r="CX45" t="s">
        <v>415</v>
      </c>
      <c r="DH45">
        <v>1</v>
      </c>
    </row>
    <row r="46" spans="1:112" x14ac:dyDescent="0.25">
      <c r="A46" t="s">
        <v>477</v>
      </c>
      <c r="C46" t="s">
        <v>387</v>
      </c>
      <c r="I46">
        <v>1</v>
      </c>
      <c r="K46" s="9" t="s">
        <v>409</v>
      </c>
      <c r="L46" s="9"/>
      <c r="M46"/>
      <c r="N46"/>
      <c r="O46" s="9"/>
      <c r="P46"/>
      <c r="Q46"/>
      <c r="R46" s="9"/>
      <c r="S46" s="9"/>
      <c r="T46" s="9"/>
      <c r="U46" s="9"/>
      <c r="V46" s="9"/>
      <c r="W46" s="9"/>
      <c r="X46" s="9"/>
      <c r="AC46">
        <v>1</v>
      </c>
      <c r="AD46">
        <v>1</v>
      </c>
      <c r="AG46" t="s">
        <v>405</v>
      </c>
      <c r="AX46" t="s">
        <v>484</v>
      </c>
      <c r="AZ46">
        <v>1</v>
      </c>
      <c r="BB46">
        <v>1</v>
      </c>
      <c r="BD46">
        <v>1</v>
      </c>
      <c r="BV46"/>
      <c r="BW46" s="11"/>
      <c r="BX46" s="11"/>
      <c r="BY46" s="11"/>
      <c r="BZ46" s="11"/>
      <c r="CA46" s="11"/>
      <c r="DD46">
        <v>1</v>
      </c>
      <c r="DF46">
        <v>1</v>
      </c>
      <c r="DG46">
        <v>1</v>
      </c>
      <c r="DH46">
        <v>1</v>
      </c>
    </row>
    <row r="50" spans="74:90" x14ac:dyDescent="0.25">
      <c r="BV50"/>
    </row>
    <row r="51" spans="74:90" x14ac:dyDescent="0.25">
      <c r="BV51"/>
      <c r="CL51" s="6"/>
    </row>
    <row r="52" spans="74:90" x14ac:dyDescent="0.25">
      <c r="CL52" s="6"/>
    </row>
    <row r="53" spans="74:90" x14ac:dyDescent="0.25">
      <c r="CL53" s="6"/>
    </row>
    <row r="54" spans="74:90" x14ac:dyDescent="0.25">
      <c r="CL54" s="6"/>
    </row>
    <row r="55" spans="74:90" x14ac:dyDescent="0.25">
      <c r="CL55" s="6"/>
    </row>
    <row r="56" spans="74:90" x14ac:dyDescent="0.25">
      <c r="BV56"/>
    </row>
    <row r="57" spans="74:90" x14ac:dyDescent="0.25">
      <c r="CL57" s="6"/>
    </row>
    <row r="58" spans="74:90" x14ac:dyDescent="0.25">
      <c r="CL58" s="6"/>
    </row>
    <row r="59" spans="74:90" x14ac:dyDescent="0.25">
      <c r="CL59" s="6"/>
    </row>
    <row r="60" spans="74:90" x14ac:dyDescent="0.25">
      <c r="CL60" s="6"/>
    </row>
    <row r="61" spans="74:90" x14ac:dyDescent="0.25">
      <c r="BV61"/>
    </row>
    <row r="62" spans="74:90" x14ac:dyDescent="0.25">
      <c r="CL62" s="6"/>
    </row>
    <row r="63" spans="74:90" x14ac:dyDescent="0.25">
      <c r="CL63" s="6"/>
    </row>
    <row r="64" spans="74:90" x14ac:dyDescent="0.25">
      <c r="CL64" s="6"/>
    </row>
    <row r="65" spans="74:90" x14ac:dyDescent="0.25">
      <c r="CL65" s="6"/>
    </row>
    <row r="68" spans="74:90" x14ac:dyDescent="0.25">
      <c r="CL68" s="6"/>
    </row>
    <row r="69" spans="74:90" x14ac:dyDescent="0.25">
      <c r="CL69" s="6"/>
    </row>
    <row r="70" spans="74:90" x14ac:dyDescent="0.25">
      <c r="CL70" s="6"/>
    </row>
    <row r="71" spans="74:90" x14ac:dyDescent="0.25">
      <c r="CL71" s="6"/>
    </row>
    <row r="72" spans="74:90" x14ac:dyDescent="0.25">
      <c r="CL72" s="6"/>
    </row>
    <row r="74" spans="74:90" x14ac:dyDescent="0.25">
      <c r="BV74"/>
    </row>
    <row r="75" spans="74:90" x14ac:dyDescent="0.25">
      <c r="CL75" s="6"/>
    </row>
    <row r="76" spans="74:90" x14ac:dyDescent="0.25">
      <c r="CL76" s="6"/>
    </row>
    <row r="77" spans="74:90" x14ac:dyDescent="0.25">
      <c r="CL77" s="6"/>
    </row>
    <row r="78" spans="74:90" x14ac:dyDescent="0.25">
      <c r="CL78" s="6"/>
    </row>
    <row r="82" spans="74:90" x14ac:dyDescent="0.25">
      <c r="CL82" s="6"/>
    </row>
    <row r="84" spans="74:90" x14ac:dyDescent="0.25">
      <c r="BV84"/>
    </row>
    <row r="85" spans="74:90" x14ac:dyDescent="0.25">
      <c r="BV85"/>
      <c r="CL85" s="6"/>
    </row>
    <row r="86" spans="74:90" x14ac:dyDescent="0.25">
      <c r="CL86" s="6"/>
    </row>
    <row r="87" spans="74:90" x14ac:dyDescent="0.25">
      <c r="CL87" s="6"/>
    </row>
    <row r="88" spans="74:90" x14ac:dyDescent="0.25">
      <c r="CL88" s="6"/>
    </row>
    <row r="89" spans="74:90" x14ac:dyDescent="0.25">
      <c r="CL89" s="6"/>
    </row>
    <row r="91" spans="74:90" x14ac:dyDescent="0.25">
      <c r="BV91"/>
    </row>
    <row r="92" spans="74:90" x14ac:dyDescent="0.25">
      <c r="CL92" s="6"/>
    </row>
    <row r="93" spans="74:90" x14ac:dyDescent="0.25">
      <c r="CL93" s="6"/>
    </row>
    <row r="95" spans="74:90" x14ac:dyDescent="0.25">
      <c r="CL95" s="6"/>
    </row>
    <row r="96" spans="74:90" x14ac:dyDescent="0.25">
      <c r="CL96" s="6"/>
    </row>
    <row r="98" spans="74:90" x14ac:dyDescent="0.25">
      <c r="BV98"/>
    </row>
    <row r="99" spans="74:90" x14ac:dyDescent="0.25">
      <c r="CL99" s="6"/>
    </row>
    <row r="102" spans="74:90" x14ac:dyDescent="0.25">
      <c r="CL102" s="6"/>
    </row>
    <row r="103" spans="74:90" x14ac:dyDescent="0.25">
      <c r="CL103" s="6"/>
    </row>
    <row r="106" spans="74:90" x14ac:dyDescent="0.25">
      <c r="CL106" s="6"/>
    </row>
    <row r="108" spans="74:90" x14ac:dyDescent="0.25">
      <c r="CL108" s="6"/>
    </row>
    <row r="110" spans="74:90" x14ac:dyDescent="0.25">
      <c r="BV110"/>
    </row>
    <row r="111" spans="74:90" x14ac:dyDescent="0.25">
      <c r="CL111" s="6"/>
    </row>
    <row r="112" spans="74:90" x14ac:dyDescent="0.25">
      <c r="CL112" s="6"/>
    </row>
    <row r="114" spans="90:90" x14ac:dyDescent="0.25">
      <c r="CL114" s="6"/>
    </row>
    <row r="115" spans="90:90" x14ac:dyDescent="0.25">
      <c r="CL115" s="6"/>
    </row>
    <row r="116" spans="90:90" x14ac:dyDescent="0.25">
      <c r="CL116" s="6"/>
    </row>
    <row r="121" spans="90:90" x14ac:dyDescent="0.25">
      <c r="CL121" s="6"/>
    </row>
    <row r="122" spans="90:90" x14ac:dyDescent="0.25">
      <c r="CL122" s="6"/>
    </row>
    <row r="125" spans="90:90" x14ac:dyDescent="0.25">
      <c r="CL125" s="6"/>
    </row>
    <row r="126" spans="90:90" x14ac:dyDescent="0.25">
      <c r="CL126" s="6"/>
    </row>
    <row r="130" spans="74:90" x14ac:dyDescent="0.25">
      <c r="CL130" s="6"/>
    </row>
    <row r="134" spans="74:90" x14ac:dyDescent="0.25">
      <c r="CL134" s="6"/>
    </row>
    <row r="136" spans="74:90" x14ac:dyDescent="0.25">
      <c r="CL136" s="6"/>
    </row>
    <row r="137" spans="74:90" x14ac:dyDescent="0.25">
      <c r="CL137" s="6"/>
    </row>
    <row r="139" spans="74:90" x14ac:dyDescent="0.25">
      <c r="CL139" s="6"/>
    </row>
    <row r="140" spans="74:90" x14ac:dyDescent="0.25">
      <c r="CL140" s="6"/>
    </row>
    <row r="142" spans="74:90" x14ac:dyDescent="0.25">
      <c r="BV142"/>
    </row>
    <row r="143" spans="74:90" x14ac:dyDescent="0.25">
      <c r="BV143"/>
      <c r="CL143" s="6"/>
    </row>
    <row r="144" spans="74:90" x14ac:dyDescent="0.25">
      <c r="CL144" s="6"/>
    </row>
    <row r="146" spans="74:90" x14ac:dyDescent="0.25">
      <c r="CL146" s="6"/>
    </row>
    <row r="155" spans="74:90" x14ac:dyDescent="0.25">
      <c r="BV155"/>
    </row>
    <row r="156" spans="74:90" x14ac:dyDescent="0.25">
      <c r="BV156"/>
      <c r="CL156" s="6"/>
    </row>
    <row r="157" spans="74:90" x14ac:dyDescent="0.25">
      <c r="CL157" s="6"/>
    </row>
    <row r="158" spans="74:90" x14ac:dyDescent="0.25">
      <c r="CL158" s="6"/>
    </row>
    <row r="159" spans="74:90" x14ac:dyDescent="0.25">
      <c r="BV159"/>
    </row>
    <row r="160" spans="74:90" x14ac:dyDescent="0.25">
      <c r="BV160"/>
      <c r="CL160" s="6"/>
    </row>
    <row r="161" spans="74:90" x14ac:dyDescent="0.25">
      <c r="CL161" s="6"/>
    </row>
    <row r="163" spans="74:90" x14ac:dyDescent="0.25">
      <c r="BV163"/>
    </row>
    <row r="164" spans="74:90" x14ac:dyDescent="0.25">
      <c r="BV164"/>
      <c r="CL164" s="6"/>
    </row>
    <row r="165" spans="74:90" x14ac:dyDescent="0.25">
      <c r="CL165" s="6"/>
    </row>
    <row r="167" spans="74:90" x14ac:dyDescent="0.25">
      <c r="BV167"/>
    </row>
    <row r="168" spans="74:90" x14ac:dyDescent="0.25">
      <c r="CL168" s="6"/>
    </row>
    <row r="171" spans="74:90" x14ac:dyDescent="0.25">
      <c r="CL171" s="6"/>
    </row>
    <row r="175" spans="74:90" x14ac:dyDescent="0.25">
      <c r="CL175" s="6"/>
    </row>
    <row r="177" spans="74:90" x14ac:dyDescent="0.25">
      <c r="BV177"/>
    </row>
    <row r="178" spans="74:90" x14ac:dyDescent="0.25">
      <c r="CL178" s="6"/>
    </row>
    <row r="185" spans="74:90" x14ac:dyDescent="0.25">
      <c r="BV185"/>
    </row>
    <row r="186" spans="74:90" x14ac:dyDescent="0.25">
      <c r="CL186" s="6"/>
    </row>
    <row r="187" spans="74:90" x14ac:dyDescent="0.25">
      <c r="CL187" s="6"/>
    </row>
    <row r="189" spans="74:90" x14ac:dyDescent="0.25">
      <c r="BV189"/>
    </row>
    <row r="190" spans="74:90" x14ac:dyDescent="0.25">
      <c r="BV190"/>
      <c r="CL190" s="6"/>
    </row>
    <row r="191" spans="74:90" x14ac:dyDescent="0.25">
      <c r="CL191" s="6"/>
    </row>
    <row r="197" spans="74:90" x14ac:dyDescent="0.25">
      <c r="BV197"/>
    </row>
    <row r="198" spans="74:90" x14ac:dyDescent="0.25">
      <c r="BV198"/>
      <c r="CL198" s="6"/>
    </row>
    <row r="199" spans="74:90" x14ac:dyDescent="0.25">
      <c r="BV199"/>
      <c r="CL199" s="6"/>
    </row>
    <row r="200" spans="74:90" x14ac:dyDescent="0.25">
      <c r="CL200" s="6"/>
    </row>
    <row r="205" spans="74:90" x14ac:dyDescent="0.25">
      <c r="BV205"/>
    </row>
    <row r="206" spans="74:90" x14ac:dyDescent="0.25">
      <c r="BV206"/>
    </row>
    <row r="210" spans="74:90" x14ac:dyDescent="0.25">
      <c r="BV210"/>
    </row>
    <row r="211" spans="74:90" x14ac:dyDescent="0.25">
      <c r="CL211" s="6"/>
    </row>
    <row r="212" spans="74:90" x14ac:dyDescent="0.25">
      <c r="BV212"/>
    </row>
    <row r="213" spans="74:90" x14ac:dyDescent="0.25">
      <c r="CL213" s="6"/>
    </row>
    <row r="223" spans="74:90" x14ac:dyDescent="0.25">
      <c r="BV223"/>
    </row>
    <row r="224" spans="74:90" x14ac:dyDescent="0.25">
      <c r="CL224" s="6"/>
    </row>
    <row r="226" spans="74:90" x14ac:dyDescent="0.25">
      <c r="BV226"/>
    </row>
    <row r="227" spans="74:90" x14ac:dyDescent="0.25">
      <c r="CL227" s="6"/>
    </row>
    <row r="235" spans="74:90" x14ac:dyDescent="0.25">
      <c r="BV235"/>
    </row>
    <row r="236" spans="74:90" x14ac:dyDescent="0.25">
      <c r="CL236" s="6"/>
    </row>
    <row r="240" spans="74:90" x14ac:dyDescent="0.25">
      <c r="BV240"/>
    </row>
    <row r="241" spans="74:90" x14ac:dyDescent="0.25">
      <c r="CL241" s="6"/>
    </row>
    <row r="243" spans="74:90" x14ac:dyDescent="0.25">
      <c r="BV243"/>
    </row>
    <row r="244" spans="74:90" x14ac:dyDescent="0.25">
      <c r="CL244" s="6"/>
    </row>
    <row r="260" spans="74:90" x14ac:dyDescent="0.25">
      <c r="BV260"/>
    </row>
    <row r="261" spans="74:90" x14ac:dyDescent="0.25">
      <c r="BV261"/>
      <c r="CL261" s="6"/>
    </row>
    <row r="262" spans="74:90" x14ac:dyDescent="0.25">
      <c r="BV262"/>
      <c r="CL262" s="6"/>
    </row>
    <row r="263" spans="74:90" x14ac:dyDescent="0.25">
      <c r="BV263"/>
      <c r="CL263" s="6"/>
    </row>
    <row r="264" spans="74:90" x14ac:dyDescent="0.25">
      <c r="BV264"/>
    </row>
    <row r="266" spans="74:90" x14ac:dyDescent="0.25">
      <c r="BV266"/>
    </row>
    <row r="267" spans="74:90" x14ac:dyDescent="0.25">
      <c r="BV267"/>
      <c r="CL267" s="6"/>
    </row>
    <row r="268" spans="74:90" x14ac:dyDescent="0.25">
      <c r="BV268"/>
      <c r="CL268" s="6"/>
    </row>
    <row r="269" spans="74:90" x14ac:dyDescent="0.25">
      <c r="CL269" s="6"/>
    </row>
    <row r="273" spans="74:90" x14ac:dyDescent="0.25">
      <c r="BV273"/>
    </row>
    <row r="274" spans="74:90" x14ac:dyDescent="0.25">
      <c r="CL274" s="6"/>
    </row>
    <row r="276" spans="74:90" x14ac:dyDescent="0.25">
      <c r="BV276"/>
    </row>
    <row r="277" spans="74:90" x14ac:dyDescent="0.25">
      <c r="BV277"/>
      <c r="CL277" s="6"/>
    </row>
    <row r="278" spans="74:90" x14ac:dyDescent="0.25">
      <c r="BV278"/>
      <c r="CL278" s="6"/>
    </row>
    <row r="279" spans="74:90" x14ac:dyDescent="0.25">
      <c r="CL279" s="6"/>
    </row>
    <row r="295" spans="74:90" x14ac:dyDescent="0.25">
      <c r="BV295"/>
    </row>
    <row r="296" spans="74:90" x14ac:dyDescent="0.25">
      <c r="CL296" s="6"/>
    </row>
    <row r="304" spans="74:90" x14ac:dyDescent="0.25">
      <c r="CL304" s="6"/>
    </row>
    <row r="305" spans="74:90" x14ac:dyDescent="0.25">
      <c r="CL305" s="6"/>
    </row>
    <row r="306" spans="74:90" x14ac:dyDescent="0.25">
      <c r="CL306" s="6"/>
    </row>
    <row r="307" spans="74:90" x14ac:dyDescent="0.25">
      <c r="CL307" s="6"/>
    </row>
    <row r="308" spans="74:90" x14ac:dyDescent="0.25">
      <c r="CL308" s="6"/>
    </row>
    <row r="310" spans="74:90" x14ac:dyDescent="0.25">
      <c r="BV310"/>
    </row>
    <row r="311" spans="74:90" x14ac:dyDescent="0.25">
      <c r="CL311" s="6"/>
    </row>
    <row r="312" spans="74:90" x14ac:dyDescent="0.25">
      <c r="BV312"/>
    </row>
    <row r="313" spans="74:90" x14ac:dyDescent="0.25">
      <c r="BV313"/>
      <c r="CL313" s="6"/>
    </row>
    <row r="314" spans="74:90" x14ac:dyDescent="0.25">
      <c r="CL314" s="6"/>
    </row>
    <row r="316" spans="74:90" x14ac:dyDescent="0.25">
      <c r="BV316"/>
    </row>
    <row r="317" spans="74:90" x14ac:dyDescent="0.25">
      <c r="BV317"/>
      <c r="CL317" s="6"/>
    </row>
    <row r="318" spans="74:90" x14ac:dyDescent="0.25">
      <c r="BV318"/>
      <c r="CL318" s="6"/>
    </row>
    <row r="319" spans="74:90" x14ac:dyDescent="0.25">
      <c r="CL319" s="6"/>
    </row>
    <row r="321" spans="74:90" x14ac:dyDescent="0.25">
      <c r="CL321" s="6"/>
    </row>
    <row r="323" spans="74:90" x14ac:dyDescent="0.25">
      <c r="CL323" s="6"/>
    </row>
    <row r="325" spans="74:90" x14ac:dyDescent="0.25">
      <c r="CL325" s="6"/>
    </row>
    <row r="328" spans="74:90" x14ac:dyDescent="0.25">
      <c r="CL328" s="6"/>
    </row>
    <row r="329" spans="74:90" x14ac:dyDescent="0.25">
      <c r="CL329" s="6"/>
    </row>
    <row r="330" spans="74:90" x14ac:dyDescent="0.25">
      <c r="CL330" s="6"/>
    </row>
    <row r="331" spans="74:90" x14ac:dyDescent="0.25">
      <c r="CL331" s="6"/>
    </row>
    <row r="332" spans="74:90" x14ac:dyDescent="0.25">
      <c r="CL332" s="6"/>
    </row>
    <row r="333" spans="74:90" x14ac:dyDescent="0.25">
      <c r="CL333" s="6"/>
    </row>
    <row r="334" spans="74:90" x14ac:dyDescent="0.25">
      <c r="BV334"/>
    </row>
    <row r="335" spans="74:90" x14ac:dyDescent="0.25">
      <c r="BV335"/>
      <c r="CL335" s="6"/>
    </row>
    <row r="336" spans="74:90" x14ac:dyDescent="0.25">
      <c r="BV336"/>
      <c r="CL336" s="6"/>
    </row>
    <row r="337" spans="74:90" x14ac:dyDescent="0.25">
      <c r="CL337" s="6"/>
    </row>
    <row r="338" spans="74:90" x14ac:dyDescent="0.25">
      <c r="CL338" s="6"/>
    </row>
    <row r="339" spans="74:90" x14ac:dyDescent="0.25">
      <c r="CL339" s="6"/>
    </row>
    <row r="340" spans="74:90" x14ac:dyDescent="0.25">
      <c r="CL340" s="6"/>
    </row>
    <row r="342" spans="74:90" x14ac:dyDescent="0.25">
      <c r="CL342" s="6"/>
    </row>
    <row r="343" spans="74:90" x14ac:dyDescent="0.25">
      <c r="CL343" s="6"/>
    </row>
    <row r="344" spans="74:90" x14ac:dyDescent="0.25">
      <c r="BV344"/>
    </row>
    <row r="345" spans="74:90" x14ac:dyDescent="0.25">
      <c r="BV345"/>
      <c r="CL345" s="6"/>
    </row>
    <row r="346" spans="74:90" x14ac:dyDescent="0.25">
      <c r="BV346"/>
      <c r="CL346" s="6"/>
    </row>
    <row r="347" spans="74:90" x14ac:dyDescent="0.25">
      <c r="CL347" s="6"/>
    </row>
    <row r="348" spans="74:90" x14ac:dyDescent="0.25">
      <c r="CL348" s="6"/>
    </row>
    <row r="350" spans="74:90" x14ac:dyDescent="0.25">
      <c r="CL350" s="6"/>
    </row>
    <row r="351" spans="74:90" x14ac:dyDescent="0.25">
      <c r="CL351" s="6"/>
    </row>
    <row r="352" spans="74:90" x14ac:dyDescent="0.25">
      <c r="BV352"/>
      <c r="CL352" s="6"/>
    </row>
    <row r="353" spans="74:90" x14ac:dyDescent="0.25">
      <c r="BV353"/>
      <c r="CL353" s="6"/>
    </row>
    <row r="354" spans="74:90" x14ac:dyDescent="0.25">
      <c r="CL354" s="6"/>
    </row>
    <row r="355" spans="74:90" x14ac:dyDescent="0.25">
      <c r="CL355" s="6"/>
    </row>
    <row r="356" spans="74:90" x14ac:dyDescent="0.25">
      <c r="CL356" s="6"/>
    </row>
    <row r="358" spans="74:90" x14ac:dyDescent="0.25">
      <c r="BV358"/>
      <c r="CL358" s="6"/>
    </row>
    <row r="359" spans="74:90" x14ac:dyDescent="0.25">
      <c r="CL359" s="6"/>
    </row>
    <row r="360" spans="74:90" x14ac:dyDescent="0.25">
      <c r="CL360" s="6"/>
    </row>
    <row r="362" spans="74:90" x14ac:dyDescent="0.25">
      <c r="BV362"/>
      <c r="CL362" s="6"/>
    </row>
    <row r="363" spans="74:90" x14ac:dyDescent="0.25">
      <c r="BV363"/>
      <c r="CL363" s="6"/>
    </row>
    <row r="364" spans="74:90" x14ac:dyDescent="0.25">
      <c r="CL364" s="6"/>
    </row>
    <row r="366" spans="74:90" x14ac:dyDescent="0.25">
      <c r="CL366" s="6"/>
    </row>
    <row r="368" spans="74:90" x14ac:dyDescent="0.25">
      <c r="CL368" s="6"/>
    </row>
    <row r="371" spans="74:90" x14ac:dyDescent="0.25">
      <c r="CL371" s="6"/>
    </row>
    <row r="372" spans="74:90" x14ac:dyDescent="0.25">
      <c r="CL372" s="6"/>
    </row>
    <row r="376" spans="74:90" x14ac:dyDescent="0.25">
      <c r="BV376"/>
    </row>
    <row r="377" spans="74:90" x14ac:dyDescent="0.25">
      <c r="BV377"/>
      <c r="CL377" s="6"/>
    </row>
    <row r="378" spans="74:90" x14ac:dyDescent="0.25">
      <c r="BV378"/>
      <c r="CL378" s="6"/>
    </row>
    <row r="379" spans="74:90" x14ac:dyDescent="0.25">
      <c r="CL379" s="6"/>
    </row>
    <row r="380" spans="74:90" x14ac:dyDescent="0.25">
      <c r="CL380" s="6"/>
    </row>
    <row r="381" spans="74:90" x14ac:dyDescent="0.25">
      <c r="BV381"/>
    </row>
    <row r="382" spans="74:90" x14ac:dyDescent="0.25">
      <c r="CL382" s="6"/>
    </row>
    <row r="384" spans="74:90" x14ac:dyDescent="0.25">
      <c r="CL384" s="6"/>
    </row>
    <row r="385" spans="74:90" x14ac:dyDescent="0.25">
      <c r="CL385" s="6"/>
    </row>
    <row r="387" spans="74:90" x14ac:dyDescent="0.25">
      <c r="CL387" s="6"/>
    </row>
    <row r="388" spans="74:90" x14ac:dyDescent="0.25">
      <c r="CL388" s="6"/>
    </row>
    <row r="389" spans="74:90" x14ac:dyDescent="0.25">
      <c r="CL389" s="6"/>
    </row>
    <row r="390" spans="74:90" x14ac:dyDescent="0.25">
      <c r="CL390" s="6"/>
    </row>
    <row r="391" spans="74:90" x14ac:dyDescent="0.25">
      <c r="CL391" s="6"/>
    </row>
    <row r="392" spans="74:90" x14ac:dyDescent="0.25">
      <c r="CL392" s="6"/>
    </row>
    <row r="393" spans="74:90" x14ac:dyDescent="0.25">
      <c r="CL393" s="6"/>
    </row>
    <row r="395" spans="74:90" x14ac:dyDescent="0.25">
      <c r="BV395"/>
    </row>
    <row r="396" spans="74:90" x14ac:dyDescent="0.25">
      <c r="CL396" s="6"/>
    </row>
    <row r="397" spans="74:90" x14ac:dyDescent="0.25">
      <c r="CL397" s="6"/>
    </row>
    <row r="430" spans="8:90" x14ac:dyDescent="0.25">
      <c r="BU430" s="14"/>
      <c r="BV430" s="15"/>
    </row>
    <row r="431" spans="8:90" x14ac:dyDescent="0.25">
      <c r="H431" s="14"/>
      <c r="CL431" s="14"/>
    </row>
    <row r="437" spans="74:90" x14ac:dyDescent="0.25">
      <c r="BV437"/>
    </row>
    <row r="438" spans="74:90" x14ac:dyDescent="0.25">
      <c r="BV438"/>
      <c r="CL438" s="6"/>
    </row>
    <row r="439" spans="74:90" x14ac:dyDescent="0.25">
      <c r="BV439"/>
      <c r="CL439" s="6"/>
    </row>
    <row r="440" spans="74:90" x14ac:dyDescent="0.25">
      <c r="CL440" s="6"/>
    </row>
    <row r="457" spans="74:90" x14ac:dyDescent="0.25">
      <c r="BV457"/>
    </row>
    <row r="458" spans="74:90" x14ac:dyDescent="0.25">
      <c r="CL458" s="6"/>
    </row>
    <row r="490" spans="74:90" x14ac:dyDescent="0.25">
      <c r="BV490"/>
    </row>
    <row r="491" spans="74:90" x14ac:dyDescent="0.25">
      <c r="BV491"/>
      <c r="CL491" s="6"/>
    </row>
    <row r="492" spans="74:90" x14ac:dyDescent="0.25">
      <c r="CL492" s="6"/>
    </row>
    <row r="508" spans="74:90" x14ac:dyDescent="0.25">
      <c r="BV508"/>
    </row>
    <row r="509" spans="74:90" x14ac:dyDescent="0.25">
      <c r="CL509" s="6"/>
    </row>
    <row r="515" spans="74:90" x14ac:dyDescent="0.25">
      <c r="BV515"/>
    </row>
    <row r="516" spans="74:90" x14ac:dyDescent="0.25">
      <c r="BV516"/>
      <c r="CL516" s="6"/>
    </row>
    <row r="517" spans="74:90" x14ac:dyDescent="0.25">
      <c r="CL517" s="6"/>
    </row>
    <row r="522" spans="74:90" x14ac:dyDescent="0.25">
      <c r="BV522"/>
    </row>
    <row r="523" spans="74:90" x14ac:dyDescent="0.25">
      <c r="BV523"/>
      <c r="CL523" s="6"/>
    </row>
    <row r="524" spans="74:90" x14ac:dyDescent="0.25">
      <c r="BV524"/>
      <c r="CL524" s="6"/>
    </row>
    <row r="525" spans="74:90" x14ac:dyDescent="0.25">
      <c r="BV525"/>
      <c r="CL525" s="6"/>
    </row>
    <row r="526" spans="74:90" x14ac:dyDescent="0.25">
      <c r="BV526"/>
      <c r="CL526" s="6"/>
    </row>
    <row r="527" spans="74:90" x14ac:dyDescent="0.25">
      <c r="BV527"/>
      <c r="CL527" s="6"/>
    </row>
    <row r="528" spans="74:90" x14ac:dyDescent="0.25">
      <c r="BV528"/>
      <c r="CL528" s="6"/>
    </row>
    <row r="529" spans="74:90" x14ac:dyDescent="0.25">
      <c r="BV529"/>
      <c r="CL529" s="6"/>
    </row>
    <row r="530" spans="74:90" x14ac:dyDescent="0.25">
      <c r="BV530"/>
      <c r="CL530" s="6"/>
    </row>
    <row r="531" spans="74:90" x14ac:dyDescent="0.25">
      <c r="BV531"/>
      <c r="CL531" s="6"/>
    </row>
    <row r="532" spans="74:90" x14ac:dyDescent="0.25">
      <c r="BV532"/>
      <c r="CL532" s="6"/>
    </row>
    <row r="533" spans="74:90" x14ac:dyDescent="0.25">
      <c r="BV533"/>
      <c r="CL533" s="6"/>
    </row>
    <row r="534" spans="74:90" x14ac:dyDescent="0.25">
      <c r="BV534"/>
      <c r="CL534" s="6"/>
    </row>
    <row r="535" spans="74:90" x14ac:dyDescent="0.25">
      <c r="BV535"/>
      <c r="CL535" s="6"/>
    </row>
    <row r="536" spans="74:90" x14ac:dyDescent="0.25">
      <c r="BV536"/>
      <c r="CL536" s="6"/>
    </row>
    <row r="537" spans="74:90" x14ac:dyDescent="0.25">
      <c r="BV537"/>
      <c r="CL537" s="6"/>
    </row>
    <row r="538" spans="74:90" x14ac:dyDescent="0.25">
      <c r="CL538" s="6"/>
    </row>
    <row r="542" spans="74:90" x14ac:dyDescent="0.25">
      <c r="BV542"/>
    </row>
    <row r="543" spans="74:90" x14ac:dyDescent="0.25">
      <c r="BV543"/>
      <c r="CL543" s="6"/>
    </row>
    <row r="544" spans="74:90" x14ac:dyDescent="0.25">
      <c r="CL544" s="6"/>
    </row>
    <row r="545" spans="74:90" x14ac:dyDescent="0.25">
      <c r="BV545"/>
    </row>
    <row r="546" spans="74:90" x14ac:dyDescent="0.25">
      <c r="CL546" s="6"/>
    </row>
    <row r="549" spans="74:90" x14ac:dyDescent="0.25">
      <c r="BV549"/>
    </row>
    <row r="550" spans="74:90" x14ac:dyDescent="0.25">
      <c r="BV550"/>
      <c r="CL550" s="6"/>
    </row>
    <row r="551" spans="74:90" x14ac:dyDescent="0.25">
      <c r="CL551" s="6"/>
    </row>
    <row r="582" spans="74:90" x14ac:dyDescent="0.25">
      <c r="BV582"/>
    </row>
    <row r="583" spans="74:90" x14ac:dyDescent="0.25">
      <c r="BV583"/>
      <c r="CL583" s="6"/>
    </row>
    <row r="584" spans="74:90" x14ac:dyDescent="0.25">
      <c r="BV584"/>
      <c r="CL584" s="6"/>
    </row>
    <row r="585" spans="74:90" x14ac:dyDescent="0.25">
      <c r="BV585"/>
      <c r="CL585" s="6"/>
    </row>
    <row r="586" spans="74:90" x14ac:dyDescent="0.25">
      <c r="BV586"/>
      <c r="CL586" s="6"/>
    </row>
    <row r="587" spans="74:90" x14ac:dyDescent="0.25">
      <c r="BV587"/>
      <c r="CL587" s="6"/>
    </row>
    <row r="588" spans="74:90" x14ac:dyDescent="0.25">
      <c r="BV588"/>
      <c r="CL588" s="6"/>
    </row>
    <row r="589" spans="74:90" x14ac:dyDescent="0.25">
      <c r="BV589"/>
      <c r="CL589" s="6"/>
    </row>
    <row r="590" spans="74:90" x14ac:dyDescent="0.25">
      <c r="CL590" s="6"/>
    </row>
    <row r="592" spans="74:90" x14ac:dyDescent="0.25">
      <c r="BV592"/>
    </row>
    <row r="593" spans="74:90" x14ac:dyDescent="0.25">
      <c r="CL593" s="6"/>
    </row>
    <row r="597" spans="74:90" x14ac:dyDescent="0.25">
      <c r="BV597"/>
    </row>
    <row r="598" spans="74:90" x14ac:dyDescent="0.25">
      <c r="CL598" s="6"/>
    </row>
    <row r="601" spans="74:90" x14ac:dyDescent="0.25">
      <c r="BV601"/>
    </row>
    <row r="602" spans="74:90" x14ac:dyDescent="0.25">
      <c r="BV602"/>
      <c r="CL602" s="6"/>
    </row>
    <row r="603" spans="74:90" x14ac:dyDescent="0.25">
      <c r="BV603"/>
      <c r="CL603" s="6"/>
    </row>
    <row r="604" spans="74:90" x14ac:dyDescent="0.25">
      <c r="BV604"/>
      <c r="CL604" s="6"/>
    </row>
    <row r="605" spans="74:90" x14ac:dyDescent="0.25">
      <c r="CL605" s="6"/>
    </row>
    <row r="612" spans="74:90" x14ac:dyDescent="0.25">
      <c r="BV612"/>
    </row>
    <row r="613" spans="74:90" x14ac:dyDescent="0.25">
      <c r="CL613" s="6"/>
    </row>
    <row r="616" spans="74:90" x14ac:dyDescent="0.25">
      <c r="BV616"/>
    </row>
    <row r="617" spans="74:90" x14ac:dyDescent="0.25">
      <c r="BV617"/>
      <c r="CL617" s="6"/>
    </row>
    <row r="618" spans="74:90" x14ac:dyDescent="0.25">
      <c r="BV618"/>
      <c r="CL618" s="6"/>
    </row>
    <row r="619" spans="74:90" x14ac:dyDescent="0.25">
      <c r="BV619"/>
      <c r="CL619" s="6"/>
    </row>
    <row r="620" spans="74:90" x14ac:dyDescent="0.25">
      <c r="CL620" s="6"/>
    </row>
    <row r="622" spans="74:90" x14ac:dyDescent="0.25">
      <c r="BV622"/>
    </row>
    <row r="623" spans="74:90" x14ac:dyDescent="0.25">
      <c r="BV623"/>
      <c r="CL623" s="6"/>
    </row>
    <row r="624" spans="74:90" x14ac:dyDescent="0.25">
      <c r="CL624" s="6"/>
    </row>
    <row r="625" spans="90:90" x14ac:dyDescent="0.25">
      <c r="CL625">
        <v>0.15</v>
      </c>
    </row>
    <row r="627" spans="90:90" x14ac:dyDescent="0.25">
      <c r="CL627">
        <v>0.2</v>
      </c>
    </row>
    <row r="628" spans="90:90" x14ac:dyDescent="0.25">
      <c r="CL628">
        <v>0.1</v>
      </c>
    </row>
    <row r="630" spans="90:90" x14ac:dyDescent="0.25">
      <c r="CL630">
        <v>0.2</v>
      </c>
    </row>
    <row r="637" spans="90:90" x14ac:dyDescent="0.25">
      <c r="CL637">
        <v>1</v>
      </c>
    </row>
    <row r="639" spans="90:90" x14ac:dyDescent="0.25">
      <c r="CL639">
        <v>0.4</v>
      </c>
    </row>
    <row r="640" spans="90:90" x14ac:dyDescent="0.25">
      <c r="CL640">
        <v>0.6</v>
      </c>
    </row>
    <row r="643" spans="74:90" x14ac:dyDescent="0.25">
      <c r="CL643">
        <v>0.5</v>
      </c>
    </row>
    <row r="644" spans="74:90" x14ac:dyDescent="0.25">
      <c r="CL644">
        <v>0.66700000000000004</v>
      </c>
    </row>
    <row r="645" spans="74:90" x14ac:dyDescent="0.25">
      <c r="CL645">
        <v>0.2</v>
      </c>
    </row>
    <row r="648" spans="74:90" x14ac:dyDescent="0.25">
      <c r="BV648"/>
    </row>
    <row r="649" spans="74:90" x14ac:dyDescent="0.25">
      <c r="BV649"/>
      <c r="CL649" s="6"/>
    </row>
    <row r="650" spans="74:90" x14ac:dyDescent="0.25">
      <c r="BV650"/>
      <c r="CL650" s="6"/>
    </row>
    <row r="651" spans="74:90" x14ac:dyDescent="0.25">
      <c r="BV651"/>
      <c r="CL651" s="6"/>
    </row>
    <row r="652" spans="74:90" x14ac:dyDescent="0.25">
      <c r="BV652"/>
      <c r="CL652" s="6"/>
    </row>
    <row r="653" spans="74:90" x14ac:dyDescent="0.25">
      <c r="BV653"/>
      <c r="CL653" s="6"/>
    </row>
    <row r="654" spans="74:90" x14ac:dyDescent="0.25">
      <c r="BV654"/>
      <c r="CL654" s="6"/>
    </row>
    <row r="655" spans="74:90" x14ac:dyDescent="0.25">
      <c r="BV655"/>
      <c r="CL655" s="6"/>
    </row>
    <row r="656" spans="74:90" x14ac:dyDescent="0.25">
      <c r="BV656"/>
      <c r="CL656" s="6"/>
    </row>
    <row r="657" spans="74:90" x14ac:dyDescent="0.25">
      <c r="CL657" s="6"/>
    </row>
    <row r="658" spans="74:90" x14ac:dyDescent="0.25">
      <c r="BV658"/>
    </row>
    <row r="659" spans="74:90" x14ac:dyDescent="0.25">
      <c r="CL659" s="6"/>
    </row>
    <row r="668" spans="74:90" x14ac:dyDescent="0.25">
      <c r="BV668"/>
    </row>
    <row r="669" spans="74:90" x14ac:dyDescent="0.25">
      <c r="BV669"/>
      <c r="CL669" s="6"/>
    </row>
    <row r="670" spans="74:90" x14ac:dyDescent="0.25">
      <c r="BV670"/>
      <c r="CL670" s="6"/>
    </row>
    <row r="671" spans="74:90" x14ac:dyDescent="0.25">
      <c r="BV671"/>
      <c r="CL671" s="6"/>
    </row>
    <row r="672" spans="74:90" x14ac:dyDescent="0.25">
      <c r="BV672"/>
      <c r="CL672" s="6"/>
    </row>
    <row r="673" spans="74:90" x14ac:dyDescent="0.25">
      <c r="BV673"/>
      <c r="CL673" s="6"/>
    </row>
    <row r="674" spans="74:90" x14ac:dyDescent="0.25">
      <c r="BV674"/>
      <c r="CL674" s="6"/>
    </row>
    <row r="675" spans="74:90" x14ac:dyDescent="0.25">
      <c r="BV675"/>
      <c r="CL675" s="6"/>
    </row>
    <row r="676" spans="74:90" x14ac:dyDescent="0.25">
      <c r="CL676" s="6"/>
    </row>
    <row r="677" spans="74:90" x14ac:dyDescent="0.25">
      <c r="BV677"/>
    </row>
    <row r="678" spans="74:90" x14ac:dyDescent="0.25">
      <c r="CL678" s="6"/>
    </row>
    <row r="683" spans="74:90" x14ac:dyDescent="0.25">
      <c r="BV683"/>
    </row>
    <row r="684" spans="74:90" x14ac:dyDescent="0.25">
      <c r="BV684"/>
      <c r="CL684" s="6"/>
    </row>
    <row r="685" spans="74:90" x14ac:dyDescent="0.25">
      <c r="CL685" s="6"/>
    </row>
    <row r="686" spans="74:90" x14ac:dyDescent="0.25">
      <c r="BV686"/>
    </row>
    <row r="687" spans="74:90" x14ac:dyDescent="0.25">
      <c r="BV687"/>
      <c r="CL687" s="6"/>
    </row>
    <row r="688" spans="74:90" x14ac:dyDescent="0.25">
      <c r="CL688" s="6"/>
    </row>
    <row r="689" spans="8:90" x14ac:dyDescent="0.25">
      <c r="BV689"/>
    </row>
    <row r="690" spans="8:90" x14ac:dyDescent="0.25">
      <c r="BV690"/>
      <c r="CL690" s="6"/>
    </row>
    <row r="691" spans="8:90" x14ac:dyDescent="0.25">
      <c r="BV691"/>
      <c r="CL691" s="6"/>
    </row>
    <row r="692" spans="8:90" x14ac:dyDescent="0.25">
      <c r="BV692"/>
      <c r="CL692" s="6"/>
    </row>
    <row r="693" spans="8:90" x14ac:dyDescent="0.25">
      <c r="CL693" s="6"/>
    </row>
    <row r="697" spans="8:90" x14ac:dyDescent="0.25">
      <c r="BV697"/>
    </row>
    <row r="698" spans="8:90" x14ac:dyDescent="0.25">
      <c r="BV698"/>
      <c r="CL698" s="6"/>
    </row>
    <row r="699" spans="8:90" x14ac:dyDescent="0.25">
      <c r="BV699"/>
      <c r="CL699" s="6"/>
    </row>
    <row r="700" spans="8:90" x14ac:dyDescent="0.25">
      <c r="CL700" s="6"/>
    </row>
    <row r="701" spans="8:90" x14ac:dyDescent="0.25">
      <c r="BV701"/>
    </row>
    <row r="702" spans="8:90" x14ac:dyDescent="0.25">
      <c r="CL702" s="6"/>
    </row>
    <row r="703" spans="8:90" x14ac:dyDescent="0.25">
      <c r="BU703" s="14"/>
      <c r="BV703" s="15"/>
    </row>
    <row r="704" spans="8:90" x14ac:dyDescent="0.25">
      <c r="H704" s="14"/>
      <c r="CL704" s="14"/>
    </row>
    <row r="721" spans="8:90" x14ac:dyDescent="0.25">
      <c r="BV721"/>
    </row>
    <row r="722" spans="8:90" x14ac:dyDescent="0.25">
      <c r="BV722"/>
      <c r="CL722" s="6"/>
    </row>
    <row r="723" spans="8:90" x14ac:dyDescent="0.25">
      <c r="BV723"/>
      <c r="CL723" s="6"/>
    </row>
    <row r="724" spans="8:90" x14ac:dyDescent="0.25">
      <c r="BV724"/>
      <c r="CL724" s="6"/>
    </row>
    <row r="725" spans="8:90" x14ac:dyDescent="0.25">
      <c r="CL725" s="6"/>
    </row>
    <row r="726" spans="8:90" x14ac:dyDescent="0.25">
      <c r="BV726"/>
    </row>
    <row r="727" spans="8:90" x14ac:dyDescent="0.25">
      <c r="BV727"/>
      <c r="CL727" s="6"/>
    </row>
    <row r="728" spans="8:90" x14ac:dyDescent="0.25">
      <c r="BU728" s="14"/>
      <c r="BV728" s="15"/>
      <c r="CL728" s="6"/>
    </row>
    <row r="729" spans="8:90" x14ac:dyDescent="0.25">
      <c r="H729" s="14"/>
      <c r="CL729" s="14"/>
    </row>
    <row r="732" spans="8:90" x14ac:dyDescent="0.25">
      <c r="BV732"/>
    </row>
    <row r="733" spans="8:90" x14ac:dyDescent="0.25">
      <c r="BV733"/>
      <c r="CL733" s="6"/>
    </row>
    <row r="734" spans="8:90" x14ac:dyDescent="0.25">
      <c r="BV734"/>
      <c r="CL734" s="6"/>
    </row>
    <row r="735" spans="8:90" x14ac:dyDescent="0.25">
      <c r="BV735"/>
      <c r="CL735" s="6"/>
    </row>
    <row r="736" spans="8:90" x14ac:dyDescent="0.25">
      <c r="BV736"/>
      <c r="CL736" s="6"/>
    </row>
    <row r="737" spans="74:90" x14ac:dyDescent="0.25">
      <c r="BV737"/>
      <c r="CL737" s="6"/>
    </row>
    <row r="738" spans="74:90" x14ac:dyDescent="0.25">
      <c r="BV738"/>
      <c r="CL738" s="6"/>
    </row>
    <row r="739" spans="74:90" x14ac:dyDescent="0.25">
      <c r="BV739"/>
      <c r="CL739" s="6"/>
    </row>
    <row r="740" spans="74:90" x14ac:dyDescent="0.25">
      <c r="CL740" s="6"/>
    </row>
    <row r="742" spans="74:90" x14ac:dyDescent="0.25">
      <c r="BV742"/>
    </row>
    <row r="743" spans="74:90" x14ac:dyDescent="0.25">
      <c r="BV743"/>
      <c r="CL743" s="6"/>
    </row>
    <row r="744" spans="74:90" x14ac:dyDescent="0.25">
      <c r="BV744"/>
      <c r="CL744" s="6"/>
    </row>
    <row r="745" spans="74:90" x14ac:dyDescent="0.25">
      <c r="BV745"/>
      <c r="CL745" s="6"/>
    </row>
    <row r="746" spans="74:90" x14ac:dyDescent="0.25">
      <c r="BV746"/>
      <c r="CL746" s="6"/>
    </row>
    <row r="747" spans="74:90" x14ac:dyDescent="0.25">
      <c r="BV747"/>
      <c r="CL747" s="6"/>
    </row>
    <row r="748" spans="74:90" x14ac:dyDescent="0.25">
      <c r="CL748" s="6"/>
    </row>
    <row r="749" spans="74:90" x14ac:dyDescent="0.25">
      <c r="BV749"/>
    </row>
    <row r="750" spans="74:90" x14ac:dyDescent="0.25">
      <c r="BV750"/>
      <c r="CL750" s="6"/>
    </row>
    <row r="751" spans="74:90" x14ac:dyDescent="0.25">
      <c r="BV751"/>
      <c r="CL751" s="6"/>
    </row>
    <row r="752" spans="74:90" x14ac:dyDescent="0.25">
      <c r="BV752"/>
      <c r="CL752" s="6"/>
    </row>
    <row r="753" spans="74:90" x14ac:dyDescent="0.25">
      <c r="BV753"/>
      <c r="CL753" s="6"/>
    </row>
    <row r="754" spans="74:90" x14ac:dyDescent="0.25">
      <c r="BV754"/>
      <c r="CL754" s="6"/>
    </row>
    <row r="755" spans="74:90" x14ac:dyDescent="0.25">
      <c r="BV755"/>
      <c r="CL755" s="6"/>
    </row>
    <row r="756" spans="74:90" x14ac:dyDescent="0.25">
      <c r="BV756"/>
      <c r="CL756" s="6"/>
    </row>
    <row r="757" spans="74:90" x14ac:dyDescent="0.25">
      <c r="BV757"/>
      <c r="CL757" s="6"/>
    </row>
    <row r="758" spans="74:90" x14ac:dyDescent="0.25">
      <c r="BV758"/>
      <c r="CL758" s="6"/>
    </row>
    <row r="759" spans="74:90" x14ac:dyDescent="0.25">
      <c r="BV759"/>
      <c r="CL759" s="6"/>
    </row>
    <row r="760" spans="74:90" x14ac:dyDescent="0.25">
      <c r="BV760"/>
      <c r="CL760" s="6"/>
    </row>
    <row r="761" spans="74:90" x14ac:dyDescent="0.25">
      <c r="BV761"/>
      <c r="CL761" s="6"/>
    </row>
    <row r="762" spans="74:90" x14ac:dyDescent="0.25">
      <c r="BV762"/>
      <c r="CL762" s="6"/>
    </row>
    <row r="763" spans="74:90" x14ac:dyDescent="0.25">
      <c r="BV763"/>
      <c r="CL763" s="6"/>
    </row>
    <row r="764" spans="74:90" x14ac:dyDescent="0.25">
      <c r="BV764"/>
      <c r="CL764" s="6"/>
    </row>
    <row r="765" spans="74:90" x14ac:dyDescent="0.25">
      <c r="BV765"/>
      <c r="CL765" s="6"/>
    </row>
    <row r="766" spans="74:90" x14ac:dyDescent="0.25">
      <c r="BV766"/>
      <c r="CL766" s="6"/>
    </row>
    <row r="767" spans="74:90" x14ac:dyDescent="0.25">
      <c r="BV767"/>
      <c r="CL767" s="6"/>
    </row>
    <row r="768" spans="74:90" x14ac:dyDescent="0.25">
      <c r="BV768"/>
      <c r="CL768" s="6"/>
    </row>
    <row r="769" spans="74:90" x14ac:dyDescent="0.25">
      <c r="BV769"/>
      <c r="CL769" s="6"/>
    </row>
    <row r="770" spans="74:90" x14ac:dyDescent="0.25">
      <c r="BV770"/>
      <c r="CL770" s="6"/>
    </row>
    <row r="771" spans="74:90" x14ac:dyDescent="0.25">
      <c r="BV771"/>
      <c r="CL771" s="6"/>
    </row>
    <row r="772" spans="74:90" x14ac:dyDescent="0.25">
      <c r="BV772"/>
      <c r="CL772" s="6"/>
    </row>
    <row r="773" spans="74:90" x14ac:dyDescent="0.25">
      <c r="BV773"/>
      <c r="CL773" s="6"/>
    </row>
    <row r="774" spans="74:90" x14ac:dyDescent="0.25">
      <c r="BV774"/>
      <c r="CL774" s="6"/>
    </row>
    <row r="775" spans="74:90" x14ac:dyDescent="0.25">
      <c r="BV775"/>
      <c r="CL775" s="6"/>
    </row>
    <row r="776" spans="74:90" x14ac:dyDescent="0.25">
      <c r="BV776"/>
      <c r="CL776" s="6"/>
    </row>
    <row r="777" spans="74:90" x14ac:dyDescent="0.25">
      <c r="BV777"/>
      <c r="CL777" s="6"/>
    </row>
    <row r="778" spans="74:90" x14ac:dyDescent="0.25">
      <c r="BV778"/>
      <c r="CL778" s="6"/>
    </row>
    <row r="779" spans="74:90" x14ac:dyDescent="0.25">
      <c r="CL779" s="6"/>
    </row>
    <row r="780" spans="74:90" x14ac:dyDescent="0.25">
      <c r="BV780"/>
    </row>
    <row r="781" spans="74:90" x14ac:dyDescent="0.25">
      <c r="BV781"/>
      <c r="CL781" s="6"/>
    </row>
    <row r="782" spans="74:90" x14ac:dyDescent="0.25">
      <c r="BV782"/>
      <c r="CL782" s="6"/>
    </row>
    <row r="783" spans="74:90" x14ac:dyDescent="0.25">
      <c r="CL783" s="6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"/>
  <sheetViews>
    <sheetView workbookViewId="0">
      <pane xSplit="1" ySplit="3" topLeftCell="B4" activePane="bottomRight" state="frozen"/>
      <selection pane="topRight"/>
      <selection pane="bottomLeft"/>
      <selection pane="bottomRight" activeCell="J4" sqref="J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27" x14ac:dyDescent="0.25">
      <c r="A1" t="s">
        <v>0</v>
      </c>
      <c r="B1" t="s">
        <v>5</v>
      </c>
      <c r="E1" t="s">
        <v>485</v>
      </c>
      <c r="F1" t="s">
        <v>486</v>
      </c>
      <c r="G1" t="s">
        <v>487</v>
      </c>
      <c r="H1" t="s">
        <v>488</v>
      </c>
      <c r="I1" t="s">
        <v>489</v>
      </c>
      <c r="J1" t="s">
        <v>490</v>
      </c>
      <c r="L1" t="s">
        <v>491</v>
      </c>
      <c r="M1" t="s">
        <v>492</v>
      </c>
      <c r="N1" t="s">
        <v>493</v>
      </c>
      <c r="O1" t="s">
        <v>494</v>
      </c>
    </row>
    <row r="2" spans="1:27" x14ac:dyDescent="0.25">
      <c r="A2" t="s">
        <v>0</v>
      </c>
      <c r="C2" t="s">
        <v>48</v>
      </c>
      <c r="D2" t="s">
        <v>77</v>
      </c>
      <c r="E2" t="s">
        <v>495</v>
      </c>
      <c r="F2" t="s">
        <v>496</v>
      </c>
      <c r="G2" t="s">
        <v>497</v>
      </c>
      <c r="H2" t="s">
        <v>498</v>
      </c>
      <c r="I2" t="s">
        <v>499</v>
      </c>
      <c r="J2" t="s">
        <v>500</v>
      </c>
      <c r="K2" t="s">
        <v>501</v>
      </c>
      <c r="L2" t="s">
        <v>53</v>
      </c>
      <c r="M2" t="s">
        <v>502</v>
      </c>
      <c r="N2" t="s">
        <v>503</v>
      </c>
      <c r="O2" t="s">
        <v>504</v>
      </c>
      <c r="P2" t="s">
        <v>353</v>
      </c>
    </row>
    <row r="3" spans="1:2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383</v>
      </c>
      <c r="K3" t="s">
        <v>117</v>
      </c>
      <c r="L3" t="s">
        <v>347</v>
      </c>
      <c r="M3" t="s">
        <v>116</v>
      </c>
      <c r="N3" t="s">
        <v>116</v>
      </c>
      <c r="O3" t="s">
        <v>347</v>
      </c>
      <c r="P3" t="s">
        <v>125</v>
      </c>
    </row>
    <row r="4" spans="1:27" x14ac:dyDescent="0.25">
      <c r="A4" t="s">
        <v>456</v>
      </c>
      <c r="C4" t="s">
        <v>505</v>
      </c>
      <c r="H4">
        <v>1</v>
      </c>
      <c r="J4" t="s">
        <v>506</v>
      </c>
      <c r="AA4" s="2"/>
    </row>
    <row r="5" spans="1:27" x14ac:dyDescent="0.25">
      <c r="A5" t="s">
        <v>507</v>
      </c>
      <c r="C5" t="s">
        <v>505</v>
      </c>
      <c r="H5">
        <v>1</v>
      </c>
      <c r="J5" t="s">
        <v>508</v>
      </c>
      <c r="AA5" s="2"/>
    </row>
    <row r="6" spans="1:27" x14ac:dyDescent="0.25">
      <c r="A6" t="s">
        <v>509</v>
      </c>
      <c r="C6" t="s">
        <v>505</v>
      </c>
      <c r="H6">
        <v>1</v>
      </c>
      <c r="AA6" s="2"/>
    </row>
    <row r="7" spans="1:27" x14ac:dyDescent="0.25">
      <c r="A7" t="s">
        <v>430</v>
      </c>
      <c r="C7" t="s">
        <v>510</v>
      </c>
      <c r="H7">
        <v>1</v>
      </c>
      <c r="J7" t="s">
        <v>511</v>
      </c>
      <c r="P7" s="2" t="s">
        <v>512</v>
      </c>
    </row>
    <row r="8" spans="1:27" x14ac:dyDescent="0.25">
      <c r="A8" t="s">
        <v>513</v>
      </c>
      <c r="C8" t="s">
        <v>235</v>
      </c>
      <c r="H8">
        <v>1</v>
      </c>
      <c r="P8" s="2" t="s">
        <v>514</v>
      </c>
    </row>
    <row r="9" spans="1:27" x14ac:dyDescent="0.25">
      <c r="A9" t="s">
        <v>455</v>
      </c>
      <c r="C9" t="s">
        <v>510</v>
      </c>
      <c r="H9">
        <v>1</v>
      </c>
      <c r="J9" t="s">
        <v>511</v>
      </c>
      <c r="P9" s="2" t="s">
        <v>515</v>
      </c>
    </row>
    <row r="10" spans="1:27" x14ac:dyDescent="0.25">
      <c r="A10" t="s">
        <v>516</v>
      </c>
      <c r="C10" t="s">
        <v>235</v>
      </c>
      <c r="H10">
        <v>1</v>
      </c>
      <c r="P10" s="2" t="s">
        <v>517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>
      <selection activeCell="D5" sqref="D5"/>
    </sheetView>
  </sheetViews>
  <sheetFormatPr defaultColWidth="9" defaultRowHeight="14.05" x14ac:dyDescent="0.25"/>
  <cols>
    <col min="1" max="1" width="11.33203125" customWidth="1"/>
    <col min="2" max="2" width="13.1640625" customWidth="1"/>
    <col min="3" max="3" width="15" customWidth="1"/>
    <col min="4" max="4" width="27.5" customWidth="1"/>
  </cols>
  <sheetData>
    <row r="1" spans="1:4" x14ac:dyDescent="0.25">
      <c r="A1" t="s">
        <v>0</v>
      </c>
      <c r="C1" t="s">
        <v>518</v>
      </c>
    </row>
    <row r="2" spans="1:4" x14ac:dyDescent="0.25">
      <c r="A2" t="s">
        <v>0</v>
      </c>
      <c r="B2" t="s">
        <v>48</v>
      </c>
      <c r="C2" t="s">
        <v>519</v>
      </c>
      <c r="D2" t="s">
        <v>353</v>
      </c>
    </row>
    <row r="3" spans="1:4" x14ac:dyDescent="0.25">
      <c r="A3" t="s">
        <v>2</v>
      </c>
      <c r="B3" t="s">
        <v>2</v>
      </c>
      <c r="C3" t="s">
        <v>347</v>
      </c>
      <c r="D3" t="s">
        <v>125</v>
      </c>
    </row>
    <row r="4" spans="1:4" x14ac:dyDescent="0.25">
      <c r="A4" t="s">
        <v>459</v>
      </c>
      <c r="B4" t="s">
        <v>520</v>
      </c>
      <c r="D4" t="s">
        <v>521</v>
      </c>
    </row>
    <row r="5" spans="1:4" x14ac:dyDescent="0.25">
      <c r="A5" t="s">
        <v>461</v>
      </c>
      <c r="B5" t="s">
        <v>522</v>
      </c>
      <c r="C5" t="s">
        <v>456</v>
      </c>
      <c r="D5" t="s">
        <v>523</v>
      </c>
    </row>
    <row r="6" spans="1:4" x14ac:dyDescent="0.25">
      <c r="A6" t="s">
        <v>524</v>
      </c>
      <c r="B6" t="s">
        <v>525</v>
      </c>
      <c r="D6" t="s">
        <v>526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"/>
  <sheetViews>
    <sheetView tabSelected="1"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240</v>
      </c>
    </row>
    <row r="2" spans="1:10" x14ac:dyDescent="0.25">
      <c r="A2" t="s">
        <v>0</v>
      </c>
      <c r="B2" t="s">
        <v>48</v>
      </c>
      <c r="C2" t="s">
        <v>50</v>
      </c>
      <c r="D2" t="s">
        <v>527</v>
      </c>
      <c r="E2" t="s">
        <v>72</v>
      </c>
      <c r="F2" t="s">
        <v>528</v>
      </c>
      <c r="G2" t="s">
        <v>529</v>
      </c>
      <c r="H2" t="s">
        <v>530</v>
      </c>
      <c r="I2" t="s">
        <v>342</v>
      </c>
      <c r="J2" t="s">
        <v>353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382</v>
      </c>
      <c r="J3" t="s">
        <v>125</v>
      </c>
    </row>
    <row r="4" spans="1:10" x14ac:dyDescent="0.25">
      <c r="A4" t="s">
        <v>394</v>
      </c>
      <c r="B4" t="s">
        <v>238</v>
      </c>
      <c r="C4" t="s">
        <v>531</v>
      </c>
      <c r="E4">
        <v>200</v>
      </c>
      <c r="F4">
        <v>2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pane xSplit="1" ySplit="3" topLeftCell="B4" activePane="bottomRight" state="frozen"/>
      <selection pane="topRight"/>
      <selection pane="bottomLeft"/>
      <selection pane="bottomRight" activeCell="E14" sqref="E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532</v>
      </c>
      <c r="C1" t="s">
        <v>533</v>
      </c>
      <c r="D1" t="s">
        <v>534</v>
      </c>
      <c r="E1" t="s">
        <v>535</v>
      </c>
      <c r="F1" t="s">
        <v>536</v>
      </c>
      <c r="H1" t="s">
        <v>537</v>
      </c>
      <c r="I1" t="s">
        <v>538</v>
      </c>
      <c r="J1" t="s">
        <v>539</v>
      </c>
      <c r="K1" t="s">
        <v>540</v>
      </c>
      <c r="L1" t="s">
        <v>541</v>
      </c>
    </row>
    <row r="2" spans="1:12" x14ac:dyDescent="0.25">
      <c r="A2" t="s">
        <v>0</v>
      </c>
      <c r="B2" t="s">
        <v>542</v>
      </c>
      <c r="C2" t="s">
        <v>543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528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551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508</v>
      </c>
      <c r="B4" t="s">
        <v>552</v>
      </c>
      <c r="I4">
        <v>1</v>
      </c>
      <c r="K4">
        <v>90</v>
      </c>
      <c r="L4">
        <v>999</v>
      </c>
    </row>
  </sheetData>
  <phoneticPr fontId="16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265</v>
      </c>
      <c r="C2" t="s">
        <v>77</v>
      </c>
      <c r="D2" t="s">
        <v>553</v>
      </c>
      <c r="E2" t="s">
        <v>554</v>
      </c>
      <c r="F2" t="s">
        <v>79</v>
      </c>
      <c r="G2" t="s">
        <v>555</v>
      </c>
      <c r="H2" t="s">
        <v>293</v>
      </c>
      <c r="I2" t="s">
        <v>556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557</v>
      </c>
      <c r="I3" t="s">
        <v>118</v>
      </c>
      <c r="J3" t="s">
        <v>118</v>
      </c>
    </row>
  </sheetData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B11" sqref="B11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558</v>
      </c>
      <c r="C1" s="1" t="s">
        <v>559</v>
      </c>
      <c r="D1" s="1" t="s">
        <v>560</v>
      </c>
      <c r="E1" s="1" t="s">
        <v>561</v>
      </c>
      <c r="F1" s="1" t="s">
        <v>562</v>
      </c>
      <c r="G1" s="1" t="s">
        <v>563</v>
      </c>
      <c r="H1" s="1" t="s">
        <v>564</v>
      </c>
      <c r="I1" s="1" t="s">
        <v>565</v>
      </c>
    </row>
    <row r="2" spans="1:9" s="1" customFormat="1" x14ac:dyDescent="0.25">
      <c r="A2" s="1" t="s">
        <v>0</v>
      </c>
      <c r="B2" s="1" t="s">
        <v>566</v>
      </c>
      <c r="C2" s="1" t="s">
        <v>567</v>
      </c>
      <c r="D2" s="1" t="s">
        <v>568</v>
      </c>
      <c r="E2" s="1" t="s">
        <v>569</v>
      </c>
      <c r="F2" s="1" t="s">
        <v>570</v>
      </c>
      <c r="G2" s="1" t="s">
        <v>571</v>
      </c>
      <c r="H2" s="1" t="s">
        <v>572</v>
      </c>
      <c r="I2" s="1" t="s">
        <v>573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honeticPr fontId="16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2025-10-27T15:13:35Z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