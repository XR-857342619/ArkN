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BDB195A7-D204-4A1C-AD60-8C7202BCC9EF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E6" i="1"/>
  <c r="BD6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379C7A9-D991-4A21-88DD-9E4A331E1726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3E4A2232-15C8-46C8-84B3-5A1E5C958B92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FAB3A062-3D99-4909-9B26-62956785CF6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57547B10-E9EC-4B44-A315-093066824BB2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8CF5D19F-1B33-4A1B-A7CA-31C4C7016343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<sst xmlns="http://schemas.openxmlformats.org/spreadsheetml/2006/main" count="1039" uniqueCount="586">
  <si>
    <t>Id</t>
  </si>
  <si>
    <t>units</t>
  </si>
  <si>
    <t>string</t>
  </si>
  <si>
    <t>UnitData[]</t>
  </si>
  <si>
    <t>干员M3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</si>
  <si>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</si>
  <si>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</si>
  <si>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</si>
  <si>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</si>
  <si>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</si>
  <si>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</si>
  <si>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</si>
  <si>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</si>
  <si>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</si>
  <si>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</si>
  <si>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</si>
  <si>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</si>
  <si>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</si>
  <si>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</si>
  <si>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</si>
  <si>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</si>
  <si>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</si>
  <si>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</si>
  <si>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</si>
  <si>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</si>
  <si>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</si>
  <si>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</si>
  <si>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</si>
  <si>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</si>
  <si>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</si>
  <si>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</si>
  <si>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</si>
  <si>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</si>
  <si>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</si>
  <si>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</si>
  <si>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</si>
  <si>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</si>
  <si>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</si>
  <si>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</si>
  <si>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</si>
  <si>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</si>
  <si>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</si>
  <si>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</si>
  <si>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</si>
  <si>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</si>
  <si>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</si>
  <si>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</si>
  <si>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</si>
  <si>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</si>
  <si>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</si>
  <si>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</si>
  <si>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</si>
  <si>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</si>
  <si>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</si>
  <si>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</si>
  <si>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</si>
  <si>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</si>
  <si>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</si>
  <si>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</si>
  <si>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</si>
  <si>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</si>
  <si>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</si>
  <si>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</si>
  <si>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</si>
  <si>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</si>
  <si>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</si>
  <si>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</si>
  <si>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</si>
  <si>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</si>
  <si>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</si>
  <si>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</si>
  <si>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</si>
  <si>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</si>
  <si>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</si>
  <si>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</si>
  <si>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</si>
  <si>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</si>
  <si>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</si>
  <si>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</si>
  <si>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</si>
  <si>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</si>
  <si>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</si>
  <si>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</si>
  <si>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</si>
  <si>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</si>
  <si>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</si>
  <si>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</si>
  <si>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</si>
  <si>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</si>
  <si>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</si>
  <si>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</si>
  <si>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</si>
  <si>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</si>
  <si>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</si>
  <si>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</si>
  <si>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</si>
  <si>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</si>
  <si>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</si>
  <si>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</si>
  <si>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</si>
  <si>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</si>
  <si>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</si>
  <si>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</si>
  <si>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</si>
  <si>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</si>
  <si>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</si>
  <si>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</si>
  <si>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</si>
  <si>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</si>
  <si>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</si>
  <si>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</si>
  <si>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</si>
  <si>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</si>
  <si>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</si>
  <si>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</si>
  <si>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</si>
  <si>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</si>
  <si>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</si>
  <si>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</si>
  <si>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</si>
  <si>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</si>
  <si>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</si>
  <si>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</si>
  <si>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monstr</t>
  </si>
  <si>
    <t>4179</t>
  </si>
  <si>
    <t>Mon3tr</t>
  </si>
  <si>
    <t>Hip</t>
  </si>
  <si>
    <t>干员m3攻击,获取重构体</t>
  </si>
  <si>
    <t>m32,m33</t>
  </si>
  <si>
    <t>医疗</t>
  </si>
  <si>
    <t>链愈师</t>
  </si>
  <si>
    <t>头像_召唤物_Mon3tr</t>
  </si>
  <si>
    <t>half_kalts</t>
  </si>
  <si>
    <t>kalts</t>
  </si>
  <si>
    <t>211,81,1500,1500</t>
  </si>
  <si>
    <t>远程位</t>
  </si>
  <si>
    <t>远程,Mon3tr</t>
  </si>
  <si>
    <t>Default</t>
  </si>
  <si>
    <t>Idle</t>
  </si>
  <si>
    <t>Die</t>
  </si>
  <si>
    <t>重构体</t>
  </si>
  <si>
    <t>otter</t>
  </si>
  <si>
    <t>242</t>
  </si>
  <si>
    <t>token_10004_otter_motter</t>
  </si>
  <si>
    <t>重构体天赋,重构体绝食,重构体2,重构体给予m3</t>
  </si>
  <si>
    <t>眩晕,眩晕2,寒冷,冻结</t>
  </si>
  <si>
    <t>头像_召唤物_幻影</t>
  </si>
  <si>
    <t>近战位</t>
  </si>
  <si>
    <t>地面M3</t>
  </si>
  <si>
    <r>
      <rPr>
        <sz val="10.5"/>
        <color rgb="FF333639"/>
        <rFont val="Arial"/>
        <family val="2"/>
      </rPr>
      <t>Skill_3_Idle</t>
    </r>
  </si>
  <si>
    <t>Skill_3_End,Skill_3_ReStart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</si>
  <si>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</si>
  <si>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</si>
  <si>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</si>
  <si>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</si>
  <si>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</si>
  <si>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</si>
  <si>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</si>
  <si>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</si>
  <si>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</si>
  <si>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</si>
  <si>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</si>
  <si>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</si>
  <si>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</si>
  <si>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</si>
  <si>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</si>
  <si>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</si>
  <si>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</si>
  <si>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</si>
  <si>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</si>
  <si>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</si>
  <si>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</si>
  <si>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</si>
  <si>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</si>
  <si>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</si>
  <si>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</si>
  <si>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</si>
  <si>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</si>
  <si>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</si>
  <si>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</si>
  <si>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</si>
  <si>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</si>
  <si>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</si>
  <si>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</si>
  <si>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</si>
  <si>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</si>
  <si>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</si>
  <si>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</si>
  <si>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</si>
  <si>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</si>
  <si>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</si>
  <si>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</si>
  <si>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</si>
  <si>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</si>
  <si>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</si>
  <si>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</si>
  <si>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</si>
  <si>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</si>
  <si>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</si>
  <si>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</si>
  <si>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</si>
  <si>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</si>
  <si>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</si>
  <si>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</si>
  <si>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</si>
  <si>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</si>
  <si>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</si>
  <si>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</si>
  <si>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</si>
  <si>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</si>
  <si>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</si>
  <si>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</si>
  <si>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</si>
  <si>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</si>
  <si>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</si>
  <si>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</si>
  <si>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</si>
  <si>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</si>
  <si>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</si>
  <si>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</si>
  <si>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</si>
  <si>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</si>
  <si>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</si>
  <si>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</si>
  <si>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</si>
  <si>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</si>
  <si>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</si>
  <si>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</si>
  <si>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</si>
  <si>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</si>
  <si>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</si>
  <si>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</si>
  <si>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</si>
  <si>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</si>
  <si>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</si>
  <si>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</si>
  <si>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</si>
  <si>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</si>
  <si>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</si>
  <si>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</si>
  <si>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</si>
  <si>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</si>
  <si>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</si>
  <si>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</si>
  <si>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</si>
  <si>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</si>
  <si>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</si>
  <si>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</si>
  <si>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</si>
  <si>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</si>
  <si>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</si>
  <si>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</si>
  <si>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</si>
  <si>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</si>
  <si>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</si>
  <si>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</si>
  <si>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</si>
  <si>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</si>
  <si>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</si>
  <si>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</si>
  <si>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</si>
  <si>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</si>
  <si>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</si>
  <si>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</si>
  <si>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</si>
  <si>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</si>
  <si>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</si>
  <si>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</si>
  <si>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</si>
  <si>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</si>
  <si>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</si>
  <si>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</si>
  <si>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</si>
  <si>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</si>
  <si>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</si>
  <si>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</si>
  <si>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</si>
  <si>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</si>
  <si>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</si>
  <si>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</si>
  <si>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</si>
  <si>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</si>
  <si>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</si>
  <si>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</si>
  <si>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</si>
  <si>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</si>
  <si>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</si>
  <si>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</si>
  <si>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</si>
  <si>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</si>
  <si>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</si>
  <si>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</si>
  <si>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</si>
  <si>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</si>
  <si>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</si>
  <si>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</si>
  <si>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</si>
  <si>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</si>
  <si>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</si>
  <si>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</si>
  <si>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</si>
  <si>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</si>
  <si>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</si>
  <si>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</si>
  <si>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</si>
  <si>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</si>
  <si>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</si>
  <si>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</si>
  <si>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</si>
  <si>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</si>
  <si>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</si>
  <si>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</si>
  <si>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</si>
  <si>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</si>
  <si>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</si>
  <si>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</si>
  <si>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</si>
  <si>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</si>
  <si>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</si>
  <si>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</si>
  <si>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</si>
  <si>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</si>
  <si>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</si>
  <si>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</si>
  <si>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</si>
  <si>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</si>
  <si>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</si>
  <si>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</si>
  <si>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</si>
  <si>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</si>
  <si>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</si>
  <si>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</si>
  <si>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</si>
  <si>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</si>
  <si>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</si>
  <si>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</si>
  <si>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</si>
  <si>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</si>
  <si>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</si>
  <si>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</si>
  <si>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</si>
  <si>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</si>
  <si>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</si>
  <si>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</si>
  <si>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</si>
  <si>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</si>
  <si>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</si>
  <si>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</si>
  <si>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</si>
  <si>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</si>
  <si>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</si>
  <si>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</si>
  <si>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</si>
  <si>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</si>
  <si>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</si>
  <si>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</si>
  <si>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</si>
  <si>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</si>
  <si>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</si>
  <si>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</si>
  <si>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</si>
  <si>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</si>
  <si>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</si>
  <si>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</si>
  <si>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</si>
  <si>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</si>
  <si>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</si>
  <si>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</si>
  <si>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</si>
  <si>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</si>
  <si>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</si>
  <si>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</si>
  <si>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</si>
  <si>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</si>
  <si>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</si>
  <si>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</si>
  <si>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</si>
  <si>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</si>
  <si>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禁止主动</t>
  </si>
  <si>
    <t>被动</t>
  </si>
  <si>
    <t>干员m3攻击</t>
  </si>
  <si>
    <t>自动</t>
  </si>
  <si>
    <t>m3标记</t>
  </si>
  <si>
    <t>血量比例升序</t>
  </si>
  <si>
    <t>0,0#0,1#0,-1#1,0#2,0#1,1#1,-1#2,1#2,-1#-1,0#-1,1#-1,-1</t>
  </si>
  <si>
    <t>干员m3攻击附加</t>
  </si>
  <si>
    <t>跟随攻击</t>
  </si>
  <si>
    <t>m3自身攻速</t>
  </si>
  <si>
    <t>Muzzle</t>
  </si>
  <si>
    <t>m3攻速提升buff</t>
  </si>
  <si>
    <t>夜莺普攻击中</t>
  </si>
  <si>
    <t>获取重构体</t>
  </si>
  <si>
    <t>获取单位</t>
  </si>
  <si>
    <t>自己入场</t>
  </si>
  <si>
    <t>仅自己</t>
  </si>
  <si>
    <t>{"Count":1,"UnitId":"重构体"}</t>
  </si>
  <si>
    <t>重构体天赋</t>
  </si>
  <si>
    <t>0,0</t>
  </si>
  <si>
    <t>重构体天赋加攻</t>
  </si>
  <si>
    <t>重构体中毒</t>
  </si>
  <si>
    <t>0,0#0,1#0,-1#1,0#1,1#1,-1#-1,0#-1,1#-1,-1</t>
  </si>
  <si>
    <t>重构体加攻</t>
  </si>
  <si>
    <t>重构体绝食</t>
  </si>
  <si>
    <t>重构体绝食1,重构体绝食2</t>
  </si>
  <si>
    <t>重构体给予m3</t>
  </si>
  <si>
    <t>重构体给予buff</t>
  </si>
  <si>
    <t>m32加成</t>
  </si>
  <si>
    <t>m32</t>
  </si>
  <si>
    <t>策略：超负荷</t>
  </si>
  <si>
    <t>技能期间重构体每受到一次攻击，就会进行一次跳跃治疗，第二天赋的效果额外追加1.8倍</t>
  </si>
  <si>
    <t>skill_icon_skchr_kalts_2</t>
  </si>
  <si>
    <t>充能释放</t>
  </si>
  <si>
    <t>手动</t>
  </si>
  <si>
    <t>m32攻击,m32结束,m32自身结束</t>
  </si>
  <si>
    <t>m32追加,m32启动</t>
  </si>
  <si>
    <t>攻击</t>
  </si>
  <si>
    <t>m32加成,m32动作</t>
  </si>
  <si>
    <t>m32攻击</t>
  </si>
  <si>
    <t>m3额外伤害,m32自身攻速</t>
  </si>
  <si>
    <t>Skill_2_Loop</t>
  </si>
  <si>
    <t>m3攻速提升buff,m32攻速提升buff</t>
  </si>
  <si>
    <t>m3额外伤害</t>
  </si>
  <si>
    <t>Real</t>
  </si>
  <si>
    <t>普通法球</t>
  </si>
  <si>
    <t>m32重构体</t>
  </si>
  <si>
    <t>m32自身攻速</t>
  </si>
  <si>
    <t>m32追加</t>
  </si>
  <si>
    <t>m32结束</t>
  </si>
  <si>
    <t>m32攻速提升buff</t>
  </si>
  <si>
    <t>m32启动</t>
  </si>
  <si>
    <t>Skill_2_Begin</t>
  </si>
  <si>
    <t>m32自身结束</t>
  </si>
  <si>
    <t>技能结束</t>
  </si>
  <si>
    <t>Skill_2_End</t>
  </si>
  <si>
    <t>重构体2</t>
  </si>
  <si>
    <t>m33</t>
  </si>
  <si>
    <t>策略：熔毁</t>
  </si>
  <si>
    <t>攻击范围改变，移动至重构体位置，攻击力+330%，攻击间隔降低(-1.5)，阻挡数+2，生命上限+5000，每秒流失80点生命值，同时攻击阻挡的所有敌人，伤害类型变为真实，攻击治疗自身相当于攻击力50%的生命值\n技能结束或受到致命伤害时，返回初始位置</t>
  </si>
  <si>
    <t>skill_icon_skchr_kalts_3</t>
  </si>
  <si>
    <t>高台m3buff</t>
  </si>
  <si>
    <t>m33启动,部署地面m3</t>
  </si>
  <si>
    <t>m33加成</t>
  </si>
  <si>
    <t>0,0,0</t>
  </si>
  <si>
    <t>无敌</t>
  </si>
  <si>
    <t>部署地面m3</t>
  </si>
  <si>
    <t>部署干员</t>
  </si>
  <si>
    <t>m33自身结束</t>
  </si>
  <si>
    <t>Skill_3_Back</t>
  </si>
  <si>
    <t>m33启动</t>
  </si>
  <si>
    <t>Skill_3_Begin</t>
  </si>
  <si>
    <t>地面m3</t>
  </si>
  <si>
    <t>m33攻击,m33治疗,地面m3死亡</t>
  </si>
  <si>
    <t>m33加成,m3中毒,m33动作,m33特效1,m33特效2,m33特效3,m33特效4</t>
  </si>
  <si>
    <t>3.3,-1.5,5000</t>
  </si>
  <si>
    <t>m33攻击</t>
  </si>
  <si>
    <t>群攻</t>
  </si>
  <si>
    <t>终点距离</t>
  </si>
  <si>
    <t>m33治疗</t>
  </si>
  <si>
    <t>Skill_3_Loop</t>
  </si>
  <si>
    <t>m3抬手</t>
  </si>
  <si>
    <t>阿米娅3击中</t>
  </si>
  <si>
    <t>地面m3死亡</t>
  </si>
  <si>
    <t>强制撤退</t>
  </si>
  <si>
    <t>{"Time":25}</t>
  </si>
  <si>
    <t>地面m3落地无敌</t>
  </si>
  <si>
    <t>地面m3释放buff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</si>
  <si>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</si>
  <si>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</si>
  <si>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</si>
  <si>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</si>
  <si>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</si>
  <si>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</si>
  <si>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</si>
  <si>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</si>
  <si>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</si>
  <si>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</si>
  <si>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</si>
  <si>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</si>
  <si>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</si>
  <si>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</si>
  <si>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</si>
  <si>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</si>
  <si>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</si>
  <si>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</si>
  <si>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</si>
  <si>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</si>
  <si>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数值变化</t>
  </si>
  <si>
    <t>银灰真银斩buff</t>
  </si>
  <si>
    <t>{"t":["AgiAdd"]}</t>
  </si>
  <si>
    <t>中毒</t>
  </si>
  <si>
    <t>棘刺中毒</t>
  </si>
  <si>
    <t>{"FarAttackUnitRate":1,"DamageType":"Real","TriggerTime":0.1}</t>
  </si>
  <si>
    <t>{"t":["AttackRate"]}</t>
  </si>
  <si>
    <t>重构体绝食1</t>
  </si>
  <si>
    <t>绝食</t>
  </si>
  <si>
    <t>{"HealOnly":"干员M3"}</t>
  </si>
  <si>
    <t>重构体绝食2</t>
  </si>
  <si>
    <t>{"HealOnly":"重构体"}</t>
  </si>
  <si>
    <t>普通Buff</t>
  </si>
  <si>
    <t>m32动作</t>
  </si>
  <si>
    <t>{"IdleAnimation":["Skill_2_Idle"]}</t>
  </si>
  <si>
    <t>{"t":["AttackRate","AttackGapAdd","HpAdd"]}</t>
  </si>
  <si>
    <t>m3中毒</t>
  </si>
  <si>
    <t>m33特效1</t>
  </si>
  <si>
    <t>m3特效buff1</t>
  </si>
  <si>
    <t>m33特效2</t>
  </si>
  <si>
    <t>m3特效buff2</t>
  </si>
  <si>
    <t>m33特效3</t>
  </si>
  <si>
    <t>m3特效buff3</t>
  </si>
  <si>
    <t>m33特效4</t>
  </si>
  <si>
    <t>m3特效buff4</t>
  </si>
  <si>
    <t>星熊2buff</t>
  </si>
  <si>
    <t>m33动作</t>
  </si>
  <si>
    <t>{"IdleAnimation":["Skill_3_Idle"]}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</si>
  <si>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</si>
  <si>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</si>
  <si>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</si>
  <si>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</si>
  <si>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</si>
  <si>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</si>
  <si>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</si>
  <si>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</si>
  <si>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</si>
  <si>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</si>
  <si>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</si>
  <si>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</si>
  <si>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</si>
  <si>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</si>
  <si>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</si>
  <si>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</si>
  <si>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</si>
  <si>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</si>
  <si>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</si>
  <si>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</si>
  <si>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</si>
  <si>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</si>
  <si>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</si>
  <si>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</si>
  <si>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</si>
  <si>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</si>
  <si>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ghost_skill_02_buff</t>
  </si>
  <si>
    <t>F_Weapon_DL_A2</t>
  </si>
  <si>
    <t>F_Weapon_DR_A2</t>
  </si>
  <si>
    <t>franka_skill_02_buff</t>
  </si>
  <si>
    <t>F_Weapon_UL_A2</t>
  </si>
  <si>
    <t>F_Weapon_UR_A2</t>
  </si>
  <si>
    <t>amiya_skill_03_buff_02</t>
  </si>
  <si>
    <t>Description</t>
  </si>
  <si>
    <t>Group</t>
  </si>
  <si>
    <t>TeamLimit</t>
  </si>
  <si>
    <t>MapHp</t>
  </si>
  <si>
    <t>UnitTypeEnum[]</t>
  </si>
  <si>
    <t>Id</t>
    <phoneticPr fontId="6" type="noConversion"/>
  </si>
  <si>
    <t>仅单面</t>
    <phoneticPr fontId="6" type="noConversion"/>
  </si>
  <si>
    <t>相对路径</t>
    <phoneticPr fontId="6" type="noConversion"/>
  </si>
  <si>
    <t>正面atlas</t>
    <phoneticPr fontId="6" type="noConversion"/>
  </si>
  <si>
    <t>正面png</t>
    <phoneticPr fontId="6" type="noConversion"/>
  </si>
  <si>
    <t>正面skel</t>
    <phoneticPr fontId="6" type="noConversion"/>
  </si>
  <si>
    <t>背面atlas</t>
    <phoneticPr fontId="6" type="noConversion"/>
  </si>
  <si>
    <t>背面png</t>
    <phoneticPr fontId="6" type="noConversion"/>
  </si>
  <si>
    <t>背面skel</t>
    <phoneticPr fontId="6" type="noConversion"/>
  </si>
  <si>
    <t>OnlyFront</t>
    <phoneticPr fontId="6" type="noConversion"/>
  </si>
  <si>
    <t>UseAppHotfixResPath</t>
    <phoneticPr fontId="6" type="noConversion"/>
  </si>
  <si>
    <t>FrontAtlasPath</t>
    <phoneticPr fontId="6" type="noConversion"/>
  </si>
  <si>
    <t>FrontPngPath</t>
    <phoneticPr fontId="6" type="noConversion"/>
  </si>
  <si>
    <t>FrontSkelPath</t>
    <phoneticPr fontId="6" type="noConversion"/>
  </si>
  <si>
    <t>BackAtlasPath</t>
    <phoneticPr fontId="6" type="noConversion"/>
  </si>
  <si>
    <t>BackPngPath</t>
    <phoneticPr fontId="6" type="noConversion"/>
  </si>
  <si>
    <t>BackSkelPath</t>
    <phoneticPr fontId="6" type="noConversion"/>
  </si>
  <si>
    <t>string</t>
    <phoneticPr fontId="6" type="noConversion"/>
  </si>
  <si>
    <t>bool</t>
    <phoneticPr fontId="6" type="noConversion"/>
  </si>
  <si>
    <t>不可被抵挡</t>
  </si>
  <si>
    <t>NotCancelable</t>
  </si>
  <si>
    <t>优先Buff</t>
    <phoneticPr fontId="6" type="noConversion"/>
  </si>
  <si>
    <t>自定义优先级</t>
    <phoneticPr fontId="6" type="noConversion"/>
  </si>
  <si>
    <t>OrderBuff</t>
    <phoneticPr fontId="6" type="noConversion"/>
  </si>
  <si>
    <t>OrderExpression</t>
    <phoneticPr fontId="6" type="noConversion"/>
  </si>
  <si>
    <t>{"召唤物ID":"地面M3","召唤位置":"使用本技能索敌位置","部署模式":"替换","召唤物方向":"使用指定单位方向","指定单位名称":"Mon3tr"}</t>
    <phoneticPr fontId="6" type="noConversion"/>
  </si>
  <si>
    <t>地面m3落地无敌,地面m3释放buff</t>
    <phoneticPr fontId="6" type="noConversion"/>
  </si>
  <si>
    <t>地面m3</t>
    <phoneticPr fontId="6" type="noConversion"/>
  </si>
  <si>
    <t>通用链奶弹道</t>
    <phoneticPr fontId="6" type="noConversion"/>
  </si>
  <si>
    <t>可部署位</t>
    <phoneticPr fontId="6" type="noConversion"/>
  </si>
  <si>
    <t>CanSetPos</t>
    <phoneticPr fontId="6" type="noConversion"/>
  </si>
  <si>
    <t>string[]</t>
    <phoneticPr fontId="6" type="noConversion"/>
  </si>
  <si>
    <t>高台位</t>
    <phoneticPr fontId="6" type="noConversion"/>
  </si>
  <si>
    <t>地面位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</si>
</sst>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0.5"/>
      <color rgb="FF333639"/>
      <name val="Arial"/>
      <family val="2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color rgb="FF333639"/>
      <name val="宋体"/>
      <family val="3"/>
      <charset val="134"/>
      <scheme val="major"/>
    </font>
    <font>
      <sz val="11"/>
      <color rgb="FF333639"/>
      <name val="宋体"/>
      <family val="3"/>
      <charset val="134"/>
    </font>
    <font>
      <sz val="11"/>
      <color rgb="FF000000"/>
      <name val="等线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1" fillId="0" borderId="0" xfId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2" borderId="0" xfId="0" applyFont="1" applyFill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9" fillId="3" borderId="0" xfId="0" applyFont="1" applyFill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</cellXfs>
  <cellStyles count="2">
    <cellStyle name="常规" xfId="0" builtinId="0"/>
    <cellStyle name="常规 2" xfId="1" xr:uid="{C396AF54-67AF-4F3C-B767-7A3706B9078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590"/>
  <sheetViews>
    <sheetView tabSelected="1" workbookViewId="0">
      <pane xSplit="1" ySplit="3" topLeftCell="AF4" activePane="bottomRight" state="frozen"/>
      <selection pane="topRight"/>
      <selection pane="bottomLeft"/>
      <selection pane="bottomRight" activeCell="AN1" sqref="AN1:AO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s="1" t="s">
        <v>581</v>
      </c>
      <c r="AN1" t="s">
        <v>29</v>
      </c>
      <c r="AO1" t="s">
        <v>30</v>
      </c>
      <c r="AP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s="8" t="s">
        <v>39</v>
      </c>
      <c r="AZ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</row>
    <row r="2" spans="1:70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s="1" t="s">
        <v>582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s="8" t="s">
        <v>92</v>
      </c>
      <c r="AZ2" t="s">
        <v>93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s="8" t="s">
        <v>106</v>
      </c>
      <c r="BN2" t="s">
        <v>107</v>
      </c>
      <c r="BO2" t="s">
        <v>108</v>
      </c>
      <c r="BP2" t="s">
        <v>109</v>
      </c>
      <c r="BQ2" t="s">
        <v>110</v>
      </c>
      <c r="BR2" t="s">
        <v>111</v>
      </c>
    </row>
    <row r="3" spans="1:70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s="1" t="s">
        <v>583</v>
      </c>
      <c r="AN3" t="s">
        <v>114</v>
      </c>
      <c r="AO3" t="s">
        <v>113</v>
      </c>
      <c r="AP3" t="s">
        <v>112</v>
      </c>
      <c r="AR3" t="s">
        <v>113</v>
      </c>
      <c r="AS3" t="s">
        <v>112</v>
      </c>
      <c r="AT3" t="s">
        <v>114</v>
      </c>
      <c r="AU3" t="s">
        <v>116</v>
      </c>
      <c r="AV3" t="s">
        <v>113</v>
      </c>
      <c r="AW3" t="s">
        <v>117</v>
      </c>
      <c r="AX3" t="s">
        <v>112</v>
      </c>
      <c r="AY3" t="s">
        <v>112</v>
      </c>
      <c r="AZ3" t="s">
        <v>113</v>
      </c>
      <c r="BA3" t="s">
        <v>118</v>
      </c>
      <c r="BB3" t="s">
        <v>2</v>
      </c>
      <c r="BC3" t="s">
        <v>2</v>
      </c>
      <c r="BD3" t="s">
        <v>2</v>
      </c>
      <c r="BE3" t="s">
        <v>2</v>
      </c>
      <c r="BF3" t="s">
        <v>119</v>
      </c>
      <c r="BG3" t="s">
        <v>114</v>
      </c>
      <c r="BH3" t="s">
        <v>2</v>
      </c>
      <c r="BI3" t="s">
        <v>120</v>
      </c>
      <c r="BJ3" t="s">
        <v>2</v>
      </c>
      <c r="BK3" t="s">
        <v>121</v>
      </c>
      <c r="BL3" t="s">
        <v>120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113</v>
      </c>
    </row>
    <row r="5" spans="1:70" x14ac:dyDescent="0.25">
      <c r="A5" t="s">
        <v>4</v>
      </c>
      <c r="B5" t="s">
        <v>122</v>
      </c>
      <c r="D5" t="s">
        <v>123</v>
      </c>
      <c r="E5" s="5" t="s">
        <v>124</v>
      </c>
      <c r="F5" t="str">
        <f>"char_"&amp;E5&amp;"_"&amp;D5</f>
        <v>char_4179_monstr</v>
      </c>
      <c r="G5">
        <v>1</v>
      </c>
      <c r="I5">
        <v>2</v>
      </c>
      <c r="J5">
        <v>90</v>
      </c>
      <c r="K5">
        <v>2235</v>
      </c>
      <c r="M5">
        <v>583</v>
      </c>
      <c r="O5">
        <v>221</v>
      </c>
      <c r="Q5">
        <v>0</v>
      </c>
      <c r="S5">
        <v>16</v>
      </c>
      <c r="U5">
        <v>0.5</v>
      </c>
      <c r="V5">
        <v>70</v>
      </c>
      <c r="Y5">
        <v>0.05</v>
      </c>
      <c r="Z5">
        <v>2.85</v>
      </c>
      <c r="AC5">
        <v>1</v>
      </c>
      <c r="AG5" t="s">
        <v>125</v>
      </c>
      <c r="AH5" t="s">
        <v>126</v>
      </c>
      <c r="AI5" t="s">
        <v>127</v>
      </c>
      <c r="AJ5" t="s">
        <v>128</v>
      </c>
      <c r="AM5" s="1" t="s">
        <v>584</v>
      </c>
      <c r="AN5">
        <v>1</v>
      </c>
      <c r="AO5">
        <v>0.5</v>
      </c>
      <c r="AV5">
        <v>0.25</v>
      </c>
      <c r="BA5" t="s">
        <v>129</v>
      </c>
      <c r="BB5" t="s">
        <v>130</v>
      </c>
      <c r="BC5" t="s">
        <v>131</v>
      </c>
      <c r="BD5" t="s">
        <v>132</v>
      </c>
      <c r="BE5" t="s">
        <v>133</v>
      </c>
      <c r="BF5" t="s">
        <v>134</v>
      </c>
      <c r="BG5">
        <v>6</v>
      </c>
      <c r="BH5" t="s">
        <v>135</v>
      </c>
      <c r="BI5" t="s">
        <v>136</v>
      </c>
      <c r="BL5" t="s">
        <v>137</v>
      </c>
      <c r="BM5" t="s">
        <v>138</v>
      </c>
      <c r="BO5" t="s">
        <v>139</v>
      </c>
      <c r="BP5" t="s">
        <v>139</v>
      </c>
      <c r="BR5">
        <v>1</v>
      </c>
    </row>
    <row r="6" spans="1:70" x14ac:dyDescent="0.25">
      <c r="A6" t="s">
        <v>140</v>
      </c>
      <c r="B6" t="s">
        <v>122</v>
      </c>
      <c r="D6" t="s">
        <v>141</v>
      </c>
      <c r="E6" s="5" t="s">
        <v>142</v>
      </c>
      <c r="F6" t="s">
        <v>143</v>
      </c>
      <c r="G6">
        <v>1</v>
      </c>
      <c r="I6">
        <v>2</v>
      </c>
      <c r="J6">
        <v>90</v>
      </c>
      <c r="K6">
        <v>5433</v>
      </c>
      <c r="M6">
        <v>583</v>
      </c>
      <c r="O6">
        <v>221</v>
      </c>
      <c r="Q6">
        <v>0</v>
      </c>
      <c r="S6">
        <v>3</v>
      </c>
      <c r="U6">
        <v>0</v>
      </c>
      <c r="V6">
        <v>15</v>
      </c>
      <c r="Y6">
        <v>0.05</v>
      </c>
      <c r="Z6">
        <v>1</v>
      </c>
      <c r="AC6">
        <v>0</v>
      </c>
      <c r="AE6">
        <v>-1</v>
      </c>
      <c r="AG6" t="s">
        <v>140</v>
      </c>
      <c r="AH6" t="s">
        <v>126</v>
      </c>
      <c r="AI6" t="s">
        <v>144</v>
      </c>
      <c r="AK6">
        <v>0</v>
      </c>
      <c r="AM6" s="1" t="s">
        <v>585</v>
      </c>
      <c r="AN6">
        <v>0</v>
      </c>
      <c r="AO6">
        <v>0</v>
      </c>
      <c r="AU6" t="s">
        <v>145</v>
      </c>
      <c r="AV6">
        <v>0.25</v>
      </c>
      <c r="BA6" t="s">
        <v>129</v>
      </c>
      <c r="BC6" t="s">
        <v>146</v>
      </c>
      <c r="BD6" t="str">
        <f>"half_"&amp;D6</f>
        <v>half_otter</v>
      </c>
      <c r="BE6" t="str">
        <f>D6</f>
        <v>otter</v>
      </c>
      <c r="BF6" t="s">
        <v>134</v>
      </c>
      <c r="BG6">
        <v>6</v>
      </c>
      <c r="BH6" t="s">
        <v>147</v>
      </c>
      <c r="BI6" t="s">
        <v>140</v>
      </c>
      <c r="BL6" t="s">
        <v>137</v>
      </c>
      <c r="BM6" t="s">
        <v>138</v>
      </c>
      <c r="BR6">
        <v>1</v>
      </c>
    </row>
    <row r="7" spans="1:70" x14ac:dyDescent="0.25">
      <c r="A7" t="s">
        <v>148</v>
      </c>
      <c r="B7" t="s">
        <v>122</v>
      </c>
      <c r="D7" t="s">
        <v>123</v>
      </c>
      <c r="E7" s="5" t="s">
        <v>124</v>
      </c>
      <c r="F7" t="str">
        <f>"char_"&amp;E7&amp;"_"&amp;D7</f>
        <v>char_4179_monstr</v>
      </c>
      <c r="G7">
        <v>1</v>
      </c>
      <c r="I7">
        <v>2</v>
      </c>
      <c r="J7">
        <v>90</v>
      </c>
      <c r="K7">
        <v>2235</v>
      </c>
      <c r="M7">
        <v>583</v>
      </c>
      <c r="O7">
        <v>221</v>
      </c>
      <c r="Q7">
        <v>0</v>
      </c>
      <c r="S7">
        <v>0</v>
      </c>
      <c r="U7">
        <v>0.5</v>
      </c>
      <c r="V7">
        <v>70</v>
      </c>
      <c r="Y7">
        <v>0.05</v>
      </c>
      <c r="Z7">
        <v>2.85</v>
      </c>
      <c r="AC7">
        <v>1</v>
      </c>
      <c r="AD7">
        <v>1</v>
      </c>
      <c r="AG7" t="s">
        <v>125</v>
      </c>
      <c r="AH7" t="s">
        <v>126</v>
      </c>
      <c r="AI7" s="1" t="s">
        <v>578</v>
      </c>
      <c r="AJ7" s="1" t="s">
        <v>579</v>
      </c>
      <c r="AM7" s="1" t="s">
        <v>585</v>
      </c>
      <c r="AN7">
        <v>3</v>
      </c>
      <c r="AO7">
        <v>0</v>
      </c>
      <c r="AV7">
        <v>0.25</v>
      </c>
      <c r="BA7" t="s">
        <v>129</v>
      </c>
      <c r="BB7" t="s">
        <v>130</v>
      </c>
      <c r="BC7" t="s">
        <v>131</v>
      </c>
      <c r="BD7" t="s">
        <v>132</v>
      </c>
      <c r="BE7" t="s">
        <v>133</v>
      </c>
      <c r="BF7" t="s">
        <v>134</v>
      </c>
      <c r="BG7">
        <v>6</v>
      </c>
      <c r="BH7" t="s">
        <v>135</v>
      </c>
      <c r="BI7" t="s">
        <v>136</v>
      </c>
      <c r="BL7" s="3" t="s">
        <v>149</v>
      </c>
      <c r="BM7" s="3" t="s">
        <v>149</v>
      </c>
      <c r="BO7" s="17" t="s">
        <v>150</v>
      </c>
      <c r="BP7" t="s">
        <v>139</v>
      </c>
      <c r="BR7">
        <v>1</v>
      </c>
    </row>
    <row r="17" spans="4:69" x14ac:dyDescent="0.25">
      <c r="AI17" s="8"/>
    </row>
    <row r="23" spans="4:69" x14ac:dyDescent="0.25">
      <c r="AI23" s="8"/>
      <c r="BJ23" s="8"/>
    </row>
    <row r="25" spans="4:69" x14ac:dyDescent="0.25">
      <c r="AI25" s="8"/>
    </row>
    <row r="26" spans="4:69" x14ac:dyDescent="0.25">
      <c r="AI26" s="8"/>
    </row>
    <row r="27" spans="4:69" x14ac:dyDescent="0.25">
      <c r="AI27" s="8"/>
      <c r="BJ27" s="8"/>
    </row>
    <row r="28" spans="4:69" ht="14.5" x14ac:dyDescent="0.25">
      <c r="D28" s="18"/>
      <c r="E28" s="5"/>
      <c r="BN28" s="6"/>
      <c r="BQ28" s="6"/>
    </row>
    <row r="29" spans="4:69" ht="14.5" x14ac:dyDescent="0.25">
      <c r="D29" s="18"/>
      <c r="E29" s="5"/>
      <c r="BN29" s="6"/>
      <c r="BQ29" s="6"/>
    </row>
    <row r="30" spans="4:69" ht="14.5" x14ac:dyDescent="0.25">
      <c r="D30" s="18"/>
      <c r="E30" s="5"/>
      <c r="BN30" s="6"/>
      <c r="BQ30" s="6"/>
    </row>
    <row r="31" spans="4:69" ht="14.5" x14ac:dyDescent="0.25">
      <c r="D31" s="18"/>
      <c r="E31" s="5"/>
      <c r="BN31" s="6"/>
      <c r="BQ31" s="6"/>
    </row>
    <row r="32" spans="4:69" ht="14.5" x14ac:dyDescent="0.25">
      <c r="D32" s="18"/>
      <c r="E32" s="5"/>
      <c r="BN32" s="6"/>
      <c r="BQ32" s="6"/>
    </row>
    <row r="33" spans="4:69" ht="14.5" x14ac:dyDescent="0.25">
      <c r="D33" s="18"/>
      <c r="E33" s="5"/>
      <c r="BN33" s="6"/>
      <c r="BQ33" s="6"/>
    </row>
    <row r="34" spans="4:69" ht="14.5" x14ac:dyDescent="0.25">
      <c r="D34" s="18"/>
      <c r="E34" s="5"/>
      <c r="BN34" s="6"/>
      <c r="BQ34" s="6"/>
    </row>
    <row r="35" spans="4:69" ht="14.5" x14ac:dyDescent="0.25">
      <c r="D35" s="18"/>
      <c r="E35" s="5"/>
      <c r="BQ35" s="6"/>
    </row>
    <row r="36" spans="4:69" ht="14.5" x14ac:dyDescent="0.25">
      <c r="D36" s="18"/>
      <c r="E36" s="5"/>
      <c r="BQ36" s="6"/>
    </row>
    <row r="37" spans="4:69" ht="14.5" x14ac:dyDescent="0.25">
      <c r="D37" s="18"/>
      <c r="E37" s="5"/>
      <c r="BQ37" s="6"/>
    </row>
    <row r="38" spans="4:69" ht="14.5" x14ac:dyDescent="0.25">
      <c r="D38" s="18"/>
      <c r="E38" s="5"/>
      <c r="BN38" s="6"/>
      <c r="BQ38" s="6"/>
    </row>
    <row r="39" spans="4:69" ht="14.5" x14ac:dyDescent="0.25">
      <c r="D39" s="18"/>
      <c r="E39" s="5"/>
      <c r="BN39" s="6"/>
      <c r="BQ39" s="6"/>
    </row>
    <row r="40" spans="4:69" ht="14.5" x14ac:dyDescent="0.25">
      <c r="D40" s="18"/>
      <c r="E40" s="5"/>
      <c r="BN40" s="6"/>
      <c r="BQ40" s="6"/>
    </row>
    <row r="41" spans="4:69" ht="14.5" x14ac:dyDescent="0.25">
      <c r="D41" s="18"/>
      <c r="E41" s="5"/>
      <c r="BN41" s="6"/>
      <c r="BQ41" s="6"/>
    </row>
    <row r="42" spans="4:69" ht="14.5" x14ac:dyDescent="0.25">
      <c r="D42" s="18"/>
      <c r="E42" s="5"/>
      <c r="BN42" s="6"/>
      <c r="BQ42" s="6"/>
    </row>
    <row r="43" spans="4:69" ht="14.5" x14ac:dyDescent="0.25">
      <c r="D43" s="18"/>
      <c r="E43" s="5"/>
      <c r="BN43" s="6"/>
      <c r="BQ43" s="6"/>
    </row>
    <row r="44" spans="4:69" ht="14.5" x14ac:dyDescent="0.25">
      <c r="D44" s="18"/>
      <c r="E44" s="5"/>
      <c r="BN44" s="6"/>
      <c r="BQ44" s="6"/>
    </row>
    <row r="45" spans="4:69" ht="14.5" x14ac:dyDescent="0.25">
      <c r="D45" s="18"/>
      <c r="E45" s="5"/>
      <c r="BN45" s="6"/>
      <c r="BQ45" s="6"/>
    </row>
    <row r="46" spans="4:69" ht="14.5" x14ac:dyDescent="0.25">
      <c r="D46" s="18"/>
      <c r="E46" s="5"/>
      <c r="BN46" s="6"/>
      <c r="BQ46" s="6"/>
    </row>
    <row r="47" spans="4:69" ht="14.5" x14ac:dyDescent="0.25">
      <c r="D47" s="18"/>
      <c r="E47" s="5"/>
      <c r="BN47" s="6"/>
      <c r="BQ47" s="6"/>
    </row>
    <row r="48" spans="4:69" ht="14.5" x14ac:dyDescent="0.25">
      <c r="D48" s="18"/>
      <c r="E48" s="5"/>
      <c r="BN48" s="6"/>
      <c r="BQ48" s="6"/>
    </row>
    <row r="49" spans="4:69" ht="14.5" x14ac:dyDescent="0.25">
      <c r="D49" s="18"/>
      <c r="E49" s="5"/>
      <c r="BN49" s="6"/>
      <c r="BQ49" s="6"/>
    </row>
    <row r="50" spans="4:69" ht="14.5" x14ac:dyDescent="0.25">
      <c r="D50" s="18"/>
      <c r="E50" s="5"/>
      <c r="BN50" s="6"/>
      <c r="BQ50" s="6"/>
    </row>
    <row r="51" spans="4:69" ht="14.5" x14ac:dyDescent="0.25">
      <c r="D51" s="18"/>
      <c r="E51" s="5"/>
      <c r="BN51" s="6"/>
      <c r="BQ51" s="6"/>
    </row>
    <row r="52" spans="4:69" ht="14.5" x14ac:dyDescent="0.25">
      <c r="D52" s="18"/>
      <c r="E52" s="5"/>
      <c r="BN52" s="6"/>
      <c r="BQ52" s="6"/>
    </row>
    <row r="53" spans="4:69" ht="14.5" x14ac:dyDescent="0.25">
      <c r="D53" s="18"/>
      <c r="E53" s="5"/>
      <c r="BN53" s="6"/>
      <c r="BQ53" s="6"/>
    </row>
    <row r="54" spans="4:69" ht="14.5" x14ac:dyDescent="0.25">
      <c r="D54" s="18"/>
      <c r="E54" s="5"/>
      <c r="BN54" s="6"/>
      <c r="BQ54" s="6"/>
    </row>
    <row r="55" spans="4:69" ht="14.5" x14ac:dyDescent="0.25">
      <c r="D55" s="18"/>
      <c r="E55" s="5"/>
      <c r="BN55" s="6"/>
      <c r="BQ55" s="6"/>
    </row>
    <row r="56" spans="4:69" ht="14.5" x14ac:dyDescent="0.25">
      <c r="D56" s="18"/>
      <c r="E56" s="5"/>
      <c r="BN56" s="6"/>
      <c r="BQ56" s="6"/>
    </row>
    <row r="57" spans="4:69" ht="14.5" x14ac:dyDescent="0.25">
      <c r="D57" s="18"/>
      <c r="E57" s="5"/>
      <c r="BN57" s="6"/>
      <c r="BQ57" s="6"/>
    </row>
    <row r="58" spans="4:69" ht="14.5" x14ac:dyDescent="0.25">
      <c r="D58" s="18"/>
      <c r="E58" s="5"/>
      <c r="BN58" s="6"/>
      <c r="BQ58" s="6"/>
    </row>
    <row r="59" spans="4:69" ht="14.5" x14ac:dyDescent="0.25">
      <c r="D59" s="18"/>
      <c r="E59" s="5"/>
      <c r="BN59" s="6"/>
      <c r="BQ59" s="6"/>
    </row>
    <row r="60" spans="4:69" ht="14.5" x14ac:dyDescent="0.25">
      <c r="D60" s="18"/>
      <c r="E60" s="5"/>
      <c r="BN60" s="6"/>
      <c r="BQ60" s="6"/>
    </row>
    <row r="61" spans="4:69" ht="14.5" x14ac:dyDescent="0.25">
      <c r="D61" s="18"/>
      <c r="E61" s="5"/>
      <c r="BN61" s="6"/>
      <c r="BQ61" s="6"/>
    </row>
    <row r="62" spans="4:69" ht="14.5" x14ac:dyDescent="0.25">
      <c r="D62" s="18"/>
      <c r="E62" s="5"/>
      <c r="BN62" s="6"/>
      <c r="BQ62" s="6"/>
    </row>
    <row r="63" spans="4:69" ht="14.5" x14ac:dyDescent="0.25">
      <c r="D63" s="18"/>
      <c r="E63" s="5"/>
      <c r="BN63" s="6"/>
      <c r="BQ63" s="6"/>
    </row>
    <row r="64" spans="4:69" ht="14.5" x14ac:dyDescent="0.25">
      <c r="D64" s="18"/>
      <c r="E64" s="5"/>
      <c r="BN64" s="6"/>
      <c r="BQ64" s="6"/>
    </row>
    <row r="65" spans="4:69" ht="14.5" x14ac:dyDescent="0.25">
      <c r="D65" s="18"/>
      <c r="E65" s="5"/>
      <c r="BN65" s="6"/>
      <c r="BQ65" s="6"/>
    </row>
    <row r="66" spans="4:69" ht="14.5" x14ac:dyDescent="0.25">
      <c r="D66" s="18"/>
      <c r="E66" s="5"/>
      <c r="BN66" s="6"/>
      <c r="BQ66" s="6"/>
    </row>
    <row r="67" spans="4:69" ht="14.5" x14ac:dyDescent="0.25">
      <c r="D67" s="18"/>
      <c r="E67" s="5"/>
      <c r="BN67" s="6"/>
      <c r="BQ67" s="6"/>
    </row>
    <row r="68" spans="4:69" ht="14.5" x14ac:dyDescent="0.25">
      <c r="D68" s="18"/>
      <c r="E68" s="5"/>
      <c r="BN68" s="6"/>
      <c r="BQ68" s="6"/>
    </row>
    <row r="69" spans="4:69" ht="14.5" x14ac:dyDescent="0.25">
      <c r="D69" s="18"/>
      <c r="E69" s="5"/>
      <c r="BN69" s="6"/>
      <c r="BQ69" s="6"/>
    </row>
    <row r="70" spans="4:69" ht="14.5" x14ac:dyDescent="0.25">
      <c r="D70" s="18"/>
      <c r="E70" s="5"/>
      <c r="BN70" s="6"/>
      <c r="BQ70" s="6"/>
    </row>
    <row r="71" spans="4:69" ht="14.5" x14ac:dyDescent="0.25">
      <c r="D71" s="18"/>
      <c r="E71" s="5"/>
      <c r="BN71" s="6"/>
      <c r="BQ71" s="6"/>
    </row>
    <row r="72" spans="4:69" ht="14.5" x14ac:dyDescent="0.25">
      <c r="D72" s="18"/>
      <c r="E72" s="5"/>
      <c r="BN72" s="6"/>
      <c r="BQ72" s="6"/>
    </row>
    <row r="73" spans="4:69" ht="14.5" x14ac:dyDescent="0.25">
      <c r="D73" s="18"/>
      <c r="E73" s="5"/>
      <c r="BN73" s="6"/>
      <c r="BQ73" s="6"/>
    </row>
    <row r="74" spans="4:69" ht="14.5" x14ac:dyDescent="0.25">
      <c r="D74" s="18"/>
      <c r="E74" s="5"/>
      <c r="BN74" s="6"/>
      <c r="BQ74" s="6"/>
    </row>
    <row r="75" spans="4:69" ht="14.5" x14ac:dyDescent="0.25">
      <c r="D75" s="18"/>
      <c r="E75" s="5"/>
      <c r="BN75" s="6"/>
      <c r="BQ75" s="6"/>
    </row>
    <row r="76" spans="4:69" ht="14.5" x14ac:dyDescent="0.25">
      <c r="D76" s="18"/>
      <c r="E76" s="5"/>
      <c r="BN76" s="6"/>
      <c r="BQ76" s="6"/>
    </row>
    <row r="77" spans="4:69" ht="14.5" x14ac:dyDescent="0.25">
      <c r="D77" s="18"/>
      <c r="E77" s="5"/>
      <c r="BN77" s="6"/>
      <c r="BQ77" s="6"/>
    </row>
    <row r="78" spans="4:69" ht="14.5" x14ac:dyDescent="0.25">
      <c r="D78" s="18"/>
      <c r="E78" s="5"/>
      <c r="BN78" s="6"/>
      <c r="BQ78" s="6"/>
    </row>
    <row r="79" spans="4:69" ht="14.5" x14ac:dyDescent="0.25">
      <c r="D79" s="18"/>
      <c r="E79" s="5"/>
      <c r="BN79" s="6"/>
      <c r="BQ79" s="6"/>
    </row>
    <row r="80" spans="4:69" ht="14.5" x14ac:dyDescent="0.25">
      <c r="D80" s="18"/>
      <c r="E80" s="5"/>
      <c r="BN80" s="6"/>
      <c r="BQ80" s="6"/>
    </row>
    <row r="81" spans="4:69" ht="14.5" x14ac:dyDescent="0.25">
      <c r="D81" s="18"/>
      <c r="E81" s="5"/>
      <c r="BN81" s="6"/>
      <c r="BQ81" s="6"/>
    </row>
    <row r="82" spans="4:69" ht="14.5" x14ac:dyDescent="0.25">
      <c r="D82" s="18"/>
      <c r="E82" s="5"/>
      <c r="BN82" s="6"/>
      <c r="BQ82" s="6"/>
    </row>
    <row r="83" spans="4:69" ht="14.5" x14ac:dyDescent="0.25">
      <c r="D83" s="18"/>
      <c r="E83" s="5"/>
      <c r="BN83" s="6"/>
      <c r="BQ83" s="6"/>
    </row>
    <row r="84" spans="4:69" ht="14.5" x14ac:dyDescent="0.25">
      <c r="D84" s="18"/>
      <c r="E84" s="5"/>
      <c r="BN84" s="6"/>
      <c r="BQ84" s="6"/>
    </row>
    <row r="85" spans="4:69" ht="14.5" x14ac:dyDescent="0.25">
      <c r="D85" s="18"/>
      <c r="E85" s="5"/>
      <c r="BN85" s="6"/>
      <c r="BQ85" s="6"/>
    </row>
    <row r="86" spans="4:69" ht="14.5" x14ac:dyDescent="0.25">
      <c r="D86" s="18"/>
      <c r="E86" s="5"/>
      <c r="BN86" s="6"/>
      <c r="BQ86" s="6"/>
    </row>
    <row r="87" spans="4:69" ht="14.5" x14ac:dyDescent="0.25">
      <c r="D87" s="18"/>
      <c r="E87" s="5"/>
      <c r="BN87" s="6"/>
      <c r="BQ87" s="6"/>
    </row>
    <row r="88" spans="4:69" ht="14.5" x14ac:dyDescent="0.25">
      <c r="D88" s="18"/>
      <c r="E88" s="5"/>
      <c r="BN88" s="6"/>
      <c r="BQ88" s="6"/>
    </row>
    <row r="89" spans="4:69" ht="14.5" x14ac:dyDescent="0.25">
      <c r="D89" s="18"/>
      <c r="E89" s="5"/>
      <c r="BN89" s="6"/>
      <c r="BQ89" s="6"/>
    </row>
    <row r="90" spans="4:69" ht="14.5" x14ac:dyDescent="0.25">
      <c r="D90" s="18"/>
      <c r="E90" s="5"/>
      <c r="BN90" s="6"/>
      <c r="BQ90" s="6"/>
    </row>
    <row r="91" spans="4:69" ht="14.5" x14ac:dyDescent="0.25">
      <c r="D91" s="18"/>
      <c r="E91" s="5"/>
      <c r="BN91" s="6"/>
      <c r="BQ91" s="6"/>
    </row>
    <row r="92" spans="4:69" ht="14.5" x14ac:dyDescent="0.25">
      <c r="D92" s="18"/>
      <c r="E92" s="5"/>
      <c r="BN92" s="6"/>
      <c r="BQ92" s="6"/>
    </row>
    <row r="93" spans="4:69" ht="14.5" x14ac:dyDescent="0.25">
      <c r="D93" s="18"/>
      <c r="E93" s="5"/>
      <c r="BN93" s="6"/>
      <c r="BQ93" s="6"/>
    </row>
    <row r="94" spans="4:69" ht="14.5" x14ac:dyDescent="0.25">
      <c r="D94" s="18"/>
      <c r="E94" s="5"/>
      <c r="BN94" s="6"/>
      <c r="BQ94" s="6"/>
    </row>
    <row r="95" spans="4:69" ht="14.5" x14ac:dyDescent="0.25">
      <c r="D95" s="18"/>
      <c r="E95" s="5"/>
      <c r="BN95" s="6"/>
      <c r="BQ95" s="6"/>
    </row>
    <row r="96" spans="4:69" ht="14.5" x14ac:dyDescent="0.25">
      <c r="D96" s="18"/>
      <c r="E96" s="5"/>
      <c r="BN96" s="6"/>
      <c r="BQ96" s="6"/>
    </row>
    <row r="97" spans="4:69" ht="14.5" x14ac:dyDescent="0.25">
      <c r="D97" s="18"/>
      <c r="E97" s="5"/>
      <c r="BN97" s="6"/>
      <c r="BQ97" s="6"/>
    </row>
    <row r="98" spans="4:69" ht="14.5" x14ac:dyDescent="0.25">
      <c r="D98" s="18"/>
      <c r="E98" s="5"/>
      <c r="BN98" s="6"/>
      <c r="BQ98" s="6"/>
    </row>
    <row r="99" spans="4:69" ht="14.5" x14ac:dyDescent="0.25">
      <c r="D99" s="18"/>
      <c r="E99" s="5"/>
      <c r="BN99" s="6"/>
      <c r="BQ99" s="6"/>
    </row>
    <row r="100" spans="4:69" ht="14.5" x14ac:dyDescent="0.25">
      <c r="D100" s="18"/>
      <c r="E100" s="5"/>
      <c r="BN100" s="6"/>
      <c r="BQ100" s="6"/>
    </row>
    <row r="101" spans="4:69" ht="14.5" x14ac:dyDescent="0.25">
      <c r="D101" s="18"/>
      <c r="E101" s="5"/>
      <c r="BN101" s="6"/>
      <c r="BQ101" s="6"/>
    </row>
    <row r="102" spans="4:69" ht="14.5" x14ac:dyDescent="0.25">
      <c r="D102" s="18"/>
      <c r="E102" s="5"/>
      <c r="BN102" s="6"/>
      <c r="BQ102" s="6"/>
    </row>
    <row r="103" spans="4:69" ht="14.5" x14ac:dyDescent="0.25">
      <c r="D103" s="18"/>
      <c r="E103" s="5"/>
      <c r="BN103" s="6"/>
      <c r="BQ103" s="6"/>
    </row>
    <row r="104" spans="4:69" ht="14.5" x14ac:dyDescent="0.25">
      <c r="D104" s="18"/>
      <c r="E104" s="5"/>
      <c r="BN104" s="6"/>
      <c r="BQ104" s="6"/>
    </row>
    <row r="105" spans="4:69" ht="14.5" x14ac:dyDescent="0.25">
      <c r="D105" s="18"/>
      <c r="E105" s="5"/>
      <c r="BN105" s="6"/>
      <c r="BQ105" s="6"/>
    </row>
    <row r="106" spans="4:69" ht="14.5" x14ac:dyDescent="0.25">
      <c r="D106" s="18"/>
      <c r="E106" s="5"/>
      <c r="BN106" s="6"/>
      <c r="BQ106" s="6"/>
    </row>
    <row r="107" spans="4:69" ht="14.5" x14ac:dyDescent="0.25">
      <c r="D107" s="18"/>
      <c r="E107" s="5"/>
      <c r="BN107" s="6"/>
      <c r="BQ107" s="6"/>
    </row>
    <row r="108" spans="4:69" ht="14.5" x14ac:dyDescent="0.25">
      <c r="D108" s="18"/>
      <c r="E108" s="5"/>
      <c r="BN108" s="6"/>
      <c r="BQ108" s="6"/>
    </row>
    <row r="109" spans="4:69" ht="14.5" x14ac:dyDescent="0.25">
      <c r="D109" s="18"/>
      <c r="E109" s="5"/>
      <c r="BN109" s="6"/>
      <c r="BQ109" s="6"/>
    </row>
    <row r="110" spans="4:69" ht="14.5" x14ac:dyDescent="0.25">
      <c r="D110" s="18"/>
      <c r="E110" s="5"/>
      <c r="BN110" s="6"/>
      <c r="BQ110" s="6"/>
    </row>
    <row r="111" spans="4:69" ht="14.5" x14ac:dyDescent="0.25">
      <c r="D111" s="18"/>
      <c r="E111" s="5"/>
      <c r="BN111" s="6"/>
      <c r="BQ111" s="6"/>
    </row>
    <row r="112" spans="4:69" ht="14.5" x14ac:dyDescent="0.25">
      <c r="D112" s="18"/>
      <c r="E112" s="5"/>
      <c r="BN112" s="6"/>
      <c r="BQ112" s="6"/>
    </row>
    <row r="113" spans="4:69" ht="14.5" x14ac:dyDescent="0.25">
      <c r="D113" s="18"/>
      <c r="E113" s="5"/>
      <c r="BN113" s="6"/>
      <c r="BQ113" s="6"/>
    </row>
    <row r="114" spans="4:69" ht="14.5" x14ac:dyDescent="0.25">
      <c r="D114" s="18"/>
      <c r="E114" s="5"/>
      <c r="BN114" s="6"/>
      <c r="BQ114" s="6"/>
    </row>
    <row r="115" spans="4:69" ht="14.5" x14ac:dyDescent="0.25">
      <c r="D115" s="18"/>
      <c r="E115" s="5"/>
      <c r="BN115" s="6"/>
      <c r="BQ115" s="6"/>
    </row>
    <row r="116" spans="4:69" ht="14.5" x14ac:dyDescent="0.25">
      <c r="D116" s="18"/>
      <c r="E116" s="5"/>
      <c r="BN116" s="6"/>
      <c r="BQ116" s="6"/>
    </row>
    <row r="117" spans="4:69" ht="14.5" x14ac:dyDescent="0.25">
      <c r="D117" s="18"/>
      <c r="E117" s="5"/>
      <c r="BN117" s="6"/>
      <c r="BQ117" s="6"/>
    </row>
    <row r="118" spans="4:69" ht="14.5" x14ac:dyDescent="0.25">
      <c r="D118" s="18"/>
      <c r="E118" s="5"/>
      <c r="BN118" s="6"/>
      <c r="BQ118" s="6"/>
    </row>
    <row r="119" spans="4:69" ht="14.5" x14ac:dyDescent="0.25">
      <c r="D119" s="18"/>
      <c r="E119" s="5"/>
      <c r="BN119" s="6"/>
      <c r="BQ119" s="6"/>
    </row>
    <row r="120" spans="4:69" ht="14.5" x14ac:dyDescent="0.25">
      <c r="D120" s="18"/>
      <c r="E120" s="5"/>
      <c r="BN120" s="6"/>
      <c r="BQ120" s="6"/>
    </row>
    <row r="121" spans="4:69" ht="14.5" x14ac:dyDescent="0.25">
      <c r="D121" s="18"/>
      <c r="E121" s="5"/>
      <c r="BN121" s="6"/>
      <c r="BQ121" s="6"/>
    </row>
    <row r="122" spans="4:69" ht="14.5" x14ac:dyDescent="0.25">
      <c r="D122" s="18"/>
      <c r="E122" s="5"/>
      <c r="BN122" s="6"/>
      <c r="BQ122" s="6"/>
    </row>
    <row r="123" spans="4:69" ht="14.5" x14ac:dyDescent="0.25">
      <c r="D123" s="18"/>
      <c r="E123" s="5"/>
      <c r="BN123" s="6"/>
      <c r="BQ123" s="6"/>
    </row>
    <row r="124" spans="4:69" ht="14.5" x14ac:dyDescent="0.25">
      <c r="D124" s="18"/>
      <c r="E124" s="5"/>
      <c r="BN124" s="6"/>
      <c r="BQ124" s="6"/>
    </row>
    <row r="125" spans="4:69" ht="14.5" x14ac:dyDescent="0.25">
      <c r="D125" s="18"/>
      <c r="E125" s="5"/>
      <c r="BN125" s="6"/>
      <c r="BQ125" s="6"/>
    </row>
    <row r="126" spans="4:69" ht="14.5" x14ac:dyDescent="0.25">
      <c r="D126" s="18"/>
      <c r="E126" s="5"/>
      <c r="BN126" s="6"/>
      <c r="BQ126" s="6"/>
    </row>
    <row r="127" spans="4:69" ht="14.5" x14ac:dyDescent="0.25">
      <c r="D127" s="18"/>
      <c r="E127" s="5"/>
      <c r="BN127" s="6"/>
      <c r="BQ127" s="6"/>
    </row>
    <row r="128" spans="4:69" ht="14.5" x14ac:dyDescent="0.25">
      <c r="D128" s="18"/>
      <c r="E128" s="5"/>
      <c r="BN128" s="6"/>
      <c r="BQ128" s="6"/>
    </row>
    <row r="129" spans="4:69" ht="14.5" x14ac:dyDescent="0.25">
      <c r="D129" s="18"/>
      <c r="E129" s="5"/>
      <c r="BN129" s="6"/>
      <c r="BQ129" s="6"/>
    </row>
    <row r="130" spans="4:69" ht="14.5" x14ac:dyDescent="0.25">
      <c r="D130" s="18"/>
      <c r="E130" s="5"/>
      <c r="BN130" s="6"/>
      <c r="BQ130" s="6"/>
    </row>
    <row r="131" spans="4:69" ht="14.5" x14ac:dyDescent="0.25">
      <c r="D131" s="18"/>
      <c r="E131" s="5"/>
      <c r="BN131" s="6"/>
      <c r="BQ131" s="6"/>
    </row>
    <row r="132" spans="4:69" ht="14.5" x14ac:dyDescent="0.25">
      <c r="D132" s="18"/>
      <c r="E132" s="5"/>
      <c r="BN132" s="6"/>
      <c r="BQ132" s="6"/>
    </row>
    <row r="133" spans="4:69" ht="14.5" x14ac:dyDescent="0.25">
      <c r="D133" s="18"/>
      <c r="E133" s="5"/>
      <c r="BN133" s="6"/>
      <c r="BQ133" s="6"/>
    </row>
    <row r="134" spans="4:69" ht="14.5" x14ac:dyDescent="0.25">
      <c r="D134" s="18"/>
      <c r="E134" s="5"/>
      <c r="BN134" s="6"/>
      <c r="BQ134" s="6"/>
    </row>
    <row r="135" spans="4:69" ht="14.5" x14ac:dyDescent="0.25">
      <c r="D135" s="18"/>
      <c r="E135" s="5"/>
      <c r="BN135" s="6"/>
      <c r="BQ135" s="6"/>
    </row>
    <row r="136" spans="4:69" ht="14.5" x14ac:dyDescent="0.25">
      <c r="D136" s="18"/>
      <c r="E136" s="5"/>
      <c r="BN136" s="6"/>
      <c r="BQ136" s="6"/>
    </row>
    <row r="137" spans="4:69" ht="14.5" x14ac:dyDescent="0.25">
      <c r="D137" s="18"/>
      <c r="E137" s="5"/>
      <c r="BN137" s="6"/>
      <c r="BQ137" s="6"/>
    </row>
    <row r="138" spans="4:69" ht="14.5" x14ac:dyDescent="0.25">
      <c r="D138" s="18"/>
      <c r="E138" s="5"/>
      <c r="BN138" s="6"/>
      <c r="BQ138" s="6"/>
    </row>
    <row r="139" spans="4:69" ht="14.5" x14ac:dyDescent="0.25">
      <c r="D139" s="18"/>
      <c r="E139" s="5"/>
      <c r="BN139" s="6"/>
      <c r="BQ139" s="6"/>
    </row>
    <row r="140" spans="4:69" ht="14.5" x14ac:dyDescent="0.25">
      <c r="D140" s="18"/>
      <c r="E140" s="5"/>
      <c r="BN140" s="6"/>
      <c r="BQ140" s="6"/>
    </row>
    <row r="141" spans="4:69" ht="14.5" x14ac:dyDescent="0.25">
      <c r="D141" s="18"/>
      <c r="E141" s="5"/>
      <c r="BN141" s="6"/>
      <c r="BQ141" s="6"/>
    </row>
    <row r="142" spans="4:69" ht="14.5" x14ac:dyDescent="0.25">
      <c r="D142" s="18"/>
      <c r="E142" s="5"/>
      <c r="BN142" s="6"/>
      <c r="BQ142" s="6"/>
    </row>
    <row r="143" spans="4:69" ht="14.5" x14ac:dyDescent="0.25">
      <c r="D143" s="18"/>
      <c r="E143" s="5"/>
      <c r="BN143" s="6"/>
      <c r="BQ143" s="6"/>
    </row>
    <row r="144" spans="4:69" ht="14.5" x14ac:dyDescent="0.25">
      <c r="D144" s="18"/>
      <c r="E144" s="5"/>
      <c r="BN144" s="6"/>
      <c r="BQ144" s="6"/>
    </row>
    <row r="145" spans="4:69" ht="14.5" x14ac:dyDescent="0.25">
      <c r="D145" s="18"/>
      <c r="E145" s="5"/>
      <c r="BN145" s="6"/>
      <c r="BQ145" s="6"/>
    </row>
    <row r="146" spans="4:69" ht="14.5" x14ac:dyDescent="0.25">
      <c r="D146" s="18"/>
      <c r="E146" s="5"/>
      <c r="BN146" s="6"/>
      <c r="BQ146" s="6"/>
    </row>
    <row r="147" spans="4:69" ht="14.5" x14ac:dyDescent="0.25">
      <c r="D147" s="18"/>
      <c r="E147" s="5"/>
      <c r="BN147" s="6"/>
      <c r="BQ147" s="6"/>
    </row>
    <row r="148" spans="4:69" ht="14.5" x14ac:dyDescent="0.25">
      <c r="D148" s="18"/>
      <c r="E148" s="5"/>
      <c r="BN148" s="6"/>
      <c r="BQ148" s="6"/>
    </row>
    <row r="149" spans="4:69" ht="14.5" x14ac:dyDescent="0.25">
      <c r="D149" s="18"/>
      <c r="E149" s="5"/>
      <c r="BN149" s="6"/>
      <c r="BQ149" s="6"/>
    </row>
    <row r="150" spans="4:69" ht="14.5" x14ac:dyDescent="0.25">
      <c r="D150" s="18"/>
      <c r="E150" s="5"/>
      <c r="BN150" s="6"/>
      <c r="BQ150" s="6"/>
    </row>
    <row r="151" spans="4:69" ht="14.5" x14ac:dyDescent="0.25">
      <c r="D151" s="18"/>
      <c r="E151" s="5"/>
      <c r="BN151" s="6"/>
      <c r="BQ151" s="6"/>
    </row>
    <row r="152" spans="4:69" ht="14.5" x14ac:dyDescent="0.25">
      <c r="D152" s="18"/>
      <c r="E152" s="5"/>
      <c r="BN152" s="6"/>
      <c r="BQ152" s="6"/>
    </row>
    <row r="153" spans="4:69" ht="14.5" x14ac:dyDescent="0.25">
      <c r="D153" s="18"/>
      <c r="E153" s="5"/>
      <c r="BN153" s="6"/>
      <c r="BQ153" s="6"/>
    </row>
    <row r="154" spans="4:69" ht="14.5" x14ac:dyDescent="0.25">
      <c r="D154" s="18"/>
      <c r="E154" s="5"/>
      <c r="BN154" s="6"/>
      <c r="BQ154" s="6"/>
    </row>
    <row r="155" spans="4:69" ht="14.5" x14ac:dyDescent="0.25">
      <c r="D155" s="18"/>
      <c r="E155" s="5"/>
      <c r="BN155" s="6"/>
      <c r="BQ155" s="6"/>
    </row>
    <row r="156" spans="4:69" ht="14.5" x14ac:dyDescent="0.25">
      <c r="D156" s="18"/>
      <c r="E156" s="5"/>
      <c r="BN156" s="6"/>
      <c r="BQ156" s="6"/>
    </row>
    <row r="157" spans="4:69" ht="14.5" x14ac:dyDescent="0.25">
      <c r="D157" s="18"/>
      <c r="E157" s="5"/>
      <c r="BN157" s="6"/>
      <c r="BQ157" s="6"/>
    </row>
    <row r="158" spans="4:69" ht="14.5" x14ac:dyDescent="0.25">
      <c r="D158" s="18"/>
      <c r="E158" s="5"/>
      <c r="BN158" s="6"/>
      <c r="BQ158" s="6"/>
    </row>
    <row r="159" spans="4:69" ht="14.5" x14ac:dyDescent="0.25">
      <c r="D159" s="18"/>
      <c r="E159" s="5"/>
      <c r="BN159" s="6"/>
      <c r="BQ159" s="6"/>
    </row>
    <row r="160" spans="4:69" ht="14.5" x14ac:dyDescent="0.25">
      <c r="D160" s="18"/>
      <c r="E160" s="5"/>
      <c r="BN160" s="6"/>
      <c r="BQ160" s="6"/>
    </row>
    <row r="161" spans="4:69" ht="14.5" x14ac:dyDescent="0.25">
      <c r="D161" s="18"/>
      <c r="E161" s="5"/>
      <c r="BN161" s="6"/>
      <c r="BQ161" s="6"/>
    </row>
    <row r="162" spans="4:69" ht="14.5" x14ac:dyDescent="0.25">
      <c r="D162" s="18"/>
      <c r="E162" s="5"/>
      <c r="BN162" s="6"/>
      <c r="BQ162" s="6"/>
    </row>
    <row r="163" spans="4:69" ht="14.5" x14ac:dyDescent="0.25">
      <c r="D163" s="18"/>
      <c r="E163" s="5"/>
      <c r="BN163" s="6"/>
      <c r="BQ163" s="6"/>
    </row>
    <row r="164" spans="4:69" ht="14.5" x14ac:dyDescent="0.25">
      <c r="D164" s="18"/>
      <c r="E164" s="5"/>
      <c r="BN164" s="6"/>
      <c r="BQ164" s="6"/>
    </row>
    <row r="165" spans="4:69" ht="14.5" x14ac:dyDescent="0.25">
      <c r="D165" s="18"/>
      <c r="E165" s="5"/>
      <c r="BN165" s="6"/>
      <c r="BQ165" s="6"/>
    </row>
    <row r="166" spans="4:69" ht="14.5" x14ac:dyDescent="0.25">
      <c r="D166" s="18"/>
      <c r="E166" s="5"/>
      <c r="BN166" s="6"/>
      <c r="BQ166" s="6"/>
    </row>
    <row r="167" spans="4:69" ht="14.5" x14ac:dyDescent="0.25">
      <c r="D167" s="18"/>
      <c r="E167" s="5"/>
      <c r="BN167" s="6"/>
      <c r="BQ167" s="6"/>
    </row>
    <row r="168" spans="4:69" ht="14.5" x14ac:dyDescent="0.25">
      <c r="D168" s="18"/>
      <c r="E168" s="5"/>
      <c r="BN168" s="6"/>
      <c r="BQ168" s="6"/>
    </row>
    <row r="169" spans="4:69" ht="14.5" x14ac:dyDescent="0.25">
      <c r="D169" s="18"/>
      <c r="E169" s="5"/>
      <c r="BN169" s="6"/>
      <c r="BQ169" s="6"/>
    </row>
    <row r="170" spans="4:69" ht="14.5" x14ac:dyDescent="0.25">
      <c r="D170" s="18"/>
      <c r="E170" s="5"/>
      <c r="BN170" s="6"/>
      <c r="BQ170" s="6"/>
    </row>
    <row r="171" spans="4:69" ht="14.5" x14ac:dyDescent="0.25">
      <c r="D171" s="18"/>
      <c r="E171" s="5"/>
      <c r="BN171" s="6"/>
      <c r="BQ171" s="6"/>
    </row>
    <row r="172" spans="4:69" ht="14.5" x14ac:dyDescent="0.25">
      <c r="D172" s="18"/>
      <c r="E172" s="5"/>
      <c r="BN172" s="6"/>
      <c r="BQ172" s="6"/>
    </row>
    <row r="173" spans="4:69" ht="14.5" x14ac:dyDescent="0.25">
      <c r="D173" s="18"/>
      <c r="E173" s="5"/>
      <c r="BN173" s="6"/>
      <c r="BQ173" s="6"/>
    </row>
    <row r="174" spans="4:69" ht="14.5" x14ac:dyDescent="0.25">
      <c r="D174" s="18"/>
      <c r="E174" s="5"/>
      <c r="BN174" s="6"/>
      <c r="BQ174" s="6"/>
    </row>
    <row r="175" spans="4:69" ht="14.5" x14ac:dyDescent="0.25">
      <c r="D175" s="18"/>
      <c r="E175" s="5"/>
      <c r="BN175" s="6"/>
      <c r="BQ175" s="6"/>
    </row>
    <row r="176" spans="4:69" ht="14.5" x14ac:dyDescent="0.25">
      <c r="D176" s="18"/>
      <c r="E176" s="5"/>
      <c r="BN176" s="6"/>
      <c r="BQ176" s="6"/>
    </row>
    <row r="177" spans="4:69" ht="14.5" x14ac:dyDescent="0.25">
      <c r="D177" s="18"/>
      <c r="E177" s="5"/>
      <c r="BN177" s="6"/>
      <c r="BQ177" s="6"/>
    </row>
    <row r="178" spans="4:69" ht="14.5" x14ac:dyDescent="0.25">
      <c r="D178" s="18"/>
      <c r="E178" s="5"/>
      <c r="BN178" s="6"/>
      <c r="BQ178" s="6"/>
    </row>
    <row r="179" spans="4:69" ht="14.5" x14ac:dyDescent="0.25">
      <c r="D179" s="18"/>
      <c r="E179" s="5"/>
      <c r="BN179" s="6"/>
      <c r="BQ179" s="6"/>
    </row>
    <row r="180" spans="4:69" ht="14.5" x14ac:dyDescent="0.25">
      <c r="D180" s="18"/>
      <c r="E180" s="5"/>
      <c r="BN180" s="6"/>
      <c r="BQ180" s="6"/>
    </row>
    <row r="181" spans="4:69" ht="14.5" x14ac:dyDescent="0.25">
      <c r="D181" s="18"/>
      <c r="E181" s="5"/>
      <c r="BN181" s="6"/>
      <c r="BQ181" s="6"/>
    </row>
    <row r="182" spans="4:69" ht="14.5" x14ac:dyDescent="0.25">
      <c r="D182" s="18"/>
      <c r="E182" s="5"/>
      <c r="BN182" s="6"/>
      <c r="BQ182" s="6"/>
    </row>
    <row r="183" spans="4:69" ht="14.5" x14ac:dyDescent="0.25">
      <c r="D183" s="18"/>
      <c r="E183" s="5"/>
      <c r="BN183" s="6"/>
      <c r="BQ183" s="6"/>
    </row>
    <row r="184" spans="4:69" ht="14.5" x14ac:dyDescent="0.25">
      <c r="D184" s="18"/>
      <c r="E184" s="5"/>
      <c r="BN184" s="6"/>
      <c r="BQ184" s="6"/>
    </row>
    <row r="185" spans="4:69" ht="14.5" x14ac:dyDescent="0.25">
      <c r="D185" s="18"/>
      <c r="E185" s="5"/>
      <c r="BN185" s="6"/>
      <c r="BQ185" s="6"/>
    </row>
    <row r="186" spans="4:69" ht="14.5" x14ac:dyDescent="0.25">
      <c r="D186" s="18"/>
      <c r="E186" s="5"/>
      <c r="BN186" s="6"/>
      <c r="BQ186" s="6"/>
    </row>
    <row r="187" spans="4:69" ht="14.5" x14ac:dyDescent="0.25">
      <c r="D187" s="18"/>
      <c r="E187" s="5"/>
      <c r="BN187" s="6"/>
      <c r="BQ187" s="6"/>
    </row>
    <row r="188" spans="4:69" ht="14.5" x14ac:dyDescent="0.25">
      <c r="D188" s="18"/>
      <c r="E188" s="5"/>
      <c r="BN188" s="6"/>
      <c r="BQ188" s="6"/>
    </row>
    <row r="189" spans="4:69" ht="14.5" x14ac:dyDescent="0.25">
      <c r="D189" s="18"/>
      <c r="E189" s="5"/>
      <c r="BN189" s="6"/>
      <c r="BQ189" s="6"/>
    </row>
    <row r="190" spans="4:69" ht="14.5" x14ac:dyDescent="0.25">
      <c r="D190" s="18"/>
      <c r="E190" s="5"/>
      <c r="BN190" s="6"/>
      <c r="BQ190" s="6"/>
    </row>
    <row r="191" spans="4:69" ht="14.5" x14ac:dyDescent="0.25">
      <c r="D191" s="18"/>
      <c r="E191" s="5"/>
      <c r="BN191" s="6"/>
      <c r="BQ191" s="6"/>
    </row>
    <row r="192" spans="4:69" ht="14.5" x14ac:dyDescent="0.25">
      <c r="D192" s="18"/>
      <c r="E192" s="5"/>
      <c r="BN192" s="6"/>
      <c r="BQ192" s="6"/>
    </row>
    <row r="193" spans="4:69" ht="14.5" x14ac:dyDescent="0.25">
      <c r="D193" s="18"/>
      <c r="E193" s="5"/>
      <c r="BN193" s="6"/>
      <c r="BQ193" s="6"/>
    </row>
    <row r="194" spans="4:69" ht="14.5" x14ac:dyDescent="0.25">
      <c r="D194" s="18"/>
      <c r="E194" s="5"/>
      <c r="BN194" s="6"/>
      <c r="BQ194" s="6"/>
    </row>
    <row r="195" spans="4:69" ht="14.5" x14ac:dyDescent="0.25">
      <c r="D195" s="18"/>
      <c r="E195" s="5"/>
      <c r="BN195" s="6"/>
      <c r="BQ195" s="6"/>
    </row>
    <row r="196" spans="4:69" ht="14.5" x14ac:dyDescent="0.25">
      <c r="D196" s="18"/>
      <c r="E196" s="5"/>
      <c r="BN196" s="6"/>
      <c r="BQ196" s="6"/>
    </row>
    <row r="197" spans="4:69" ht="14.5" x14ac:dyDescent="0.25">
      <c r="D197" s="18"/>
      <c r="E197" s="5"/>
      <c r="BN197" s="6"/>
      <c r="BQ197" s="6"/>
    </row>
    <row r="198" spans="4:69" ht="14.5" x14ac:dyDescent="0.25">
      <c r="D198" s="18"/>
      <c r="E198" s="5"/>
      <c r="BN198" s="6"/>
      <c r="BQ198" s="6"/>
    </row>
    <row r="199" spans="4:69" ht="14.5" x14ac:dyDescent="0.25">
      <c r="D199" s="18"/>
      <c r="E199" s="5"/>
      <c r="BN199" s="6"/>
      <c r="BQ199" s="6"/>
    </row>
    <row r="200" spans="4:69" ht="14.5" x14ac:dyDescent="0.25">
      <c r="D200" s="18"/>
      <c r="E200" s="5"/>
      <c r="BN200" s="6"/>
      <c r="BQ200" s="6"/>
    </row>
    <row r="201" spans="4:69" ht="14.5" x14ac:dyDescent="0.25">
      <c r="D201" s="18"/>
      <c r="E201" s="5"/>
      <c r="BN201" s="6"/>
      <c r="BQ201" s="6"/>
    </row>
    <row r="202" spans="4:69" ht="14.5" x14ac:dyDescent="0.25">
      <c r="D202" s="18"/>
      <c r="E202" s="5"/>
      <c r="BN202" s="6"/>
      <c r="BQ202" s="6"/>
    </row>
    <row r="203" spans="4:69" ht="14.5" x14ac:dyDescent="0.25">
      <c r="D203" s="18"/>
      <c r="E203" s="5"/>
      <c r="BN203" s="6"/>
      <c r="BQ203" s="6"/>
    </row>
    <row r="204" spans="4:69" ht="14.5" x14ac:dyDescent="0.25">
      <c r="D204" s="18"/>
      <c r="E204" s="5"/>
      <c r="BN204" s="6"/>
      <c r="BQ204" s="6"/>
    </row>
    <row r="205" spans="4:69" ht="14.5" x14ac:dyDescent="0.25">
      <c r="D205" s="18"/>
      <c r="E205" s="5"/>
      <c r="BN205" s="6"/>
      <c r="BQ205" s="6"/>
    </row>
    <row r="206" spans="4:69" ht="14.5" x14ac:dyDescent="0.25">
      <c r="D206" s="18"/>
      <c r="E206" s="5"/>
      <c r="BN206" s="6"/>
      <c r="BQ206" s="6"/>
    </row>
    <row r="207" spans="4:69" ht="14.5" x14ac:dyDescent="0.25">
      <c r="D207" s="18"/>
      <c r="E207" s="5"/>
      <c r="BN207" s="6"/>
      <c r="BQ207" s="6"/>
    </row>
    <row r="208" spans="4:69" ht="14.5" x14ac:dyDescent="0.25">
      <c r="D208" s="18"/>
      <c r="E208" s="5"/>
      <c r="BN208" s="6"/>
      <c r="BQ208" s="6"/>
    </row>
    <row r="209" spans="4:69" ht="14.5" x14ac:dyDescent="0.25">
      <c r="D209" s="18"/>
      <c r="E209" s="5"/>
      <c r="BN209" s="6"/>
      <c r="BQ209" s="6"/>
    </row>
    <row r="210" spans="4:69" ht="14.5" x14ac:dyDescent="0.25">
      <c r="D210" s="18"/>
      <c r="E210" s="5"/>
      <c r="BN210" s="6"/>
      <c r="BQ210" s="6"/>
    </row>
    <row r="211" spans="4:69" ht="14.5" x14ac:dyDescent="0.25">
      <c r="D211" s="18"/>
      <c r="E211" s="5"/>
      <c r="BN211" s="6"/>
      <c r="BQ211" s="6"/>
    </row>
    <row r="212" spans="4:69" ht="14.5" x14ac:dyDescent="0.25">
      <c r="D212" s="18"/>
      <c r="E212" s="5"/>
      <c r="BN212" s="6"/>
      <c r="BQ212" s="6"/>
    </row>
    <row r="213" spans="4:69" ht="14.5" x14ac:dyDescent="0.25">
      <c r="D213" s="18"/>
      <c r="E213" s="5"/>
      <c r="BN213" s="6"/>
      <c r="BQ213" s="6"/>
    </row>
    <row r="214" spans="4:69" ht="14.5" x14ac:dyDescent="0.25">
      <c r="D214" s="18"/>
      <c r="E214" s="5"/>
      <c r="BN214" s="6"/>
      <c r="BQ214" s="6"/>
    </row>
    <row r="215" spans="4:69" ht="14.5" x14ac:dyDescent="0.25">
      <c r="D215" s="18"/>
      <c r="E215" s="5"/>
      <c r="BN215" s="6"/>
      <c r="BQ215" s="6"/>
    </row>
    <row r="216" spans="4:69" ht="14.5" x14ac:dyDescent="0.25">
      <c r="D216" s="18"/>
      <c r="E216" s="5"/>
      <c r="BN216" s="6"/>
      <c r="BQ216" s="6"/>
    </row>
    <row r="217" spans="4:69" ht="14.5" x14ac:dyDescent="0.25">
      <c r="D217" s="18"/>
      <c r="E217" s="5"/>
      <c r="BN217" s="6"/>
      <c r="BQ217" s="6"/>
    </row>
    <row r="218" spans="4:69" ht="14.5" x14ac:dyDescent="0.25">
      <c r="D218" s="18"/>
      <c r="E218" s="5"/>
      <c r="BN218" s="6"/>
      <c r="BQ218" s="6"/>
    </row>
    <row r="219" spans="4:69" ht="14.5" x14ac:dyDescent="0.25">
      <c r="D219" s="18"/>
      <c r="E219" s="5"/>
      <c r="BN219" s="6"/>
      <c r="BQ219" s="6"/>
    </row>
    <row r="220" spans="4:69" ht="14.5" x14ac:dyDescent="0.25">
      <c r="D220" s="18"/>
      <c r="E220" s="5"/>
      <c r="BN220" s="6"/>
      <c r="BQ220" s="6"/>
    </row>
    <row r="221" spans="4:69" ht="14.5" x14ac:dyDescent="0.25">
      <c r="D221" s="18"/>
      <c r="E221" s="5"/>
      <c r="BN221" s="6"/>
      <c r="BQ221" s="6"/>
    </row>
    <row r="222" spans="4:69" ht="14.5" x14ac:dyDescent="0.25">
      <c r="D222" s="18"/>
      <c r="E222" s="5"/>
      <c r="BN222" s="6"/>
      <c r="BQ222" s="6"/>
    </row>
    <row r="223" spans="4:69" ht="14.5" x14ac:dyDescent="0.25">
      <c r="D223" s="18"/>
      <c r="E223" s="5"/>
      <c r="BN223" s="6"/>
      <c r="BQ223" s="6"/>
    </row>
    <row r="224" spans="4:69" ht="14.5" x14ac:dyDescent="0.25">
      <c r="D224" s="18"/>
      <c r="E224" s="5"/>
      <c r="BN224" s="6"/>
      <c r="BQ224" s="6"/>
    </row>
    <row r="225" spans="4:69" ht="14.5" x14ac:dyDescent="0.25">
      <c r="D225" s="18"/>
      <c r="E225" s="5"/>
      <c r="BN225" s="6"/>
      <c r="BQ225" s="6"/>
    </row>
    <row r="226" spans="4:69" ht="14.5" x14ac:dyDescent="0.25">
      <c r="D226" s="18"/>
      <c r="E226" s="5"/>
      <c r="BN226" s="6"/>
      <c r="BQ226" s="6"/>
    </row>
    <row r="227" spans="4:69" ht="14.5" x14ac:dyDescent="0.25">
      <c r="D227" s="18"/>
      <c r="E227" s="5"/>
      <c r="BN227" s="6"/>
      <c r="BQ227" s="6"/>
    </row>
    <row r="228" spans="4:69" ht="14.5" x14ac:dyDescent="0.25">
      <c r="D228" s="18"/>
      <c r="E228" s="5"/>
      <c r="BN228" s="6"/>
      <c r="BQ228" s="6"/>
    </row>
    <row r="229" spans="4:69" ht="14.5" x14ac:dyDescent="0.25">
      <c r="D229" s="18"/>
      <c r="E229" s="5"/>
      <c r="BN229" s="6"/>
      <c r="BQ229" s="6"/>
    </row>
    <row r="230" spans="4:69" ht="14.5" x14ac:dyDescent="0.25">
      <c r="D230" s="18"/>
      <c r="E230" s="5"/>
      <c r="BN230" s="6"/>
      <c r="BQ230" s="6"/>
    </row>
    <row r="231" spans="4:69" ht="14.5" x14ac:dyDescent="0.25">
      <c r="D231" s="18"/>
      <c r="E231" s="5"/>
      <c r="BN231" s="6"/>
      <c r="BQ231" s="6"/>
    </row>
    <row r="232" spans="4:69" ht="14.5" x14ac:dyDescent="0.25">
      <c r="D232" s="18"/>
      <c r="E232" s="5"/>
      <c r="BN232" s="6"/>
      <c r="BQ232" s="6"/>
    </row>
    <row r="233" spans="4:69" ht="14.5" x14ac:dyDescent="0.25">
      <c r="D233" s="18"/>
      <c r="E233" s="5"/>
      <c r="BN233" s="6"/>
      <c r="BQ233" s="6"/>
    </row>
    <row r="234" spans="4:69" ht="14.5" x14ac:dyDescent="0.25">
      <c r="D234" s="18"/>
      <c r="E234" s="5"/>
      <c r="BN234" s="6"/>
      <c r="BQ234" s="6"/>
    </row>
    <row r="235" spans="4:69" ht="14.5" x14ac:dyDescent="0.25">
      <c r="D235" s="18"/>
      <c r="E235" s="5"/>
      <c r="BQ235" s="6"/>
    </row>
    <row r="236" spans="4:69" ht="14.5" x14ac:dyDescent="0.25">
      <c r="D236" s="18"/>
      <c r="E236" s="5"/>
      <c r="BN236" s="6"/>
      <c r="BQ236" s="6"/>
    </row>
    <row r="237" spans="4:69" ht="14.5" x14ac:dyDescent="0.25">
      <c r="D237" s="18"/>
      <c r="E237" s="5"/>
      <c r="BN237" s="6"/>
      <c r="BQ237" s="6"/>
    </row>
    <row r="238" spans="4:69" ht="14.5" x14ac:dyDescent="0.25">
      <c r="D238" s="18"/>
      <c r="E238" s="5"/>
      <c r="BN238" s="6"/>
      <c r="BQ238" s="6"/>
    </row>
    <row r="239" spans="4:69" ht="14.5" x14ac:dyDescent="0.25">
      <c r="D239" s="18"/>
      <c r="E239" s="5"/>
      <c r="BN239" s="6"/>
      <c r="BQ239" s="6"/>
    </row>
    <row r="240" spans="4:69" ht="14.5" x14ac:dyDescent="0.25">
      <c r="D240" s="18"/>
      <c r="E240" s="5"/>
      <c r="BN240" s="6"/>
      <c r="BQ240" s="6"/>
    </row>
    <row r="241" spans="4:69" ht="14.5" x14ac:dyDescent="0.25">
      <c r="D241" s="18"/>
      <c r="E241" s="5"/>
      <c r="BN241" s="6"/>
      <c r="BQ241" s="6"/>
    </row>
    <row r="242" spans="4:69" ht="14.5" x14ac:dyDescent="0.25">
      <c r="D242" s="18"/>
      <c r="E242" s="5"/>
      <c r="BN242" s="6"/>
      <c r="BQ242" s="6"/>
    </row>
    <row r="243" spans="4:69" ht="14.5" x14ac:dyDescent="0.25">
      <c r="D243" s="18"/>
      <c r="E243" s="5"/>
      <c r="BN243" s="6"/>
      <c r="BQ243" s="6"/>
    </row>
    <row r="244" spans="4:69" ht="14.5" x14ac:dyDescent="0.25">
      <c r="D244" s="18"/>
      <c r="E244" s="5"/>
      <c r="BN244" s="6"/>
      <c r="BQ244" s="6"/>
    </row>
    <row r="245" spans="4:69" ht="14.5" x14ac:dyDescent="0.25">
      <c r="D245" s="18"/>
      <c r="E245" s="5"/>
      <c r="BN245" s="6"/>
      <c r="BQ245" s="6"/>
    </row>
    <row r="246" spans="4:69" ht="14.5" x14ac:dyDescent="0.25">
      <c r="D246" s="18"/>
      <c r="E246" s="5"/>
      <c r="BN246" s="6"/>
      <c r="BQ246" s="6"/>
    </row>
    <row r="247" spans="4:69" ht="14.5" x14ac:dyDescent="0.25">
      <c r="D247" s="18"/>
      <c r="E247" s="5"/>
      <c r="BN247" s="6"/>
      <c r="BQ247" s="6"/>
    </row>
    <row r="248" spans="4:69" ht="14.5" x14ac:dyDescent="0.25">
      <c r="D248" s="18"/>
      <c r="E248" s="5"/>
      <c r="BN248" s="6"/>
      <c r="BQ248" s="6"/>
    </row>
    <row r="249" spans="4:69" ht="14.5" x14ac:dyDescent="0.25">
      <c r="D249" s="18"/>
      <c r="E249" s="5"/>
      <c r="BN249" s="6"/>
      <c r="BQ249" s="6"/>
    </row>
    <row r="250" spans="4:69" ht="14.5" x14ac:dyDescent="0.25">
      <c r="D250" s="18"/>
      <c r="E250" s="5"/>
      <c r="BN250" s="6"/>
      <c r="BQ250" s="6"/>
    </row>
    <row r="251" spans="4:69" ht="14.5" x14ac:dyDescent="0.25">
      <c r="D251" s="18"/>
      <c r="E251" s="5"/>
      <c r="BN251" s="6"/>
      <c r="BQ251" s="6"/>
    </row>
    <row r="252" spans="4:69" ht="14.5" x14ac:dyDescent="0.25">
      <c r="D252" s="18"/>
      <c r="E252" s="5"/>
      <c r="BN252" s="6"/>
      <c r="BQ252" s="6"/>
    </row>
    <row r="253" spans="4:69" ht="14.5" x14ac:dyDescent="0.25">
      <c r="D253" s="18"/>
      <c r="E253" s="5"/>
      <c r="BN253" s="6"/>
      <c r="BQ253" s="6"/>
    </row>
    <row r="254" spans="4:69" ht="14.5" x14ac:dyDescent="0.25">
      <c r="D254" s="18"/>
      <c r="E254" s="5"/>
      <c r="BN254" s="6"/>
      <c r="BQ254" s="6"/>
    </row>
    <row r="255" spans="4:69" ht="14.5" x14ac:dyDescent="0.25">
      <c r="D255" s="18"/>
      <c r="E255" s="5"/>
      <c r="BN255" s="6"/>
      <c r="BQ255" s="6"/>
    </row>
    <row r="256" spans="4:69" ht="14.5" x14ac:dyDescent="0.25">
      <c r="D256" s="18"/>
      <c r="E256" s="5"/>
      <c r="BN256" s="6"/>
      <c r="BQ256" s="6"/>
    </row>
    <row r="257" spans="4:69" ht="14.5" x14ac:dyDescent="0.25">
      <c r="D257" s="18"/>
      <c r="E257" s="5"/>
      <c r="BN257" s="6"/>
      <c r="BQ257" s="6"/>
    </row>
    <row r="258" spans="4:69" ht="14.5" x14ac:dyDescent="0.25">
      <c r="D258" s="18"/>
      <c r="E258" s="5"/>
      <c r="BN258" s="6"/>
      <c r="BQ258" s="6"/>
    </row>
    <row r="259" spans="4:69" ht="14.5" x14ac:dyDescent="0.25">
      <c r="D259" s="18"/>
      <c r="E259" s="5"/>
      <c r="BN259" s="6"/>
      <c r="BQ259" s="6"/>
    </row>
    <row r="260" spans="4:69" ht="14.5" x14ac:dyDescent="0.25">
      <c r="D260" s="18"/>
      <c r="E260" s="5"/>
      <c r="BN260" s="6"/>
      <c r="BQ260" s="6"/>
    </row>
    <row r="261" spans="4:69" ht="14.5" x14ac:dyDescent="0.25">
      <c r="D261" s="18"/>
      <c r="E261" s="5"/>
      <c r="BN261" s="6"/>
      <c r="BQ261" s="6"/>
    </row>
    <row r="262" spans="4:69" ht="14.5" x14ac:dyDescent="0.25">
      <c r="D262" s="18"/>
      <c r="E262" s="5"/>
      <c r="BN262" s="6"/>
      <c r="BQ262" s="6"/>
    </row>
    <row r="263" spans="4:69" ht="14.5" x14ac:dyDescent="0.25">
      <c r="D263" s="18"/>
      <c r="E263" s="5"/>
      <c r="BN263" s="6"/>
      <c r="BQ263" s="6"/>
    </row>
    <row r="264" spans="4:69" ht="14.5" x14ac:dyDescent="0.25">
      <c r="D264" s="18"/>
      <c r="E264" s="5"/>
      <c r="BN264" s="6"/>
      <c r="BQ264" s="6"/>
    </row>
    <row r="265" spans="4:69" ht="14.5" x14ac:dyDescent="0.25">
      <c r="D265" s="18"/>
      <c r="E265" s="5"/>
      <c r="BN265" s="6"/>
      <c r="BQ265" s="6"/>
    </row>
    <row r="266" spans="4:69" ht="14.5" x14ac:dyDescent="0.25">
      <c r="D266" s="18"/>
      <c r="E266" s="5"/>
      <c r="BN266" s="6"/>
      <c r="BQ266" s="6"/>
    </row>
    <row r="267" spans="4:69" ht="14.5" x14ac:dyDescent="0.25">
      <c r="D267" s="18"/>
      <c r="E267" s="5"/>
      <c r="BN267" s="6"/>
      <c r="BQ267" s="6"/>
    </row>
    <row r="268" spans="4:69" ht="14.5" x14ac:dyDescent="0.25">
      <c r="D268" s="18"/>
      <c r="E268" s="5"/>
      <c r="BN268" s="6"/>
      <c r="BQ268" s="6"/>
    </row>
    <row r="269" spans="4:69" ht="14.5" x14ac:dyDescent="0.25">
      <c r="D269" s="18"/>
      <c r="E269" s="5"/>
      <c r="BN269" s="6"/>
      <c r="BQ269" s="6"/>
    </row>
    <row r="270" spans="4:69" ht="14.5" x14ac:dyDescent="0.25">
      <c r="D270" s="18"/>
      <c r="E270" s="5"/>
      <c r="BN270" s="6"/>
      <c r="BQ270" s="6"/>
    </row>
    <row r="271" spans="4:69" ht="14.5" x14ac:dyDescent="0.25">
      <c r="D271" s="18"/>
      <c r="E271" s="5"/>
      <c r="BN271" s="6"/>
      <c r="BQ271" s="6"/>
    </row>
    <row r="272" spans="4:69" ht="14.5" x14ac:dyDescent="0.25">
      <c r="D272" s="18"/>
      <c r="E272" s="5"/>
      <c r="BN272" s="6"/>
      <c r="BQ272" s="6"/>
    </row>
    <row r="273" spans="4:69" ht="14.5" x14ac:dyDescent="0.25">
      <c r="D273" s="18"/>
      <c r="E273" s="5"/>
      <c r="BN273" s="6"/>
      <c r="BQ273" s="6"/>
    </row>
    <row r="274" spans="4:69" ht="14.5" x14ac:dyDescent="0.25">
      <c r="D274" s="18"/>
      <c r="E274" s="5"/>
      <c r="BN274" s="6"/>
      <c r="BQ274" s="6"/>
    </row>
    <row r="275" spans="4:69" ht="14.5" x14ac:dyDescent="0.25">
      <c r="D275" s="18"/>
      <c r="E275" s="5"/>
      <c r="BN275" s="6"/>
      <c r="BQ275" s="6"/>
    </row>
    <row r="276" spans="4:69" ht="14.5" x14ac:dyDescent="0.25">
      <c r="D276" s="18"/>
      <c r="E276" s="5"/>
      <c r="BN276" s="6"/>
      <c r="BQ276" s="6"/>
    </row>
    <row r="277" spans="4:69" ht="14.5" x14ac:dyDescent="0.25">
      <c r="D277" s="18"/>
      <c r="E277" s="5"/>
      <c r="BN277" s="6"/>
      <c r="BQ277" s="6"/>
    </row>
    <row r="278" spans="4:69" ht="14.5" x14ac:dyDescent="0.25">
      <c r="D278" s="18"/>
      <c r="E278" s="5"/>
      <c r="BQ278" s="6"/>
    </row>
    <row r="279" spans="4:69" ht="14.5" x14ac:dyDescent="0.25">
      <c r="D279" s="18"/>
      <c r="E279" s="5"/>
      <c r="BN279" s="6"/>
      <c r="BQ279" s="6"/>
    </row>
    <row r="280" spans="4:69" ht="14.5" x14ac:dyDescent="0.25">
      <c r="D280" s="18"/>
      <c r="E280" s="5"/>
      <c r="BN280" s="6"/>
      <c r="BQ280" s="6"/>
    </row>
    <row r="281" spans="4:69" ht="14.5" x14ac:dyDescent="0.25">
      <c r="D281" s="18"/>
      <c r="E281" s="5"/>
      <c r="BN281" s="6"/>
      <c r="BQ281" s="6"/>
    </row>
    <row r="282" spans="4:69" ht="14.5" x14ac:dyDescent="0.25">
      <c r="D282" s="18"/>
      <c r="E282" s="5"/>
      <c r="BN282" s="6"/>
      <c r="BQ282" s="6"/>
    </row>
    <row r="283" spans="4:69" ht="14.5" x14ac:dyDescent="0.25">
      <c r="D283" s="18"/>
      <c r="E283" s="5"/>
      <c r="BN283" s="6"/>
      <c r="BQ283" s="6"/>
    </row>
    <row r="284" spans="4:69" ht="14.5" x14ac:dyDescent="0.25">
      <c r="D284" s="18"/>
      <c r="E284" s="5"/>
      <c r="BN284" s="6"/>
      <c r="BQ284" s="6"/>
    </row>
    <row r="285" spans="4:69" ht="14.5" x14ac:dyDescent="0.25">
      <c r="D285" s="18"/>
      <c r="E285" s="5"/>
      <c r="BN285" s="6"/>
      <c r="BQ285" s="6"/>
    </row>
    <row r="286" spans="4:69" ht="14.5" x14ac:dyDescent="0.25">
      <c r="D286" s="18"/>
      <c r="E286" s="5"/>
      <c r="BN286" s="6"/>
      <c r="BQ286" s="6"/>
    </row>
    <row r="287" spans="4:69" ht="14.5" x14ac:dyDescent="0.25">
      <c r="D287" s="18"/>
      <c r="E287" s="5"/>
      <c r="BN287" s="6"/>
      <c r="BQ287" s="6"/>
    </row>
    <row r="288" spans="4:69" ht="14.5" x14ac:dyDescent="0.25">
      <c r="D288" s="18"/>
      <c r="E288" s="5"/>
      <c r="BN288" s="6"/>
      <c r="BQ288" s="6"/>
    </row>
    <row r="289" spans="4:69" ht="14.5" x14ac:dyDescent="0.25">
      <c r="D289" s="18"/>
      <c r="E289" s="5"/>
      <c r="BN289" s="6"/>
      <c r="BQ289" s="6"/>
    </row>
    <row r="290" spans="4:69" ht="14.5" x14ac:dyDescent="0.25">
      <c r="D290" s="18"/>
      <c r="E290" s="5"/>
      <c r="BN290" s="6"/>
      <c r="BQ290" s="6"/>
    </row>
    <row r="291" spans="4:69" ht="14.5" x14ac:dyDescent="0.25">
      <c r="D291" s="18"/>
      <c r="E291" s="5"/>
      <c r="BN291" s="6"/>
      <c r="BQ291" s="6"/>
    </row>
    <row r="292" spans="4:69" ht="14.5" x14ac:dyDescent="0.25">
      <c r="D292" s="18"/>
      <c r="E292" s="5"/>
      <c r="BN292" s="6"/>
      <c r="BQ292" s="6"/>
    </row>
    <row r="293" spans="4:69" ht="14.5" x14ac:dyDescent="0.25">
      <c r="D293" s="18"/>
      <c r="E293" s="5"/>
      <c r="BN293" s="6"/>
      <c r="BQ293" s="6"/>
    </row>
    <row r="294" spans="4:69" ht="14.5" x14ac:dyDescent="0.25">
      <c r="D294" s="18"/>
      <c r="E294" s="5"/>
      <c r="BN294" s="6"/>
      <c r="BQ294" s="6"/>
    </row>
    <row r="295" spans="4:69" ht="14.5" x14ac:dyDescent="0.25">
      <c r="D295" s="18"/>
      <c r="E295" s="5"/>
      <c r="BN295" s="6"/>
      <c r="BQ295" s="6"/>
    </row>
    <row r="296" spans="4:69" ht="14.5" x14ac:dyDescent="0.25">
      <c r="D296" s="18"/>
      <c r="E296" s="5"/>
      <c r="BN296" s="6"/>
      <c r="BQ296" s="6"/>
    </row>
    <row r="297" spans="4:69" ht="14.5" x14ac:dyDescent="0.25">
      <c r="D297" s="18"/>
      <c r="E297" s="5"/>
      <c r="BN297" s="6"/>
      <c r="BQ297" s="6"/>
    </row>
    <row r="298" spans="4:69" ht="14.5" x14ac:dyDescent="0.25">
      <c r="D298" s="18"/>
      <c r="E298" s="5"/>
      <c r="BN298" s="6"/>
      <c r="BQ298" s="6"/>
    </row>
    <row r="299" spans="4:69" ht="14.5" x14ac:dyDescent="0.25">
      <c r="D299" s="18"/>
      <c r="E299" s="5"/>
      <c r="BN299" s="6"/>
      <c r="BQ299" s="6"/>
    </row>
    <row r="300" spans="4:69" ht="14.5" x14ac:dyDescent="0.25">
      <c r="D300" s="18"/>
      <c r="E300" s="5"/>
      <c r="BN300" s="6"/>
      <c r="BQ300" s="6"/>
    </row>
    <row r="301" spans="4:69" ht="14.5" x14ac:dyDescent="0.25">
      <c r="D301" s="18"/>
      <c r="E301" s="5"/>
      <c r="BN301" s="6"/>
      <c r="BQ301" s="6"/>
    </row>
    <row r="302" spans="4:69" ht="14.5" x14ac:dyDescent="0.25">
      <c r="D302" s="18"/>
      <c r="E302" s="5"/>
      <c r="BN302" s="6"/>
      <c r="BQ302" s="6"/>
    </row>
    <row r="303" spans="4:69" ht="14.5" x14ac:dyDescent="0.25">
      <c r="D303" s="18"/>
      <c r="E303" s="5"/>
      <c r="BN303" s="6"/>
      <c r="BQ303" s="6"/>
    </row>
    <row r="304" spans="4:69" ht="14.5" x14ac:dyDescent="0.25">
      <c r="D304" s="18"/>
      <c r="E304" s="5"/>
      <c r="BN304" s="6"/>
      <c r="BQ304" s="6"/>
    </row>
    <row r="305" spans="4:69" ht="14.5" x14ac:dyDescent="0.25">
      <c r="D305" s="18"/>
      <c r="E305" s="5"/>
      <c r="BN305" s="6"/>
      <c r="BQ305" s="6"/>
    </row>
    <row r="306" spans="4:69" ht="14.5" x14ac:dyDescent="0.25">
      <c r="D306" s="18"/>
      <c r="E306" s="5"/>
      <c r="BN306" s="6"/>
      <c r="BQ306" s="6"/>
    </row>
    <row r="307" spans="4:69" ht="14.5" x14ac:dyDescent="0.25">
      <c r="D307" s="18"/>
      <c r="E307" s="5"/>
      <c r="BN307" s="6"/>
      <c r="BQ307" s="6"/>
    </row>
    <row r="308" spans="4:69" ht="14.5" x14ac:dyDescent="0.25">
      <c r="D308" s="18"/>
      <c r="E308" s="5"/>
      <c r="BN308" s="6"/>
      <c r="BQ308" s="6"/>
    </row>
    <row r="309" spans="4:69" ht="14.5" x14ac:dyDescent="0.25">
      <c r="D309" s="18"/>
      <c r="E309" s="5"/>
      <c r="BN309" s="6"/>
      <c r="BQ309" s="6"/>
    </row>
    <row r="310" spans="4:69" ht="14.5" x14ac:dyDescent="0.25">
      <c r="D310" s="18"/>
      <c r="E310" s="5"/>
      <c r="BN310" s="6"/>
      <c r="BQ310" s="6"/>
    </row>
    <row r="311" spans="4:69" ht="14.5" x14ac:dyDescent="0.25">
      <c r="D311" s="18"/>
      <c r="E311" s="5"/>
      <c r="BN311" s="6"/>
      <c r="BQ311" s="6"/>
    </row>
    <row r="312" spans="4:69" ht="14.5" x14ac:dyDescent="0.25">
      <c r="D312" s="18"/>
      <c r="E312" s="5"/>
      <c r="BN312" s="6"/>
      <c r="BQ312" s="6"/>
    </row>
    <row r="313" spans="4:69" ht="14.5" x14ac:dyDescent="0.25">
      <c r="D313" s="18"/>
      <c r="E313" s="5"/>
      <c r="BN313" s="6"/>
      <c r="BQ313" s="6"/>
    </row>
    <row r="314" spans="4:69" ht="14.5" x14ac:dyDescent="0.25">
      <c r="D314" s="18"/>
      <c r="E314" s="5"/>
      <c r="BN314" s="6"/>
      <c r="BQ314" s="6"/>
    </row>
    <row r="315" spans="4:69" ht="14.5" x14ac:dyDescent="0.25">
      <c r="D315" s="18"/>
      <c r="E315" s="5"/>
      <c r="BN315" s="6"/>
      <c r="BQ315" s="6"/>
    </row>
    <row r="316" spans="4:69" ht="14.5" x14ac:dyDescent="0.25">
      <c r="D316" s="18"/>
      <c r="E316" s="5"/>
      <c r="BN316" s="6"/>
      <c r="BQ316" s="6"/>
    </row>
    <row r="317" spans="4:69" ht="14.5" x14ac:dyDescent="0.25">
      <c r="D317" s="18"/>
      <c r="E317" s="5"/>
      <c r="BN317" s="6"/>
      <c r="BQ317" s="6"/>
    </row>
    <row r="318" spans="4:69" ht="14.5" x14ac:dyDescent="0.25">
      <c r="D318" s="18"/>
      <c r="E318" s="5"/>
      <c r="BN318" s="6"/>
      <c r="BQ318" s="6"/>
    </row>
    <row r="319" spans="4:69" ht="14.5" x14ac:dyDescent="0.25">
      <c r="D319" s="18"/>
      <c r="E319" s="5"/>
      <c r="BN319" s="6"/>
      <c r="BQ319" s="6"/>
    </row>
    <row r="320" spans="4:69" ht="14.5" x14ac:dyDescent="0.25">
      <c r="D320" s="18"/>
      <c r="E320" s="5"/>
      <c r="BN320" s="6"/>
      <c r="BQ320" s="6"/>
    </row>
    <row r="321" spans="4:69" ht="14.5" x14ac:dyDescent="0.25">
      <c r="D321" s="18"/>
      <c r="E321" s="5"/>
      <c r="BN321" s="6"/>
      <c r="BQ321" s="6"/>
    </row>
    <row r="322" spans="4:69" ht="14.5" x14ac:dyDescent="0.25">
      <c r="D322" s="18"/>
      <c r="E322" s="5"/>
      <c r="BN322" s="6"/>
      <c r="BQ322" s="6"/>
    </row>
    <row r="323" spans="4:69" ht="14.5" x14ac:dyDescent="0.25">
      <c r="D323" s="18"/>
      <c r="E323" s="5"/>
      <c r="BN323" s="6"/>
      <c r="BQ323" s="6"/>
    </row>
    <row r="324" spans="4:69" ht="14.5" x14ac:dyDescent="0.25">
      <c r="D324" s="18"/>
      <c r="E324" s="5"/>
      <c r="BN324" s="6"/>
      <c r="BQ324" s="6"/>
    </row>
    <row r="325" spans="4:69" ht="14.5" x14ac:dyDescent="0.25">
      <c r="D325" s="18"/>
      <c r="E325" s="5"/>
      <c r="BN325" s="6"/>
      <c r="BQ325" s="6"/>
    </row>
    <row r="326" spans="4:69" ht="14.5" x14ac:dyDescent="0.25">
      <c r="D326" s="18"/>
      <c r="E326" s="5"/>
      <c r="BN326" s="6"/>
      <c r="BQ326" s="6"/>
    </row>
    <row r="327" spans="4:69" ht="14.5" x14ac:dyDescent="0.25">
      <c r="D327" s="18"/>
      <c r="E327" s="5"/>
      <c r="BN327" s="6"/>
      <c r="BQ327" s="6"/>
    </row>
    <row r="328" spans="4:69" ht="14.5" x14ac:dyDescent="0.25">
      <c r="D328" s="18"/>
      <c r="E328" s="5"/>
      <c r="BN328" s="6"/>
      <c r="BQ328" s="6"/>
    </row>
    <row r="329" spans="4:69" ht="14.5" x14ac:dyDescent="0.25">
      <c r="D329" s="18"/>
      <c r="E329" s="5"/>
      <c r="BN329" s="6"/>
      <c r="BQ329" s="6"/>
    </row>
    <row r="330" spans="4:69" ht="14.5" x14ac:dyDescent="0.25">
      <c r="D330" s="18"/>
      <c r="E330" s="5"/>
      <c r="BN330" s="6"/>
      <c r="BQ330" s="6"/>
    </row>
    <row r="331" spans="4:69" ht="14.5" x14ac:dyDescent="0.25">
      <c r="D331" s="18"/>
      <c r="E331" s="5"/>
      <c r="BN331" s="6"/>
      <c r="BQ331" s="6"/>
    </row>
    <row r="332" spans="4:69" ht="14.5" x14ac:dyDescent="0.25">
      <c r="D332" s="18"/>
      <c r="E332" s="5"/>
      <c r="BN332" s="6"/>
      <c r="BQ332" s="6"/>
    </row>
    <row r="333" spans="4:69" ht="14.5" x14ac:dyDescent="0.25">
      <c r="D333" s="18"/>
      <c r="E333" s="5"/>
      <c r="BN333" s="6"/>
      <c r="BQ333" s="6"/>
    </row>
    <row r="334" spans="4:69" ht="14.5" x14ac:dyDescent="0.25">
      <c r="D334" s="18"/>
      <c r="E334" s="5"/>
      <c r="BQ334" s="6"/>
    </row>
    <row r="335" spans="4:69" ht="14.5" x14ac:dyDescent="0.25">
      <c r="D335" s="18"/>
      <c r="E335" s="5"/>
      <c r="BQ335" s="6"/>
    </row>
    <row r="336" spans="4:69" ht="14.5" x14ac:dyDescent="0.25">
      <c r="D336" s="18"/>
      <c r="E336" s="5"/>
      <c r="BQ336" s="6"/>
    </row>
    <row r="337" spans="4:69" ht="14.5" x14ac:dyDescent="0.25">
      <c r="D337" s="18"/>
      <c r="E337" s="5"/>
      <c r="BN337" s="6"/>
      <c r="BQ337" s="6"/>
    </row>
    <row r="338" spans="4:69" ht="14.5" x14ac:dyDescent="0.25">
      <c r="D338" s="18"/>
      <c r="E338" s="5"/>
      <c r="BN338" s="6"/>
      <c r="BQ338" s="6"/>
    </row>
    <row r="339" spans="4:69" ht="14.5" x14ac:dyDescent="0.25">
      <c r="D339" s="18"/>
      <c r="E339" s="5"/>
      <c r="BN339" s="6"/>
      <c r="BQ339" s="6"/>
    </row>
    <row r="340" spans="4:69" ht="14.5" x14ac:dyDescent="0.25">
      <c r="D340" s="18"/>
      <c r="E340" s="5"/>
      <c r="BN340" s="6"/>
      <c r="BQ340" s="6"/>
    </row>
    <row r="341" spans="4:69" ht="14.5" x14ac:dyDescent="0.25">
      <c r="D341" s="18"/>
      <c r="E341" s="5"/>
      <c r="BN341" s="6"/>
      <c r="BQ341" s="6"/>
    </row>
    <row r="342" spans="4:69" ht="14.5" x14ac:dyDescent="0.25">
      <c r="D342" s="18"/>
      <c r="E342" s="5"/>
      <c r="BN342" s="6"/>
      <c r="BQ342" s="6"/>
    </row>
    <row r="343" spans="4:69" ht="14.5" x14ac:dyDescent="0.25">
      <c r="D343" s="18"/>
      <c r="E343" s="5"/>
      <c r="BN343" s="6"/>
      <c r="BQ343" s="6"/>
    </row>
    <row r="344" spans="4:69" ht="14.5" x14ac:dyDescent="0.25">
      <c r="D344" s="18"/>
      <c r="E344" s="5"/>
      <c r="BN344" s="6"/>
      <c r="BQ344" s="6"/>
    </row>
    <row r="345" spans="4:69" ht="14.5" x14ac:dyDescent="0.25">
      <c r="D345" s="18"/>
      <c r="E345" s="5"/>
      <c r="BN345" s="6"/>
      <c r="BQ345" s="6"/>
    </row>
    <row r="346" spans="4:69" ht="14.5" x14ac:dyDescent="0.25">
      <c r="D346" s="18"/>
      <c r="E346" s="5"/>
      <c r="BN346" s="6"/>
      <c r="BQ346" s="6"/>
    </row>
    <row r="347" spans="4:69" ht="14.5" x14ac:dyDescent="0.25">
      <c r="D347" s="18"/>
      <c r="E347" s="5"/>
      <c r="BN347" s="6"/>
      <c r="BQ347" s="6"/>
    </row>
    <row r="348" spans="4:69" ht="14.5" x14ac:dyDescent="0.25">
      <c r="D348" s="18"/>
      <c r="E348" s="5"/>
      <c r="BN348" s="6"/>
      <c r="BQ348" s="6"/>
    </row>
    <row r="349" spans="4:69" ht="14.5" x14ac:dyDescent="0.25">
      <c r="D349" s="18"/>
      <c r="E349" s="5"/>
      <c r="BN349" s="6"/>
      <c r="BQ349" s="6"/>
    </row>
    <row r="350" spans="4:69" ht="14.5" x14ac:dyDescent="0.25">
      <c r="D350" s="18"/>
      <c r="E350" s="5"/>
      <c r="BN350" s="6"/>
      <c r="BQ350" s="6"/>
    </row>
    <row r="351" spans="4:69" ht="14.5" x14ac:dyDescent="0.25">
      <c r="D351" s="18"/>
      <c r="E351" s="5"/>
      <c r="BN351" s="6"/>
      <c r="BQ351" s="6"/>
    </row>
    <row r="352" spans="4:69" ht="14.5" x14ac:dyDescent="0.25">
      <c r="D352" s="18"/>
      <c r="E352" s="5"/>
      <c r="BN352" s="6"/>
      <c r="BQ352" s="6"/>
    </row>
    <row r="353" spans="4:69" ht="14.5" x14ac:dyDescent="0.25">
      <c r="D353" s="18"/>
      <c r="E353" s="5"/>
      <c r="BN353" s="6"/>
      <c r="BQ353" s="6"/>
    </row>
    <row r="354" spans="4:69" ht="14.5" x14ac:dyDescent="0.25">
      <c r="D354" s="18"/>
      <c r="E354" s="5"/>
      <c r="BN354" s="6"/>
      <c r="BQ354" s="6"/>
    </row>
    <row r="355" spans="4:69" ht="14.5" x14ac:dyDescent="0.25">
      <c r="D355" s="18"/>
      <c r="E355" s="5"/>
      <c r="BN355" s="6"/>
      <c r="BQ355" s="6"/>
    </row>
    <row r="356" spans="4:69" ht="14.5" x14ac:dyDescent="0.25">
      <c r="D356" s="18"/>
      <c r="E356" s="5"/>
      <c r="BN356" s="6"/>
      <c r="BQ356" s="6"/>
    </row>
    <row r="357" spans="4:69" ht="14.5" x14ac:dyDescent="0.25">
      <c r="D357" s="18"/>
      <c r="E357" s="5"/>
      <c r="BN357" s="6"/>
      <c r="BQ357" s="6"/>
    </row>
    <row r="358" spans="4:69" ht="14.5" x14ac:dyDescent="0.25">
      <c r="D358" s="18"/>
      <c r="E358" s="5"/>
      <c r="BN358" s="6"/>
      <c r="BQ358" s="6"/>
    </row>
    <row r="359" spans="4:69" ht="14.5" x14ac:dyDescent="0.25">
      <c r="D359" s="18"/>
      <c r="E359" s="5"/>
      <c r="BN359" s="6"/>
      <c r="BQ359" s="6"/>
    </row>
    <row r="360" spans="4:69" ht="14.5" x14ac:dyDescent="0.25">
      <c r="D360" s="18"/>
      <c r="E360" s="5"/>
      <c r="BN360" s="6"/>
      <c r="BQ360" s="6"/>
    </row>
    <row r="361" spans="4:69" ht="14.5" x14ac:dyDescent="0.25">
      <c r="D361" s="18"/>
      <c r="E361" s="5"/>
      <c r="BN361" s="6"/>
      <c r="BQ361" s="6"/>
    </row>
    <row r="362" spans="4:69" ht="14.5" x14ac:dyDescent="0.25">
      <c r="D362" s="18"/>
      <c r="E362" s="5"/>
      <c r="BN362" s="6"/>
      <c r="BQ362" s="6"/>
    </row>
    <row r="363" spans="4:69" ht="14.5" x14ac:dyDescent="0.25">
      <c r="D363" s="18"/>
      <c r="E363" s="5"/>
      <c r="BN363" s="6"/>
      <c r="BQ363" s="6"/>
    </row>
    <row r="364" spans="4:69" ht="14.5" x14ac:dyDescent="0.25">
      <c r="D364" s="18"/>
      <c r="E364" s="5"/>
      <c r="BN364" s="6"/>
      <c r="BQ364" s="6"/>
    </row>
    <row r="365" spans="4:69" ht="14.5" x14ac:dyDescent="0.25">
      <c r="D365" s="18"/>
      <c r="E365" s="5"/>
      <c r="BN365" s="6"/>
      <c r="BQ365" s="6"/>
    </row>
    <row r="366" spans="4:69" ht="14.5" x14ac:dyDescent="0.25">
      <c r="D366" s="18"/>
      <c r="E366" s="5"/>
      <c r="BN366" s="6"/>
      <c r="BQ366" s="6"/>
    </row>
    <row r="367" spans="4:69" ht="14.5" x14ac:dyDescent="0.25">
      <c r="D367" s="18"/>
      <c r="E367" s="5"/>
      <c r="BN367" s="6"/>
      <c r="BQ367" s="6"/>
    </row>
    <row r="368" spans="4:69" ht="14.5" x14ac:dyDescent="0.25">
      <c r="D368" s="18"/>
      <c r="E368" s="5"/>
      <c r="BN368" s="6"/>
      <c r="BQ368" s="6"/>
    </row>
    <row r="369" spans="4:69" ht="14.5" x14ac:dyDescent="0.25">
      <c r="D369" s="18"/>
      <c r="E369" s="5"/>
      <c r="BN369" s="6"/>
      <c r="BQ369" s="6"/>
    </row>
    <row r="370" spans="4:69" ht="14.5" x14ac:dyDescent="0.25">
      <c r="D370" s="18"/>
      <c r="E370" s="5"/>
      <c r="BN370" s="6"/>
      <c r="BQ370" s="6"/>
    </row>
    <row r="371" spans="4:69" ht="14.5" x14ac:dyDescent="0.25">
      <c r="D371" s="18"/>
      <c r="E371" s="5"/>
      <c r="BQ371" s="6"/>
    </row>
    <row r="372" spans="4:69" ht="14.5" x14ac:dyDescent="0.25">
      <c r="D372" s="18"/>
      <c r="E372" s="5"/>
      <c r="BQ372" s="6"/>
    </row>
    <row r="373" spans="4:69" ht="14.5" x14ac:dyDescent="0.25">
      <c r="D373" s="18"/>
      <c r="E373" s="5"/>
      <c r="BN373" s="6"/>
      <c r="BQ373" s="6"/>
    </row>
    <row r="374" spans="4:69" ht="14.5" x14ac:dyDescent="0.25">
      <c r="D374" s="18"/>
      <c r="E374" s="5"/>
      <c r="BN374" s="6"/>
      <c r="BQ374" s="6"/>
    </row>
    <row r="375" spans="4:69" ht="14.5" x14ac:dyDescent="0.25">
      <c r="D375" s="18"/>
      <c r="E375" s="5"/>
      <c r="BN375" s="6"/>
      <c r="BQ375" s="6"/>
    </row>
    <row r="376" spans="4:69" ht="14.5" x14ac:dyDescent="0.25">
      <c r="D376" s="18"/>
      <c r="E376" s="5"/>
      <c r="BN376" s="6"/>
      <c r="BQ376" s="6"/>
    </row>
    <row r="377" spans="4:69" ht="14.5" x14ac:dyDescent="0.25">
      <c r="D377" s="18"/>
      <c r="E377" s="5"/>
      <c r="BN377" s="6"/>
      <c r="BQ377" s="6"/>
    </row>
    <row r="378" spans="4:69" ht="14.5" x14ac:dyDescent="0.25">
      <c r="D378" s="18"/>
      <c r="E378" s="5"/>
      <c r="BN378" s="6"/>
      <c r="BQ378" s="6"/>
    </row>
    <row r="379" spans="4:69" ht="14.5" x14ac:dyDescent="0.25">
      <c r="D379" s="18"/>
      <c r="E379" s="5"/>
      <c r="BN379" s="6"/>
      <c r="BQ379" s="6"/>
    </row>
    <row r="380" spans="4:69" ht="14.5" x14ac:dyDescent="0.25">
      <c r="D380" s="18"/>
      <c r="E380" s="5"/>
      <c r="BN380" s="6"/>
      <c r="BQ380" s="6"/>
    </row>
    <row r="381" spans="4:69" ht="14.5" x14ac:dyDescent="0.25">
      <c r="D381" s="18"/>
      <c r="E381" s="5"/>
      <c r="BN381" s="6"/>
      <c r="BQ381" s="6"/>
    </row>
    <row r="382" spans="4:69" ht="14.5" x14ac:dyDescent="0.25">
      <c r="D382" s="18"/>
      <c r="E382" s="5"/>
      <c r="BN382" s="6"/>
      <c r="BQ382" s="6"/>
    </row>
    <row r="383" spans="4:69" ht="14.5" x14ac:dyDescent="0.25">
      <c r="D383" s="18"/>
      <c r="E383" s="5"/>
      <c r="BN383" s="6"/>
      <c r="BQ383" s="6"/>
    </row>
    <row r="384" spans="4:69" ht="14.5" x14ac:dyDescent="0.25">
      <c r="D384" s="18"/>
      <c r="E384" s="5"/>
      <c r="BN384" s="6"/>
      <c r="BQ384" s="6"/>
    </row>
    <row r="385" spans="4:69" ht="14.5" x14ac:dyDescent="0.25">
      <c r="D385" s="18"/>
      <c r="E385" s="5"/>
      <c r="BN385" s="6"/>
      <c r="BQ385" s="6"/>
    </row>
    <row r="386" spans="4:69" ht="14.5" x14ac:dyDescent="0.25">
      <c r="D386" s="18"/>
      <c r="E386" s="5"/>
      <c r="BN386" s="6"/>
      <c r="BQ386" s="6"/>
    </row>
    <row r="387" spans="4:69" ht="14.5" x14ac:dyDescent="0.25">
      <c r="D387" s="18"/>
      <c r="E387" s="5"/>
      <c r="BN387" s="6"/>
      <c r="BQ387" s="6"/>
    </row>
    <row r="388" spans="4:69" ht="14.5" x14ac:dyDescent="0.25">
      <c r="D388" s="18"/>
      <c r="E388" s="5"/>
      <c r="BN388" s="6"/>
      <c r="BQ388" s="6"/>
    </row>
    <row r="389" spans="4:69" ht="14.5" x14ac:dyDescent="0.25">
      <c r="D389" s="18"/>
      <c r="E389" s="5"/>
      <c r="BN389" s="6"/>
      <c r="BQ389" s="6"/>
    </row>
    <row r="390" spans="4:69" ht="14.5" x14ac:dyDescent="0.25">
      <c r="D390" s="18"/>
      <c r="E390" s="5"/>
      <c r="BN390" s="6"/>
      <c r="BQ390" s="6"/>
    </row>
    <row r="391" spans="4:69" ht="14.5" x14ac:dyDescent="0.25">
      <c r="D391" s="18"/>
      <c r="E391" s="5"/>
      <c r="BN391" s="6"/>
      <c r="BQ391" s="6"/>
    </row>
    <row r="392" spans="4:69" ht="14.5" x14ac:dyDescent="0.25">
      <c r="D392" s="18"/>
      <c r="E392" s="5"/>
      <c r="BN392" s="6"/>
      <c r="BQ392" s="6"/>
    </row>
    <row r="393" spans="4:69" ht="14.5" x14ac:dyDescent="0.25">
      <c r="D393" s="18"/>
      <c r="E393" s="5"/>
      <c r="BN393" s="6"/>
      <c r="BQ393" s="6"/>
    </row>
    <row r="394" spans="4:69" ht="14.5" x14ac:dyDescent="0.25">
      <c r="D394" s="18"/>
      <c r="E394" s="5"/>
      <c r="BN394" s="6"/>
      <c r="BQ394" s="6"/>
    </row>
    <row r="395" spans="4:69" ht="14.5" x14ac:dyDescent="0.25">
      <c r="D395" s="18"/>
      <c r="E395" s="5"/>
      <c r="BN395" s="6"/>
      <c r="BQ395" s="6"/>
    </row>
    <row r="396" spans="4:69" ht="14.5" x14ac:dyDescent="0.25">
      <c r="D396" s="18"/>
      <c r="E396" s="5"/>
      <c r="BQ396" s="6"/>
    </row>
    <row r="397" spans="4:69" ht="14.5" x14ac:dyDescent="0.25">
      <c r="D397" s="18"/>
      <c r="E397" s="5"/>
      <c r="BQ397" s="6"/>
    </row>
    <row r="398" spans="4:69" ht="14.5" x14ac:dyDescent="0.25">
      <c r="D398" s="18"/>
      <c r="E398" s="5"/>
      <c r="BN398" s="6"/>
      <c r="BQ398" s="6"/>
    </row>
    <row r="399" spans="4:69" ht="14.5" x14ac:dyDescent="0.25">
      <c r="D399" s="18"/>
      <c r="E399" s="5"/>
      <c r="BN399" s="6"/>
      <c r="BQ399" s="6"/>
    </row>
    <row r="400" spans="4:69" ht="14.5" x14ac:dyDescent="0.25">
      <c r="D400" s="18"/>
      <c r="E400" s="5"/>
      <c r="BQ400" s="6"/>
    </row>
    <row r="401" spans="4:69" ht="14.5" x14ac:dyDescent="0.25">
      <c r="D401" s="18"/>
      <c r="E401" s="5"/>
      <c r="BQ401" s="6"/>
    </row>
    <row r="402" spans="4:69" ht="14.5" x14ac:dyDescent="0.25">
      <c r="D402" s="18"/>
      <c r="E402" s="5"/>
      <c r="BN402" s="6"/>
      <c r="BQ402" s="6"/>
    </row>
    <row r="403" spans="4:69" ht="14.5" x14ac:dyDescent="0.25">
      <c r="D403" s="18"/>
      <c r="E403" s="5"/>
      <c r="BN403" s="6"/>
      <c r="BQ403" s="6"/>
    </row>
    <row r="404" spans="4:69" ht="14.5" x14ac:dyDescent="0.25">
      <c r="D404" s="18"/>
      <c r="E404" s="5"/>
      <c r="BN404" s="6"/>
      <c r="BQ404" s="6"/>
    </row>
    <row r="405" spans="4:69" ht="14.5" x14ac:dyDescent="0.25">
      <c r="D405" s="18"/>
      <c r="E405" s="5"/>
      <c r="BN405" s="6"/>
      <c r="BQ405" s="6"/>
    </row>
    <row r="406" spans="4:69" ht="14.5" x14ac:dyDescent="0.25">
      <c r="D406" s="18"/>
      <c r="E406" s="5"/>
      <c r="BN406" s="6"/>
      <c r="BQ406" s="6"/>
    </row>
    <row r="407" spans="4:69" ht="14.5" x14ac:dyDescent="0.25">
      <c r="D407" s="18"/>
      <c r="E407" s="5"/>
      <c r="BN407" s="6"/>
      <c r="BQ407" s="6"/>
    </row>
    <row r="408" spans="4:69" ht="14.5" x14ac:dyDescent="0.25">
      <c r="D408" s="18"/>
      <c r="E408" s="5"/>
      <c r="BN408" s="6"/>
      <c r="BQ408" s="6"/>
    </row>
    <row r="409" spans="4:69" ht="14.5" x14ac:dyDescent="0.25">
      <c r="D409" s="18"/>
      <c r="E409" s="5"/>
      <c r="BN409" s="6"/>
      <c r="BQ409" s="6"/>
    </row>
    <row r="410" spans="4:69" ht="14.5" x14ac:dyDescent="0.25">
      <c r="D410" s="18"/>
      <c r="E410" s="5"/>
      <c r="BN410" s="6"/>
      <c r="BQ410" s="6"/>
    </row>
    <row r="411" spans="4:69" ht="14.5" x14ac:dyDescent="0.25">
      <c r="D411" s="18"/>
      <c r="E411" s="5"/>
      <c r="BN411" s="6"/>
      <c r="BQ411" s="6"/>
    </row>
    <row r="412" spans="4:69" ht="14.5" x14ac:dyDescent="0.25">
      <c r="D412" s="18"/>
      <c r="E412" s="5"/>
      <c r="BN412" s="6"/>
      <c r="BQ412" s="6"/>
    </row>
    <row r="413" spans="4:69" ht="14.5" x14ac:dyDescent="0.25">
      <c r="D413" s="18"/>
      <c r="E413" s="5"/>
      <c r="BN413" s="6"/>
      <c r="BQ413" s="6"/>
    </row>
    <row r="414" spans="4:69" ht="14.5" x14ac:dyDescent="0.25">
      <c r="D414" s="18"/>
      <c r="E414" s="5"/>
      <c r="BN414" s="6"/>
      <c r="BQ414" s="6"/>
    </row>
    <row r="415" spans="4:69" ht="14.5" x14ac:dyDescent="0.25">
      <c r="D415" s="18"/>
      <c r="E415" s="5"/>
      <c r="BN415" s="6"/>
      <c r="BQ415" s="6"/>
    </row>
    <row r="416" spans="4:69" ht="14.5" x14ac:dyDescent="0.25">
      <c r="D416" s="18"/>
      <c r="E416" s="5"/>
      <c r="BN416" s="6"/>
      <c r="BQ416" s="6"/>
    </row>
    <row r="417" spans="4:69" ht="14.5" x14ac:dyDescent="0.25">
      <c r="D417" s="18"/>
      <c r="E417" s="5"/>
      <c r="BN417" s="6"/>
      <c r="BQ417" s="6"/>
    </row>
    <row r="418" spans="4:69" ht="14.5" x14ac:dyDescent="0.25">
      <c r="D418" s="18"/>
      <c r="E418" s="5"/>
      <c r="BN418" s="6"/>
      <c r="BQ418" s="6"/>
    </row>
    <row r="419" spans="4:69" ht="14.5" x14ac:dyDescent="0.25">
      <c r="D419" s="18"/>
      <c r="E419" s="5"/>
    </row>
    <row r="420" spans="4:69" ht="14.5" x14ac:dyDescent="0.25">
      <c r="D420" s="18"/>
      <c r="E420" s="5"/>
    </row>
    <row r="421" spans="4:69" ht="14.5" x14ac:dyDescent="0.25">
      <c r="D421" s="18"/>
      <c r="E421" s="5"/>
    </row>
    <row r="422" spans="4:69" ht="14.5" x14ac:dyDescent="0.25">
      <c r="D422" s="18"/>
      <c r="E422" s="5"/>
    </row>
    <row r="423" spans="4:69" ht="14.5" x14ac:dyDescent="0.25">
      <c r="D423" s="18"/>
      <c r="E423" s="5"/>
    </row>
    <row r="424" spans="4:69" ht="14.5" x14ac:dyDescent="0.25">
      <c r="D424" s="18"/>
      <c r="E424" s="5"/>
    </row>
    <row r="425" spans="4:69" ht="14.5" x14ac:dyDescent="0.25">
      <c r="D425" s="18"/>
      <c r="E425" s="5"/>
    </row>
    <row r="426" spans="4:69" ht="14.5" x14ac:dyDescent="0.25">
      <c r="D426" s="18"/>
      <c r="E426" s="5"/>
    </row>
    <row r="427" spans="4:69" ht="14.5" x14ac:dyDescent="0.25">
      <c r="D427" s="18"/>
      <c r="E427" s="5"/>
    </row>
    <row r="428" spans="4:69" ht="14.5" x14ac:dyDescent="0.25">
      <c r="D428" s="18"/>
      <c r="E428" s="5"/>
    </row>
    <row r="429" spans="4:69" ht="14.5" x14ac:dyDescent="0.25">
      <c r="D429" s="18"/>
      <c r="E429" s="5"/>
    </row>
    <row r="430" spans="4:69" ht="14.5" x14ac:dyDescent="0.25">
      <c r="D430" s="18"/>
      <c r="E430" s="5"/>
    </row>
    <row r="431" spans="4:69" ht="14.5" x14ac:dyDescent="0.25">
      <c r="D431" s="18"/>
      <c r="E431" s="5"/>
    </row>
    <row r="432" spans="4:69" ht="14.5" x14ac:dyDescent="0.25">
      <c r="D432" s="18"/>
      <c r="E432" s="5"/>
    </row>
    <row r="433" spans="4:5" ht="14.5" x14ac:dyDescent="0.25">
      <c r="D433" s="18"/>
      <c r="E433" s="5"/>
    </row>
    <row r="434" spans="4:5" ht="14.5" x14ac:dyDescent="0.25">
      <c r="D434" s="18"/>
      <c r="E434" s="5"/>
    </row>
    <row r="435" spans="4:5" ht="14.5" x14ac:dyDescent="0.25">
      <c r="D435" s="18"/>
      <c r="E435" s="5"/>
    </row>
    <row r="436" spans="4:5" ht="14.5" x14ac:dyDescent="0.25">
      <c r="D436" s="18"/>
      <c r="E436" s="5"/>
    </row>
    <row r="437" spans="4:5" ht="14.5" x14ac:dyDescent="0.25">
      <c r="D437" s="18"/>
      <c r="E437" s="5"/>
    </row>
    <row r="438" spans="4:5" ht="14.5" x14ac:dyDescent="0.25">
      <c r="D438" s="18"/>
      <c r="E438" s="5"/>
    </row>
    <row r="439" spans="4:5" ht="14.5" x14ac:dyDescent="0.25">
      <c r="D439" s="18"/>
      <c r="E439" s="5"/>
    </row>
    <row r="440" spans="4:5" ht="14.5" x14ac:dyDescent="0.25">
      <c r="D440" s="18"/>
      <c r="E440" s="5"/>
    </row>
    <row r="441" spans="4:5" ht="14.5" x14ac:dyDescent="0.25">
      <c r="D441" s="18"/>
      <c r="E441" s="5"/>
    </row>
    <row r="442" spans="4:5" ht="14.5" x14ac:dyDescent="0.25">
      <c r="D442" s="18"/>
      <c r="E442" s="5"/>
    </row>
    <row r="443" spans="4:5" ht="14.5" x14ac:dyDescent="0.25">
      <c r="D443" s="18"/>
      <c r="E443" s="5"/>
    </row>
    <row r="444" spans="4:5" ht="14.5" x14ac:dyDescent="0.25">
      <c r="D444" s="18"/>
      <c r="E444" s="5"/>
    </row>
    <row r="445" spans="4:5" ht="14.5" x14ac:dyDescent="0.25">
      <c r="D445" s="18"/>
      <c r="E445" s="5"/>
    </row>
    <row r="446" spans="4:5" ht="14.5" x14ac:dyDescent="0.25">
      <c r="D446" s="18"/>
      <c r="E446" s="5"/>
    </row>
    <row r="447" spans="4:5" ht="14.5" x14ac:dyDescent="0.25">
      <c r="D447" s="18"/>
      <c r="E447" s="5"/>
    </row>
    <row r="448" spans="4:5" ht="14.5" x14ac:dyDescent="0.25">
      <c r="D448" s="18"/>
      <c r="E448" s="5"/>
    </row>
    <row r="449" spans="4:5" ht="14.5" x14ac:dyDescent="0.25">
      <c r="D449" s="18"/>
      <c r="E449" s="5"/>
    </row>
    <row r="450" spans="4:5" ht="14.5" x14ac:dyDescent="0.25">
      <c r="D450" s="18"/>
      <c r="E450" s="5"/>
    </row>
    <row r="451" spans="4:5" ht="14.5" x14ac:dyDescent="0.25">
      <c r="D451" s="18"/>
      <c r="E451" s="5"/>
    </row>
    <row r="452" spans="4:5" ht="14.5" x14ac:dyDescent="0.25">
      <c r="D452" s="18"/>
      <c r="E452" s="5"/>
    </row>
    <row r="453" spans="4:5" ht="14.5" x14ac:dyDescent="0.25">
      <c r="D453" s="18"/>
      <c r="E453" s="5"/>
    </row>
    <row r="454" spans="4:5" ht="14.5" x14ac:dyDescent="0.25">
      <c r="D454" s="18"/>
      <c r="E454" s="5"/>
    </row>
    <row r="455" spans="4:5" ht="14.5" x14ac:dyDescent="0.25">
      <c r="D455" s="18"/>
      <c r="E455" s="5"/>
    </row>
    <row r="456" spans="4:5" ht="14.5" x14ac:dyDescent="0.25">
      <c r="D456" s="18"/>
      <c r="E456" s="5"/>
    </row>
    <row r="457" spans="4:5" ht="14.5" x14ac:dyDescent="0.25">
      <c r="D457" s="18"/>
      <c r="E457" s="5"/>
    </row>
    <row r="458" spans="4:5" ht="14.5" x14ac:dyDescent="0.25">
      <c r="D458" s="18"/>
      <c r="E458" s="5"/>
    </row>
    <row r="459" spans="4:5" ht="14.5" x14ac:dyDescent="0.25">
      <c r="D459" s="18"/>
      <c r="E459" s="5"/>
    </row>
    <row r="460" spans="4:5" ht="14.5" x14ac:dyDescent="0.25">
      <c r="D460" s="18"/>
      <c r="E460" s="5"/>
    </row>
    <row r="461" spans="4:5" ht="14.5" x14ac:dyDescent="0.25">
      <c r="D461" s="18"/>
      <c r="E461" s="5"/>
    </row>
    <row r="462" spans="4:5" ht="14.5" x14ac:dyDescent="0.25">
      <c r="D462" s="18"/>
      <c r="E462" s="5"/>
    </row>
    <row r="463" spans="4:5" ht="14.5" x14ac:dyDescent="0.25">
      <c r="D463" s="18"/>
      <c r="E463" s="5"/>
    </row>
    <row r="464" spans="4:5" ht="14.5" x14ac:dyDescent="0.25">
      <c r="D464" s="18"/>
      <c r="E464" s="5"/>
    </row>
    <row r="465" spans="4:5" ht="14.5" x14ac:dyDescent="0.25">
      <c r="D465" s="18"/>
      <c r="E465" s="5"/>
    </row>
    <row r="466" spans="4:5" ht="14.5" x14ac:dyDescent="0.25">
      <c r="D466" s="18"/>
      <c r="E466" s="5"/>
    </row>
    <row r="467" spans="4:5" ht="14.5" x14ac:dyDescent="0.25">
      <c r="D467" s="18"/>
      <c r="E467" s="5"/>
    </row>
    <row r="468" spans="4:5" ht="14.5" x14ac:dyDescent="0.25">
      <c r="D468" s="18"/>
      <c r="E468" s="5"/>
    </row>
    <row r="469" spans="4:5" ht="14.5" x14ac:dyDescent="0.25">
      <c r="D469" s="18"/>
      <c r="E469" s="5"/>
    </row>
    <row r="470" spans="4:5" ht="14.5" x14ac:dyDescent="0.25">
      <c r="D470" s="18"/>
      <c r="E470" s="5"/>
    </row>
    <row r="471" spans="4:5" ht="14.5" x14ac:dyDescent="0.25">
      <c r="D471" s="18"/>
      <c r="E471" s="5"/>
    </row>
    <row r="472" spans="4:5" ht="14.5" x14ac:dyDescent="0.25">
      <c r="D472" s="18"/>
      <c r="E472" s="5"/>
    </row>
    <row r="473" spans="4:5" ht="14.5" x14ac:dyDescent="0.25">
      <c r="D473" s="18"/>
      <c r="E473" s="5"/>
    </row>
    <row r="474" spans="4:5" ht="14.5" x14ac:dyDescent="0.25">
      <c r="D474" s="18"/>
      <c r="E474" s="5"/>
    </row>
    <row r="475" spans="4:5" ht="14.5" x14ac:dyDescent="0.25">
      <c r="D475" s="18"/>
      <c r="E475" s="5"/>
    </row>
    <row r="476" spans="4:5" ht="14.5" x14ac:dyDescent="0.25">
      <c r="D476" s="18"/>
      <c r="E476" s="5"/>
    </row>
    <row r="477" spans="4:5" ht="14.5" x14ac:dyDescent="0.25">
      <c r="D477" s="18"/>
      <c r="E477" s="5"/>
    </row>
    <row r="478" spans="4:5" ht="14.5" x14ac:dyDescent="0.25">
      <c r="D478" s="18"/>
      <c r="E478" s="5"/>
    </row>
    <row r="479" spans="4:5" ht="14.5" x14ac:dyDescent="0.25">
      <c r="D479" s="18"/>
      <c r="E479" s="5"/>
    </row>
    <row r="480" spans="4:5" ht="14.5" x14ac:dyDescent="0.25">
      <c r="D480" s="18"/>
      <c r="E480" s="5"/>
    </row>
    <row r="481" spans="4:5" ht="14.5" x14ac:dyDescent="0.25">
      <c r="D481" s="18"/>
      <c r="E481" s="5"/>
    </row>
    <row r="482" spans="4:5" ht="14.5" x14ac:dyDescent="0.25">
      <c r="D482" s="18"/>
      <c r="E482" s="5"/>
    </row>
    <row r="483" spans="4:5" ht="14.5" x14ac:dyDescent="0.25">
      <c r="D483" s="18"/>
      <c r="E483" s="5"/>
    </row>
    <row r="484" spans="4:5" ht="14.5" x14ac:dyDescent="0.25">
      <c r="D484" s="18"/>
      <c r="E484" s="5"/>
    </row>
    <row r="485" spans="4:5" ht="14.5" x14ac:dyDescent="0.25">
      <c r="D485" s="18"/>
      <c r="E485" s="5"/>
    </row>
    <row r="486" spans="4:5" ht="14.5" x14ac:dyDescent="0.25">
      <c r="D486" s="18"/>
      <c r="E486" s="5"/>
    </row>
    <row r="487" spans="4:5" ht="14.5" x14ac:dyDescent="0.25">
      <c r="D487" s="18"/>
      <c r="E487" s="5"/>
    </row>
    <row r="488" spans="4:5" ht="14.5" x14ac:dyDescent="0.25">
      <c r="D488" s="18"/>
      <c r="E488" s="5"/>
    </row>
    <row r="489" spans="4:5" ht="14.5" x14ac:dyDescent="0.25">
      <c r="D489" s="18"/>
      <c r="E489" s="5"/>
    </row>
    <row r="490" spans="4:5" ht="14.5" x14ac:dyDescent="0.25">
      <c r="D490" s="18"/>
      <c r="E490" s="5"/>
    </row>
    <row r="491" spans="4:5" ht="14.5" x14ac:dyDescent="0.25">
      <c r="D491" s="18"/>
      <c r="E491" s="5"/>
    </row>
    <row r="492" spans="4:5" ht="14.5" x14ac:dyDescent="0.25">
      <c r="D492" s="18"/>
      <c r="E492" s="5"/>
    </row>
    <row r="493" spans="4:5" ht="14.5" x14ac:dyDescent="0.25">
      <c r="D493" s="18"/>
      <c r="E493" s="5"/>
    </row>
    <row r="494" spans="4:5" ht="14.5" x14ac:dyDescent="0.25">
      <c r="D494" s="18"/>
      <c r="E494" s="5"/>
    </row>
    <row r="495" spans="4:5" ht="14.5" x14ac:dyDescent="0.25">
      <c r="D495" s="18"/>
      <c r="E495" s="5"/>
    </row>
    <row r="496" spans="4:5" ht="14.5" x14ac:dyDescent="0.25">
      <c r="D496" s="18"/>
      <c r="E496" s="5"/>
    </row>
    <row r="497" spans="4:5" ht="14.5" x14ac:dyDescent="0.25">
      <c r="D497" s="18"/>
      <c r="E497" s="5"/>
    </row>
    <row r="498" spans="4:5" ht="14.5" x14ac:dyDescent="0.25">
      <c r="D498" s="18"/>
      <c r="E498" s="5"/>
    </row>
    <row r="566" spans="4:5" ht="14.5" x14ac:dyDescent="0.25">
      <c r="D566" s="18"/>
      <c r="E566" s="5"/>
    </row>
    <row r="567" spans="4:5" ht="14.5" x14ac:dyDescent="0.25">
      <c r="D567" s="18"/>
      <c r="E567" s="5"/>
    </row>
    <row r="568" spans="4:5" ht="14.5" x14ac:dyDescent="0.25">
      <c r="D568" s="18"/>
      <c r="E568" s="5"/>
    </row>
    <row r="569" spans="4:5" ht="14.5" x14ac:dyDescent="0.25">
      <c r="D569" s="18"/>
      <c r="E569" s="5"/>
    </row>
    <row r="570" spans="4:5" ht="14.5" x14ac:dyDescent="0.25">
      <c r="D570" s="18"/>
      <c r="E570" s="5"/>
    </row>
    <row r="571" spans="4:5" ht="14.5" x14ac:dyDescent="0.25">
      <c r="D571" s="18"/>
      <c r="E571" s="5"/>
    </row>
    <row r="572" spans="4:5" ht="14.5" x14ac:dyDescent="0.25">
      <c r="D572" s="18"/>
      <c r="E572" s="5"/>
    </row>
    <row r="573" spans="4:5" ht="14.5" x14ac:dyDescent="0.25">
      <c r="D573" s="18"/>
      <c r="E573" s="5"/>
    </row>
    <row r="574" spans="4:5" ht="14.5" x14ac:dyDescent="0.25">
      <c r="D574" s="18"/>
      <c r="E574" s="5"/>
    </row>
    <row r="575" spans="4:5" ht="14.5" x14ac:dyDescent="0.25">
      <c r="D575" s="18"/>
      <c r="E575" s="5"/>
    </row>
    <row r="576" spans="4:5" ht="14.5" x14ac:dyDescent="0.25">
      <c r="D576" s="18"/>
      <c r="E576" s="5"/>
    </row>
    <row r="577" spans="4:5" ht="14.5" x14ac:dyDescent="0.25">
      <c r="D577" s="18"/>
      <c r="E577" s="5"/>
    </row>
    <row r="578" spans="4:5" ht="14.5" x14ac:dyDescent="0.25">
      <c r="D578" s="18"/>
      <c r="E578" s="5"/>
    </row>
    <row r="579" spans="4:5" ht="14.5" x14ac:dyDescent="0.25">
      <c r="D579" s="18"/>
      <c r="E579" s="5"/>
    </row>
    <row r="580" spans="4:5" ht="14.5" x14ac:dyDescent="0.25">
      <c r="D580" s="18"/>
      <c r="E580" s="5"/>
    </row>
    <row r="581" spans="4:5" ht="14.5" x14ac:dyDescent="0.25">
      <c r="D581" s="18"/>
      <c r="E581" s="5"/>
    </row>
    <row r="582" spans="4:5" ht="14.5" x14ac:dyDescent="0.25">
      <c r="D582" s="18"/>
      <c r="E582" s="5"/>
    </row>
    <row r="583" spans="4:5" ht="14.5" x14ac:dyDescent="0.25">
      <c r="D583" s="18"/>
      <c r="E583" s="5"/>
    </row>
    <row r="584" spans="4:5" ht="14.5" x14ac:dyDescent="0.25">
      <c r="D584" s="18"/>
      <c r="E584" s="5"/>
    </row>
    <row r="585" spans="4:5" ht="14.5" x14ac:dyDescent="0.25">
      <c r="D585" s="18"/>
      <c r="E585" s="5"/>
    </row>
    <row r="586" spans="4:5" ht="14.5" x14ac:dyDescent="0.25">
      <c r="D586" s="18"/>
      <c r="E586" s="5"/>
    </row>
    <row r="587" spans="4:5" ht="14.5" x14ac:dyDescent="0.25">
      <c r="D587" s="18"/>
      <c r="E587" s="5"/>
    </row>
    <row r="588" spans="4:5" ht="14.5" x14ac:dyDescent="0.25">
      <c r="D588" s="18"/>
      <c r="E588" s="5"/>
    </row>
    <row r="589" spans="4:5" ht="14.5" x14ac:dyDescent="0.25">
      <c r="D589" s="18"/>
      <c r="E589" s="5"/>
    </row>
    <row r="590" spans="4:5" ht="14.5" x14ac:dyDescent="0.25">
      <c r="D590" s="18"/>
      <c r="E590" s="5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815"/>
  <sheetViews>
    <sheetView workbookViewId="0">
      <pane xSplit="1" ySplit="3" topLeftCell="CA28" activePane="bottomRight" state="frozen"/>
      <selection pane="topRight"/>
      <selection pane="bottomLeft"/>
      <selection pane="bottomRight" activeCell="CH18" sqref="CH1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9" customWidth="1"/>
    <col min="14" max="14" width="11.75" style="9" customWidth="1"/>
    <col min="15" max="15" width="13.08203125" style="9" customWidth="1"/>
    <col min="16" max="16" width="11.58203125" style="9" customWidth="1"/>
    <col min="17" max="17" width="21.5" style="9" customWidth="1"/>
    <col min="18" max="18" width="19.83203125" style="9" customWidth="1"/>
    <col min="19" max="19" width="16.58203125" style="9" customWidth="1"/>
    <col min="20" max="20" width="19.08203125" style="9" customWidth="1"/>
    <col min="21" max="21" width="18.33203125" style="9" customWidth="1"/>
    <col min="22" max="22" width="17.75" style="9" customWidth="1"/>
    <col min="23" max="23" width="8.33203125" style="9" customWidth="1"/>
    <col min="24" max="24" width="18.5" style="9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10" customWidth="1"/>
    <col min="75" max="76" width="8.5" style="10" customWidth="1"/>
    <col min="77" max="78" width="7.83203125" style="10" customWidth="1"/>
    <col min="79" max="79" width="22.1640625" style="10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151</v>
      </c>
      <c r="D1" t="s">
        <v>152</v>
      </c>
      <c r="E1" t="s">
        <v>153</v>
      </c>
      <c r="F1" t="s">
        <v>154</v>
      </c>
      <c r="G1" t="s">
        <v>155</v>
      </c>
      <c r="H1" s="8" t="s">
        <v>156</v>
      </c>
      <c r="I1" t="s">
        <v>157</v>
      </c>
      <c r="J1" t="s">
        <v>158</v>
      </c>
      <c r="K1" s="9" t="s">
        <v>159</v>
      </c>
      <c r="L1" s="9" t="s">
        <v>160</v>
      </c>
      <c r="M1" s="9" t="s">
        <v>161</v>
      </c>
      <c r="N1" s="9" t="s">
        <v>162</v>
      </c>
      <c r="O1" s="9" t="s">
        <v>163</v>
      </c>
      <c r="P1" s="9" t="s">
        <v>164</v>
      </c>
      <c r="Q1" s="9" t="s">
        <v>165</v>
      </c>
      <c r="R1" s="9" t="s">
        <v>166</v>
      </c>
      <c r="S1" s="9" t="s">
        <v>167</v>
      </c>
      <c r="T1" s="9" t="s">
        <v>168</v>
      </c>
      <c r="U1" s="9" t="s">
        <v>168</v>
      </c>
      <c r="V1" s="9" t="s">
        <v>169</v>
      </c>
      <c r="W1" s="9" t="s">
        <v>170</v>
      </c>
      <c r="X1" s="9" t="s">
        <v>171</v>
      </c>
      <c r="Y1" t="s">
        <v>172</v>
      </c>
      <c r="Z1" t="s">
        <v>173</v>
      </c>
      <c r="AA1" s="9" t="s">
        <v>174</v>
      </c>
      <c r="AB1" t="s">
        <v>175</v>
      </c>
      <c r="AC1" t="s">
        <v>176</v>
      </c>
      <c r="AD1" t="s">
        <v>177</v>
      </c>
      <c r="AE1" t="s">
        <v>178</v>
      </c>
      <c r="AF1" t="s">
        <v>179</v>
      </c>
      <c r="AG1" t="s">
        <v>180</v>
      </c>
      <c r="AH1" t="s">
        <v>181</v>
      </c>
      <c r="AI1" t="s">
        <v>182</v>
      </c>
      <c r="AJ1" t="s">
        <v>183</v>
      </c>
      <c r="AK1" t="s">
        <v>184</v>
      </c>
      <c r="AL1" t="s">
        <v>185</v>
      </c>
      <c r="AM1" t="s">
        <v>186</v>
      </c>
      <c r="AN1" t="s">
        <v>187</v>
      </c>
      <c r="AO1" t="s">
        <v>188</v>
      </c>
      <c r="AP1" t="s">
        <v>189</v>
      </c>
      <c r="AQ1" t="s">
        <v>190</v>
      </c>
      <c r="AR1" s="1" t="s">
        <v>573</v>
      </c>
      <c r="AS1" s="1" t="s">
        <v>574</v>
      </c>
      <c r="AT1" t="s">
        <v>191</v>
      </c>
      <c r="AU1" t="s">
        <v>192</v>
      </c>
      <c r="AV1" t="s">
        <v>193</v>
      </c>
      <c r="AW1" t="s">
        <v>194</v>
      </c>
      <c r="AX1" t="s">
        <v>195</v>
      </c>
      <c r="AY1" t="s">
        <v>196</v>
      </c>
      <c r="AZ1" t="s">
        <v>197</v>
      </c>
      <c r="BA1" t="s">
        <v>198</v>
      </c>
      <c r="BB1" s="8" t="s">
        <v>199</v>
      </c>
      <c r="BC1" t="s">
        <v>200</v>
      </c>
      <c r="BD1" t="s">
        <v>201</v>
      </c>
      <c r="BE1" t="s">
        <v>202</v>
      </c>
      <c r="BF1" t="s">
        <v>203</v>
      </c>
      <c r="BG1" t="s">
        <v>204</v>
      </c>
      <c r="BH1" t="s">
        <v>205</v>
      </c>
      <c r="BJ1" t="s">
        <v>205</v>
      </c>
      <c r="BK1" t="s">
        <v>206</v>
      </c>
      <c r="BL1" t="s">
        <v>207</v>
      </c>
      <c r="BM1" t="s">
        <v>208</v>
      </c>
      <c r="BN1" t="s">
        <v>209</v>
      </c>
      <c r="BO1" t="s">
        <v>210</v>
      </c>
      <c r="BP1" t="s">
        <v>211</v>
      </c>
      <c r="BQ1" t="s">
        <v>212</v>
      </c>
      <c r="BR1" t="s">
        <v>213</v>
      </c>
      <c r="BS1" t="s">
        <v>214</v>
      </c>
      <c r="BT1" t="s">
        <v>215</v>
      </c>
      <c r="BU1" s="8" t="s">
        <v>216</v>
      </c>
      <c r="BV1" s="10" t="s">
        <v>217</v>
      </c>
      <c r="BW1" s="10" t="s">
        <v>218</v>
      </c>
      <c r="BX1" s="10" t="s">
        <v>219</v>
      </c>
      <c r="BY1" s="10" t="s">
        <v>220</v>
      </c>
      <c r="BZ1" s="10" t="s">
        <v>221</v>
      </c>
      <c r="CA1" s="10" t="s">
        <v>222</v>
      </c>
      <c r="CB1" t="s">
        <v>223</v>
      </c>
      <c r="CC1" s="10" t="s">
        <v>224</v>
      </c>
      <c r="CD1" t="s">
        <v>225</v>
      </c>
      <c r="CE1" t="s">
        <v>226</v>
      </c>
      <c r="CF1" t="s">
        <v>227</v>
      </c>
      <c r="CG1" t="s">
        <v>228</v>
      </c>
      <c r="CH1" t="s">
        <v>229</v>
      </c>
      <c r="CI1" t="s">
        <v>230</v>
      </c>
      <c r="CJ1" t="s">
        <v>231</v>
      </c>
      <c r="CK1" t="s">
        <v>232</v>
      </c>
      <c r="CL1" s="8" t="s">
        <v>233</v>
      </c>
      <c r="CM1" t="s">
        <v>234</v>
      </c>
      <c r="CN1" t="s">
        <v>235</v>
      </c>
      <c r="CO1" t="s">
        <v>236</v>
      </c>
      <c r="CP1" t="s">
        <v>237</v>
      </c>
      <c r="CQ1" t="s">
        <v>238</v>
      </c>
      <c r="CR1" t="s">
        <v>215</v>
      </c>
      <c r="CS1" t="s">
        <v>239</v>
      </c>
      <c r="CT1" t="s">
        <v>240</v>
      </c>
      <c r="CU1" t="s">
        <v>241</v>
      </c>
      <c r="CV1" t="s">
        <v>242</v>
      </c>
      <c r="CW1" t="s">
        <v>243</v>
      </c>
      <c r="CX1" t="s">
        <v>244</v>
      </c>
      <c r="CY1" t="s">
        <v>245</v>
      </c>
      <c r="CZ1" t="s">
        <v>244</v>
      </c>
      <c r="DA1" t="s">
        <v>246</v>
      </c>
      <c r="DB1" t="s">
        <v>247</v>
      </c>
      <c r="DC1" t="s">
        <v>248</v>
      </c>
      <c r="DD1" t="s">
        <v>249</v>
      </c>
      <c r="DE1" t="s">
        <v>250</v>
      </c>
      <c r="DF1" t="s">
        <v>251</v>
      </c>
      <c r="DG1" t="s">
        <v>252</v>
      </c>
      <c r="DH1" t="s">
        <v>253</v>
      </c>
      <c r="DI1" t="s">
        <v>254</v>
      </c>
    </row>
    <row r="2" spans="1:113" x14ac:dyDescent="0.25">
      <c r="A2" t="s">
        <v>0</v>
      </c>
      <c r="C2" t="s">
        <v>46</v>
      </c>
      <c r="D2" t="s">
        <v>75</v>
      </c>
      <c r="E2" t="s">
        <v>255</v>
      </c>
      <c r="F2" t="s">
        <v>256</v>
      </c>
      <c r="G2" t="s">
        <v>51</v>
      </c>
      <c r="H2" s="8" t="s">
        <v>257</v>
      </c>
      <c r="I2" t="s">
        <v>258</v>
      </c>
      <c r="J2" t="s">
        <v>259</v>
      </c>
      <c r="K2" s="9" t="s">
        <v>260</v>
      </c>
      <c r="L2" s="9" t="s">
        <v>261</v>
      </c>
      <c r="M2" s="9" t="s">
        <v>262</v>
      </c>
      <c r="N2" s="9" t="s">
        <v>263</v>
      </c>
      <c r="O2" s="9" t="s">
        <v>264</v>
      </c>
      <c r="P2" s="9" t="s">
        <v>265</v>
      </c>
      <c r="Q2" s="9" t="s">
        <v>266</v>
      </c>
      <c r="R2" s="9" t="s">
        <v>267</v>
      </c>
      <c r="S2" s="9" t="s">
        <v>268</v>
      </c>
      <c r="T2" s="9" t="s">
        <v>269</v>
      </c>
      <c r="U2" s="9" t="s">
        <v>270</v>
      </c>
      <c r="V2" s="9" t="s">
        <v>271</v>
      </c>
      <c r="W2" s="9" t="s">
        <v>272</v>
      </c>
      <c r="X2" s="9" t="s">
        <v>273</v>
      </c>
      <c r="Y2" t="s">
        <v>274</v>
      </c>
      <c r="Z2" t="s">
        <v>275</v>
      </c>
      <c r="AA2" s="9" t="s">
        <v>276</v>
      </c>
      <c r="AB2" t="s">
        <v>277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s="1" t="s">
        <v>575</v>
      </c>
      <c r="AS2" s="1" t="s">
        <v>576</v>
      </c>
      <c r="AT2" t="s">
        <v>293</v>
      </c>
      <c r="AU2" t="s">
        <v>294</v>
      </c>
      <c r="AV2" t="s">
        <v>295</v>
      </c>
      <c r="AW2" t="s">
        <v>296</v>
      </c>
      <c r="AX2" t="s">
        <v>297</v>
      </c>
      <c r="AY2" t="s">
        <v>298</v>
      </c>
      <c r="AZ2" t="s">
        <v>299</v>
      </c>
      <c r="BA2" t="s">
        <v>300</v>
      </c>
      <c r="BB2" t="s">
        <v>301</v>
      </c>
      <c r="BC2" t="s">
        <v>302</v>
      </c>
      <c r="BD2" t="s">
        <v>303</v>
      </c>
      <c r="BE2" t="s">
        <v>304</v>
      </c>
      <c r="BF2" t="s">
        <v>305</v>
      </c>
      <c r="BG2" t="s">
        <v>306</v>
      </c>
      <c r="BH2" t="s">
        <v>307</v>
      </c>
      <c r="BI2" t="s">
        <v>308</v>
      </c>
      <c r="BJ2" t="s">
        <v>309</v>
      </c>
      <c r="BK2" t="s">
        <v>310</v>
      </c>
      <c r="BL2" t="s">
        <v>311</v>
      </c>
      <c r="BM2" t="s">
        <v>312</v>
      </c>
      <c r="BN2" t="s">
        <v>313</v>
      </c>
      <c r="BO2" t="s">
        <v>77</v>
      </c>
      <c r="BP2" t="s">
        <v>314</v>
      </c>
      <c r="BQ2" t="s">
        <v>315</v>
      </c>
      <c r="BR2" t="s">
        <v>316</v>
      </c>
      <c r="BS2" t="s">
        <v>317</v>
      </c>
      <c r="BT2" t="s">
        <v>318</v>
      </c>
      <c r="BU2" s="8" t="s">
        <v>91</v>
      </c>
      <c r="BV2" s="10" t="s">
        <v>319</v>
      </c>
      <c r="BW2" s="10" t="s">
        <v>320</v>
      </c>
      <c r="BX2" s="10" t="s">
        <v>321</v>
      </c>
      <c r="BY2" s="10" t="s">
        <v>322</v>
      </c>
      <c r="BZ2" s="10" t="s">
        <v>323</v>
      </c>
      <c r="CA2" s="10" t="s">
        <v>324</v>
      </c>
      <c r="CB2" t="s">
        <v>325</v>
      </c>
      <c r="CC2" t="s">
        <v>326</v>
      </c>
      <c r="CD2" t="s">
        <v>327</v>
      </c>
      <c r="CE2" t="s">
        <v>328</v>
      </c>
      <c r="CF2" t="s">
        <v>329</v>
      </c>
      <c r="CG2" t="s">
        <v>330</v>
      </c>
      <c r="CH2" t="s">
        <v>331</v>
      </c>
      <c r="CI2" t="s">
        <v>332</v>
      </c>
      <c r="CJ2" t="s">
        <v>333</v>
      </c>
      <c r="CK2" t="s">
        <v>334</v>
      </c>
      <c r="CL2" s="8" t="s">
        <v>335</v>
      </c>
      <c r="CM2" t="s">
        <v>336</v>
      </c>
      <c r="CN2" t="s">
        <v>337</v>
      </c>
      <c r="CO2" t="s">
        <v>338</v>
      </c>
      <c r="CP2" t="s">
        <v>339</v>
      </c>
      <c r="CQ2" t="s">
        <v>340</v>
      </c>
      <c r="CR2" t="s">
        <v>341</v>
      </c>
      <c r="CS2" t="s">
        <v>342</v>
      </c>
      <c r="CT2" t="s">
        <v>343</v>
      </c>
      <c r="CU2" t="s">
        <v>344</v>
      </c>
      <c r="CV2" t="s">
        <v>345</v>
      </c>
      <c r="CW2" t="s">
        <v>346</v>
      </c>
      <c r="CX2" t="s">
        <v>347</v>
      </c>
      <c r="CY2" t="s">
        <v>348</v>
      </c>
      <c r="CZ2" t="s">
        <v>349</v>
      </c>
      <c r="DA2" t="s">
        <v>350</v>
      </c>
      <c r="DB2" t="s">
        <v>351</v>
      </c>
      <c r="DC2" t="s">
        <v>352</v>
      </c>
      <c r="DD2" t="s">
        <v>353</v>
      </c>
      <c r="DE2" t="s">
        <v>354</v>
      </c>
      <c r="DF2" t="s">
        <v>355</v>
      </c>
      <c r="DG2" t="s">
        <v>356</v>
      </c>
      <c r="DH2" t="s">
        <v>357</v>
      </c>
      <c r="DI2" t="s">
        <v>358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2</v>
      </c>
      <c r="I3" t="s">
        <v>112</v>
      </c>
      <c r="J3" t="s">
        <v>359</v>
      </c>
      <c r="K3" s="9" t="s">
        <v>360</v>
      </c>
      <c r="L3" s="9" t="s">
        <v>361</v>
      </c>
      <c r="M3" s="9" t="s">
        <v>114</v>
      </c>
      <c r="N3" s="9" t="s">
        <v>114</v>
      </c>
      <c r="O3" s="9" t="s">
        <v>116</v>
      </c>
      <c r="P3" s="9" t="s">
        <v>116</v>
      </c>
      <c r="Q3" s="9" t="s">
        <v>116</v>
      </c>
      <c r="R3" s="9" t="s">
        <v>116</v>
      </c>
      <c r="S3" s="9" t="s">
        <v>112</v>
      </c>
      <c r="T3" s="9" t="s">
        <v>113</v>
      </c>
      <c r="U3" s="9" t="s">
        <v>113</v>
      </c>
      <c r="V3" s="9" t="s">
        <v>113</v>
      </c>
      <c r="W3" s="9" t="s">
        <v>112</v>
      </c>
      <c r="X3" s="9" t="s">
        <v>112</v>
      </c>
      <c r="Y3" t="s">
        <v>112</v>
      </c>
      <c r="Z3" t="s">
        <v>112</v>
      </c>
      <c r="AA3" s="9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362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363</v>
      </c>
      <c r="AP3" t="s">
        <v>364</v>
      </c>
      <c r="AQ3" t="s">
        <v>2</v>
      </c>
      <c r="AR3" s="1" t="s">
        <v>569</v>
      </c>
      <c r="AS3" s="1" t="s">
        <v>569</v>
      </c>
      <c r="AT3" t="s">
        <v>365</v>
      </c>
      <c r="AU3" t="s">
        <v>112</v>
      </c>
      <c r="AV3" t="s">
        <v>113</v>
      </c>
      <c r="AW3" t="s">
        <v>112</v>
      </c>
      <c r="AX3" t="s">
        <v>366</v>
      </c>
      <c r="AY3" t="s">
        <v>112</v>
      </c>
      <c r="AZ3" t="s">
        <v>113</v>
      </c>
      <c r="BA3" t="s">
        <v>112</v>
      </c>
      <c r="BB3" t="s">
        <v>114</v>
      </c>
      <c r="BC3" t="s">
        <v>113</v>
      </c>
      <c r="BD3" t="s">
        <v>114</v>
      </c>
      <c r="BE3" t="s">
        <v>114</v>
      </c>
      <c r="BF3" t="s">
        <v>113</v>
      </c>
      <c r="BG3" t="s">
        <v>112</v>
      </c>
      <c r="BH3" t="s">
        <v>365</v>
      </c>
      <c r="BI3" t="s">
        <v>112</v>
      </c>
      <c r="BJ3" t="s">
        <v>113</v>
      </c>
      <c r="BK3" t="s">
        <v>113</v>
      </c>
      <c r="BL3" t="s">
        <v>113</v>
      </c>
      <c r="BM3" t="s">
        <v>114</v>
      </c>
      <c r="BN3" t="s">
        <v>114</v>
      </c>
      <c r="BO3" t="s">
        <v>115</v>
      </c>
      <c r="BP3" t="s">
        <v>115</v>
      </c>
      <c r="BQ3" t="s">
        <v>367</v>
      </c>
      <c r="BR3" t="s">
        <v>368</v>
      </c>
      <c r="BS3" t="s">
        <v>113</v>
      </c>
      <c r="BT3" t="s">
        <v>113</v>
      </c>
      <c r="BU3" s="8" t="s">
        <v>112</v>
      </c>
      <c r="BV3" s="10" t="s">
        <v>113</v>
      </c>
      <c r="BW3" s="10" t="s">
        <v>113</v>
      </c>
      <c r="BX3" s="10" t="s">
        <v>114</v>
      </c>
      <c r="BY3" s="10" t="s">
        <v>369</v>
      </c>
      <c r="BZ3" s="10" t="s">
        <v>112</v>
      </c>
      <c r="CA3" s="10" t="s">
        <v>369</v>
      </c>
      <c r="CB3" t="s">
        <v>120</v>
      </c>
      <c r="CC3" t="s">
        <v>370</v>
      </c>
      <c r="CD3" t="s">
        <v>120</v>
      </c>
      <c r="CE3" t="s">
        <v>120</v>
      </c>
      <c r="CF3" t="s">
        <v>120</v>
      </c>
      <c r="CG3" t="s">
        <v>371</v>
      </c>
      <c r="CH3" t="s">
        <v>372</v>
      </c>
      <c r="CI3" t="s">
        <v>2</v>
      </c>
      <c r="CJ3" t="s">
        <v>373</v>
      </c>
      <c r="CK3" t="s">
        <v>373</v>
      </c>
      <c r="CL3" s="8" t="s">
        <v>121</v>
      </c>
      <c r="CM3" t="s">
        <v>116</v>
      </c>
      <c r="CN3" t="s">
        <v>116</v>
      </c>
      <c r="CO3" t="s">
        <v>119</v>
      </c>
      <c r="CP3" t="s">
        <v>119</v>
      </c>
      <c r="CQ3" t="s">
        <v>119</v>
      </c>
      <c r="CR3" t="s">
        <v>370</v>
      </c>
      <c r="CS3" t="s">
        <v>119</v>
      </c>
      <c r="CT3" t="s">
        <v>112</v>
      </c>
      <c r="CU3" t="s">
        <v>121</v>
      </c>
      <c r="CV3" t="s">
        <v>374</v>
      </c>
      <c r="CW3" t="s">
        <v>375</v>
      </c>
      <c r="CX3" t="s">
        <v>375</v>
      </c>
      <c r="CY3" t="s">
        <v>374</v>
      </c>
      <c r="CZ3" t="s">
        <v>374</v>
      </c>
      <c r="DA3" t="s">
        <v>374</v>
      </c>
      <c r="DB3" t="s">
        <v>374</v>
      </c>
      <c r="DC3" t="s">
        <v>374</v>
      </c>
      <c r="DD3" t="s">
        <v>112</v>
      </c>
      <c r="DE3" t="s">
        <v>112</v>
      </c>
      <c r="DF3" t="s">
        <v>112</v>
      </c>
      <c r="DG3" t="s">
        <v>112</v>
      </c>
      <c r="DH3" t="s">
        <v>112</v>
      </c>
      <c r="DI3" t="s">
        <v>112</v>
      </c>
    </row>
    <row r="4" spans="1:113" s="11" customFormat="1" x14ac:dyDescent="0.25">
      <c r="A4" s="11" t="s">
        <v>376</v>
      </c>
    </row>
    <row r="6" spans="1:113" x14ac:dyDescent="0.25">
      <c r="A6" t="s">
        <v>380</v>
      </c>
      <c r="C6" t="s">
        <v>377</v>
      </c>
      <c r="K6" s="9" t="s">
        <v>381</v>
      </c>
      <c r="P6" s="12" t="s">
        <v>382</v>
      </c>
      <c r="S6" s="9">
        <v>1</v>
      </c>
      <c r="AC6">
        <v>1</v>
      </c>
      <c r="AO6" t="s">
        <v>383</v>
      </c>
      <c r="AT6" t="s">
        <v>384</v>
      </c>
      <c r="AY6">
        <v>1</v>
      </c>
      <c r="AZ6">
        <v>0.01</v>
      </c>
      <c r="BB6">
        <v>2</v>
      </c>
      <c r="BD6">
        <v>1</v>
      </c>
      <c r="BP6" t="s">
        <v>385</v>
      </c>
      <c r="CB6" t="s">
        <v>55</v>
      </c>
      <c r="CG6" t="s">
        <v>386</v>
      </c>
    </row>
    <row r="7" spans="1:113" x14ac:dyDescent="0.25">
      <c r="A7" t="s">
        <v>385</v>
      </c>
      <c r="C7" t="s">
        <v>377</v>
      </c>
      <c r="I7">
        <v>1</v>
      </c>
      <c r="K7" s="9" t="s">
        <v>379</v>
      </c>
      <c r="P7"/>
      <c r="AC7">
        <v>1</v>
      </c>
      <c r="AO7" t="s">
        <v>383</v>
      </c>
      <c r="AT7" t="s">
        <v>384</v>
      </c>
      <c r="AY7">
        <v>1</v>
      </c>
      <c r="AZ7">
        <v>1</v>
      </c>
      <c r="BD7">
        <v>1</v>
      </c>
      <c r="BP7" t="s">
        <v>387</v>
      </c>
      <c r="CH7" s="1" t="s">
        <v>580</v>
      </c>
      <c r="CI7" t="s">
        <v>388</v>
      </c>
      <c r="CN7" t="s">
        <v>389</v>
      </c>
      <c r="CO7">
        <v>22</v>
      </c>
      <c r="CR7">
        <v>10</v>
      </c>
      <c r="CY7" t="s">
        <v>390</v>
      </c>
    </row>
    <row r="8" spans="1:113" x14ac:dyDescent="0.25">
      <c r="A8" t="s">
        <v>391</v>
      </c>
      <c r="C8" t="s">
        <v>392</v>
      </c>
      <c r="K8" s="9" t="s">
        <v>379</v>
      </c>
      <c r="L8" s="9" t="s">
        <v>393</v>
      </c>
      <c r="AC8">
        <v>1</v>
      </c>
      <c r="AF8">
        <v>1</v>
      </c>
      <c r="AG8" t="s">
        <v>394</v>
      </c>
      <c r="BD8">
        <v>1</v>
      </c>
      <c r="CL8" s="9"/>
      <c r="CU8" t="s">
        <v>395</v>
      </c>
      <c r="DD8">
        <v>1</v>
      </c>
      <c r="DG8">
        <v>1</v>
      </c>
      <c r="DH8">
        <v>1</v>
      </c>
    </row>
    <row r="9" spans="1:113" x14ac:dyDescent="0.25">
      <c r="A9" t="s">
        <v>396</v>
      </c>
      <c r="C9" t="s">
        <v>377</v>
      </c>
      <c r="I9">
        <v>1</v>
      </c>
      <c r="K9" s="13" t="s">
        <v>379</v>
      </c>
      <c r="L9" s="13" t="s">
        <v>393</v>
      </c>
      <c r="M9"/>
      <c r="N9"/>
      <c r="O9" s="13"/>
      <c r="P9"/>
      <c r="Q9"/>
      <c r="R9" s="13"/>
      <c r="S9" s="13"/>
      <c r="T9" s="13"/>
      <c r="U9" s="13"/>
      <c r="V9" s="13"/>
      <c r="W9" s="13"/>
      <c r="X9"/>
      <c r="AC9">
        <v>1</v>
      </c>
      <c r="AG9" t="s">
        <v>394</v>
      </c>
      <c r="AT9" t="s">
        <v>397</v>
      </c>
      <c r="BD9">
        <v>1</v>
      </c>
      <c r="BO9" t="s">
        <v>398</v>
      </c>
      <c r="BU9" s="14"/>
      <c r="BV9" s="14"/>
      <c r="BW9" s="14"/>
      <c r="BX9" s="14"/>
      <c r="BY9" s="14"/>
      <c r="BZ9" s="14"/>
      <c r="CA9"/>
      <c r="CN9" t="s">
        <v>399</v>
      </c>
      <c r="CO9">
        <v>8</v>
      </c>
      <c r="CR9">
        <v>9999</v>
      </c>
      <c r="DD9">
        <v>1</v>
      </c>
    </row>
    <row r="10" spans="1:113" x14ac:dyDescent="0.25">
      <c r="A10" t="s">
        <v>398</v>
      </c>
      <c r="C10" t="s">
        <v>377</v>
      </c>
      <c r="I10">
        <v>1</v>
      </c>
      <c r="K10" s="13"/>
      <c r="L10" s="13"/>
      <c r="M10"/>
      <c r="N10"/>
      <c r="O10" s="13"/>
      <c r="P10"/>
      <c r="Q10"/>
      <c r="R10" s="13"/>
      <c r="S10" s="13"/>
      <c r="T10" s="13"/>
      <c r="U10" s="13"/>
      <c r="V10" s="13"/>
      <c r="W10" s="13"/>
      <c r="X10"/>
      <c r="AC10">
        <v>1</v>
      </c>
      <c r="AT10" t="s">
        <v>400</v>
      </c>
      <c r="BD10">
        <v>99</v>
      </c>
      <c r="BS10">
        <v>0.1</v>
      </c>
      <c r="BU10" s="14"/>
      <c r="BV10" s="14"/>
      <c r="BW10" s="14"/>
      <c r="BX10" s="14"/>
      <c r="BY10" s="14"/>
      <c r="BZ10" s="14"/>
      <c r="CA10"/>
      <c r="CN10" s="12" t="s">
        <v>401</v>
      </c>
      <c r="CO10">
        <v>0.2</v>
      </c>
      <c r="CR10">
        <v>0.2</v>
      </c>
      <c r="DD10">
        <v>1</v>
      </c>
    </row>
    <row r="11" spans="1:113" x14ac:dyDescent="0.25">
      <c r="A11" t="s">
        <v>402</v>
      </c>
      <c r="C11" t="s">
        <v>377</v>
      </c>
      <c r="K11" s="9" t="s">
        <v>379</v>
      </c>
      <c r="L11" s="9" t="s">
        <v>393</v>
      </c>
      <c r="AC11">
        <v>1</v>
      </c>
      <c r="AG11" t="s">
        <v>394</v>
      </c>
      <c r="AY11" s="9"/>
      <c r="BD11">
        <v>1</v>
      </c>
      <c r="BV11"/>
      <c r="BW11"/>
      <c r="BX11"/>
      <c r="BY11"/>
      <c r="BZ11"/>
      <c r="CA11"/>
      <c r="CB11" s="9"/>
      <c r="CC11" s="9"/>
      <c r="CD11" s="9"/>
      <c r="CE11" s="9"/>
      <c r="CF11" s="9"/>
      <c r="CH11" s="9"/>
      <c r="CI11" s="9"/>
      <c r="CJ11" s="9"/>
      <c r="CK11" s="9"/>
      <c r="CL11" s="9"/>
      <c r="CM11" s="9"/>
      <c r="CN11" t="s">
        <v>403</v>
      </c>
      <c r="CR11">
        <v>99999</v>
      </c>
    </row>
    <row r="12" spans="1:113" x14ac:dyDescent="0.25">
      <c r="A12" t="s">
        <v>404</v>
      </c>
      <c r="C12" t="s">
        <v>377</v>
      </c>
      <c r="I12">
        <v>1</v>
      </c>
      <c r="AC12">
        <v>1</v>
      </c>
      <c r="AJ12" t="s">
        <v>4</v>
      </c>
      <c r="AV12">
        <v>20</v>
      </c>
      <c r="AY12" s="9"/>
      <c r="BD12">
        <v>1</v>
      </c>
      <c r="BS12">
        <v>0.1</v>
      </c>
      <c r="BV12"/>
      <c r="BW12"/>
      <c r="BX12"/>
      <c r="BY12"/>
      <c r="BZ12"/>
      <c r="CA12"/>
      <c r="CB12" s="9"/>
      <c r="CC12" s="9"/>
      <c r="CD12" s="9"/>
      <c r="CE12" s="9"/>
      <c r="CF12" s="9"/>
      <c r="CH12" s="9"/>
      <c r="CI12" s="9"/>
      <c r="CJ12" s="9"/>
      <c r="CK12" s="9"/>
      <c r="CL12" s="9"/>
      <c r="CM12" s="9"/>
      <c r="CN12" t="s">
        <v>405</v>
      </c>
      <c r="CR12">
        <v>0.2</v>
      </c>
    </row>
    <row r="13" spans="1:113" x14ac:dyDescent="0.25">
      <c r="A13" t="s">
        <v>387</v>
      </c>
      <c r="C13" t="s">
        <v>377</v>
      </c>
      <c r="I13">
        <v>1</v>
      </c>
      <c r="K13" s="9" t="s">
        <v>379</v>
      </c>
      <c r="M13"/>
      <c r="N13"/>
      <c r="P13" s="12" t="s">
        <v>406</v>
      </c>
      <c r="R13" s="12"/>
      <c r="S13"/>
      <c r="X13"/>
      <c r="AC13">
        <v>1</v>
      </c>
      <c r="AG13" t="s">
        <v>394</v>
      </c>
      <c r="AT13" t="s">
        <v>397</v>
      </c>
      <c r="BD13">
        <v>1</v>
      </c>
      <c r="BV13"/>
      <c r="CB13" s="10"/>
      <c r="CN13" t="s">
        <v>389</v>
      </c>
      <c r="CO13">
        <v>22</v>
      </c>
      <c r="CR13">
        <v>10</v>
      </c>
    </row>
    <row r="14" spans="1:113" x14ac:dyDescent="0.25">
      <c r="BV14"/>
    </row>
    <row r="15" spans="1:113" x14ac:dyDescent="0.25">
      <c r="BV15"/>
    </row>
    <row r="16" spans="1:113" x14ac:dyDescent="0.25">
      <c r="BV16"/>
    </row>
    <row r="17" spans="1:112" x14ac:dyDescent="0.25">
      <c r="A17" t="s">
        <v>407</v>
      </c>
      <c r="C17" t="s">
        <v>377</v>
      </c>
      <c r="D17" t="s">
        <v>408</v>
      </c>
      <c r="E17" t="s">
        <v>409</v>
      </c>
      <c r="F17" t="s">
        <v>410</v>
      </c>
      <c r="G17">
        <v>3</v>
      </c>
      <c r="J17" t="s">
        <v>411</v>
      </c>
      <c r="K17" s="9" t="s">
        <v>412</v>
      </c>
      <c r="M17"/>
      <c r="O17"/>
      <c r="AC17">
        <v>1</v>
      </c>
      <c r="AG17" t="s">
        <v>394</v>
      </c>
      <c r="BD17">
        <v>1</v>
      </c>
      <c r="BO17" s="8" t="s">
        <v>413</v>
      </c>
      <c r="BP17" t="s">
        <v>414</v>
      </c>
      <c r="BT17">
        <v>30</v>
      </c>
      <c r="BV17" s="10">
        <v>13</v>
      </c>
      <c r="BW17" s="10">
        <v>15</v>
      </c>
      <c r="BX17" s="10">
        <v>1</v>
      </c>
      <c r="BY17" s="10" t="s">
        <v>415</v>
      </c>
      <c r="CN17" s="12" t="s">
        <v>416</v>
      </c>
      <c r="CR17">
        <v>30</v>
      </c>
      <c r="DD17">
        <v>1</v>
      </c>
    </row>
    <row r="18" spans="1:112" x14ac:dyDescent="0.25">
      <c r="A18" t="s">
        <v>417</v>
      </c>
      <c r="C18" t="s">
        <v>377</v>
      </c>
      <c r="J18" s="9"/>
      <c r="M18"/>
      <c r="O18" s="12" t="s">
        <v>406</v>
      </c>
      <c r="P18"/>
      <c r="Q18"/>
      <c r="AC18">
        <v>1</v>
      </c>
      <c r="AD18">
        <v>1</v>
      </c>
      <c r="AO18" t="s">
        <v>383</v>
      </c>
      <c r="AQ18" t="s">
        <v>140</v>
      </c>
      <c r="AW18">
        <v>1</v>
      </c>
      <c r="AY18">
        <v>1</v>
      </c>
      <c r="AZ18">
        <v>1</v>
      </c>
      <c r="BD18">
        <v>1</v>
      </c>
      <c r="BP18" t="s">
        <v>418</v>
      </c>
      <c r="CB18" t="s">
        <v>419</v>
      </c>
      <c r="CG18" t="s">
        <v>386</v>
      </c>
      <c r="CH18" s="1" t="s">
        <v>580</v>
      </c>
      <c r="CI18" t="s">
        <v>388</v>
      </c>
      <c r="CN18" s="8" t="s">
        <v>420</v>
      </c>
      <c r="CO18">
        <v>22</v>
      </c>
      <c r="CP18">
        <v>39.6</v>
      </c>
      <c r="CR18">
        <v>10</v>
      </c>
      <c r="CY18" t="s">
        <v>390</v>
      </c>
    </row>
    <row r="19" spans="1:112" x14ac:dyDescent="0.25">
      <c r="A19" t="s">
        <v>421</v>
      </c>
      <c r="C19" t="s">
        <v>377</v>
      </c>
      <c r="I19">
        <v>1</v>
      </c>
      <c r="K19" s="9" t="s">
        <v>379</v>
      </c>
      <c r="M19"/>
      <c r="AC19">
        <v>1</v>
      </c>
      <c r="AD19">
        <v>1</v>
      </c>
      <c r="AJ19" t="s">
        <v>140</v>
      </c>
      <c r="AO19" t="s">
        <v>383</v>
      </c>
      <c r="AT19" t="s">
        <v>384</v>
      </c>
      <c r="AX19" t="s">
        <v>422</v>
      </c>
      <c r="AZ19">
        <v>1</v>
      </c>
      <c r="BB19">
        <v>2</v>
      </c>
      <c r="BD19">
        <v>1</v>
      </c>
      <c r="CB19" s="3"/>
      <c r="CH19" t="s">
        <v>423</v>
      </c>
      <c r="CI19" t="s">
        <v>388</v>
      </c>
      <c r="CN19" s="12" t="s">
        <v>424</v>
      </c>
      <c r="CR19">
        <v>0.1</v>
      </c>
      <c r="DD19">
        <v>1</v>
      </c>
      <c r="DH19">
        <v>1</v>
      </c>
    </row>
    <row r="20" spans="1:112" x14ac:dyDescent="0.25">
      <c r="A20" t="s">
        <v>425</v>
      </c>
      <c r="C20" t="s">
        <v>377</v>
      </c>
      <c r="I20">
        <v>1</v>
      </c>
      <c r="K20" s="9" t="s">
        <v>379</v>
      </c>
      <c r="M20"/>
      <c r="O20" s="12" t="s">
        <v>406</v>
      </c>
      <c r="P20"/>
      <c r="Q20"/>
      <c r="AC20">
        <v>1</v>
      </c>
      <c r="AG20" t="s">
        <v>394</v>
      </c>
      <c r="AW20">
        <v>1</v>
      </c>
      <c r="BD20">
        <v>1</v>
      </c>
      <c r="CN20" t="s">
        <v>420</v>
      </c>
      <c r="CO20">
        <v>22</v>
      </c>
      <c r="CP20">
        <v>39.6</v>
      </c>
      <c r="CR20">
        <v>10</v>
      </c>
    </row>
    <row r="21" spans="1:112" x14ac:dyDescent="0.25">
      <c r="A21" s="8" t="s">
        <v>424</v>
      </c>
      <c r="C21" t="s">
        <v>377</v>
      </c>
      <c r="I21">
        <v>1</v>
      </c>
      <c r="M21"/>
      <c r="O21" s="12" t="s">
        <v>406</v>
      </c>
      <c r="P21"/>
      <c r="Q21"/>
      <c r="AC21">
        <v>1</v>
      </c>
      <c r="AJ21" t="s">
        <v>140</v>
      </c>
      <c r="AT21" t="s">
        <v>384</v>
      </c>
      <c r="BD21">
        <v>1</v>
      </c>
      <c r="BS21">
        <v>0.1</v>
      </c>
      <c r="CN21" s="12" t="s">
        <v>424</v>
      </c>
      <c r="CR21">
        <v>0.2</v>
      </c>
    </row>
    <row r="22" spans="1:112" x14ac:dyDescent="0.25">
      <c r="A22" t="s">
        <v>426</v>
      </c>
      <c r="C22" t="s">
        <v>377</v>
      </c>
      <c r="I22">
        <v>1</v>
      </c>
      <c r="K22" s="9" t="s">
        <v>379</v>
      </c>
      <c r="M22"/>
      <c r="AC22">
        <v>1</v>
      </c>
      <c r="AG22" t="s">
        <v>394</v>
      </c>
      <c r="AY22" s="9"/>
      <c r="BD22">
        <v>1</v>
      </c>
      <c r="BV22"/>
      <c r="BW22"/>
      <c r="BX22"/>
      <c r="BY22"/>
      <c r="BZ22"/>
      <c r="CA22"/>
      <c r="CB22" s="9"/>
      <c r="CC22" s="9"/>
      <c r="CD22" s="9"/>
      <c r="CE22" s="9"/>
      <c r="CF22" s="9"/>
      <c r="CH22" s="9"/>
      <c r="CI22" s="9"/>
      <c r="CJ22" s="9"/>
      <c r="CK22" s="9"/>
      <c r="CN22" s="12" t="s">
        <v>426</v>
      </c>
      <c r="CR22">
        <v>40</v>
      </c>
      <c r="DD22">
        <v>1</v>
      </c>
      <c r="DH22">
        <v>1</v>
      </c>
    </row>
    <row r="23" spans="1:112" x14ac:dyDescent="0.25">
      <c r="A23" t="s">
        <v>427</v>
      </c>
      <c r="C23" t="s">
        <v>377</v>
      </c>
      <c r="I23">
        <v>1</v>
      </c>
      <c r="M23"/>
      <c r="O23" s="12" t="s">
        <v>406</v>
      </c>
      <c r="P23" s="12" t="s">
        <v>426</v>
      </c>
      <c r="AC23">
        <v>1</v>
      </c>
      <c r="AV23">
        <v>20</v>
      </c>
      <c r="BD23">
        <v>99</v>
      </c>
      <c r="CM23" t="s">
        <v>428</v>
      </c>
    </row>
    <row r="24" spans="1:112" x14ac:dyDescent="0.25">
      <c r="A24" t="s">
        <v>429</v>
      </c>
      <c r="C24" t="s">
        <v>377</v>
      </c>
      <c r="I24">
        <v>1</v>
      </c>
      <c r="K24" s="9" t="s">
        <v>379</v>
      </c>
      <c r="M24"/>
      <c r="N24"/>
      <c r="AC24">
        <v>1</v>
      </c>
      <c r="AG24" t="s">
        <v>394</v>
      </c>
      <c r="BD24">
        <v>1</v>
      </c>
      <c r="BS24">
        <v>0.1</v>
      </c>
      <c r="BV24"/>
      <c r="CB24" t="s">
        <v>430</v>
      </c>
      <c r="CG24" t="s">
        <v>386</v>
      </c>
      <c r="CI24" s="9"/>
      <c r="CJ24" s="9"/>
      <c r="DD24">
        <v>1</v>
      </c>
      <c r="DG24">
        <v>1</v>
      </c>
      <c r="DH24">
        <v>1</v>
      </c>
    </row>
    <row r="25" spans="1:112" x14ac:dyDescent="0.25">
      <c r="A25" t="s">
        <v>431</v>
      </c>
      <c r="C25" t="s">
        <v>377</v>
      </c>
      <c r="I25">
        <v>1</v>
      </c>
      <c r="K25" s="9" t="s">
        <v>379</v>
      </c>
      <c r="L25" s="9" t="s">
        <v>432</v>
      </c>
      <c r="M25"/>
      <c r="N25"/>
      <c r="AC25">
        <v>1</v>
      </c>
      <c r="AG25" t="s">
        <v>394</v>
      </c>
      <c r="BD25">
        <v>1</v>
      </c>
      <c r="BS25">
        <v>0.2</v>
      </c>
      <c r="BV25"/>
      <c r="CB25" t="s">
        <v>433</v>
      </c>
      <c r="CG25" t="s">
        <v>386</v>
      </c>
      <c r="CJ25" s="9"/>
      <c r="DD25">
        <v>1</v>
      </c>
      <c r="DG25">
        <v>1</v>
      </c>
      <c r="DH25">
        <v>1</v>
      </c>
    </row>
    <row r="26" spans="1:112" x14ac:dyDescent="0.25">
      <c r="A26" t="s">
        <v>434</v>
      </c>
      <c r="C26" t="s">
        <v>377</v>
      </c>
      <c r="D26" t="s">
        <v>408</v>
      </c>
      <c r="E26" t="s">
        <v>409</v>
      </c>
      <c r="F26" t="s">
        <v>410</v>
      </c>
      <c r="G26">
        <v>3</v>
      </c>
      <c r="I26">
        <v>1</v>
      </c>
      <c r="M26"/>
      <c r="O26" s="12" t="s">
        <v>424</v>
      </c>
      <c r="AC26">
        <v>1</v>
      </c>
      <c r="AG26" s="8" t="s">
        <v>394</v>
      </c>
      <c r="AO26" t="s">
        <v>383</v>
      </c>
      <c r="AT26" t="s">
        <v>397</v>
      </c>
      <c r="AY26">
        <v>1</v>
      </c>
      <c r="AZ26">
        <v>1</v>
      </c>
      <c r="BD26">
        <v>1</v>
      </c>
      <c r="BO26" s="8"/>
      <c r="BP26" s="8"/>
      <c r="BS26">
        <v>0.1</v>
      </c>
      <c r="CG26" s="8" t="s">
        <v>386</v>
      </c>
      <c r="CH26" s="1" t="s">
        <v>580</v>
      </c>
      <c r="CI26" t="s">
        <v>388</v>
      </c>
      <c r="CM26" s="8"/>
      <c r="CN26" t="s">
        <v>420</v>
      </c>
      <c r="CO26">
        <v>22</v>
      </c>
      <c r="CP26">
        <v>39.6</v>
      </c>
      <c r="CR26">
        <v>10</v>
      </c>
      <c r="CY26" t="s">
        <v>390</v>
      </c>
      <c r="DD26">
        <v>1</v>
      </c>
    </row>
    <row r="27" spans="1:112" x14ac:dyDescent="0.25">
      <c r="BU27" s="10"/>
      <c r="CA27"/>
    </row>
    <row r="28" spans="1:112" x14ac:dyDescent="0.25">
      <c r="A28" t="s">
        <v>435</v>
      </c>
      <c r="C28" t="s">
        <v>377</v>
      </c>
      <c r="D28" t="s">
        <v>436</v>
      </c>
      <c r="E28" t="s">
        <v>437</v>
      </c>
      <c r="F28" t="s">
        <v>438</v>
      </c>
      <c r="G28">
        <v>3</v>
      </c>
      <c r="J28" t="s">
        <v>411</v>
      </c>
      <c r="K28" s="9" t="s">
        <v>412</v>
      </c>
      <c r="O28" t="s">
        <v>405</v>
      </c>
      <c r="W28"/>
      <c r="X28"/>
      <c r="AC28">
        <v>1</v>
      </c>
      <c r="AG28" t="s">
        <v>394</v>
      </c>
      <c r="BD28">
        <v>1</v>
      </c>
      <c r="BO28" t="s">
        <v>439</v>
      </c>
      <c r="BP28" t="s">
        <v>440</v>
      </c>
      <c r="BT28">
        <v>1</v>
      </c>
      <c r="BV28" s="10">
        <v>11</v>
      </c>
      <c r="BW28" s="10">
        <v>15</v>
      </c>
      <c r="BX28" s="10">
        <v>1</v>
      </c>
      <c r="BY28" s="10" t="s">
        <v>415</v>
      </c>
      <c r="CN28" s="12" t="s">
        <v>441</v>
      </c>
      <c r="CO28" t="s">
        <v>442</v>
      </c>
      <c r="CR28">
        <v>25</v>
      </c>
    </row>
    <row r="29" spans="1:112" x14ac:dyDescent="0.25">
      <c r="A29" t="s">
        <v>439</v>
      </c>
      <c r="C29" t="s">
        <v>377</v>
      </c>
      <c r="I29">
        <v>1</v>
      </c>
      <c r="M29"/>
      <c r="O29" s="12" t="s">
        <v>382</v>
      </c>
      <c r="P29"/>
      <c r="Q29"/>
      <c r="AC29">
        <v>1</v>
      </c>
      <c r="AG29" t="s">
        <v>394</v>
      </c>
      <c r="AT29" t="s">
        <v>397</v>
      </c>
      <c r="BD29">
        <v>1</v>
      </c>
      <c r="BS29">
        <v>0.1</v>
      </c>
      <c r="CN29" s="12" t="s">
        <v>443</v>
      </c>
      <c r="CR29">
        <v>0.2</v>
      </c>
    </row>
    <row r="30" spans="1:112" x14ac:dyDescent="0.25">
      <c r="A30" t="s">
        <v>444</v>
      </c>
      <c r="C30" t="s">
        <v>445</v>
      </c>
      <c r="I30">
        <v>1</v>
      </c>
      <c r="J30" t="s">
        <v>378</v>
      </c>
      <c r="K30" s="9" t="s">
        <v>379</v>
      </c>
      <c r="AC30">
        <v>1</v>
      </c>
      <c r="AJ30" t="s">
        <v>140</v>
      </c>
      <c r="AT30" t="s">
        <v>384</v>
      </c>
      <c r="BD30">
        <v>1</v>
      </c>
      <c r="BS30">
        <v>0.1</v>
      </c>
      <c r="CL30" s="9"/>
      <c r="CU30" s="1" t="s">
        <v>577</v>
      </c>
    </row>
    <row r="31" spans="1:112" x14ac:dyDescent="0.25">
      <c r="A31" t="s">
        <v>446</v>
      </c>
      <c r="C31" t="s">
        <v>377</v>
      </c>
      <c r="I31">
        <v>1</v>
      </c>
      <c r="K31" s="9" t="s">
        <v>379</v>
      </c>
      <c r="L31" s="9" t="s">
        <v>432</v>
      </c>
      <c r="M31"/>
      <c r="N31"/>
      <c r="AC31">
        <v>1</v>
      </c>
      <c r="AG31" t="s">
        <v>394</v>
      </c>
      <c r="BD31">
        <v>1</v>
      </c>
      <c r="BS31">
        <v>1</v>
      </c>
      <c r="BV31"/>
      <c r="CB31" s="15" t="s">
        <v>447</v>
      </c>
      <c r="CG31" t="s">
        <v>386</v>
      </c>
      <c r="CJ31" s="9"/>
      <c r="DD31">
        <v>1</v>
      </c>
      <c r="DG31">
        <v>1</v>
      </c>
      <c r="DH31">
        <v>1</v>
      </c>
    </row>
    <row r="32" spans="1:112" x14ac:dyDescent="0.25">
      <c r="A32" t="s">
        <v>448</v>
      </c>
      <c r="C32" t="s">
        <v>377</v>
      </c>
      <c r="I32">
        <v>1</v>
      </c>
      <c r="K32" s="9" t="s">
        <v>379</v>
      </c>
      <c r="M32"/>
      <c r="N32"/>
      <c r="AC32">
        <v>1</v>
      </c>
      <c r="AG32" t="s">
        <v>394</v>
      </c>
      <c r="BD32">
        <v>1</v>
      </c>
      <c r="BS32">
        <v>0.66669999999999996</v>
      </c>
      <c r="BV32"/>
      <c r="CB32" s="3" t="s">
        <v>449</v>
      </c>
      <c r="CG32" t="s">
        <v>386</v>
      </c>
      <c r="CI32" s="9"/>
      <c r="CJ32" s="9"/>
      <c r="DD32">
        <v>1</v>
      </c>
      <c r="DG32">
        <v>1</v>
      </c>
      <c r="DH32">
        <v>1</v>
      </c>
    </row>
    <row r="34" spans="1:103" x14ac:dyDescent="0.25">
      <c r="A34" t="s">
        <v>450</v>
      </c>
      <c r="C34" t="s">
        <v>377</v>
      </c>
      <c r="D34" t="s">
        <v>436</v>
      </c>
      <c r="E34" t="s">
        <v>437</v>
      </c>
      <c r="F34" t="s">
        <v>438</v>
      </c>
      <c r="G34">
        <v>3</v>
      </c>
      <c r="J34" t="s">
        <v>411</v>
      </c>
      <c r="K34" s="9" t="s">
        <v>381</v>
      </c>
      <c r="O34"/>
      <c r="W34"/>
      <c r="X34"/>
      <c r="AC34">
        <v>1</v>
      </c>
      <c r="AG34" t="s">
        <v>394</v>
      </c>
      <c r="BD34">
        <v>1</v>
      </c>
      <c r="BO34" t="s">
        <v>451</v>
      </c>
      <c r="BT34">
        <v>25</v>
      </c>
      <c r="BV34" s="10">
        <v>1</v>
      </c>
      <c r="BW34" s="10">
        <v>1</v>
      </c>
      <c r="BX34" s="10">
        <v>1</v>
      </c>
      <c r="BY34" s="10" t="s">
        <v>415</v>
      </c>
      <c r="CN34" s="12" t="s">
        <v>452</v>
      </c>
      <c r="CO34" t="s">
        <v>453</v>
      </c>
      <c r="CP34">
        <v>80</v>
      </c>
      <c r="CR34">
        <v>25</v>
      </c>
    </row>
    <row r="35" spans="1:103" x14ac:dyDescent="0.25">
      <c r="A35" t="s">
        <v>454</v>
      </c>
      <c r="C35" t="s">
        <v>455</v>
      </c>
      <c r="O35" s="12" t="s">
        <v>441</v>
      </c>
      <c r="X35"/>
      <c r="AC35">
        <v>2</v>
      </c>
      <c r="AO35" t="s">
        <v>456</v>
      </c>
      <c r="AT35" t="s">
        <v>400</v>
      </c>
      <c r="AX35" t="s">
        <v>422</v>
      </c>
      <c r="AZ35">
        <v>1</v>
      </c>
      <c r="BD35">
        <v>1</v>
      </c>
      <c r="BP35" t="s">
        <v>457</v>
      </c>
      <c r="CB35" t="s">
        <v>458</v>
      </c>
      <c r="CG35" t="s">
        <v>386</v>
      </c>
      <c r="CX35" t="s">
        <v>459</v>
      </c>
      <c r="CY35" t="s">
        <v>460</v>
      </c>
    </row>
    <row r="36" spans="1:103" x14ac:dyDescent="0.25">
      <c r="A36" t="s">
        <v>457</v>
      </c>
      <c r="C36" t="s">
        <v>377</v>
      </c>
      <c r="I36">
        <v>1</v>
      </c>
      <c r="K36" s="9" t="s">
        <v>379</v>
      </c>
      <c r="O36" s="12" t="s">
        <v>441</v>
      </c>
      <c r="P36"/>
      <c r="Q36"/>
      <c r="X36"/>
      <c r="AC36">
        <v>1</v>
      </c>
      <c r="AG36" t="s">
        <v>394</v>
      </c>
      <c r="AH36">
        <v>1</v>
      </c>
      <c r="AO36" t="s">
        <v>383</v>
      </c>
      <c r="AV36">
        <v>1</v>
      </c>
      <c r="AY36">
        <v>1</v>
      </c>
      <c r="AZ36">
        <v>0.5</v>
      </c>
      <c r="BD36">
        <v>1</v>
      </c>
      <c r="CH36" s="1" t="s">
        <v>580</v>
      </c>
      <c r="CI36" t="s">
        <v>388</v>
      </c>
      <c r="CN36" t="s">
        <v>389</v>
      </c>
      <c r="CO36">
        <v>22</v>
      </c>
      <c r="CR36">
        <v>10</v>
      </c>
    </row>
    <row r="37" spans="1:103" x14ac:dyDescent="0.25">
      <c r="A37" t="s">
        <v>461</v>
      </c>
      <c r="C37" t="s">
        <v>462</v>
      </c>
      <c r="K37" s="9" t="s">
        <v>379</v>
      </c>
      <c r="L37" s="9" t="s">
        <v>393</v>
      </c>
      <c r="AC37">
        <v>1</v>
      </c>
      <c r="AG37" t="s">
        <v>394</v>
      </c>
      <c r="BD37">
        <v>1</v>
      </c>
      <c r="CU37" t="s">
        <v>463</v>
      </c>
    </row>
    <row r="38" spans="1:103" x14ac:dyDescent="0.25">
      <c r="A38" t="s">
        <v>464</v>
      </c>
      <c r="C38" t="s">
        <v>377</v>
      </c>
      <c r="I38">
        <v>1</v>
      </c>
      <c r="K38" s="9" t="s">
        <v>379</v>
      </c>
      <c r="L38" s="9" t="s">
        <v>393</v>
      </c>
      <c r="AC38">
        <v>1</v>
      </c>
      <c r="AG38" t="s">
        <v>394</v>
      </c>
      <c r="BD38">
        <v>1</v>
      </c>
      <c r="CN38" t="s">
        <v>443</v>
      </c>
      <c r="CR38">
        <v>0.5</v>
      </c>
    </row>
    <row r="39" spans="1:103" x14ac:dyDescent="0.25">
      <c r="A39" t="s">
        <v>465</v>
      </c>
      <c r="C39" t="s">
        <v>377</v>
      </c>
      <c r="I39">
        <v>1</v>
      </c>
      <c r="AC39">
        <v>1</v>
      </c>
      <c r="AJ39" t="s">
        <v>4</v>
      </c>
      <c r="AV39">
        <v>20</v>
      </c>
      <c r="BD39">
        <v>1</v>
      </c>
      <c r="BS39">
        <v>0.1</v>
      </c>
      <c r="CN39" s="12" t="s">
        <v>382</v>
      </c>
      <c r="CR39">
        <v>0.5</v>
      </c>
    </row>
    <row r="42" spans="1:103" x14ac:dyDescent="0.25">
      <c r="CL42" s="9"/>
    </row>
    <row r="43" spans="1:103" x14ac:dyDescent="0.25">
      <c r="CL43" s="9"/>
    </row>
    <row r="49" spans="74:90" x14ac:dyDescent="0.25">
      <c r="CL49" s="9"/>
    </row>
    <row r="50" spans="74:90" x14ac:dyDescent="0.25">
      <c r="CL50" s="9"/>
    </row>
    <row r="52" spans="74:90" x14ac:dyDescent="0.25">
      <c r="CL52" s="9"/>
    </row>
    <row r="53" spans="74:90" x14ac:dyDescent="0.25">
      <c r="CL53" s="9"/>
    </row>
    <row r="54" spans="74:90" x14ac:dyDescent="0.25">
      <c r="CL54" s="9"/>
    </row>
    <row r="55" spans="74:90" x14ac:dyDescent="0.25">
      <c r="CL55" s="9"/>
    </row>
    <row r="56" spans="74:90" x14ac:dyDescent="0.25">
      <c r="BV56"/>
    </row>
    <row r="57" spans="74:90" x14ac:dyDescent="0.25">
      <c r="BV57"/>
    </row>
    <row r="58" spans="74:90" x14ac:dyDescent="0.25">
      <c r="BV58"/>
      <c r="CL58" s="9"/>
    </row>
    <row r="59" spans="74:90" x14ac:dyDescent="0.25">
      <c r="CL59" s="9"/>
    </row>
    <row r="60" spans="74:90" x14ac:dyDescent="0.25">
      <c r="CL60" s="9"/>
    </row>
    <row r="61" spans="74:90" x14ac:dyDescent="0.25">
      <c r="BV61"/>
    </row>
    <row r="62" spans="74:90" x14ac:dyDescent="0.25">
      <c r="CL62" s="9"/>
    </row>
    <row r="66" spans="74:90" x14ac:dyDescent="0.25">
      <c r="BV66"/>
    </row>
    <row r="67" spans="74:90" x14ac:dyDescent="0.25">
      <c r="CL67" s="9"/>
    </row>
    <row r="75" spans="74:90" x14ac:dyDescent="0.25">
      <c r="CL75" s="9"/>
    </row>
    <row r="76" spans="74:90" x14ac:dyDescent="0.25">
      <c r="CL76" s="9"/>
    </row>
    <row r="77" spans="74:90" x14ac:dyDescent="0.25">
      <c r="BV77"/>
    </row>
    <row r="82" spans="74:90" x14ac:dyDescent="0.25">
      <c r="BV82"/>
    </row>
    <row r="83" spans="74:90" x14ac:dyDescent="0.25">
      <c r="BV83"/>
      <c r="CL83" s="9"/>
    </row>
    <row r="84" spans="74:90" x14ac:dyDescent="0.25">
      <c r="CL84" s="9"/>
    </row>
    <row r="85" spans="74:90" x14ac:dyDescent="0.25">
      <c r="CL85" s="9"/>
    </row>
    <row r="86" spans="74:90" x14ac:dyDescent="0.25">
      <c r="CL86" s="9"/>
    </row>
    <row r="87" spans="74:90" x14ac:dyDescent="0.25">
      <c r="CL87" s="9"/>
    </row>
    <row r="88" spans="74:90" x14ac:dyDescent="0.25">
      <c r="BV88"/>
    </row>
    <row r="89" spans="74:90" x14ac:dyDescent="0.25">
      <c r="CL89" s="9"/>
    </row>
    <row r="90" spans="74:90" x14ac:dyDescent="0.25">
      <c r="CL90" s="9"/>
    </row>
    <row r="91" spans="74:90" x14ac:dyDescent="0.25">
      <c r="CL91" s="9"/>
    </row>
    <row r="92" spans="74:90" x14ac:dyDescent="0.25">
      <c r="CL92" s="9"/>
    </row>
    <row r="93" spans="74:90" x14ac:dyDescent="0.25">
      <c r="BV93"/>
    </row>
    <row r="94" spans="74:90" x14ac:dyDescent="0.25">
      <c r="CL94" s="9"/>
    </row>
    <row r="95" spans="74:90" x14ac:dyDescent="0.25">
      <c r="CL95" s="9"/>
    </row>
    <row r="96" spans="74:90" x14ac:dyDescent="0.25">
      <c r="CL96" s="9"/>
    </row>
    <row r="97" spans="74:90" x14ac:dyDescent="0.25">
      <c r="CL97" s="9"/>
    </row>
    <row r="100" spans="74:90" x14ac:dyDescent="0.25">
      <c r="CL100" s="9"/>
    </row>
    <row r="101" spans="74:90" x14ac:dyDescent="0.25">
      <c r="CL101" s="9"/>
    </row>
    <row r="102" spans="74:90" x14ac:dyDescent="0.25">
      <c r="CL102" s="9"/>
    </row>
    <row r="103" spans="74:90" x14ac:dyDescent="0.25">
      <c r="CL103" s="9"/>
    </row>
    <row r="104" spans="74:90" x14ac:dyDescent="0.25">
      <c r="CL104" s="9"/>
    </row>
    <row r="106" spans="74:90" x14ac:dyDescent="0.25">
      <c r="BV106"/>
    </row>
    <row r="107" spans="74:90" x14ac:dyDescent="0.25">
      <c r="CL107" s="9"/>
    </row>
    <row r="108" spans="74:90" x14ac:dyDescent="0.25">
      <c r="CL108" s="9"/>
    </row>
    <row r="109" spans="74:90" x14ac:dyDescent="0.25">
      <c r="CL109" s="9"/>
    </row>
    <row r="110" spans="74:90" x14ac:dyDescent="0.25">
      <c r="CL110" s="9"/>
    </row>
    <row r="114" spans="74:90" x14ac:dyDescent="0.25">
      <c r="CL114" s="9"/>
    </row>
    <row r="116" spans="74:90" x14ac:dyDescent="0.25">
      <c r="BV116"/>
    </row>
    <row r="117" spans="74:90" x14ac:dyDescent="0.25">
      <c r="BV117"/>
      <c r="CL117" s="9"/>
    </row>
    <row r="118" spans="74:90" x14ac:dyDescent="0.25">
      <c r="CL118" s="9"/>
    </row>
    <row r="119" spans="74:90" x14ac:dyDescent="0.25">
      <c r="CL119" s="9"/>
    </row>
    <row r="120" spans="74:90" x14ac:dyDescent="0.25">
      <c r="CL120" s="9"/>
    </row>
    <row r="121" spans="74:90" x14ac:dyDescent="0.25">
      <c r="CL121" s="9"/>
    </row>
    <row r="123" spans="74:90" x14ac:dyDescent="0.25">
      <c r="BV123"/>
    </row>
    <row r="124" spans="74:90" x14ac:dyDescent="0.25">
      <c r="CL124" s="9"/>
    </row>
    <row r="125" spans="74:90" x14ac:dyDescent="0.25">
      <c r="CL125" s="9"/>
    </row>
    <row r="127" spans="74:90" x14ac:dyDescent="0.25">
      <c r="CL127" s="9"/>
    </row>
    <row r="128" spans="74:90" x14ac:dyDescent="0.25">
      <c r="CL128" s="9"/>
    </row>
    <row r="130" spans="74:90" x14ac:dyDescent="0.25">
      <c r="BV130"/>
    </row>
    <row r="131" spans="74:90" x14ac:dyDescent="0.25">
      <c r="CL131" s="9"/>
    </row>
    <row r="134" spans="74:90" x14ac:dyDescent="0.25">
      <c r="CL134" s="9"/>
    </row>
    <row r="135" spans="74:90" x14ac:dyDescent="0.25">
      <c r="CL135" s="9"/>
    </row>
    <row r="138" spans="74:90" x14ac:dyDescent="0.25">
      <c r="CL138" s="9"/>
    </row>
    <row r="140" spans="74:90" x14ac:dyDescent="0.25">
      <c r="CL140" s="9"/>
    </row>
    <row r="142" spans="74:90" x14ac:dyDescent="0.25">
      <c r="BV142"/>
    </row>
    <row r="143" spans="74:90" x14ac:dyDescent="0.25">
      <c r="CL143" s="9"/>
    </row>
    <row r="144" spans="74:90" x14ac:dyDescent="0.25">
      <c r="CL144" s="9"/>
    </row>
    <row r="146" spans="90:90" x14ac:dyDescent="0.25">
      <c r="CL146" s="9"/>
    </row>
    <row r="147" spans="90:90" x14ac:dyDescent="0.25">
      <c r="CL147" s="9"/>
    </row>
    <row r="148" spans="90:90" x14ac:dyDescent="0.25">
      <c r="CL148" s="9"/>
    </row>
    <row r="153" spans="90:90" x14ac:dyDescent="0.25">
      <c r="CL153" s="9"/>
    </row>
    <row r="154" spans="90:90" x14ac:dyDescent="0.25">
      <c r="CL154" s="9"/>
    </row>
    <row r="157" spans="90:90" x14ac:dyDescent="0.25">
      <c r="CL157" s="9"/>
    </row>
    <row r="158" spans="90:90" x14ac:dyDescent="0.25">
      <c r="CL158" s="9"/>
    </row>
    <row r="162" spans="74:90" x14ac:dyDescent="0.25">
      <c r="CL162" s="9"/>
    </row>
    <row r="166" spans="74:90" x14ac:dyDescent="0.25">
      <c r="CL166" s="9"/>
    </row>
    <row r="168" spans="74:90" x14ac:dyDescent="0.25">
      <c r="CL168" s="9"/>
    </row>
    <row r="169" spans="74:90" x14ac:dyDescent="0.25">
      <c r="CL169" s="9"/>
    </row>
    <row r="171" spans="74:90" x14ac:dyDescent="0.25">
      <c r="CL171" s="9"/>
    </row>
    <row r="172" spans="74:90" x14ac:dyDescent="0.25">
      <c r="CL172" s="9"/>
    </row>
    <row r="174" spans="74:90" x14ac:dyDescent="0.25">
      <c r="BV174"/>
    </row>
    <row r="175" spans="74:90" x14ac:dyDescent="0.25">
      <c r="BV175"/>
      <c r="CL175" s="9"/>
    </row>
    <row r="176" spans="74:90" x14ac:dyDescent="0.25">
      <c r="CL176" s="9"/>
    </row>
    <row r="178" spans="74:90" x14ac:dyDescent="0.25">
      <c r="CL178" s="9"/>
    </row>
    <row r="187" spans="74:90" x14ac:dyDescent="0.25">
      <c r="BV187"/>
    </row>
    <row r="188" spans="74:90" x14ac:dyDescent="0.25">
      <c r="BV188"/>
      <c r="CL188" s="9"/>
    </row>
    <row r="189" spans="74:90" x14ac:dyDescent="0.25">
      <c r="CL189" s="9"/>
    </row>
    <row r="190" spans="74:90" x14ac:dyDescent="0.25">
      <c r="CL190" s="9"/>
    </row>
    <row r="191" spans="74:90" x14ac:dyDescent="0.25">
      <c r="BV191"/>
    </row>
    <row r="192" spans="74:90" x14ac:dyDescent="0.25">
      <c r="BV192"/>
      <c r="CL192" s="9"/>
    </row>
    <row r="193" spans="74:90" x14ac:dyDescent="0.25">
      <c r="CL193" s="9"/>
    </row>
    <row r="195" spans="74:90" x14ac:dyDescent="0.25">
      <c r="BV195"/>
    </row>
    <row r="196" spans="74:90" x14ac:dyDescent="0.25">
      <c r="BV196"/>
      <c r="CL196" s="9"/>
    </row>
    <row r="197" spans="74:90" x14ac:dyDescent="0.25">
      <c r="CL197" s="9"/>
    </row>
    <row r="199" spans="74:90" x14ac:dyDescent="0.25">
      <c r="BV199"/>
    </row>
    <row r="200" spans="74:90" x14ac:dyDescent="0.25">
      <c r="CL200" s="9"/>
    </row>
    <row r="203" spans="74:90" x14ac:dyDescent="0.25">
      <c r="CL203" s="9"/>
    </row>
    <row r="207" spans="74:90" x14ac:dyDescent="0.25">
      <c r="CL207" s="9"/>
    </row>
    <row r="209" spans="74:90" x14ac:dyDescent="0.25">
      <c r="BV209"/>
    </row>
    <row r="210" spans="74:90" x14ac:dyDescent="0.25">
      <c r="CL210" s="9"/>
    </row>
    <row r="217" spans="74:90" x14ac:dyDescent="0.25">
      <c r="BV217"/>
    </row>
    <row r="218" spans="74:90" x14ac:dyDescent="0.25">
      <c r="CL218" s="9"/>
    </row>
    <row r="219" spans="74:90" x14ac:dyDescent="0.25">
      <c r="CL219" s="9"/>
    </row>
    <row r="221" spans="74:90" x14ac:dyDescent="0.25">
      <c r="BV221"/>
    </row>
    <row r="222" spans="74:90" x14ac:dyDescent="0.25">
      <c r="BV222"/>
      <c r="CL222" s="9"/>
    </row>
    <row r="223" spans="74:90" x14ac:dyDescent="0.25">
      <c r="CL223" s="9"/>
    </row>
    <row r="229" spans="74:90" x14ac:dyDescent="0.25">
      <c r="BV229"/>
    </row>
    <row r="230" spans="74:90" x14ac:dyDescent="0.25">
      <c r="BV230"/>
      <c r="CL230" s="9"/>
    </row>
    <row r="231" spans="74:90" x14ac:dyDescent="0.25">
      <c r="BV231"/>
      <c r="CL231" s="9"/>
    </row>
    <row r="232" spans="74:90" x14ac:dyDescent="0.25">
      <c r="CL232" s="9"/>
    </row>
    <row r="237" spans="74:90" x14ac:dyDescent="0.25">
      <c r="BV237"/>
    </row>
    <row r="238" spans="74:90" x14ac:dyDescent="0.25">
      <c r="BV238"/>
    </row>
    <row r="242" spans="74:90" x14ac:dyDescent="0.25">
      <c r="BV242"/>
    </row>
    <row r="243" spans="74:90" x14ac:dyDescent="0.25">
      <c r="CL243" s="9"/>
    </row>
    <row r="244" spans="74:90" x14ac:dyDescent="0.25">
      <c r="BV244"/>
    </row>
    <row r="245" spans="74:90" x14ac:dyDescent="0.25">
      <c r="CL245" s="9"/>
    </row>
    <row r="255" spans="74:90" x14ac:dyDescent="0.25">
      <c r="BV255"/>
    </row>
    <row r="256" spans="74:90" x14ac:dyDescent="0.25">
      <c r="CL256" s="9"/>
    </row>
    <row r="258" spans="74:90" x14ac:dyDescent="0.25">
      <c r="BV258"/>
    </row>
    <row r="259" spans="74:90" x14ac:dyDescent="0.25">
      <c r="CL259" s="9"/>
    </row>
    <row r="267" spans="74:90" x14ac:dyDescent="0.25">
      <c r="BV267"/>
    </row>
    <row r="268" spans="74:90" x14ac:dyDescent="0.25">
      <c r="CL268" s="9"/>
    </row>
    <row r="272" spans="74:90" x14ac:dyDescent="0.25">
      <c r="BV272"/>
    </row>
    <row r="273" spans="74:90" x14ac:dyDescent="0.25">
      <c r="CL273" s="9"/>
    </row>
    <row r="275" spans="74:90" x14ac:dyDescent="0.25">
      <c r="BV275"/>
    </row>
    <row r="276" spans="74:90" x14ac:dyDescent="0.25">
      <c r="CL276" s="9"/>
    </row>
    <row r="292" spans="74:90" x14ac:dyDescent="0.25">
      <c r="BV292"/>
    </row>
    <row r="293" spans="74:90" x14ac:dyDescent="0.25">
      <c r="BV293"/>
      <c r="CL293" s="9"/>
    </row>
    <row r="294" spans="74:90" x14ac:dyDescent="0.25">
      <c r="BV294"/>
      <c r="CL294" s="9"/>
    </row>
    <row r="295" spans="74:90" x14ac:dyDescent="0.25">
      <c r="BV295"/>
      <c r="CL295" s="9"/>
    </row>
    <row r="296" spans="74:90" x14ac:dyDescent="0.25">
      <c r="BV296"/>
    </row>
    <row r="298" spans="74:90" x14ac:dyDescent="0.25">
      <c r="BV298"/>
    </row>
    <row r="299" spans="74:90" x14ac:dyDescent="0.25">
      <c r="BV299"/>
      <c r="CL299" s="9"/>
    </row>
    <row r="300" spans="74:90" x14ac:dyDescent="0.25">
      <c r="BV300"/>
      <c r="CL300" s="9"/>
    </row>
    <row r="301" spans="74:90" x14ac:dyDescent="0.25">
      <c r="CL301" s="9"/>
    </row>
    <row r="305" spans="74:90" x14ac:dyDescent="0.25">
      <c r="BV305"/>
    </row>
    <row r="306" spans="74:90" x14ac:dyDescent="0.25">
      <c r="CL306" s="9"/>
    </row>
    <row r="308" spans="74:90" x14ac:dyDescent="0.25">
      <c r="BV308"/>
    </row>
    <row r="309" spans="74:90" x14ac:dyDescent="0.25">
      <c r="BV309"/>
      <c r="CL309" s="9"/>
    </row>
    <row r="310" spans="74:90" x14ac:dyDescent="0.25">
      <c r="BV310"/>
      <c r="CL310" s="9"/>
    </row>
    <row r="311" spans="74:90" x14ac:dyDescent="0.25">
      <c r="CL311" s="9"/>
    </row>
    <row r="327" spans="74:90" x14ac:dyDescent="0.25">
      <c r="BV327"/>
    </row>
    <row r="328" spans="74:90" x14ac:dyDescent="0.25">
      <c r="CL328" s="9"/>
    </row>
    <row r="336" spans="74:90" x14ac:dyDescent="0.25">
      <c r="CL336" s="9"/>
    </row>
    <row r="337" spans="74:90" x14ac:dyDescent="0.25">
      <c r="CL337" s="9"/>
    </row>
    <row r="338" spans="74:90" x14ac:dyDescent="0.25">
      <c r="CL338" s="9"/>
    </row>
    <row r="339" spans="74:90" x14ac:dyDescent="0.25">
      <c r="CL339" s="9"/>
    </row>
    <row r="340" spans="74:90" x14ac:dyDescent="0.25">
      <c r="CL340" s="9"/>
    </row>
    <row r="342" spans="74:90" x14ac:dyDescent="0.25">
      <c r="BV342"/>
    </row>
    <row r="343" spans="74:90" x14ac:dyDescent="0.25">
      <c r="CL343" s="9"/>
    </row>
    <row r="344" spans="74:90" x14ac:dyDescent="0.25">
      <c r="BV344"/>
    </row>
    <row r="345" spans="74:90" x14ac:dyDescent="0.25">
      <c r="BV345"/>
      <c r="CL345" s="9"/>
    </row>
    <row r="346" spans="74:90" x14ac:dyDescent="0.25">
      <c r="CL346" s="9"/>
    </row>
    <row r="348" spans="74:90" x14ac:dyDescent="0.25">
      <c r="BV348"/>
    </row>
    <row r="349" spans="74:90" x14ac:dyDescent="0.25">
      <c r="BV349"/>
      <c r="CL349" s="9"/>
    </row>
    <row r="350" spans="74:90" x14ac:dyDescent="0.25">
      <c r="BV350"/>
      <c r="CL350" s="9"/>
    </row>
    <row r="351" spans="74:90" x14ac:dyDescent="0.25">
      <c r="CL351" s="9"/>
    </row>
    <row r="353" spans="74:90" x14ac:dyDescent="0.25">
      <c r="CL353" s="9"/>
    </row>
    <row r="355" spans="74:90" x14ac:dyDescent="0.25">
      <c r="CL355" s="9"/>
    </row>
    <row r="357" spans="74:90" x14ac:dyDescent="0.25">
      <c r="CL357" s="9"/>
    </row>
    <row r="360" spans="74:90" x14ac:dyDescent="0.25">
      <c r="CL360" s="9"/>
    </row>
    <row r="361" spans="74:90" x14ac:dyDescent="0.25">
      <c r="CL361" s="9"/>
    </row>
    <row r="362" spans="74:90" x14ac:dyDescent="0.25">
      <c r="CL362" s="9"/>
    </row>
    <row r="363" spans="74:90" x14ac:dyDescent="0.25">
      <c r="CL363" s="9"/>
    </row>
    <row r="364" spans="74:90" x14ac:dyDescent="0.25">
      <c r="CL364" s="9"/>
    </row>
    <row r="365" spans="74:90" x14ac:dyDescent="0.25">
      <c r="CL365" s="9"/>
    </row>
    <row r="366" spans="74:90" x14ac:dyDescent="0.25">
      <c r="BV366"/>
    </row>
    <row r="367" spans="74:90" x14ac:dyDescent="0.25">
      <c r="BV367"/>
      <c r="CL367" s="9"/>
    </row>
    <row r="368" spans="74:90" x14ac:dyDescent="0.25">
      <c r="BV368"/>
      <c r="CL368" s="9"/>
    </row>
    <row r="369" spans="74:90" x14ac:dyDescent="0.25">
      <c r="CL369" s="9"/>
    </row>
    <row r="370" spans="74:90" x14ac:dyDescent="0.25">
      <c r="CL370" s="9"/>
    </row>
    <row r="371" spans="74:90" x14ac:dyDescent="0.25">
      <c r="CL371" s="9"/>
    </row>
    <row r="372" spans="74:90" x14ac:dyDescent="0.25">
      <c r="CL372" s="9"/>
    </row>
    <row r="374" spans="74:90" x14ac:dyDescent="0.25">
      <c r="CL374" s="9"/>
    </row>
    <row r="375" spans="74:90" x14ac:dyDescent="0.25">
      <c r="CL375" s="9"/>
    </row>
    <row r="376" spans="74:90" x14ac:dyDescent="0.25">
      <c r="BV376"/>
    </row>
    <row r="377" spans="74:90" x14ac:dyDescent="0.25">
      <c r="BV377"/>
      <c r="CL377" s="9"/>
    </row>
    <row r="378" spans="74:90" x14ac:dyDescent="0.25">
      <c r="BV378"/>
      <c r="CL378" s="9"/>
    </row>
    <row r="379" spans="74:90" x14ac:dyDescent="0.25">
      <c r="CL379" s="9"/>
    </row>
    <row r="380" spans="74:90" x14ac:dyDescent="0.25">
      <c r="CL380" s="9"/>
    </row>
    <row r="382" spans="74:90" x14ac:dyDescent="0.25">
      <c r="CL382" s="9"/>
    </row>
    <row r="383" spans="74:90" x14ac:dyDescent="0.25">
      <c r="CL383" s="9"/>
    </row>
    <row r="384" spans="74:90" x14ac:dyDescent="0.25">
      <c r="BV384"/>
      <c r="CL384" s="9"/>
    </row>
    <row r="385" spans="74:90" x14ac:dyDescent="0.25">
      <c r="BV385"/>
      <c r="CL385" s="9"/>
    </row>
    <row r="386" spans="74:90" x14ac:dyDescent="0.25">
      <c r="CL386" s="9"/>
    </row>
    <row r="387" spans="74:90" x14ac:dyDescent="0.25">
      <c r="CL387" s="9"/>
    </row>
    <row r="388" spans="74:90" x14ac:dyDescent="0.25">
      <c r="CL388" s="9"/>
    </row>
    <row r="390" spans="74:90" x14ac:dyDescent="0.25">
      <c r="BV390"/>
      <c r="CL390" s="9"/>
    </row>
    <row r="391" spans="74:90" x14ac:dyDescent="0.25">
      <c r="CL391" s="9"/>
    </row>
    <row r="392" spans="74:90" x14ac:dyDescent="0.25">
      <c r="CL392" s="9"/>
    </row>
    <row r="394" spans="74:90" x14ac:dyDescent="0.25">
      <c r="BV394"/>
      <c r="CL394" s="9"/>
    </row>
    <row r="395" spans="74:90" x14ac:dyDescent="0.25">
      <c r="BV395"/>
      <c r="CL395" s="9"/>
    </row>
    <row r="396" spans="74:90" x14ac:dyDescent="0.25">
      <c r="CL396" s="9"/>
    </row>
    <row r="398" spans="74:90" x14ac:dyDescent="0.25">
      <c r="CL398" s="9"/>
    </row>
    <row r="400" spans="74:90" x14ac:dyDescent="0.25">
      <c r="CL400" s="9"/>
    </row>
    <row r="403" spans="74:90" x14ac:dyDescent="0.25">
      <c r="CL403" s="9"/>
    </row>
    <row r="404" spans="74:90" x14ac:dyDescent="0.25">
      <c r="CL404" s="9"/>
    </row>
    <row r="408" spans="74:90" x14ac:dyDescent="0.25">
      <c r="BV408"/>
    </row>
    <row r="409" spans="74:90" x14ac:dyDescent="0.25">
      <c r="BV409"/>
      <c r="CL409" s="9"/>
    </row>
    <row r="410" spans="74:90" x14ac:dyDescent="0.25">
      <c r="BV410"/>
      <c r="CL410" s="9"/>
    </row>
    <row r="411" spans="74:90" x14ac:dyDescent="0.25">
      <c r="CL411" s="9"/>
    </row>
    <row r="412" spans="74:90" x14ac:dyDescent="0.25">
      <c r="CL412" s="9"/>
    </row>
    <row r="413" spans="74:90" x14ac:dyDescent="0.25">
      <c r="BV413"/>
    </row>
    <row r="414" spans="74:90" x14ac:dyDescent="0.25">
      <c r="CL414" s="9"/>
    </row>
    <row r="416" spans="74:90" x14ac:dyDescent="0.25">
      <c r="CL416" s="9"/>
    </row>
    <row r="417" spans="74:90" x14ac:dyDescent="0.25">
      <c r="CL417" s="9"/>
    </row>
    <row r="419" spans="74:90" x14ac:dyDescent="0.25">
      <c r="CL419" s="9"/>
    </row>
    <row r="420" spans="74:90" x14ac:dyDescent="0.25">
      <c r="CL420" s="9"/>
    </row>
    <row r="421" spans="74:90" x14ac:dyDescent="0.25">
      <c r="CL421" s="9"/>
    </row>
    <row r="422" spans="74:90" x14ac:dyDescent="0.25">
      <c r="CL422" s="9"/>
    </row>
    <row r="423" spans="74:90" x14ac:dyDescent="0.25">
      <c r="CL423" s="9"/>
    </row>
    <row r="424" spans="74:90" x14ac:dyDescent="0.25">
      <c r="CL424" s="9"/>
    </row>
    <row r="425" spans="74:90" x14ac:dyDescent="0.25">
      <c r="CL425" s="9"/>
    </row>
    <row r="427" spans="74:90" x14ac:dyDescent="0.25">
      <c r="BV427"/>
    </row>
    <row r="428" spans="74:90" x14ac:dyDescent="0.25">
      <c r="CL428" s="9"/>
    </row>
    <row r="429" spans="74:90" x14ac:dyDescent="0.25">
      <c r="CL429" s="9"/>
    </row>
    <row r="462" spans="8:90" x14ac:dyDescent="0.25">
      <c r="BU462" s="4"/>
      <c r="BV462" s="16"/>
    </row>
    <row r="463" spans="8:90" x14ac:dyDescent="0.25">
      <c r="H463" s="4"/>
      <c r="CL463" s="4"/>
    </row>
    <row r="469" spans="74:90" x14ac:dyDescent="0.25">
      <c r="BV469"/>
    </row>
    <row r="470" spans="74:90" x14ac:dyDescent="0.25">
      <c r="BV470"/>
      <c r="CL470" s="9"/>
    </row>
    <row r="471" spans="74:90" x14ac:dyDescent="0.25">
      <c r="BV471"/>
      <c r="CL471" s="9"/>
    </row>
    <row r="472" spans="74:90" x14ac:dyDescent="0.25">
      <c r="CL472" s="9"/>
    </row>
    <row r="489" spans="74:90" x14ac:dyDescent="0.25">
      <c r="BV489"/>
    </row>
    <row r="490" spans="74:90" x14ac:dyDescent="0.25">
      <c r="CL490" s="9"/>
    </row>
    <row r="522" spans="74:90" x14ac:dyDescent="0.25">
      <c r="BV522"/>
    </row>
    <row r="523" spans="74:90" x14ac:dyDescent="0.25">
      <c r="BV523"/>
      <c r="CL523" s="9"/>
    </row>
    <row r="524" spans="74:90" x14ac:dyDescent="0.25">
      <c r="CL524" s="9"/>
    </row>
    <row r="540" spans="74:90" x14ac:dyDescent="0.25">
      <c r="BV540"/>
    </row>
    <row r="541" spans="74:90" x14ac:dyDescent="0.25">
      <c r="CL541" s="9"/>
    </row>
    <row r="547" spans="74:90" x14ac:dyDescent="0.25">
      <c r="BV547"/>
    </row>
    <row r="548" spans="74:90" x14ac:dyDescent="0.25">
      <c r="BV548"/>
      <c r="CL548" s="9"/>
    </row>
    <row r="549" spans="74:90" x14ac:dyDescent="0.25">
      <c r="CL549" s="9"/>
    </row>
    <row r="554" spans="74:90" x14ac:dyDescent="0.25">
      <c r="BV554"/>
    </row>
    <row r="555" spans="74:90" x14ac:dyDescent="0.25">
      <c r="BV555"/>
      <c r="CL555" s="9"/>
    </row>
    <row r="556" spans="74:90" x14ac:dyDescent="0.25">
      <c r="BV556"/>
      <c r="CL556" s="9"/>
    </row>
    <row r="557" spans="74:90" x14ac:dyDescent="0.25">
      <c r="BV557"/>
      <c r="CL557" s="9"/>
    </row>
    <row r="558" spans="74:90" x14ac:dyDescent="0.25">
      <c r="BV558"/>
      <c r="CL558" s="9"/>
    </row>
    <row r="559" spans="74:90" x14ac:dyDescent="0.25">
      <c r="BV559"/>
      <c r="CL559" s="9"/>
    </row>
    <row r="560" spans="74:90" x14ac:dyDescent="0.25">
      <c r="BV560"/>
      <c r="CL560" s="9"/>
    </row>
    <row r="561" spans="74:90" x14ac:dyDescent="0.25">
      <c r="BV561"/>
      <c r="CL561" s="9"/>
    </row>
    <row r="562" spans="74:90" x14ac:dyDescent="0.25">
      <c r="BV562"/>
      <c r="CL562" s="9"/>
    </row>
    <row r="563" spans="74:90" x14ac:dyDescent="0.25">
      <c r="BV563"/>
      <c r="CL563" s="9"/>
    </row>
    <row r="564" spans="74:90" x14ac:dyDescent="0.25">
      <c r="BV564"/>
      <c r="CL564" s="9"/>
    </row>
    <row r="565" spans="74:90" x14ac:dyDescent="0.25">
      <c r="BV565"/>
      <c r="CL565" s="9"/>
    </row>
    <row r="566" spans="74:90" x14ac:dyDescent="0.25">
      <c r="BV566"/>
      <c r="CL566" s="9"/>
    </row>
    <row r="567" spans="74:90" x14ac:dyDescent="0.25">
      <c r="BV567"/>
      <c r="CL567" s="9"/>
    </row>
    <row r="568" spans="74:90" x14ac:dyDescent="0.25">
      <c r="BV568"/>
      <c r="CL568" s="9"/>
    </row>
    <row r="569" spans="74:90" x14ac:dyDescent="0.25">
      <c r="BV569"/>
      <c r="CL569" s="9"/>
    </row>
    <row r="570" spans="74:90" x14ac:dyDescent="0.25">
      <c r="CL570" s="9"/>
    </row>
    <row r="574" spans="74:90" x14ac:dyDescent="0.25">
      <c r="BV574"/>
    </row>
    <row r="575" spans="74:90" x14ac:dyDescent="0.25">
      <c r="BV575"/>
      <c r="CL575" s="9"/>
    </row>
    <row r="576" spans="74:90" x14ac:dyDescent="0.25">
      <c r="CL576" s="9"/>
    </row>
    <row r="577" spans="74:90" x14ac:dyDescent="0.25">
      <c r="BV577"/>
    </row>
    <row r="578" spans="74:90" x14ac:dyDescent="0.25">
      <c r="CL578" s="9"/>
    </row>
    <row r="581" spans="74:90" x14ac:dyDescent="0.25">
      <c r="BV581"/>
    </row>
    <row r="582" spans="74:90" x14ac:dyDescent="0.25">
      <c r="BV582"/>
      <c r="CL582" s="9"/>
    </row>
    <row r="583" spans="74:90" x14ac:dyDescent="0.25">
      <c r="CL583" s="9"/>
    </row>
    <row r="614" spans="74:90" x14ac:dyDescent="0.25">
      <c r="BV614"/>
    </row>
    <row r="615" spans="74:90" x14ac:dyDescent="0.25">
      <c r="BV615"/>
      <c r="CL615" s="9"/>
    </row>
    <row r="616" spans="74:90" x14ac:dyDescent="0.25">
      <c r="BV616"/>
      <c r="CL616" s="9"/>
    </row>
    <row r="617" spans="74:90" x14ac:dyDescent="0.25">
      <c r="BV617"/>
      <c r="CL617" s="9"/>
    </row>
    <row r="618" spans="74:90" x14ac:dyDescent="0.25">
      <c r="BV618"/>
      <c r="CL618" s="9"/>
    </row>
    <row r="619" spans="74:90" x14ac:dyDescent="0.25">
      <c r="BV619"/>
      <c r="CL619" s="9"/>
    </row>
    <row r="620" spans="74:90" x14ac:dyDescent="0.25">
      <c r="BV620"/>
      <c r="CL620" s="9"/>
    </row>
    <row r="621" spans="74:90" x14ac:dyDescent="0.25">
      <c r="BV621"/>
      <c r="CL621" s="9"/>
    </row>
    <row r="622" spans="74:90" x14ac:dyDescent="0.25">
      <c r="CL622" s="9"/>
    </row>
    <row r="624" spans="74:90" x14ac:dyDescent="0.25">
      <c r="BV624"/>
    </row>
    <row r="625" spans="74:90" x14ac:dyDescent="0.25">
      <c r="CL625" s="9"/>
    </row>
    <row r="629" spans="74:90" x14ac:dyDescent="0.25">
      <c r="BV629"/>
    </row>
    <row r="630" spans="74:90" x14ac:dyDescent="0.25">
      <c r="CL630" s="9"/>
    </row>
    <row r="633" spans="74:90" x14ac:dyDescent="0.25">
      <c r="BV633"/>
    </row>
    <row r="634" spans="74:90" x14ac:dyDescent="0.25">
      <c r="BV634"/>
      <c r="CL634" s="9"/>
    </row>
    <row r="635" spans="74:90" x14ac:dyDescent="0.25">
      <c r="BV635"/>
      <c r="CL635" s="9"/>
    </row>
    <row r="636" spans="74:90" x14ac:dyDescent="0.25">
      <c r="BV636"/>
      <c r="CL636" s="9"/>
    </row>
    <row r="637" spans="74:90" x14ac:dyDescent="0.25">
      <c r="CL637" s="9"/>
    </row>
    <row r="644" spans="74:90" x14ac:dyDescent="0.25">
      <c r="BV644"/>
    </row>
    <row r="645" spans="74:90" x14ac:dyDescent="0.25">
      <c r="CL645" s="9"/>
    </row>
    <row r="648" spans="74:90" x14ac:dyDescent="0.25">
      <c r="BV648"/>
    </row>
    <row r="649" spans="74:90" x14ac:dyDescent="0.25">
      <c r="BV649"/>
      <c r="CL649" s="9"/>
    </row>
    <row r="650" spans="74:90" x14ac:dyDescent="0.25">
      <c r="BV650"/>
      <c r="CL650" s="9"/>
    </row>
    <row r="651" spans="74:90" x14ac:dyDescent="0.25">
      <c r="BV651"/>
      <c r="CL651" s="9"/>
    </row>
    <row r="652" spans="74:90" x14ac:dyDescent="0.25">
      <c r="CL652" s="9"/>
    </row>
    <row r="654" spans="74:90" x14ac:dyDescent="0.25">
      <c r="BV654"/>
    </row>
    <row r="655" spans="74:90" x14ac:dyDescent="0.25">
      <c r="BV655"/>
      <c r="CL655" s="9"/>
    </row>
    <row r="656" spans="74:90" x14ac:dyDescent="0.25">
      <c r="CL656" s="9"/>
    </row>
    <row r="657" spans="90:90" x14ac:dyDescent="0.25">
      <c r="CL657">
        <v>0.15</v>
      </c>
    </row>
    <row r="659" spans="90:90" x14ac:dyDescent="0.25">
      <c r="CL659">
        <v>0.2</v>
      </c>
    </row>
    <row r="660" spans="90:90" x14ac:dyDescent="0.25">
      <c r="CL660">
        <v>0.1</v>
      </c>
    </row>
    <row r="662" spans="90:90" x14ac:dyDescent="0.25">
      <c r="CL662">
        <v>0.2</v>
      </c>
    </row>
    <row r="669" spans="90:90" x14ac:dyDescent="0.25">
      <c r="CL669">
        <v>1</v>
      </c>
    </row>
    <row r="671" spans="90:90" x14ac:dyDescent="0.25">
      <c r="CL671">
        <v>0.4</v>
      </c>
    </row>
    <row r="672" spans="90:90" x14ac:dyDescent="0.25">
      <c r="CL672">
        <v>0.6</v>
      </c>
    </row>
    <row r="675" spans="74:90" x14ac:dyDescent="0.25">
      <c r="CL675">
        <v>0.5</v>
      </c>
    </row>
    <row r="676" spans="74:90" x14ac:dyDescent="0.25">
      <c r="CL676">
        <v>0.66700000000000004</v>
      </c>
    </row>
    <row r="677" spans="74:90" x14ac:dyDescent="0.25">
      <c r="CL677">
        <v>0.2</v>
      </c>
    </row>
    <row r="680" spans="74:90" x14ac:dyDescent="0.25">
      <c r="BV680"/>
    </row>
    <row r="681" spans="74:90" x14ac:dyDescent="0.25">
      <c r="BV681"/>
      <c r="CL681" s="9"/>
    </row>
    <row r="682" spans="74:90" x14ac:dyDescent="0.25">
      <c r="BV682"/>
      <c r="CL682" s="9"/>
    </row>
    <row r="683" spans="74:90" x14ac:dyDescent="0.25">
      <c r="BV683"/>
      <c r="CL683" s="9"/>
    </row>
    <row r="684" spans="74:90" x14ac:dyDescent="0.25">
      <c r="BV684"/>
      <c r="CL684" s="9"/>
    </row>
    <row r="685" spans="74:90" x14ac:dyDescent="0.25">
      <c r="BV685"/>
      <c r="CL685" s="9"/>
    </row>
    <row r="686" spans="74:90" x14ac:dyDescent="0.25">
      <c r="BV686"/>
      <c r="CL686" s="9"/>
    </row>
    <row r="687" spans="74:90" x14ac:dyDescent="0.25">
      <c r="BV687"/>
      <c r="CL687" s="9"/>
    </row>
    <row r="688" spans="74:90" x14ac:dyDescent="0.25">
      <c r="BV688"/>
      <c r="CL688" s="9"/>
    </row>
    <row r="689" spans="74:90" x14ac:dyDescent="0.25">
      <c r="CL689" s="9"/>
    </row>
    <row r="690" spans="74:90" x14ac:dyDescent="0.25">
      <c r="BV690"/>
    </row>
    <row r="691" spans="74:90" x14ac:dyDescent="0.25">
      <c r="CL691" s="9"/>
    </row>
    <row r="700" spans="74:90" x14ac:dyDescent="0.25">
      <c r="BV700"/>
    </row>
    <row r="701" spans="74:90" x14ac:dyDescent="0.25">
      <c r="BV701"/>
      <c r="CL701" s="9"/>
    </row>
    <row r="702" spans="74:90" x14ac:dyDescent="0.25">
      <c r="BV702"/>
      <c r="CL702" s="9"/>
    </row>
    <row r="703" spans="74:90" x14ac:dyDescent="0.25">
      <c r="BV703"/>
      <c r="CL703" s="9"/>
    </row>
    <row r="704" spans="74:90" x14ac:dyDescent="0.25">
      <c r="BV704"/>
      <c r="CL704" s="9"/>
    </row>
    <row r="705" spans="74:90" x14ac:dyDescent="0.25">
      <c r="BV705"/>
      <c r="CL705" s="9"/>
    </row>
    <row r="706" spans="74:90" x14ac:dyDescent="0.25">
      <c r="BV706"/>
      <c r="CL706" s="9"/>
    </row>
    <row r="707" spans="74:90" x14ac:dyDescent="0.25">
      <c r="BV707"/>
      <c r="CL707" s="9"/>
    </row>
    <row r="708" spans="74:90" x14ac:dyDescent="0.25">
      <c r="CL708" s="9"/>
    </row>
    <row r="709" spans="74:90" x14ac:dyDescent="0.25">
      <c r="BV709"/>
    </row>
    <row r="710" spans="74:90" x14ac:dyDescent="0.25">
      <c r="CL710" s="9"/>
    </row>
    <row r="715" spans="74:90" x14ac:dyDescent="0.25">
      <c r="BV715"/>
    </row>
    <row r="716" spans="74:90" x14ac:dyDescent="0.25">
      <c r="BV716"/>
      <c r="CL716" s="9"/>
    </row>
    <row r="717" spans="74:90" x14ac:dyDescent="0.25">
      <c r="CL717" s="9"/>
    </row>
    <row r="718" spans="74:90" x14ac:dyDescent="0.25">
      <c r="BV718"/>
    </row>
    <row r="719" spans="74:90" x14ac:dyDescent="0.25">
      <c r="BV719"/>
      <c r="CL719" s="9"/>
    </row>
    <row r="720" spans="74:90" x14ac:dyDescent="0.25">
      <c r="CL720" s="9"/>
    </row>
    <row r="721" spans="8:90" x14ac:dyDescent="0.25">
      <c r="BV721"/>
    </row>
    <row r="722" spans="8:90" x14ac:dyDescent="0.25">
      <c r="BV722"/>
      <c r="CL722" s="9"/>
    </row>
    <row r="723" spans="8:90" x14ac:dyDescent="0.25">
      <c r="BV723"/>
      <c r="CL723" s="9"/>
    </row>
    <row r="724" spans="8:90" x14ac:dyDescent="0.25">
      <c r="BV724"/>
      <c r="CL724" s="9"/>
    </row>
    <row r="725" spans="8:90" x14ac:dyDescent="0.25">
      <c r="CL725" s="9"/>
    </row>
    <row r="729" spans="8:90" x14ac:dyDescent="0.25">
      <c r="BV729"/>
    </row>
    <row r="730" spans="8:90" x14ac:dyDescent="0.25">
      <c r="BV730"/>
      <c r="CL730" s="9"/>
    </row>
    <row r="731" spans="8:90" x14ac:dyDescent="0.25">
      <c r="BV731"/>
      <c r="CL731" s="9"/>
    </row>
    <row r="732" spans="8:90" x14ac:dyDescent="0.25">
      <c r="CL732" s="9"/>
    </row>
    <row r="733" spans="8:90" x14ac:dyDescent="0.25">
      <c r="BV733"/>
    </row>
    <row r="734" spans="8:90" x14ac:dyDescent="0.25">
      <c r="CL734" s="9"/>
    </row>
    <row r="735" spans="8:90" x14ac:dyDescent="0.25">
      <c r="BU735" s="4"/>
      <c r="BV735" s="16"/>
    </row>
    <row r="736" spans="8:90" x14ac:dyDescent="0.25">
      <c r="H736" s="4"/>
      <c r="CL736" s="4"/>
    </row>
    <row r="753" spans="8:90" x14ac:dyDescent="0.25">
      <c r="BV753"/>
    </row>
    <row r="754" spans="8:90" x14ac:dyDescent="0.25">
      <c r="BV754"/>
      <c r="CL754" s="9"/>
    </row>
    <row r="755" spans="8:90" x14ac:dyDescent="0.25">
      <c r="BV755"/>
      <c r="CL755" s="9"/>
    </row>
    <row r="756" spans="8:90" x14ac:dyDescent="0.25">
      <c r="BV756"/>
      <c r="CL756" s="9"/>
    </row>
    <row r="757" spans="8:90" x14ac:dyDescent="0.25">
      <c r="CL757" s="9"/>
    </row>
    <row r="758" spans="8:90" x14ac:dyDescent="0.25">
      <c r="BV758"/>
    </row>
    <row r="759" spans="8:90" x14ac:dyDescent="0.25">
      <c r="BV759"/>
      <c r="CL759" s="9"/>
    </row>
    <row r="760" spans="8:90" x14ac:dyDescent="0.25">
      <c r="BU760" s="4"/>
      <c r="BV760" s="16"/>
      <c r="CL760" s="9"/>
    </row>
    <row r="761" spans="8:90" x14ac:dyDescent="0.25">
      <c r="H761" s="4"/>
      <c r="CL761" s="4"/>
    </row>
    <row r="764" spans="8:90" x14ac:dyDescent="0.25">
      <c r="BV764"/>
    </row>
    <row r="765" spans="8:90" x14ac:dyDescent="0.25">
      <c r="BV765"/>
      <c r="CL765" s="9"/>
    </row>
    <row r="766" spans="8:90" x14ac:dyDescent="0.25">
      <c r="BV766"/>
      <c r="CL766" s="9"/>
    </row>
    <row r="767" spans="8:90" x14ac:dyDescent="0.25">
      <c r="BV767"/>
      <c r="CL767" s="9"/>
    </row>
    <row r="768" spans="8:90" x14ac:dyDescent="0.25">
      <c r="BV768"/>
      <c r="CL768" s="9"/>
    </row>
    <row r="769" spans="74:90" x14ac:dyDescent="0.25">
      <c r="BV769"/>
      <c r="CL769" s="9"/>
    </row>
    <row r="770" spans="74:90" x14ac:dyDescent="0.25">
      <c r="BV770"/>
      <c r="CL770" s="9"/>
    </row>
    <row r="771" spans="74:90" x14ac:dyDescent="0.25">
      <c r="BV771"/>
      <c r="CL771" s="9"/>
    </row>
    <row r="772" spans="74:90" x14ac:dyDescent="0.25">
      <c r="CL772" s="9"/>
    </row>
    <row r="774" spans="74:90" x14ac:dyDescent="0.25">
      <c r="BV774"/>
    </row>
    <row r="775" spans="74:90" x14ac:dyDescent="0.25">
      <c r="BV775"/>
      <c r="CL775" s="9"/>
    </row>
    <row r="776" spans="74:90" x14ac:dyDescent="0.25">
      <c r="BV776"/>
      <c r="CL776" s="9"/>
    </row>
    <row r="777" spans="74:90" x14ac:dyDescent="0.25">
      <c r="BV777"/>
      <c r="CL777" s="9"/>
    </row>
    <row r="778" spans="74:90" x14ac:dyDescent="0.25">
      <c r="BV778"/>
      <c r="CL778" s="9"/>
    </row>
    <row r="779" spans="74:90" x14ac:dyDescent="0.25">
      <c r="BV779"/>
      <c r="CL779" s="9"/>
    </row>
    <row r="780" spans="74:90" x14ac:dyDescent="0.25">
      <c r="CL780" s="9"/>
    </row>
    <row r="781" spans="74:90" x14ac:dyDescent="0.25">
      <c r="BV781"/>
    </row>
    <row r="782" spans="74:90" x14ac:dyDescent="0.25">
      <c r="BV782"/>
      <c r="CL782" s="9"/>
    </row>
    <row r="783" spans="74:90" x14ac:dyDescent="0.25">
      <c r="BV783"/>
      <c r="CL783" s="9"/>
    </row>
    <row r="784" spans="74:90" x14ac:dyDescent="0.25">
      <c r="BV784"/>
      <c r="CL784" s="9"/>
    </row>
    <row r="785" spans="74:90" x14ac:dyDescent="0.25">
      <c r="BV785"/>
      <c r="CL785" s="9"/>
    </row>
    <row r="786" spans="74:90" x14ac:dyDescent="0.25">
      <c r="BV786"/>
      <c r="CL786" s="9"/>
    </row>
    <row r="787" spans="74:90" x14ac:dyDescent="0.25">
      <c r="BV787"/>
      <c r="CL787" s="9"/>
    </row>
    <row r="788" spans="74:90" x14ac:dyDescent="0.25">
      <c r="BV788"/>
      <c r="CL788" s="9"/>
    </row>
    <row r="789" spans="74:90" x14ac:dyDescent="0.25">
      <c r="BV789"/>
      <c r="CL789" s="9"/>
    </row>
    <row r="790" spans="74:90" x14ac:dyDescent="0.25">
      <c r="BV790"/>
      <c r="CL790" s="9"/>
    </row>
    <row r="791" spans="74:90" x14ac:dyDescent="0.25">
      <c r="BV791"/>
      <c r="CL791" s="9"/>
    </row>
    <row r="792" spans="74:90" x14ac:dyDescent="0.25">
      <c r="BV792"/>
      <c r="CL792" s="9"/>
    </row>
    <row r="793" spans="74:90" x14ac:dyDescent="0.25">
      <c r="BV793"/>
      <c r="CL793" s="9"/>
    </row>
    <row r="794" spans="74:90" x14ac:dyDescent="0.25">
      <c r="BV794"/>
      <c r="CL794" s="9"/>
    </row>
    <row r="795" spans="74:90" x14ac:dyDescent="0.25">
      <c r="BV795"/>
      <c r="CL795" s="9"/>
    </row>
    <row r="796" spans="74:90" x14ac:dyDescent="0.25">
      <c r="BV796"/>
      <c r="CL796" s="9"/>
    </row>
    <row r="797" spans="74:90" x14ac:dyDescent="0.25">
      <c r="BV797"/>
      <c r="CL797" s="9"/>
    </row>
    <row r="798" spans="74:90" x14ac:dyDescent="0.25">
      <c r="BV798"/>
      <c r="CL798" s="9"/>
    </row>
    <row r="799" spans="74:90" x14ac:dyDescent="0.25">
      <c r="BV799"/>
      <c r="CL799" s="9"/>
    </row>
    <row r="800" spans="74:90" x14ac:dyDescent="0.25">
      <c r="BV800"/>
      <c r="CL800" s="9"/>
    </row>
    <row r="801" spans="74:90" x14ac:dyDescent="0.25">
      <c r="BV801"/>
      <c r="CL801" s="9"/>
    </row>
    <row r="802" spans="74:90" x14ac:dyDescent="0.25">
      <c r="BV802"/>
      <c r="CL802" s="9"/>
    </row>
    <row r="803" spans="74:90" x14ac:dyDescent="0.25">
      <c r="BV803"/>
      <c r="CL803" s="9"/>
    </row>
    <row r="804" spans="74:90" x14ac:dyDescent="0.25">
      <c r="BV804"/>
      <c r="CL804" s="9"/>
    </row>
    <row r="805" spans="74:90" x14ac:dyDescent="0.25">
      <c r="BV805"/>
      <c r="CL805" s="9"/>
    </row>
    <row r="806" spans="74:90" x14ac:dyDescent="0.25">
      <c r="BV806"/>
      <c r="CL806" s="9"/>
    </row>
    <row r="807" spans="74:90" x14ac:dyDescent="0.25">
      <c r="BV807"/>
      <c r="CL807" s="9"/>
    </row>
    <row r="808" spans="74:90" x14ac:dyDescent="0.25">
      <c r="BV808"/>
      <c r="CL808" s="9"/>
    </row>
    <row r="809" spans="74:90" x14ac:dyDescent="0.25">
      <c r="BV809"/>
      <c r="CL809" s="9"/>
    </row>
    <row r="810" spans="74:90" x14ac:dyDescent="0.25">
      <c r="BV810"/>
      <c r="CL810" s="9"/>
    </row>
    <row r="811" spans="74:90" x14ac:dyDescent="0.25">
      <c r="CL811" s="9"/>
    </row>
    <row r="812" spans="74:90" x14ac:dyDescent="0.25">
      <c r="BV812"/>
    </row>
    <row r="813" spans="74:90" x14ac:dyDescent="0.25">
      <c r="BV813"/>
      <c r="CL813" s="9"/>
    </row>
    <row r="814" spans="74:90" x14ac:dyDescent="0.25">
      <c r="BV814"/>
      <c r="CL814" s="9"/>
    </row>
    <row r="815" spans="74:90" x14ac:dyDescent="0.25">
      <c r="CL815" s="9"/>
    </row>
  </sheetData>
  <phoneticPr fontId="6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4"/>
  <sheetViews>
    <sheetView workbookViewId="0">
      <pane xSplit="1" ySplit="3" topLeftCell="B6" activePane="bottomRight" state="frozen"/>
      <selection pane="topRight"/>
      <selection pane="bottomLeft"/>
      <selection pane="bottomRight" activeCell="Q6" sqref="Q6:Q2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9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466</v>
      </c>
      <c r="F1" t="s">
        <v>467</v>
      </c>
      <c r="G1" t="s">
        <v>468</v>
      </c>
      <c r="H1" t="s">
        <v>469</v>
      </c>
      <c r="I1" t="s">
        <v>470</v>
      </c>
      <c r="J1" t="s">
        <v>471</v>
      </c>
      <c r="L1" t="s">
        <v>472</v>
      </c>
      <c r="M1" t="s">
        <v>473</v>
      </c>
      <c r="N1" t="s">
        <v>474</v>
      </c>
      <c r="O1" t="s">
        <v>475</v>
      </c>
      <c r="P1" s="1" t="s">
        <v>571</v>
      </c>
    </row>
    <row r="2" spans="1:17" x14ac:dyDescent="0.25">
      <c r="A2" t="s">
        <v>0</v>
      </c>
      <c r="C2" t="s">
        <v>46</v>
      </c>
      <c r="D2" t="s">
        <v>75</v>
      </c>
      <c r="E2" t="s">
        <v>476</v>
      </c>
      <c r="F2" t="s">
        <v>477</v>
      </c>
      <c r="G2" t="s">
        <v>478</v>
      </c>
      <c r="H2" t="s">
        <v>479</v>
      </c>
      <c r="I2" t="s">
        <v>480</v>
      </c>
      <c r="J2" t="s">
        <v>481</v>
      </c>
      <c r="K2" t="s">
        <v>482</v>
      </c>
      <c r="L2" t="s">
        <v>51</v>
      </c>
      <c r="M2" t="s">
        <v>483</v>
      </c>
      <c r="N2" t="s">
        <v>484</v>
      </c>
      <c r="O2" t="s">
        <v>485</v>
      </c>
      <c r="P2" s="1" t="s">
        <v>572</v>
      </c>
      <c r="Q2" t="s">
        <v>344</v>
      </c>
    </row>
    <row r="3" spans="1:17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374</v>
      </c>
      <c r="K3" t="s">
        <v>113</v>
      </c>
      <c r="L3" t="s">
        <v>338</v>
      </c>
      <c r="M3" t="s">
        <v>112</v>
      </c>
      <c r="N3" t="s">
        <v>112</v>
      </c>
      <c r="O3" t="s">
        <v>338</v>
      </c>
      <c r="P3" t="s">
        <v>112</v>
      </c>
      <c r="Q3" t="s">
        <v>121</v>
      </c>
    </row>
    <row r="4" spans="1:17" x14ac:dyDescent="0.25">
      <c r="A4" t="s">
        <v>389</v>
      </c>
      <c r="C4" t="s">
        <v>486</v>
      </c>
      <c r="H4">
        <v>1</v>
      </c>
      <c r="J4" t="s">
        <v>487</v>
      </c>
      <c r="Q4" t="s">
        <v>488</v>
      </c>
    </row>
    <row r="5" spans="1:17" x14ac:dyDescent="0.25">
      <c r="A5" t="s">
        <v>399</v>
      </c>
      <c r="C5" t="s">
        <v>489</v>
      </c>
      <c r="H5">
        <v>1</v>
      </c>
      <c r="J5" t="s">
        <v>490</v>
      </c>
      <c r="Q5" t="s">
        <v>491</v>
      </c>
    </row>
    <row r="6" spans="1:17" x14ac:dyDescent="0.25">
      <c r="A6" t="s">
        <v>389</v>
      </c>
      <c r="C6" t="s">
        <v>486</v>
      </c>
      <c r="H6">
        <v>1</v>
      </c>
      <c r="J6" t="s">
        <v>487</v>
      </c>
      <c r="Q6" t="s">
        <v>488</v>
      </c>
    </row>
    <row r="7" spans="1:17" x14ac:dyDescent="0.25">
      <c r="A7" t="s">
        <v>399</v>
      </c>
      <c r="C7" t="s">
        <v>489</v>
      </c>
      <c r="H7">
        <v>1</v>
      </c>
      <c r="J7" t="s">
        <v>490</v>
      </c>
      <c r="Q7" t="s">
        <v>491</v>
      </c>
    </row>
    <row r="8" spans="1:17" s="2" customFormat="1" x14ac:dyDescent="0.25">
      <c r="A8" s="2" t="s">
        <v>401</v>
      </c>
      <c r="C8" s="2" t="s">
        <v>486</v>
      </c>
      <c r="H8" s="2">
        <v>1</v>
      </c>
      <c r="Q8" s="2" t="s">
        <v>492</v>
      </c>
    </row>
    <row r="9" spans="1:17" x14ac:dyDescent="0.25">
      <c r="A9" t="s">
        <v>493</v>
      </c>
      <c r="C9" t="s">
        <v>494</v>
      </c>
      <c r="H9">
        <v>1</v>
      </c>
      <c r="N9">
        <v>1</v>
      </c>
      <c r="Q9" t="s">
        <v>495</v>
      </c>
    </row>
    <row r="10" spans="1:17" x14ac:dyDescent="0.25">
      <c r="A10" t="s">
        <v>496</v>
      </c>
      <c r="C10" t="s">
        <v>494</v>
      </c>
      <c r="H10">
        <v>1</v>
      </c>
      <c r="N10">
        <v>1</v>
      </c>
      <c r="Q10" t="s">
        <v>497</v>
      </c>
    </row>
    <row r="11" spans="1:17" s="2" customFormat="1" x14ac:dyDescent="0.25">
      <c r="A11" s="2" t="s">
        <v>406</v>
      </c>
      <c r="C11" s="2" t="s">
        <v>498</v>
      </c>
      <c r="H11" s="2">
        <v>1</v>
      </c>
      <c r="K11"/>
    </row>
    <row r="12" spans="1:17" x14ac:dyDescent="0.25">
      <c r="A12" t="s">
        <v>428</v>
      </c>
      <c r="C12" t="s">
        <v>486</v>
      </c>
      <c r="H12">
        <v>1</v>
      </c>
      <c r="Q12" t="s">
        <v>488</v>
      </c>
    </row>
    <row r="13" spans="1:17" s="2" customFormat="1" x14ac:dyDescent="0.25">
      <c r="A13" s="2" t="s">
        <v>426</v>
      </c>
      <c r="C13" s="2" t="s">
        <v>498</v>
      </c>
      <c r="H13" s="2">
        <v>1</v>
      </c>
      <c r="K13"/>
    </row>
    <row r="14" spans="1:17" s="2" customFormat="1" x14ac:dyDescent="0.25">
      <c r="A14" s="2" t="s">
        <v>424</v>
      </c>
      <c r="C14" s="2" t="s">
        <v>498</v>
      </c>
      <c r="H14" s="2">
        <v>1</v>
      </c>
      <c r="K14"/>
    </row>
    <row r="15" spans="1:17" x14ac:dyDescent="0.25">
      <c r="A15" t="s">
        <v>499</v>
      </c>
      <c r="C15" t="s">
        <v>226</v>
      </c>
      <c r="Q15" t="s">
        <v>500</v>
      </c>
    </row>
    <row r="16" spans="1:17" s="2" customFormat="1" x14ac:dyDescent="0.25">
      <c r="A16" s="2" t="s">
        <v>441</v>
      </c>
      <c r="C16" s="2" t="s">
        <v>486</v>
      </c>
      <c r="H16" s="2">
        <v>1</v>
      </c>
      <c r="J16"/>
      <c r="Q16" s="2" t="s">
        <v>501</v>
      </c>
    </row>
    <row r="17" spans="1:17" x14ac:dyDescent="0.25">
      <c r="A17" t="s">
        <v>502</v>
      </c>
      <c r="C17" t="s">
        <v>489</v>
      </c>
      <c r="H17">
        <v>1</v>
      </c>
      <c r="J17" t="s">
        <v>490</v>
      </c>
      <c r="Q17" t="s">
        <v>491</v>
      </c>
    </row>
    <row r="18" spans="1:17" x14ac:dyDescent="0.25">
      <c r="A18" t="s">
        <v>503</v>
      </c>
      <c r="C18" s="2" t="s">
        <v>498</v>
      </c>
      <c r="J18" t="s">
        <v>504</v>
      </c>
    </row>
    <row r="19" spans="1:17" x14ac:dyDescent="0.25">
      <c r="A19" t="s">
        <v>505</v>
      </c>
      <c r="C19" s="2" t="s">
        <v>498</v>
      </c>
      <c r="J19" t="s">
        <v>506</v>
      </c>
    </row>
    <row r="20" spans="1:17" x14ac:dyDescent="0.25">
      <c r="A20" t="s">
        <v>507</v>
      </c>
      <c r="C20" s="2" t="s">
        <v>498</v>
      </c>
      <c r="J20" t="s">
        <v>508</v>
      </c>
    </row>
    <row r="21" spans="1:17" x14ac:dyDescent="0.25">
      <c r="A21" t="s">
        <v>509</v>
      </c>
      <c r="C21" s="2" t="s">
        <v>498</v>
      </c>
      <c r="J21" t="s">
        <v>510</v>
      </c>
    </row>
    <row r="22" spans="1:17" s="2" customFormat="1" x14ac:dyDescent="0.25">
      <c r="A22" s="2" t="s">
        <v>382</v>
      </c>
      <c r="C22" s="2" t="s">
        <v>498</v>
      </c>
      <c r="H22" s="2">
        <v>1</v>
      </c>
      <c r="J22" t="s">
        <v>511</v>
      </c>
    </row>
    <row r="23" spans="1:17" x14ac:dyDescent="0.25">
      <c r="A23" t="s">
        <v>512</v>
      </c>
      <c r="C23" t="s">
        <v>226</v>
      </c>
      <c r="Q23" t="s">
        <v>513</v>
      </c>
    </row>
    <row r="24" spans="1:17" x14ac:dyDescent="0.25">
      <c r="A24" t="s">
        <v>405</v>
      </c>
      <c r="C24" t="s">
        <v>498</v>
      </c>
      <c r="H24">
        <v>1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A5" sqref="A5:XFD5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514</v>
      </c>
    </row>
    <row r="2" spans="1:4" x14ac:dyDescent="0.25">
      <c r="A2" t="s">
        <v>0</v>
      </c>
      <c r="B2" t="s">
        <v>46</v>
      </c>
      <c r="C2" t="s">
        <v>515</v>
      </c>
      <c r="D2" t="s">
        <v>344</v>
      </c>
    </row>
    <row r="3" spans="1:4" x14ac:dyDescent="0.25">
      <c r="A3" t="s">
        <v>2</v>
      </c>
      <c r="B3" t="s">
        <v>2</v>
      </c>
      <c r="C3" t="s">
        <v>338</v>
      </c>
      <c r="D3" t="s">
        <v>121</v>
      </c>
    </row>
  </sheetData>
  <phoneticPr fontId="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"/>
  <sheetViews>
    <sheetView workbookViewId="0">
      <selection activeCell="A5" sqref="A5:XFD5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231</v>
      </c>
    </row>
    <row r="2" spans="1:10" x14ac:dyDescent="0.25">
      <c r="A2" t="s">
        <v>0</v>
      </c>
      <c r="B2" t="s">
        <v>46</v>
      </c>
      <c r="C2" t="s">
        <v>48</v>
      </c>
      <c r="D2" t="s">
        <v>516</v>
      </c>
      <c r="E2" t="s">
        <v>70</v>
      </c>
      <c r="F2" t="s">
        <v>517</v>
      </c>
      <c r="G2" t="s">
        <v>518</v>
      </c>
      <c r="H2" t="s">
        <v>519</v>
      </c>
      <c r="I2" t="s">
        <v>333</v>
      </c>
      <c r="J2" t="s">
        <v>344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t="s">
        <v>373</v>
      </c>
      <c r="J3" s="1" t="s">
        <v>121</v>
      </c>
    </row>
    <row r="4" spans="1:10" x14ac:dyDescent="0.25">
      <c r="A4" s="1"/>
      <c r="B4" s="1"/>
      <c r="J4" s="1"/>
    </row>
  </sheetData>
  <phoneticPr fontId="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8"/>
  <sheetViews>
    <sheetView workbookViewId="0">
      <pane xSplit="1" ySplit="3" topLeftCell="B4" activePane="bottomRight" state="frozen"/>
      <selection pane="topRight"/>
      <selection pane="bottomLeft"/>
      <selection pane="bottomRight" activeCell="A4" sqref="A4:XFD8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520</v>
      </c>
      <c r="C1" t="s">
        <v>521</v>
      </c>
      <c r="D1" t="s">
        <v>522</v>
      </c>
      <c r="E1" t="s">
        <v>523</v>
      </c>
      <c r="F1" t="s">
        <v>524</v>
      </c>
      <c r="H1" t="s">
        <v>525</v>
      </c>
      <c r="I1" t="s">
        <v>526</v>
      </c>
      <c r="J1" t="s">
        <v>527</v>
      </c>
      <c r="K1" t="s">
        <v>528</v>
      </c>
      <c r="L1" t="s">
        <v>529</v>
      </c>
    </row>
    <row r="2" spans="1:12" x14ac:dyDescent="0.25">
      <c r="A2" t="s">
        <v>0</v>
      </c>
      <c r="B2" t="s">
        <v>530</v>
      </c>
      <c r="C2" t="s">
        <v>531</v>
      </c>
      <c r="D2" t="s">
        <v>532</v>
      </c>
      <c r="E2" t="s">
        <v>533</v>
      </c>
      <c r="F2" t="s">
        <v>534</v>
      </c>
      <c r="G2" t="s">
        <v>535</v>
      </c>
      <c r="H2" t="s">
        <v>536</v>
      </c>
      <c r="I2" t="s">
        <v>537</v>
      </c>
      <c r="J2" t="s">
        <v>538</v>
      </c>
      <c r="K2" t="s">
        <v>517</v>
      </c>
      <c r="L2" t="s">
        <v>93</v>
      </c>
    </row>
    <row r="3" spans="1:12" x14ac:dyDescent="0.25">
      <c r="A3" t="s">
        <v>2</v>
      </c>
      <c r="B3" t="s">
        <v>2</v>
      </c>
      <c r="C3" t="s">
        <v>114</v>
      </c>
      <c r="D3" t="s">
        <v>539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  <row r="4" spans="1:12" x14ac:dyDescent="0.25">
      <c r="A4" t="s">
        <v>504</v>
      </c>
      <c r="B4" t="s">
        <v>540</v>
      </c>
      <c r="E4" t="s">
        <v>541</v>
      </c>
      <c r="F4">
        <v>1</v>
      </c>
      <c r="H4">
        <v>2</v>
      </c>
      <c r="I4">
        <v>1</v>
      </c>
    </row>
    <row r="5" spans="1:12" x14ac:dyDescent="0.25">
      <c r="A5" t="s">
        <v>506</v>
      </c>
      <c r="B5" t="s">
        <v>540</v>
      </c>
      <c r="E5" t="s">
        <v>542</v>
      </c>
      <c r="F5">
        <v>1</v>
      </c>
      <c r="H5">
        <v>2</v>
      </c>
      <c r="I5">
        <v>1</v>
      </c>
    </row>
    <row r="6" spans="1:12" x14ac:dyDescent="0.25">
      <c r="A6" t="s">
        <v>508</v>
      </c>
      <c r="B6" t="s">
        <v>543</v>
      </c>
      <c r="E6" t="s">
        <v>544</v>
      </c>
      <c r="F6">
        <v>1</v>
      </c>
      <c r="H6">
        <v>1</v>
      </c>
      <c r="I6">
        <v>1</v>
      </c>
    </row>
    <row r="7" spans="1:12" x14ac:dyDescent="0.25">
      <c r="A7" t="s">
        <v>510</v>
      </c>
      <c r="B7" t="s">
        <v>543</v>
      </c>
      <c r="E7" t="s">
        <v>545</v>
      </c>
      <c r="F7">
        <v>1</v>
      </c>
      <c r="H7">
        <v>1</v>
      </c>
      <c r="I7">
        <v>1</v>
      </c>
    </row>
    <row r="8" spans="1:12" x14ac:dyDescent="0.25">
      <c r="A8" t="s">
        <v>459</v>
      </c>
      <c r="B8" t="s">
        <v>546</v>
      </c>
      <c r="I8">
        <v>2</v>
      </c>
      <c r="K8">
        <v>60</v>
      </c>
      <c r="L8">
        <v>1</v>
      </c>
    </row>
  </sheetData>
  <phoneticPr fontId="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H18" sqref="H18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256</v>
      </c>
      <c r="C2" t="s">
        <v>75</v>
      </c>
      <c r="D2" t="s">
        <v>547</v>
      </c>
      <c r="E2" t="s">
        <v>548</v>
      </c>
      <c r="F2" t="s">
        <v>77</v>
      </c>
      <c r="G2" t="s">
        <v>549</v>
      </c>
      <c r="H2" t="s">
        <v>284</v>
      </c>
      <c r="I2" t="s">
        <v>550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551</v>
      </c>
      <c r="I3" t="s">
        <v>114</v>
      </c>
      <c r="J3" t="s">
        <v>114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E8CB0-B427-4844-821D-4F02A6E9CDE7}">
  <dimension ref="A1:I3"/>
  <sheetViews>
    <sheetView workbookViewId="0">
      <selection sqref="A1:XFD3"/>
    </sheetView>
  </sheetViews>
  <sheetFormatPr defaultRowHeight="14.05" x14ac:dyDescent="0.25"/>
  <cols>
    <col min="1" max="1" width="8.6640625" style="7"/>
    <col min="2" max="2" width="13.83203125" style="7" customWidth="1"/>
    <col min="3" max="3" width="20.58203125" style="7" customWidth="1"/>
    <col min="4" max="4" width="39.6640625" style="7" customWidth="1"/>
    <col min="5" max="5" width="37.58203125" style="7" customWidth="1"/>
    <col min="6" max="6" width="39.5" style="7" customWidth="1"/>
    <col min="7" max="7" width="38.58203125" style="7" customWidth="1"/>
    <col min="8" max="8" width="32.25" style="7" customWidth="1"/>
    <col min="9" max="9" width="39.9140625" style="7" customWidth="1"/>
    <col min="10" max="16384" width="8.6640625" style="7"/>
  </cols>
  <sheetData>
    <row r="1" spans="1:9" x14ac:dyDescent="0.25">
      <c r="A1" s="7" t="s">
        <v>552</v>
      </c>
      <c r="B1" s="7" t="s">
        <v>553</v>
      </c>
      <c r="C1" s="7" t="s">
        <v>554</v>
      </c>
      <c r="D1" s="7" t="s">
        <v>555</v>
      </c>
      <c r="E1" s="7" t="s">
        <v>556</v>
      </c>
      <c r="F1" s="7" t="s">
        <v>557</v>
      </c>
      <c r="G1" s="7" t="s">
        <v>558</v>
      </c>
      <c r="H1" s="7" t="s">
        <v>559</v>
      </c>
      <c r="I1" s="7" t="s">
        <v>560</v>
      </c>
    </row>
    <row r="2" spans="1:9" x14ac:dyDescent="0.25">
      <c r="A2" s="7" t="s">
        <v>552</v>
      </c>
      <c r="B2" s="7" t="s">
        <v>561</v>
      </c>
      <c r="C2" s="7" t="s">
        <v>562</v>
      </c>
      <c r="D2" s="7" t="s">
        <v>563</v>
      </c>
      <c r="E2" s="7" t="s">
        <v>564</v>
      </c>
      <c r="F2" s="7" t="s">
        <v>565</v>
      </c>
      <c r="G2" s="7" t="s">
        <v>566</v>
      </c>
      <c r="H2" s="7" t="s">
        <v>567</v>
      </c>
      <c r="I2" s="7" t="s">
        <v>568</v>
      </c>
    </row>
    <row r="3" spans="1:9" x14ac:dyDescent="0.25">
      <c r="A3" s="7" t="s">
        <v>569</v>
      </c>
      <c r="B3" s="7" t="s">
        <v>570</v>
      </c>
      <c r="C3" s="7" t="s">
        <v>570</v>
      </c>
      <c r="D3" s="7" t="s">
        <v>569</v>
      </c>
      <c r="E3" s="7" t="s">
        <v>569</v>
      </c>
      <c r="F3" s="7" t="s">
        <v>569</v>
      </c>
      <c r="G3" s="7" t="s">
        <v>569</v>
      </c>
      <c r="H3" s="7" t="s">
        <v>569</v>
      </c>
      <c r="I3" s="7" t="s">
        <v>569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2026-01-10T17:56:16Z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