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297E5C49-216F-472A-B417-DB974D27B229}" xr6:coauthVersionLast="47" xr6:coauthVersionMax="47" xr10:uidLastSave="{00000000-0000-0000-0000-000000000000}"/>
  <bookViews>
    <workbookView xWindow="-103" yWindow="-103" windowWidth="24144" windowHeight="14447" activeTab="7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" i="1" l="1"/>
  <c r="BF6" i="1"/>
  <c r="BE6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<sst xmlns="http://schemas.openxmlformats.org/spreadsheetml/2006/main" count="1010" uniqueCount="583">
  <si>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</si>
  <si>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</si>
  <si>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</si>
  <si>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</si>
  <si>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</si>
  <si>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</si>
  <si>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</si>
  <si>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</si>
  <si>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</si>
  <si>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</si>
  <si>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</si>
  <si>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</si>
  <si>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</si>
  <si>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</si>
  <si>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</si>
  <si>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</si>
  <si>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</si>
  <si>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</si>
  <si>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</si>
  <si>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</si>
  <si>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</si>
  <si>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</si>
  <si>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</si>
  <si>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</si>
  <si>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</si>
  <si>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</si>
  <si>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</si>
  <si>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</si>
  <si>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</si>
  <si>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</si>
  <si>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</si>
  <si>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</si>
  <si>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</si>
  <si>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</si>
  <si>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</si>
  <si>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</si>
  <si>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</si>
  <si>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</si>
  <si>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</si>
  <si>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</si>
  <si>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</si>
  <si>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</si>
  <si>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</si>
  <si>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</si>
  <si>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</si>
  <si>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</si>
  <si>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</si>
  <si>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</si>
  <si>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</si>
  <si>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</si>
  <si>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</si>
  <si>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</si>
  <si>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</si>
  <si>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</si>
  <si>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</si>
  <si>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</si>
  <si>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</si>
  <si>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</si>
  <si>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</si>
  <si>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</si>
  <si>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</si>
  <si>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</si>
  <si>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</si>
  <si>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</si>
  <si>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</si>
  <si>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</si>
  <si>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</si>
  <si>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</si>
  <si>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</si>
  <si>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</si>
  <si>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</si>
  <si>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</si>
  <si>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</si>
  <si>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</si>
  <si>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</si>
  <si>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</si>
  <si>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</si>
  <si>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</si>
  <si>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</si>
  <si>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</si>
  <si>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</si>
  <si>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</si>
  <si>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</si>
  <si>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</si>
  <si>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</si>
  <si>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</si>
  <si>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</si>
  <si>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</si>
  <si>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</si>
  <si>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</si>
  <si>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</si>
  <si>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</si>
  <si>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</si>
  <si>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</si>
  <si>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</si>
  <si>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</si>
  <si>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</si>
  <si>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</si>
  <si>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</si>
  <si>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</si>
  <si>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</si>
  <si>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</si>
  <si>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</si>
  <si>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</si>
  <si>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</si>
  <si>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</si>
  <si>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</si>
  <si>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</si>
  <si>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</si>
  <si>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</si>
  <si>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</si>
  <si>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</si>
  <si>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</si>
  <si>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</si>
  <si>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</si>
  <si>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</si>
  <si>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</si>
  <si>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</si>
  <si>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</si>
  <si>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</si>
  <si>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</si>
  <si>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</si>
  <si>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</si>
  <si>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</si>
  <si>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</si>
  <si>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</si>
  <si>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</si>
  <si>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</si>
  <si>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</si>
  <si>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</si>
  <si>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</si>
  <si>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</si>
  <si>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</si>
  <si>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</si>
  <si>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</si>
  <si>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</si>
  <si>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</si>
  <si>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</si>
  <si>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</si>
  <si>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</si>
  <si>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</si>
  <si>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</si>
  <si>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</si>
  <si>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</si>
  <si>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</si>
  <si>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</si>
  <si>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</si>
  <si>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</si>
  <si>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</si>
  <si>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</si>
  <si>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</si>
  <si>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</si>
  <si>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</si>
  <si>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</si>
  <si>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</si>
  <si>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</si>
  <si>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</si>
  <si>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</si>
  <si>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</si>
  <si>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</si>
  <si>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</si>
  <si>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</si>
  <si>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</si>
  <si>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</si>
  <si>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</si>
  <si>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</si>
  <si>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</si>
  <si>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</si>
  <si>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</si>
  <si>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</si>
  <si>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</si>
  <si>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</si>
  <si>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</si>
  <si>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</si>
  <si>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</si>
  <si>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</si>
  <si>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</si>
  <si>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</si>
  <si>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</si>
  <si>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</si>
  <si>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</si>
  <si>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</si>
  <si>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</si>
  <si>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</si>
  <si>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</si>
  <si>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</si>
  <si>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</si>
  <si>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</si>
  <si>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</si>
  <si>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</si>
  <si>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</si>
  <si>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</si>
  <si>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</si>
  <si>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</si>
  <si>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</si>
  <si>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</si>
  <si>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</si>
  <si>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</si>
  <si>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</si>
  <si>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</si>
  <si>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</si>
  <si>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</si>
  <si>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</si>
  <si>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</si>
  <si>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</si>
  <si>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</si>
  <si>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</si>
  <si>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</si>
  <si>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</si>
  <si>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</si>
  <si>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</si>
  <si>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</si>
  <si>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</si>
  <si>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</si>
  <si>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</si>
  <si>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</si>
  <si>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</si>
  <si>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</si>
  <si>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</si>
  <si>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</si>
  <si>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</si>
  <si>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</si>
  <si>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</si>
  <si>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</si>
  <si>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</si>
  <si>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</si>
  <si>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</si>
  <si>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</si>
  <si>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</si>
  <si>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</si>
  <si>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</si>
  <si>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</si>
  <si>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</si>
  <si>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</si>
  <si>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</si>
  <si>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</si>
  <si>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</si>
  <si>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</si>
  <si>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</si>
  <si>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</si>
  <si>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</si>
  <si>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</si>
  <si>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</si>
  <si>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</si>
  <si>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</si>
  <si>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</si>
  <si>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</si>
  <si>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</si>
  <si>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</si>
  <si>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</si>
  <si>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</si>
  <si>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</si>
  <si>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</si>
  <si>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</si>
  <si>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</si>
  <si>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</si>
  <si>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</si>
  <si>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</si>
  <si>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</si>
  <si>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</si>
  <si>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</si>
  <si>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</si>
  <si>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</si>
  <si>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</si>
  <si>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</si>
  <si>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</si>
  <si>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</si>
  <si>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</si>
  <si>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</si>
  <si>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</si>
  <si>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</si>
  <si>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</si>
  <si>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</si>
  <si>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</si>
  <si>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</si>
  <si>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</si>
  <si>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</si>
  <si>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</si>
  <si>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</si>
  <si>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</si>
  <si>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</si>
  <si>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</si>
  <si>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</si>
  <si>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</si>
  <si>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</si>
  <si>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</si>
  <si>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</si>
  <si>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</si>
  <si>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</si>
  <si>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</si>
  <si>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</si>
  <si>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</si>
  <si>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</si>
  <si>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</si>
  <si>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</si>
  <si>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</si>
  <si>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</si>
  <si>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</si>
  <si>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</si>
  <si>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</si>
  <si>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</si>
  <si>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</si>
  <si>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</si>
  <si>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</si>
  <si>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</si>
  <si>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</si>
  <si>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</si>
  <si>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</si>
  <si>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</si>
  <si>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</si>
  <si>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</si>
  <si>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</si>
  <si>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</si>
  <si>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</si>
  <si>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</si>
  <si>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</si>
  <si>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</si>
  <si>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</si>
  <si>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</si>
  <si>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</si>
  <si>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</si>
  <si>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</si>
  <si>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</si>
  <si>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</si>
  <si>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</si>
  <si>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</si>
  <si>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</si>
  <si>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</si>
  <si>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</si>
  <si>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</si>
  <si>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</si>
  <si>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</si>
  <si>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</si>
  <si>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</si>
  <si>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</si>
  <si>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</si>
  <si>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</si>
  <si>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</si>
  <si>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</si>
  <si>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</si>
  <si>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</si>
  <si>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</si>
  <si>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</si>
  <si>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</si>
  <si>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</si>
  <si>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</si>
  <si>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</si>
  <si>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</si>
  <si>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</si>
  <si>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0,0</t>
  </si>
  <si>
    <t>凛冬击中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</si>
  <si>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</si>
  <si>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</si>
  <si>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</si>
  <si>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</si>
  <si>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</si>
  <si>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</si>
  <si>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</si>
  <si>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</si>
  <si>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</si>
  <si>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</si>
  <si>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</si>
  <si>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</si>
  <si>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</si>
  <si>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</si>
  <si>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</si>
  <si>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</si>
  <si>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</si>
  <si>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</si>
  <si>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</si>
  <si>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</si>
  <si>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</si>
  <si>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</si>
  <si>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</si>
  <si>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</si>
  <si>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</si>
  <si>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</si>
  <si>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</si>
  <si>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</si>
  <si>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</si>
  <si>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</si>
  <si>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</si>
  <si>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</si>
  <si>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</si>
  <si>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</si>
  <si>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</si>
  <si>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</si>
  <si>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</si>
  <si>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</si>
  <si>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</si>
  <si>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</si>
  <si>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</si>
  <si>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</si>
  <si>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</si>
  <si>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</si>
  <si>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</si>
  <si>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</si>
  <si>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</si>
  <si>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</si>
  <si>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</si>
  <si>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</si>
  <si>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</si>
  <si>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被动</t>
    <phoneticPr fontId="7" type="noConversion"/>
  </si>
  <si>
    <t>仅自己</t>
    <phoneticPr fontId="7" type="noConversion"/>
  </si>
  <si>
    <t>自动</t>
    <phoneticPr fontId="7" type="noConversion"/>
  </si>
  <si>
    <t>固定间隔</t>
    <phoneticPr fontId="7" type="noConversion"/>
  </si>
  <si>
    <t>otter</t>
  </si>
  <si>
    <t>242</t>
  </si>
  <si>
    <t>frostl_attack_01_trail</t>
  </si>
  <si>
    <t>TriggerEnum</t>
    <phoneticPr fontId="7" type="noConversion"/>
  </si>
  <si>
    <t>部署干员</t>
    <phoneticPr fontId="7" type="noConversion"/>
  </si>
  <si>
    <t>可停止</t>
    <phoneticPr fontId="7" type="noConversion"/>
  </si>
  <si>
    <t>CanStop</t>
    <phoneticPr fontId="7" type="noConversion"/>
  </si>
  <si>
    <t>bool</t>
    <phoneticPr fontId="7" type="noConversion"/>
  </si>
  <si>
    <t>初始技力</t>
  </si>
  <si>
    <t>StartPower</t>
  </si>
  <si>
    <t>元素损伤</t>
    <phoneticPr fontId="7" type="noConversion"/>
  </si>
  <si>
    <t>ElementInjure</t>
    <phoneticPr fontId="7" type="noConversion"/>
  </si>
  <si>
    <t>System.Collections.Generic.Dictionary&lt;string,object&gt;</t>
    <phoneticPr fontId="7" type="noConversion"/>
  </si>
  <si>
    <t>使用条件</t>
    <phoneticPr fontId="7" type="noConversion"/>
  </si>
  <si>
    <t>SkillCondition</t>
    <phoneticPr fontId="7" type="noConversion"/>
  </si>
  <si>
    <t>string</t>
    <phoneticPr fontId="7" type="noConversion"/>
  </si>
  <si>
    <t>IdleAnimation</t>
    <phoneticPr fontId="7" type="noConversion"/>
  </si>
  <si>
    <t>StopAttackOnly</t>
    <phoneticPr fontId="7" type="noConversion"/>
  </si>
  <si>
    <t>仅阻挡时可被攻击</t>
    <phoneticPr fontId="7" type="noConversion"/>
  </si>
  <si>
    <t>Real</t>
  </si>
  <si>
    <t>Muzzle</t>
  </si>
  <si>
    <t>伤害基准</t>
    <phoneticPr fontId="7" type="noConversion"/>
  </si>
  <si>
    <t>充能释放</t>
  </si>
  <si>
    <t>自动</t>
  </si>
  <si>
    <t>终点距离</t>
  </si>
  <si>
    <t>token_10004_otter_motter</t>
  </si>
  <si>
    <t>自己入场</t>
  </si>
  <si>
    <t>干员链式弹道索敌</t>
  </si>
  <si>
    <t>干员m3攻击</t>
  </si>
  <si>
    <t>血量比例升序</t>
  </si>
  <si>
    <t>0,0#0,1#0,-1#1,0#2,0#1,1#1,-1#2,1#2,-1#-1,0#-1,1#-1,-1</t>
  </si>
  <si>
    <t>跟随攻击</t>
  </si>
  <si>
    <t>M3链式弹道</t>
  </si>
  <si>
    <t>m3攻速提升buff</t>
  </si>
  <si>
    <t>夜莺普攻击中</t>
  </si>
  <si>
    <t>获取重构体</t>
  </si>
  <si>
    <t>获取单位</t>
  </si>
  <si>
    <t>{"Count":1,"UnitId":"重构体"}</t>
  </si>
  <si>
    <t>重构体天赋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</si>
  <si>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</si>
  <si>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</si>
  <si>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</si>
  <si>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</si>
  <si>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</si>
  <si>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</si>
  <si>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干员M3</t>
  </si>
  <si>
    <t>monstr</t>
  </si>
  <si>
    <t>4179</t>
  </si>
  <si>
    <t>Mon3tr</t>
  </si>
  <si>
    <t>干员m3攻击,获取重构体</t>
  </si>
  <si>
    <t>医疗</t>
  </si>
  <si>
    <t>链愈师</t>
  </si>
  <si>
    <t>头像_召唤物_Mon3tr</t>
  </si>
  <si>
    <t>half_kalts</t>
  </si>
  <si>
    <t>kalts</t>
  </si>
  <si>
    <t>远程位</t>
  </si>
  <si>
    <t>远程,Mon3tr</t>
  </si>
  <si>
    <t>重构体</t>
  </si>
  <si>
    <t>头像_召唤物_幻影</t>
  </si>
  <si>
    <t>链式弹道</t>
  </si>
  <si>
    <t>0,0#-1,-1#0,-1#1,-1#-1,0#1,0#-1,1#0,1#1,1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</si>
  <si>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</si>
  <si>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</si>
  <si>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</si>
  <si>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</si>
  <si>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</si>
  <si>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</si>
  <si>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</si>
  <si>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</si>
  <si>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</si>
  <si>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</si>
  <si>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</si>
  <si>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</si>
  <si>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{"MoveHeight":0,"MaxLinkNum":4,"SkillId":"干员链式弹道索敌","ReductionRate":0.1,"CanBack":"false"}</t>
    <phoneticPr fontId="7" type="noConversion"/>
  </si>
  <si>
    <t>{"ShowRange":1}</t>
    <phoneticPr fontId="7" type="noConversion"/>
  </si>
  <si>
    <t>禁止主动</t>
    <phoneticPr fontId="7" type="noConversion"/>
  </si>
  <si>
    <t>放置降序</t>
    <phoneticPr fontId="7" type="noConversion"/>
  </si>
  <si>
    <t>m3自身攻速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</si>
  <si>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</si>
  <si>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</si>
  <si>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</si>
  <si>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</si>
  <si>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</si>
  <si>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手动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</si>
  <si>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</si>
  <si>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</si>
  <si>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</si>
  <si>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</si>
  <si>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</si>
  <si>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</si>
  <si>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</si>
  <si>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普通法球</t>
  </si>
  <si>
    <t>m32自身攻速</t>
  </si>
  <si>
    <t>m32重构体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</si>
  <si>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</si>
  <si>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</si>
  <si>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</si>
  <si>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</si>
  <si>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</si>
  <si>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</si>
  <si>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</si>
  <si>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</si>
  <si>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</si>
  <si>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</si>
  <si>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</si>
  <si>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攻击范围改变，攻击力+330%，攻击间隔降低(-1.5)，阻挡数+2，生命上限+5000，每秒流失80点生命值，同时攻击阻挡的所有敌人，伤害类型变为真实，攻击治疗自身相当于攻击力50%的生命值\n受到致命伤害时结束技能</t>
  </si>
  <si>
    <t>skill_icon_skchr_kalts_3</t>
  </si>
  <si>
    <t>m33启动</t>
  </si>
  <si>
    <t>m33加成,m3阻挡变化,m3中毒,m33特效,m33动作</t>
  </si>
  <si>
    <t>3.3,-1.5,5000</t>
  </si>
  <si>
    <t>m33加成</t>
  </si>
  <si>
    <t>m3标记</t>
  </si>
  <si>
    <t>m33攻击</t>
  </si>
  <si>
    <t>群攻</t>
  </si>
  <si>
    <t>m33治疗</t>
  </si>
  <si>
    <t>Skill_3_Loop</t>
  </si>
  <si>
    <t>m33锁血</t>
  </si>
  <si>
    <t>锁血治疗</t>
  </si>
  <si>
    <t>致命</t>
  </si>
  <si>
    <t>m33结束</t>
  </si>
  <si>
    <t>m33自身结束</t>
  </si>
  <si>
    <t>Skill_3_End,Skill_3_Back</t>
  </si>
  <si>
    <t>m32,m33</t>
  </si>
  <si>
    <t>重构体天赋,重构体绝食,重构体2</t>
  </si>
  <si>
    <t>眩晕,眩晕2,寒冷,冻结</t>
  </si>
  <si>
    <t>普通Buff</t>
  </si>
  <si>
    <t>m32动作</t>
  </si>
  <si>
    <t>{"IdleAnimation":["Skill_2_Idle"]}</t>
  </si>
  <si>
    <t>{"t":["AttackRate","AttackGapAdd","HpAdd"]}</t>
  </si>
  <si>
    <t>m3阻挡变化</t>
  </si>
  <si>
    <t>{"t":["StopCountAdd"]}</t>
  </si>
  <si>
    <t>m3中毒</t>
  </si>
  <si>
    <t>m33特效</t>
  </si>
  <si>
    <t>星熊2buff</t>
  </si>
  <si>
    <t>阿米娅2buff</t>
  </si>
  <si>
    <t>m33动作</t>
  </si>
  <si>
    <t>{"IdleAnimation":["Skill_3_Idle"]}</t>
  </si>
  <si>
    <t>设置属性</t>
    <phoneticPr fontId="7" type="noConversion"/>
  </si>
  <si>
    <t>{"t":["ModelScale"],"v":[0.25]}</t>
    <phoneticPr fontId="7" type="noConversion"/>
  </si>
  <si>
    <t>0,0,0</t>
  </si>
  <si>
    <t>高台m3buff</t>
  </si>
  <si>
    <t>释放技能</t>
  </si>
  <si>
    <t>{"Count":1,"UnitId":"地面M3"}</t>
  </si>
  <si>
    <t>地面m3</t>
  </si>
  <si>
    <t>m33攻击,m33治疗,m33锁血,地面m3死亡</t>
  </si>
  <si>
    <r>
      <rPr>
        <sz val="11"/>
        <color theme="1"/>
        <rFont val="宋体"/>
        <family val="3"/>
        <charset val="134"/>
        <scheme val="minor"/>
      </rPr>
      <t>{"LockHp":0.0001</t>
    </r>
    <r>
      <rPr>
        <sz val="11"/>
        <color theme="1"/>
        <rFont val="宋体"/>
        <family val="3"/>
        <charset val="134"/>
        <scheme val="minor"/>
      </rPr>
      <t>}</t>
    </r>
  </si>
  <si>
    <t>地面m3死亡</t>
  </si>
  <si>
    <t>强制撤退</t>
  </si>
  <si>
    <t>{"Time":25}</t>
  </si>
  <si>
    <t>地面m3落地无敌</t>
  </si>
  <si>
    <t>无敌</t>
  </si>
  <si>
    <t>地面m3释放buff</t>
  </si>
  <si>
    <t>m33加成,m3阻挡变化,m3中毒,m33动作</t>
  </si>
  <si>
    <t>地面M3</t>
  </si>
  <si>
    <t>地面m3,地面m3落地无敌,地面m3释放buff</t>
  </si>
  <si>
    <t>部署地面m3</t>
    <phoneticPr fontId="7" type="noConversion"/>
  </si>
  <si>
    <t>重构体</t>
    <phoneticPr fontId="7" type="noConversion"/>
  </si>
  <si>
    <t>#m33重构体</t>
    <phoneticPr fontId="7" type="noConversion"/>
  </si>
  <si>
    <t>#重构体死亡</t>
    <phoneticPr fontId="7" type="noConversion"/>
  </si>
  <si>
    <t>#获取地面m3</t>
    <phoneticPr fontId="7" type="noConversion"/>
  </si>
  <si>
    <t>m33自身结束,高台m3buff</t>
    <phoneticPr fontId="7" type="noConversion"/>
  </si>
  <si>
    <t>重构体撤退，获得地面m3在25秒内获得以下效果：攻击范围改变，攻击力+330%，攻击间隔降低(-1.5)，阻挡数+2，生命上限+5000，每秒流失80点生命值，同时攻击阻挡的所有敌人，伤害类型变为真实，攻击治疗自身相当于攻击力50%的生命值，生命值不会低于1。\n地面m3存在期间，自身获得无敌、缴械、不进行攻击、技力回复速度-100</t>
    <phoneticPr fontId="7" type="noConversion"/>
  </si>
  <si>
    <t>Skill_3_Back</t>
    <phoneticPr fontId="7" type="noConversion"/>
  </si>
  <si>
    <t>#模型缩小</t>
    <phoneticPr fontId="7" type="noConversion"/>
  </si>
  <si>
    <t>技力回复变化,无敌,缴械</t>
    <phoneticPr fontId="7" type="noConversion"/>
  </si>
  <si>
    <t>m33启动,部署地面m3,高台m3buff</t>
    <phoneticPr fontId="7" type="noConversion"/>
  </si>
  <si>
    <t>致命</t>
    <phoneticPr fontId="7" type="noConversion"/>
  </si>
  <si>
    <t>Mon3tr</t>
    <phoneticPr fontId="7" type="noConversion"/>
  </si>
  <si>
    <t>{"UnitId":"地面M3","TargetPos":"useSelfTargetPos","SetMod":"Replace","UseMod":"UserDirection","UserName":"Mon3tr"}</t>
    <phoneticPr fontId="7" type="noConversion"/>
  </si>
  <si>
    <t>Skill_3_Begin</t>
  </si>
  <si>
    <t>m3攻速提升buff,m32攻速提升buff</t>
    <phoneticPr fontId="7" type="noConversion"/>
  </si>
  <si>
    <t>自己以外</t>
    <phoneticPr fontId="7" type="noConversion"/>
  </si>
  <si>
    <t>#重构体消除自身buff</t>
    <phoneticPr fontId="7" type="noConversion"/>
  </si>
  <si>
    <t>被治疗</t>
    <phoneticPr fontId="7" type="noConversion"/>
  </si>
  <si>
    <t>m32重构体</t>
    <phoneticPr fontId="7" type="noConversion"/>
  </si>
  <si>
    <t>m32追加,m32启动</t>
    <phoneticPr fontId="7" type="noConversion"/>
  </si>
  <si>
    <t>m32攻击,m32结束,m32自身结束,m32重构体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</si>
</sst>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B0F0"/>
      <name val="宋体"/>
      <family val="3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Alignment="1"/>
    <xf numFmtId="0" fontId="8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451</v>
      </c>
      <c r="B4" t="s">
        <v>451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0"/>
  <sheetViews>
    <sheetView workbookViewId="0">
      <pane xSplit="1" ySplit="3" topLeftCell="B4" activePane="bottomRight" state="frozen"/>
      <selection pane="topRight"/>
      <selection pane="bottomLeft"/>
      <selection pane="bottomRight" activeCell="A16" sqref="A1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7" t="s">
        <v>424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7" t="s">
        <v>423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7" t="s">
        <v>422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5" spans="1:71" x14ac:dyDescent="0.25">
      <c r="A5" t="s">
        <v>451</v>
      </c>
      <c r="B5" t="s">
        <v>126</v>
      </c>
      <c r="D5" t="s">
        <v>452</v>
      </c>
      <c r="E5" s="1" t="s">
        <v>453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454</v>
      </c>
      <c r="AH5" t="s">
        <v>122</v>
      </c>
      <c r="AI5" t="s">
        <v>455</v>
      </c>
      <c r="AJ5" t="s">
        <v>528</v>
      </c>
      <c r="AM5">
        <v>1</v>
      </c>
      <c r="AO5">
        <v>1</v>
      </c>
      <c r="AP5">
        <v>0.5</v>
      </c>
      <c r="AW5">
        <v>0.25</v>
      </c>
      <c r="BB5" t="s">
        <v>456</v>
      </c>
      <c r="BC5" t="s">
        <v>457</v>
      </c>
      <c r="BD5" t="s">
        <v>458</v>
      </c>
      <c r="BE5" t="s">
        <v>459</v>
      </c>
      <c r="BF5" t="s">
        <v>460</v>
      </c>
      <c r="BG5" t="s">
        <v>128</v>
      </c>
      <c r="BH5">
        <v>6</v>
      </c>
      <c r="BI5" t="s">
        <v>461</v>
      </c>
      <c r="BJ5" t="s">
        <v>462</v>
      </c>
      <c r="BM5" t="s">
        <v>123</v>
      </c>
      <c r="BN5" t="s">
        <v>124</v>
      </c>
      <c r="BP5" t="s">
        <v>125</v>
      </c>
      <c r="BQ5" t="s">
        <v>125</v>
      </c>
      <c r="BS5">
        <v>1</v>
      </c>
    </row>
    <row r="6" spans="1:71" x14ac:dyDescent="0.25">
      <c r="A6" t="s">
        <v>463</v>
      </c>
      <c r="B6" t="s">
        <v>126</v>
      </c>
      <c r="D6" t="s">
        <v>406</v>
      </c>
      <c r="E6" s="1" t="s">
        <v>407</v>
      </c>
      <c r="F6" t="s">
        <v>431</v>
      </c>
      <c r="G6">
        <v>1</v>
      </c>
      <c r="I6">
        <v>2</v>
      </c>
      <c r="J6">
        <v>90</v>
      </c>
      <c r="K6">
        <v>5433</v>
      </c>
      <c r="M6">
        <v>0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463</v>
      </c>
      <c r="AH6" t="s">
        <v>122</v>
      </c>
      <c r="AI6" t="s">
        <v>529</v>
      </c>
      <c r="AK6">
        <v>0</v>
      </c>
      <c r="AN6">
        <v>1</v>
      </c>
      <c r="AO6">
        <v>0</v>
      </c>
      <c r="AP6">
        <v>0</v>
      </c>
      <c r="AV6" t="s">
        <v>530</v>
      </c>
      <c r="AW6">
        <v>0.25</v>
      </c>
      <c r="BB6" t="s">
        <v>456</v>
      </c>
      <c r="BD6" t="s">
        <v>464</v>
      </c>
      <c r="BE6" t="str">
        <f>"half_"&amp;D6</f>
        <v>half_otter</v>
      </c>
      <c r="BF6" t="str">
        <f>D6</f>
        <v>otter</v>
      </c>
      <c r="BG6" t="s">
        <v>128</v>
      </c>
      <c r="BH6">
        <v>6</v>
      </c>
      <c r="BI6" t="s">
        <v>127</v>
      </c>
      <c r="BJ6" t="s">
        <v>463</v>
      </c>
      <c r="BM6" t="s">
        <v>123</v>
      </c>
      <c r="BN6" t="s">
        <v>124</v>
      </c>
      <c r="BS6">
        <v>1</v>
      </c>
    </row>
    <row r="7" spans="1:71" x14ac:dyDescent="0.25">
      <c r="A7" t="s">
        <v>559</v>
      </c>
      <c r="B7" t="s">
        <v>126</v>
      </c>
      <c r="D7" t="s">
        <v>452</v>
      </c>
      <c r="E7" s="1" t="s">
        <v>453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T7">
        <v>-1</v>
      </c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s="7" t="s">
        <v>573</v>
      </c>
      <c r="AH7" t="s">
        <v>122</v>
      </c>
      <c r="AI7" t="s">
        <v>560</v>
      </c>
      <c r="AN7">
        <v>1</v>
      </c>
      <c r="AO7">
        <v>3</v>
      </c>
      <c r="AP7">
        <v>0</v>
      </c>
      <c r="AW7">
        <v>0.25</v>
      </c>
      <c r="BB7" t="s">
        <v>456</v>
      </c>
      <c r="BC7" t="s">
        <v>457</v>
      </c>
      <c r="BD7" t="s">
        <v>458</v>
      </c>
      <c r="BE7" t="s">
        <v>459</v>
      </c>
      <c r="BF7" t="s">
        <v>460</v>
      </c>
      <c r="BG7" t="s">
        <v>128</v>
      </c>
      <c r="BH7">
        <v>6</v>
      </c>
      <c r="BI7" t="s">
        <v>461</v>
      </c>
      <c r="BJ7" t="s">
        <v>462</v>
      </c>
      <c r="BM7" t="s">
        <v>124</v>
      </c>
      <c r="BN7" t="s">
        <v>124</v>
      </c>
      <c r="BP7" s="17" t="s">
        <v>527</v>
      </c>
      <c r="BQ7" t="s">
        <v>125</v>
      </c>
      <c r="BS7">
        <v>1</v>
      </c>
    </row>
    <row r="17" spans="4:70" x14ac:dyDescent="0.25">
      <c r="AI17" s="7"/>
    </row>
    <row r="23" spans="4:70" x14ac:dyDescent="0.25">
      <c r="AI23" s="7"/>
      <c r="BK23" s="7"/>
    </row>
    <row r="25" spans="4:70" x14ac:dyDescent="0.25">
      <c r="AI25" s="7"/>
    </row>
    <row r="26" spans="4:70" x14ac:dyDescent="0.25">
      <c r="AI26" s="7"/>
    </row>
    <row r="27" spans="4:70" x14ac:dyDescent="0.25">
      <c r="AI27" s="7"/>
      <c r="BK27" s="7"/>
    </row>
    <row r="28" spans="4:70" ht="14.5" x14ac:dyDescent="0.25">
      <c r="D28" s="5"/>
      <c r="E28" s="1"/>
      <c r="BO28" s="6"/>
      <c r="BR28" s="6"/>
    </row>
    <row r="29" spans="4:70" ht="14.5" x14ac:dyDescent="0.25">
      <c r="D29" s="5"/>
      <c r="E29" s="1"/>
      <c r="BO29" s="6"/>
      <c r="BR29" s="6"/>
    </row>
    <row r="30" spans="4:70" ht="14.5" x14ac:dyDescent="0.25">
      <c r="D30" s="5"/>
      <c r="E30" s="1"/>
      <c r="BO30" s="6"/>
      <c r="BR30" s="6"/>
    </row>
    <row r="31" spans="4:70" ht="14.5" x14ac:dyDescent="0.25">
      <c r="D31" s="5"/>
      <c r="E31" s="1"/>
      <c r="BO31" s="6"/>
      <c r="BR31" s="6"/>
    </row>
    <row r="32" spans="4:70" ht="14.5" x14ac:dyDescent="0.25">
      <c r="D32" s="5"/>
      <c r="E32" s="1"/>
      <c r="BO32" s="6"/>
      <c r="BR32" s="6"/>
    </row>
    <row r="33" spans="4:70" ht="14.5" x14ac:dyDescent="0.25">
      <c r="D33" s="5"/>
      <c r="E33" s="1"/>
      <c r="BO33" s="6"/>
      <c r="BR33" s="6"/>
    </row>
    <row r="34" spans="4:70" ht="14.5" x14ac:dyDescent="0.25">
      <c r="D34" s="5"/>
      <c r="E34" s="1"/>
      <c r="BO34" s="6"/>
      <c r="BR34" s="6"/>
    </row>
    <row r="35" spans="4:70" ht="14.5" x14ac:dyDescent="0.25">
      <c r="D35" s="5"/>
      <c r="E35" s="1"/>
      <c r="BR35" s="6"/>
    </row>
    <row r="36" spans="4:70" ht="14.5" x14ac:dyDescent="0.25">
      <c r="D36" s="5"/>
      <c r="E36" s="1"/>
      <c r="BR36" s="6"/>
    </row>
    <row r="37" spans="4:70" ht="14.5" x14ac:dyDescent="0.25">
      <c r="D37" s="5"/>
      <c r="E37" s="1"/>
      <c r="BR37" s="6"/>
    </row>
    <row r="38" spans="4:70" ht="14.5" x14ac:dyDescent="0.25">
      <c r="D38" s="5"/>
      <c r="E38" s="1"/>
      <c r="BO38" s="6"/>
      <c r="BR38" s="6"/>
    </row>
    <row r="39" spans="4:70" ht="14.5" x14ac:dyDescent="0.25">
      <c r="D39" s="5"/>
      <c r="E39" s="1"/>
      <c r="BO39" s="6"/>
      <c r="BR39" s="6"/>
    </row>
    <row r="40" spans="4:70" ht="14.5" x14ac:dyDescent="0.25">
      <c r="D40" s="5"/>
      <c r="E40" s="1"/>
      <c r="BO40" s="6"/>
      <c r="BR40" s="6"/>
    </row>
    <row r="41" spans="4:70" ht="14.5" x14ac:dyDescent="0.25">
      <c r="D41" s="5"/>
      <c r="E41" s="1"/>
      <c r="BO41" s="6"/>
      <c r="BR41" s="6"/>
    </row>
    <row r="42" spans="4:70" ht="14.5" x14ac:dyDescent="0.25">
      <c r="D42" s="5"/>
      <c r="E42" s="1"/>
      <c r="BO42" s="6"/>
      <c r="BR42" s="6"/>
    </row>
    <row r="43" spans="4:70" ht="14.5" x14ac:dyDescent="0.25">
      <c r="D43" s="5"/>
      <c r="E43" s="1"/>
      <c r="BO43" s="6"/>
      <c r="BR43" s="6"/>
    </row>
    <row r="44" spans="4:70" ht="14.5" x14ac:dyDescent="0.25">
      <c r="D44" s="5"/>
      <c r="E44" s="1"/>
      <c r="BO44" s="6"/>
      <c r="BR44" s="6"/>
    </row>
    <row r="45" spans="4:70" ht="14.5" x14ac:dyDescent="0.25">
      <c r="D45" s="5"/>
      <c r="E45" s="1"/>
      <c r="BO45" s="6"/>
      <c r="BR45" s="6"/>
    </row>
    <row r="46" spans="4:70" ht="14.5" x14ac:dyDescent="0.25">
      <c r="D46" s="5"/>
      <c r="E46" s="1"/>
      <c r="BO46" s="6"/>
      <c r="BR46" s="6"/>
    </row>
    <row r="47" spans="4:70" ht="14.5" x14ac:dyDescent="0.25">
      <c r="D47" s="5"/>
      <c r="E47" s="1"/>
      <c r="BO47" s="6"/>
      <c r="BR47" s="6"/>
    </row>
    <row r="48" spans="4:70" ht="14.5" x14ac:dyDescent="0.25">
      <c r="D48" s="5"/>
      <c r="E48" s="1"/>
      <c r="BO48" s="6"/>
      <c r="BR48" s="6"/>
    </row>
    <row r="49" spans="4:70" ht="14.5" x14ac:dyDescent="0.25">
      <c r="D49" s="5"/>
      <c r="E49" s="1"/>
      <c r="BO49" s="6"/>
      <c r="BR49" s="6"/>
    </row>
    <row r="50" spans="4:70" ht="14.5" x14ac:dyDescent="0.25">
      <c r="D50" s="5"/>
      <c r="E50" s="1"/>
      <c r="BO50" s="6"/>
      <c r="BR50" s="6"/>
    </row>
    <row r="51" spans="4:70" ht="14.5" x14ac:dyDescent="0.25">
      <c r="D51" s="5"/>
      <c r="E51" s="1"/>
      <c r="BO51" s="6"/>
      <c r="BR51" s="6"/>
    </row>
    <row r="52" spans="4:70" ht="14.5" x14ac:dyDescent="0.25">
      <c r="D52" s="5"/>
      <c r="E52" s="1"/>
      <c r="BO52" s="6"/>
      <c r="BR52" s="6"/>
    </row>
    <row r="53" spans="4:70" ht="14.5" x14ac:dyDescent="0.25">
      <c r="D53" s="5"/>
      <c r="E53" s="1"/>
      <c r="BO53" s="6"/>
      <c r="BR53" s="6"/>
    </row>
    <row r="54" spans="4:70" ht="14.5" x14ac:dyDescent="0.25">
      <c r="D54" s="5"/>
      <c r="E54" s="1"/>
      <c r="BO54" s="6"/>
      <c r="BR54" s="6"/>
    </row>
    <row r="55" spans="4:70" ht="14.5" x14ac:dyDescent="0.25">
      <c r="D55" s="5"/>
      <c r="E55" s="1"/>
      <c r="BO55" s="6"/>
      <c r="BR55" s="6"/>
    </row>
    <row r="56" spans="4:70" ht="14.5" x14ac:dyDescent="0.25">
      <c r="D56" s="5"/>
      <c r="E56" s="1"/>
      <c r="BO56" s="6"/>
      <c r="BR56" s="6"/>
    </row>
    <row r="57" spans="4:70" ht="14.5" x14ac:dyDescent="0.25">
      <c r="D57" s="5"/>
      <c r="E57" s="1"/>
      <c r="BO57" s="6"/>
      <c r="BR57" s="6"/>
    </row>
    <row r="58" spans="4:70" ht="14.5" x14ac:dyDescent="0.25">
      <c r="D58" s="5"/>
      <c r="E58" s="1"/>
      <c r="BO58" s="6"/>
      <c r="BR58" s="6"/>
    </row>
    <row r="59" spans="4:70" ht="14.5" x14ac:dyDescent="0.25">
      <c r="D59" s="5"/>
      <c r="E59" s="1"/>
      <c r="BO59" s="6"/>
      <c r="BR59" s="6"/>
    </row>
    <row r="60" spans="4:70" ht="14.5" x14ac:dyDescent="0.25">
      <c r="D60" s="5"/>
      <c r="E60" s="1"/>
      <c r="BO60" s="6"/>
      <c r="BR60" s="6"/>
    </row>
    <row r="61" spans="4:70" ht="14.5" x14ac:dyDescent="0.25">
      <c r="D61" s="5"/>
      <c r="E61" s="1"/>
      <c r="BO61" s="6"/>
      <c r="BR61" s="6"/>
    </row>
    <row r="62" spans="4:70" ht="14.5" x14ac:dyDescent="0.25">
      <c r="D62" s="5"/>
      <c r="E62" s="1"/>
      <c r="BO62" s="6"/>
      <c r="BR62" s="6"/>
    </row>
    <row r="63" spans="4:70" ht="14.5" x14ac:dyDescent="0.25">
      <c r="D63" s="5"/>
      <c r="E63" s="1"/>
      <c r="BO63" s="6"/>
      <c r="BR63" s="6"/>
    </row>
    <row r="64" spans="4:70" ht="14.5" x14ac:dyDescent="0.25">
      <c r="D64" s="5"/>
      <c r="E64" s="1"/>
      <c r="BO64" s="6"/>
      <c r="BR64" s="6"/>
    </row>
    <row r="65" spans="4:70" ht="14.5" x14ac:dyDescent="0.25">
      <c r="D65" s="5"/>
      <c r="E65" s="1"/>
      <c r="BO65" s="6"/>
      <c r="BR65" s="6"/>
    </row>
    <row r="66" spans="4:70" ht="14.5" x14ac:dyDescent="0.25">
      <c r="D66" s="5"/>
      <c r="E66" s="1"/>
      <c r="BO66" s="6"/>
      <c r="BR66" s="6"/>
    </row>
    <row r="67" spans="4:70" ht="14.5" x14ac:dyDescent="0.25">
      <c r="D67" s="5"/>
      <c r="E67" s="1"/>
      <c r="BO67" s="6"/>
      <c r="BR67" s="6"/>
    </row>
    <row r="68" spans="4:70" ht="14.5" x14ac:dyDescent="0.25">
      <c r="D68" s="5"/>
      <c r="E68" s="1"/>
      <c r="BO68" s="6"/>
      <c r="BR68" s="6"/>
    </row>
    <row r="69" spans="4:70" ht="14.5" x14ac:dyDescent="0.25">
      <c r="D69" s="5"/>
      <c r="E69" s="1"/>
      <c r="BO69" s="6"/>
      <c r="BR69" s="6"/>
    </row>
    <row r="70" spans="4:70" ht="14.5" x14ac:dyDescent="0.25">
      <c r="D70" s="5"/>
      <c r="E70" s="1"/>
      <c r="BO70" s="6"/>
      <c r="BR70" s="6"/>
    </row>
    <row r="71" spans="4:70" ht="14.5" x14ac:dyDescent="0.25">
      <c r="D71" s="5"/>
      <c r="E71" s="1"/>
      <c r="BO71" s="6"/>
      <c r="BR71" s="6"/>
    </row>
    <row r="72" spans="4:70" ht="14.5" x14ac:dyDescent="0.25">
      <c r="D72" s="5"/>
      <c r="E72" s="1"/>
      <c r="BO72" s="6"/>
      <c r="BR72" s="6"/>
    </row>
    <row r="73" spans="4:70" ht="14.5" x14ac:dyDescent="0.25">
      <c r="D73" s="5"/>
      <c r="E73" s="1"/>
      <c r="BO73" s="6"/>
      <c r="BR73" s="6"/>
    </row>
    <row r="74" spans="4:70" ht="14.5" x14ac:dyDescent="0.25">
      <c r="D74" s="5"/>
      <c r="E74" s="1"/>
      <c r="BO74" s="6"/>
      <c r="BR74" s="6"/>
    </row>
    <row r="75" spans="4:70" ht="14.5" x14ac:dyDescent="0.25">
      <c r="D75" s="5"/>
      <c r="E75" s="1"/>
      <c r="BO75" s="6"/>
      <c r="BR75" s="6"/>
    </row>
    <row r="76" spans="4:70" ht="14.5" x14ac:dyDescent="0.25">
      <c r="D76" s="5"/>
      <c r="E76" s="1"/>
      <c r="BO76" s="6"/>
      <c r="BR76" s="6"/>
    </row>
    <row r="77" spans="4:70" ht="14.5" x14ac:dyDescent="0.25">
      <c r="D77" s="5"/>
      <c r="E77" s="1"/>
      <c r="BO77" s="6"/>
      <c r="BR77" s="6"/>
    </row>
    <row r="78" spans="4:70" ht="14.5" x14ac:dyDescent="0.25">
      <c r="D78" s="5"/>
      <c r="E78" s="1"/>
      <c r="BO78" s="6"/>
      <c r="BR78" s="6"/>
    </row>
    <row r="79" spans="4:70" ht="14.5" x14ac:dyDescent="0.25">
      <c r="D79" s="5"/>
      <c r="E79" s="1"/>
      <c r="BO79" s="6"/>
      <c r="BR79" s="6"/>
    </row>
    <row r="80" spans="4:70" ht="14.5" x14ac:dyDescent="0.25">
      <c r="D80" s="5"/>
      <c r="E80" s="1"/>
      <c r="BO80" s="6"/>
      <c r="BR80" s="6"/>
    </row>
    <row r="81" spans="4:70" ht="14.5" x14ac:dyDescent="0.25">
      <c r="D81" s="5"/>
      <c r="E81" s="1"/>
      <c r="BO81" s="6"/>
      <c r="BR81" s="6"/>
    </row>
    <row r="82" spans="4:70" ht="14.5" x14ac:dyDescent="0.25">
      <c r="D82" s="5"/>
      <c r="E82" s="1"/>
      <c r="BO82" s="6"/>
      <c r="BR82" s="6"/>
    </row>
    <row r="83" spans="4:70" ht="14.5" x14ac:dyDescent="0.25">
      <c r="D83" s="5"/>
      <c r="E83" s="1"/>
      <c r="BO83" s="6"/>
      <c r="BR83" s="6"/>
    </row>
    <row r="84" spans="4:70" ht="14.5" x14ac:dyDescent="0.25">
      <c r="D84" s="5"/>
      <c r="E84" s="1"/>
      <c r="BO84" s="6"/>
      <c r="BR84" s="6"/>
    </row>
    <row r="85" spans="4:70" ht="14.5" x14ac:dyDescent="0.25">
      <c r="D85" s="5"/>
      <c r="E85" s="1"/>
      <c r="BO85" s="6"/>
      <c r="BR85" s="6"/>
    </row>
    <row r="86" spans="4:70" ht="14.5" x14ac:dyDescent="0.25">
      <c r="D86" s="5"/>
      <c r="E86" s="1"/>
      <c r="BO86" s="6"/>
      <c r="BR86" s="6"/>
    </row>
    <row r="87" spans="4:70" ht="14.5" x14ac:dyDescent="0.25">
      <c r="D87" s="5"/>
      <c r="E87" s="1"/>
      <c r="BO87" s="6"/>
      <c r="BR87" s="6"/>
    </row>
    <row r="88" spans="4:70" ht="14.5" x14ac:dyDescent="0.25">
      <c r="D88" s="5"/>
      <c r="E88" s="1"/>
      <c r="BO88" s="6"/>
      <c r="BR88" s="6"/>
    </row>
    <row r="89" spans="4:70" ht="14.5" x14ac:dyDescent="0.25">
      <c r="D89" s="5"/>
      <c r="E89" s="1"/>
      <c r="BO89" s="6"/>
      <c r="BR89" s="6"/>
    </row>
    <row r="90" spans="4:70" ht="14.5" x14ac:dyDescent="0.25">
      <c r="D90" s="5"/>
      <c r="E90" s="1"/>
      <c r="BO90" s="6"/>
      <c r="BR90" s="6"/>
    </row>
    <row r="91" spans="4:70" ht="14.5" x14ac:dyDescent="0.25">
      <c r="D91" s="5"/>
      <c r="E91" s="1"/>
      <c r="BO91" s="6"/>
      <c r="BR91" s="6"/>
    </row>
    <row r="92" spans="4:70" ht="14.5" x14ac:dyDescent="0.25">
      <c r="D92" s="5"/>
      <c r="E92" s="1"/>
      <c r="BO92" s="6"/>
      <c r="BR92" s="6"/>
    </row>
    <row r="93" spans="4:70" ht="14.5" x14ac:dyDescent="0.25">
      <c r="D93" s="5"/>
      <c r="E93" s="1"/>
      <c r="BO93" s="6"/>
      <c r="BR93" s="6"/>
    </row>
    <row r="94" spans="4:70" ht="14.5" x14ac:dyDescent="0.25">
      <c r="D94" s="5"/>
      <c r="E94" s="1"/>
      <c r="BO94" s="6"/>
      <c r="BR94" s="6"/>
    </row>
    <row r="95" spans="4:70" ht="14.5" x14ac:dyDescent="0.25">
      <c r="D95" s="5"/>
      <c r="E95" s="1"/>
      <c r="BO95" s="6"/>
      <c r="BR95" s="6"/>
    </row>
    <row r="96" spans="4:70" ht="14.5" x14ac:dyDescent="0.25">
      <c r="D96" s="5"/>
      <c r="E96" s="1"/>
      <c r="BO96" s="6"/>
      <c r="BR96" s="6"/>
    </row>
    <row r="97" spans="4:70" ht="14.5" x14ac:dyDescent="0.25">
      <c r="D97" s="5"/>
      <c r="E97" s="1"/>
      <c r="BO97" s="6"/>
      <c r="BR97" s="6"/>
    </row>
    <row r="98" spans="4:70" ht="14.5" x14ac:dyDescent="0.25">
      <c r="D98" s="5"/>
      <c r="E98" s="1"/>
      <c r="BO98" s="6"/>
      <c r="BR98" s="6"/>
    </row>
    <row r="99" spans="4:70" ht="14.5" x14ac:dyDescent="0.25">
      <c r="D99" s="5"/>
      <c r="E99" s="1"/>
      <c r="BO99" s="6"/>
      <c r="BR99" s="6"/>
    </row>
    <row r="100" spans="4:70" ht="14.5" x14ac:dyDescent="0.25">
      <c r="D100" s="5"/>
      <c r="E100" s="1"/>
      <c r="BO100" s="6"/>
      <c r="BR100" s="6"/>
    </row>
    <row r="101" spans="4:70" ht="14.5" x14ac:dyDescent="0.25">
      <c r="D101" s="5"/>
      <c r="E101" s="1"/>
      <c r="BO101" s="6"/>
      <c r="BR101" s="6"/>
    </row>
    <row r="102" spans="4:70" ht="14.5" x14ac:dyDescent="0.25">
      <c r="D102" s="5"/>
      <c r="E102" s="1"/>
      <c r="BO102" s="6"/>
      <c r="BR102" s="6"/>
    </row>
    <row r="103" spans="4:70" ht="14.5" x14ac:dyDescent="0.25">
      <c r="D103" s="5"/>
      <c r="E103" s="1"/>
      <c r="BO103" s="6"/>
      <c r="BR103" s="6"/>
    </row>
    <row r="104" spans="4:70" ht="14.5" x14ac:dyDescent="0.25">
      <c r="D104" s="5"/>
      <c r="E104" s="1"/>
      <c r="BO104" s="6"/>
      <c r="BR104" s="6"/>
    </row>
    <row r="105" spans="4:70" ht="14.5" x14ac:dyDescent="0.25">
      <c r="D105" s="5"/>
      <c r="E105" s="1"/>
      <c r="BO105" s="6"/>
      <c r="BR105" s="6"/>
    </row>
    <row r="106" spans="4:70" ht="14.5" x14ac:dyDescent="0.25">
      <c r="D106" s="5"/>
      <c r="E106" s="1"/>
      <c r="BO106" s="6"/>
      <c r="BR106" s="6"/>
    </row>
    <row r="107" spans="4:70" ht="14.5" x14ac:dyDescent="0.25">
      <c r="D107" s="5"/>
      <c r="E107" s="1"/>
      <c r="BO107" s="6"/>
      <c r="BR107" s="6"/>
    </row>
    <row r="108" spans="4:70" ht="14.5" x14ac:dyDescent="0.25">
      <c r="D108" s="5"/>
      <c r="E108" s="1"/>
      <c r="BO108" s="6"/>
      <c r="BR108" s="6"/>
    </row>
    <row r="109" spans="4:70" ht="14.5" x14ac:dyDescent="0.25">
      <c r="D109" s="5"/>
      <c r="E109" s="1"/>
      <c r="BO109" s="6"/>
      <c r="BR109" s="6"/>
    </row>
    <row r="110" spans="4:70" ht="14.5" x14ac:dyDescent="0.25">
      <c r="D110" s="5"/>
      <c r="E110" s="1"/>
      <c r="BO110" s="6"/>
      <c r="BR110" s="6"/>
    </row>
    <row r="111" spans="4:70" ht="14.5" x14ac:dyDescent="0.25">
      <c r="D111" s="5"/>
      <c r="E111" s="1"/>
      <c r="BO111" s="6"/>
      <c r="BR111" s="6"/>
    </row>
    <row r="112" spans="4:70" ht="14.5" x14ac:dyDescent="0.25">
      <c r="D112" s="5"/>
      <c r="E112" s="1"/>
      <c r="BO112" s="6"/>
      <c r="BR112" s="6"/>
    </row>
    <row r="113" spans="4:70" ht="14.5" x14ac:dyDescent="0.25">
      <c r="D113" s="5"/>
      <c r="E113" s="1"/>
      <c r="BO113" s="6"/>
      <c r="BR113" s="6"/>
    </row>
    <row r="114" spans="4:70" ht="14.5" x14ac:dyDescent="0.25">
      <c r="D114" s="5"/>
      <c r="E114" s="1"/>
      <c r="BO114" s="6"/>
      <c r="BR114" s="6"/>
    </row>
    <row r="115" spans="4:70" ht="14.5" x14ac:dyDescent="0.25">
      <c r="D115" s="5"/>
      <c r="E115" s="1"/>
      <c r="BO115" s="6"/>
      <c r="BR115" s="6"/>
    </row>
    <row r="116" spans="4:70" ht="14.5" x14ac:dyDescent="0.25">
      <c r="D116" s="5"/>
      <c r="E116" s="1"/>
      <c r="BO116" s="6"/>
      <c r="BR116" s="6"/>
    </row>
    <row r="117" spans="4:70" ht="14.5" x14ac:dyDescent="0.25">
      <c r="D117" s="5"/>
      <c r="E117" s="1"/>
      <c r="BO117" s="6"/>
      <c r="BR117" s="6"/>
    </row>
    <row r="118" spans="4:70" ht="14.5" x14ac:dyDescent="0.25">
      <c r="D118" s="5"/>
      <c r="E118" s="1"/>
      <c r="BO118" s="6"/>
      <c r="BR118" s="6"/>
    </row>
    <row r="119" spans="4:70" ht="14.5" x14ac:dyDescent="0.25">
      <c r="D119" s="5"/>
      <c r="E119" s="1"/>
      <c r="BO119" s="6"/>
      <c r="BR119" s="6"/>
    </row>
    <row r="120" spans="4:70" ht="14.5" x14ac:dyDescent="0.25">
      <c r="D120" s="5"/>
      <c r="E120" s="1"/>
      <c r="BO120" s="6"/>
      <c r="BR120" s="6"/>
    </row>
    <row r="121" spans="4:70" ht="14.5" x14ac:dyDescent="0.25">
      <c r="D121" s="5"/>
      <c r="E121" s="1"/>
      <c r="BO121" s="6"/>
      <c r="BR121" s="6"/>
    </row>
    <row r="122" spans="4:70" ht="14.5" x14ac:dyDescent="0.25">
      <c r="D122" s="5"/>
      <c r="E122" s="1"/>
      <c r="BO122" s="6"/>
      <c r="BR122" s="6"/>
    </row>
    <row r="123" spans="4:70" ht="14.5" x14ac:dyDescent="0.25">
      <c r="D123" s="5"/>
      <c r="E123" s="1"/>
      <c r="BO123" s="6"/>
      <c r="BR123" s="6"/>
    </row>
    <row r="124" spans="4:70" ht="14.5" x14ac:dyDescent="0.25">
      <c r="D124" s="5"/>
      <c r="E124" s="1"/>
      <c r="BO124" s="6"/>
      <c r="BR124" s="6"/>
    </row>
    <row r="125" spans="4:70" ht="14.5" x14ac:dyDescent="0.25">
      <c r="D125" s="5"/>
      <c r="E125" s="1"/>
      <c r="BO125" s="6"/>
      <c r="BR125" s="6"/>
    </row>
    <row r="126" spans="4:70" ht="14.5" x14ac:dyDescent="0.25">
      <c r="D126" s="5"/>
      <c r="E126" s="1"/>
      <c r="BO126" s="6"/>
      <c r="BR126" s="6"/>
    </row>
    <row r="127" spans="4:70" ht="14.5" x14ac:dyDescent="0.25">
      <c r="D127" s="5"/>
      <c r="E127" s="1"/>
      <c r="BO127" s="6"/>
      <c r="BR127" s="6"/>
    </row>
    <row r="128" spans="4:70" ht="14.5" x14ac:dyDescent="0.25">
      <c r="D128" s="5"/>
      <c r="E128" s="1"/>
      <c r="BO128" s="6"/>
      <c r="BR128" s="6"/>
    </row>
    <row r="129" spans="4:70" ht="14.5" x14ac:dyDescent="0.25">
      <c r="D129" s="5"/>
      <c r="E129" s="1"/>
      <c r="BO129" s="6"/>
      <c r="BR129" s="6"/>
    </row>
    <row r="130" spans="4:70" ht="14.5" x14ac:dyDescent="0.25">
      <c r="D130" s="5"/>
      <c r="E130" s="1"/>
      <c r="BO130" s="6"/>
      <c r="BR130" s="6"/>
    </row>
    <row r="131" spans="4:70" ht="14.5" x14ac:dyDescent="0.25">
      <c r="D131" s="5"/>
      <c r="E131" s="1"/>
      <c r="BO131" s="6"/>
      <c r="BR131" s="6"/>
    </row>
    <row r="132" spans="4:70" ht="14.5" x14ac:dyDescent="0.25">
      <c r="D132" s="5"/>
      <c r="E132" s="1"/>
      <c r="BO132" s="6"/>
      <c r="BR132" s="6"/>
    </row>
    <row r="133" spans="4:70" ht="14.5" x14ac:dyDescent="0.25">
      <c r="D133" s="5"/>
      <c r="E133" s="1"/>
      <c r="BO133" s="6"/>
      <c r="BR133" s="6"/>
    </row>
    <row r="134" spans="4:70" ht="14.5" x14ac:dyDescent="0.25">
      <c r="D134" s="5"/>
      <c r="E134" s="1"/>
      <c r="BO134" s="6"/>
      <c r="BR134" s="6"/>
    </row>
    <row r="135" spans="4:70" ht="14.5" x14ac:dyDescent="0.25">
      <c r="D135" s="5"/>
      <c r="E135" s="1"/>
      <c r="BO135" s="6"/>
      <c r="BR135" s="6"/>
    </row>
    <row r="136" spans="4:70" ht="14.5" x14ac:dyDescent="0.25">
      <c r="D136" s="5"/>
      <c r="E136" s="1"/>
      <c r="BO136" s="6"/>
      <c r="BR136" s="6"/>
    </row>
    <row r="137" spans="4:70" ht="14.5" x14ac:dyDescent="0.25">
      <c r="D137" s="5"/>
      <c r="E137" s="1"/>
      <c r="BO137" s="6"/>
      <c r="BR137" s="6"/>
    </row>
    <row r="138" spans="4:70" ht="14.5" x14ac:dyDescent="0.25">
      <c r="D138" s="5"/>
      <c r="E138" s="1"/>
      <c r="BO138" s="6"/>
      <c r="BR138" s="6"/>
    </row>
    <row r="139" spans="4:70" ht="14.5" x14ac:dyDescent="0.25">
      <c r="D139" s="5"/>
      <c r="E139" s="1"/>
      <c r="BO139" s="6"/>
      <c r="BR139" s="6"/>
    </row>
    <row r="140" spans="4:70" ht="14.5" x14ac:dyDescent="0.25">
      <c r="D140" s="5"/>
      <c r="E140" s="1"/>
      <c r="BO140" s="6"/>
      <c r="BR140" s="6"/>
    </row>
    <row r="141" spans="4:70" ht="14.5" x14ac:dyDescent="0.25">
      <c r="D141" s="5"/>
      <c r="E141" s="1"/>
      <c r="BO141" s="6"/>
      <c r="BR141" s="6"/>
    </row>
    <row r="142" spans="4:70" ht="14.5" x14ac:dyDescent="0.25">
      <c r="D142" s="5"/>
      <c r="E142" s="1"/>
      <c r="BO142" s="6"/>
      <c r="BR142" s="6"/>
    </row>
    <row r="143" spans="4:70" ht="14.5" x14ac:dyDescent="0.25">
      <c r="D143" s="5"/>
      <c r="E143" s="1"/>
      <c r="BO143" s="6"/>
      <c r="BR143" s="6"/>
    </row>
    <row r="144" spans="4:70" ht="14.5" x14ac:dyDescent="0.25">
      <c r="D144" s="5"/>
      <c r="E144" s="1"/>
      <c r="BO144" s="6"/>
      <c r="BR144" s="6"/>
    </row>
    <row r="145" spans="4:70" ht="14.5" x14ac:dyDescent="0.25">
      <c r="D145" s="5"/>
      <c r="E145" s="1"/>
      <c r="BO145" s="6"/>
      <c r="BR145" s="6"/>
    </row>
    <row r="146" spans="4:70" ht="14.5" x14ac:dyDescent="0.25">
      <c r="D146" s="5"/>
      <c r="E146" s="1"/>
      <c r="BO146" s="6"/>
      <c r="BR146" s="6"/>
    </row>
    <row r="147" spans="4:70" ht="14.5" x14ac:dyDescent="0.25">
      <c r="D147" s="5"/>
      <c r="E147" s="1"/>
      <c r="BO147" s="6"/>
      <c r="BR147" s="6"/>
    </row>
    <row r="148" spans="4:70" ht="14.5" x14ac:dyDescent="0.25">
      <c r="D148" s="5"/>
      <c r="E148" s="1"/>
      <c r="BO148" s="6"/>
      <c r="BR148" s="6"/>
    </row>
    <row r="149" spans="4:70" ht="14.5" x14ac:dyDescent="0.25">
      <c r="D149" s="5"/>
      <c r="E149" s="1"/>
      <c r="BO149" s="6"/>
      <c r="BR149" s="6"/>
    </row>
    <row r="150" spans="4:70" ht="14.5" x14ac:dyDescent="0.25">
      <c r="D150" s="5"/>
      <c r="E150" s="1"/>
      <c r="BO150" s="6"/>
      <c r="BR150" s="6"/>
    </row>
    <row r="151" spans="4:70" ht="14.5" x14ac:dyDescent="0.25">
      <c r="D151" s="5"/>
      <c r="E151" s="1"/>
      <c r="BO151" s="6"/>
      <c r="BR151" s="6"/>
    </row>
    <row r="152" spans="4:70" ht="14.5" x14ac:dyDescent="0.25">
      <c r="D152" s="5"/>
      <c r="E152" s="1"/>
      <c r="BO152" s="6"/>
      <c r="BR152" s="6"/>
    </row>
    <row r="153" spans="4:70" ht="14.5" x14ac:dyDescent="0.25">
      <c r="D153" s="5"/>
      <c r="E153" s="1"/>
      <c r="BO153" s="6"/>
      <c r="BR153" s="6"/>
    </row>
    <row r="154" spans="4:70" ht="14.5" x14ac:dyDescent="0.25">
      <c r="D154" s="5"/>
      <c r="E154" s="1"/>
      <c r="BO154" s="6"/>
      <c r="BR154" s="6"/>
    </row>
    <row r="155" spans="4:70" ht="14.5" x14ac:dyDescent="0.25">
      <c r="D155" s="5"/>
      <c r="E155" s="1"/>
      <c r="BO155" s="6"/>
      <c r="BR155" s="6"/>
    </row>
    <row r="156" spans="4:70" ht="14.5" x14ac:dyDescent="0.25">
      <c r="D156" s="5"/>
      <c r="E156" s="1"/>
      <c r="BO156" s="6"/>
      <c r="BR156" s="6"/>
    </row>
    <row r="157" spans="4:70" ht="14.5" x14ac:dyDescent="0.25">
      <c r="D157" s="5"/>
      <c r="E157" s="1"/>
      <c r="BO157" s="6"/>
      <c r="BR157" s="6"/>
    </row>
    <row r="158" spans="4:70" ht="14.5" x14ac:dyDescent="0.25">
      <c r="D158" s="5"/>
      <c r="E158" s="1"/>
      <c r="BO158" s="6"/>
      <c r="BR158" s="6"/>
    </row>
    <row r="159" spans="4:70" ht="14.5" x14ac:dyDescent="0.25">
      <c r="D159" s="5"/>
      <c r="E159" s="1"/>
      <c r="BO159" s="6"/>
      <c r="BR159" s="6"/>
    </row>
    <row r="160" spans="4:70" ht="14.5" x14ac:dyDescent="0.25">
      <c r="D160" s="5"/>
      <c r="E160" s="1"/>
      <c r="BO160" s="6"/>
      <c r="BR160" s="6"/>
    </row>
    <row r="161" spans="4:70" ht="14.5" x14ac:dyDescent="0.25">
      <c r="D161" s="5"/>
      <c r="E161" s="1"/>
      <c r="BO161" s="6"/>
      <c r="BR161" s="6"/>
    </row>
    <row r="162" spans="4:70" ht="14.5" x14ac:dyDescent="0.25">
      <c r="D162" s="5"/>
      <c r="E162" s="1"/>
      <c r="BO162" s="6"/>
      <c r="BR162" s="6"/>
    </row>
    <row r="163" spans="4:70" ht="14.5" x14ac:dyDescent="0.25">
      <c r="D163" s="5"/>
      <c r="E163" s="1"/>
      <c r="BO163" s="6"/>
      <c r="BR163" s="6"/>
    </row>
    <row r="164" spans="4:70" ht="14.5" x14ac:dyDescent="0.25">
      <c r="D164" s="5"/>
      <c r="E164" s="1"/>
      <c r="BO164" s="6"/>
      <c r="BR164" s="6"/>
    </row>
    <row r="165" spans="4:70" ht="14.5" x14ac:dyDescent="0.25">
      <c r="D165" s="5"/>
      <c r="E165" s="1"/>
      <c r="BO165" s="6"/>
      <c r="BR165" s="6"/>
    </row>
    <row r="166" spans="4:70" ht="14.5" x14ac:dyDescent="0.25">
      <c r="D166" s="5"/>
      <c r="E166" s="1"/>
      <c r="BO166" s="6"/>
      <c r="BR166" s="6"/>
    </row>
    <row r="167" spans="4:70" ht="14.5" x14ac:dyDescent="0.25">
      <c r="D167" s="5"/>
      <c r="E167" s="1"/>
      <c r="BO167" s="6"/>
      <c r="BR167" s="6"/>
    </row>
    <row r="168" spans="4:70" ht="14.5" x14ac:dyDescent="0.25">
      <c r="D168" s="5"/>
      <c r="E168" s="1"/>
      <c r="BO168" s="6"/>
      <c r="BR168" s="6"/>
    </row>
    <row r="169" spans="4:70" ht="14.5" x14ac:dyDescent="0.25">
      <c r="D169" s="5"/>
      <c r="E169" s="1"/>
      <c r="BO169" s="6"/>
      <c r="BR169" s="6"/>
    </row>
    <row r="170" spans="4:70" ht="14.5" x14ac:dyDescent="0.25">
      <c r="D170" s="5"/>
      <c r="E170" s="1"/>
      <c r="BO170" s="6"/>
      <c r="BR170" s="6"/>
    </row>
    <row r="171" spans="4:70" ht="14.5" x14ac:dyDescent="0.25">
      <c r="D171" s="5"/>
      <c r="E171" s="1"/>
      <c r="BO171" s="6"/>
      <c r="BR171" s="6"/>
    </row>
    <row r="172" spans="4:70" ht="14.5" x14ac:dyDescent="0.25">
      <c r="D172" s="5"/>
      <c r="E172" s="1"/>
      <c r="BO172" s="6"/>
      <c r="BR172" s="6"/>
    </row>
    <row r="173" spans="4:70" ht="14.5" x14ac:dyDescent="0.25">
      <c r="D173" s="5"/>
      <c r="E173" s="1"/>
      <c r="BO173" s="6"/>
      <c r="BR173" s="6"/>
    </row>
    <row r="174" spans="4:70" ht="14.5" x14ac:dyDescent="0.25">
      <c r="D174" s="5"/>
      <c r="E174" s="1"/>
      <c r="BO174" s="6"/>
      <c r="BR174" s="6"/>
    </row>
    <row r="175" spans="4:70" ht="14.5" x14ac:dyDescent="0.25">
      <c r="D175" s="5"/>
      <c r="E175" s="1"/>
      <c r="BO175" s="6"/>
      <c r="BR175" s="6"/>
    </row>
    <row r="176" spans="4:70" ht="14.5" x14ac:dyDescent="0.25">
      <c r="D176" s="5"/>
      <c r="E176" s="1"/>
      <c r="BO176" s="6"/>
      <c r="BR176" s="6"/>
    </row>
    <row r="177" spans="4:70" ht="14.5" x14ac:dyDescent="0.25">
      <c r="D177" s="5"/>
      <c r="E177" s="1"/>
      <c r="BO177" s="6"/>
      <c r="BR177" s="6"/>
    </row>
    <row r="178" spans="4:70" ht="14.5" x14ac:dyDescent="0.25">
      <c r="D178" s="5"/>
      <c r="E178" s="1"/>
      <c r="BO178" s="6"/>
      <c r="BR178" s="6"/>
    </row>
    <row r="179" spans="4:70" ht="14.5" x14ac:dyDescent="0.25">
      <c r="D179" s="5"/>
      <c r="E179" s="1"/>
      <c r="BO179" s="6"/>
      <c r="BR179" s="6"/>
    </row>
    <row r="180" spans="4:70" ht="14.5" x14ac:dyDescent="0.25">
      <c r="D180" s="5"/>
      <c r="E180" s="1"/>
      <c r="BO180" s="6"/>
      <c r="BR180" s="6"/>
    </row>
    <row r="181" spans="4:70" ht="14.5" x14ac:dyDescent="0.25">
      <c r="D181" s="5"/>
      <c r="E181" s="1"/>
      <c r="BO181" s="6"/>
      <c r="BR181" s="6"/>
    </row>
    <row r="182" spans="4:70" ht="14.5" x14ac:dyDescent="0.25">
      <c r="D182" s="5"/>
      <c r="E182" s="1"/>
      <c r="BO182" s="6"/>
      <c r="BR182" s="6"/>
    </row>
    <row r="183" spans="4:70" ht="14.5" x14ac:dyDescent="0.25">
      <c r="D183" s="5"/>
      <c r="E183" s="1"/>
      <c r="BO183" s="6"/>
      <c r="BR183" s="6"/>
    </row>
    <row r="184" spans="4:70" ht="14.5" x14ac:dyDescent="0.25">
      <c r="D184" s="5"/>
      <c r="E184" s="1"/>
      <c r="BO184" s="6"/>
      <c r="BR184" s="6"/>
    </row>
    <row r="185" spans="4:70" ht="14.5" x14ac:dyDescent="0.25">
      <c r="D185" s="5"/>
      <c r="E185" s="1"/>
      <c r="BO185" s="6"/>
      <c r="BR185" s="6"/>
    </row>
    <row r="186" spans="4:70" ht="14.5" x14ac:dyDescent="0.25">
      <c r="D186" s="5"/>
      <c r="E186" s="1"/>
      <c r="BO186" s="6"/>
      <c r="BR186" s="6"/>
    </row>
    <row r="187" spans="4:70" ht="14.5" x14ac:dyDescent="0.25">
      <c r="D187" s="5"/>
      <c r="E187" s="1"/>
      <c r="BO187" s="6"/>
      <c r="BR187" s="6"/>
    </row>
    <row r="188" spans="4:70" ht="14.5" x14ac:dyDescent="0.25">
      <c r="D188" s="5"/>
      <c r="E188" s="1"/>
      <c r="BO188" s="6"/>
      <c r="BR188" s="6"/>
    </row>
    <row r="189" spans="4:70" ht="14.5" x14ac:dyDescent="0.25">
      <c r="D189" s="5"/>
      <c r="E189" s="1"/>
      <c r="BO189" s="6"/>
      <c r="BR189" s="6"/>
    </row>
    <row r="190" spans="4:70" ht="14.5" x14ac:dyDescent="0.25">
      <c r="D190" s="5"/>
      <c r="E190" s="1"/>
      <c r="BO190" s="6"/>
      <c r="BR190" s="6"/>
    </row>
    <row r="191" spans="4:70" ht="14.5" x14ac:dyDescent="0.25">
      <c r="D191" s="5"/>
      <c r="E191" s="1"/>
      <c r="BO191" s="6"/>
      <c r="BR191" s="6"/>
    </row>
    <row r="192" spans="4:70" ht="14.5" x14ac:dyDescent="0.25">
      <c r="D192" s="5"/>
      <c r="E192" s="1"/>
      <c r="BO192" s="6"/>
      <c r="BR192" s="6"/>
    </row>
    <row r="193" spans="4:70" ht="14.5" x14ac:dyDescent="0.25">
      <c r="D193" s="5"/>
      <c r="E193" s="1"/>
      <c r="BO193" s="6"/>
      <c r="BR193" s="6"/>
    </row>
    <row r="194" spans="4:70" ht="14.5" x14ac:dyDescent="0.25">
      <c r="D194" s="5"/>
      <c r="E194" s="1"/>
      <c r="BO194" s="6"/>
      <c r="BR194" s="6"/>
    </row>
    <row r="195" spans="4:70" ht="14.5" x14ac:dyDescent="0.25">
      <c r="D195" s="5"/>
      <c r="E195" s="1"/>
      <c r="BO195" s="6"/>
      <c r="BR195" s="6"/>
    </row>
    <row r="196" spans="4:70" ht="14.5" x14ac:dyDescent="0.25">
      <c r="D196" s="5"/>
      <c r="E196" s="1"/>
      <c r="BO196" s="6"/>
      <c r="BR196" s="6"/>
    </row>
    <row r="197" spans="4:70" ht="14.5" x14ac:dyDescent="0.25">
      <c r="D197" s="5"/>
      <c r="E197" s="1"/>
      <c r="BO197" s="6"/>
      <c r="BR197" s="6"/>
    </row>
    <row r="198" spans="4:70" ht="14.5" x14ac:dyDescent="0.25">
      <c r="D198" s="5"/>
      <c r="E198" s="1"/>
      <c r="BO198" s="6"/>
      <c r="BR198" s="6"/>
    </row>
    <row r="199" spans="4:70" ht="14.5" x14ac:dyDescent="0.25">
      <c r="D199" s="5"/>
      <c r="E199" s="1"/>
      <c r="BO199" s="6"/>
      <c r="BR199" s="6"/>
    </row>
    <row r="200" spans="4:70" ht="14.5" x14ac:dyDescent="0.25">
      <c r="D200" s="5"/>
      <c r="E200" s="1"/>
      <c r="BO200" s="6"/>
      <c r="BR200" s="6"/>
    </row>
    <row r="201" spans="4:70" ht="14.5" x14ac:dyDescent="0.25">
      <c r="D201" s="5"/>
      <c r="E201" s="1"/>
      <c r="BO201" s="6"/>
      <c r="BR201" s="6"/>
    </row>
    <row r="202" spans="4:70" ht="14.5" x14ac:dyDescent="0.25">
      <c r="D202" s="5"/>
      <c r="E202" s="1"/>
      <c r="BO202" s="6"/>
      <c r="BR202" s="6"/>
    </row>
    <row r="203" spans="4:70" ht="14.5" x14ac:dyDescent="0.25">
      <c r="D203" s="5"/>
      <c r="E203" s="1"/>
      <c r="BO203" s="6"/>
      <c r="BR203" s="6"/>
    </row>
    <row r="204" spans="4:70" ht="14.5" x14ac:dyDescent="0.25">
      <c r="D204" s="5"/>
      <c r="E204" s="1"/>
      <c r="BO204" s="6"/>
      <c r="BR204" s="6"/>
    </row>
    <row r="205" spans="4:70" ht="14.5" x14ac:dyDescent="0.25">
      <c r="D205" s="5"/>
      <c r="E205" s="1"/>
      <c r="BO205" s="6"/>
      <c r="BR205" s="6"/>
    </row>
    <row r="206" spans="4:70" ht="14.5" x14ac:dyDescent="0.25">
      <c r="D206" s="5"/>
      <c r="E206" s="1"/>
      <c r="BO206" s="6"/>
      <c r="BR206" s="6"/>
    </row>
    <row r="207" spans="4:70" ht="14.5" x14ac:dyDescent="0.25">
      <c r="D207" s="5"/>
      <c r="E207" s="1"/>
      <c r="BO207" s="6"/>
      <c r="BR207" s="6"/>
    </row>
    <row r="208" spans="4:70" ht="14.5" x14ac:dyDescent="0.25">
      <c r="D208" s="5"/>
      <c r="E208" s="1"/>
      <c r="BO208" s="6"/>
      <c r="BR208" s="6"/>
    </row>
    <row r="209" spans="4:70" ht="14.5" x14ac:dyDescent="0.25">
      <c r="D209" s="5"/>
      <c r="E209" s="1"/>
      <c r="BO209" s="6"/>
      <c r="BR209" s="6"/>
    </row>
    <row r="210" spans="4:70" ht="14.5" x14ac:dyDescent="0.25">
      <c r="D210" s="5"/>
      <c r="E210" s="1"/>
      <c r="BO210" s="6"/>
      <c r="BR210" s="6"/>
    </row>
    <row r="211" spans="4:70" ht="14.5" x14ac:dyDescent="0.25">
      <c r="D211" s="5"/>
      <c r="E211" s="1"/>
      <c r="BO211" s="6"/>
      <c r="BR211" s="6"/>
    </row>
    <row r="212" spans="4:70" ht="14.5" x14ac:dyDescent="0.25">
      <c r="D212" s="5"/>
      <c r="E212" s="1"/>
      <c r="BO212" s="6"/>
      <c r="BR212" s="6"/>
    </row>
    <row r="213" spans="4:70" ht="14.5" x14ac:dyDescent="0.25">
      <c r="D213" s="5"/>
      <c r="E213" s="1"/>
      <c r="BO213" s="6"/>
      <c r="BR213" s="6"/>
    </row>
    <row r="214" spans="4:70" ht="14.5" x14ac:dyDescent="0.25">
      <c r="D214" s="5"/>
      <c r="E214" s="1"/>
      <c r="BO214" s="6"/>
      <c r="BR214" s="6"/>
    </row>
    <row r="215" spans="4:70" ht="14.5" x14ac:dyDescent="0.25">
      <c r="D215" s="5"/>
      <c r="E215" s="1"/>
      <c r="BO215" s="6"/>
      <c r="BR215" s="6"/>
    </row>
    <row r="216" spans="4:70" ht="14.5" x14ac:dyDescent="0.25">
      <c r="D216" s="5"/>
      <c r="E216" s="1"/>
      <c r="BO216" s="6"/>
      <c r="BR216" s="6"/>
    </row>
    <row r="217" spans="4:70" ht="14.5" x14ac:dyDescent="0.25">
      <c r="D217" s="5"/>
      <c r="E217" s="1"/>
      <c r="BO217" s="6"/>
      <c r="BR217" s="6"/>
    </row>
    <row r="218" spans="4:70" ht="14.5" x14ac:dyDescent="0.25">
      <c r="D218" s="5"/>
      <c r="E218" s="1"/>
      <c r="BO218" s="6"/>
      <c r="BR218" s="6"/>
    </row>
    <row r="219" spans="4:70" ht="14.5" x14ac:dyDescent="0.25">
      <c r="D219" s="5"/>
      <c r="E219" s="1"/>
      <c r="BO219" s="6"/>
      <c r="BR219" s="6"/>
    </row>
    <row r="220" spans="4:70" ht="14.5" x14ac:dyDescent="0.25">
      <c r="D220" s="5"/>
      <c r="E220" s="1"/>
      <c r="BO220" s="6"/>
      <c r="BR220" s="6"/>
    </row>
    <row r="221" spans="4:70" ht="14.5" x14ac:dyDescent="0.25">
      <c r="D221" s="5"/>
      <c r="E221" s="1"/>
      <c r="BO221" s="6"/>
      <c r="BR221" s="6"/>
    </row>
    <row r="222" spans="4:70" ht="14.5" x14ac:dyDescent="0.25">
      <c r="D222" s="5"/>
      <c r="E222" s="1"/>
      <c r="BO222" s="6"/>
      <c r="BR222" s="6"/>
    </row>
    <row r="223" spans="4:70" ht="14.5" x14ac:dyDescent="0.25">
      <c r="D223" s="5"/>
      <c r="E223" s="1"/>
      <c r="BO223" s="6"/>
      <c r="BR223" s="6"/>
    </row>
    <row r="224" spans="4:70" ht="14.5" x14ac:dyDescent="0.25">
      <c r="D224" s="5"/>
      <c r="E224" s="1"/>
      <c r="BO224" s="6"/>
      <c r="BR224" s="6"/>
    </row>
    <row r="225" spans="4:70" ht="14.5" x14ac:dyDescent="0.25">
      <c r="D225" s="5"/>
      <c r="E225" s="1"/>
      <c r="BO225" s="6"/>
      <c r="BR225" s="6"/>
    </row>
    <row r="226" spans="4:70" ht="14.5" x14ac:dyDescent="0.25">
      <c r="D226" s="5"/>
      <c r="E226" s="1"/>
      <c r="BO226" s="6"/>
      <c r="BR226" s="6"/>
    </row>
    <row r="227" spans="4:70" ht="14.5" x14ac:dyDescent="0.25">
      <c r="D227" s="5"/>
      <c r="E227" s="1"/>
      <c r="BO227" s="6"/>
      <c r="BR227" s="6"/>
    </row>
    <row r="228" spans="4:70" ht="14.5" x14ac:dyDescent="0.25">
      <c r="D228" s="5"/>
      <c r="E228" s="1"/>
      <c r="BO228" s="6"/>
      <c r="BR228" s="6"/>
    </row>
    <row r="229" spans="4:70" ht="14.5" x14ac:dyDescent="0.25">
      <c r="D229" s="5"/>
      <c r="E229" s="1"/>
      <c r="BO229" s="6"/>
      <c r="BR229" s="6"/>
    </row>
    <row r="230" spans="4:70" ht="14.5" x14ac:dyDescent="0.25">
      <c r="D230" s="5"/>
      <c r="E230" s="1"/>
      <c r="BO230" s="6"/>
      <c r="BR230" s="6"/>
    </row>
    <row r="231" spans="4:70" ht="14.5" x14ac:dyDescent="0.25">
      <c r="D231" s="5"/>
      <c r="E231" s="1"/>
      <c r="BO231" s="6"/>
      <c r="BR231" s="6"/>
    </row>
    <row r="232" spans="4:70" ht="14.5" x14ac:dyDescent="0.25">
      <c r="D232" s="5"/>
      <c r="E232" s="1"/>
      <c r="BO232" s="6"/>
      <c r="BR232" s="6"/>
    </row>
    <row r="233" spans="4:70" ht="14.5" x14ac:dyDescent="0.25">
      <c r="D233" s="5"/>
      <c r="E233" s="1"/>
      <c r="BO233" s="6"/>
      <c r="BR233" s="6"/>
    </row>
    <row r="234" spans="4:70" ht="14.5" x14ac:dyDescent="0.25">
      <c r="D234" s="5"/>
      <c r="E234" s="1"/>
      <c r="BO234" s="6"/>
      <c r="BR234" s="6"/>
    </row>
    <row r="235" spans="4:70" ht="14.5" x14ac:dyDescent="0.25">
      <c r="D235" s="5"/>
      <c r="E235" s="1"/>
      <c r="BR235" s="6"/>
    </row>
    <row r="236" spans="4:70" ht="14.5" x14ac:dyDescent="0.25">
      <c r="D236" s="5"/>
      <c r="E236" s="1"/>
      <c r="BO236" s="6"/>
      <c r="BR236" s="6"/>
    </row>
    <row r="237" spans="4:70" ht="14.5" x14ac:dyDescent="0.25">
      <c r="D237" s="5"/>
      <c r="E237" s="1"/>
      <c r="BO237" s="6"/>
      <c r="BR237" s="6"/>
    </row>
    <row r="238" spans="4:70" ht="14.5" x14ac:dyDescent="0.25">
      <c r="D238" s="5"/>
      <c r="E238" s="1"/>
      <c r="BO238" s="6"/>
      <c r="BR238" s="6"/>
    </row>
    <row r="239" spans="4:70" ht="14.5" x14ac:dyDescent="0.25">
      <c r="D239" s="5"/>
      <c r="E239" s="1"/>
      <c r="BO239" s="6"/>
      <c r="BR239" s="6"/>
    </row>
    <row r="240" spans="4:70" ht="14.5" x14ac:dyDescent="0.25">
      <c r="D240" s="5"/>
      <c r="E240" s="1"/>
      <c r="BO240" s="6"/>
      <c r="BR240" s="6"/>
    </row>
    <row r="241" spans="4:70" ht="14.5" x14ac:dyDescent="0.25">
      <c r="D241" s="5"/>
      <c r="E241" s="1"/>
      <c r="BO241" s="6"/>
      <c r="BR241" s="6"/>
    </row>
    <row r="242" spans="4:70" ht="14.5" x14ac:dyDescent="0.25">
      <c r="D242" s="5"/>
      <c r="E242" s="1"/>
      <c r="BO242" s="6"/>
      <c r="BR242" s="6"/>
    </row>
    <row r="243" spans="4:70" ht="14.5" x14ac:dyDescent="0.25">
      <c r="D243" s="5"/>
      <c r="E243" s="1"/>
      <c r="BO243" s="6"/>
      <c r="BR243" s="6"/>
    </row>
    <row r="244" spans="4:70" ht="14.5" x14ac:dyDescent="0.25">
      <c r="D244" s="5"/>
      <c r="E244" s="1"/>
      <c r="BO244" s="6"/>
      <c r="BR244" s="6"/>
    </row>
    <row r="245" spans="4:70" ht="14.5" x14ac:dyDescent="0.25">
      <c r="D245" s="5"/>
      <c r="E245" s="1"/>
      <c r="BO245" s="6"/>
      <c r="BR245" s="6"/>
    </row>
    <row r="246" spans="4:70" ht="14.5" x14ac:dyDescent="0.25">
      <c r="D246" s="5"/>
      <c r="E246" s="1"/>
      <c r="BO246" s="6"/>
      <c r="BR246" s="6"/>
    </row>
    <row r="247" spans="4:70" ht="14.5" x14ac:dyDescent="0.25">
      <c r="D247" s="5"/>
      <c r="E247" s="1"/>
      <c r="BO247" s="6"/>
      <c r="BR247" s="6"/>
    </row>
    <row r="248" spans="4:70" ht="14.5" x14ac:dyDescent="0.25">
      <c r="D248" s="5"/>
      <c r="E248" s="1"/>
      <c r="BO248" s="6"/>
      <c r="BR248" s="6"/>
    </row>
    <row r="249" spans="4:70" ht="14.5" x14ac:dyDescent="0.25">
      <c r="D249" s="5"/>
      <c r="E249" s="1"/>
      <c r="BO249" s="6"/>
      <c r="BR249" s="6"/>
    </row>
    <row r="250" spans="4:70" ht="14.5" x14ac:dyDescent="0.25">
      <c r="D250" s="5"/>
      <c r="E250" s="1"/>
      <c r="BO250" s="6"/>
      <c r="BR250" s="6"/>
    </row>
    <row r="251" spans="4:70" ht="14.5" x14ac:dyDescent="0.25">
      <c r="D251" s="5"/>
      <c r="E251" s="1"/>
      <c r="BO251" s="6"/>
      <c r="BR251" s="6"/>
    </row>
    <row r="252" spans="4:70" ht="14.5" x14ac:dyDescent="0.25">
      <c r="D252" s="5"/>
      <c r="E252" s="1"/>
      <c r="BO252" s="6"/>
      <c r="BR252" s="6"/>
    </row>
    <row r="253" spans="4:70" ht="14.5" x14ac:dyDescent="0.25">
      <c r="D253" s="5"/>
      <c r="E253" s="1"/>
      <c r="BO253" s="6"/>
      <c r="BR253" s="6"/>
    </row>
    <row r="254" spans="4:70" ht="14.5" x14ac:dyDescent="0.25">
      <c r="D254" s="5"/>
      <c r="E254" s="1"/>
      <c r="BO254" s="6"/>
      <c r="BR254" s="6"/>
    </row>
    <row r="255" spans="4:70" ht="14.5" x14ac:dyDescent="0.25">
      <c r="D255" s="5"/>
      <c r="E255" s="1"/>
      <c r="BO255" s="6"/>
      <c r="BR255" s="6"/>
    </row>
    <row r="256" spans="4:70" ht="14.5" x14ac:dyDescent="0.25">
      <c r="D256" s="5"/>
      <c r="E256" s="1"/>
      <c r="BO256" s="6"/>
      <c r="BR256" s="6"/>
    </row>
    <row r="257" spans="4:70" ht="14.5" x14ac:dyDescent="0.25">
      <c r="D257" s="5"/>
      <c r="E257" s="1"/>
      <c r="BO257" s="6"/>
      <c r="BR257" s="6"/>
    </row>
    <row r="258" spans="4:70" ht="14.5" x14ac:dyDescent="0.25">
      <c r="D258" s="5"/>
      <c r="E258" s="1"/>
      <c r="BO258" s="6"/>
      <c r="BR258" s="6"/>
    </row>
    <row r="259" spans="4:70" ht="14.5" x14ac:dyDescent="0.25">
      <c r="D259" s="5"/>
      <c r="E259" s="1"/>
      <c r="BO259" s="6"/>
      <c r="BR259" s="6"/>
    </row>
    <row r="260" spans="4:70" ht="14.5" x14ac:dyDescent="0.25">
      <c r="D260" s="5"/>
      <c r="E260" s="1"/>
      <c r="BO260" s="6"/>
      <c r="BR260" s="6"/>
    </row>
    <row r="261" spans="4:70" ht="14.5" x14ac:dyDescent="0.25">
      <c r="D261" s="5"/>
      <c r="E261" s="1"/>
      <c r="BO261" s="6"/>
      <c r="BR261" s="6"/>
    </row>
    <row r="262" spans="4:70" ht="14.5" x14ac:dyDescent="0.25">
      <c r="D262" s="5"/>
      <c r="E262" s="1"/>
      <c r="BO262" s="6"/>
      <c r="BR262" s="6"/>
    </row>
    <row r="263" spans="4:70" ht="14.5" x14ac:dyDescent="0.25">
      <c r="D263" s="5"/>
      <c r="E263" s="1"/>
      <c r="BO263" s="6"/>
      <c r="BR263" s="6"/>
    </row>
    <row r="264" spans="4:70" ht="14.5" x14ac:dyDescent="0.25">
      <c r="D264" s="5"/>
      <c r="E264" s="1"/>
      <c r="BO264" s="6"/>
      <c r="BR264" s="6"/>
    </row>
    <row r="265" spans="4:70" ht="14.5" x14ac:dyDescent="0.25">
      <c r="D265" s="5"/>
      <c r="E265" s="1"/>
      <c r="BO265" s="6"/>
      <c r="BR265" s="6"/>
    </row>
    <row r="266" spans="4:70" ht="14.5" x14ac:dyDescent="0.25">
      <c r="D266" s="5"/>
      <c r="E266" s="1"/>
      <c r="BO266" s="6"/>
      <c r="BR266" s="6"/>
    </row>
    <row r="267" spans="4:70" ht="14.5" x14ac:dyDescent="0.25">
      <c r="D267" s="5"/>
      <c r="E267" s="1"/>
      <c r="BO267" s="6"/>
      <c r="BR267" s="6"/>
    </row>
    <row r="268" spans="4:70" ht="14.5" x14ac:dyDescent="0.25">
      <c r="D268" s="5"/>
      <c r="E268" s="1"/>
      <c r="BO268" s="6"/>
      <c r="BR268" s="6"/>
    </row>
    <row r="269" spans="4:70" ht="14.5" x14ac:dyDescent="0.25">
      <c r="D269" s="5"/>
      <c r="E269" s="1"/>
      <c r="BO269" s="6"/>
      <c r="BR269" s="6"/>
    </row>
    <row r="270" spans="4:70" ht="14.5" x14ac:dyDescent="0.25">
      <c r="D270" s="5"/>
      <c r="E270" s="1"/>
      <c r="BO270" s="6"/>
      <c r="BR270" s="6"/>
    </row>
    <row r="271" spans="4:70" ht="14.5" x14ac:dyDescent="0.25">
      <c r="D271" s="5"/>
      <c r="E271" s="1"/>
      <c r="BO271" s="6"/>
      <c r="BR271" s="6"/>
    </row>
    <row r="272" spans="4:70" ht="14.5" x14ac:dyDescent="0.25">
      <c r="D272" s="5"/>
      <c r="E272" s="1"/>
      <c r="BO272" s="6"/>
      <c r="BR272" s="6"/>
    </row>
    <row r="273" spans="4:70" ht="14.5" x14ac:dyDescent="0.25">
      <c r="D273" s="5"/>
      <c r="E273" s="1"/>
      <c r="BO273" s="6"/>
      <c r="BR273" s="6"/>
    </row>
    <row r="274" spans="4:70" ht="14.5" x14ac:dyDescent="0.25">
      <c r="D274" s="5"/>
      <c r="E274" s="1"/>
      <c r="BO274" s="6"/>
      <c r="BR274" s="6"/>
    </row>
    <row r="275" spans="4:70" ht="14.5" x14ac:dyDescent="0.25">
      <c r="D275" s="5"/>
      <c r="E275" s="1"/>
      <c r="BO275" s="6"/>
      <c r="BR275" s="6"/>
    </row>
    <row r="276" spans="4:70" ht="14.5" x14ac:dyDescent="0.25">
      <c r="D276" s="5"/>
      <c r="E276" s="1"/>
      <c r="BO276" s="6"/>
      <c r="BR276" s="6"/>
    </row>
    <row r="277" spans="4:70" ht="14.5" x14ac:dyDescent="0.25">
      <c r="D277" s="5"/>
      <c r="E277" s="1"/>
      <c r="BO277" s="6"/>
      <c r="BR277" s="6"/>
    </row>
    <row r="278" spans="4:70" ht="14.5" x14ac:dyDescent="0.25">
      <c r="D278" s="5"/>
      <c r="E278" s="1"/>
      <c r="BR278" s="6"/>
    </row>
    <row r="279" spans="4:70" ht="14.5" x14ac:dyDescent="0.25">
      <c r="D279" s="5"/>
      <c r="E279" s="1"/>
      <c r="BO279" s="6"/>
      <c r="BR279" s="6"/>
    </row>
    <row r="280" spans="4:70" ht="14.5" x14ac:dyDescent="0.25">
      <c r="D280" s="5"/>
      <c r="E280" s="1"/>
      <c r="BO280" s="6"/>
      <c r="BR280" s="6"/>
    </row>
    <row r="281" spans="4:70" ht="14.5" x14ac:dyDescent="0.25">
      <c r="D281" s="5"/>
      <c r="E281" s="1"/>
      <c r="BO281" s="6"/>
      <c r="BR281" s="6"/>
    </row>
    <row r="282" spans="4:70" ht="14.5" x14ac:dyDescent="0.25">
      <c r="D282" s="5"/>
      <c r="E282" s="1"/>
      <c r="BO282" s="6"/>
      <c r="BR282" s="6"/>
    </row>
    <row r="283" spans="4:70" ht="14.5" x14ac:dyDescent="0.25">
      <c r="D283" s="5"/>
      <c r="E283" s="1"/>
      <c r="BO283" s="6"/>
      <c r="BR283" s="6"/>
    </row>
    <row r="284" spans="4:70" ht="14.5" x14ac:dyDescent="0.25">
      <c r="D284" s="5"/>
      <c r="E284" s="1"/>
      <c r="BO284" s="6"/>
      <c r="BR284" s="6"/>
    </row>
    <row r="285" spans="4:70" ht="14.5" x14ac:dyDescent="0.25">
      <c r="D285" s="5"/>
      <c r="E285" s="1"/>
      <c r="BO285" s="6"/>
      <c r="BR285" s="6"/>
    </row>
    <row r="286" spans="4:70" ht="14.5" x14ac:dyDescent="0.25">
      <c r="D286" s="5"/>
      <c r="E286" s="1"/>
      <c r="BO286" s="6"/>
      <c r="BR286" s="6"/>
    </row>
    <row r="287" spans="4:70" ht="14.5" x14ac:dyDescent="0.25">
      <c r="D287" s="5"/>
      <c r="E287" s="1"/>
      <c r="BO287" s="6"/>
      <c r="BR287" s="6"/>
    </row>
    <row r="288" spans="4:70" ht="14.5" x14ac:dyDescent="0.25">
      <c r="D288" s="5"/>
      <c r="E288" s="1"/>
      <c r="BO288" s="6"/>
      <c r="BR288" s="6"/>
    </row>
    <row r="289" spans="4:70" ht="14.5" x14ac:dyDescent="0.25">
      <c r="D289" s="5"/>
      <c r="E289" s="1"/>
      <c r="BO289" s="6"/>
      <c r="BR289" s="6"/>
    </row>
    <row r="290" spans="4:70" ht="14.5" x14ac:dyDescent="0.25">
      <c r="D290" s="5"/>
      <c r="E290" s="1"/>
      <c r="BO290" s="6"/>
      <c r="BR290" s="6"/>
    </row>
    <row r="291" spans="4:70" ht="14.5" x14ac:dyDescent="0.25">
      <c r="D291" s="5"/>
      <c r="E291" s="1"/>
      <c r="BO291" s="6"/>
      <c r="BR291" s="6"/>
    </row>
    <row r="292" spans="4:70" ht="14.5" x14ac:dyDescent="0.25">
      <c r="D292" s="5"/>
      <c r="E292" s="1"/>
      <c r="BO292" s="6"/>
      <c r="BR292" s="6"/>
    </row>
    <row r="293" spans="4:70" ht="14.5" x14ac:dyDescent="0.25">
      <c r="D293" s="5"/>
      <c r="E293" s="1"/>
      <c r="BO293" s="6"/>
      <c r="BR293" s="6"/>
    </row>
    <row r="294" spans="4:70" ht="14.5" x14ac:dyDescent="0.25">
      <c r="D294" s="5"/>
      <c r="E294" s="1"/>
      <c r="BO294" s="6"/>
      <c r="BR294" s="6"/>
    </row>
    <row r="295" spans="4:70" ht="14.5" x14ac:dyDescent="0.25">
      <c r="D295" s="5"/>
      <c r="E295" s="1"/>
      <c r="BO295" s="6"/>
      <c r="BR295" s="6"/>
    </row>
    <row r="296" spans="4:70" ht="14.5" x14ac:dyDescent="0.25">
      <c r="D296" s="5"/>
      <c r="E296" s="1"/>
      <c r="BO296" s="6"/>
      <c r="BR296" s="6"/>
    </row>
    <row r="297" spans="4:70" ht="14.5" x14ac:dyDescent="0.25">
      <c r="D297" s="5"/>
      <c r="E297" s="1"/>
      <c r="BO297" s="6"/>
      <c r="BR297" s="6"/>
    </row>
    <row r="298" spans="4:70" ht="14.5" x14ac:dyDescent="0.25">
      <c r="D298" s="5"/>
      <c r="E298" s="1"/>
      <c r="BO298" s="6"/>
      <c r="BR298" s="6"/>
    </row>
    <row r="299" spans="4:70" ht="14.5" x14ac:dyDescent="0.25">
      <c r="D299" s="5"/>
      <c r="E299" s="1"/>
      <c r="BO299" s="6"/>
      <c r="BR299" s="6"/>
    </row>
    <row r="300" spans="4:70" ht="14.5" x14ac:dyDescent="0.25">
      <c r="D300" s="5"/>
      <c r="E300" s="1"/>
      <c r="BO300" s="6"/>
      <c r="BR300" s="6"/>
    </row>
    <row r="301" spans="4:70" ht="14.5" x14ac:dyDescent="0.25">
      <c r="D301" s="5"/>
      <c r="E301" s="1"/>
      <c r="BO301" s="6"/>
      <c r="BR301" s="6"/>
    </row>
    <row r="302" spans="4:70" ht="14.5" x14ac:dyDescent="0.25">
      <c r="D302" s="5"/>
      <c r="E302" s="1"/>
      <c r="BO302" s="6"/>
      <c r="BR302" s="6"/>
    </row>
    <row r="303" spans="4:70" ht="14.5" x14ac:dyDescent="0.25">
      <c r="D303" s="5"/>
      <c r="E303" s="1"/>
      <c r="BO303" s="6"/>
      <c r="BR303" s="6"/>
    </row>
    <row r="304" spans="4:70" ht="14.5" x14ac:dyDescent="0.25">
      <c r="D304" s="5"/>
      <c r="E304" s="1"/>
      <c r="BO304" s="6"/>
      <c r="BR304" s="6"/>
    </row>
    <row r="305" spans="4:70" ht="14.5" x14ac:dyDescent="0.25">
      <c r="D305" s="5"/>
      <c r="E305" s="1"/>
      <c r="BO305" s="6"/>
      <c r="BR305" s="6"/>
    </row>
    <row r="306" spans="4:70" ht="14.5" x14ac:dyDescent="0.25">
      <c r="D306" s="5"/>
      <c r="E306" s="1"/>
      <c r="BO306" s="6"/>
      <c r="BR306" s="6"/>
    </row>
    <row r="307" spans="4:70" ht="14.5" x14ac:dyDescent="0.25">
      <c r="D307" s="5"/>
      <c r="E307" s="1"/>
      <c r="BO307" s="6"/>
      <c r="BR307" s="6"/>
    </row>
    <row r="308" spans="4:70" ht="14.5" x14ac:dyDescent="0.25">
      <c r="D308" s="5"/>
      <c r="E308" s="1"/>
      <c r="BO308" s="6"/>
      <c r="BR308" s="6"/>
    </row>
    <row r="309" spans="4:70" ht="14.5" x14ac:dyDescent="0.25">
      <c r="D309" s="5"/>
      <c r="E309" s="1"/>
      <c r="BO309" s="6"/>
      <c r="BR309" s="6"/>
    </row>
    <row r="310" spans="4:70" ht="14.5" x14ac:dyDescent="0.25">
      <c r="D310" s="5"/>
      <c r="E310" s="1"/>
      <c r="BO310" s="6"/>
      <c r="BR310" s="6"/>
    </row>
    <row r="311" spans="4:70" ht="14.5" x14ac:dyDescent="0.25">
      <c r="D311" s="5"/>
      <c r="E311" s="1"/>
      <c r="BO311" s="6"/>
      <c r="BR311" s="6"/>
    </row>
    <row r="312" spans="4:70" ht="14.5" x14ac:dyDescent="0.25">
      <c r="D312" s="5"/>
      <c r="E312" s="1"/>
      <c r="BO312" s="6"/>
      <c r="BR312" s="6"/>
    </row>
    <row r="313" spans="4:70" ht="14.5" x14ac:dyDescent="0.25">
      <c r="D313" s="5"/>
      <c r="E313" s="1"/>
      <c r="BO313" s="6"/>
      <c r="BR313" s="6"/>
    </row>
    <row r="314" spans="4:70" ht="14.5" x14ac:dyDescent="0.25">
      <c r="D314" s="5"/>
      <c r="E314" s="1"/>
      <c r="BO314" s="6"/>
      <c r="BR314" s="6"/>
    </row>
    <row r="315" spans="4:70" ht="14.5" x14ac:dyDescent="0.25">
      <c r="D315" s="5"/>
      <c r="E315" s="1"/>
      <c r="BO315" s="6"/>
      <c r="BR315" s="6"/>
    </row>
    <row r="316" spans="4:70" ht="14.5" x14ac:dyDescent="0.25">
      <c r="D316" s="5"/>
      <c r="E316" s="1"/>
      <c r="BO316" s="6"/>
      <c r="BR316" s="6"/>
    </row>
    <row r="317" spans="4:70" ht="14.5" x14ac:dyDescent="0.25">
      <c r="D317" s="5"/>
      <c r="E317" s="1"/>
      <c r="BO317" s="6"/>
      <c r="BR317" s="6"/>
    </row>
    <row r="318" spans="4:70" ht="14.5" x14ac:dyDescent="0.25">
      <c r="D318" s="5"/>
      <c r="E318" s="1"/>
      <c r="BO318" s="6"/>
      <c r="BR318" s="6"/>
    </row>
    <row r="319" spans="4:70" ht="14.5" x14ac:dyDescent="0.25">
      <c r="D319" s="5"/>
      <c r="E319" s="1"/>
      <c r="BO319" s="6"/>
      <c r="BR319" s="6"/>
    </row>
    <row r="320" spans="4:70" ht="14.5" x14ac:dyDescent="0.25">
      <c r="D320" s="5"/>
      <c r="E320" s="1"/>
      <c r="BO320" s="6"/>
      <c r="BR320" s="6"/>
    </row>
    <row r="321" spans="4:70" ht="14.5" x14ac:dyDescent="0.25">
      <c r="D321" s="5"/>
      <c r="E321" s="1"/>
      <c r="BO321" s="6"/>
      <c r="BR321" s="6"/>
    </row>
    <row r="322" spans="4:70" ht="14.5" x14ac:dyDescent="0.25">
      <c r="D322" s="5"/>
      <c r="E322" s="1"/>
      <c r="BO322" s="6"/>
      <c r="BR322" s="6"/>
    </row>
    <row r="323" spans="4:70" ht="14.5" x14ac:dyDescent="0.25">
      <c r="D323" s="5"/>
      <c r="E323" s="1"/>
      <c r="BO323" s="6"/>
      <c r="BR323" s="6"/>
    </row>
    <row r="324" spans="4:70" ht="14.5" x14ac:dyDescent="0.25">
      <c r="D324" s="5"/>
      <c r="E324" s="1"/>
      <c r="BO324" s="6"/>
      <c r="BR324" s="6"/>
    </row>
    <row r="325" spans="4:70" ht="14.5" x14ac:dyDescent="0.25">
      <c r="D325" s="5"/>
      <c r="E325" s="1"/>
      <c r="BO325" s="6"/>
      <c r="BR325" s="6"/>
    </row>
    <row r="326" spans="4:70" ht="14.5" x14ac:dyDescent="0.25">
      <c r="D326" s="5"/>
      <c r="E326" s="1"/>
      <c r="BO326" s="6"/>
      <c r="BR326" s="6"/>
    </row>
    <row r="327" spans="4:70" ht="14.5" x14ac:dyDescent="0.25">
      <c r="D327" s="5"/>
      <c r="E327" s="1"/>
      <c r="BO327" s="6"/>
      <c r="BR327" s="6"/>
    </row>
    <row r="328" spans="4:70" ht="14.5" x14ac:dyDescent="0.25">
      <c r="D328" s="5"/>
      <c r="E328" s="1"/>
      <c r="BO328" s="6"/>
      <c r="BR328" s="6"/>
    </row>
    <row r="329" spans="4:70" ht="14.5" x14ac:dyDescent="0.25">
      <c r="D329" s="5"/>
      <c r="E329" s="1"/>
      <c r="BO329" s="6"/>
      <c r="BR329" s="6"/>
    </row>
    <row r="330" spans="4:70" ht="14.5" x14ac:dyDescent="0.25">
      <c r="D330" s="5"/>
      <c r="E330" s="1"/>
      <c r="BO330" s="6"/>
      <c r="BR330" s="6"/>
    </row>
    <row r="331" spans="4:70" ht="14.5" x14ac:dyDescent="0.25">
      <c r="D331" s="5"/>
      <c r="E331" s="1"/>
      <c r="BO331" s="6"/>
      <c r="BR331" s="6"/>
    </row>
    <row r="332" spans="4:70" ht="14.5" x14ac:dyDescent="0.25">
      <c r="D332" s="5"/>
      <c r="E332" s="1"/>
      <c r="BO332" s="6"/>
      <c r="BR332" s="6"/>
    </row>
    <row r="333" spans="4:70" ht="14.5" x14ac:dyDescent="0.25">
      <c r="D333" s="5"/>
      <c r="E333" s="1"/>
      <c r="BO333" s="6"/>
      <c r="BR333" s="6"/>
    </row>
    <row r="334" spans="4:70" ht="14.5" x14ac:dyDescent="0.25">
      <c r="D334" s="5"/>
      <c r="E334" s="1"/>
      <c r="BR334" s="6"/>
    </row>
    <row r="335" spans="4:70" ht="14.5" x14ac:dyDescent="0.25">
      <c r="D335" s="5"/>
      <c r="E335" s="1"/>
      <c r="BR335" s="6"/>
    </row>
    <row r="336" spans="4:70" ht="14.5" x14ac:dyDescent="0.25">
      <c r="D336" s="5"/>
      <c r="E336" s="1"/>
      <c r="BR336" s="6"/>
    </row>
    <row r="337" spans="4:70" ht="14.5" x14ac:dyDescent="0.25">
      <c r="D337" s="5"/>
      <c r="E337" s="1"/>
      <c r="BO337" s="6"/>
      <c r="BR337" s="6"/>
    </row>
    <row r="338" spans="4:70" ht="14.5" x14ac:dyDescent="0.25">
      <c r="D338" s="5"/>
      <c r="E338" s="1"/>
      <c r="BO338" s="6"/>
      <c r="BR338" s="6"/>
    </row>
    <row r="339" spans="4:70" ht="14.5" x14ac:dyDescent="0.25">
      <c r="D339" s="5"/>
      <c r="E339" s="1"/>
      <c r="BO339" s="6"/>
      <c r="BR339" s="6"/>
    </row>
    <row r="340" spans="4:70" ht="14.5" x14ac:dyDescent="0.25">
      <c r="D340" s="5"/>
      <c r="E340" s="1"/>
      <c r="BO340" s="6"/>
      <c r="BR340" s="6"/>
    </row>
    <row r="341" spans="4:70" ht="14.5" x14ac:dyDescent="0.25">
      <c r="D341" s="5"/>
      <c r="E341" s="1"/>
      <c r="BO341" s="6"/>
      <c r="BR341" s="6"/>
    </row>
    <row r="342" spans="4:70" ht="14.5" x14ac:dyDescent="0.25">
      <c r="D342" s="5"/>
      <c r="E342" s="1"/>
      <c r="BO342" s="6"/>
      <c r="BR342" s="6"/>
    </row>
    <row r="343" spans="4:70" ht="14.5" x14ac:dyDescent="0.25">
      <c r="D343" s="5"/>
      <c r="E343" s="1"/>
      <c r="BO343" s="6"/>
      <c r="BR343" s="6"/>
    </row>
    <row r="344" spans="4:70" ht="14.5" x14ac:dyDescent="0.25">
      <c r="D344" s="5"/>
      <c r="E344" s="1"/>
      <c r="BO344" s="6"/>
      <c r="BR344" s="6"/>
    </row>
    <row r="345" spans="4:70" ht="14.5" x14ac:dyDescent="0.25">
      <c r="D345" s="5"/>
      <c r="E345" s="1"/>
      <c r="BO345" s="6"/>
      <c r="BR345" s="6"/>
    </row>
    <row r="346" spans="4:70" ht="14.5" x14ac:dyDescent="0.25">
      <c r="D346" s="5"/>
      <c r="E346" s="1"/>
      <c r="BO346" s="6"/>
      <c r="BR346" s="6"/>
    </row>
    <row r="347" spans="4:70" ht="14.5" x14ac:dyDescent="0.25">
      <c r="D347" s="5"/>
      <c r="E347" s="1"/>
      <c r="BO347" s="6"/>
      <c r="BR347" s="6"/>
    </row>
    <row r="348" spans="4:70" ht="14.5" x14ac:dyDescent="0.25">
      <c r="D348" s="5"/>
      <c r="E348" s="1"/>
      <c r="BO348" s="6"/>
      <c r="BR348" s="6"/>
    </row>
    <row r="349" spans="4:70" ht="14.5" x14ac:dyDescent="0.25">
      <c r="D349" s="5"/>
      <c r="E349" s="1"/>
      <c r="BO349" s="6"/>
      <c r="BR349" s="6"/>
    </row>
    <row r="350" spans="4:70" ht="14.5" x14ac:dyDescent="0.25">
      <c r="D350" s="5"/>
      <c r="E350" s="1"/>
      <c r="BO350" s="6"/>
      <c r="BR350" s="6"/>
    </row>
    <row r="351" spans="4:70" ht="14.5" x14ac:dyDescent="0.25">
      <c r="D351" s="5"/>
      <c r="E351" s="1"/>
      <c r="BO351" s="6"/>
      <c r="BR351" s="6"/>
    </row>
    <row r="352" spans="4:70" ht="14.5" x14ac:dyDescent="0.25">
      <c r="D352" s="5"/>
      <c r="E352" s="1"/>
      <c r="BO352" s="6"/>
      <c r="BR352" s="6"/>
    </row>
    <row r="353" spans="4:70" ht="14.5" x14ac:dyDescent="0.25">
      <c r="D353" s="5"/>
      <c r="E353" s="1"/>
      <c r="BO353" s="6"/>
      <c r="BR353" s="6"/>
    </row>
    <row r="354" spans="4:70" ht="14.5" x14ac:dyDescent="0.25">
      <c r="D354" s="5"/>
      <c r="E354" s="1"/>
      <c r="BO354" s="6"/>
      <c r="BR354" s="6"/>
    </row>
    <row r="355" spans="4:70" ht="14.5" x14ac:dyDescent="0.25">
      <c r="D355" s="5"/>
      <c r="E355" s="1"/>
      <c r="BO355" s="6"/>
      <c r="BR355" s="6"/>
    </row>
    <row r="356" spans="4:70" ht="14.5" x14ac:dyDescent="0.25">
      <c r="D356" s="5"/>
      <c r="E356" s="1"/>
      <c r="BO356" s="6"/>
      <c r="BR356" s="6"/>
    </row>
    <row r="357" spans="4:70" ht="14.5" x14ac:dyDescent="0.25">
      <c r="D357" s="5"/>
      <c r="E357" s="1"/>
      <c r="BO357" s="6"/>
      <c r="BR357" s="6"/>
    </row>
    <row r="358" spans="4:70" ht="14.5" x14ac:dyDescent="0.25">
      <c r="D358" s="5"/>
      <c r="E358" s="1"/>
      <c r="BO358" s="6"/>
      <c r="BR358" s="6"/>
    </row>
    <row r="359" spans="4:70" ht="14.5" x14ac:dyDescent="0.25">
      <c r="D359" s="5"/>
      <c r="E359" s="1"/>
      <c r="BO359" s="6"/>
      <c r="BR359" s="6"/>
    </row>
    <row r="360" spans="4:70" ht="14.5" x14ac:dyDescent="0.25">
      <c r="D360" s="5"/>
      <c r="E360" s="1"/>
      <c r="BO360" s="6"/>
      <c r="BR360" s="6"/>
    </row>
    <row r="361" spans="4:70" ht="14.5" x14ac:dyDescent="0.25">
      <c r="D361" s="5"/>
      <c r="E361" s="1"/>
      <c r="BO361" s="6"/>
      <c r="BR361" s="6"/>
    </row>
    <row r="362" spans="4:70" ht="14.5" x14ac:dyDescent="0.25">
      <c r="D362" s="5"/>
      <c r="E362" s="1"/>
      <c r="BO362" s="6"/>
      <c r="BR362" s="6"/>
    </row>
    <row r="363" spans="4:70" ht="14.5" x14ac:dyDescent="0.25">
      <c r="D363" s="5"/>
      <c r="E363" s="1"/>
      <c r="BO363" s="6"/>
      <c r="BR363" s="6"/>
    </row>
    <row r="364" spans="4:70" ht="14.5" x14ac:dyDescent="0.25">
      <c r="D364" s="5"/>
      <c r="E364" s="1"/>
      <c r="BO364" s="6"/>
      <c r="BR364" s="6"/>
    </row>
    <row r="365" spans="4:70" ht="14.5" x14ac:dyDescent="0.25">
      <c r="D365" s="5"/>
      <c r="E365" s="1"/>
      <c r="BO365" s="6"/>
      <c r="BR365" s="6"/>
    </row>
    <row r="366" spans="4:70" ht="14.5" x14ac:dyDescent="0.25">
      <c r="D366" s="5"/>
      <c r="E366" s="1"/>
      <c r="BO366" s="6"/>
      <c r="BR366" s="6"/>
    </row>
    <row r="367" spans="4:70" ht="14.5" x14ac:dyDescent="0.25">
      <c r="D367" s="5"/>
      <c r="E367" s="1"/>
      <c r="BO367" s="6"/>
      <c r="BR367" s="6"/>
    </row>
    <row r="368" spans="4:70" ht="14.5" x14ac:dyDescent="0.25">
      <c r="D368" s="5"/>
      <c r="E368" s="1"/>
      <c r="BO368" s="6"/>
      <c r="BR368" s="6"/>
    </row>
    <row r="369" spans="4:70" ht="14.5" x14ac:dyDescent="0.25">
      <c r="D369" s="5"/>
      <c r="E369" s="1"/>
      <c r="BO369" s="6"/>
      <c r="BR369" s="6"/>
    </row>
    <row r="370" spans="4:70" ht="14.5" x14ac:dyDescent="0.25">
      <c r="D370" s="5"/>
      <c r="E370" s="1"/>
      <c r="BO370" s="6"/>
      <c r="BR370" s="6"/>
    </row>
    <row r="371" spans="4:70" ht="14.5" x14ac:dyDescent="0.25">
      <c r="D371" s="5"/>
      <c r="E371" s="1"/>
      <c r="BR371" s="6"/>
    </row>
    <row r="372" spans="4:70" ht="14.5" x14ac:dyDescent="0.25">
      <c r="D372" s="5"/>
      <c r="E372" s="1"/>
      <c r="BR372" s="6"/>
    </row>
    <row r="373" spans="4:70" ht="14.5" x14ac:dyDescent="0.25">
      <c r="D373" s="5"/>
      <c r="E373" s="1"/>
      <c r="BO373" s="6"/>
      <c r="BR373" s="6"/>
    </row>
    <row r="374" spans="4:70" ht="14.5" x14ac:dyDescent="0.25">
      <c r="D374" s="5"/>
      <c r="E374" s="1"/>
      <c r="BO374" s="6"/>
      <c r="BR374" s="6"/>
    </row>
    <row r="375" spans="4:70" ht="14.5" x14ac:dyDescent="0.25">
      <c r="D375" s="5"/>
      <c r="E375" s="1"/>
      <c r="BO375" s="6"/>
      <c r="BR375" s="6"/>
    </row>
    <row r="376" spans="4:70" ht="14.5" x14ac:dyDescent="0.25">
      <c r="D376" s="5"/>
      <c r="E376" s="1"/>
      <c r="BO376" s="6"/>
      <c r="BR376" s="6"/>
    </row>
    <row r="377" spans="4:70" ht="14.5" x14ac:dyDescent="0.25">
      <c r="D377" s="5"/>
      <c r="E377" s="1"/>
      <c r="BO377" s="6"/>
      <c r="BR377" s="6"/>
    </row>
    <row r="378" spans="4:70" ht="14.5" x14ac:dyDescent="0.25">
      <c r="D378" s="5"/>
      <c r="E378" s="1"/>
      <c r="BO378" s="6"/>
      <c r="BR378" s="6"/>
    </row>
    <row r="379" spans="4:70" ht="14.5" x14ac:dyDescent="0.25">
      <c r="D379" s="5"/>
      <c r="E379" s="1"/>
      <c r="BO379" s="6"/>
      <c r="BR379" s="6"/>
    </row>
    <row r="380" spans="4:70" ht="14.5" x14ac:dyDescent="0.25">
      <c r="D380" s="5"/>
      <c r="E380" s="1"/>
      <c r="BO380" s="6"/>
      <c r="BR380" s="6"/>
    </row>
    <row r="381" spans="4:70" ht="14.5" x14ac:dyDescent="0.25">
      <c r="D381" s="5"/>
      <c r="E381" s="1"/>
      <c r="BO381" s="6"/>
      <c r="BR381" s="6"/>
    </row>
    <row r="382" spans="4:70" ht="14.5" x14ac:dyDescent="0.25">
      <c r="D382" s="5"/>
      <c r="E382" s="1"/>
      <c r="BO382" s="6"/>
      <c r="BR382" s="6"/>
    </row>
    <row r="383" spans="4:70" ht="14.5" x14ac:dyDescent="0.25">
      <c r="D383" s="5"/>
      <c r="E383" s="1"/>
      <c r="BO383" s="6"/>
      <c r="BR383" s="6"/>
    </row>
    <row r="384" spans="4:70" ht="14.5" x14ac:dyDescent="0.25">
      <c r="D384" s="5"/>
      <c r="E384" s="1"/>
      <c r="BO384" s="6"/>
      <c r="BR384" s="6"/>
    </row>
    <row r="385" spans="4:70" ht="14.5" x14ac:dyDescent="0.25">
      <c r="D385" s="5"/>
      <c r="E385" s="1"/>
      <c r="BO385" s="6"/>
      <c r="BR385" s="6"/>
    </row>
    <row r="386" spans="4:70" ht="14.5" x14ac:dyDescent="0.25">
      <c r="D386" s="5"/>
      <c r="E386" s="1"/>
      <c r="BO386" s="6"/>
      <c r="BR386" s="6"/>
    </row>
    <row r="387" spans="4:70" ht="14.5" x14ac:dyDescent="0.25">
      <c r="D387" s="5"/>
      <c r="E387" s="1"/>
      <c r="BO387" s="6"/>
      <c r="BR387" s="6"/>
    </row>
    <row r="388" spans="4:70" ht="14.5" x14ac:dyDescent="0.25">
      <c r="D388" s="5"/>
      <c r="E388" s="1"/>
      <c r="BO388" s="6"/>
      <c r="BR388" s="6"/>
    </row>
    <row r="389" spans="4:70" ht="14.5" x14ac:dyDescent="0.25">
      <c r="D389" s="5"/>
      <c r="E389" s="1"/>
      <c r="BO389" s="6"/>
      <c r="BR389" s="6"/>
    </row>
    <row r="390" spans="4:70" ht="14.5" x14ac:dyDescent="0.25">
      <c r="D390" s="5"/>
      <c r="E390" s="1"/>
      <c r="BO390" s="6"/>
      <c r="BR390" s="6"/>
    </row>
    <row r="391" spans="4:70" ht="14.5" x14ac:dyDescent="0.25">
      <c r="D391" s="5"/>
      <c r="E391" s="1"/>
      <c r="BO391" s="6"/>
      <c r="BR391" s="6"/>
    </row>
    <row r="392" spans="4:70" ht="14.5" x14ac:dyDescent="0.25">
      <c r="D392" s="5"/>
      <c r="E392" s="1"/>
      <c r="BO392" s="6"/>
      <c r="BR392" s="6"/>
    </row>
    <row r="393" spans="4:70" ht="14.5" x14ac:dyDescent="0.25">
      <c r="D393" s="5"/>
      <c r="E393" s="1"/>
      <c r="BO393" s="6"/>
      <c r="BR393" s="6"/>
    </row>
    <row r="394" spans="4:70" ht="14.5" x14ac:dyDescent="0.25">
      <c r="D394" s="5"/>
      <c r="E394" s="1"/>
      <c r="BO394" s="6"/>
      <c r="BR394" s="6"/>
    </row>
    <row r="395" spans="4:70" ht="14.5" x14ac:dyDescent="0.25">
      <c r="D395" s="5"/>
      <c r="E395" s="1"/>
      <c r="BO395" s="6"/>
      <c r="BR395" s="6"/>
    </row>
    <row r="396" spans="4:70" ht="14.5" x14ac:dyDescent="0.25">
      <c r="D396" s="5"/>
      <c r="E396" s="1"/>
      <c r="BR396" s="6"/>
    </row>
    <row r="397" spans="4:70" ht="14.5" x14ac:dyDescent="0.25">
      <c r="D397" s="5"/>
      <c r="E397" s="1"/>
      <c r="BR397" s="6"/>
    </row>
    <row r="398" spans="4:70" ht="14.5" x14ac:dyDescent="0.25">
      <c r="D398" s="5"/>
      <c r="E398" s="1"/>
      <c r="BO398" s="6"/>
      <c r="BR398" s="6"/>
    </row>
    <row r="399" spans="4:70" ht="14.5" x14ac:dyDescent="0.25">
      <c r="D399" s="5"/>
      <c r="E399" s="1"/>
      <c r="BO399" s="6"/>
      <c r="BR399" s="6"/>
    </row>
    <row r="400" spans="4:70" ht="14.5" x14ac:dyDescent="0.25">
      <c r="D400" s="5"/>
      <c r="E400" s="1"/>
      <c r="BR400" s="6"/>
    </row>
    <row r="401" spans="4:70" ht="14.5" x14ac:dyDescent="0.25">
      <c r="D401" s="5"/>
      <c r="E401" s="1"/>
      <c r="BR401" s="6"/>
    </row>
    <row r="402" spans="4:70" ht="14.5" x14ac:dyDescent="0.25">
      <c r="D402" s="5"/>
      <c r="E402" s="1"/>
      <c r="BO402" s="6"/>
      <c r="BR402" s="6"/>
    </row>
    <row r="403" spans="4:70" ht="14.5" x14ac:dyDescent="0.25">
      <c r="D403" s="5"/>
      <c r="E403" s="1"/>
      <c r="BO403" s="6"/>
      <c r="BR403" s="6"/>
    </row>
    <row r="404" spans="4:70" ht="14.5" x14ac:dyDescent="0.25">
      <c r="D404" s="5"/>
      <c r="E404" s="1"/>
      <c r="BO404" s="6"/>
      <c r="BR404" s="6"/>
    </row>
    <row r="405" spans="4:70" ht="14.5" x14ac:dyDescent="0.25">
      <c r="D405" s="5"/>
      <c r="E405" s="1"/>
      <c r="BO405" s="6"/>
      <c r="BR405" s="6"/>
    </row>
    <row r="406" spans="4:70" ht="14.5" x14ac:dyDescent="0.25">
      <c r="D406" s="5"/>
      <c r="E406" s="1"/>
      <c r="BO406" s="6"/>
      <c r="BR406" s="6"/>
    </row>
    <row r="407" spans="4:70" ht="14.5" x14ac:dyDescent="0.25">
      <c r="D407" s="5"/>
      <c r="E407" s="1"/>
      <c r="BO407" s="6"/>
      <c r="BR407" s="6"/>
    </row>
    <row r="408" spans="4:70" ht="14.5" x14ac:dyDescent="0.25">
      <c r="D408" s="5"/>
      <c r="E408" s="1"/>
      <c r="BO408" s="6"/>
      <c r="BR408" s="6"/>
    </row>
    <row r="409" spans="4:70" ht="14.5" x14ac:dyDescent="0.25">
      <c r="D409" s="5"/>
      <c r="E409" s="1"/>
      <c r="BO409" s="6"/>
      <c r="BR409" s="6"/>
    </row>
    <row r="410" spans="4:70" ht="14.5" x14ac:dyDescent="0.25">
      <c r="D410" s="5"/>
      <c r="E410" s="1"/>
      <c r="BO410" s="6"/>
      <c r="BR410" s="6"/>
    </row>
    <row r="411" spans="4:70" ht="14.5" x14ac:dyDescent="0.25">
      <c r="D411" s="5"/>
      <c r="E411" s="1"/>
      <c r="BO411" s="6"/>
      <c r="BR411" s="6"/>
    </row>
    <row r="412" spans="4:70" ht="14.5" x14ac:dyDescent="0.25">
      <c r="D412" s="5"/>
      <c r="E412" s="1"/>
      <c r="BO412" s="6"/>
      <c r="BR412" s="6"/>
    </row>
    <row r="413" spans="4:70" ht="14.5" x14ac:dyDescent="0.25">
      <c r="D413" s="5"/>
      <c r="E413" s="1"/>
      <c r="BO413" s="6"/>
      <c r="BR413" s="6"/>
    </row>
    <row r="414" spans="4:70" ht="14.5" x14ac:dyDescent="0.25">
      <c r="D414" s="5"/>
      <c r="E414" s="1"/>
      <c r="BO414" s="6"/>
      <c r="BR414" s="6"/>
    </row>
    <row r="415" spans="4:70" ht="14.5" x14ac:dyDescent="0.25">
      <c r="D415" s="5"/>
      <c r="E415" s="1"/>
      <c r="BO415" s="6"/>
      <c r="BR415" s="6"/>
    </row>
    <row r="416" spans="4:70" ht="14.5" x14ac:dyDescent="0.25">
      <c r="D416" s="5"/>
      <c r="E416" s="1"/>
      <c r="BO416" s="6"/>
      <c r="BR416" s="6"/>
    </row>
    <row r="417" spans="4:70" ht="14.5" x14ac:dyDescent="0.25">
      <c r="D417" s="5"/>
      <c r="E417" s="1"/>
      <c r="BO417" s="6"/>
      <c r="BR417" s="6"/>
    </row>
    <row r="418" spans="4:70" ht="14.5" x14ac:dyDescent="0.25">
      <c r="D418" s="5"/>
      <c r="E418" s="1"/>
      <c r="BO418" s="6"/>
      <c r="BR418" s="6"/>
    </row>
    <row r="419" spans="4:70" ht="14.5" x14ac:dyDescent="0.25">
      <c r="D419" s="5"/>
      <c r="E419" s="1"/>
    </row>
    <row r="420" spans="4:70" ht="14.5" x14ac:dyDescent="0.25">
      <c r="D420" s="5"/>
      <c r="E420" s="1"/>
    </row>
    <row r="421" spans="4:70" ht="14.5" x14ac:dyDescent="0.25">
      <c r="D421" s="5"/>
      <c r="E421" s="1"/>
    </row>
    <row r="422" spans="4:70" ht="14.5" x14ac:dyDescent="0.25">
      <c r="D422" s="5"/>
      <c r="E422" s="1"/>
    </row>
    <row r="423" spans="4:70" ht="14.5" x14ac:dyDescent="0.25">
      <c r="D423" s="5"/>
      <c r="E423" s="1"/>
    </row>
    <row r="424" spans="4:70" ht="14.5" x14ac:dyDescent="0.25">
      <c r="D424" s="5"/>
      <c r="E424" s="1"/>
    </row>
    <row r="425" spans="4:70" ht="14.5" x14ac:dyDescent="0.25">
      <c r="D425" s="5"/>
      <c r="E425" s="1"/>
    </row>
    <row r="426" spans="4:70" ht="14.5" x14ac:dyDescent="0.25">
      <c r="D426" s="5"/>
      <c r="E426" s="1"/>
    </row>
    <row r="427" spans="4:70" ht="14.5" x14ac:dyDescent="0.25">
      <c r="D427" s="5"/>
      <c r="E427" s="1"/>
    </row>
    <row r="428" spans="4:70" ht="14.5" x14ac:dyDescent="0.25">
      <c r="D428" s="5"/>
      <c r="E428" s="1"/>
    </row>
    <row r="429" spans="4:70" ht="14.5" x14ac:dyDescent="0.25">
      <c r="D429" s="5"/>
      <c r="E429" s="1"/>
    </row>
    <row r="430" spans="4:70" ht="14.5" x14ac:dyDescent="0.25">
      <c r="D430" s="5"/>
      <c r="E430" s="1"/>
    </row>
    <row r="431" spans="4:70" ht="14.5" x14ac:dyDescent="0.25">
      <c r="D431" s="5"/>
      <c r="E431" s="1"/>
    </row>
    <row r="432" spans="4:70" ht="14.5" x14ac:dyDescent="0.25">
      <c r="D432" s="5"/>
      <c r="E432" s="1"/>
    </row>
    <row r="433" spans="4:5" ht="14.5" x14ac:dyDescent="0.25">
      <c r="D433" s="5"/>
      <c r="E433" s="1"/>
    </row>
    <row r="434" spans="4:5" ht="14.5" x14ac:dyDescent="0.25">
      <c r="D434" s="5"/>
      <c r="E434" s="1"/>
    </row>
    <row r="435" spans="4:5" ht="14.5" x14ac:dyDescent="0.25">
      <c r="D435" s="5"/>
      <c r="E435" s="1"/>
    </row>
    <row r="436" spans="4:5" ht="14.5" x14ac:dyDescent="0.25">
      <c r="D436" s="5"/>
      <c r="E436" s="1"/>
    </row>
    <row r="437" spans="4:5" ht="14.5" x14ac:dyDescent="0.25">
      <c r="D437" s="5"/>
      <c r="E437" s="1"/>
    </row>
    <row r="438" spans="4:5" ht="14.5" x14ac:dyDescent="0.25">
      <c r="D438" s="5"/>
      <c r="E438" s="1"/>
    </row>
    <row r="439" spans="4:5" ht="14.5" x14ac:dyDescent="0.25">
      <c r="D439" s="5"/>
      <c r="E439" s="1"/>
    </row>
    <row r="440" spans="4:5" ht="14.5" x14ac:dyDescent="0.25">
      <c r="D440" s="5"/>
      <c r="E440" s="1"/>
    </row>
    <row r="441" spans="4:5" ht="14.5" x14ac:dyDescent="0.25">
      <c r="D441" s="5"/>
      <c r="E441" s="1"/>
    </row>
    <row r="442" spans="4:5" ht="14.5" x14ac:dyDescent="0.25">
      <c r="D442" s="5"/>
      <c r="E442" s="1"/>
    </row>
    <row r="443" spans="4:5" ht="14.5" x14ac:dyDescent="0.25">
      <c r="D443" s="5"/>
      <c r="E443" s="1"/>
    </row>
    <row r="444" spans="4:5" ht="14.5" x14ac:dyDescent="0.25">
      <c r="D444" s="5"/>
      <c r="E444" s="1"/>
    </row>
    <row r="445" spans="4:5" ht="14.5" x14ac:dyDescent="0.25">
      <c r="D445" s="5"/>
      <c r="E445" s="1"/>
    </row>
    <row r="446" spans="4:5" ht="14.5" x14ac:dyDescent="0.25">
      <c r="D446" s="5"/>
      <c r="E446" s="1"/>
    </row>
    <row r="447" spans="4:5" ht="14.5" x14ac:dyDescent="0.25">
      <c r="D447" s="5"/>
      <c r="E447" s="1"/>
    </row>
    <row r="448" spans="4:5" ht="14.5" x14ac:dyDescent="0.25">
      <c r="D448" s="5"/>
      <c r="E448" s="1"/>
    </row>
    <row r="449" spans="4:5" ht="14.5" x14ac:dyDescent="0.25">
      <c r="D449" s="5"/>
      <c r="E449" s="1"/>
    </row>
    <row r="450" spans="4:5" ht="14.5" x14ac:dyDescent="0.25">
      <c r="D450" s="5"/>
      <c r="E450" s="1"/>
    </row>
    <row r="451" spans="4:5" ht="14.5" x14ac:dyDescent="0.25">
      <c r="D451" s="5"/>
      <c r="E451" s="1"/>
    </row>
    <row r="452" spans="4:5" ht="14.5" x14ac:dyDescent="0.25">
      <c r="D452" s="5"/>
      <c r="E452" s="1"/>
    </row>
    <row r="453" spans="4:5" ht="14.5" x14ac:dyDescent="0.25">
      <c r="D453" s="5"/>
      <c r="E453" s="1"/>
    </row>
    <row r="454" spans="4:5" ht="14.5" x14ac:dyDescent="0.25">
      <c r="D454" s="5"/>
      <c r="E454" s="1"/>
    </row>
    <row r="455" spans="4:5" ht="14.5" x14ac:dyDescent="0.25">
      <c r="D455" s="5"/>
      <c r="E455" s="1"/>
    </row>
    <row r="456" spans="4:5" ht="14.5" x14ac:dyDescent="0.25">
      <c r="D456" s="5"/>
      <c r="E456" s="1"/>
    </row>
    <row r="457" spans="4:5" ht="14.5" x14ac:dyDescent="0.25">
      <c r="D457" s="5"/>
      <c r="E457" s="1"/>
    </row>
    <row r="458" spans="4:5" ht="14.5" x14ac:dyDescent="0.25">
      <c r="D458" s="5"/>
      <c r="E458" s="1"/>
    </row>
    <row r="459" spans="4:5" ht="14.5" x14ac:dyDescent="0.25">
      <c r="D459" s="5"/>
      <c r="E459" s="1"/>
    </row>
    <row r="460" spans="4:5" ht="14.5" x14ac:dyDescent="0.25">
      <c r="D460" s="5"/>
      <c r="E460" s="1"/>
    </row>
    <row r="461" spans="4:5" ht="14.5" x14ac:dyDescent="0.25">
      <c r="D461" s="5"/>
      <c r="E461" s="1"/>
    </row>
    <row r="462" spans="4:5" ht="14.5" x14ac:dyDescent="0.25">
      <c r="D462" s="5"/>
      <c r="E462" s="1"/>
    </row>
    <row r="463" spans="4:5" ht="14.5" x14ac:dyDescent="0.25">
      <c r="D463" s="5"/>
      <c r="E463" s="1"/>
    </row>
    <row r="464" spans="4:5" ht="14.5" x14ac:dyDescent="0.25">
      <c r="D464" s="5"/>
      <c r="E464" s="1"/>
    </row>
    <row r="465" spans="4:5" ht="14.5" x14ac:dyDescent="0.25">
      <c r="D465" s="5"/>
      <c r="E465" s="1"/>
    </row>
    <row r="466" spans="4:5" ht="14.5" x14ac:dyDescent="0.25">
      <c r="D466" s="5"/>
      <c r="E466" s="1"/>
    </row>
    <row r="467" spans="4:5" ht="14.5" x14ac:dyDescent="0.25">
      <c r="D467" s="5"/>
      <c r="E467" s="1"/>
    </row>
    <row r="468" spans="4:5" ht="14.5" x14ac:dyDescent="0.25">
      <c r="D468" s="5"/>
      <c r="E468" s="1"/>
    </row>
    <row r="469" spans="4:5" ht="14.5" x14ac:dyDescent="0.25">
      <c r="D469" s="5"/>
      <c r="E469" s="1"/>
    </row>
    <row r="470" spans="4:5" ht="14.5" x14ac:dyDescent="0.25">
      <c r="D470" s="5"/>
      <c r="E470" s="1"/>
    </row>
    <row r="471" spans="4:5" ht="14.5" x14ac:dyDescent="0.25">
      <c r="D471" s="5"/>
      <c r="E471" s="1"/>
    </row>
    <row r="472" spans="4:5" ht="14.5" x14ac:dyDescent="0.25">
      <c r="D472" s="5"/>
      <c r="E472" s="1"/>
    </row>
    <row r="473" spans="4:5" ht="14.5" x14ac:dyDescent="0.25">
      <c r="D473" s="5"/>
      <c r="E473" s="1"/>
    </row>
    <row r="474" spans="4:5" ht="14.5" x14ac:dyDescent="0.25">
      <c r="D474" s="5"/>
      <c r="E474" s="1"/>
    </row>
    <row r="475" spans="4:5" ht="14.5" x14ac:dyDescent="0.25">
      <c r="D475" s="5"/>
      <c r="E475" s="1"/>
    </row>
    <row r="476" spans="4:5" ht="14.5" x14ac:dyDescent="0.25">
      <c r="D476" s="5"/>
      <c r="E476" s="1"/>
    </row>
    <row r="477" spans="4:5" ht="14.5" x14ac:dyDescent="0.25">
      <c r="D477" s="5"/>
      <c r="E477" s="1"/>
    </row>
    <row r="478" spans="4:5" ht="14.5" x14ac:dyDescent="0.25">
      <c r="D478" s="5"/>
      <c r="E478" s="1"/>
    </row>
    <row r="479" spans="4:5" ht="14.5" x14ac:dyDescent="0.25">
      <c r="D479" s="5"/>
      <c r="E479" s="1"/>
    </row>
    <row r="480" spans="4:5" ht="14.5" x14ac:dyDescent="0.25">
      <c r="D480" s="5"/>
      <c r="E480" s="1"/>
    </row>
    <row r="481" spans="4:5" ht="14.5" x14ac:dyDescent="0.25">
      <c r="D481" s="5"/>
      <c r="E481" s="1"/>
    </row>
    <row r="482" spans="4:5" ht="14.5" x14ac:dyDescent="0.25">
      <c r="D482" s="5"/>
      <c r="E482" s="1"/>
    </row>
    <row r="483" spans="4:5" ht="14.5" x14ac:dyDescent="0.25">
      <c r="D483" s="5"/>
      <c r="E483" s="1"/>
    </row>
    <row r="484" spans="4:5" ht="14.5" x14ac:dyDescent="0.25">
      <c r="D484" s="5"/>
      <c r="E484" s="1"/>
    </row>
    <row r="485" spans="4:5" ht="14.5" x14ac:dyDescent="0.25">
      <c r="D485" s="5"/>
      <c r="E485" s="1"/>
    </row>
    <row r="486" spans="4:5" ht="14.5" x14ac:dyDescent="0.25">
      <c r="D486" s="5"/>
      <c r="E486" s="1"/>
    </row>
    <row r="487" spans="4:5" ht="14.5" x14ac:dyDescent="0.25">
      <c r="D487" s="5"/>
      <c r="E487" s="1"/>
    </row>
    <row r="488" spans="4:5" ht="14.5" x14ac:dyDescent="0.25">
      <c r="D488" s="5"/>
      <c r="E488" s="1"/>
    </row>
    <row r="489" spans="4:5" ht="14.5" x14ac:dyDescent="0.25">
      <c r="D489" s="5"/>
      <c r="E489" s="1"/>
    </row>
    <row r="490" spans="4:5" ht="14.5" x14ac:dyDescent="0.25">
      <c r="D490" s="5"/>
      <c r="E490" s="1"/>
    </row>
    <row r="491" spans="4:5" ht="14.5" x14ac:dyDescent="0.25">
      <c r="D491" s="5"/>
      <c r="E491" s="1"/>
    </row>
    <row r="492" spans="4:5" ht="14.5" x14ac:dyDescent="0.25">
      <c r="D492" s="5"/>
      <c r="E492" s="1"/>
    </row>
    <row r="493" spans="4:5" ht="14.5" x14ac:dyDescent="0.25">
      <c r="D493" s="5"/>
      <c r="E493" s="1"/>
    </row>
    <row r="494" spans="4:5" ht="14.5" x14ac:dyDescent="0.25">
      <c r="D494" s="5"/>
      <c r="E494" s="1"/>
    </row>
    <row r="495" spans="4:5" ht="14.5" x14ac:dyDescent="0.25">
      <c r="D495" s="5"/>
      <c r="E495" s="1"/>
    </row>
    <row r="496" spans="4:5" ht="14.5" x14ac:dyDescent="0.25">
      <c r="D496" s="5"/>
      <c r="E496" s="1"/>
    </row>
    <row r="497" spans="4:5" ht="14.5" x14ac:dyDescent="0.25">
      <c r="D497" s="5"/>
      <c r="E497" s="1"/>
    </row>
    <row r="498" spans="4:5" ht="14.5" x14ac:dyDescent="0.25">
      <c r="D498" s="5"/>
      <c r="E498" s="1"/>
    </row>
    <row r="566" spans="4:5" ht="14.5" x14ac:dyDescent="0.25">
      <c r="D566" s="5"/>
      <c r="E566" s="1"/>
    </row>
    <row r="567" spans="4:5" ht="14.5" x14ac:dyDescent="0.25">
      <c r="D567" s="5"/>
      <c r="E567" s="1"/>
    </row>
    <row r="568" spans="4:5" ht="14.5" x14ac:dyDescent="0.25">
      <c r="D568" s="5"/>
      <c r="E568" s="1"/>
    </row>
    <row r="569" spans="4:5" ht="14.5" x14ac:dyDescent="0.25">
      <c r="D569" s="5"/>
      <c r="E569" s="1"/>
    </row>
    <row r="570" spans="4:5" ht="14.5" x14ac:dyDescent="0.25">
      <c r="D570" s="5"/>
      <c r="E570" s="1"/>
    </row>
    <row r="571" spans="4:5" ht="14.5" x14ac:dyDescent="0.25">
      <c r="D571" s="5"/>
      <c r="E571" s="1"/>
    </row>
    <row r="572" spans="4:5" ht="14.5" x14ac:dyDescent="0.25">
      <c r="D572" s="5"/>
      <c r="E572" s="1"/>
    </row>
    <row r="573" spans="4:5" ht="14.5" x14ac:dyDescent="0.25">
      <c r="D573" s="5"/>
      <c r="E573" s="1"/>
    </row>
    <row r="574" spans="4:5" ht="14.5" x14ac:dyDescent="0.25">
      <c r="D574" s="5"/>
      <c r="E574" s="1"/>
    </row>
    <row r="575" spans="4:5" ht="14.5" x14ac:dyDescent="0.25">
      <c r="D575" s="5"/>
      <c r="E575" s="1"/>
    </row>
    <row r="576" spans="4:5" ht="14.5" x14ac:dyDescent="0.25">
      <c r="D576" s="5"/>
      <c r="E576" s="1"/>
    </row>
    <row r="577" spans="4:5" ht="14.5" x14ac:dyDescent="0.25">
      <c r="D577" s="5"/>
      <c r="E577" s="1"/>
    </row>
    <row r="578" spans="4:5" ht="14.5" x14ac:dyDescent="0.25">
      <c r="D578" s="5"/>
      <c r="E578" s="1"/>
    </row>
    <row r="579" spans="4:5" ht="14.5" x14ac:dyDescent="0.25">
      <c r="D579" s="5"/>
      <c r="E579" s="1"/>
    </row>
    <row r="580" spans="4:5" ht="14.5" x14ac:dyDescent="0.25">
      <c r="D580" s="5"/>
      <c r="E580" s="1"/>
    </row>
    <row r="581" spans="4:5" ht="14.5" x14ac:dyDescent="0.25">
      <c r="D581" s="5"/>
      <c r="E581" s="1"/>
    </row>
    <row r="582" spans="4:5" ht="14.5" x14ac:dyDescent="0.25">
      <c r="D582" s="5"/>
      <c r="E582" s="1"/>
    </row>
    <row r="583" spans="4:5" ht="14.5" x14ac:dyDescent="0.25">
      <c r="D583" s="5"/>
      <c r="E583" s="1"/>
    </row>
    <row r="584" spans="4:5" ht="14.5" x14ac:dyDescent="0.25">
      <c r="D584" s="5"/>
      <c r="E584" s="1"/>
    </row>
    <row r="585" spans="4:5" ht="14.5" x14ac:dyDescent="0.25">
      <c r="D585" s="5"/>
      <c r="E585" s="1"/>
    </row>
    <row r="586" spans="4:5" ht="14.5" x14ac:dyDescent="0.25">
      <c r="D586" s="5"/>
      <c r="E586" s="1"/>
    </row>
    <row r="587" spans="4:5" ht="14.5" x14ac:dyDescent="0.25">
      <c r="D587" s="5"/>
      <c r="E587" s="1"/>
    </row>
    <row r="588" spans="4:5" ht="14.5" x14ac:dyDescent="0.25">
      <c r="D588" s="5"/>
      <c r="E588" s="1"/>
    </row>
    <row r="589" spans="4:5" ht="14.5" x14ac:dyDescent="0.25">
      <c r="D589" s="5"/>
      <c r="E589" s="1"/>
    </row>
    <row r="590" spans="4:5" ht="14.5" x14ac:dyDescent="0.25">
      <c r="D590" s="5"/>
      <c r="E590" s="1"/>
    </row>
  </sheetData>
  <phoneticPr fontId="7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20"/>
  <sheetViews>
    <sheetView workbookViewId="0">
      <pane xSplit="1" ySplit="3" topLeftCell="CA4" activePane="bottomRight" state="frozen"/>
      <selection pane="topRight"/>
      <selection pane="bottomLeft"/>
      <selection pane="bottomRight" activeCell="CF7" sqref="CF7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bestFit="1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129</v>
      </c>
      <c r="D1" t="s">
        <v>130</v>
      </c>
      <c r="E1" t="s">
        <v>131</v>
      </c>
      <c r="F1" t="s">
        <v>132</v>
      </c>
      <c r="G1" t="s">
        <v>133</v>
      </c>
      <c r="H1" s="7" t="s">
        <v>419</v>
      </c>
      <c r="I1" t="s">
        <v>134</v>
      </c>
      <c r="J1" t="s">
        <v>135</v>
      </c>
      <c r="K1" s="3" t="s">
        <v>136</v>
      </c>
      <c r="L1" s="3" t="s">
        <v>137</v>
      </c>
      <c r="M1" s="3" t="s">
        <v>138</v>
      </c>
      <c r="N1" s="3" t="s">
        <v>139</v>
      </c>
      <c r="O1" s="3" t="s">
        <v>140</v>
      </c>
      <c r="P1" s="3" t="s">
        <v>141</v>
      </c>
      <c r="Q1" s="3" t="s">
        <v>142</v>
      </c>
      <c r="R1" s="3" t="s">
        <v>143</v>
      </c>
      <c r="S1" s="3" t="s">
        <v>144</v>
      </c>
      <c r="T1" s="3" t="s">
        <v>145</v>
      </c>
      <c r="U1" s="3" t="s">
        <v>145</v>
      </c>
      <c r="V1" s="3" t="s">
        <v>146</v>
      </c>
      <c r="W1" s="3" t="s">
        <v>147</v>
      </c>
      <c r="X1" s="3" t="s">
        <v>148</v>
      </c>
      <c r="Y1" t="s">
        <v>149</v>
      </c>
      <c r="Z1" t="s">
        <v>150</v>
      </c>
      <c r="AA1" s="3" t="s">
        <v>151</v>
      </c>
      <c r="AB1" t="s">
        <v>152</v>
      </c>
      <c r="AC1" t="s">
        <v>153</v>
      </c>
      <c r="AD1" t="s">
        <v>154</v>
      </c>
      <c r="AE1" t="s">
        <v>155</v>
      </c>
      <c r="AF1" t="s">
        <v>156</v>
      </c>
      <c r="AG1" t="s">
        <v>157</v>
      </c>
      <c r="AH1" t="s">
        <v>158</v>
      </c>
      <c r="AI1" t="s">
        <v>159</v>
      </c>
      <c r="AJ1" t="s">
        <v>160</v>
      </c>
      <c r="AK1" t="s">
        <v>161</v>
      </c>
      <c r="AL1" t="s">
        <v>162</v>
      </c>
      <c r="AM1" t="s">
        <v>163</v>
      </c>
      <c r="AN1" t="s">
        <v>164</v>
      </c>
      <c r="AO1" t="s">
        <v>165</v>
      </c>
      <c r="AP1" t="s">
        <v>166</v>
      </c>
      <c r="AQ1" t="s">
        <v>167</v>
      </c>
      <c r="AR1" t="s">
        <v>168</v>
      </c>
      <c r="AS1" t="s">
        <v>169</v>
      </c>
      <c r="AT1" t="s">
        <v>170</v>
      </c>
      <c r="AU1" t="s">
        <v>171</v>
      </c>
      <c r="AV1" t="s">
        <v>172</v>
      </c>
      <c r="AW1" t="s">
        <v>173</v>
      </c>
      <c r="AX1" t="s">
        <v>174</v>
      </c>
      <c r="AY1" t="s">
        <v>175</v>
      </c>
      <c r="AZ1" s="7" t="s">
        <v>427</v>
      </c>
      <c r="BA1" t="s">
        <v>176</v>
      </c>
      <c r="BB1" t="s">
        <v>177</v>
      </c>
      <c r="BC1" t="s">
        <v>178</v>
      </c>
      <c r="BD1" t="s">
        <v>179</v>
      </c>
      <c r="BE1" t="s">
        <v>180</v>
      </c>
      <c r="BF1" t="s">
        <v>181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s="7" t="s">
        <v>411</v>
      </c>
      <c r="BT1" s="4" t="s">
        <v>414</v>
      </c>
      <c r="BU1" s="4" t="s">
        <v>192</v>
      </c>
      <c r="BV1" s="4" t="s">
        <v>193</v>
      </c>
      <c r="BW1" s="4" t="s">
        <v>194</v>
      </c>
      <c r="BX1" s="4" t="s">
        <v>195</v>
      </c>
      <c r="BY1" s="4" t="s">
        <v>196</v>
      </c>
      <c r="BZ1" t="s">
        <v>197</v>
      </c>
      <c r="CA1" s="4" t="s">
        <v>198</v>
      </c>
      <c r="CB1" t="s">
        <v>199</v>
      </c>
      <c r="CC1" t="s">
        <v>200</v>
      </c>
      <c r="CD1" t="s">
        <v>201</v>
      </c>
      <c r="CE1" t="s">
        <v>202</v>
      </c>
      <c r="CF1" t="s">
        <v>203</v>
      </c>
      <c r="CG1" t="s">
        <v>204</v>
      </c>
      <c r="CH1" t="s">
        <v>205</v>
      </c>
      <c r="CI1" t="s">
        <v>206</v>
      </c>
      <c r="CJ1" s="7" t="s">
        <v>416</v>
      </c>
      <c r="CK1" t="s">
        <v>207</v>
      </c>
      <c r="CL1" t="s">
        <v>208</v>
      </c>
      <c r="CM1" t="s">
        <v>209</v>
      </c>
      <c r="CN1" t="s">
        <v>210</v>
      </c>
      <c r="CO1" t="s">
        <v>211</v>
      </c>
      <c r="CP1" t="s">
        <v>191</v>
      </c>
      <c r="CQ1" t="s">
        <v>212</v>
      </c>
      <c r="CR1" t="s">
        <v>213</v>
      </c>
      <c r="CS1" t="s">
        <v>214</v>
      </c>
      <c r="CT1" t="s">
        <v>215</v>
      </c>
      <c r="CU1" t="s">
        <v>216</v>
      </c>
      <c r="CV1" t="s">
        <v>217</v>
      </c>
      <c r="CW1" t="s">
        <v>218</v>
      </c>
      <c r="CX1" t="s">
        <v>217</v>
      </c>
      <c r="CY1" t="s">
        <v>219</v>
      </c>
      <c r="CZ1" t="s">
        <v>220</v>
      </c>
      <c r="DA1" t="s">
        <v>221</v>
      </c>
      <c r="DB1" t="s">
        <v>222</v>
      </c>
      <c r="DC1" t="s">
        <v>223</v>
      </c>
      <c r="DD1" t="s">
        <v>224</v>
      </c>
      <c r="DE1" t="s">
        <v>225</v>
      </c>
      <c r="DF1" t="s">
        <v>226</v>
      </c>
      <c r="DG1" t="s">
        <v>227</v>
      </c>
    </row>
    <row r="2" spans="1:111" x14ac:dyDescent="0.25">
      <c r="A2" t="s">
        <v>0</v>
      </c>
      <c r="C2" t="s">
        <v>46</v>
      </c>
      <c r="D2" t="s">
        <v>75</v>
      </c>
      <c r="E2" t="s">
        <v>228</v>
      </c>
      <c r="F2" t="s">
        <v>229</v>
      </c>
      <c r="G2" t="s">
        <v>51</v>
      </c>
      <c r="H2" s="7" t="s">
        <v>420</v>
      </c>
      <c r="I2" t="s">
        <v>230</v>
      </c>
      <c r="J2" t="s">
        <v>231</v>
      </c>
      <c r="K2" s="3" t="s">
        <v>232</v>
      </c>
      <c r="L2" s="3" t="s">
        <v>233</v>
      </c>
      <c r="M2" s="3" t="s">
        <v>234</v>
      </c>
      <c r="N2" s="3" t="s">
        <v>235</v>
      </c>
      <c r="O2" s="3" t="s">
        <v>236</v>
      </c>
      <c r="P2" s="3" t="s">
        <v>237</v>
      </c>
      <c r="Q2" s="3" t="s">
        <v>238</v>
      </c>
      <c r="R2" s="3" t="s">
        <v>239</v>
      </c>
      <c r="S2" s="3" t="s">
        <v>240</v>
      </c>
      <c r="T2" s="3" t="s">
        <v>241</v>
      </c>
      <c r="U2" s="3" t="s">
        <v>242</v>
      </c>
      <c r="V2" s="3" t="s">
        <v>243</v>
      </c>
      <c r="W2" s="3" t="s">
        <v>244</v>
      </c>
      <c r="X2" s="3" t="s">
        <v>245</v>
      </c>
      <c r="Y2" t="s">
        <v>246</v>
      </c>
      <c r="Z2" t="s">
        <v>247</v>
      </c>
      <c r="AA2" s="3" t="s">
        <v>248</v>
      </c>
      <c r="AB2" t="s">
        <v>249</v>
      </c>
      <c r="AC2" t="s">
        <v>250</v>
      </c>
      <c r="AD2" t="s">
        <v>251</v>
      </c>
      <c r="AE2" t="s">
        <v>252</v>
      </c>
      <c r="AF2" t="s">
        <v>253</v>
      </c>
      <c r="AG2" t="s">
        <v>254</v>
      </c>
      <c r="AH2" t="s">
        <v>255</v>
      </c>
      <c r="AI2" t="s">
        <v>256</v>
      </c>
      <c r="AJ2" t="s">
        <v>257</v>
      </c>
      <c r="AK2" t="s">
        <v>258</v>
      </c>
      <c r="AL2" t="s">
        <v>259</v>
      </c>
      <c r="AM2" t="s">
        <v>260</v>
      </c>
      <c r="AN2" t="s">
        <v>261</v>
      </c>
      <c r="AO2" t="s">
        <v>262</v>
      </c>
      <c r="AP2" t="s">
        <v>263</v>
      </c>
      <c r="AQ2" t="s">
        <v>264</v>
      </c>
      <c r="AR2" t="s">
        <v>265</v>
      </c>
      <c r="AS2" t="s">
        <v>266</v>
      </c>
      <c r="AT2" t="s">
        <v>267</v>
      </c>
      <c r="AU2" t="s">
        <v>268</v>
      </c>
      <c r="AV2" t="s">
        <v>269</v>
      </c>
      <c r="AW2" t="s">
        <v>270</v>
      </c>
      <c r="AX2" t="s">
        <v>271</v>
      </c>
      <c r="AY2" t="s">
        <v>272</v>
      </c>
      <c r="AZ2" t="s">
        <v>273</v>
      </c>
      <c r="BA2" t="s">
        <v>274</v>
      </c>
      <c r="BB2" t="s">
        <v>275</v>
      </c>
      <c r="BC2" t="s">
        <v>276</v>
      </c>
      <c r="BD2" t="s">
        <v>277</v>
      </c>
      <c r="BE2" t="s">
        <v>278</v>
      </c>
      <c r="BF2" t="s">
        <v>279</v>
      </c>
      <c r="BG2" t="s">
        <v>280</v>
      </c>
      <c r="BH2" t="s">
        <v>281</v>
      </c>
      <c r="BI2" t="s">
        <v>282</v>
      </c>
      <c r="BJ2" t="s">
        <v>283</v>
      </c>
      <c r="BK2" t="s">
        <v>284</v>
      </c>
      <c r="BL2" t="s">
        <v>285</v>
      </c>
      <c r="BM2" t="s">
        <v>77</v>
      </c>
      <c r="BN2" t="s">
        <v>286</v>
      </c>
      <c r="BO2" t="s">
        <v>287</v>
      </c>
      <c r="BP2" t="s">
        <v>288</v>
      </c>
      <c r="BQ2" t="s">
        <v>289</v>
      </c>
      <c r="BR2" t="s">
        <v>290</v>
      </c>
      <c r="BS2" s="7" t="s">
        <v>412</v>
      </c>
      <c r="BT2" s="4" t="s">
        <v>415</v>
      </c>
      <c r="BU2" s="4" t="s">
        <v>291</v>
      </c>
      <c r="BV2" s="4" t="s">
        <v>292</v>
      </c>
      <c r="BW2" s="4" t="s">
        <v>293</v>
      </c>
      <c r="BX2" s="4" t="s">
        <v>294</v>
      </c>
      <c r="BY2" s="4" t="s">
        <v>295</v>
      </c>
      <c r="BZ2" t="s">
        <v>296</v>
      </c>
      <c r="CA2" t="s">
        <v>297</v>
      </c>
      <c r="CB2" t="s">
        <v>298</v>
      </c>
      <c r="CC2" t="s">
        <v>299</v>
      </c>
      <c r="CD2" t="s">
        <v>300</v>
      </c>
      <c r="CE2" t="s">
        <v>301</v>
      </c>
      <c r="CF2" t="s">
        <v>302</v>
      </c>
      <c r="CG2" t="s">
        <v>303</v>
      </c>
      <c r="CH2" t="s">
        <v>304</v>
      </c>
      <c r="CI2" t="s">
        <v>305</v>
      </c>
      <c r="CJ2" s="7" t="s">
        <v>417</v>
      </c>
      <c r="CK2" t="s">
        <v>306</v>
      </c>
      <c r="CL2" t="s">
        <v>307</v>
      </c>
      <c r="CM2" t="s">
        <v>308</v>
      </c>
      <c r="CN2" t="s">
        <v>309</v>
      </c>
      <c r="CO2" t="s">
        <v>310</v>
      </c>
      <c r="CP2" t="s">
        <v>311</v>
      </c>
      <c r="CQ2" t="s">
        <v>312</v>
      </c>
      <c r="CR2" t="s">
        <v>313</v>
      </c>
      <c r="CS2" t="s">
        <v>314</v>
      </c>
      <c r="CT2" t="s">
        <v>315</v>
      </c>
      <c r="CU2" t="s">
        <v>316</v>
      </c>
      <c r="CV2" t="s">
        <v>317</v>
      </c>
      <c r="CW2" t="s">
        <v>318</v>
      </c>
      <c r="CX2" t="s">
        <v>319</v>
      </c>
      <c r="CY2" t="s">
        <v>320</v>
      </c>
      <c r="CZ2" t="s">
        <v>321</v>
      </c>
      <c r="DA2" t="s">
        <v>322</v>
      </c>
      <c r="DB2" t="s">
        <v>323</v>
      </c>
      <c r="DC2" t="s">
        <v>324</v>
      </c>
      <c r="DD2" t="s">
        <v>325</v>
      </c>
      <c r="DE2" t="s">
        <v>326</v>
      </c>
      <c r="DF2" t="s">
        <v>327</v>
      </c>
      <c r="DG2" t="s">
        <v>328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7" t="s">
        <v>421</v>
      </c>
      <c r="I3" t="s">
        <v>112</v>
      </c>
      <c r="J3" t="s">
        <v>329</v>
      </c>
      <c r="K3" s="3" t="s">
        <v>330</v>
      </c>
      <c r="L3" s="3" t="s">
        <v>409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331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332</v>
      </c>
      <c r="AP3" t="s">
        <v>333</v>
      </c>
      <c r="AQ3" t="s">
        <v>2</v>
      </c>
      <c r="AR3" t="s">
        <v>334</v>
      </c>
      <c r="AS3" t="s">
        <v>112</v>
      </c>
      <c r="AT3" t="s">
        <v>113</v>
      </c>
      <c r="AU3" t="s">
        <v>112</v>
      </c>
      <c r="AV3" t="s">
        <v>335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334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336</v>
      </c>
      <c r="BP3" t="s">
        <v>337</v>
      </c>
      <c r="BQ3" t="s">
        <v>113</v>
      </c>
      <c r="BR3" t="s">
        <v>113</v>
      </c>
      <c r="BS3" s="7" t="s">
        <v>413</v>
      </c>
      <c r="BT3" s="4" t="s">
        <v>113</v>
      </c>
      <c r="BU3" s="4" t="s">
        <v>113</v>
      </c>
      <c r="BV3" s="4" t="s">
        <v>114</v>
      </c>
      <c r="BW3" s="4" t="s">
        <v>338</v>
      </c>
      <c r="BX3" s="4" t="s">
        <v>112</v>
      </c>
      <c r="BY3" s="4" t="s">
        <v>338</v>
      </c>
      <c r="BZ3" t="s">
        <v>120</v>
      </c>
      <c r="CA3" t="s">
        <v>339</v>
      </c>
      <c r="CB3" t="s">
        <v>120</v>
      </c>
      <c r="CC3" t="s">
        <v>120</v>
      </c>
      <c r="CD3" t="s">
        <v>120</v>
      </c>
      <c r="CE3" t="s">
        <v>340</v>
      </c>
      <c r="CF3" t="s">
        <v>341</v>
      </c>
      <c r="CG3" t="s">
        <v>2</v>
      </c>
      <c r="CH3" t="s">
        <v>342</v>
      </c>
      <c r="CI3" t="s">
        <v>342</v>
      </c>
      <c r="CJ3" s="7" t="s">
        <v>418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339</v>
      </c>
      <c r="CQ3" t="s">
        <v>119</v>
      </c>
      <c r="CR3" t="s">
        <v>112</v>
      </c>
      <c r="CS3" t="s">
        <v>121</v>
      </c>
      <c r="CT3" t="s">
        <v>343</v>
      </c>
      <c r="CU3" t="s">
        <v>344</v>
      </c>
      <c r="CV3" t="s">
        <v>344</v>
      </c>
      <c r="CW3" t="s">
        <v>343</v>
      </c>
      <c r="CX3" t="s">
        <v>343</v>
      </c>
      <c r="CY3" t="s">
        <v>343</v>
      </c>
      <c r="CZ3" t="s">
        <v>343</v>
      </c>
      <c r="DA3" t="s">
        <v>343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345</v>
      </c>
    </row>
    <row r="5" spans="1:111" x14ac:dyDescent="0.25">
      <c r="BT5"/>
      <c r="CJ5" s="3"/>
    </row>
    <row r="6" spans="1:111" x14ac:dyDescent="0.25">
      <c r="A6" t="s">
        <v>433</v>
      </c>
      <c r="C6" t="s">
        <v>346</v>
      </c>
      <c r="J6" s="7" t="s">
        <v>481</v>
      </c>
      <c r="K6" s="3" t="s">
        <v>402</v>
      </c>
      <c r="O6"/>
      <c r="AC6">
        <v>1</v>
      </c>
      <c r="AO6" s="7" t="s">
        <v>482</v>
      </c>
      <c r="AR6" t="s">
        <v>466</v>
      </c>
      <c r="CS6" s="7" t="s">
        <v>480</v>
      </c>
    </row>
    <row r="7" spans="1:111" x14ac:dyDescent="0.25">
      <c r="A7" t="s">
        <v>434</v>
      </c>
      <c r="C7" t="s">
        <v>346</v>
      </c>
      <c r="K7" s="3" t="s">
        <v>429</v>
      </c>
      <c r="P7"/>
      <c r="AC7">
        <v>1</v>
      </c>
      <c r="AO7" t="s">
        <v>435</v>
      </c>
      <c r="AR7" t="s">
        <v>436</v>
      </c>
      <c r="AW7">
        <v>1</v>
      </c>
      <c r="AX7">
        <v>1</v>
      </c>
      <c r="BB7">
        <v>1</v>
      </c>
      <c r="BZ7" t="s">
        <v>55</v>
      </c>
      <c r="CE7" t="s">
        <v>437</v>
      </c>
      <c r="CF7" t="s">
        <v>438</v>
      </c>
      <c r="CG7" t="s">
        <v>426</v>
      </c>
      <c r="CL7" t="s">
        <v>439</v>
      </c>
      <c r="CM7">
        <v>22</v>
      </c>
      <c r="CP7">
        <v>10</v>
      </c>
      <c r="CW7" t="s">
        <v>440</v>
      </c>
    </row>
    <row r="8" spans="1:111" x14ac:dyDescent="0.25">
      <c r="A8" t="s">
        <v>441</v>
      </c>
      <c r="C8" t="s">
        <v>442</v>
      </c>
      <c r="K8" s="3" t="s">
        <v>347</v>
      </c>
      <c r="L8" s="3" t="s">
        <v>432</v>
      </c>
      <c r="AC8">
        <v>1</v>
      </c>
      <c r="AF8">
        <v>1</v>
      </c>
      <c r="AG8" t="s">
        <v>348</v>
      </c>
      <c r="BB8">
        <v>1</v>
      </c>
      <c r="CJ8" s="3"/>
      <c r="CS8" t="s">
        <v>443</v>
      </c>
      <c r="DB8">
        <v>1</v>
      </c>
      <c r="DE8">
        <v>1</v>
      </c>
      <c r="DF8">
        <v>1</v>
      </c>
    </row>
    <row r="9" spans="1:111" x14ac:dyDescent="0.25">
      <c r="A9" t="s">
        <v>444</v>
      </c>
      <c r="C9" t="s">
        <v>346</v>
      </c>
      <c r="I9">
        <v>1</v>
      </c>
      <c r="K9" s="10" t="s">
        <v>347</v>
      </c>
      <c r="L9" s="10" t="s">
        <v>432</v>
      </c>
      <c r="M9"/>
      <c r="N9"/>
      <c r="O9" s="10"/>
      <c r="P9"/>
      <c r="Q9"/>
      <c r="R9" s="10"/>
      <c r="S9" s="10"/>
      <c r="T9" s="10"/>
      <c r="U9" s="10"/>
      <c r="V9" s="10"/>
      <c r="W9" s="10"/>
      <c r="X9"/>
      <c r="AC9">
        <v>1</v>
      </c>
      <c r="AG9" t="s">
        <v>348</v>
      </c>
      <c r="AR9" t="s">
        <v>349</v>
      </c>
      <c r="BB9">
        <v>1</v>
      </c>
      <c r="BM9" t="s">
        <v>445</v>
      </c>
      <c r="BS9" s="11"/>
      <c r="BT9" s="11"/>
      <c r="BU9" s="11"/>
      <c r="BV9" s="11"/>
      <c r="BW9" s="11"/>
      <c r="BX9" s="11"/>
      <c r="BY9"/>
      <c r="CL9" t="s">
        <v>446</v>
      </c>
      <c r="CM9">
        <v>8</v>
      </c>
      <c r="CP9">
        <v>9999</v>
      </c>
      <c r="DB9">
        <v>1</v>
      </c>
    </row>
    <row r="10" spans="1:111" x14ac:dyDescent="0.25">
      <c r="A10" t="s">
        <v>445</v>
      </c>
      <c r="C10" t="s">
        <v>346</v>
      </c>
      <c r="I10">
        <v>1</v>
      </c>
      <c r="K10" s="10"/>
      <c r="L10" s="10"/>
      <c r="M10"/>
      <c r="N10"/>
      <c r="O10" s="10"/>
      <c r="P10"/>
      <c r="Q10"/>
      <c r="R10" s="10"/>
      <c r="S10" s="10"/>
      <c r="T10" s="10"/>
      <c r="U10" s="10"/>
      <c r="V10" s="10"/>
      <c r="W10" s="10"/>
      <c r="X10"/>
      <c r="AC10">
        <v>1</v>
      </c>
      <c r="AR10" t="s">
        <v>447</v>
      </c>
      <c r="BB10">
        <v>99</v>
      </c>
      <c r="BQ10">
        <v>0.1</v>
      </c>
      <c r="BS10" s="11"/>
      <c r="BT10" s="11"/>
      <c r="BU10" s="11"/>
      <c r="BV10" s="11"/>
      <c r="BW10" s="11"/>
      <c r="BX10" s="11"/>
      <c r="BY10"/>
      <c r="CL10" s="12" t="s">
        <v>448</v>
      </c>
      <c r="CM10">
        <v>0.2</v>
      </c>
      <c r="CP10">
        <v>0.2</v>
      </c>
      <c r="DB10">
        <v>1</v>
      </c>
    </row>
    <row r="11" spans="1:111" x14ac:dyDescent="0.25">
      <c r="A11" t="s">
        <v>449</v>
      </c>
      <c r="C11" t="s">
        <v>346</v>
      </c>
      <c r="K11" s="3" t="s">
        <v>347</v>
      </c>
      <c r="L11" s="3" t="s">
        <v>432</v>
      </c>
      <c r="AC11">
        <v>1</v>
      </c>
      <c r="AG11" t="s">
        <v>348</v>
      </c>
      <c r="AW11" s="3"/>
      <c r="BB11">
        <v>1</v>
      </c>
      <c r="BT11"/>
      <c r="BU11"/>
      <c r="BV11"/>
      <c r="BW11"/>
      <c r="BX11"/>
      <c r="BY11"/>
      <c r="BZ11" s="3"/>
      <c r="CA11" s="3"/>
      <c r="CB11" s="3"/>
      <c r="CC11" s="3"/>
      <c r="CD11" s="3"/>
      <c r="CF11" s="3"/>
      <c r="CG11" s="3"/>
      <c r="CH11" s="3"/>
      <c r="CI11" s="3"/>
      <c r="CJ11" s="3"/>
      <c r="CK11" s="3"/>
      <c r="CL11" t="s">
        <v>450</v>
      </c>
      <c r="CP11">
        <v>99999</v>
      </c>
    </row>
    <row r="12" spans="1:111" x14ac:dyDescent="0.25">
      <c r="A12" t="s">
        <v>483</v>
      </c>
      <c r="C12" t="s">
        <v>346</v>
      </c>
      <c r="I12">
        <v>1</v>
      </c>
      <c r="K12" s="13" t="s">
        <v>347</v>
      </c>
      <c r="L12" s="13"/>
      <c r="M12"/>
      <c r="N12"/>
      <c r="O12" s="13"/>
      <c r="P12" s="14" t="s">
        <v>484</v>
      </c>
      <c r="Q12" s="13"/>
      <c r="R12" s="14"/>
      <c r="S12"/>
      <c r="T12" s="13"/>
      <c r="U12" s="13"/>
      <c r="V12" s="13"/>
      <c r="W12" s="13"/>
      <c r="X12"/>
      <c r="AC12">
        <v>1</v>
      </c>
      <c r="AG12" t="s">
        <v>348</v>
      </c>
      <c r="AR12" t="s">
        <v>349</v>
      </c>
      <c r="BB12">
        <v>1</v>
      </c>
      <c r="BT12"/>
      <c r="BU12" s="15"/>
      <c r="BV12" s="15"/>
      <c r="BW12" s="15"/>
      <c r="BX12" s="15"/>
      <c r="BY12" s="15"/>
      <c r="BZ12" s="15"/>
      <c r="CL12" t="s">
        <v>439</v>
      </c>
      <c r="CM12">
        <v>22</v>
      </c>
      <c r="CP12">
        <v>10</v>
      </c>
    </row>
    <row r="13" spans="1:111" x14ac:dyDescent="0.25"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BT13"/>
      <c r="BU13" s="15"/>
      <c r="BV13" s="15"/>
      <c r="BW13" s="15"/>
      <c r="BX13" s="15"/>
      <c r="BY13" s="15"/>
    </row>
    <row r="14" spans="1:111" x14ac:dyDescent="0.25">
      <c r="A14" t="s">
        <v>485</v>
      </c>
      <c r="C14" t="s">
        <v>346</v>
      </c>
      <c r="D14" t="s">
        <v>486</v>
      </c>
      <c r="E14" t="s">
        <v>487</v>
      </c>
      <c r="F14" t="s">
        <v>488</v>
      </c>
      <c r="G14">
        <v>3</v>
      </c>
      <c r="J14" t="s">
        <v>428</v>
      </c>
      <c r="K14" s="13" t="s">
        <v>489</v>
      </c>
      <c r="L14" s="13"/>
      <c r="M14"/>
      <c r="N14" s="13"/>
      <c r="O14"/>
      <c r="P14" s="13"/>
      <c r="Q14" s="13"/>
      <c r="R14" s="13"/>
      <c r="S14" s="13"/>
      <c r="T14" s="13"/>
      <c r="U14" s="13"/>
      <c r="V14" s="13"/>
      <c r="W14" s="13"/>
      <c r="X14" s="13"/>
      <c r="AC14">
        <v>1</v>
      </c>
      <c r="AG14" t="s">
        <v>348</v>
      </c>
      <c r="BB14">
        <v>1</v>
      </c>
      <c r="BM14" s="7" t="s">
        <v>582</v>
      </c>
      <c r="BN14" s="7" t="s">
        <v>581</v>
      </c>
      <c r="BR14">
        <v>30</v>
      </c>
      <c r="BT14" s="15">
        <v>13</v>
      </c>
      <c r="BU14" s="15">
        <v>15</v>
      </c>
      <c r="BV14" s="15">
        <v>1</v>
      </c>
      <c r="BW14" s="15" t="s">
        <v>490</v>
      </c>
      <c r="BX14" s="15"/>
      <c r="BY14" s="15"/>
      <c r="CL14" s="14" t="s">
        <v>491</v>
      </c>
      <c r="CP14">
        <v>30</v>
      </c>
      <c r="DB14">
        <v>1</v>
      </c>
    </row>
    <row r="15" spans="1:111" x14ac:dyDescent="0.25">
      <c r="A15" t="s">
        <v>492</v>
      </c>
      <c r="C15" t="s">
        <v>346</v>
      </c>
      <c r="J15" s="13"/>
      <c r="K15" s="13"/>
      <c r="L15" s="13"/>
      <c r="M15"/>
      <c r="N15" s="13"/>
      <c r="O15" s="14" t="s">
        <v>484</v>
      </c>
      <c r="P15"/>
      <c r="Q15"/>
      <c r="R15" s="13"/>
      <c r="S15" s="13"/>
      <c r="T15" s="13"/>
      <c r="U15" s="13"/>
      <c r="V15" s="13"/>
      <c r="W15" s="13"/>
      <c r="X15" s="13"/>
      <c r="AC15">
        <v>1</v>
      </c>
      <c r="AD15">
        <v>1</v>
      </c>
      <c r="AO15" t="s">
        <v>435</v>
      </c>
      <c r="AQ15" t="s">
        <v>463</v>
      </c>
      <c r="AU15">
        <v>1</v>
      </c>
      <c r="AW15">
        <v>1</v>
      </c>
      <c r="AX15">
        <v>1</v>
      </c>
      <c r="BB15">
        <v>1</v>
      </c>
      <c r="BN15" t="s">
        <v>493</v>
      </c>
      <c r="BT15" s="15"/>
      <c r="BU15" s="15"/>
      <c r="BV15" s="15"/>
      <c r="BW15" s="15"/>
      <c r="BX15" s="15"/>
      <c r="BY15" s="15"/>
      <c r="BZ15" t="s">
        <v>494</v>
      </c>
      <c r="CE15" t="s">
        <v>437</v>
      </c>
      <c r="CF15" t="s">
        <v>438</v>
      </c>
      <c r="CG15" t="s">
        <v>426</v>
      </c>
      <c r="CL15" s="7" t="s">
        <v>576</v>
      </c>
      <c r="CM15">
        <v>22</v>
      </c>
      <c r="CN15">
        <v>39.6</v>
      </c>
      <c r="CP15">
        <v>10</v>
      </c>
      <c r="CW15" t="s">
        <v>440</v>
      </c>
    </row>
    <row r="16" spans="1:111" x14ac:dyDescent="0.25">
      <c r="A16" t="s">
        <v>496</v>
      </c>
      <c r="C16" t="s">
        <v>346</v>
      </c>
      <c r="I16">
        <v>1</v>
      </c>
      <c r="K16" s="13" t="s">
        <v>347</v>
      </c>
      <c r="L16" s="13"/>
      <c r="M16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AC16">
        <v>1</v>
      </c>
      <c r="AD16">
        <v>1</v>
      </c>
      <c r="AJ16" t="s">
        <v>463</v>
      </c>
      <c r="AO16" t="s">
        <v>435</v>
      </c>
      <c r="AR16" t="s">
        <v>436</v>
      </c>
      <c r="AV16" t="s">
        <v>425</v>
      </c>
      <c r="AX16">
        <v>1</v>
      </c>
      <c r="AZ16">
        <v>2</v>
      </c>
      <c r="BB16">
        <v>1</v>
      </c>
      <c r="BT16" s="15"/>
      <c r="BU16" s="15"/>
      <c r="BV16" s="15"/>
      <c r="BW16" s="15"/>
      <c r="BX16" s="15"/>
      <c r="BY16" s="15"/>
      <c r="BZ16" s="16"/>
      <c r="CF16" t="s">
        <v>497</v>
      </c>
      <c r="CG16" t="s">
        <v>426</v>
      </c>
      <c r="DB16">
        <v>1</v>
      </c>
      <c r="DF16">
        <v>1</v>
      </c>
    </row>
    <row r="17" spans="1:110" x14ac:dyDescent="0.25">
      <c r="A17" t="s">
        <v>498</v>
      </c>
      <c r="C17" t="s">
        <v>346</v>
      </c>
      <c r="I17">
        <v>1</v>
      </c>
      <c r="K17" s="13" t="s">
        <v>347</v>
      </c>
      <c r="L17" s="13"/>
      <c r="M17"/>
      <c r="N17" s="13"/>
      <c r="O17" s="14" t="s">
        <v>484</v>
      </c>
      <c r="P17"/>
      <c r="Q17"/>
      <c r="R17" s="13"/>
      <c r="S17" s="13"/>
      <c r="T17" s="13"/>
      <c r="U17" s="13"/>
      <c r="V17" s="13"/>
      <c r="W17" s="13"/>
      <c r="X17" s="13"/>
      <c r="AC17">
        <v>1</v>
      </c>
      <c r="AG17" t="s">
        <v>348</v>
      </c>
      <c r="AU17">
        <v>1</v>
      </c>
      <c r="BB17">
        <v>1</v>
      </c>
      <c r="BT17" s="15"/>
      <c r="BU17" s="15"/>
      <c r="BV17" s="15"/>
      <c r="BW17" s="15"/>
      <c r="BX17" s="15"/>
      <c r="BY17" s="15"/>
      <c r="CL17" t="s">
        <v>495</v>
      </c>
      <c r="CM17">
        <v>22</v>
      </c>
      <c r="CN17">
        <v>39.6</v>
      </c>
      <c r="CP17">
        <v>10</v>
      </c>
    </row>
    <row r="18" spans="1:110" x14ac:dyDescent="0.25">
      <c r="A18" s="7" t="s">
        <v>580</v>
      </c>
      <c r="C18" t="s">
        <v>346</v>
      </c>
      <c r="I18">
        <v>1</v>
      </c>
      <c r="K18" s="3" t="s">
        <v>404</v>
      </c>
      <c r="L18" s="13"/>
      <c r="M18"/>
      <c r="N18" s="13"/>
      <c r="O18" s="14" t="s">
        <v>484</v>
      </c>
      <c r="P18"/>
      <c r="Q18"/>
      <c r="R18" s="13"/>
      <c r="S18" s="13"/>
      <c r="T18" s="13"/>
      <c r="U18" s="13"/>
      <c r="V18" s="13"/>
      <c r="W18" s="13"/>
      <c r="X18" s="13"/>
      <c r="AC18">
        <v>1</v>
      </c>
      <c r="AJ18" t="s">
        <v>463</v>
      </c>
      <c r="AR18" t="s">
        <v>436</v>
      </c>
      <c r="BB18">
        <v>1</v>
      </c>
      <c r="BQ18">
        <v>0.1</v>
      </c>
      <c r="BT18" s="15"/>
      <c r="BU18" s="15"/>
      <c r="BV18" s="15"/>
      <c r="BW18" s="15"/>
      <c r="BX18" s="15"/>
      <c r="BY18" s="15"/>
      <c r="CL18" s="14" t="s">
        <v>499</v>
      </c>
      <c r="CP18">
        <v>0.2</v>
      </c>
    </row>
    <row r="19" spans="1:110" x14ac:dyDescent="0.25">
      <c r="A19" t="s">
        <v>500</v>
      </c>
      <c r="C19" t="s">
        <v>346</v>
      </c>
      <c r="I19">
        <v>1</v>
      </c>
      <c r="K19" s="13" t="s">
        <v>347</v>
      </c>
      <c r="L19" s="13"/>
      <c r="M19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AC19">
        <v>1</v>
      </c>
      <c r="AG19" t="s">
        <v>348</v>
      </c>
      <c r="AW19" s="13"/>
      <c r="BB19">
        <v>1</v>
      </c>
      <c r="BT19"/>
      <c r="BU19"/>
      <c r="BV19"/>
      <c r="BW19"/>
      <c r="BX19"/>
      <c r="BY19"/>
      <c r="BZ19" s="13"/>
      <c r="CA19" s="13"/>
      <c r="CB19" s="13"/>
      <c r="CC19" s="13"/>
      <c r="CD19" s="13"/>
      <c r="CF19" s="13"/>
      <c r="CG19" s="13"/>
      <c r="CH19" s="13"/>
      <c r="CI19" s="13"/>
      <c r="CL19" s="14" t="s">
        <v>500</v>
      </c>
      <c r="CP19">
        <v>40</v>
      </c>
      <c r="DB19">
        <v>1</v>
      </c>
      <c r="DF19">
        <v>1</v>
      </c>
    </row>
    <row r="20" spans="1:110" x14ac:dyDescent="0.25">
      <c r="A20" t="s">
        <v>501</v>
      </c>
      <c r="C20" t="s">
        <v>346</v>
      </c>
      <c r="I20">
        <v>1</v>
      </c>
      <c r="K20" s="13"/>
      <c r="L20" s="13"/>
      <c r="M20"/>
      <c r="N20" s="13"/>
      <c r="O20" s="14" t="s">
        <v>484</v>
      </c>
      <c r="P20" s="14" t="s">
        <v>500</v>
      </c>
      <c r="Q20" s="13"/>
      <c r="R20" s="13"/>
      <c r="S20" s="13"/>
      <c r="T20" s="13"/>
      <c r="U20" s="13"/>
      <c r="V20" s="13"/>
      <c r="W20" s="13"/>
      <c r="X20" s="13"/>
      <c r="AC20">
        <v>1</v>
      </c>
      <c r="AT20">
        <v>20</v>
      </c>
      <c r="BB20">
        <v>99</v>
      </c>
      <c r="BT20" s="15"/>
      <c r="BU20" s="15"/>
      <c r="BV20" s="15"/>
      <c r="BW20" s="15"/>
      <c r="BX20" s="15"/>
      <c r="BY20" s="15"/>
      <c r="CK20" t="s">
        <v>502</v>
      </c>
    </row>
    <row r="21" spans="1:110" x14ac:dyDescent="0.25">
      <c r="A21" t="s">
        <v>503</v>
      </c>
      <c r="C21" t="s">
        <v>346</v>
      </c>
      <c r="I21">
        <v>1</v>
      </c>
      <c r="K21" s="13" t="s">
        <v>347</v>
      </c>
      <c r="L21" s="13"/>
      <c r="M21"/>
      <c r="N21"/>
      <c r="O21" s="13"/>
      <c r="P21" s="13"/>
      <c r="Q21" s="13"/>
      <c r="R21" s="13"/>
      <c r="S21" s="13"/>
      <c r="T21" s="13"/>
      <c r="U21" s="13"/>
      <c r="V21" s="13"/>
      <c r="W21" s="13"/>
      <c r="X21" s="13"/>
      <c r="AC21">
        <v>1</v>
      </c>
      <c r="AG21" t="s">
        <v>348</v>
      </c>
      <c r="BB21">
        <v>1</v>
      </c>
      <c r="BQ21">
        <v>0.1</v>
      </c>
      <c r="BT21"/>
      <c r="BU21" s="15"/>
      <c r="BV21" s="15"/>
      <c r="BW21" s="15"/>
      <c r="BX21" s="15"/>
      <c r="BY21" s="15"/>
      <c r="BZ21" t="s">
        <v>504</v>
      </c>
      <c r="CE21" t="s">
        <v>437</v>
      </c>
      <c r="CG21" s="13"/>
      <c r="CH21" s="13"/>
      <c r="DB21">
        <v>1</v>
      </c>
      <c r="DE21">
        <v>1</v>
      </c>
      <c r="DF21">
        <v>1</v>
      </c>
    </row>
    <row r="22" spans="1:110" x14ac:dyDescent="0.25">
      <c r="A22" t="s">
        <v>505</v>
      </c>
      <c r="C22" t="s">
        <v>346</v>
      </c>
      <c r="I22">
        <v>1</v>
      </c>
      <c r="K22" s="13" t="s">
        <v>347</v>
      </c>
      <c r="L22" s="13" t="s">
        <v>506</v>
      </c>
      <c r="M22"/>
      <c r="N22"/>
      <c r="O22" s="13"/>
      <c r="P22" s="13"/>
      <c r="Q22" s="13"/>
      <c r="R22" s="13"/>
      <c r="S22" s="13"/>
      <c r="T22" s="13"/>
      <c r="U22" s="13"/>
      <c r="V22" s="13"/>
      <c r="W22" s="13"/>
      <c r="X22" s="13"/>
      <c r="AC22">
        <v>1</v>
      </c>
      <c r="AG22" t="s">
        <v>348</v>
      </c>
      <c r="BB22">
        <v>1</v>
      </c>
      <c r="BQ22">
        <v>0.2</v>
      </c>
      <c r="BT22"/>
      <c r="BU22" s="15"/>
      <c r="BV22" s="15"/>
      <c r="BW22" s="15"/>
      <c r="BX22" s="15"/>
      <c r="BY22" s="15"/>
      <c r="BZ22" t="s">
        <v>507</v>
      </c>
      <c r="CE22" t="s">
        <v>437</v>
      </c>
      <c r="CH22" s="13"/>
      <c r="DB22">
        <v>1</v>
      </c>
      <c r="DE22">
        <v>1</v>
      </c>
      <c r="DF22">
        <v>1</v>
      </c>
    </row>
    <row r="23" spans="1:110" x14ac:dyDescent="0.25">
      <c r="A23" t="s">
        <v>508</v>
      </c>
      <c r="C23" t="s">
        <v>346</v>
      </c>
      <c r="D23" t="s">
        <v>486</v>
      </c>
      <c r="E23" t="s">
        <v>487</v>
      </c>
      <c r="F23" t="s">
        <v>488</v>
      </c>
      <c r="G23">
        <v>3</v>
      </c>
      <c r="K23" s="3" t="s">
        <v>402</v>
      </c>
      <c r="L23" s="3" t="s">
        <v>579</v>
      </c>
      <c r="M23"/>
      <c r="N23" s="13"/>
      <c r="O23" s="12" t="s">
        <v>580</v>
      </c>
      <c r="P23" s="13"/>
      <c r="Q23" s="13"/>
      <c r="R23" s="13"/>
      <c r="S23" s="13"/>
      <c r="T23" s="13"/>
      <c r="U23" s="13"/>
      <c r="V23" s="13"/>
      <c r="W23" s="13"/>
      <c r="X23" s="13"/>
      <c r="AC23">
        <v>1</v>
      </c>
      <c r="AG23" s="7" t="s">
        <v>577</v>
      </c>
      <c r="AO23" s="7" t="s">
        <v>482</v>
      </c>
      <c r="AR23" t="s">
        <v>447</v>
      </c>
      <c r="AW23">
        <v>1</v>
      </c>
      <c r="AX23">
        <v>583</v>
      </c>
      <c r="AZ23">
        <v>2</v>
      </c>
      <c r="BB23">
        <v>1</v>
      </c>
      <c r="BM23" s="7"/>
      <c r="BN23" s="7"/>
      <c r="BQ23">
        <v>1</v>
      </c>
      <c r="BT23" s="15"/>
      <c r="BU23" s="15"/>
      <c r="BV23" s="15"/>
      <c r="BW23" s="15"/>
      <c r="BX23" s="15"/>
      <c r="BY23" s="15"/>
      <c r="CE23" s="7" t="s">
        <v>405</v>
      </c>
      <c r="CF23" t="s">
        <v>438</v>
      </c>
      <c r="CG23" t="s">
        <v>426</v>
      </c>
      <c r="CK23" s="7"/>
      <c r="CL23" t="s">
        <v>495</v>
      </c>
      <c r="CM23">
        <v>22</v>
      </c>
      <c r="CN23">
        <v>39.6</v>
      </c>
      <c r="CP23">
        <v>10</v>
      </c>
      <c r="CW23" t="s">
        <v>440</v>
      </c>
      <c r="DB23">
        <v>1</v>
      </c>
    </row>
    <row r="24" spans="1:110" x14ac:dyDescent="0.25">
      <c r="A24" s="7" t="s">
        <v>578</v>
      </c>
      <c r="C24" t="s">
        <v>346</v>
      </c>
      <c r="I24">
        <v>1</v>
      </c>
      <c r="K24" s="3" t="s">
        <v>402</v>
      </c>
      <c r="L24" s="13"/>
      <c r="M24"/>
      <c r="N24" s="13"/>
      <c r="O24" s="14"/>
      <c r="P24" s="13"/>
      <c r="Q24" s="13"/>
      <c r="R24" s="13"/>
      <c r="S24" s="13"/>
      <c r="T24" s="13"/>
      <c r="U24" s="13"/>
      <c r="V24" s="13"/>
      <c r="W24" s="13"/>
      <c r="X24" s="13"/>
      <c r="AC24">
        <v>1</v>
      </c>
      <c r="AG24" s="7" t="s">
        <v>403</v>
      </c>
      <c r="AO24" s="7"/>
      <c r="BB24">
        <v>1</v>
      </c>
      <c r="BQ24">
        <v>0.1</v>
      </c>
      <c r="BT24" s="15"/>
      <c r="BU24" s="15"/>
      <c r="BV24" s="15"/>
      <c r="BW24" s="15"/>
      <c r="BX24" s="15"/>
      <c r="BY24" s="15"/>
      <c r="CE24" s="7" t="s">
        <v>405</v>
      </c>
      <c r="CK24" t="s">
        <v>495</v>
      </c>
      <c r="DB24">
        <v>1</v>
      </c>
    </row>
    <row r="25" spans="1:110" x14ac:dyDescent="0.25"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BS25" s="15"/>
      <c r="BT25" s="15"/>
      <c r="BU25" s="15"/>
      <c r="BV25" s="15"/>
      <c r="BW25" s="15"/>
      <c r="BX25" s="15"/>
      <c r="BY25"/>
    </row>
    <row r="26" spans="1:110" x14ac:dyDescent="0.25">
      <c r="A26" t="s">
        <v>509</v>
      </c>
      <c r="C26" t="s">
        <v>346</v>
      </c>
      <c r="D26" t="s">
        <v>510</v>
      </c>
      <c r="E26" s="7" t="s">
        <v>567</v>
      </c>
      <c r="F26" t="s">
        <v>512</v>
      </c>
      <c r="G26">
        <v>3</v>
      </c>
      <c r="J26" t="s">
        <v>428</v>
      </c>
      <c r="K26" s="3" t="s">
        <v>489</v>
      </c>
      <c r="O26"/>
      <c r="W26"/>
      <c r="X26"/>
      <c r="AC26">
        <v>1</v>
      </c>
      <c r="AG26" t="s">
        <v>348</v>
      </c>
      <c r="BB26">
        <v>1</v>
      </c>
      <c r="BM26" s="7" t="s">
        <v>566</v>
      </c>
      <c r="BN26" s="7" t="s">
        <v>571</v>
      </c>
      <c r="BR26">
        <v>1</v>
      </c>
      <c r="BT26" s="4">
        <v>11</v>
      </c>
      <c r="BU26" s="4">
        <v>15</v>
      </c>
      <c r="BV26" s="4">
        <v>1</v>
      </c>
      <c r="BW26" s="4" t="s">
        <v>490</v>
      </c>
      <c r="CL26" s="12" t="s">
        <v>516</v>
      </c>
      <c r="CM26" t="s">
        <v>545</v>
      </c>
      <c r="CP26">
        <v>25</v>
      </c>
    </row>
    <row r="27" spans="1:110" x14ac:dyDescent="0.25">
      <c r="A27" t="s">
        <v>546</v>
      </c>
      <c r="C27" t="s">
        <v>346</v>
      </c>
      <c r="I27">
        <v>1</v>
      </c>
      <c r="K27" s="3" t="s">
        <v>402</v>
      </c>
      <c r="M27"/>
      <c r="O27" s="12"/>
      <c r="P27"/>
      <c r="Q27"/>
      <c r="AC27">
        <v>1</v>
      </c>
      <c r="AG27" t="s">
        <v>348</v>
      </c>
      <c r="BB27">
        <v>1</v>
      </c>
      <c r="BQ27">
        <v>0.1</v>
      </c>
      <c r="CL27" s="12" t="s">
        <v>570</v>
      </c>
      <c r="CM27">
        <v>-100</v>
      </c>
      <c r="CP27">
        <v>25</v>
      </c>
    </row>
    <row r="28" spans="1:110" x14ac:dyDescent="0.25">
      <c r="A28" s="7" t="s">
        <v>563</v>
      </c>
      <c r="C28" t="s">
        <v>346</v>
      </c>
      <c r="I28">
        <v>1</v>
      </c>
      <c r="K28" s="3" t="s">
        <v>347</v>
      </c>
      <c r="L28" s="3" t="s">
        <v>547</v>
      </c>
      <c r="M28"/>
      <c r="O28" s="12" t="s">
        <v>516</v>
      </c>
      <c r="P28"/>
      <c r="Q28"/>
      <c r="AC28">
        <v>1</v>
      </c>
      <c r="AJ28" t="s">
        <v>463</v>
      </c>
      <c r="AR28" t="s">
        <v>436</v>
      </c>
      <c r="BB28">
        <v>1</v>
      </c>
      <c r="CL28" s="12" t="s">
        <v>517</v>
      </c>
      <c r="CP28">
        <v>1</v>
      </c>
    </row>
    <row r="29" spans="1:110" x14ac:dyDescent="0.25">
      <c r="A29" s="7" t="s">
        <v>564</v>
      </c>
      <c r="C29" t="s">
        <v>346</v>
      </c>
      <c r="I29">
        <v>1</v>
      </c>
      <c r="O29" s="12" t="s">
        <v>517</v>
      </c>
      <c r="AC29">
        <v>1</v>
      </c>
      <c r="AG29" t="s">
        <v>348</v>
      </c>
      <c r="AV29" t="s">
        <v>425</v>
      </c>
      <c r="AX29">
        <v>1</v>
      </c>
      <c r="AZ29">
        <v>1</v>
      </c>
      <c r="BB29">
        <v>1</v>
      </c>
    </row>
    <row r="30" spans="1:110" x14ac:dyDescent="0.25">
      <c r="A30" s="7" t="s">
        <v>565</v>
      </c>
      <c r="C30" t="s">
        <v>442</v>
      </c>
      <c r="K30" s="3" t="s">
        <v>347</v>
      </c>
      <c r="L30" s="3" t="s">
        <v>547</v>
      </c>
      <c r="AC30">
        <v>1</v>
      </c>
      <c r="AF30">
        <v>1</v>
      </c>
      <c r="AG30" t="s">
        <v>348</v>
      </c>
      <c r="BB30">
        <v>1</v>
      </c>
      <c r="CJ30" s="3"/>
      <c r="CS30" t="s">
        <v>548</v>
      </c>
      <c r="DB30">
        <v>1</v>
      </c>
      <c r="DE30">
        <v>1</v>
      </c>
      <c r="DF30">
        <v>1</v>
      </c>
    </row>
    <row r="31" spans="1:110" x14ac:dyDescent="0.25">
      <c r="CJ31" s="3"/>
    </row>
    <row r="32" spans="1:110" x14ac:dyDescent="0.25">
      <c r="A32" s="7" t="s">
        <v>561</v>
      </c>
      <c r="C32" s="7" t="s">
        <v>410</v>
      </c>
      <c r="I32">
        <v>1</v>
      </c>
      <c r="J32" s="7" t="s">
        <v>481</v>
      </c>
      <c r="K32" s="3" t="s">
        <v>402</v>
      </c>
      <c r="AC32">
        <v>1</v>
      </c>
      <c r="AJ32" s="7" t="s">
        <v>562</v>
      </c>
      <c r="AR32" t="s">
        <v>436</v>
      </c>
      <c r="BB32">
        <v>1</v>
      </c>
      <c r="BQ32">
        <v>0.1</v>
      </c>
      <c r="CJ32" s="3"/>
      <c r="CS32" s="7" t="s">
        <v>574</v>
      </c>
    </row>
    <row r="33" spans="1:110" x14ac:dyDescent="0.25">
      <c r="CJ33" s="3"/>
    </row>
    <row r="34" spans="1:110" x14ac:dyDescent="0.25">
      <c r="A34" t="s">
        <v>549</v>
      </c>
      <c r="C34" t="s">
        <v>346</v>
      </c>
      <c r="D34" t="s">
        <v>510</v>
      </c>
      <c r="E34" t="s">
        <v>511</v>
      </c>
      <c r="F34" t="s">
        <v>512</v>
      </c>
      <c r="G34">
        <v>3</v>
      </c>
      <c r="J34" t="s">
        <v>428</v>
      </c>
      <c r="K34" s="3" t="s">
        <v>429</v>
      </c>
      <c r="O34"/>
      <c r="W34"/>
      <c r="X34"/>
      <c r="AC34">
        <v>1</v>
      </c>
      <c r="AG34" t="s">
        <v>348</v>
      </c>
      <c r="BB34">
        <v>1</v>
      </c>
      <c r="BM34" t="s">
        <v>550</v>
      </c>
      <c r="BR34">
        <v>25</v>
      </c>
      <c r="BT34" s="4">
        <v>1</v>
      </c>
      <c r="BU34" s="4">
        <v>1</v>
      </c>
      <c r="BV34" s="4">
        <v>1</v>
      </c>
      <c r="BW34" s="4" t="s">
        <v>490</v>
      </c>
      <c r="CL34" s="12" t="s">
        <v>514</v>
      </c>
      <c r="CM34" t="s">
        <v>515</v>
      </c>
      <c r="CN34">
        <v>2</v>
      </c>
      <c r="CO34">
        <v>80</v>
      </c>
      <c r="CP34">
        <v>25</v>
      </c>
    </row>
    <row r="35" spans="1:110" x14ac:dyDescent="0.25">
      <c r="A35" t="s">
        <v>518</v>
      </c>
      <c r="C35" t="s">
        <v>519</v>
      </c>
      <c r="O35" s="12" t="s">
        <v>516</v>
      </c>
      <c r="X35"/>
      <c r="AC35">
        <v>2</v>
      </c>
      <c r="AO35" t="s">
        <v>430</v>
      </c>
      <c r="AR35" t="s">
        <v>447</v>
      </c>
      <c r="AV35" t="s">
        <v>425</v>
      </c>
      <c r="AX35">
        <v>1</v>
      </c>
      <c r="BB35">
        <v>1</v>
      </c>
      <c r="BN35" t="s">
        <v>520</v>
      </c>
      <c r="BZ35" t="s">
        <v>521</v>
      </c>
      <c r="CE35" t="s">
        <v>437</v>
      </c>
      <c r="CW35" t="s">
        <v>350</v>
      </c>
    </row>
    <row r="36" spans="1:110" x14ac:dyDescent="0.25">
      <c r="A36" t="s">
        <v>520</v>
      </c>
      <c r="C36" t="s">
        <v>346</v>
      </c>
      <c r="I36">
        <v>1</v>
      </c>
      <c r="K36" s="3" t="s">
        <v>347</v>
      </c>
      <c r="O36" s="12" t="s">
        <v>516</v>
      </c>
      <c r="P36"/>
      <c r="Q36"/>
      <c r="X36"/>
      <c r="AC36">
        <v>1</v>
      </c>
      <c r="AG36" t="s">
        <v>348</v>
      </c>
      <c r="AH36">
        <v>1</v>
      </c>
      <c r="AO36" t="s">
        <v>435</v>
      </c>
      <c r="AT36">
        <v>1</v>
      </c>
      <c r="AW36">
        <v>1</v>
      </c>
      <c r="AX36">
        <v>0.5</v>
      </c>
      <c r="BB36">
        <v>1</v>
      </c>
      <c r="CF36" t="s">
        <v>438</v>
      </c>
      <c r="CG36" t="s">
        <v>426</v>
      </c>
      <c r="CL36" t="s">
        <v>439</v>
      </c>
      <c r="CM36">
        <v>22</v>
      </c>
      <c r="CP36">
        <v>10</v>
      </c>
    </row>
    <row r="37" spans="1:110" x14ac:dyDescent="0.25">
      <c r="A37" t="s">
        <v>522</v>
      </c>
      <c r="C37" t="s">
        <v>523</v>
      </c>
      <c r="I37">
        <v>1</v>
      </c>
      <c r="K37" s="3" t="s">
        <v>347</v>
      </c>
      <c r="L37" s="3" t="s">
        <v>524</v>
      </c>
      <c r="O37" s="12" t="s">
        <v>516</v>
      </c>
      <c r="X37"/>
      <c r="AC37">
        <v>1</v>
      </c>
      <c r="AG37" t="s">
        <v>348</v>
      </c>
      <c r="BB37">
        <v>1</v>
      </c>
      <c r="CS37" t="s">
        <v>551</v>
      </c>
      <c r="DB37">
        <v>1</v>
      </c>
      <c r="DE37">
        <v>1</v>
      </c>
      <c r="DF37">
        <v>1</v>
      </c>
    </row>
    <row r="38" spans="1:110" x14ac:dyDescent="0.25">
      <c r="A38" t="s">
        <v>552</v>
      </c>
      <c r="C38" t="s">
        <v>553</v>
      </c>
      <c r="K38" s="3" t="s">
        <v>347</v>
      </c>
      <c r="L38" s="3" t="s">
        <v>432</v>
      </c>
      <c r="AC38">
        <v>1</v>
      </c>
      <c r="AG38" t="s">
        <v>348</v>
      </c>
      <c r="BB38">
        <v>1</v>
      </c>
      <c r="CS38" t="s">
        <v>554</v>
      </c>
    </row>
    <row r="39" spans="1:110" x14ac:dyDescent="0.25">
      <c r="A39" t="s">
        <v>555</v>
      </c>
      <c r="C39" t="s">
        <v>346</v>
      </c>
      <c r="I39">
        <v>1</v>
      </c>
      <c r="K39" s="3" t="s">
        <v>347</v>
      </c>
      <c r="L39" s="3" t="s">
        <v>432</v>
      </c>
      <c r="AC39">
        <v>1</v>
      </c>
      <c r="AG39" t="s">
        <v>348</v>
      </c>
      <c r="BB39">
        <v>1</v>
      </c>
      <c r="CL39" t="s">
        <v>556</v>
      </c>
      <c r="CP39">
        <v>0.5</v>
      </c>
    </row>
    <row r="40" spans="1:110" x14ac:dyDescent="0.25">
      <c r="A40" t="s">
        <v>557</v>
      </c>
      <c r="C40" t="s">
        <v>346</v>
      </c>
      <c r="I40">
        <v>1</v>
      </c>
      <c r="K40" s="3" t="s">
        <v>402</v>
      </c>
      <c r="L40" s="3" t="s">
        <v>572</v>
      </c>
      <c r="AC40">
        <v>1</v>
      </c>
      <c r="AJ40" t="s">
        <v>451</v>
      </c>
      <c r="AT40">
        <v>20</v>
      </c>
      <c r="BB40">
        <v>1</v>
      </c>
      <c r="CK40" s="12" t="s">
        <v>570</v>
      </c>
      <c r="CL40" s="12"/>
      <c r="DB40">
        <v>1</v>
      </c>
      <c r="DE40">
        <v>1</v>
      </c>
      <c r="DF40">
        <v>1</v>
      </c>
    </row>
    <row r="42" spans="1:110" x14ac:dyDescent="0.25">
      <c r="A42" t="s">
        <v>513</v>
      </c>
      <c r="C42" t="s">
        <v>346</v>
      </c>
      <c r="I42">
        <v>1</v>
      </c>
      <c r="K42" s="3" t="s">
        <v>347</v>
      </c>
      <c r="M42"/>
      <c r="N42"/>
      <c r="AC42">
        <v>1</v>
      </c>
      <c r="AG42" t="s">
        <v>348</v>
      </c>
      <c r="BB42">
        <v>1</v>
      </c>
      <c r="BQ42">
        <v>0.5</v>
      </c>
      <c r="BT42"/>
      <c r="BZ42" s="18" t="s">
        <v>575</v>
      </c>
      <c r="CE42" t="s">
        <v>437</v>
      </c>
      <c r="CG42" s="3"/>
      <c r="CH42" s="3"/>
      <c r="DB42">
        <v>1</v>
      </c>
      <c r="DE42">
        <v>1</v>
      </c>
      <c r="DF42">
        <v>1</v>
      </c>
    </row>
    <row r="43" spans="1:110" x14ac:dyDescent="0.25">
      <c r="A43" t="s">
        <v>526</v>
      </c>
      <c r="C43" t="s">
        <v>346</v>
      </c>
      <c r="I43">
        <v>1</v>
      </c>
      <c r="K43" s="3" t="s">
        <v>347</v>
      </c>
      <c r="L43" s="3" t="s">
        <v>506</v>
      </c>
      <c r="M43"/>
      <c r="N43"/>
      <c r="AC43">
        <v>1</v>
      </c>
      <c r="AG43" t="s">
        <v>348</v>
      </c>
      <c r="BB43">
        <v>1</v>
      </c>
      <c r="BQ43">
        <v>1</v>
      </c>
      <c r="BT43"/>
      <c r="BZ43" s="18" t="s">
        <v>568</v>
      </c>
      <c r="CE43" t="s">
        <v>437</v>
      </c>
      <c r="CH43" s="3"/>
      <c r="DB43">
        <v>1</v>
      </c>
      <c r="DE43">
        <v>1</v>
      </c>
      <c r="DF43">
        <v>1</v>
      </c>
    </row>
    <row r="44" spans="1:110" x14ac:dyDescent="0.25">
      <c r="A44" t="s">
        <v>525</v>
      </c>
      <c r="C44" t="s">
        <v>346</v>
      </c>
      <c r="I44">
        <v>1</v>
      </c>
      <c r="K44" s="3" t="s">
        <v>347</v>
      </c>
      <c r="L44" s="3" t="s">
        <v>506</v>
      </c>
      <c r="O44"/>
      <c r="X44"/>
      <c r="AC44">
        <v>1</v>
      </c>
      <c r="AG44" t="s">
        <v>348</v>
      </c>
      <c r="BB44">
        <v>1</v>
      </c>
      <c r="CK44" s="12" t="s">
        <v>558</v>
      </c>
    </row>
    <row r="47" spans="1:110" x14ac:dyDescent="0.25">
      <c r="CJ47" s="3"/>
    </row>
    <row r="48" spans="1:110" x14ac:dyDescent="0.25">
      <c r="CJ48" s="3"/>
    </row>
    <row r="54" spans="72:88" x14ac:dyDescent="0.25">
      <c r="CJ54" s="3"/>
    </row>
    <row r="55" spans="72:88" x14ac:dyDescent="0.25">
      <c r="CJ55" s="3"/>
    </row>
    <row r="57" spans="72:88" x14ac:dyDescent="0.25">
      <c r="CJ57" s="3"/>
    </row>
    <row r="58" spans="72:88" x14ac:dyDescent="0.25">
      <c r="CJ58" s="3"/>
    </row>
    <row r="59" spans="72:88" x14ac:dyDescent="0.25">
      <c r="CJ59" s="3"/>
    </row>
    <row r="60" spans="72:88" x14ac:dyDescent="0.25">
      <c r="CJ60" s="3"/>
    </row>
    <row r="61" spans="72:88" x14ac:dyDescent="0.25">
      <c r="BT61"/>
    </row>
    <row r="62" spans="72:88" x14ac:dyDescent="0.25">
      <c r="BT62"/>
    </row>
    <row r="63" spans="72:88" x14ac:dyDescent="0.25">
      <c r="BT63"/>
      <c r="CJ63" s="3"/>
    </row>
    <row r="64" spans="72:88" x14ac:dyDescent="0.25">
      <c r="CJ64" s="3"/>
    </row>
    <row r="65" spans="72:88" x14ac:dyDescent="0.25">
      <c r="CJ65" s="3"/>
    </row>
    <row r="66" spans="72:88" x14ac:dyDescent="0.25">
      <c r="BT66"/>
    </row>
    <row r="67" spans="72:88" x14ac:dyDescent="0.25">
      <c r="CJ67" s="3"/>
    </row>
    <row r="71" spans="72:88" x14ac:dyDescent="0.25">
      <c r="BT71"/>
    </row>
    <row r="72" spans="72:88" x14ac:dyDescent="0.25">
      <c r="CJ72" s="3"/>
    </row>
    <row r="80" spans="72:88" x14ac:dyDescent="0.25">
      <c r="CJ80" s="3"/>
    </row>
    <row r="81" spans="72:88" x14ac:dyDescent="0.25">
      <c r="CJ81" s="3"/>
    </row>
    <row r="82" spans="72:88" x14ac:dyDescent="0.25">
      <c r="BT82"/>
    </row>
    <row r="87" spans="72:88" x14ac:dyDescent="0.25">
      <c r="BT87"/>
    </row>
    <row r="88" spans="72:88" x14ac:dyDescent="0.25">
      <c r="BT88"/>
      <c r="CJ88" s="3"/>
    </row>
    <row r="89" spans="72:88" x14ac:dyDescent="0.25">
      <c r="CJ89" s="3"/>
    </row>
    <row r="90" spans="72:88" x14ac:dyDescent="0.25">
      <c r="CJ90" s="3"/>
    </row>
    <row r="91" spans="72:88" x14ac:dyDescent="0.25">
      <c r="CJ91" s="3"/>
    </row>
    <row r="92" spans="72:88" x14ac:dyDescent="0.25">
      <c r="CJ92" s="3"/>
    </row>
    <row r="93" spans="72:88" x14ac:dyDescent="0.25">
      <c r="BT93"/>
    </row>
    <row r="94" spans="72:88" x14ac:dyDescent="0.25">
      <c r="CJ94" s="3"/>
    </row>
    <row r="95" spans="72:88" x14ac:dyDescent="0.25">
      <c r="CJ95" s="3"/>
    </row>
    <row r="96" spans="72:88" x14ac:dyDescent="0.25">
      <c r="CJ96" s="3"/>
    </row>
    <row r="97" spans="72:88" x14ac:dyDescent="0.25">
      <c r="CJ97" s="3"/>
    </row>
    <row r="98" spans="72:88" x14ac:dyDescent="0.25">
      <c r="BT98"/>
    </row>
    <row r="99" spans="72:88" x14ac:dyDescent="0.25">
      <c r="CJ99" s="3"/>
    </row>
    <row r="100" spans="72:88" x14ac:dyDescent="0.25">
      <c r="CJ100" s="3"/>
    </row>
    <row r="101" spans="72:88" x14ac:dyDescent="0.25">
      <c r="CJ101" s="3"/>
    </row>
    <row r="102" spans="72:88" x14ac:dyDescent="0.25">
      <c r="CJ102" s="3"/>
    </row>
    <row r="105" spans="72:88" x14ac:dyDescent="0.25">
      <c r="CJ105" s="3"/>
    </row>
    <row r="106" spans="72:88" x14ac:dyDescent="0.25">
      <c r="CJ106" s="3"/>
    </row>
    <row r="107" spans="72:88" x14ac:dyDescent="0.25">
      <c r="CJ107" s="3"/>
    </row>
    <row r="108" spans="72:88" x14ac:dyDescent="0.25">
      <c r="CJ108" s="3"/>
    </row>
    <row r="109" spans="72:88" x14ac:dyDescent="0.25">
      <c r="CJ109" s="3"/>
    </row>
    <row r="111" spans="72:88" x14ac:dyDescent="0.25">
      <c r="BT111"/>
    </row>
    <row r="112" spans="72:88" x14ac:dyDescent="0.25">
      <c r="CJ112" s="3"/>
    </row>
    <row r="113" spans="72:88" x14ac:dyDescent="0.25">
      <c r="CJ113" s="3"/>
    </row>
    <row r="114" spans="72:88" x14ac:dyDescent="0.25">
      <c r="CJ114" s="3"/>
    </row>
    <row r="115" spans="72:88" x14ac:dyDescent="0.25">
      <c r="CJ115" s="3"/>
    </row>
    <row r="119" spans="72:88" x14ac:dyDescent="0.25">
      <c r="CJ119" s="3"/>
    </row>
    <row r="121" spans="72:88" x14ac:dyDescent="0.25">
      <c r="BT121"/>
    </row>
    <row r="122" spans="72:88" x14ac:dyDescent="0.25">
      <c r="BT122"/>
      <c r="CJ122" s="3"/>
    </row>
    <row r="123" spans="72:88" x14ac:dyDescent="0.25">
      <c r="CJ123" s="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8" spans="72:88" x14ac:dyDescent="0.25">
      <c r="BT128"/>
    </row>
    <row r="129" spans="72:88" x14ac:dyDescent="0.25">
      <c r="CJ129" s="3"/>
    </row>
    <row r="130" spans="72:88" x14ac:dyDescent="0.25">
      <c r="CJ130" s="3"/>
    </row>
    <row r="132" spans="72:88" x14ac:dyDescent="0.25">
      <c r="CJ132" s="3"/>
    </row>
    <row r="133" spans="72:88" x14ac:dyDescent="0.25">
      <c r="CJ133" s="3"/>
    </row>
    <row r="135" spans="72:88" x14ac:dyDescent="0.25">
      <c r="BT135"/>
    </row>
    <row r="136" spans="72:88" x14ac:dyDescent="0.25">
      <c r="CJ136" s="3"/>
    </row>
    <row r="139" spans="72:88" x14ac:dyDescent="0.25">
      <c r="CJ139" s="3"/>
    </row>
    <row r="140" spans="72:88" x14ac:dyDescent="0.25">
      <c r="CJ140" s="3"/>
    </row>
    <row r="143" spans="72:88" x14ac:dyDescent="0.25">
      <c r="CJ143" s="3"/>
    </row>
    <row r="145" spans="72:88" x14ac:dyDescent="0.25">
      <c r="CJ145" s="3"/>
    </row>
    <row r="147" spans="72:88" x14ac:dyDescent="0.25">
      <c r="BT147"/>
    </row>
    <row r="148" spans="72:88" x14ac:dyDescent="0.25">
      <c r="CJ148" s="3"/>
    </row>
    <row r="149" spans="72:88" x14ac:dyDescent="0.25">
      <c r="CJ149" s="3"/>
    </row>
    <row r="151" spans="72:88" x14ac:dyDescent="0.25">
      <c r="CJ151" s="3"/>
    </row>
    <row r="152" spans="72:88" x14ac:dyDescent="0.25">
      <c r="CJ152" s="3"/>
    </row>
    <row r="153" spans="72:88" x14ac:dyDescent="0.25">
      <c r="CJ153" s="3"/>
    </row>
    <row r="158" spans="72:88" x14ac:dyDescent="0.25">
      <c r="CJ158" s="3"/>
    </row>
    <row r="159" spans="72:88" x14ac:dyDescent="0.25">
      <c r="CJ159" s="3"/>
    </row>
    <row r="162" spans="88:88" x14ac:dyDescent="0.25">
      <c r="CJ162" s="3"/>
    </row>
    <row r="163" spans="88:88" x14ac:dyDescent="0.25">
      <c r="CJ163" s="3"/>
    </row>
    <row r="167" spans="88:88" x14ac:dyDescent="0.25">
      <c r="CJ167" s="3"/>
    </row>
    <row r="171" spans="88:88" x14ac:dyDescent="0.25">
      <c r="CJ171" s="3"/>
    </row>
    <row r="173" spans="88:88" x14ac:dyDescent="0.25">
      <c r="CJ173" s="3"/>
    </row>
    <row r="174" spans="88:88" x14ac:dyDescent="0.25">
      <c r="CJ174" s="3"/>
    </row>
    <row r="176" spans="88:88" x14ac:dyDescent="0.25">
      <c r="CJ176" s="3"/>
    </row>
    <row r="177" spans="72:88" x14ac:dyDescent="0.25">
      <c r="CJ177" s="3"/>
    </row>
    <row r="179" spans="72:88" x14ac:dyDescent="0.25">
      <c r="BT179"/>
    </row>
    <row r="180" spans="72:88" x14ac:dyDescent="0.25">
      <c r="BT180"/>
      <c r="CJ180" s="3"/>
    </row>
    <row r="181" spans="72:88" x14ac:dyDescent="0.25">
      <c r="CJ181" s="3"/>
    </row>
    <row r="183" spans="72:88" x14ac:dyDescent="0.25">
      <c r="CJ183" s="3"/>
    </row>
    <row r="192" spans="72:88" x14ac:dyDescent="0.25">
      <c r="BT192"/>
    </row>
    <row r="193" spans="72:88" x14ac:dyDescent="0.25">
      <c r="BT193"/>
      <c r="CJ193" s="3"/>
    </row>
    <row r="194" spans="72:88" x14ac:dyDescent="0.25">
      <c r="CJ194" s="3"/>
    </row>
    <row r="195" spans="72:88" x14ac:dyDescent="0.25">
      <c r="CJ195" s="3"/>
    </row>
    <row r="196" spans="72:88" x14ac:dyDescent="0.25">
      <c r="BT196"/>
    </row>
    <row r="197" spans="72:88" x14ac:dyDescent="0.25">
      <c r="BT197"/>
      <c r="CJ197" s="3"/>
    </row>
    <row r="198" spans="72:88" x14ac:dyDescent="0.25">
      <c r="CJ198" s="3"/>
    </row>
    <row r="200" spans="72:88" x14ac:dyDescent="0.25">
      <c r="BT200"/>
    </row>
    <row r="201" spans="72:88" x14ac:dyDescent="0.25">
      <c r="BT201"/>
      <c r="CJ201" s="3"/>
    </row>
    <row r="202" spans="72:88" x14ac:dyDescent="0.25">
      <c r="CJ202" s="3"/>
    </row>
    <row r="204" spans="72:88" x14ac:dyDescent="0.25">
      <c r="BT204"/>
    </row>
    <row r="205" spans="72:88" x14ac:dyDescent="0.25">
      <c r="CJ205" s="3"/>
    </row>
    <row r="208" spans="72:88" x14ac:dyDescent="0.25">
      <c r="CJ208" s="3"/>
    </row>
    <row r="212" spans="72:88" x14ac:dyDescent="0.25">
      <c r="CJ212" s="3"/>
    </row>
    <row r="214" spans="72:88" x14ac:dyDescent="0.25">
      <c r="BT214"/>
    </row>
    <row r="215" spans="72:88" x14ac:dyDescent="0.25">
      <c r="CJ215" s="3"/>
    </row>
    <row r="222" spans="72:88" x14ac:dyDescent="0.25">
      <c r="BT222"/>
    </row>
    <row r="223" spans="72:88" x14ac:dyDescent="0.25">
      <c r="CJ223" s="3"/>
    </row>
    <row r="224" spans="72:88" x14ac:dyDescent="0.25">
      <c r="CJ224" s="3"/>
    </row>
    <row r="226" spans="72:88" x14ac:dyDescent="0.25">
      <c r="BT226"/>
    </row>
    <row r="227" spans="72:88" x14ac:dyDescent="0.25">
      <c r="BT227"/>
      <c r="CJ227" s="3"/>
    </row>
    <row r="228" spans="72:88" x14ac:dyDescent="0.25">
      <c r="CJ228" s="3"/>
    </row>
    <row r="234" spans="72:88" x14ac:dyDescent="0.25">
      <c r="BT234"/>
    </row>
    <row r="235" spans="72:88" x14ac:dyDescent="0.25">
      <c r="BT235"/>
      <c r="CJ235" s="3"/>
    </row>
    <row r="236" spans="72:88" x14ac:dyDescent="0.25">
      <c r="BT236"/>
      <c r="CJ236" s="3"/>
    </row>
    <row r="237" spans="72:88" x14ac:dyDescent="0.25">
      <c r="CJ237" s="3"/>
    </row>
    <row r="242" spans="72:88" x14ac:dyDescent="0.25">
      <c r="BT242"/>
    </row>
    <row r="243" spans="72:88" x14ac:dyDescent="0.25">
      <c r="BT243"/>
    </row>
    <row r="247" spans="72:88" x14ac:dyDescent="0.25">
      <c r="BT247"/>
    </row>
    <row r="248" spans="72:88" x14ac:dyDescent="0.25">
      <c r="CJ248" s="3"/>
    </row>
    <row r="249" spans="72:88" x14ac:dyDescent="0.25">
      <c r="BT249"/>
    </row>
    <row r="250" spans="72:88" x14ac:dyDescent="0.25">
      <c r="CJ250" s="3"/>
    </row>
    <row r="260" spans="72:88" x14ac:dyDescent="0.25">
      <c r="BT260"/>
    </row>
    <row r="261" spans="72:88" x14ac:dyDescent="0.25">
      <c r="CJ261" s="3"/>
    </row>
    <row r="263" spans="72:88" x14ac:dyDescent="0.25">
      <c r="BT263"/>
    </row>
    <row r="264" spans="72:88" x14ac:dyDescent="0.25">
      <c r="CJ264" s="3"/>
    </row>
    <row r="272" spans="72:88" x14ac:dyDescent="0.25">
      <c r="BT272"/>
    </row>
    <row r="273" spans="72:88" x14ac:dyDescent="0.25">
      <c r="CJ273" s="3"/>
    </row>
    <row r="277" spans="72:88" x14ac:dyDescent="0.25">
      <c r="BT277"/>
    </row>
    <row r="278" spans="72:88" x14ac:dyDescent="0.25">
      <c r="CJ278" s="3"/>
    </row>
    <row r="280" spans="72:88" x14ac:dyDescent="0.25">
      <c r="BT280"/>
    </row>
    <row r="281" spans="72:88" x14ac:dyDescent="0.25">
      <c r="CJ281" s="3"/>
    </row>
    <row r="297" spans="72:88" x14ac:dyDescent="0.25">
      <c r="BT297"/>
    </row>
    <row r="298" spans="72:88" x14ac:dyDescent="0.25">
      <c r="BT298"/>
      <c r="CJ298" s="3"/>
    </row>
    <row r="299" spans="72:88" x14ac:dyDescent="0.25">
      <c r="BT299"/>
      <c r="CJ299" s="3"/>
    </row>
    <row r="300" spans="72:88" x14ac:dyDescent="0.25">
      <c r="BT300"/>
      <c r="CJ300" s="3"/>
    </row>
    <row r="301" spans="72:88" x14ac:dyDescent="0.25">
      <c r="BT301"/>
    </row>
    <row r="303" spans="72:88" x14ac:dyDescent="0.25">
      <c r="BT303"/>
    </row>
    <row r="304" spans="72:88" x14ac:dyDescent="0.25">
      <c r="BT304"/>
      <c r="CJ304" s="3"/>
    </row>
    <row r="305" spans="72:88" x14ac:dyDescent="0.25">
      <c r="BT305"/>
      <c r="CJ305" s="3"/>
    </row>
    <row r="306" spans="72:88" x14ac:dyDescent="0.25">
      <c r="CJ306" s="3"/>
    </row>
    <row r="310" spans="72:88" x14ac:dyDescent="0.25">
      <c r="BT310"/>
    </row>
    <row r="311" spans="72:88" x14ac:dyDescent="0.25">
      <c r="CJ311" s="3"/>
    </row>
    <row r="313" spans="72:88" x14ac:dyDescent="0.25">
      <c r="BT313"/>
    </row>
    <row r="314" spans="72:88" x14ac:dyDescent="0.25">
      <c r="BT314"/>
      <c r="CJ314" s="3"/>
    </row>
    <row r="315" spans="72:88" x14ac:dyDescent="0.25">
      <c r="BT315"/>
      <c r="CJ315" s="3"/>
    </row>
    <row r="316" spans="72:88" x14ac:dyDescent="0.25">
      <c r="CJ316" s="3"/>
    </row>
    <row r="332" spans="72:88" x14ac:dyDescent="0.25">
      <c r="BT332"/>
    </row>
    <row r="333" spans="72:88" x14ac:dyDescent="0.25">
      <c r="CJ333" s="3"/>
    </row>
    <row r="341" spans="72:88" x14ac:dyDescent="0.25">
      <c r="CJ341" s="3"/>
    </row>
    <row r="342" spans="72:88" x14ac:dyDescent="0.25">
      <c r="CJ342" s="3"/>
    </row>
    <row r="343" spans="72:88" x14ac:dyDescent="0.25">
      <c r="CJ343" s="3"/>
    </row>
    <row r="344" spans="72:88" x14ac:dyDescent="0.25">
      <c r="CJ344" s="3"/>
    </row>
    <row r="345" spans="72:88" x14ac:dyDescent="0.25">
      <c r="CJ345" s="3"/>
    </row>
    <row r="347" spans="72:88" x14ac:dyDescent="0.25">
      <c r="BT347"/>
    </row>
    <row r="348" spans="72:88" x14ac:dyDescent="0.25">
      <c r="CJ348" s="3"/>
    </row>
    <row r="349" spans="72:88" x14ac:dyDescent="0.25">
      <c r="BT349"/>
    </row>
    <row r="350" spans="72:88" x14ac:dyDescent="0.25">
      <c r="BT350"/>
      <c r="CJ350" s="3"/>
    </row>
    <row r="351" spans="72:88" x14ac:dyDescent="0.25">
      <c r="CJ351" s="3"/>
    </row>
    <row r="353" spans="72:88" x14ac:dyDescent="0.25">
      <c r="BT353"/>
    </row>
    <row r="354" spans="72:88" x14ac:dyDescent="0.25">
      <c r="BT354"/>
      <c r="CJ354" s="3"/>
    </row>
    <row r="355" spans="72:88" x14ac:dyDescent="0.25">
      <c r="BT355"/>
      <c r="CJ355" s="3"/>
    </row>
    <row r="356" spans="72:88" x14ac:dyDescent="0.25">
      <c r="CJ356" s="3"/>
    </row>
    <row r="358" spans="72:88" x14ac:dyDescent="0.25">
      <c r="CJ358" s="3"/>
    </row>
    <row r="360" spans="72:88" x14ac:dyDescent="0.25">
      <c r="CJ360" s="3"/>
    </row>
    <row r="362" spans="72:88" x14ac:dyDescent="0.25">
      <c r="CJ362" s="3"/>
    </row>
    <row r="365" spans="72:88" x14ac:dyDescent="0.25">
      <c r="CJ365" s="3"/>
    </row>
    <row r="366" spans="72:88" x14ac:dyDescent="0.25">
      <c r="CJ366" s="3"/>
    </row>
    <row r="367" spans="72:88" x14ac:dyDescent="0.25">
      <c r="CJ367" s="3"/>
    </row>
    <row r="368" spans="72:88" x14ac:dyDescent="0.25">
      <c r="CJ368" s="3"/>
    </row>
    <row r="369" spans="72:88" x14ac:dyDescent="0.25">
      <c r="CJ369" s="3"/>
    </row>
    <row r="370" spans="72:88" x14ac:dyDescent="0.25">
      <c r="CJ370" s="3"/>
    </row>
    <row r="371" spans="72:88" x14ac:dyDescent="0.25">
      <c r="BT371"/>
    </row>
    <row r="372" spans="72:88" x14ac:dyDescent="0.25">
      <c r="BT372"/>
      <c r="CJ372" s="3"/>
    </row>
    <row r="373" spans="72:88" x14ac:dyDescent="0.25">
      <c r="BT373"/>
      <c r="CJ373" s="3"/>
    </row>
    <row r="374" spans="72:88" x14ac:dyDescent="0.25">
      <c r="CJ374" s="3"/>
    </row>
    <row r="375" spans="72:88" x14ac:dyDescent="0.25">
      <c r="CJ375" s="3"/>
    </row>
    <row r="376" spans="72:88" x14ac:dyDescent="0.25">
      <c r="CJ376" s="3"/>
    </row>
    <row r="377" spans="72:88" x14ac:dyDescent="0.25">
      <c r="CJ377" s="3"/>
    </row>
    <row r="379" spans="72:88" x14ac:dyDescent="0.25">
      <c r="CJ379" s="3"/>
    </row>
    <row r="380" spans="72:88" x14ac:dyDescent="0.25">
      <c r="CJ380" s="3"/>
    </row>
    <row r="381" spans="72:88" x14ac:dyDescent="0.25">
      <c r="BT381"/>
    </row>
    <row r="382" spans="72:88" x14ac:dyDescent="0.25">
      <c r="BT382"/>
      <c r="CJ382" s="3"/>
    </row>
    <row r="383" spans="72:88" x14ac:dyDescent="0.25">
      <c r="BT383"/>
      <c r="CJ383" s="3"/>
    </row>
    <row r="384" spans="72:88" x14ac:dyDescent="0.25">
      <c r="CJ384" s="3"/>
    </row>
    <row r="385" spans="72:88" x14ac:dyDescent="0.25">
      <c r="CJ385" s="3"/>
    </row>
    <row r="387" spans="72:88" x14ac:dyDescent="0.25">
      <c r="CJ387" s="3"/>
    </row>
    <row r="388" spans="72:88" x14ac:dyDescent="0.25">
      <c r="CJ388" s="3"/>
    </row>
    <row r="389" spans="72:88" x14ac:dyDescent="0.25">
      <c r="BT389"/>
      <c r="CJ389" s="3"/>
    </row>
    <row r="390" spans="72:88" x14ac:dyDescent="0.25">
      <c r="BT390"/>
      <c r="CJ390" s="3"/>
    </row>
    <row r="391" spans="72:88" x14ac:dyDescent="0.25">
      <c r="CJ391" s="3"/>
    </row>
    <row r="392" spans="72:88" x14ac:dyDescent="0.25">
      <c r="CJ392" s="3"/>
    </row>
    <row r="393" spans="72:88" x14ac:dyDescent="0.25">
      <c r="CJ393" s="3"/>
    </row>
    <row r="395" spans="72:88" x14ac:dyDescent="0.25">
      <c r="BT395"/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BT399"/>
      <c r="CJ399" s="3"/>
    </row>
    <row r="400" spans="72:88" x14ac:dyDescent="0.25">
      <c r="BT400"/>
      <c r="CJ400" s="3"/>
    </row>
    <row r="401" spans="72:88" x14ac:dyDescent="0.25">
      <c r="CJ401" s="3"/>
    </row>
    <row r="403" spans="72:88" x14ac:dyDescent="0.25">
      <c r="CJ403" s="3"/>
    </row>
    <row r="405" spans="72:88" x14ac:dyDescent="0.25">
      <c r="CJ405" s="3"/>
    </row>
    <row r="408" spans="72:88" x14ac:dyDescent="0.25">
      <c r="CJ408" s="3"/>
    </row>
    <row r="409" spans="72:88" x14ac:dyDescent="0.25">
      <c r="CJ409" s="3"/>
    </row>
    <row r="413" spans="72:88" x14ac:dyDescent="0.25">
      <c r="BT413"/>
    </row>
    <row r="414" spans="72:88" x14ac:dyDescent="0.25">
      <c r="BT414"/>
      <c r="CJ414" s="3"/>
    </row>
    <row r="415" spans="72:88" x14ac:dyDescent="0.25">
      <c r="BT415"/>
      <c r="CJ415" s="3"/>
    </row>
    <row r="416" spans="72:88" x14ac:dyDescent="0.25">
      <c r="CJ416" s="3"/>
    </row>
    <row r="417" spans="72:88" x14ac:dyDescent="0.25">
      <c r="CJ417" s="3"/>
    </row>
    <row r="418" spans="72:88" x14ac:dyDescent="0.25">
      <c r="BT418"/>
    </row>
    <row r="419" spans="72:88" x14ac:dyDescent="0.25">
      <c r="CJ419" s="3"/>
    </row>
    <row r="421" spans="72:88" x14ac:dyDescent="0.25">
      <c r="CJ421" s="3"/>
    </row>
    <row r="422" spans="72:88" x14ac:dyDescent="0.25">
      <c r="CJ422" s="3"/>
    </row>
    <row r="424" spans="72:88" x14ac:dyDescent="0.25">
      <c r="CJ424" s="3"/>
    </row>
    <row r="425" spans="72:88" x14ac:dyDescent="0.25">
      <c r="CJ425" s="3"/>
    </row>
    <row r="426" spans="72:88" x14ac:dyDescent="0.25">
      <c r="CJ426" s="3"/>
    </row>
    <row r="427" spans="72:88" x14ac:dyDescent="0.25"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CJ430" s="3"/>
    </row>
    <row r="432" spans="72:88" x14ac:dyDescent="0.25">
      <c r="BT432"/>
    </row>
    <row r="433" spans="88:88" x14ac:dyDescent="0.25">
      <c r="CJ433" s="3"/>
    </row>
    <row r="434" spans="88:88" x14ac:dyDescent="0.25">
      <c r="CJ434" s="3"/>
    </row>
    <row r="467" spans="8:88" x14ac:dyDescent="0.25">
      <c r="BS467" s="8"/>
      <c r="BT467" s="9"/>
    </row>
    <row r="468" spans="8:88" x14ac:dyDescent="0.25">
      <c r="H468" s="8"/>
      <c r="CJ468" s="8"/>
    </row>
    <row r="474" spans="8:88" x14ac:dyDescent="0.25">
      <c r="BT474"/>
    </row>
    <row r="475" spans="8:88" x14ac:dyDescent="0.25">
      <c r="BT475"/>
      <c r="CJ475" s="3"/>
    </row>
    <row r="476" spans="8:88" x14ac:dyDescent="0.25">
      <c r="BT476"/>
      <c r="CJ476" s="3"/>
    </row>
    <row r="477" spans="8:88" x14ac:dyDescent="0.25">
      <c r="CJ477" s="3"/>
    </row>
    <row r="494" spans="72:88" x14ac:dyDescent="0.25">
      <c r="BT494"/>
    </row>
    <row r="495" spans="72:88" x14ac:dyDescent="0.25">
      <c r="CJ495" s="3"/>
    </row>
    <row r="527" spans="72:88" x14ac:dyDescent="0.25">
      <c r="BT527"/>
    </row>
    <row r="528" spans="72:88" x14ac:dyDescent="0.25">
      <c r="BT528"/>
      <c r="CJ528" s="3"/>
    </row>
    <row r="529" spans="88:88" x14ac:dyDescent="0.25">
      <c r="CJ529" s="3"/>
    </row>
    <row r="545" spans="72:88" x14ac:dyDescent="0.25">
      <c r="BT545"/>
    </row>
    <row r="546" spans="72:88" x14ac:dyDescent="0.25">
      <c r="CJ546" s="3"/>
    </row>
    <row r="552" spans="72:88" x14ac:dyDescent="0.25">
      <c r="BT552"/>
    </row>
    <row r="553" spans="72:88" x14ac:dyDescent="0.25">
      <c r="BT553"/>
      <c r="CJ553" s="3"/>
    </row>
    <row r="554" spans="72:88" x14ac:dyDescent="0.25">
      <c r="CJ554" s="3"/>
    </row>
    <row r="559" spans="72:88" x14ac:dyDescent="0.25">
      <c r="BT559"/>
    </row>
    <row r="560" spans="72:88" x14ac:dyDescent="0.25">
      <c r="BT560"/>
      <c r="CJ560" s="3"/>
    </row>
    <row r="561" spans="72:88" x14ac:dyDescent="0.25">
      <c r="BT561"/>
      <c r="CJ561" s="3"/>
    </row>
    <row r="562" spans="72:88" x14ac:dyDescent="0.25">
      <c r="BT562"/>
      <c r="CJ562" s="3"/>
    </row>
    <row r="563" spans="72:88" x14ac:dyDescent="0.25">
      <c r="BT563"/>
      <c r="CJ563" s="3"/>
    </row>
    <row r="564" spans="72:88" x14ac:dyDescent="0.25">
      <c r="BT564"/>
      <c r="CJ564" s="3"/>
    </row>
    <row r="565" spans="72:88" x14ac:dyDescent="0.25">
      <c r="BT565"/>
      <c r="CJ565" s="3"/>
    </row>
    <row r="566" spans="72:88" x14ac:dyDescent="0.25">
      <c r="BT566"/>
      <c r="CJ566" s="3"/>
    </row>
    <row r="567" spans="72:88" x14ac:dyDescent="0.25">
      <c r="BT567"/>
      <c r="CJ567" s="3"/>
    </row>
    <row r="568" spans="72:88" x14ac:dyDescent="0.25">
      <c r="BT568"/>
      <c r="CJ568" s="3"/>
    </row>
    <row r="569" spans="72:88" x14ac:dyDescent="0.25">
      <c r="BT569"/>
      <c r="CJ569" s="3"/>
    </row>
    <row r="570" spans="72:88" x14ac:dyDescent="0.25">
      <c r="BT570"/>
      <c r="CJ570" s="3"/>
    </row>
    <row r="571" spans="72:88" x14ac:dyDescent="0.25">
      <c r="BT571"/>
      <c r="CJ571" s="3"/>
    </row>
    <row r="572" spans="72:88" x14ac:dyDescent="0.25">
      <c r="BT572"/>
      <c r="CJ572" s="3"/>
    </row>
    <row r="573" spans="72:88" x14ac:dyDescent="0.25">
      <c r="BT573"/>
      <c r="CJ573" s="3"/>
    </row>
    <row r="574" spans="72:88" x14ac:dyDescent="0.25">
      <c r="BT574"/>
      <c r="CJ574" s="3"/>
    </row>
    <row r="575" spans="72:88" x14ac:dyDescent="0.25">
      <c r="CJ575" s="3"/>
    </row>
    <row r="579" spans="72:88" x14ac:dyDescent="0.25">
      <c r="BT579"/>
    </row>
    <row r="580" spans="72:88" x14ac:dyDescent="0.25">
      <c r="BT580"/>
      <c r="CJ580" s="3"/>
    </row>
    <row r="581" spans="72:88" x14ac:dyDescent="0.25">
      <c r="CJ581" s="3"/>
    </row>
    <row r="582" spans="72:88" x14ac:dyDescent="0.25">
      <c r="BT582"/>
    </row>
    <row r="583" spans="72:88" x14ac:dyDescent="0.25">
      <c r="CJ583" s="3"/>
    </row>
    <row r="586" spans="72:88" x14ac:dyDescent="0.25">
      <c r="BT586"/>
    </row>
    <row r="587" spans="72:88" x14ac:dyDescent="0.25">
      <c r="BT587"/>
      <c r="CJ587" s="3"/>
    </row>
    <row r="588" spans="72:88" x14ac:dyDescent="0.25">
      <c r="CJ588" s="3"/>
    </row>
    <row r="619" spans="72:88" x14ac:dyDescent="0.25">
      <c r="BT619"/>
    </row>
    <row r="620" spans="72:88" x14ac:dyDescent="0.25">
      <c r="BT620"/>
      <c r="CJ620" s="3"/>
    </row>
    <row r="621" spans="72:88" x14ac:dyDescent="0.25">
      <c r="BT621"/>
      <c r="CJ621" s="3"/>
    </row>
    <row r="622" spans="72:88" x14ac:dyDescent="0.25">
      <c r="BT622"/>
      <c r="CJ622" s="3"/>
    </row>
    <row r="623" spans="72:88" x14ac:dyDescent="0.25">
      <c r="BT623"/>
      <c r="CJ623" s="3"/>
    </row>
    <row r="624" spans="72:88" x14ac:dyDescent="0.25">
      <c r="BT624"/>
      <c r="CJ624" s="3"/>
    </row>
    <row r="625" spans="72:88" x14ac:dyDescent="0.25">
      <c r="BT625"/>
      <c r="CJ625" s="3"/>
    </row>
    <row r="626" spans="72:88" x14ac:dyDescent="0.25">
      <c r="BT626"/>
      <c r="CJ626" s="3"/>
    </row>
    <row r="627" spans="72:88" x14ac:dyDescent="0.25">
      <c r="CJ627" s="3"/>
    </row>
    <row r="629" spans="72:88" x14ac:dyDescent="0.25">
      <c r="BT629"/>
    </row>
    <row r="630" spans="72:88" x14ac:dyDescent="0.25">
      <c r="CJ630" s="3"/>
    </row>
    <row r="634" spans="72:88" x14ac:dyDescent="0.25">
      <c r="BT634"/>
    </row>
    <row r="635" spans="72:88" x14ac:dyDescent="0.25">
      <c r="CJ635" s="3"/>
    </row>
    <row r="638" spans="72:88" x14ac:dyDescent="0.25">
      <c r="BT638"/>
    </row>
    <row r="639" spans="72:88" x14ac:dyDescent="0.25">
      <c r="BT639"/>
      <c r="CJ639" s="3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CJ642" s="3"/>
    </row>
    <row r="649" spans="72:88" x14ac:dyDescent="0.25">
      <c r="BT649"/>
    </row>
    <row r="650" spans="72:88" x14ac:dyDescent="0.25">
      <c r="CJ650" s="3"/>
    </row>
    <row r="653" spans="72:88" x14ac:dyDescent="0.25">
      <c r="BT653"/>
    </row>
    <row r="654" spans="72:88" x14ac:dyDescent="0.25">
      <c r="BT654"/>
      <c r="CJ654" s="3"/>
    </row>
    <row r="655" spans="72:88" x14ac:dyDescent="0.25">
      <c r="BT655"/>
      <c r="CJ655" s="3"/>
    </row>
    <row r="656" spans="72:88" x14ac:dyDescent="0.25">
      <c r="BT656"/>
      <c r="CJ656" s="3"/>
    </row>
    <row r="657" spans="72:88" x14ac:dyDescent="0.25">
      <c r="CJ657" s="3"/>
    </row>
    <row r="659" spans="72:88" x14ac:dyDescent="0.25">
      <c r="BT659"/>
    </row>
    <row r="660" spans="72:88" x14ac:dyDescent="0.25">
      <c r="BT660"/>
      <c r="CJ660" s="3"/>
    </row>
    <row r="661" spans="72:88" x14ac:dyDescent="0.25">
      <c r="CJ661" s="3"/>
    </row>
    <row r="662" spans="72:88" x14ac:dyDescent="0.25">
      <c r="CJ662">
        <v>0.15</v>
      </c>
    </row>
    <row r="664" spans="72:88" x14ac:dyDescent="0.25">
      <c r="CJ664">
        <v>0.2</v>
      </c>
    </row>
    <row r="665" spans="72:88" x14ac:dyDescent="0.25">
      <c r="CJ665">
        <v>0.1</v>
      </c>
    </row>
    <row r="667" spans="72:88" x14ac:dyDescent="0.25">
      <c r="CJ667">
        <v>0.2</v>
      </c>
    </row>
    <row r="674" spans="72:88" x14ac:dyDescent="0.25">
      <c r="CJ674">
        <v>1</v>
      </c>
    </row>
    <row r="676" spans="72:88" x14ac:dyDescent="0.25">
      <c r="CJ676">
        <v>0.4</v>
      </c>
    </row>
    <row r="677" spans="72:88" x14ac:dyDescent="0.25">
      <c r="CJ677">
        <v>0.6</v>
      </c>
    </row>
    <row r="680" spans="72:88" x14ac:dyDescent="0.25">
      <c r="CJ680">
        <v>0.5</v>
      </c>
    </row>
    <row r="681" spans="72:88" x14ac:dyDescent="0.25">
      <c r="CJ681">
        <v>0.66700000000000004</v>
      </c>
    </row>
    <row r="682" spans="72:88" x14ac:dyDescent="0.25">
      <c r="CJ682">
        <v>0.2</v>
      </c>
    </row>
    <row r="685" spans="72:88" x14ac:dyDescent="0.25">
      <c r="BT685"/>
    </row>
    <row r="686" spans="72:88" x14ac:dyDescent="0.25">
      <c r="BT686"/>
      <c r="CJ686" s="3"/>
    </row>
    <row r="687" spans="72:88" x14ac:dyDescent="0.25">
      <c r="BT687"/>
      <c r="CJ687" s="3"/>
    </row>
    <row r="688" spans="72:88" x14ac:dyDescent="0.25">
      <c r="BT688"/>
      <c r="CJ688" s="3"/>
    </row>
    <row r="689" spans="72:88" x14ac:dyDescent="0.25">
      <c r="BT689"/>
      <c r="CJ689" s="3"/>
    </row>
    <row r="690" spans="72:88" x14ac:dyDescent="0.25">
      <c r="BT690"/>
      <c r="CJ690" s="3"/>
    </row>
    <row r="691" spans="72:88" x14ac:dyDescent="0.25">
      <c r="BT691"/>
      <c r="CJ691" s="3"/>
    </row>
    <row r="692" spans="72:88" x14ac:dyDescent="0.25">
      <c r="BT692"/>
      <c r="CJ692" s="3"/>
    </row>
    <row r="693" spans="72:88" x14ac:dyDescent="0.25">
      <c r="BT693"/>
      <c r="CJ693" s="3"/>
    </row>
    <row r="694" spans="72:88" x14ac:dyDescent="0.25">
      <c r="CJ694" s="3"/>
    </row>
    <row r="695" spans="72:88" x14ac:dyDescent="0.25">
      <c r="BT695"/>
    </row>
    <row r="696" spans="72:88" x14ac:dyDescent="0.25">
      <c r="CJ696" s="3"/>
    </row>
    <row r="705" spans="72:88" x14ac:dyDescent="0.25">
      <c r="BT705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BT712"/>
      <c r="CJ712" s="3"/>
    </row>
    <row r="713" spans="72:88" x14ac:dyDescent="0.25">
      <c r="CJ713" s="3"/>
    </row>
    <row r="714" spans="72:88" x14ac:dyDescent="0.25">
      <c r="BT714"/>
    </row>
    <row r="715" spans="72:88" x14ac:dyDescent="0.25">
      <c r="CJ715" s="3"/>
    </row>
    <row r="720" spans="72:88" x14ac:dyDescent="0.25">
      <c r="BT720"/>
    </row>
    <row r="721" spans="72:88" x14ac:dyDescent="0.25">
      <c r="BT721"/>
      <c r="CJ721" s="3"/>
    </row>
    <row r="722" spans="72:88" x14ac:dyDescent="0.25">
      <c r="CJ722" s="3"/>
    </row>
    <row r="723" spans="72:88" x14ac:dyDescent="0.25">
      <c r="BT723"/>
    </row>
    <row r="724" spans="72:88" x14ac:dyDescent="0.25">
      <c r="BT724"/>
      <c r="CJ724" s="3"/>
    </row>
    <row r="725" spans="72:88" x14ac:dyDescent="0.25">
      <c r="CJ725" s="3"/>
    </row>
    <row r="726" spans="72:88" x14ac:dyDescent="0.25">
      <c r="BT726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BT729"/>
      <c r="CJ729" s="3"/>
    </row>
    <row r="730" spans="72:88" x14ac:dyDescent="0.25">
      <c r="CJ730" s="3"/>
    </row>
    <row r="734" spans="72:88" x14ac:dyDescent="0.25">
      <c r="BT734"/>
    </row>
    <row r="735" spans="72:88" x14ac:dyDescent="0.25">
      <c r="BT735"/>
      <c r="CJ735" s="3"/>
    </row>
    <row r="736" spans="72:88" x14ac:dyDescent="0.25">
      <c r="BT736"/>
      <c r="CJ736" s="3"/>
    </row>
    <row r="737" spans="8:88" x14ac:dyDescent="0.25">
      <c r="CJ737" s="3"/>
    </row>
    <row r="738" spans="8:88" x14ac:dyDescent="0.25">
      <c r="BT738"/>
    </row>
    <row r="739" spans="8:88" x14ac:dyDescent="0.25">
      <c r="CJ739" s="3"/>
    </row>
    <row r="740" spans="8:88" x14ac:dyDescent="0.25">
      <c r="BS740" s="8"/>
      <c r="BT740" s="9"/>
    </row>
    <row r="741" spans="8:88" x14ac:dyDescent="0.25">
      <c r="H741" s="8"/>
      <c r="CJ741" s="8"/>
    </row>
    <row r="758" spans="8:88" x14ac:dyDescent="0.25">
      <c r="BT758"/>
    </row>
    <row r="759" spans="8:88" x14ac:dyDescent="0.25">
      <c r="BT759"/>
      <c r="CJ759" s="3"/>
    </row>
    <row r="760" spans="8:88" x14ac:dyDescent="0.25">
      <c r="BT760"/>
      <c r="CJ760" s="3"/>
    </row>
    <row r="761" spans="8:88" x14ac:dyDescent="0.25">
      <c r="BT761"/>
      <c r="CJ761" s="3"/>
    </row>
    <row r="762" spans="8:88" x14ac:dyDescent="0.25">
      <c r="CJ762" s="3"/>
    </row>
    <row r="763" spans="8:88" x14ac:dyDescent="0.25">
      <c r="BT763"/>
    </row>
    <row r="764" spans="8:88" x14ac:dyDescent="0.25">
      <c r="BT764"/>
      <c r="CJ764" s="3"/>
    </row>
    <row r="765" spans="8:88" x14ac:dyDescent="0.25">
      <c r="BS765" s="8"/>
      <c r="BT765" s="9"/>
      <c r="CJ765" s="3"/>
    </row>
    <row r="766" spans="8:88" x14ac:dyDescent="0.25">
      <c r="H766" s="8"/>
      <c r="CJ766" s="8"/>
    </row>
    <row r="769" spans="72:88" x14ac:dyDescent="0.25">
      <c r="BT769"/>
    </row>
    <row r="770" spans="72:88" x14ac:dyDescent="0.25">
      <c r="BT770"/>
      <c r="CJ770" s="3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BT773"/>
      <c r="CJ773" s="3"/>
    </row>
    <row r="774" spans="72:88" x14ac:dyDescent="0.25">
      <c r="BT774"/>
      <c r="CJ774" s="3"/>
    </row>
    <row r="775" spans="72:88" x14ac:dyDescent="0.25">
      <c r="BT775"/>
      <c r="CJ775" s="3"/>
    </row>
    <row r="776" spans="72:88" x14ac:dyDescent="0.25">
      <c r="BT776"/>
      <c r="CJ776" s="3"/>
    </row>
    <row r="777" spans="72:88" x14ac:dyDescent="0.25">
      <c r="CJ777" s="3"/>
    </row>
    <row r="779" spans="72:88" x14ac:dyDescent="0.25">
      <c r="BT779"/>
    </row>
    <row r="780" spans="72:88" x14ac:dyDescent="0.25">
      <c r="BT780"/>
      <c r="CJ780" s="3"/>
    </row>
    <row r="781" spans="72:88" x14ac:dyDescent="0.25">
      <c r="BT781"/>
      <c r="CJ781" s="3"/>
    </row>
    <row r="782" spans="72:88" x14ac:dyDescent="0.25">
      <c r="BT782"/>
      <c r="CJ782" s="3"/>
    </row>
    <row r="783" spans="72:88" x14ac:dyDescent="0.25">
      <c r="BT783"/>
      <c r="CJ783" s="3"/>
    </row>
    <row r="784" spans="72:88" x14ac:dyDescent="0.25">
      <c r="BT784"/>
      <c r="CJ784" s="3"/>
    </row>
    <row r="785" spans="72:88" x14ac:dyDescent="0.25">
      <c r="CJ785" s="3"/>
    </row>
    <row r="786" spans="72:88" x14ac:dyDescent="0.25">
      <c r="BT786"/>
    </row>
    <row r="787" spans="72:88" x14ac:dyDescent="0.25">
      <c r="BT787"/>
      <c r="CJ787" s="3"/>
    </row>
    <row r="788" spans="72:88" x14ac:dyDescent="0.25">
      <c r="BT788"/>
      <c r="CJ788" s="3"/>
    </row>
    <row r="789" spans="72:88" x14ac:dyDescent="0.25">
      <c r="BT789"/>
      <c r="CJ789" s="3"/>
    </row>
    <row r="790" spans="72:88" x14ac:dyDescent="0.25">
      <c r="BT790"/>
      <c r="CJ790" s="3"/>
    </row>
    <row r="791" spans="72:88" x14ac:dyDescent="0.25">
      <c r="BT791"/>
      <c r="CJ791" s="3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BT798"/>
      <c r="CJ798" s="3"/>
    </row>
    <row r="799" spans="72:88" x14ac:dyDescent="0.25">
      <c r="BT799"/>
      <c r="CJ799" s="3"/>
    </row>
    <row r="800" spans="72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BT805"/>
      <c r="CJ805" s="3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CJ816" s="3"/>
    </row>
    <row r="817" spans="72:88" x14ac:dyDescent="0.25">
      <c r="BT817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CJ820" s="3"/>
    </row>
  </sheetData>
  <phoneticPr fontId="7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21" sqref="A21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351</v>
      </c>
      <c r="F1" t="s">
        <v>352</v>
      </c>
      <c r="G1" t="s">
        <v>353</v>
      </c>
      <c r="H1" t="s">
        <v>354</v>
      </c>
      <c r="I1" t="s">
        <v>355</v>
      </c>
      <c r="J1" t="s">
        <v>356</v>
      </c>
      <c r="L1" t="s">
        <v>357</v>
      </c>
      <c r="M1" t="s">
        <v>358</v>
      </c>
      <c r="N1" t="s">
        <v>359</v>
      </c>
      <c r="O1" t="s">
        <v>360</v>
      </c>
    </row>
    <row r="2" spans="1:16" x14ac:dyDescent="0.25">
      <c r="A2" t="s">
        <v>0</v>
      </c>
      <c r="C2" t="s">
        <v>46</v>
      </c>
      <c r="D2" t="s">
        <v>75</v>
      </c>
      <c r="E2" t="s">
        <v>361</v>
      </c>
      <c r="F2" t="s">
        <v>362</v>
      </c>
      <c r="G2" t="s">
        <v>363</v>
      </c>
      <c r="H2" t="s">
        <v>364</v>
      </c>
      <c r="I2" t="s">
        <v>365</v>
      </c>
      <c r="J2" t="s">
        <v>366</v>
      </c>
      <c r="K2" t="s">
        <v>367</v>
      </c>
      <c r="L2" t="s">
        <v>51</v>
      </c>
      <c r="M2" t="s">
        <v>368</v>
      </c>
      <c r="N2" t="s">
        <v>369</v>
      </c>
      <c r="O2" t="s">
        <v>370</v>
      </c>
      <c r="P2" t="s">
        <v>314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343</v>
      </c>
      <c r="K3" t="s">
        <v>113</v>
      </c>
      <c r="L3" t="s">
        <v>308</v>
      </c>
      <c r="M3" t="s">
        <v>112</v>
      </c>
      <c r="N3" t="s">
        <v>112</v>
      </c>
      <c r="O3" t="s">
        <v>308</v>
      </c>
      <c r="P3" t="s">
        <v>121</v>
      </c>
    </row>
    <row r="4" spans="1:16" x14ac:dyDescent="0.25">
      <c r="A4" t="s">
        <v>439</v>
      </c>
      <c r="C4" t="s">
        <v>467</v>
      </c>
      <c r="H4">
        <v>1</v>
      </c>
      <c r="J4" t="s">
        <v>468</v>
      </c>
      <c r="P4" t="s">
        <v>469</v>
      </c>
    </row>
    <row r="5" spans="1:16" x14ac:dyDescent="0.25">
      <c r="A5" t="s">
        <v>446</v>
      </c>
      <c r="C5" t="s">
        <v>470</v>
      </c>
      <c r="H5">
        <v>1</v>
      </c>
      <c r="J5" t="s">
        <v>471</v>
      </c>
      <c r="P5" t="s">
        <v>472</v>
      </c>
    </row>
    <row r="6" spans="1:16" s="12" customFormat="1" x14ac:dyDescent="0.25">
      <c r="A6" s="12" t="s">
        <v>448</v>
      </c>
      <c r="C6" s="12" t="s">
        <v>467</v>
      </c>
      <c r="H6" s="12">
        <v>1</v>
      </c>
      <c r="P6" s="12" t="s">
        <v>473</v>
      </c>
    </row>
    <row r="7" spans="1:16" x14ac:dyDescent="0.25">
      <c r="A7" t="s">
        <v>474</v>
      </c>
      <c r="C7" t="s">
        <v>475</v>
      </c>
      <c r="H7">
        <v>1</v>
      </c>
      <c r="N7">
        <v>1</v>
      </c>
      <c r="P7" t="s">
        <v>476</v>
      </c>
    </row>
    <row r="8" spans="1:16" x14ac:dyDescent="0.25">
      <c r="A8" t="s">
        <v>477</v>
      </c>
      <c r="C8" t="s">
        <v>475</v>
      </c>
      <c r="H8">
        <v>1</v>
      </c>
      <c r="N8">
        <v>1</v>
      </c>
      <c r="P8" t="s">
        <v>478</v>
      </c>
    </row>
    <row r="9" spans="1:16" s="12" customFormat="1" x14ac:dyDescent="0.25">
      <c r="A9" s="12" t="s">
        <v>484</v>
      </c>
      <c r="C9" s="12" t="s">
        <v>531</v>
      </c>
      <c r="H9" s="12">
        <v>1</v>
      </c>
      <c r="K9"/>
    </row>
    <row r="10" spans="1:16" x14ac:dyDescent="0.25">
      <c r="A10" t="s">
        <v>502</v>
      </c>
      <c r="C10" t="s">
        <v>467</v>
      </c>
      <c r="H10">
        <v>1</v>
      </c>
      <c r="P10" t="s">
        <v>469</v>
      </c>
    </row>
    <row r="11" spans="1:16" s="12" customFormat="1" x14ac:dyDescent="0.25">
      <c r="A11" s="12" t="s">
        <v>500</v>
      </c>
      <c r="C11" s="12" t="s">
        <v>531</v>
      </c>
      <c r="H11" s="12">
        <v>1</v>
      </c>
      <c r="K11"/>
    </row>
    <row r="12" spans="1:16" s="12" customFormat="1" x14ac:dyDescent="0.25">
      <c r="A12" s="12" t="s">
        <v>499</v>
      </c>
      <c r="C12" s="12" t="s">
        <v>531</v>
      </c>
      <c r="H12" s="12">
        <v>1</v>
      </c>
      <c r="K12"/>
    </row>
    <row r="13" spans="1:16" x14ac:dyDescent="0.25">
      <c r="A13" t="s">
        <v>532</v>
      </c>
      <c r="C13" t="s">
        <v>200</v>
      </c>
      <c r="P13" t="s">
        <v>533</v>
      </c>
    </row>
    <row r="14" spans="1:16" s="12" customFormat="1" x14ac:dyDescent="0.25">
      <c r="A14" s="12" t="s">
        <v>516</v>
      </c>
      <c r="C14" s="12" t="s">
        <v>467</v>
      </c>
      <c r="H14" s="12">
        <v>1</v>
      </c>
      <c r="J14"/>
      <c r="P14" s="12" t="s">
        <v>534</v>
      </c>
    </row>
    <row r="15" spans="1:16" x14ac:dyDescent="0.25">
      <c r="A15" t="s">
        <v>535</v>
      </c>
      <c r="C15" t="s">
        <v>467</v>
      </c>
      <c r="P15" t="s">
        <v>536</v>
      </c>
    </row>
    <row r="16" spans="1:16" x14ac:dyDescent="0.25">
      <c r="A16" t="s">
        <v>537</v>
      </c>
      <c r="C16" t="s">
        <v>470</v>
      </c>
      <c r="H16">
        <v>1</v>
      </c>
      <c r="J16" t="s">
        <v>471</v>
      </c>
      <c r="P16" t="s">
        <v>472</v>
      </c>
    </row>
    <row r="17" spans="1:16" x14ac:dyDescent="0.25">
      <c r="A17" t="s">
        <v>538</v>
      </c>
      <c r="C17" s="12" t="s">
        <v>531</v>
      </c>
      <c r="J17" t="s">
        <v>539</v>
      </c>
    </row>
    <row r="18" spans="1:16" s="12" customFormat="1" x14ac:dyDescent="0.25">
      <c r="A18" s="12" t="s">
        <v>517</v>
      </c>
      <c r="C18" s="12" t="s">
        <v>531</v>
      </c>
      <c r="H18" s="12">
        <v>1</v>
      </c>
      <c r="J18" t="s">
        <v>540</v>
      </c>
    </row>
    <row r="19" spans="1:16" x14ac:dyDescent="0.25">
      <c r="A19" t="s">
        <v>541</v>
      </c>
      <c r="C19" t="s">
        <v>200</v>
      </c>
      <c r="P19" t="s">
        <v>542</v>
      </c>
    </row>
    <row r="20" spans="1:16" x14ac:dyDescent="0.25">
      <c r="A20" s="7" t="s">
        <v>569</v>
      </c>
      <c r="C20" s="7" t="s">
        <v>543</v>
      </c>
      <c r="P20" s="7" t="s">
        <v>544</v>
      </c>
    </row>
  </sheetData>
  <phoneticPr fontId="7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371</v>
      </c>
    </row>
    <row r="2" spans="1:4" x14ac:dyDescent="0.25">
      <c r="A2" t="s">
        <v>0</v>
      </c>
      <c r="B2" t="s">
        <v>46</v>
      </c>
      <c r="C2" t="s">
        <v>372</v>
      </c>
      <c r="D2" t="s">
        <v>314</v>
      </c>
    </row>
    <row r="3" spans="1:4" x14ac:dyDescent="0.25">
      <c r="A3" t="s">
        <v>2</v>
      </c>
      <c r="B3" t="s">
        <v>2</v>
      </c>
      <c r="C3" t="s">
        <v>308</v>
      </c>
      <c r="D3" t="s">
        <v>121</v>
      </c>
    </row>
  </sheetData>
  <phoneticPr fontId="7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B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373</v>
      </c>
      <c r="E2" t="s">
        <v>70</v>
      </c>
      <c r="F2" t="s">
        <v>374</v>
      </c>
      <c r="G2" t="s">
        <v>375</v>
      </c>
      <c r="H2" t="s">
        <v>376</v>
      </c>
      <c r="I2" t="s">
        <v>314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7" t="s">
        <v>418</v>
      </c>
    </row>
    <row r="4" spans="1:9" x14ac:dyDescent="0.25">
      <c r="A4" s="7"/>
      <c r="B4" s="7"/>
      <c r="I4" s="7"/>
    </row>
    <row r="5" spans="1:9" x14ac:dyDescent="0.25">
      <c r="A5" t="s">
        <v>438</v>
      </c>
      <c r="B5" t="s">
        <v>465</v>
      </c>
      <c r="C5" t="s">
        <v>408</v>
      </c>
      <c r="E5">
        <v>10</v>
      </c>
      <c r="H5">
        <v>1</v>
      </c>
      <c r="I5" s="7" t="s">
        <v>479</v>
      </c>
    </row>
  </sheetData>
  <phoneticPr fontId="7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377</v>
      </c>
      <c r="C1" t="s">
        <v>378</v>
      </c>
      <c r="D1" t="s">
        <v>379</v>
      </c>
      <c r="E1" t="s">
        <v>380</v>
      </c>
      <c r="F1" t="s">
        <v>381</v>
      </c>
      <c r="H1" t="s">
        <v>382</v>
      </c>
      <c r="I1" t="s">
        <v>383</v>
      </c>
      <c r="J1" t="s">
        <v>384</v>
      </c>
      <c r="K1" t="s">
        <v>385</v>
      </c>
      <c r="L1" t="s">
        <v>386</v>
      </c>
    </row>
    <row r="2" spans="1:12" x14ac:dyDescent="0.25">
      <c r="A2" t="s">
        <v>0</v>
      </c>
      <c r="B2" t="s">
        <v>387</v>
      </c>
      <c r="C2" t="s">
        <v>388</v>
      </c>
      <c r="D2" t="s">
        <v>389</v>
      </c>
      <c r="E2" t="s">
        <v>390</v>
      </c>
      <c r="F2" t="s">
        <v>391</v>
      </c>
      <c r="G2" t="s">
        <v>392</v>
      </c>
      <c r="H2" t="s">
        <v>393</v>
      </c>
      <c r="I2" t="s">
        <v>394</v>
      </c>
      <c r="J2" t="s">
        <v>395</v>
      </c>
      <c r="K2" t="s">
        <v>374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396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7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tabSelected="1" workbookViewId="0">
      <pane xSplit="1" ySplit="2" topLeftCell="B3" activePane="bottomRight" state="frozen"/>
      <selection pane="topRight"/>
      <selection pane="bottomLeft"/>
      <selection pane="bottomRight" activeCell="H18" sqref="H18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229</v>
      </c>
      <c r="C2" t="s">
        <v>75</v>
      </c>
      <c r="D2" t="s">
        <v>397</v>
      </c>
      <c r="E2" t="s">
        <v>398</v>
      </c>
      <c r="F2" t="s">
        <v>77</v>
      </c>
      <c r="G2" t="s">
        <v>399</v>
      </c>
      <c r="H2" t="s">
        <v>256</v>
      </c>
      <c r="I2" t="s">
        <v>400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401</v>
      </c>
      <c r="I3" t="s">
        <v>114</v>
      </c>
      <c r="J3" t="s">
        <v>114</v>
      </c>
    </row>
  </sheetData>
  <phoneticPr fontId="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2025-09-14T06:40:32Z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