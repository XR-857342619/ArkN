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426"/>
  <workbookPr/>
  <mc:AlternateContent xmlns:mc="http://schemas.openxmlformats.org/markup-compatibility/2006">
    <mc:Choice Requires="x15">
      <x15ac:absPath xmlns:x15ac="http://schemas.microsoft.com/office/spreadsheetml/2010/11/ac" url="D:\UnityWork\zhou-master\Excel\一方通行\"/>
    </mc:Choice>
  </mc:AlternateContent>
  <xr:revisionPtr revIDLastSave="0" documentId="13_ncr:1_{5B50A4B4-BDEC-40CD-B510-A49BCF6E7810}" xr6:coauthVersionLast="47" xr6:coauthVersionMax="47" xr10:uidLastSave="{00000000-0000-0000-0000-000000000000}"/>
  <bookViews>
    <workbookView xWindow="-103" yWindow="-103" windowWidth="24144" windowHeight="14447" firstSheet="1" activeTab="1" xr2:uid="{00000000-000D-0000-FFFF-FFFF00000000}"/>
  </bookViews>
  <sheets>
    <sheet name="CardData" sheetId="10" r:id="rId1"/>
    <sheet name="UnitData" sheetId="1" r:id="rId2"/>
    <sheet name="SkillData" sheetId="2" r:id="rId3"/>
    <sheet name="BuffData" sheetId="6" r:id="rId4"/>
    <sheet name="ModifyData" sheetId="8" r:id="rId5"/>
    <sheet name="BulletData" sheetId="4" r:id="rId6"/>
    <sheet name="EffectData" sheetId="9" r:id="rId7"/>
    <sheet name="ContractData" sheetId="11" r:id="rId8"/>
    <sheet name="SpineData" sheetId="12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" i="1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</authors>
  <commentList>
    <comment ref="AK1" authorId="0" shapeId="0" xr:uid="{00000000-0006-0000-01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0:干员 1:敌人 2:仅技能条 3:技能+血条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PC</author>
    <author>Admin</author>
  </authors>
  <commentList>
    <comment ref="AC1" authorId="0" shapeId="0" xr:uid="{00000000-0006-0000-0200-000001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1:玩家 2:敌人 3:双方</t>
        </r>
      </text>
    </comment>
    <comment ref="BB1" authorId="0" shapeId="0" xr:uid="{00000000-0006-0000-0200-000002000000}">
      <text>
        <r>
          <rPr>
            <b/>
            <sz val="9"/>
            <rFont val="宋体"/>
            <family val="3"/>
            <charset val="134"/>
          </rPr>
          <t>PC:</t>
        </r>
        <r>
          <rPr>
            <sz val="9"/>
            <rFont val="宋体"/>
            <family val="3"/>
            <charset val="134"/>
          </rPr>
          <t xml:space="preserve">
0:基于单位攻击力
1:基于目标最大生命值
2:固定值
</t>
        </r>
      </text>
    </comment>
    <comment ref="BR1" authorId="1" shapeId="0" xr:uid="{00000000-0006-0000-02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技能持续结束后，将会转变为升级技能</t>
        </r>
      </text>
    </comment>
    <comment ref="CT1" authorId="1" shapeId="0" xr:uid="{00000000-0006-0000-02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被动技能的场合，不检查范围，只检查单位死亡和技能开启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C1" authorId="0" shapeId="0" xr:uid="{00000000-0006-0000-0600-000001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0：击中点
1：骨骼点</t>
        </r>
      </text>
    </comment>
    <comment ref="H1" authorId="0" shapeId="0" xr:uid="{00000000-0006-0000-0600-000002000000}">
      <text>
        <r>
          <rPr>
            <b/>
            <sz val="9"/>
            <rFont val="宋体"/>
            <family val="3"/>
            <charset val="134"/>
          </rPr>
          <t>Admin:
1会实时更新x缩放</t>
        </r>
        <r>
          <rPr>
            <sz val="9"/>
            <rFont val="宋体"/>
            <family val="3"/>
            <charset val="134"/>
          </rPr>
          <t xml:space="preserve">
2跟随使用者
3仅跟随位置
</t>
        </r>
      </text>
    </comment>
    <comment ref="I1" authorId="0" shapeId="0" xr:uid="{00000000-0006-0000-0600-000003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0：不修改
1：跟随接收者
2：跟随施法者
</t>
        </r>
      </text>
    </comment>
    <comment ref="J1" authorId="0" shapeId="0" xr:uid="{00000000-0006-0000-0600-000004000000}">
      <text>
        <r>
          <rPr>
            <b/>
            <sz val="9"/>
            <rFont val="宋体"/>
            <family val="3"/>
            <charset val="134"/>
          </rPr>
          <t>Admin:</t>
        </r>
        <r>
          <rPr>
            <sz val="9"/>
            <rFont val="宋体"/>
            <family val="3"/>
            <charset val="134"/>
          </rPr>
          <t xml:space="preserve">
是否允许特效旋转z轴</t>
        </r>
      </text>
    </comment>
  </commentList>
</comments>
</file>

<file path=xl/sharedStrings.xml><?xml version="1.0" encoding="utf-8"?>
<sst xmlns="http://schemas.openxmlformats.org/spreadsheetml/2006/main" count="959" uniqueCount="566">
  <si>
    <t>Id</t>
  </si>
  <si>
    <t>units</t>
  </si>
  <si>
    <t>string</t>
  </si>
  <si>
    <t>UnitData[]</t>
  </si>
  <si>
    <t>逻各斯</t>
  </si>
  <si>
    <t>#</t>
  </si>
  <si>
    <t>模型大小倍率</t>
  </si>
  <si>
    <t>精英化</t>
  </si>
  <si>
    <t>等级</t>
  </si>
  <si>
    <t>血</t>
  </si>
  <si>
    <t>攻</t>
  </si>
  <si>
    <t>防</t>
  </si>
  <si>
    <t>魔防</t>
  </si>
  <si>
    <t>消耗</t>
  </si>
  <si>
    <t>消耗增长</t>
  </si>
  <si>
    <t>复活时间</t>
  </si>
  <si>
    <t>额外攻速</t>
  </si>
  <si>
    <t>抛光系数</t>
  </si>
  <si>
    <t>攻击间隔</t>
  </si>
  <si>
    <t>重量</t>
  </si>
  <si>
    <t>移动速度</t>
  </si>
  <si>
    <t>部署占用数</t>
  </si>
  <si>
    <t>撤离后不返回</t>
  </si>
  <si>
    <t>仇恨等级</t>
  </si>
  <si>
    <t>被攻击点</t>
  </si>
  <si>
    <t>常驻技能</t>
  </si>
  <si>
    <t>可选技能</t>
  </si>
  <si>
    <t>血条类型</t>
  </si>
  <si>
    <t>高度</t>
  </si>
  <si>
    <t>阻挡个数</t>
  </si>
  <si>
    <t>返还倍率</t>
  </si>
  <si>
    <t>不占用地板</t>
  </si>
  <si>
    <t>生命恢复</t>
  </si>
  <si>
    <t>不参与击杀计数</t>
  </si>
  <si>
    <t>终点伤害</t>
  </si>
  <si>
    <t>抗性</t>
  </si>
  <si>
    <t>半径</t>
  </si>
  <si>
    <t>大小</t>
  </si>
  <si>
    <t>阻挡？</t>
  </si>
  <si>
    <t>仅阻挡时可被攻击</t>
  </si>
  <si>
    <t>存活时间</t>
  </si>
  <si>
    <t>头像</t>
  </si>
  <si>
    <t>半身像</t>
  </si>
  <si>
    <t>立绘</t>
  </si>
  <si>
    <t>立绘位置</t>
  </si>
  <si>
    <t>稀有</t>
  </si>
  <si>
    <t>Type</t>
  </si>
  <si>
    <t>Test</t>
  </si>
  <si>
    <t>Model</t>
  </si>
  <si>
    <t>ModelScale</t>
  </si>
  <si>
    <t>engName</t>
  </si>
  <si>
    <t>Upgrade</t>
  </si>
  <si>
    <t>Level</t>
  </si>
  <si>
    <t>Hp</t>
  </si>
  <si>
    <t>HpEx</t>
  </si>
  <si>
    <t>Attack</t>
  </si>
  <si>
    <t>AttackEx</t>
  </si>
  <si>
    <t>Defence</t>
  </si>
  <si>
    <t>DefenceEx</t>
  </si>
  <si>
    <t>MagicDefence</t>
  </si>
  <si>
    <t>MagicDefenceEx</t>
  </si>
  <si>
    <t>Cost</t>
  </si>
  <si>
    <t>CostEx</t>
  </si>
  <si>
    <t>CostAdd</t>
  </si>
  <si>
    <t>ResetTime</t>
  </si>
  <si>
    <t>ResetTimeEx</t>
  </si>
  <si>
    <t>ExAgi</t>
  </si>
  <si>
    <t>MinDamageRate</t>
  </si>
  <si>
    <t>AttackGap</t>
  </si>
  <si>
    <t>Weight</t>
  </si>
  <si>
    <t>Speed</t>
  </si>
  <si>
    <t>BuildCountCost</t>
  </si>
  <si>
    <t>NotReturn</t>
  </si>
  <si>
    <t>Hatred</t>
  </si>
  <si>
    <t>Team</t>
  </si>
  <si>
    <t>Name</t>
  </si>
  <si>
    <t>HitPointName</t>
  </si>
  <si>
    <t>Skills</t>
  </si>
  <si>
    <t>MainSkill</t>
  </si>
  <si>
    <t>HpBarType</t>
  </si>
  <si>
    <t>Height</t>
  </si>
  <si>
    <t>StopCount</t>
  </si>
  <si>
    <t>LeaveReturn</t>
  </si>
  <si>
    <t>NotUseTile</t>
  </si>
  <si>
    <t>#敌人用</t>
  </si>
  <si>
    <t>HpRecover</t>
  </si>
  <si>
    <t>WithoutCheckCount</t>
  </si>
  <si>
    <t>Damage</t>
  </si>
  <si>
    <t>IgnoreBuff</t>
  </si>
  <si>
    <t>Radius</t>
  </si>
  <si>
    <t>Size</t>
  </si>
  <si>
    <t>CanStop</t>
  </si>
  <si>
    <t>StopAttackOnly</t>
  </si>
  <si>
    <t>LifeTime</t>
  </si>
  <si>
    <t>Profession</t>
  </si>
  <si>
    <t>Profession2</t>
  </si>
  <si>
    <t>HeadIcon</t>
  </si>
  <si>
    <t>HalfIcon</t>
  </si>
  <si>
    <t>StandPic</t>
  </si>
  <si>
    <t>StandPicPos</t>
  </si>
  <si>
    <t>Rare</t>
  </si>
  <si>
    <t>SetPos</t>
  </si>
  <si>
    <t>Tags</t>
  </si>
  <si>
    <t>AblitityInfo</t>
  </si>
  <si>
    <t>Ablititys</t>
  </si>
  <si>
    <t>DefaultAnimation</t>
  </si>
  <si>
    <t>IdleAnimation</t>
  </si>
  <si>
    <t>MoveAnimation</t>
  </si>
  <si>
    <t>DeadAnimation</t>
  </si>
  <si>
    <t>StunAnimation</t>
  </si>
  <si>
    <t>ForwardAnimation</t>
  </si>
  <si>
    <t>MaxAnimationScale</t>
  </si>
  <si>
    <t>bool</t>
  </si>
  <si>
    <t>float</t>
  </si>
  <si>
    <t>int</t>
  </si>
  <si>
    <t>SkillData[]</t>
  </si>
  <si>
    <t>BuffData[]</t>
  </si>
  <si>
    <t>UnityEngine.Vector2Int</t>
  </si>
  <si>
    <t>UnitTypeEnum</t>
  </si>
  <si>
    <t>float[]</t>
  </si>
  <si>
    <t>string[]</t>
  </si>
  <si>
    <t>System.Collections.Generic.Dictionary&lt;string,object&gt;</t>
  </si>
  <si>
    <t>干员</t>
  </si>
  <si>
    <t>logos</t>
  </si>
  <si>
    <t>4133</t>
  </si>
  <si>
    <t>Hip</t>
  </si>
  <si>
    <t>逻各斯攻击,逻各斯附加伤害</t>
  </si>
  <si>
    <t>逻各斯1,逻各斯2,逻各斯3</t>
  </si>
  <si>
    <t>术士</t>
  </si>
  <si>
    <t>中坚术师</t>
  </si>
  <si>
    <t>icon_logos</t>
  </si>
  <si>
    <t>half_logos</t>
  </si>
  <si>
    <t>211,81,1500,1500</t>
  </si>
  <si>
    <t>远程位</t>
  </si>
  <si>
    <t>远程</t>
  </si>
  <si>
    <t>攻击造成法术伤害,造成法术伤害时附带相当于8%攻击力的凋亡损伤</t>
  </si>
  <si>
    <t>Default</t>
  </si>
  <si>
    <t>Idle</t>
  </si>
  <si>
    <t>Die</t>
  </si>
  <si>
    <t>#备注</t>
  </si>
  <si>
    <t>技能名</t>
  </si>
  <si>
    <t>描述</t>
  </si>
  <si>
    <t>图标</t>
  </si>
  <si>
    <t>专精程度</t>
  </si>
  <si>
    <t>使用条件</t>
  </si>
  <si>
    <t>无视眩晕</t>
  </si>
  <si>
    <t>激活方式</t>
  </si>
  <si>
    <t>使用方式</t>
  </si>
  <si>
    <t>激活时点</t>
  </si>
  <si>
    <t>技能消耗</t>
  </si>
  <si>
    <t>最大使用次数</t>
  </si>
  <si>
    <t>有buff则启用</t>
  </si>
  <si>
    <t>有buff则禁用</t>
  </si>
  <si>
    <t>目标有buff则启用</t>
  </si>
  <si>
    <t>目标有buff则禁用</t>
  </si>
  <si>
    <t>技能开启禁用</t>
  </si>
  <si>
    <t>自身血量低于启用</t>
  </si>
  <si>
    <t>目标血量高于启用</t>
  </si>
  <si>
    <t>自动开启</t>
  </si>
  <si>
    <t>无目标照样启动</t>
  </si>
  <si>
    <t>生效时重取目标</t>
  </si>
  <si>
    <t>阻挡时打断</t>
  </si>
  <si>
    <t>生效概率</t>
  </si>
  <si>
    <t>开启时打断其他</t>
  </si>
  <si>
    <t>敌对组</t>
  </si>
  <si>
    <t>对空</t>
  </si>
  <si>
    <t>使用事件来源</t>
  </si>
  <si>
    <t>使用事件目标</t>
  </si>
  <si>
    <t>过滤器</t>
  </si>
  <si>
    <t>是否包括死亡单位</t>
  </si>
  <si>
    <t>职业限定</t>
  </si>
  <si>
    <t>单位限定</t>
  </si>
  <si>
    <t>星级限定</t>
  </si>
  <si>
    <t>位置限定</t>
  </si>
  <si>
    <t>费用限定</t>
  </si>
  <si>
    <t>可否攻击装置</t>
  </si>
  <si>
    <t>攻击优先级</t>
  </si>
  <si>
    <t>攻击优先级2</t>
  </si>
  <si>
    <t>优先tag</t>
  </si>
  <si>
    <t>干员攻击范围</t>
  </si>
  <si>
    <t>攻击地板</t>
  </si>
  <si>
    <t>攻击范围</t>
  </si>
  <si>
    <t>跟随普攻的攻击范围</t>
  </si>
  <si>
    <t>伤害类型</t>
  </si>
  <si>
    <t>是否治疗</t>
  </si>
  <si>
    <t>倍率</t>
  </si>
  <si>
    <t>倍率乘以cd</t>
  </si>
  <si>
    <t>伤害基准</t>
  </si>
  <si>
    <t>吸血</t>
  </si>
  <si>
    <t>伤害个数</t>
  </si>
  <si>
    <t>连发次数</t>
  </si>
  <si>
    <t>连发间隔</t>
  </si>
  <si>
    <t>连发重新索敌</t>
  </si>
  <si>
    <t>溅射范围</t>
  </si>
  <si>
    <t>溅射主体伤害</t>
  </si>
  <si>
    <t>溅射伤害</t>
  </si>
  <si>
    <t>推力</t>
  </si>
  <si>
    <t>费用获取</t>
  </si>
  <si>
    <t>关联技能</t>
  </si>
  <si>
    <t>附加技能</t>
  </si>
  <si>
    <t>权重</t>
  </si>
  <si>
    <t>技能升级</t>
  </si>
  <si>
    <t>冷却</t>
  </si>
  <si>
    <t>持续时间</t>
  </si>
  <si>
    <t>可停止</t>
  </si>
  <si>
    <t>初始技力</t>
  </si>
  <si>
    <t>最大技力</t>
  </si>
  <si>
    <t>囤积次数</t>
  </si>
  <si>
    <t>回复方式</t>
  </si>
  <si>
    <t>需阻挡</t>
  </si>
  <si>
    <t>消耗方式</t>
  </si>
  <si>
    <t>攻击动作</t>
  </si>
  <si>
    <t>攻击动作强制抬手时间</t>
  </si>
  <si>
    <t>向下攻击动作</t>
  </si>
  <si>
    <t>覆盖动作</t>
  </si>
  <si>
    <t>向下覆盖动作</t>
  </si>
  <si>
    <t>攻击模式</t>
  </si>
  <si>
    <t>子弹</t>
  </si>
  <si>
    <t>子弹起始点</t>
  </si>
  <si>
    <t>修饰器</t>
  </si>
  <si>
    <t>修饰器信息</t>
  </si>
  <si>
    <t>元素损伤</t>
  </si>
  <si>
    <t>消去buff</t>
  </si>
  <si>
    <t>关联Buff</t>
  </si>
  <si>
    <t>buff数值</t>
  </si>
  <si>
    <t>buff数值2</t>
  </si>
  <si>
    <t>buff数值3</t>
  </si>
  <si>
    <t>Buff几率</t>
  </si>
  <si>
    <t>Buff依赖技能范围</t>
  </si>
  <si>
    <t>自定数据</t>
  </si>
  <si>
    <t>就绪动画</t>
  </si>
  <si>
    <t>启动动画</t>
  </si>
  <si>
    <t>生效动画</t>
  </si>
  <si>
    <t>命中动画</t>
  </si>
  <si>
    <t>聚集动画</t>
  </si>
  <si>
    <t>循环启动动画</t>
  </si>
  <si>
    <t>循环生效动画</t>
  </si>
  <si>
    <t>反隐</t>
  </si>
  <si>
    <t>可破坏</t>
  </si>
  <si>
    <t>是隐藏主动技能</t>
  </si>
  <si>
    <t>无视睡眠</t>
  </si>
  <si>
    <t>无视无敌</t>
  </si>
  <si>
    <t>禁用转身</t>
  </si>
  <si>
    <t>Desc</t>
  </si>
  <si>
    <t>Icon</t>
  </si>
  <si>
    <t>SkillCondition</t>
  </si>
  <si>
    <t>IgnoreStun</t>
  </si>
  <si>
    <t>ReadyType</t>
  </si>
  <si>
    <t>UseType</t>
  </si>
  <si>
    <t>Trigger</t>
  </si>
  <si>
    <t>SkillCost</t>
  </si>
  <si>
    <t>MaxUseCount</t>
  </si>
  <si>
    <t>EnableBuff</t>
  </si>
  <si>
    <t>DisableBuff</t>
  </si>
  <si>
    <t>TargetEnableBuff</t>
  </si>
  <si>
    <t>TargetDisableBuff</t>
  </si>
  <si>
    <t>OpenDisable</t>
  </si>
  <si>
    <t>SelfHpLess</t>
  </si>
  <si>
    <t>TargetHpLess</t>
  </si>
  <si>
    <t>TargetHpMore</t>
  </si>
  <si>
    <t>AutoUse</t>
  </si>
  <si>
    <t>NoTargetAlsoUse</t>
  </si>
  <si>
    <t>RegetTarget</t>
  </si>
  <si>
    <t>StopBreak</t>
  </si>
  <si>
    <t>EffectiveRate</t>
  </si>
  <si>
    <t>StopOtherSkill</t>
  </si>
  <si>
    <t>TargetTeam</t>
  </si>
  <si>
    <t>AttackFly</t>
  </si>
  <si>
    <t>UseEventUser</t>
  </si>
  <si>
    <t>UseEventTarget</t>
  </si>
  <si>
    <t>TargetFilter</t>
  </si>
  <si>
    <t>DeadFind</t>
  </si>
  <si>
    <t>ProfessionLimit</t>
  </si>
  <si>
    <t>UnitLimit</t>
  </si>
  <si>
    <t>RareLimit</t>
  </si>
  <si>
    <t>PosLimit</t>
  </si>
  <si>
    <t>CostLimit</t>
  </si>
  <si>
    <t>MidLimit</t>
  </si>
  <si>
    <t>AttackOrder</t>
  </si>
  <si>
    <t>AttackOrder2</t>
  </si>
  <si>
    <t>OrderTag</t>
  </si>
  <si>
    <t>AttackPoints</t>
  </si>
  <si>
    <t>AttackPoint</t>
  </si>
  <si>
    <t>AttackRange</t>
  </si>
  <si>
    <t>AttackAreaWithMain</t>
  </si>
  <si>
    <t>DamageType</t>
  </si>
  <si>
    <t>IfHeal</t>
  </si>
  <si>
    <t>DamageRate</t>
  </si>
  <si>
    <t>DamageWithFrameRate</t>
  </si>
  <si>
    <t>DamageBase</t>
  </si>
  <si>
    <t>LifeSteal</t>
  </si>
  <si>
    <t>DamageCount</t>
  </si>
  <si>
    <t>BurstCount</t>
  </si>
  <si>
    <t>BurstDelay</t>
  </si>
  <si>
    <t>BurstFind</t>
  </si>
  <si>
    <t>AreaPoints</t>
  </si>
  <si>
    <t>AreaNoCheck</t>
  </si>
  <si>
    <t>AreaRange</t>
  </si>
  <si>
    <t>AreaMainDamage</t>
  </si>
  <si>
    <t>AreaDamage</t>
  </si>
  <si>
    <t>PushPower</t>
  </si>
  <si>
    <t>CostCount</t>
  </si>
  <si>
    <t>ExSkills</t>
  </si>
  <si>
    <t>ExSkillWeight</t>
  </si>
  <si>
    <t>UpgradeSkill</t>
  </si>
  <si>
    <t>Cooldown</t>
  </si>
  <si>
    <t>OpenTime</t>
  </si>
  <si>
    <t>StartPower</t>
  </si>
  <si>
    <t>MaxPower</t>
  </si>
  <si>
    <t>PowerCount</t>
  </si>
  <si>
    <t>PowerType</t>
  </si>
  <si>
    <t>PowerStopNeed</t>
  </si>
  <si>
    <t>PowerUseType</t>
  </si>
  <si>
    <t>ModelAnimation</t>
  </si>
  <si>
    <t>AnimationTime</t>
  </si>
  <si>
    <t>ModelAnimationDown</t>
  </si>
  <si>
    <t>OverwriteAnimation</t>
  </si>
  <si>
    <t>OverwriteAnimationDown</t>
  </si>
  <si>
    <t>AttackMode</t>
  </si>
  <si>
    <t>Bullet</t>
  </si>
  <si>
    <t>ShootPoint</t>
  </si>
  <si>
    <t>Modifys</t>
  </si>
  <si>
    <t>ModifyDatas</t>
  </si>
  <si>
    <t>ElementInjure</t>
  </si>
  <si>
    <t>BuffRemoves</t>
  </si>
  <si>
    <t>Buffs</t>
  </si>
  <si>
    <t>BuffData</t>
  </si>
  <si>
    <t>BuffData2</t>
  </si>
  <si>
    <t>BuffData3</t>
  </si>
  <si>
    <t>BuffLastTime</t>
  </si>
  <si>
    <t>BuffChance</t>
  </si>
  <si>
    <t>BuffRely</t>
  </si>
  <si>
    <t>Data</t>
  </si>
  <si>
    <t>ReadyEffect</t>
  </si>
  <si>
    <t>StartEffect</t>
  </si>
  <si>
    <t>CastEffect</t>
  </si>
  <si>
    <t>HitEffect</t>
  </si>
  <si>
    <t>EffectEffect</t>
  </si>
  <si>
    <t>GatherEffect</t>
  </si>
  <si>
    <t>LoopStartEffect</t>
  </si>
  <si>
    <t>LoopCastEffect</t>
  </si>
  <si>
    <t>AntiHide</t>
  </si>
  <si>
    <t>CanDestory</t>
  </si>
  <si>
    <t>NotAttackFlag</t>
  </si>
  <si>
    <t>IgnoreSleep</t>
  </si>
  <si>
    <t>IgnoreSelectable</t>
  </si>
  <si>
    <t>DisableScaleX</t>
  </si>
  <si>
    <t>SkillReadyEnum</t>
  </si>
  <si>
    <t>SkillUseTypeEnum</t>
  </si>
  <si>
    <t>TriggerEnum</t>
  </si>
  <si>
    <t>SkillTargetFilterEnum</t>
  </si>
  <si>
    <t>AttackTargetOrderEnum</t>
  </si>
  <si>
    <t>AttackTargetOrder2Enum</t>
  </si>
  <si>
    <t>UnityEngine.Vector2Int[]</t>
  </si>
  <si>
    <t>DamageTypeEnum</t>
  </si>
  <si>
    <t>int[]</t>
  </si>
  <si>
    <t>SkillData</t>
  </si>
  <si>
    <t>PowerRecoverTypeEnum</t>
  </si>
  <si>
    <t>float?</t>
  </si>
  <si>
    <t>AttackModeEnum</t>
  </si>
  <si>
    <t>BulletData</t>
  </si>
  <si>
    <t>ModifyData[]</t>
  </si>
  <si>
    <t>EffectData</t>
  </si>
  <si>
    <t>EffectData[]</t>
  </si>
  <si>
    <t>#注意！！！技能的优先顺序是按照此表的顺序来的，排越靠下优先级越高#</t>
  </si>
  <si>
    <t>逻各斯攻击</t>
  </si>
  <si>
    <t>普通技能</t>
  </si>
  <si>
    <t>终点距离</t>
  </si>
  <si>
    <t>0,0#0,1#0,-1#1,0#2,0#1,1#1,-1#2,1#2,-1#3,0</t>
  </si>
  <si>
    <t>Magic</t>
  </si>
  <si>
    <t>逻各斯附加</t>
  </si>
  <si>
    <t>Attack_2</t>
  </si>
  <si>
    <t>跟随攻击</t>
  </si>
  <si>
    <t>史都华德弹道</t>
  </si>
  <si>
    <t>Muzzle</t>
  </si>
  <si>
    <t>{"Fire":0.08}</t>
  </si>
  <si>
    <t>逻减抗,法术易伤</t>
  </si>
  <si>
    <t>阿米娅击中</t>
  </si>
  <si>
    <t>被动</t>
  </si>
  <si>
    <t>随机</t>
  </si>
  <si>
    <t>逻各斯附加伤害</t>
  </si>
  <si>
    <t>逻附加减抗</t>
  </si>
  <si>
    <t>逻各斯附加元素伤害</t>
  </si>
  <si>
    <t>逻附加子弹</t>
  </si>
  <si>
    <t>减速</t>
  </si>
  <si>
    <t>洁哥普攻击中</t>
  </si>
  <si>
    <t>逻各斯附加,灼燃损伤减法抗</t>
  </si>
  <si>
    <t>Element</t>
  </si>
  <si>
    <t>夜烟2击中</t>
  </si>
  <si>
    <t>逻各斯1</t>
  </si>
  <si>
    <t>殁亡</t>
  </si>
  <si>
    <t>攻击范围扩大，攻击力+100%，使攻击范围内生命值低于逻各斯攻击力150%的敌人立刻倒下、并对另一个随机目标造成与倒下单位生命值相等的法术伤害\n持续时间无限</t>
  </si>
  <si>
    <t>skill_icon_skchr_logos_1</t>
  </si>
  <si>
    <t>充能释放</t>
  </si>
  <si>
    <t>自动</t>
  </si>
  <si>
    <t>仅自己</t>
  </si>
  <si>
    <t>0,0#0,1#0,-1#1,0#2,0#1,1#1,-1#2,1#2,-1#3,0#3,1#3,-1</t>
  </si>
  <si>
    <t>逻各斯1启动</t>
  </si>
  <si>
    <t>逻各斯1加成,逻各斯1动作</t>
  </si>
  <si>
    <t>{"ShowRange":1,"Color":"#397CC0","Alpha":0.5}</t>
  </si>
  <si>
    <t>逻各斯1攻击</t>
  </si>
  <si>
    <t>逻各斯1加成</t>
  </si>
  <si>
    <t>Skill_1_Attack</t>
  </si>
  <si>
    <t>Target.Hp&lt;Unit.Attack*1.5</t>
  </si>
  <si>
    <t>罗即死</t>
  </si>
  <si>
    <t>Skill_1_Begin</t>
  </si>
  <si>
    <t>逻各斯2</t>
  </si>
  <si>
    <t>提喻</t>
  </si>
  <si>
    <t>法术抗性+70，攻击改为锁定一个目标对其每0.5秒造成一次相当于攻击力75%的法术伤害，对相同目标的伤害逐渐提高至3倍并使其移动速度逐渐降低至40%(锁定5秒后达到上限)，被打断或目标倒下时重新索敌且效果重置，技能期间第一天赋只会攻击锁定目标</t>
  </si>
  <si>
    <t>skill_icon_skchr_logos_2</t>
  </si>
  <si>
    <t>手动</t>
  </si>
  <si>
    <t>逻各斯2攻击,逻各斯2结束</t>
  </si>
  <si>
    <t>逻各斯2启动</t>
  </si>
  <si>
    <t>逻各斯2加成,逻各斯2动作</t>
  </si>
  <si>
    <t>洁哥2抬手</t>
  </si>
  <si>
    <t>逻各斯2攻击</t>
  </si>
  <si>
    <t>逻各斯2动作</t>
  </si>
  <si>
    <t>逻各斯2附加,逻2增伤</t>
  </si>
  <si>
    <t>Skill_2_Loop</t>
  </si>
  <si>
    <t>逻2减速,逻2锁定</t>
  </si>
  <si>
    <t>逻2增伤</t>
  </si>
  <si>
    <t>逻各斯2附加</t>
  </si>
  <si>
    <t>逻2锁定</t>
  </si>
  <si>
    <t>Skill_2_Begin</t>
  </si>
  <si>
    <t>逻各斯2延迟结束</t>
  </si>
  <si>
    <t>逻各斯2结束</t>
  </si>
  <si>
    <t>Skill_2_End</t>
  </si>
  <si>
    <t>逻各斯3</t>
  </si>
  <si>
    <t>延异视阈</t>
  </si>
  <si>
    <t>攻击范围扩大，攻击力+300%，同时攻击4个目标，使攻击范围内敌方子弹的飞行速度大幅降低、并在技能结束时将其全部清除</t>
  </si>
  <si>
    <t>skill_icon_skchr_logos_3</t>
  </si>
  <si>
    <t>0,0#0,1#0,-1#1,0#2,0#1,1#1,-1#2,1#2,-1#3,0#3,-1#3,1#0,2#0,-2#1,2#1,-2#2,2#2,-2</t>
  </si>
  <si>
    <t>逻各斯3攻击,逻各斯3结束</t>
  </si>
  <si>
    <t>逻各斯3启动</t>
  </si>
  <si>
    <t>逻各斯3加成,逻各斯3动作</t>
  </si>
  <si>
    <t>阿米娅3启动</t>
  </si>
  <si>
    <t>阿米娅3持续</t>
  </si>
  <si>
    <t>逻各斯3攻击</t>
  </si>
  <si>
    <t>逻各斯3动作</t>
  </si>
  <si>
    <t>逻各斯3附加</t>
  </si>
  <si>
    <t>Skill_3_Attack</t>
  </si>
  <si>
    <t>阿米娅3击中</t>
  </si>
  <si>
    <t>Skill_3_Begin</t>
  </si>
  <si>
    <t>逻各斯3结束</t>
  </si>
  <si>
    <t>技能结束</t>
  </si>
  <si>
    <t>Skill_3_End</t>
  </si>
  <si>
    <t>阻挡小于</t>
  </si>
  <si>
    <t>阻挡需求</t>
  </si>
  <si>
    <t>周围单位需求</t>
  </si>
  <si>
    <t>不同源覆盖</t>
  </si>
  <si>
    <t>切换类buff</t>
  </si>
  <si>
    <t>持续特效</t>
  </si>
  <si>
    <t>升级</t>
  </si>
  <si>
    <t>能否被抵抗</t>
  </si>
  <si>
    <t>死亡不消去</t>
  </si>
  <si>
    <t>依赖buff</t>
  </si>
  <si>
    <t>不可被抵挡</t>
  </si>
  <si>
    <t>StopLess</t>
  </si>
  <si>
    <t>StopNeed</t>
  </si>
  <si>
    <t>RoundNeed</t>
  </si>
  <si>
    <t>UnSourceCheck</t>
  </si>
  <si>
    <t>IfSwitch</t>
  </si>
  <si>
    <t>LastingEffect</t>
  </si>
  <si>
    <t>LastTime</t>
  </si>
  <si>
    <t>Resist</t>
  </si>
  <si>
    <t>DeadRemain</t>
  </si>
  <si>
    <t>RelyBuff</t>
  </si>
  <si>
    <t>NotCancelable</t>
  </si>
  <si>
    <t>普通Buff</t>
  </si>
  <si>
    <t>逻减抗</t>
  </si>
  <si>
    <t>数值变化</t>
  </si>
  <si>
    <t>降防</t>
  </si>
  <si>
    <t>{"t":["MagicDefenceAdd"]}</t>
  </si>
  <si>
    <t>罗1buff</t>
  </si>
  <si>
    <t>{"t":["AttackRate"]}</t>
  </si>
  <si>
    <t>逻各斯1动作</t>
  </si>
  <si>
    <t>{"IdleAnimation":["Skill_1_Idle"]}</t>
  </si>
  <si>
    <t>逻各斯2加成</t>
  </si>
  <si>
    <t>雷蛇2buff</t>
  </si>
  <si>
    <t>攻击强化</t>
  </si>
  <si>
    <t>{"IdleAnimation":["Skill_2_Loop"]}</t>
  </si>
  <si>
    <t>逻2减速</t>
  </si>
  <si>
    <t>数值变化叠加</t>
  </si>
  <si>
    <t>{"t":["SpeedRate"],"MaxLevel":10}</t>
  </si>
  <si>
    <t>{"t":["AttackRateFin"],"MaxLevel":10}</t>
  </si>
  <si>
    <t>逻各斯3加成</t>
  </si>
  <si>
    <t>银灰真银斩buff</t>
  </si>
  <si>
    <t>{"IdleAnimation":["Skill_3_Idle"]}</t>
  </si>
  <si>
    <t>{"t":["AttackRateFin"]}</t>
  </si>
  <si>
    <t>相关buff</t>
  </si>
  <si>
    <t>Buff</t>
  </si>
  <si>
    <t>逻2伤害</t>
  </si>
  <si>
    <t>对buff伤害</t>
  </si>
  <si>
    <t>{"DamageRate":3}</t>
  </si>
  <si>
    <t>Line</t>
  </si>
  <si>
    <t>FaceCamera</t>
  </si>
  <si>
    <t>ScaleX</t>
  </si>
  <si>
    <t>EffectBase</t>
  </si>
  <si>
    <t>common_magic_trail_01</t>
  </si>
  <si>
    <t>模型</t>
  </si>
  <si>
    <t>起始位置</t>
  </si>
  <si>
    <t>偏移</t>
  </si>
  <si>
    <t>绑点</t>
  </si>
  <si>
    <t>跟随骨骼</t>
  </si>
  <si>
    <t>父级</t>
  </si>
  <si>
    <t>朝向</t>
  </si>
  <si>
    <t>跟随方向</t>
  </si>
  <si>
    <t>朝向相机</t>
  </si>
  <si>
    <t>生命周期</t>
  </si>
  <si>
    <t>Prefab</t>
  </si>
  <si>
    <t>StartPos</t>
  </si>
  <si>
    <t>Offset</t>
  </si>
  <si>
    <t>BindPoint</t>
  </si>
  <si>
    <t>BoneFollow</t>
  </si>
  <si>
    <t>ForwardOnly</t>
  </si>
  <si>
    <t>ParentFollow</t>
  </si>
  <si>
    <t>ScaleXFollow</t>
  </si>
  <si>
    <t>ForwordDirection</t>
  </si>
  <si>
    <t>UnityEngine.Vector3</t>
  </si>
  <si>
    <t>thorns_skill_03_buff_02</t>
  </si>
  <si>
    <t>0,-0.5,0</t>
  </si>
  <si>
    <t>Description</t>
  </si>
  <si>
    <t>Group</t>
  </si>
  <si>
    <t>TeamLimit</t>
  </si>
  <si>
    <t>MapHp</t>
  </si>
  <si>
    <t>UnitTypeEnum[]</t>
  </si>
  <si>
    <t>仅单面</t>
  </si>
  <si>
    <t>相对路径</t>
  </si>
  <si>
    <t>正面atlas</t>
  </si>
  <si>
    <t>正面png</t>
  </si>
  <si>
    <t>正面skel</t>
  </si>
  <si>
    <t>背面atlas</t>
  </si>
  <si>
    <t>背面png</t>
  </si>
  <si>
    <t>背面skel</t>
  </si>
  <si>
    <t>OnlyFront</t>
  </si>
  <si>
    <t>UseAppHotfixResPath</t>
  </si>
  <si>
    <t>FrontAtlasPath</t>
  </si>
  <si>
    <t>FrontPngPath</t>
  </si>
  <si>
    <t>FrontSkelPath</t>
  </si>
  <si>
    <t>BackAtlasPath</t>
  </si>
  <si>
    <t>BackPngPath</t>
  </si>
  <si>
    <t>BackSkelPath</t>
  </si>
  <si>
    <t>酒神</t>
  </si>
  <si>
    <t>/Spine/酒神/front/char_1042_phatm2.atlas.txt</t>
  </si>
  <si>
    <t>/Spine/酒神/front/char_1042_phatm2.png</t>
  </si>
  <si>
    <t>/Spine/酒神/front/char_1042_phatm2.skel.bytes</t>
  </si>
  <si>
    <t>/Spine/酒神/back/char_1042_phatm2.atlas.txt</t>
  </si>
  <si>
    <t>/Spine/酒神/back/char_1042_phatm2.png</t>
  </si>
  <si>
    <t>/Spine/酒神/back/char_1042_phatm2.skel.bytes</t>
  </si>
  <si>
    <t>本能的召唤</t>
  </si>
  <si>
    <t>/Spine/本能的召唤/front/token_10054_phatm2_encdool.atlas.txt</t>
  </si>
  <si>
    <t>/Spine/本能的召唤/front/token_10054_phatm2_encdool.png</t>
  </si>
  <si>
    <t>/Spine/本能的召唤/front/token_10054_phatm2_encdool.skel.bytes</t>
  </si>
  <si>
    <t>优先Buff</t>
    <phoneticPr fontId="11" type="noConversion"/>
  </si>
  <si>
    <t>自定义优先级</t>
    <phoneticPr fontId="11" type="noConversion"/>
  </si>
  <si>
    <t>OrderBuff</t>
    <phoneticPr fontId="11" type="noConversion"/>
  </si>
  <si>
    <t>OrderExpression</t>
    <phoneticPr fontId="11" type="noConversion"/>
  </si>
  <si>
    <t>string</t>
    <phoneticPr fontId="11" type="noConversion"/>
  </si>
  <si>
    <t>#逻1斩杀</t>
    <phoneticPr fontId="11" type="noConversion"/>
  </si>
  <si>
    <t>逻各斯1攻击,逻1斩杀</t>
    <phoneticPr fontId="11" type="noConversion"/>
  </si>
  <si>
    <t>#逻各斯1</t>
    <phoneticPr fontId="11" type="noConversion"/>
  </si>
  <si>
    <t>逻各斯1攻击</t>
    <phoneticPr fontId="11" type="noConversion"/>
  </si>
  <si>
    <t>可部署位</t>
    <phoneticPr fontId="11" type="noConversion"/>
  </si>
  <si>
    <t>CanSetPos</t>
    <phoneticPr fontId="11" type="noConversion"/>
  </si>
  <si>
    <t>string[]</t>
    <phoneticPr fontId="11" type="noConversion"/>
  </si>
  <si>
    <t>高台位</t>
    <phoneticPr fontId="1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</si>
</sst>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宋体"/>
      <charset val="134"/>
      <scheme val="minor"/>
    </font>
    <font>
      <sz val="11"/>
      <color rgb="FFFFC000"/>
      <name val="宋体"/>
      <family val="3"/>
      <charset val="134"/>
      <scheme val="minor"/>
    </font>
    <font>
      <sz val="11"/>
      <name val="宋体"/>
      <family val="3"/>
      <charset val="134"/>
      <scheme val="minor"/>
    </font>
    <font>
      <sz val="11"/>
      <color rgb="FF00B0F0"/>
      <name val="宋体"/>
      <family val="3"/>
      <charset val="134"/>
      <scheme val="minor"/>
    </font>
    <font>
      <sz val="11"/>
      <color rgb="FF9C0006"/>
      <name val="宋体"/>
      <family val="3"/>
      <charset val="134"/>
      <scheme val="minor"/>
    </font>
    <font>
      <sz val="11"/>
      <color rgb="FF000000"/>
      <name val="等线"/>
      <family val="3"/>
      <charset val="134"/>
    </font>
    <font>
      <sz val="11"/>
      <color rgb="FF9C0006"/>
      <name val="宋体"/>
      <family val="3"/>
      <charset val="134"/>
      <scheme val="minor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</font>
    <font>
      <b/>
      <sz val="9"/>
      <name val="宋体"/>
      <family val="3"/>
      <charset val="134"/>
    </font>
    <font>
      <sz val="11"/>
      <color theme="1"/>
      <name val="宋体"/>
      <family val="3"/>
      <charset val="134"/>
      <scheme val="minor"/>
    </font>
    <font>
      <sz val="9"/>
      <name val="宋体"/>
      <family val="3"/>
      <charset val="134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7CE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0" fontId="6" fillId="4" borderId="0" applyNumberFormat="0" applyBorder="0" applyAlignment="0" applyProtection="0">
      <alignment vertical="center"/>
    </xf>
    <xf numFmtId="0" fontId="10" fillId="0" borderId="0">
      <alignment vertical="center"/>
    </xf>
  </cellStyleXfs>
  <cellXfs count="14">
    <xf numFmtId="0" fontId="0" fillId="0" borderId="0" xfId="0">
      <alignment vertical="center"/>
    </xf>
    <xf numFmtId="0" fontId="10" fillId="0" borderId="0" xfId="2">
      <alignment vertical="center"/>
    </xf>
    <xf numFmtId="0" fontId="1" fillId="2" borderId="0" xfId="0" applyFont="1" applyFill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4" fillId="0" borderId="0" xfId="1" applyFont="1" applyFill="1">
      <alignment vertical="center"/>
    </xf>
    <xf numFmtId="0" fontId="2" fillId="0" borderId="0" xfId="1" applyFont="1" applyFill="1">
      <alignment vertical="center"/>
    </xf>
    <xf numFmtId="0" fontId="0" fillId="3" borderId="0" xfId="0" applyFill="1">
      <alignment vertical="center"/>
    </xf>
    <xf numFmtId="0" fontId="3" fillId="3" borderId="0" xfId="0" applyFont="1" applyFill="1">
      <alignment vertical="center"/>
    </xf>
    <xf numFmtId="49" fontId="0" fillId="0" borderId="0" xfId="0" applyNumberFormat="1" applyAlignment="1">
      <alignment horizontal="left" vertical="center"/>
    </xf>
    <xf numFmtId="0" fontId="5" fillId="0" borderId="0" xfId="0" applyFont="1">
      <alignment vertical="center"/>
    </xf>
    <xf numFmtId="49" fontId="0" fillId="0" borderId="0" xfId="0" applyNumberFormat="1">
      <alignment vertical="center"/>
    </xf>
    <xf numFmtId="0" fontId="0" fillId="0" borderId="0" xfId="0" applyAlignment="1"/>
    <xf numFmtId="0" fontId="7" fillId="0" borderId="0" xfId="0" applyFont="1">
      <alignment vertical="center"/>
    </xf>
  </cellXfs>
  <cellStyles count="3">
    <cellStyle name="差" xfId="1" builtinId="27"/>
    <cellStyle name="常规" xfId="0" builtinId="0"/>
    <cellStyle name="常规 2" xfId="2" xr:uid="{00000000-0005-0000-0000-000031000000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B4"/>
  <sheetViews>
    <sheetView workbookViewId="0">
      <selection activeCell="A4" sqref="A4:XFD4"/>
    </sheetView>
  </sheetViews>
  <sheetFormatPr defaultColWidth="9" defaultRowHeight="14.05" x14ac:dyDescent="0.25"/>
  <cols>
    <col min="2" max="2" width="9" customWidth="1"/>
  </cols>
  <sheetData>
    <row r="2" spans="1:2" x14ac:dyDescent="0.25">
      <c r="A2" t="s">
        <v>0</v>
      </c>
      <c r="B2" t="s">
        <v>1</v>
      </c>
    </row>
    <row r="3" spans="1:2" x14ac:dyDescent="0.25">
      <c r="A3" t="s">
        <v>2</v>
      </c>
      <c r="B3" t="s">
        <v>3</v>
      </c>
    </row>
    <row r="4" spans="1:2" x14ac:dyDescent="0.25">
      <c r="A4" t="s">
        <v>4</v>
      </c>
      <c r="B4" t="s">
        <v>4</v>
      </c>
    </row>
  </sheetData>
  <phoneticPr fontId="1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V572"/>
  <sheetViews>
    <sheetView tabSelected="1" workbookViewId="0">
      <pane xSplit="1" ySplit="3" topLeftCell="AG4" activePane="bottomRight" state="frozen"/>
      <selection pane="topRight"/>
      <selection pane="bottomLeft"/>
      <selection pane="bottomRight" activeCell="AN1" sqref="AN1:AO1048576"/>
    </sheetView>
  </sheetViews>
  <sheetFormatPr defaultColWidth="9" defaultRowHeight="14.05" x14ac:dyDescent="0.25"/>
  <cols>
    <col min="1" max="1" width="22.58203125" customWidth="1"/>
    <col min="4" max="4" width="8.58203125" customWidth="1"/>
    <col min="5" max="5" width="5.33203125" customWidth="1"/>
    <col min="6" max="6" width="19.58203125" customWidth="1"/>
    <col min="7" max="7" width="8.25" customWidth="1"/>
    <col min="11" max="11" width="6" customWidth="1"/>
    <col min="12" max="12" width="5.5" customWidth="1"/>
    <col min="13" max="13" width="5.58203125" customWidth="1"/>
    <col min="14" max="14" width="4" customWidth="1"/>
    <col min="15" max="15" width="7.75" customWidth="1"/>
    <col min="16" max="16" width="10.83203125" customWidth="1"/>
    <col min="17" max="18" width="3.83203125" customWidth="1"/>
    <col min="19" max="20" width="3.58203125" customWidth="1"/>
    <col min="21" max="21" width="10.25" customWidth="1"/>
    <col min="22" max="22" width="9.58203125" customWidth="1"/>
    <col min="23" max="23" width="10.75" customWidth="1"/>
    <col min="24" max="24" width="12.83203125" customWidth="1"/>
    <col min="25" max="25" width="13.08203125" customWidth="1"/>
    <col min="26" max="26" width="10.75" customWidth="1"/>
    <col min="29" max="29" width="8" customWidth="1"/>
    <col min="30" max="30" width="17.08203125" customWidth="1"/>
    <col min="31" max="31" width="9.75" customWidth="1"/>
    <col min="32" max="32" width="7.83203125" customWidth="1"/>
    <col min="33" max="33" width="15.83203125" customWidth="1"/>
    <col min="34" max="34" width="13.83203125" customWidth="1"/>
    <col min="35" max="35" width="34.5" customWidth="1"/>
    <col min="36" max="37" width="9.83203125" customWidth="1"/>
    <col min="42" max="42" width="12.5" customWidth="1"/>
    <col min="49" max="49" width="24.33203125" customWidth="1"/>
    <col min="51" max="51" width="17.75" customWidth="1"/>
    <col min="52" max="52" width="7.83203125" customWidth="1"/>
    <col min="55" max="55" width="24.25" customWidth="1"/>
    <col min="56" max="56" width="13.25" customWidth="1"/>
    <col min="57" max="57" width="16.08203125" customWidth="1"/>
    <col min="58" max="58" width="8" customWidth="1"/>
    <col min="63" max="63" width="39.58203125" customWidth="1"/>
    <col min="64" max="64" width="14" customWidth="1"/>
    <col min="65" max="65" width="14.83203125" customWidth="1"/>
    <col min="66" max="69" width="14" customWidth="1"/>
    <col min="70" max="70" width="19.1640625" customWidth="1"/>
  </cols>
  <sheetData>
    <row r="1" spans="1:74" x14ac:dyDescent="0.25">
      <c r="D1" t="s">
        <v>5</v>
      </c>
      <c r="E1" t="s">
        <v>5</v>
      </c>
      <c r="G1" t="s">
        <v>6</v>
      </c>
      <c r="I1" t="s">
        <v>7</v>
      </c>
      <c r="J1" t="s">
        <v>8</v>
      </c>
      <c r="K1" t="s">
        <v>9</v>
      </c>
      <c r="M1" t="s">
        <v>10</v>
      </c>
      <c r="O1" t="s">
        <v>11</v>
      </c>
      <c r="Q1" t="s">
        <v>12</v>
      </c>
      <c r="S1" t="s">
        <v>13</v>
      </c>
      <c r="U1" t="s">
        <v>14</v>
      </c>
      <c r="V1" t="s">
        <v>15</v>
      </c>
      <c r="X1" t="s">
        <v>16</v>
      </c>
      <c r="Y1" t="s">
        <v>17</v>
      </c>
      <c r="Z1" t="s">
        <v>18</v>
      </c>
      <c r="AA1" t="s">
        <v>19</v>
      </c>
      <c r="AB1" t="s">
        <v>20</v>
      </c>
      <c r="AC1" t="s">
        <v>21</v>
      </c>
      <c r="AD1" t="s">
        <v>22</v>
      </c>
      <c r="AE1" t="s">
        <v>23</v>
      </c>
      <c r="AH1" t="s">
        <v>24</v>
      </c>
      <c r="AI1" t="s">
        <v>25</v>
      </c>
      <c r="AJ1" t="s">
        <v>26</v>
      </c>
      <c r="AK1" t="s">
        <v>27</v>
      </c>
      <c r="AL1" t="s">
        <v>28</v>
      </c>
      <c r="AM1" s="13" t="s">
        <v>562</v>
      </c>
      <c r="AN1" t="s">
        <v>29</v>
      </c>
      <c r="AO1" t="s">
        <v>30</v>
      </c>
      <c r="AP1" t="s">
        <v>31</v>
      </c>
      <c r="AR1" t="s">
        <v>32</v>
      </c>
      <c r="AS1" t="s">
        <v>33</v>
      </c>
      <c r="AT1" t="s">
        <v>34</v>
      </c>
      <c r="AU1" t="s">
        <v>35</v>
      </c>
      <c r="AV1" t="s">
        <v>36</v>
      </c>
      <c r="AW1" t="s">
        <v>37</v>
      </c>
      <c r="AX1" t="s">
        <v>38</v>
      </c>
      <c r="AY1" t="s">
        <v>39</v>
      </c>
      <c r="AZ1" t="s">
        <v>40</v>
      </c>
      <c r="BC1" t="s">
        <v>41</v>
      </c>
      <c r="BD1" t="s">
        <v>42</v>
      </c>
      <c r="BE1" t="s">
        <v>43</v>
      </c>
      <c r="BF1" t="s">
        <v>44</v>
      </c>
      <c r="BG1" t="s">
        <v>45</v>
      </c>
    </row>
    <row r="2" spans="1:74" x14ac:dyDescent="0.25">
      <c r="A2" t="s">
        <v>0</v>
      </c>
      <c r="B2" t="s">
        <v>46</v>
      </c>
      <c r="C2" t="s">
        <v>47</v>
      </c>
      <c r="F2" t="s">
        <v>48</v>
      </c>
      <c r="G2" t="s">
        <v>49</v>
      </c>
      <c r="H2" t="s">
        <v>50</v>
      </c>
      <c r="I2" t="s">
        <v>51</v>
      </c>
      <c r="J2" t="s">
        <v>52</v>
      </c>
      <c r="K2" t="s">
        <v>53</v>
      </c>
      <c r="L2" t="s">
        <v>54</v>
      </c>
      <c r="M2" t="s">
        <v>55</v>
      </c>
      <c r="N2" t="s">
        <v>56</v>
      </c>
      <c r="O2" t="s">
        <v>57</v>
      </c>
      <c r="P2" t="s">
        <v>58</v>
      </c>
      <c r="Q2" t="s">
        <v>59</v>
      </c>
      <c r="R2" t="s">
        <v>60</v>
      </c>
      <c r="S2" t="s">
        <v>61</v>
      </c>
      <c r="T2" t="s">
        <v>62</v>
      </c>
      <c r="U2" t="s">
        <v>63</v>
      </c>
      <c r="V2" t="s">
        <v>64</v>
      </c>
      <c r="W2" t="s">
        <v>65</v>
      </c>
      <c r="X2" t="s">
        <v>66</v>
      </c>
      <c r="Y2" t="s">
        <v>67</v>
      </c>
      <c r="Z2" t="s">
        <v>68</v>
      </c>
      <c r="AA2" t="s">
        <v>69</v>
      </c>
      <c r="AB2" t="s">
        <v>70</v>
      </c>
      <c r="AC2" t="s">
        <v>71</v>
      </c>
      <c r="AD2" t="s">
        <v>72</v>
      </c>
      <c r="AE2" t="s">
        <v>73</v>
      </c>
      <c r="AF2" t="s">
        <v>74</v>
      </c>
      <c r="AG2" t="s">
        <v>75</v>
      </c>
      <c r="AH2" t="s">
        <v>76</v>
      </c>
      <c r="AI2" t="s">
        <v>77</v>
      </c>
      <c r="AJ2" t="s">
        <v>78</v>
      </c>
      <c r="AK2" t="s">
        <v>79</v>
      </c>
      <c r="AL2" t="s">
        <v>80</v>
      </c>
      <c r="AM2" s="13" t="s">
        <v>563</v>
      </c>
      <c r="AN2" t="s">
        <v>81</v>
      </c>
      <c r="AO2" t="s">
        <v>82</v>
      </c>
      <c r="AP2" t="s">
        <v>83</v>
      </c>
      <c r="AQ2" t="s">
        <v>84</v>
      </c>
      <c r="AR2" t="s">
        <v>85</v>
      </c>
      <c r="AS2" t="s">
        <v>86</v>
      </c>
      <c r="AT2" t="s">
        <v>87</v>
      </c>
      <c r="AU2" t="s">
        <v>88</v>
      </c>
      <c r="AV2" t="s">
        <v>89</v>
      </c>
      <c r="AW2" t="s">
        <v>90</v>
      </c>
      <c r="AX2" t="s">
        <v>91</v>
      </c>
      <c r="AY2" t="s">
        <v>92</v>
      </c>
      <c r="AZ2" t="s">
        <v>93</v>
      </c>
      <c r="BA2" t="s">
        <v>94</v>
      </c>
      <c r="BB2" t="s">
        <v>95</v>
      </c>
      <c r="BC2" t="s">
        <v>96</v>
      </c>
      <c r="BD2" t="s">
        <v>97</v>
      </c>
      <c r="BE2" t="s">
        <v>98</v>
      </c>
      <c r="BF2" t="s">
        <v>99</v>
      </c>
      <c r="BG2" t="s">
        <v>100</v>
      </c>
      <c r="BH2" t="s">
        <v>101</v>
      </c>
      <c r="BI2" t="s">
        <v>102</v>
      </c>
      <c r="BJ2" t="s">
        <v>103</v>
      </c>
      <c r="BK2" t="s">
        <v>104</v>
      </c>
      <c r="BL2" t="s">
        <v>105</v>
      </c>
      <c r="BM2" t="s">
        <v>106</v>
      </c>
      <c r="BN2" t="s">
        <v>107</v>
      </c>
      <c r="BO2" t="s">
        <v>108</v>
      </c>
      <c r="BP2" t="s">
        <v>109</v>
      </c>
      <c r="BQ2" t="s">
        <v>110</v>
      </c>
      <c r="BR2" t="s">
        <v>111</v>
      </c>
    </row>
    <row r="3" spans="1:74" x14ac:dyDescent="0.25">
      <c r="A3" t="s">
        <v>2</v>
      </c>
      <c r="B3" t="s">
        <v>2</v>
      </c>
      <c r="C3" t="s">
        <v>112</v>
      </c>
      <c r="F3" t="s">
        <v>2</v>
      </c>
      <c r="G3" t="s">
        <v>113</v>
      </c>
      <c r="H3" t="s">
        <v>2</v>
      </c>
      <c r="I3" t="s">
        <v>114</v>
      </c>
      <c r="J3" t="s">
        <v>114</v>
      </c>
      <c r="K3" t="s">
        <v>114</v>
      </c>
      <c r="L3" t="s">
        <v>114</v>
      </c>
      <c r="M3" t="s">
        <v>114</v>
      </c>
      <c r="N3" t="s">
        <v>114</v>
      </c>
      <c r="O3" t="s">
        <v>114</v>
      </c>
      <c r="P3" t="s">
        <v>114</v>
      </c>
      <c r="Q3" t="s">
        <v>114</v>
      </c>
      <c r="R3" t="s">
        <v>114</v>
      </c>
      <c r="S3" t="s">
        <v>114</v>
      </c>
      <c r="T3" t="s">
        <v>114</v>
      </c>
      <c r="U3" t="s">
        <v>113</v>
      </c>
      <c r="V3" t="s">
        <v>114</v>
      </c>
      <c r="W3" t="s">
        <v>114</v>
      </c>
      <c r="X3" t="s">
        <v>113</v>
      </c>
      <c r="Y3" t="s">
        <v>113</v>
      </c>
      <c r="Z3" t="s">
        <v>113</v>
      </c>
      <c r="AA3" t="s">
        <v>114</v>
      </c>
      <c r="AB3" t="s">
        <v>113</v>
      </c>
      <c r="AC3" t="s">
        <v>114</v>
      </c>
      <c r="AD3" t="s">
        <v>112</v>
      </c>
      <c r="AE3" t="s">
        <v>114</v>
      </c>
      <c r="AF3" t="s">
        <v>114</v>
      </c>
      <c r="AG3" t="s">
        <v>2</v>
      </c>
      <c r="AH3" t="s">
        <v>2</v>
      </c>
      <c r="AI3" t="s">
        <v>115</v>
      </c>
      <c r="AJ3" t="s">
        <v>115</v>
      </c>
      <c r="AK3" t="s">
        <v>114</v>
      </c>
      <c r="AL3" t="s">
        <v>113</v>
      </c>
      <c r="AM3" s="13" t="s">
        <v>564</v>
      </c>
      <c r="AN3" t="s">
        <v>114</v>
      </c>
      <c r="AO3" t="s">
        <v>113</v>
      </c>
      <c r="AP3" t="s">
        <v>112</v>
      </c>
      <c r="AR3" t="s">
        <v>113</v>
      </c>
      <c r="AS3" t="s">
        <v>112</v>
      </c>
      <c r="AT3" t="s">
        <v>114</v>
      </c>
      <c r="AU3" t="s">
        <v>116</v>
      </c>
      <c r="AV3" t="s">
        <v>113</v>
      </c>
      <c r="AW3" t="s">
        <v>117</v>
      </c>
      <c r="AX3" t="s">
        <v>112</v>
      </c>
      <c r="AY3" t="s">
        <v>112</v>
      </c>
      <c r="AZ3" t="s">
        <v>113</v>
      </c>
      <c r="BA3" t="s">
        <v>118</v>
      </c>
      <c r="BB3" t="s">
        <v>2</v>
      </c>
      <c r="BC3" t="s">
        <v>2</v>
      </c>
      <c r="BD3" t="s">
        <v>2</v>
      </c>
      <c r="BE3" t="s">
        <v>2</v>
      </c>
      <c r="BF3" t="s">
        <v>119</v>
      </c>
      <c r="BG3" t="s">
        <v>114</v>
      </c>
      <c r="BH3" t="s">
        <v>2</v>
      </c>
      <c r="BI3" t="s">
        <v>120</v>
      </c>
      <c r="BJ3" t="s">
        <v>2</v>
      </c>
      <c r="BK3" t="s">
        <v>121</v>
      </c>
      <c r="BL3" t="s">
        <v>120</v>
      </c>
      <c r="BM3" t="s">
        <v>120</v>
      </c>
      <c r="BN3" t="s">
        <v>120</v>
      </c>
      <c r="BO3" t="s">
        <v>120</v>
      </c>
      <c r="BP3" t="s">
        <v>120</v>
      </c>
      <c r="BQ3" t="s">
        <v>120</v>
      </c>
      <c r="BR3" t="s">
        <v>113</v>
      </c>
    </row>
    <row r="4" spans="1:74" x14ac:dyDescent="0.25">
      <c r="A4" t="s">
        <v>4</v>
      </c>
      <c r="B4" t="s">
        <v>122</v>
      </c>
      <c r="D4" t="s">
        <v>123</v>
      </c>
      <c r="E4" s="9" t="s">
        <v>124</v>
      </c>
      <c r="F4" t="str">
        <f>"char_"&amp;E4&amp;"_"&amp;D4</f>
        <v>char_4133_logos</v>
      </c>
      <c r="G4">
        <v>1</v>
      </c>
      <c r="I4">
        <v>2</v>
      </c>
      <c r="J4">
        <v>90</v>
      </c>
      <c r="K4">
        <v>1663</v>
      </c>
      <c r="L4">
        <v>170</v>
      </c>
      <c r="M4">
        <v>788</v>
      </c>
      <c r="N4">
        <v>67</v>
      </c>
      <c r="O4">
        <v>119</v>
      </c>
      <c r="Q4">
        <v>20</v>
      </c>
      <c r="S4">
        <v>21</v>
      </c>
      <c r="T4">
        <v>-2</v>
      </c>
      <c r="U4">
        <v>0.5</v>
      </c>
      <c r="V4">
        <v>70</v>
      </c>
      <c r="Y4">
        <v>0.05</v>
      </c>
      <c r="Z4">
        <v>1.6</v>
      </c>
      <c r="AC4">
        <v>1</v>
      </c>
      <c r="AG4" t="s">
        <v>4</v>
      </c>
      <c r="AH4" t="s">
        <v>125</v>
      </c>
      <c r="AI4" t="s">
        <v>126</v>
      </c>
      <c r="AJ4" t="s">
        <v>127</v>
      </c>
      <c r="AM4" s="13" t="s">
        <v>565</v>
      </c>
      <c r="AN4">
        <v>1</v>
      </c>
      <c r="AO4">
        <v>0.5</v>
      </c>
      <c r="AV4">
        <v>0.25</v>
      </c>
      <c r="BA4" t="s">
        <v>128</v>
      </c>
      <c r="BB4" t="s">
        <v>129</v>
      </c>
      <c r="BC4" t="s">
        <v>130</v>
      </c>
      <c r="BD4" t="s">
        <v>131</v>
      </c>
      <c r="BE4" t="s">
        <v>123</v>
      </c>
      <c r="BF4" t="s">
        <v>132</v>
      </c>
      <c r="BG4">
        <v>6</v>
      </c>
      <c r="BH4" t="s">
        <v>133</v>
      </c>
      <c r="BI4" t="s">
        <v>134</v>
      </c>
      <c r="BJ4" t="s">
        <v>135</v>
      </c>
      <c r="BL4" t="s">
        <v>136</v>
      </c>
      <c r="BM4" t="s">
        <v>137</v>
      </c>
      <c r="BO4" t="s">
        <v>138</v>
      </c>
      <c r="BP4" t="s">
        <v>138</v>
      </c>
      <c r="BR4">
        <v>1</v>
      </c>
      <c r="BV4" s="3"/>
    </row>
    <row r="5" spans="1:74" x14ac:dyDescent="0.25">
      <c r="AM5" s="13"/>
    </row>
    <row r="9" spans="1:74" x14ac:dyDescent="0.25">
      <c r="BQ9" s="12"/>
    </row>
    <row r="10" spans="1:74" ht="14.5" x14ac:dyDescent="0.25">
      <c r="D10" s="10"/>
      <c r="E10" s="11"/>
      <c r="BN10" s="12"/>
      <c r="BQ10" s="12"/>
    </row>
    <row r="11" spans="1:74" ht="14.5" x14ac:dyDescent="0.25">
      <c r="D11" s="10"/>
      <c r="E11" s="11"/>
      <c r="BN11" s="12"/>
      <c r="BQ11" s="12"/>
    </row>
    <row r="12" spans="1:74" ht="14.5" x14ac:dyDescent="0.25">
      <c r="D12" s="10"/>
      <c r="E12" s="11"/>
      <c r="BN12" s="12"/>
      <c r="BQ12" s="12"/>
    </row>
    <row r="13" spans="1:74" ht="14.5" x14ac:dyDescent="0.25">
      <c r="D13" s="10"/>
      <c r="E13" s="11"/>
      <c r="BN13" s="12"/>
      <c r="BQ13" s="12"/>
    </row>
    <row r="14" spans="1:74" ht="14.5" x14ac:dyDescent="0.25">
      <c r="D14" s="10"/>
      <c r="E14" s="11"/>
      <c r="BN14" s="12"/>
      <c r="BQ14" s="12"/>
    </row>
    <row r="15" spans="1:74" ht="14.5" x14ac:dyDescent="0.25">
      <c r="D15" s="10"/>
      <c r="E15" s="11"/>
      <c r="BN15" s="12"/>
      <c r="BQ15" s="12"/>
    </row>
    <row r="16" spans="1:74" ht="14.5" x14ac:dyDescent="0.25">
      <c r="D16" s="10"/>
      <c r="E16" s="11"/>
      <c r="BN16" s="12"/>
      <c r="BQ16" s="12"/>
    </row>
    <row r="17" spans="4:69" ht="14.5" x14ac:dyDescent="0.25">
      <c r="D17" s="10"/>
      <c r="E17" s="11"/>
      <c r="BQ17" s="12"/>
    </row>
    <row r="18" spans="4:69" ht="14.5" x14ac:dyDescent="0.25">
      <c r="D18" s="10"/>
      <c r="E18" s="11"/>
      <c r="BQ18" s="12"/>
    </row>
    <row r="19" spans="4:69" ht="14.5" x14ac:dyDescent="0.25">
      <c r="D19" s="10"/>
      <c r="E19" s="11"/>
      <c r="BQ19" s="12"/>
    </row>
    <row r="20" spans="4:69" ht="14.5" x14ac:dyDescent="0.25">
      <c r="D20" s="10"/>
      <c r="E20" s="11"/>
      <c r="BN20" s="12"/>
      <c r="BQ20" s="12"/>
    </row>
    <row r="21" spans="4:69" ht="14.5" x14ac:dyDescent="0.25">
      <c r="D21" s="10"/>
      <c r="E21" s="11"/>
      <c r="BN21" s="12"/>
      <c r="BQ21" s="12"/>
    </row>
    <row r="22" spans="4:69" ht="14.5" x14ac:dyDescent="0.25">
      <c r="D22" s="10"/>
      <c r="E22" s="11"/>
      <c r="BN22" s="12"/>
      <c r="BQ22" s="12"/>
    </row>
    <row r="23" spans="4:69" ht="14.5" x14ac:dyDescent="0.25">
      <c r="D23" s="10"/>
      <c r="E23" s="11"/>
      <c r="BN23" s="12"/>
      <c r="BQ23" s="12"/>
    </row>
    <row r="24" spans="4:69" ht="14.5" x14ac:dyDescent="0.25">
      <c r="D24" s="10"/>
      <c r="E24" s="11"/>
      <c r="BN24" s="12"/>
      <c r="BQ24" s="12"/>
    </row>
    <row r="25" spans="4:69" ht="14.5" x14ac:dyDescent="0.25">
      <c r="D25" s="10"/>
      <c r="E25" s="11"/>
      <c r="BN25" s="12"/>
      <c r="BQ25" s="12"/>
    </row>
    <row r="26" spans="4:69" ht="14.5" x14ac:dyDescent="0.25">
      <c r="D26" s="10"/>
      <c r="E26" s="11"/>
      <c r="BN26" s="12"/>
      <c r="BQ26" s="12"/>
    </row>
    <row r="27" spans="4:69" ht="14.5" x14ac:dyDescent="0.25">
      <c r="D27" s="10"/>
      <c r="E27" s="11"/>
      <c r="BN27" s="12"/>
      <c r="BQ27" s="12"/>
    </row>
    <row r="28" spans="4:69" ht="14.5" x14ac:dyDescent="0.25">
      <c r="D28" s="10"/>
      <c r="E28" s="11"/>
      <c r="BN28" s="12"/>
      <c r="BQ28" s="12"/>
    </row>
    <row r="29" spans="4:69" ht="14.5" x14ac:dyDescent="0.25">
      <c r="D29" s="10"/>
      <c r="E29" s="11"/>
      <c r="BN29" s="12"/>
      <c r="BQ29" s="12"/>
    </row>
    <row r="30" spans="4:69" ht="14.5" x14ac:dyDescent="0.25">
      <c r="D30" s="10"/>
      <c r="E30" s="11"/>
      <c r="BN30" s="12"/>
      <c r="BQ30" s="12"/>
    </row>
    <row r="31" spans="4:69" ht="14.5" x14ac:dyDescent="0.25">
      <c r="D31" s="10"/>
      <c r="E31" s="11"/>
      <c r="BN31" s="12"/>
      <c r="BQ31" s="12"/>
    </row>
    <row r="32" spans="4:69" ht="14.5" x14ac:dyDescent="0.25">
      <c r="D32" s="10"/>
      <c r="E32" s="11"/>
      <c r="BN32" s="12"/>
      <c r="BQ32" s="12"/>
    </row>
    <row r="33" spans="4:69" ht="14.5" x14ac:dyDescent="0.25">
      <c r="D33" s="10"/>
      <c r="E33" s="11"/>
      <c r="BN33" s="12"/>
      <c r="BQ33" s="12"/>
    </row>
    <row r="34" spans="4:69" ht="14.5" x14ac:dyDescent="0.25">
      <c r="D34" s="10"/>
      <c r="E34" s="11"/>
      <c r="BN34" s="12"/>
      <c r="BQ34" s="12"/>
    </row>
    <row r="35" spans="4:69" ht="14.5" x14ac:dyDescent="0.25">
      <c r="D35" s="10"/>
      <c r="E35" s="11"/>
      <c r="BN35" s="12"/>
      <c r="BQ35" s="12"/>
    </row>
    <row r="36" spans="4:69" ht="14.5" x14ac:dyDescent="0.25">
      <c r="D36" s="10"/>
      <c r="E36" s="11"/>
      <c r="BN36" s="12"/>
      <c r="BQ36" s="12"/>
    </row>
    <row r="37" spans="4:69" ht="14.5" x14ac:dyDescent="0.25">
      <c r="D37" s="10"/>
      <c r="E37" s="11"/>
      <c r="BN37" s="12"/>
      <c r="BQ37" s="12"/>
    </row>
    <row r="38" spans="4:69" ht="14.5" x14ac:dyDescent="0.25">
      <c r="D38" s="10"/>
      <c r="E38" s="11"/>
      <c r="BN38" s="12"/>
      <c r="BQ38" s="12"/>
    </row>
    <row r="39" spans="4:69" ht="14.5" x14ac:dyDescent="0.25">
      <c r="D39" s="10"/>
      <c r="E39" s="11"/>
      <c r="BN39" s="12"/>
      <c r="BQ39" s="12"/>
    </row>
    <row r="40" spans="4:69" ht="14.5" x14ac:dyDescent="0.25">
      <c r="D40" s="10"/>
      <c r="E40" s="11"/>
      <c r="BN40" s="12"/>
      <c r="BQ40" s="12"/>
    </row>
    <row r="41" spans="4:69" ht="14.5" x14ac:dyDescent="0.25">
      <c r="D41" s="10"/>
      <c r="E41" s="11"/>
      <c r="BN41" s="12"/>
      <c r="BQ41" s="12"/>
    </row>
    <row r="42" spans="4:69" ht="14.5" x14ac:dyDescent="0.25">
      <c r="D42" s="10"/>
      <c r="E42" s="11"/>
      <c r="BN42" s="12"/>
      <c r="BQ42" s="12"/>
    </row>
    <row r="43" spans="4:69" ht="14.5" x14ac:dyDescent="0.25">
      <c r="D43" s="10"/>
      <c r="E43" s="11"/>
      <c r="BN43" s="12"/>
      <c r="BQ43" s="12"/>
    </row>
    <row r="44" spans="4:69" ht="14.5" x14ac:dyDescent="0.25">
      <c r="D44" s="10"/>
      <c r="E44" s="11"/>
      <c r="BN44" s="12"/>
      <c r="BQ44" s="12"/>
    </row>
    <row r="45" spans="4:69" ht="14.5" x14ac:dyDescent="0.25">
      <c r="D45" s="10"/>
      <c r="E45" s="11"/>
      <c r="BN45" s="12"/>
      <c r="BQ45" s="12"/>
    </row>
    <row r="46" spans="4:69" ht="14.5" x14ac:dyDescent="0.25">
      <c r="D46" s="10"/>
      <c r="E46" s="11"/>
      <c r="BN46" s="12"/>
      <c r="BQ46" s="12"/>
    </row>
    <row r="47" spans="4:69" ht="14.5" x14ac:dyDescent="0.25">
      <c r="D47" s="10"/>
      <c r="E47" s="11"/>
      <c r="BN47" s="12"/>
      <c r="BQ47" s="12"/>
    </row>
    <row r="48" spans="4:69" ht="14.5" x14ac:dyDescent="0.25">
      <c r="D48" s="10"/>
      <c r="E48" s="11"/>
      <c r="BN48" s="12"/>
      <c r="BQ48" s="12"/>
    </row>
    <row r="49" spans="4:69" ht="14.5" x14ac:dyDescent="0.25">
      <c r="D49" s="10"/>
      <c r="E49" s="11"/>
      <c r="BN49" s="12"/>
      <c r="BQ49" s="12"/>
    </row>
    <row r="50" spans="4:69" ht="14.5" x14ac:dyDescent="0.25">
      <c r="D50" s="10"/>
      <c r="E50" s="11"/>
      <c r="BN50" s="12"/>
      <c r="BQ50" s="12"/>
    </row>
    <row r="51" spans="4:69" ht="14.5" x14ac:dyDescent="0.25">
      <c r="D51" s="10"/>
      <c r="E51" s="11"/>
      <c r="BN51" s="12"/>
      <c r="BQ51" s="12"/>
    </row>
    <row r="52" spans="4:69" ht="14.5" x14ac:dyDescent="0.25">
      <c r="D52" s="10"/>
      <c r="E52" s="11"/>
      <c r="BN52" s="12"/>
      <c r="BQ52" s="12"/>
    </row>
    <row r="53" spans="4:69" ht="14.5" x14ac:dyDescent="0.25">
      <c r="D53" s="10"/>
      <c r="E53" s="11"/>
      <c r="BN53" s="12"/>
      <c r="BQ53" s="12"/>
    </row>
    <row r="54" spans="4:69" ht="14.5" x14ac:dyDescent="0.25">
      <c r="D54" s="10"/>
      <c r="E54" s="11"/>
      <c r="BN54" s="12"/>
      <c r="BQ54" s="12"/>
    </row>
    <row r="55" spans="4:69" ht="14.5" x14ac:dyDescent="0.25">
      <c r="D55" s="10"/>
      <c r="E55" s="11"/>
      <c r="BN55" s="12"/>
      <c r="BQ55" s="12"/>
    </row>
    <row r="56" spans="4:69" ht="14.5" x14ac:dyDescent="0.25">
      <c r="D56" s="10"/>
      <c r="E56" s="11"/>
      <c r="BN56" s="12"/>
      <c r="BQ56" s="12"/>
    </row>
    <row r="57" spans="4:69" ht="14.5" x14ac:dyDescent="0.25">
      <c r="D57" s="10"/>
      <c r="E57" s="11"/>
      <c r="BN57" s="12"/>
      <c r="BQ57" s="12"/>
    </row>
    <row r="58" spans="4:69" ht="14.5" x14ac:dyDescent="0.25">
      <c r="D58" s="10"/>
      <c r="E58" s="11"/>
      <c r="BN58" s="12"/>
      <c r="BQ58" s="12"/>
    </row>
    <row r="59" spans="4:69" ht="14.5" x14ac:dyDescent="0.25">
      <c r="D59" s="10"/>
      <c r="E59" s="11"/>
      <c r="BN59" s="12"/>
      <c r="BQ59" s="12"/>
    </row>
    <row r="60" spans="4:69" ht="14.5" x14ac:dyDescent="0.25">
      <c r="D60" s="10"/>
      <c r="E60" s="11"/>
      <c r="BN60" s="12"/>
      <c r="BQ60" s="12"/>
    </row>
    <row r="61" spans="4:69" ht="14.5" x14ac:dyDescent="0.25">
      <c r="D61" s="10"/>
      <c r="E61" s="11"/>
      <c r="BN61" s="12"/>
      <c r="BQ61" s="12"/>
    </row>
    <row r="62" spans="4:69" ht="14.5" x14ac:dyDescent="0.25">
      <c r="D62" s="10"/>
      <c r="E62" s="11"/>
      <c r="BN62" s="12"/>
      <c r="BQ62" s="12"/>
    </row>
    <row r="63" spans="4:69" ht="14.5" x14ac:dyDescent="0.25">
      <c r="D63" s="10"/>
      <c r="E63" s="11"/>
      <c r="BN63" s="12"/>
      <c r="BQ63" s="12"/>
    </row>
    <row r="64" spans="4:69" ht="14.5" x14ac:dyDescent="0.25">
      <c r="D64" s="10"/>
      <c r="E64" s="11"/>
      <c r="BN64" s="12"/>
      <c r="BQ64" s="12"/>
    </row>
    <row r="65" spans="4:69" ht="14.5" x14ac:dyDescent="0.25">
      <c r="D65" s="10"/>
      <c r="E65" s="11"/>
      <c r="BN65" s="12"/>
      <c r="BQ65" s="12"/>
    </row>
    <row r="66" spans="4:69" ht="14.5" x14ac:dyDescent="0.25">
      <c r="D66" s="10"/>
      <c r="E66" s="11"/>
      <c r="BN66" s="12"/>
      <c r="BQ66" s="12"/>
    </row>
    <row r="67" spans="4:69" ht="14.5" x14ac:dyDescent="0.25">
      <c r="D67" s="10"/>
      <c r="E67" s="11"/>
      <c r="BN67" s="12"/>
      <c r="BQ67" s="12"/>
    </row>
    <row r="68" spans="4:69" ht="14.5" x14ac:dyDescent="0.25">
      <c r="D68" s="10"/>
      <c r="E68" s="11"/>
      <c r="BN68" s="12"/>
      <c r="BQ68" s="12"/>
    </row>
    <row r="69" spans="4:69" ht="14.5" x14ac:dyDescent="0.25">
      <c r="D69" s="10"/>
      <c r="E69" s="11"/>
      <c r="BN69" s="12"/>
      <c r="BQ69" s="12"/>
    </row>
    <row r="70" spans="4:69" ht="14.5" x14ac:dyDescent="0.25">
      <c r="D70" s="10"/>
      <c r="E70" s="11"/>
      <c r="BN70" s="12"/>
      <c r="BQ70" s="12"/>
    </row>
    <row r="71" spans="4:69" ht="14.5" x14ac:dyDescent="0.25">
      <c r="D71" s="10"/>
      <c r="E71" s="11"/>
      <c r="BN71" s="12"/>
      <c r="BQ71" s="12"/>
    </row>
    <row r="72" spans="4:69" ht="14.5" x14ac:dyDescent="0.25">
      <c r="D72" s="10"/>
      <c r="E72" s="11"/>
      <c r="BN72" s="12"/>
      <c r="BQ72" s="12"/>
    </row>
    <row r="73" spans="4:69" ht="14.5" x14ac:dyDescent="0.25">
      <c r="D73" s="10"/>
      <c r="E73" s="11"/>
      <c r="BN73" s="12"/>
      <c r="BQ73" s="12"/>
    </row>
    <row r="74" spans="4:69" ht="14.5" x14ac:dyDescent="0.25">
      <c r="D74" s="10"/>
      <c r="E74" s="11"/>
      <c r="BN74" s="12"/>
      <c r="BQ74" s="12"/>
    </row>
    <row r="75" spans="4:69" ht="14.5" x14ac:dyDescent="0.25">
      <c r="D75" s="10"/>
      <c r="E75" s="11"/>
      <c r="BN75" s="12"/>
      <c r="BQ75" s="12"/>
    </row>
    <row r="76" spans="4:69" ht="14.5" x14ac:dyDescent="0.25">
      <c r="D76" s="10"/>
      <c r="E76" s="11"/>
      <c r="BN76" s="12"/>
      <c r="BQ76" s="12"/>
    </row>
    <row r="77" spans="4:69" ht="14.5" x14ac:dyDescent="0.25">
      <c r="D77" s="10"/>
      <c r="E77" s="11"/>
      <c r="BN77" s="12"/>
      <c r="BQ77" s="12"/>
    </row>
    <row r="78" spans="4:69" ht="14.5" x14ac:dyDescent="0.25">
      <c r="D78" s="10"/>
      <c r="E78" s="11"/>
      <c r="BN78" s="12"/>
      <c r="BQ78" s="12"/>
    </row>
    <row r="79" spans="4:69" ht="14.5" x14ac:dyDescent="0.25">
      <c r="D79" s="10"/>
      <c r="E79" s="11"/>
      <c r="BN79" s="12"/>
      <c r="BQ79" s="12"/>
    </row>
    <row r="80" spans="4:69" ht="14.5" x14ac:dyDescent="0.25">
      <c r="D80" s="10"/>
      <c r="E80" s="11"/>
      <c r="BN80" s="12"/>
      <c r="BQ80" s="12"/>
    </row>
    <row r="81" spans="4:69" ht="14.5" x14ac:dyDescent="0.25">
      <c r="D81" s="10"/>
      <c r="E81" s="11"/>
      <c r="BN81" s="12"/>
      <c r="BQ81" s="12"/>
    </row>
    <row r="82" spans="4:69" ht="14.5" x14ac:dyDescent="0.25">
      <c r="D82" s="10"/>
      <c r="E82" s="11"/>
      <c r="BN82" s="12"/>
      <c r="BQ82" s="12"/>
    </row>
    <row r="83" spans="4:69" ht="14.5" x14ac:dyDescent="0.25">
      <c r="D83" s="10"/>
      <c r="E83" s="11"/>
      <c r="BN83" s="12"/>
      <c r="BQ83" s="12"/>
    </row>
    <row r="84" spans="4:69" ht="14.5" x14ac:dyDescent="0.25">
      <c r="D84" s="10"/>
      <c r="E84" s="11"/>
      <c r="BN84" s="12"/>
      <c r="BQ84" s="12"/>
    </row>
    <row r="85" spans="4:69" ht="14.5" x14ac:dyDescent="0.25">
      <c r="D85" s="10"/>
      <c r="E85" s="11"/>
      <c r="BN85" s="12"/>
      <c r="BQ85" s="12"/>
    </row>
    <row r="86" spans="4:69" ht="14.5" x14ac:dyDescent="0.25">
      <c r="D86" s="10"/>
      <c r="E86" s="11"/>
      <c r="BN86" s="12"/>
      <c r="BQ86" s="12"/>
    </row>
    <row r="87" spans="4:69" ht="14.5" x14ac:dyDescent="0.25">
      <c r="D87" s="10"/>
      <c r="E87" s="11"/>
      <c r="BN87" s="12"/>
      <c r="BQ87" s="12"/>
    </row>
    <row r="88" spans="4:69" ht="14.5" x14ac:dyDescent="0.25">
      <c r="D88" s="10"/>
      <c r="E88" s="11"/>
      <c r="BN88" s="12"/>
      <c r="BQ88" s="12"/>
    </row>
    <row r="89" spans="4:69" ht="14.5" x14ac:dyDescent="0.25">
      <c r="D89" s="10"/>
      <c r="E89" s="11"/>
      <c r="BN89" s="12"/>
      <c r="BQ89" s="12"/>
    </row>
    <row r="90" spans="4:69" ht="14.5" x14ac:dyDescent="0.25">
      <c r="D90" s="10"/>
      <c r="E90" s="11"/>
      <c r="BN90" s="12"/>
      <c r="BQ90" s="12"/>
    </row>
    <row r="91" spans="4:69" ht="14.5" x14ac:dyDescent="0.25">
      <c r="D91" s="10"/>
      <c r="E91" s="11"/>
      <c r="BN91" s="12"/>
      <c r="BQ91" s="12"/>
    </row>
    <row r="92" spans="4:69" ht="14.5" x14ac:dyDescent="0.25">
      <c r="D92" s="10"/>
      <c r="E92" s="11"/>
      <c r="BN92" s="12"/>
      <c r="BQ92" s="12"/>
    </row>
    <row r="93" spans="4:69" ht="14.5" x14ac:dyDescent="0.25">
      <c r="D93" s="10"/>
      <c r="E93" s="11"/>
      <c r="BN93" s="12"/>
      <c r="BQ93" s="12"/>
    </row>
    <row r="94" spans="4:69" ht="14.5" x14ac:dyDescent="0.25">
      <c r="D94" s="10"/>
      <c r="E94" s="11"/>
      <c r="BN94" s="12"/>
      <c r="BQ94" s="12"/>
    </row>
    <row r="95" spans="4:69" ht="14.5" x14ac:dyDescent="0.25">
      <c r="D95" s="10"/>
      <c r="E95" s="11"/>
      <c r="BN95" s="12"/>
      <c r="BQ95" s="12"/>
    </row>
    <row r="96" spans="4:69" ht="14.5" x14ac:dyDescent="0.25">
      <c r="D96" s="10"/>
      <c r="E96" s="11"/>
      <c r="BN96" s="12"/>
      <c r="BQ96" s="12"/>
    </row>
    <row r="97" spans="4:69" ht="14.5" x14ac:dyDescent="0.25">
      <c r="D97" s="10"/>
      <c r="E97" s="11"/>
      <c r="BN97" s="12"/>
      <c r="BQ97" s="12"/>
    </row>
    <row r="98" spans="4:69" ht="14.5" x14ac:dyDescent="0.25">
      <c r="D98" s="10"/>
      <c r="E98" s="11"/>
      <c r="BN98" s="12"/>
      <c r="BQ98" s="12"/>
    </row>
    <row r="99" spans="4:69" ht="14.5" x14ac:dyDescent="0.25">
      <c r="D99" s="10"/>
      <c r="E99" s="11"/>
      <c r="BN99" s="12"/>
      <c r="BQ99" s="12"/>
    </row>
    <row r="100" spans="4:69" ht="14.5" x14ac:dyDescent="0.25">
      <c r="D100" s="10"/>
      <c r="E100" s="11"/>
      <c r="BN100" s="12"/>
      <c r="BQ100" s="12"/>
    </row>
    <row r="101" spans="4:69" ht="14.5" x14ac:dyDescent="0.25">
      <c r="D101" s="10"/>
      <c r="E101" s="11"/>
      <c r="BN101" s="12"/>
      <c r="BQ101" s="12"/>
    </row>
    <row r="102" spans="4:69" ht="14.5" x14ac:dyDescent="0.25">
      <c r="D102" s="10"/>
      <c r="E102" s="11"/>
      <c r="BN102" s="12"/>
      <c r="BQ102" s="12"/>
    </row>
    <row r="103" spans="4:69" ht="14.5" x14ac:dyDescent="0.25">
      <c r="D103" s="10"/>
      <c r="E103" s="11"/>
      <c r="BN103" s="12"/>
      <c r="BQ103" s="12"/>
    </row>
    <row r="104" spans="4:69" ht="14.5" x14ac:dyDescent="0.25">
      <c r="D104" s="10"/>
      <c r="E104" s="11"/>
      <c r="BN104" s="12"/>
      <c r="BQ104" s="12"/>
    </row>
    <row r="105" spans="4:69" ht="14.5" x14ac:dyDescent="0.25">
      <c r="D105" s="10"/>
      <c r="E105" s="11"/>
      <c r="BN105" s="12"/>
      <c r="BQ105" s="12"/>
    </row>
    <row r="106" spans="4:69" ht="14.5" x14ac:dyDescent="0.25">
      <c r="D106" s="10"/>
      <c r="E106" s="11"/>
      <c r="BN106" s="12"/>
      <c r="BQ106" s="12"/>
    </row>
    <row r="107" spans="4:69" ht="14.5" x14ac:dyDescent="0.25">
      <c r="D107" s="10"/>
      <c r="E107" s="11"/>
      <c r="BN107" s="12"/>
      <c r="BQ107" s="12"/>
    </row>
    <row r="108" spans="4:69" ht="14.5" x14ac:dyDescent="0.25">
      <c r="D108" s="10"/>
      <c r="E108" s="11"/>
      <c r="BN108" s="12"/>
      <c r="BQ108" s="12"/>
    </row>
    <row r="109" spans="4:69" ht="14.5" x14ac:dyDescent="0.25">
      <c r="D109" s="10"/>
      <c r="E109" s="11"/>
      <c r="BN109" s="12"/>
      <c r="BQ109" s="12"/>
    </row>
    <row r="110" spans="4:69" ht="14.5" x14ac:dyDescent="0.25">
      <c r="D110" s="10"/>
      <c r="E110" s="11"/>
      <c r="BN110" s="12"/>
      <c r="BQ110" s="12"/>
    </row>
    <row r="111" spans="4:69" ht="14.5" x14ac:dyDescent="0.25">
      <c r="D111" s="10"/>
      <c r="E111" s="11"/>
      <c r="BN111" s="12"/>
      <c r="BQ111" s="12"/>
    </row>
    <row r="112" spans="4:69" ht="14.5" x14ac:dyDescent="0.25">
      <c r="D112" s="10"/>
      <c r="E112" s="11"/>
      <c r="BN112" s="12"/>
      <c r="BQ112" s="12"/>
    </row>
    <row r="113" spans="4:69" ht="14.5" x14ac:dyDescent="0.25">
      <c r="D113" s="10"/>
      <c r="E113" s="11"/>
      <c r="BN113" s="12"/>
      <c r="BQ113" s="12"/>
    </row>
    <row r="114" spans="4:69" ht="14.5" x14ac:dyDescent="0.25">
      <c r="D114" s="10"/>
      <c r="E114" s="11"/>
      <c r="BN114" s="12"/>
      <c r="BQ114" s="12"/>
    </row>
    <row r="115" spans="4:69" ht="14.5" x14ac:dyDescent="0.25">
      <c r="D115" s="10"/>
      <c r="E115" s="11"/>
      <c r="BN115" s="12"/>
      <c r="BQ115" s="12"/>
    </row>
    <row r="116" spans="4:69" ht="14.5" x14ac:dyDescent="0.25">
      <c r="D116" s="10"/>
      <c r="E116" s="11"/>
      <c r="BN116" s="12"/>
      <c r="BQ116" s="12"/>
    </row>
    <row r="117" spans="4:69" ht="14.5" x14ac:dyDescent="0.25">
      <c r="D117" s="10"/>
      <c r="E117" s="11"/>
      <c r="BN117" s="12"/>
      <c r="BQ117" s="12"/>
    </row>
    <row r="118" spans="4:69" ht="14.5" x14ac:dyDescent="0.25">
      <c r="D118" s="10"/>
      <c r="E118" s="11"/>
      <c r="BN118" s="12"/>
      <c r="BQ118" s="12"/>
    </row>
    <row r="119" spans="4:69" ht="14.5" x14ac:dyDescent="0.25">
      <c r="D119" s="10"/>
      <c r="E119" s="11"/>
      <c r="BN119" s="12"/>
      <c r="BQ119" s="12"/>
    </row>
    <row r="120" spans="4:69" ht="14.5" x14ac:dyDescent="0.25">
      <c r="D120" s="10"/>
      <c r="E120" s="11"/>
      <c r="BN120" s="12"/>
      <c r="BQ120" s="12"/>
    </row>
    <row r="121" spans="4:69" ht="14.5" x14ac:dyDescent="0.25">
      <c r="D121" s="10"/>
      <c r="E121" s="11"/>
      <c r="BN121" s="12"/>
      <c r="BQ121" s="12"/>
    </row>
    <row r="122" spans="4:69" ht="14.5" x14ac:dyDescent="0.25">
      <c r="D122" s="10"/>
      <c r="E122" s="11"/>
      <c r="BN122" s="12"/>
      <c r="BQ122" s="12"/>
    </row>
    <row r="123" spans="4:69" ht="14.5" x14ac:dyDescent="0.25">
      <c r="D123" s="10"/>
      <c r="E123" s="11"/>
      <c r="BN123" s="12"/>
      <c r="BQ123" s="12"/>
    </row>
    <row r="124" spans="4:69" ht="14.5" x14ac:dyDescent="0.25">
      <c r="D124" s="10"/>
      <c r="E124" s="11"/>
      <c r="BN124" s="12"/>
      <c r="BQ124" s="12"/>
    </row>
    <row r="125" spans="4:69" ht="14.5" x14ac:dyDescent="0.25">
      <c r="D125" s="10"/>
      <c r="E125" s="11"/>
      <c r="BN125" s="12"/>
      <c r="BQ125" s="12"/>
    </row>
    <row r="126" spans="4:69" ht="14.5" x14ac:dyDescent="0.25">
      <c r="D126" s="10"/>
      <c r="E126" s="11"/>
      <c r="BN126" s="12"/>
      <c r="BQ126" s="12"/>
    </row>
    <row r="127" spans="4:69" ht="14.5" x14ac:dyDescent="0.25">
      <c r="D127" s="10"/>
      <c r="E127" s="11"/>
      <c r="BN127" s="12"/>
      <c r="BQ127" s="12"/>
    </row>
    <row r="128" spans="4:69" ht="14.5" x14ac:dyDescent="0.25">
      <c r="D128" s="10"/>
      <c r="E128" s="11"/>
      <c r="BN128" s="12"/>
      <c r="BQ128" s="12"/>
    </row>
    <row r="129" spans="4:69" ht="14.5" x14ac:dyDescent="0.25">
      <c r="D129" s="10"/>
      <c r="E129" s="11"/>
      <c r="BN129" s="12"/>
      <c r="BQ129" s="12"/>
    </row>
    <row r="130" spans="4:69" ht="14.5" x14ac:dyDescent="0.25">
      <c r="D130" s="10"/>
      <c r="E130" s="11"/>
      <c r="BN130" s="12"/>
      <c r="BQ130" s="12"/>
    </row>
    <row r="131" spans="4:69" ht="14.5" x14ac:dyDescent="0.25">
      <c r="D131" s="10"/>
      <c r="E131" s="11"/>
      <c r="BN131" s="12"/>
      <c r="BQ131" s="12"/>
    </row>
    <row r="132" spans="4:69" ht="14.5" x14ac:dyDescent="0.25">
      <c r="D132" s="10"/>
      <c r="E132" s="11"/>
      <c r="BN132" s="12"/>
      <c r="BQ132" s="12"/>
    </row>
    <row r="133" spans="4:69" ht="14.5" x14ac:dyDescent="0.25">
      <c r="D133" s="10"/>
      <c r="E133" s="11"/>
      <c r="BN133" s="12"/>
      <c r="BQ133" s="12"/>
    </row>
    <row r="134" spans="4:69" ht="14.5" x14ac:dyDescent="0.25">
      <c r="D134" s="10"/>
      <c r="E134" s="11"/>
      <c r="BN134" s="12"/>
      <c r="BQ134" s="12"/>
    </row>
    <row r="135" spans="4:69" ht="14.5" x14ac:dyDescent="0.25">
      <c r="D135" s="10"/>
      <c r="E135" s="11"/>
      <c r="BN135" s="12"/>
      <c r="BQ135" s="12"/>
    </row>
    <row r="136" spans="4:69" ht="14.5" x14ac:dyDescent="0.25">
      <c r="D136" s="10"/>
      <c r="E136" s="11"/>
      <c r="BN136" s="12"/>
      <c r="BQ136" s="12"/>
    </row>
    <row r="137" spans="4:69" ht="14.5" x14ac:dyDescent="0.25">
      <c r="D137" s="10"/>
      <c r="E137" s="11"/>
      <c r="BN137" s="12"/>
      <c r="BQ137" s="12"/>
    </row>
    <row r="138" spans="4:69" ht="14.5" x14ac:dyDescent="0.25">
      <c r="D138" s="10"/>
      <c r="E138" s="11"/>
      <c r="BN138" s="12"/>
      <c r="BQ138" s="12"/>
    </row>
    <row r="139" spans="4:69" ht="14.5" x14ac:dyDescent="0.25">
      <c r="D139" s="10"/>
      <c r="E139" s="11"/>
      <c r="BN139" s="12"/>
      <c r="BQ139" s="12"/>
    </row>
    <row r="140" spans="4:69" ht="14.5" x14ac:dyDescent="0.25">
      <c r="D140" s="10"/>
      <c r="E140" s="11"/>
      <c r="BN140" s="12"/>
      <c r="BQ140" s="12"/>
    </row>
    <row r="141" spans="4:69" ht="14.5" x14ac:dyDescent="0.25">
      <c r="D141" s="10"/>
      <c r="E141" s="11"/>
      <c r="BN141" s="12"/>
      <c r="BQ141" s="12"/>
    </row>
    <row r="142" spans="4:69" ht="14.5" x14ac:dyDescent="0.25">
      <c r="D142" s="10"/>
      <c r="E142" s="11"/>
      <c r="BN142" s="12"/>
      <c r="BQ142" s="12"/>
    </row>
    <row r="143" spans="4:69" ht="14.5" x14ac:dyDescent="0.25">
      <c r="D143" s="10"/>
      <c r="E143" s="11"/>
      <c r="BN143" s="12"/>
      <c r="BQ143" s="12"/>
    </row>
    <row r="144" spans="4:69" ht="14.5" x14ac:dyDescent="0.25">
      <c r="D144" s="10"/>
      <c r="E144" s="11"/>
      <c r="BN144" s="12"/>
      <c r="BQ144" s="12"/>
    </row>
    <row r="145" spans="4:69" ht="14.5" x14ac:dyDescent="0.25">
      <c r="D145" s="10"/>
      <c r="E145" s="11"/>
      <c r="BN145" s="12"/>
      <c r="BQ145" s="12"/>
    </row>
    <row r="146" spans="4:69" ht="14.5" x14ac:dyDescent="0.25">
      <c r="D146" s="10"/>
      <c r="E146" s="11"/>
      <c r="BN146" s="12"/>
      <c r="BQ146" s="12"/>
    </row>
    <row r="147" spans="4:69" ht="14.5" x14ac:dyDescent="0.25">
      <c r="D147" s="10"/>
      <c r="E147" s="11"/>
      <c r="BN147" s="12"/>
      <c r="BQ147" s="12"/>
    </row>
    <row r="148" spans="4:69" ht="14.5" x14ac:dyDescent="0.25">
      <c r="D148" s="10"/>
      <c r="E148" s="11"/>
      <c r="BN148" s="12"/>
      <c r="BQ148" s="12"/>
    </row>
    <row r="149" spans="4:69" ht="14.5" x14ac:dyDescent="0.25">
      <c r="D149" s="10"/>
      <c r="E149" s="11"/>
      <c r="BN149" s="12"/>
      <c r="BQ149" s="12"/>
    </row>
    <row r="150" spans="4:69" ht="14.5" x14ac:dyDescent="0.25">
      <c r="D150" s="10"/>
      <c r="E150" s="11"/>
      <c r="BN150" s="12"/>
      <c r="BQ150" s="12"/>
    </row>
    <row r="151" spans="4:69" ht="14.5" x14ac:dyDescent="0.25">
      <c r="D151" s="10"/>
      <c r="E151" s="11"/>
      <c r="BN151" s="12"/>
      <c r="BQ151" s="12"/>
    </row>
    <row r="152" spans="4:69" ht="14.5" x14ac:dyDescent="0.25">
      <c r="D152" s="10"/>
      <c r="E152" s="11"/>
      <c r="BN152" s="12"/>
      <c r="BQ152" s="12"/>
    </row>
    <row r="153" spans="4:69" ht="14.5" x14ac:dyDescent="0.25">
      <c r="D153" s="10"/>
      <c r="E153" s="11"/>
      <c r="BN153" s="12"/>
      <c r="BQ153" s="12"/>
    </row>
    <row r="154" spans="4:69" ht="14.5" x14ac:dyDescent="0.25">
      <c r="D154" s="10"/>
      <c r="E154" s="11"/>
      <c r="BN154" s="12"/>
      <c r="BQ154" s="12"/>
    </row>
    <row r="155" spans="4:69" ht="14.5" x14ac:dyDescent="0.25">
      <c r="D155" s="10"/>
      <c r="E155" s="11"/>
      <c r="BN155" s="12"/>
      <c r="BQ155" s="12"/>
    </row>
    <row r="156" spans="4:69" ht="14.5" x14ac:dyDescent="0.25">
      <c r="D156" s="10"/>
      <c r="E156" s="11"/>
      <c r="BN156" s="12"/>
      <c r="BQ156" s="12"/>
    </row>
    <row r="157" spans="4:69" ht="14.5" x14ac:dyDescent="0.25">
      <c r="D157" s="10"/>
      <c r="E157" s="11"/>
      <c r="BN157" s="12"/>
      <c r="BQ157" s="12"/>
    </row>
    <row r="158" spans="4:69" ht="14.5" x14ac:dyDescent="0.25">
      <c r="D158" s="10"/>
      <c r="E158" s="11"/>
      <c r="BN158" s="12"/>
      <c r="BQ158" s="12"/>
    </row>
    <row r="159" spans="4:69" ht="14.5" x14ac:dyDescent="0.25">
      <c r="D159" s="10"/>
      <c r="E159" s="11"/>
      <c r="BN159" s="12"/>
      <c r="BQ159" s="12"/>
    </row>
    <row r="160" spans="4:69" ht="14.5" x14ac:dyDescent="0.25">
      <c r="D160" s="10"/>
      <c r="E160" s="11"/>
      <c r="BN160" s="12"/>
      <c r="BQ160" s="12"/>
    </row>
    <row r="161" spans="4:69" ht="14.5" x14ac:dyDescent="0.25">
      <c r="D161" s="10"/>
      <c r="E161" s="11"/>
      <c r="BN161" s="12"/>
      <c r="BQ161" s="12"/>
    </row>
    <row r="162" spans="4:69" ht="14.5" x14ac:dyDescent="0.25">
      <c r="D162" s="10"/>
      <c r="E162" s="11"/>
      <c r="BN162" s="12"/>
      <c r="BQ162" s="12"/>
    </row>
    <row r="163" spans="4:69" ht="14.5" x14ac:dyDescent="0.25">
      <c r="D163" s="10"/>
      <c r="E163" s="11"/>
      <c r="BN163" s="12"/>
      <c r="BQ163" s="12"/>
    </row>
    <row r="164" spans="4:69" ht="14.5" x14ac:dyDescent="0.25">
      <c r="D164" s="10"/>
      <c r="E164" s="11"/>
      <c r="BN164" s="12"/>
      <c r="BQ164" s="12"/>
    </row>
    <row r="165" spans="4:69" ht="14.5" x14ac:dyDescent="0.25">
      <c r="D165" s="10"/>
      <c r="E165" s="11"/>
      <c r="BN165" s="12"/>
      <c r="BQ165" s="12"/>
    </row>
    <row r="166" spans="4:69" ht="14.5" x14ac:dyDescent="0.25">
      <c r="D166" s="10"/>
      <c r="E166" s="11"/>
      <c r="BN166" s="12"/>
      <c r="BQ166" s="12"/>
    </row>
    <row r="167" spans="4:69" ht="14.5" x14ac:dyDescent="0.25">
      <c r="D167" s="10"/>
      <c r="E167" s="11"/>
      <c r="BN167" s="12"/>
      <c r="BQ167" s="12"/>
    </row>
    <row r="168" spans="4:69" ht="14.5" x14ac:dyDescent="0.25">
      <c r="D168" s="10"/>
      <c r="E168" s="11"/>
      <c r="BN168" s="12"/>
      <c r="BQ168" s="12"/>
    </row>
    <row r="169" spans="4:69" ht="14.5" x14ac:dyDescent="0.25">
      <c r="D169" s="10"/>
      <c r="E169" s="11"/>
      <c r="BN169" s="12"/>
      <c r="BQ169" s="12"/>
    </row>
    <row r="170" spans="4:69" ht="14.5" x14ac:dyDescent="0.25">
      <c r="D170" s="10"/>
      <c r="E170" s="11"/>
      <c r="BN170" s="12"/>
      <c r="BQ170" s="12"/>
    </row>
    <row r="171" spans="4:69" ht="14.5" x14ac:dyDescent="0.25">
      <c r="D171" s="10"/>
      <c r="E171" s="11"/>
      <c r="BN171" s="12"/>
      <c r="BQ171" s="12"/>
    </row>
    <row r="172" spans="4:69" ht="14.5" x14ac:dyDescent="0.25">
      <c r="D172" s="10"/>
      <c r="E172" s="11"/>
      <c r="BN172" s="12"/>
      <c r="BQ172" s="12"/>
    </row>
    <row r="173" spans="4:69" ht="14.5" x14ac:dyDescent="0.25">
      <c r="D173" s="10"/>
      <c r="E173" s="11"/>
      <c r="BN173" s="12"/>
      <c r="BQ173" s="12"/>
    </row>
    <row r="174" spans="4:69" ht="14.5" x14ac:dyDescent="0.25">
      <c r="D174" s="10"/>
      <c r="E174" s="11"/>
      <c r="BN174" s="12"/>
      <c r="BQ174" s="12"/>
    </row>
    <row r="175" spans="4:69" ht="14.5" x14ac:dyDescent="0.25">
      <c r="D175" s="10"/>
      <c r="E175" s="11"/>
      <c r="BN175" s="12"/>
      <c r="BQ175" s="12"/>
    </row>
    <row r="176" spans="4:69" ht="14.5" x14ac:dyDescent="0.25">
      <c r="D176" s="10"/>
      <c r="E176" s="11"/>
      <c r="BN176" s="12"/>
      <c r="BQ176" s="12"/>
    </row>
    <row r="177" spans="4:69" ht="14.5" x14ac:dyDescent="0.25">
      <c r="D177" s="10"/>
      <c r="E177" s="11"/>
      <c r="BN177" s="12"/>
      <c r="BQ177" s="12"/>
    </row>
    <row r="178" spans="4:69" ht="14.5" x14ac:dyDescent="0.25">
      <c r="D178" s="10"/>
      <c r="E178" s="11"/>
      <c r="BN178" s="12"/>
      <c r="BQ178" s="12"/>
    </row>
    <row r="179" spans="4:69" ht="14.5" x14ac:dyDescent="0.25">
      <c r="D179" s="10"/>
      <c r="E179" s="11"/>
      <c r="BN179" s="12"/>
      <c r="BQ179" s="12"/>
    </row>
    <row r="180" spans="4:69" ht="14.5" x14ac:dyDescent="0.25">
      <c r="D180" s="10"/>
      <c r="E180" s="11"/>
      <c r="BN180" s="12"/>
      <c r="BQ180" s="12"/>
    </row>
    <row r="181" spans="4:69" ht="14.5" x14ac:dyDescent="0.25">
      <c r="D181" s="10"/>
      <c r="E181" s="11"/>
      <c r="BN181" s="12"/>
      <c r="BQ181" s="12"/>
    </row>
    <row r="182" spans="4:69" ht="14.5" x14ac:dyDescent="0.25">
      <c r="D182" s="10"/>
      <c r="E182" s="11"/>
      <c r="BN182" s="12"/>
      <c r="BQ182" s="12"/>
    </row>
    <row r="183" spans="4:69" ht="14.5" x14ac:dyDescent="0.25">
      <c r="D183" s="10"/>
      <c r="E183" s="11"/>
      <c r="BN183" s="12"/>
      <c r="BQ183" s="12"/>
    </row>
    <row r="184" spans="4:69" ht="14.5" x14ac:dyDescent="0.25">
      <c r="D184" s="10"/>
      <c r="E184" s="11"/>
      <c r="BN184" s="12"/>
      <c r="BQ184" s="12"/>
    </row>
    <row r="185" spans="4:69" ht="14.5" x14ac:dyDescent="0.25">
      <c r="D185" s="10"/>
      <c r="E185" s="11"/>
      <c r="BN185" s="12"/>
      <c r="BQ185" s="12"/>
    </row>
    <row r="186" spans="4:69" ht="14.5" x14ac:dyDescent="0.25">
      <c r="D186" s="10"/>
      <c r="E186" s="11"/>
      <c r="BN186" s="12"/>
      <c r="BQ186" s="12"/>
    </row>
    <row r="187" spans="4:69" ht="14.5" x14ac:dyDescent="0.25">
      <c r="D187" s="10"/>
      <c r="E187" s="11"/>
      <c r="BN187" s="12"/>
      <c r="BQ187" s="12"/>
    </row>
    <row r="188" spans="4:69" ht="14.5" x14ac:dyDescent="0.25">
      <c r="D188" s="10"/>
      <c r="E188" s="11"/>
      <c r="BN188" s="12"/>
      <c r="BQ188" s="12"/>
    </row>
    <row r="189" spans="4:69" ht="14.5" x14ac:dyDescent="0.25">
      <c r="D189" s="10"/>
      <c r="E189" s="11"/>
      <c r="BN189" s="12"/>
      <c r="BQ189" s="12"/>
    </row>
    <row r="190" spans="4:69" ht="14.5" x14ac:dyDescent="0.25">
      <c r="D190" s="10"/>
      <c r="E190" s="11"/>
      <c r="BN190" s="12"/>
      <c r="BQ190" s="12"/>
    </row>
    <row r="191" spans="4:69" ht="14.5" x14ac:dyDescent="0.25">
      <c r="D191" s="10"/>
      <c r="E191" s="11"/>
      <c r="BN191" s="12"/>
      <c r="BQ191" s="12"/>
    </row>
    <row r="192" spans="4:69" ht="14.5" x14ac:dyDescent="0.25">
      <c r="D192" s="10"/>
      <c r="E192" s="11"/>
      <c r="BN192" s="12"/>
      <c r="BQ192" s="12"/>
    </row>
    <row r="193" spans="4:69" ht="14.5" x14ac:dyDescent="0.25">
      <c r="D193" s="10"/>
      <c r="E193" s="11"/>
      <c r="BN193" s="12"/>
      <c r="BQ193" s="12"/>
    </row>
    <row r="194" spans="4:69" ht="14.5" x14ac:dyDescent="0.25">
      <c r="D194" s="10"/>
      <c r="E194" s="11"/>
      <c r="BN194" s="12"/>
      <c r="BQ194" s="12"/>
    </row>
    <row r="195" spans="4:69" ht="14.5" x14ac:dyDescent="0.25">
      <c r="D195" s="10"/>
      <c r="E195" s="11"/>
      <c r="BN195" s="12"/>
      <c r="BQ195" s="12"/>
    </row>
    <row r="196" spans="4:69" ht="14.5" x14ac:dyDescent="0.25">
      <c r="D196" s="10"/>
      <c r="E196" s="11"/>
      <c r="BN196" s="12"/>
      <c r="BQ196" s="12"/>
    </row>
    <row r="197" spans="4:69" ht="14.5" x14ac:dyDescent="0.25">
      <c r="D197" s="10"/>
      <c r="E197" s="11"/>
      <c r="BN197" s="12"/>
      <c r="BQ197" s="12"/>
    </row>
    <row r="198" spans="4:69" ht="14.5" x14ac:dyDescent="0.25">
      <c r="D198" s="10"/>
      <c r="E198" s="11"/>
      <c r="BN198" s="12"/>
      <c r="BQ198" s="12"/>
    </row>
    <row r="199" spans="4:69" ht="14.5" x14ac:dyDescent="0.25">
      <c r="D199" s="10"/>
      <c r="E199" s="11"/>
      <c r="BN199" s="12"/>
      <c r="BQ199" s="12"/>
    </row>
    <row r="200" spans="4:69" ht="14.5" x14ac:dyDescent="0.25">
      <c r="D200" s="10"/>
      <c r="E200" s="11"/>
      <c r="BN200" s="12"/>
      <c r="BQ200" s="12"/>
    </row>
    <row r="201" spans="4:69" ht="14.5" x14ac:dyDescent="0.25">
      <c r="D201" s="10"/>
      <c r="E201" s="11"/>
      <c r="BN201" s="12"/>
      <c r="BQ201" s="12"/>
    </row>
    <row r="202" spans="4:69" ht="14.5" x14ac:dyDescent="0.25">
      <c r="D202" s="10"/>
      <c r="E202" s="11"/>
      <c r="BN202" s="12"/>
      <c r="BQ202" s="12"/>
    </row>
    <row r="203" spans="4:69" ht="14.5" x14ac:dyDescent="0.25">
      <c r="D203" s="10"/>
      <c r="E203" s="11"/>
      <c r="BN203" s="12"/>
      <c r="BQ203" s="12"/>
    </row>
    <row r="204" spans="4:69" ht="14.5" x14ac:dyDescent="0.25">
      <c r="D204" s="10"/>
      <c r="E204" s="11"/>
      <c r="BN204" s="12"/>
      <c r="BQ204" s="12"/>
    </row>
    <row r="205" spans="4:69" ht="14.5" x14ac:dyDescent="0.25">
      <c r="D205" s="10"/>
      <c r="E205" s="11"/>
      <c r="BN205" s="12"/>
      <c r="BQ205" s="12"/>
    </row>
    <row r="206" spans="4:69" ht="14.5" x14ac:dyDescent="0.25">
      <c r="D206" s="10"/>
      <c r="E206" s="11"/>
      <c r="BN206" s="12"/>
      <c r="BQ206" s="12"/>
    </row>
    <row r="207" spans="4:69" ht="14.5" x14ac:dyDescent="0.25">
      <c r="D207" s="10"/>
      <c r="E207" s="11"/>
      <c r="BN207" s="12"/>
      <c r="BQ207" s="12"/>
    </row>
    <row r="208" spans="4:69" ht="14.5" x14ac:dyDescent="0.25">
      <c r="D208" s="10"/>
      <c r="E208" s="11"/>
      <c r="BN208" s="12"/>
      <c r="BQ208" s="12"/>
    </row>
    <row r="209" spans="4:69" ht="14.5" x14ac:dyDescent="0.25">
      <c r="D209" s="10"/>
      <c r="E209" s="11"/>
      <c r="BN209" s="12"/>
      <c r="BQ209" s="12"/>
    </row>
    <row r="210" spans="4:69" ht="14.5" x14ac:dyDescent="0.25">
      <c r="D210" s="10"/>
      <c r="E210" s="11"/>
      <c r="BN210" s="12"/>
      <c r="BQ210" s="12"/>
    </row>
    <row r="211" spans="4:69" ht="14.5" x14ac:dyDescent="0.25">
      <c r="D211" s="10"/>
      <c r="E211" s="11"/>
      <c r="BN211" s="12"/>
      <c r="BQ211" s="12"/>
    </row>
    <row r="212" spans="4:69" ht="14.5" x14ac:dyDescent="0.25">
      <c r="D212" s="10"/>
      <c r="E212" s="11"/>
      <c r="BN212" s="12"/>
      <c r="BQ212" s="12"/>
    </row>
    <row r="213" spans="4:69" ht="14.5" x14ac:dyDescent="0.25">
      <c r="D213" s="10"/>
      <c r="E213" s="11"/>
      <c r="BN213" s="12"/>
      <c r="BQ213" s="12"/>
    </row>
    <row r="214" spans="4:69" ht="14.5" x14ac:dyDescent="0.25">
      <c r="D214" s="10"/>
      <c r="E214" s="11"/>
      <c r="BN214" s="12"/>
      <c r="BQ214" s="12"/>
    </row>
    <row r="215" spans="4:69" ht="14.5" x14ac:dyDescent="0.25">
      <c r="D215" s="10"/>
      <c r="E215" s="11"/>
      <c r="BN215" s="12"/>
      <c r="BQ215" s="12"/>
    </row>
    <row r="216" spans="4:69" ht="14.5" x14ac:dyDescent="0.25">
      <c r="D216" s="10"/>
      <c r="E216" s="11"/>
      <c r="BN216" s="12"/>
      <c r="BQ216" s="12"/>
    </row>
    <row r="217" spans="4:69" ht="14.5" x14ac:dyDescent="0.25">
      <c r="D217" s="10"/>
      <c r="E217" s="11"/>
      <c r="BQ217" s="12"/>
    </row>
    <row r="218" spans="4:69" ht="14.5" x14ac:dyDescent="0.25">
      <c r="D218" s="10"/>
      <c r="E218" s="11"/>
      <c r="BN218" s="12"/>
      <c r="BQ218" s="12"/>
    </row>
    <row r="219" spans="4:69" ht="14.5" x14ac:dyDescent="0.25">
      <c r="D219" s="10"/>
      <c r="E219" s="11"/>
      <c r="BN219" s="12"/>
      <c r="BQ219" s="12"/>
    </row>
    <row r="220" spans="4:69" ht="14.5" x14ac:dyDescent="0.25">
      <c r="D220" s="10"/>
      <c r="E220" s="11"/>
      <c r="BN220" s="12"/>
      <c r="BQ220" s="12"/>
    </row>
    <row r="221" spans="4:69" ht="14.5" x14ac:dyDescent="0.25">
      <c r="D221" s="10"/>
      <c r="E221" s="11"/>
      <c r="BN221" s="12"/>
      <c r="BQ221" s="12"/>
    </row>
    <row r="222" spans="4:69" ht="14.5" x14ac:dyDescent="0.25">
      <c r="D222" s="10"/>
      <c r="E222" s="11"/>
      <c r="BN222" s="12"/>
      <c r="BQ222" s="12"/>
    </row>
    <row r="223" spans="4:69" ht="14.5" x14ac:dyDescent="0.25">
      <c r="D223" s="10"/>
      <c r="E223" s="11"/>
      <c r="BN223" s="12"/>
      <c r="BQ223" s="12"/>
    </row>
    <row r="224" spans="4:69" ht="14.5" x14ac:dyDescent="0.25">
      <c r="D224" s="10"/>
      <c r="E224" s="11"/>
      <c r="BN224" s="12"/>
      <c r="BQ224" s="12"/>
    </row>
    <row r="225" spans="4:69" ht="14.5" x14ac:dyDescent="0.25">
      <c r="D225" s="10"/>
      <c r="E225" s="11"/>
      <c r="BN225" s="12"/>
      <c r="BQ225" s="12"/>
    </row>
    <row r="226" spans="4:69" ht="14.5" x14ac:dyDescent="0.25">
      <c r="D226" s="10"/>
      <c r="E226" s="11"/>
      <c r="BN226" s="12"/>
      <c r="BQ226" s="12"/>
    </row>
    <row r="227" spans="4:69" ht="14.5" x14ac:dyDescent="0.25">
      <c r="D227" s="10"/>
      <c r="E227" s="11"/>
      <c r="BN227" s="12"/>
      <c r="BQ227" s="12"/>
    </row>
    <row r="228" spans="4:69" ht="14.5" x14ac:dyDescent="0.25">
      <c r="D228" s="10"/>
      <c r="E228" s="11"/>
      <c r="BN228" s="12"/>
      <c r="BQ228" s="12"/>
    </row>
    <row r="229" spans="4:69" ht="14.5" x14ac:dyDescent="0.25">
      <c r="D229" s="10"/>
      <c r="E229" s="11"/>
      <c r="BN229" s="12"/>
      <c r="BQ229" s="12"/>
    </row>
    <row r="230" spans="4:69" ht="14.5" x14ac:dyDescent="0.25">
      <c r="D230" s="10"/>
      <c r="E230" s="11"/>
      <c r="BN230" s="12"/>
      <c r="BQ230" s="12"/>
    </row>
    <row r="231" spans="4:69" ht="14.5" x14ac:dyDescent="0.25">
      <c r="D231" s="10"/>
      <c r="E231" s="11"/>
      <c r="BN231" s="12"/>
      <c r="BQ231" s="12"/>
    </row>
    <row r="232" spans="4:69" ht="14.5" x14ac:dyDescent="0.25">
      <c r="D232" s="10"/>
      <c r="E232" s="11"/>
      <c r="BN232" s="12"/>
      <c r="BQ232" s="12"/>
    </row>
    <row r="233" spans="4:69" ht="14.5" x14ac:dyDescent="0.25">
      <c r="D233" s="10"/>
      <c r="E233" s="11"/>
      <c r="BN233" s="12"/>
      <c r="BQ233" s="12"/>
    </row>
    <row r="234" spans="4:69" ht="14.5" x14ac:dyDescent="0.25">
      <c r="D234" s="10"/>
      <c r="E234" s="11"/>
      <c r="BN234" s="12"/>
      <c r="BQ234" s="12"/>
    </row>
    <row r="235" spans="4:69" ht="14.5" x14ac:dyDescent="0.25">
      <c r="D235" s="10"/>
      <c r="E235" s="11"/>
      <c r="BN235" s="12"/>
      <c r="BQ235" s="12"/>
    </row>
    <row r="236" spans="4:69" ht="14.5" x14ac:dyDescent="0.25">
      <c r="D236" s="10"/>
      <c r="E236" s="11"/>
      <c r="BN236" s="12"/>
      <c r="BQ236" s="12"/>
    </row>
    <row r="237" spans="4:69" ht="14.5" x14ac:dyDescent="0.25">
      <c r="D237" s="10"/>
      <c r="E237" s="11"/>
      <c r="BN237" s="12"/>
      <c r="BQ237" s="12"/>
    </row>
    <row r="238" spans="4:69" ht="14.5" x14ac:dyDescent="0.25">
      <c r="D238" s="10"/>
      <c r="E238" s="11"/>
      <c r="BN238" s="12"/>
      <c r="BQ238" s="12"/>
    </row>
    <row r="239" spans="4:69" ht="14.5" x14ac:dyDescent="0.25">
      <c r="D239" s="10"/>
      <c r="E239" s="11"/>
      <c r="BN239" s="12"/>
      <c r="BQ239" s="12"/>
    </row>
    <row r="240" spans="4:69" ht="14.5" x14ac:dyDescent="0.25">
      <c r="D240" s="10"/>
      <c r="E240" s="11"/>
      <c r="BN240" s="12"/>
      <c r="BQ240" s="12"/>
    </row>
    <row r="241" spans="4:69" ht="14.5" x14ac:dyDescent="0.25">
      <c r="D241" s="10"/>
      <c r="E241" s="11"/>
      <c r="BN241" s="12"/>
      <c r="BQ241" s="12"/>
    </row>
    <row r="242" spans="4:69" ht="14.5" x14ac:dyDescent="0.25">
      <c r="D242" s="10"/>
      <c r="E242" s="11"/>
      <c r="BN242" s="12"/>
      <c r="BQ242" s="12"/>
    </row>
    <row r="243" spans="4:69" ht="14.5" x14ac:dyDescent="0.25">
      <c r="D243" s="10"/>
      <c r="E243" s="11"/>
      <c r="BN243" s="12"/>
      <c r="BQ243" s="12"/>
    </row>
    <row r="244" spans="4:69" ht="14.5" x14ac:dyDescent="0.25">
      <c r="D244" s="10"/>
      <c r="E244" s="11"/>
      <c r="BN244" s="12"/>
      <c r="BQ244" s="12"/>
    </row>
    <row r="245" spans="4:69" ht="14.5" x14ac:dyDescent="0.25">
      <c r="D245" s="10"/>
      <c r="E245" s="11"/>
      <c r="BN245" s="12"/>
      <c r="BQ245" s="12"/>
    </row>
    <row r="246" spans="4:69" ht="14.5" x14ac:dyDescent="0.25">
      <c r="D246" s="10"/>
      <c r="E246" s="11"/>
      <c r="BN246" s="12"/>
      <c r="BQ246" s="12"/>
    </row>
    <row r="247" spans="4:69" ht="14.5" x14ac:dyDescent="0.25">
      <c r="D247" s="10"/>
      <c r="E247" s="11"/>
      <c r="BN247" s="12"/>
      <c r="BQ247" s="12"/>
    </row>
    <row r="248" spans="4:69" ht="14.5" x14ac:dyDescent="0.25">
      <c r="D248" s="10"/>
      <c r="E248" s="11"/>
      <c r="BN248" s="12"/>
      <c r="BQ248" s="12"/>
    </row>
    <row r="249" spans="4:69" ht="14.5" x14ac:dyDescent="0.25">
      <c r="D249" s="10"/>
      <c r="E249" s="11"/>
      <c r="BN249" s="12"/>
      <c r="BQ249" s="12"/>
    </row>
    <row r="250" spans="4:69" ht="14.5" x14ac:dyDescent="0.25">
      <c r="D250" s="10"/>
      <c r="E250" s="11"/>
      <c r="BN250" s="12"/>
      <c r="BQ250" s="12"/>
    </row>
    <row r="251" spans="4:69" ht="14.5" x14ac:dyDescent="0.25">
      <c r="D251" s="10"/>
      <c r="E251" s="11"/>
      <c r="BN251" s="12"/>
      <c r="BQ251" s="12"/>
    </row>
    <row r="252" spans="4:69" ht="14.5" x14ac:dyDescent="0.25">
      <c r="D252" s="10"/>
      <c r="E252" s="11"/>
      <c r="BN252" s="12"/>
      <c r="BQ252" s="12"/>
    </row>
    <row r="253" spans="4:69" ht="14.5" x14ac:dyDescent="0.25">
      <c r="D253" s="10"/>
      <c r="E253" s="11"/>
      <c r="BN253" s="12"/>
      <c r="BQ253" s="12"/>
    </row>
    <row r="254" spans="4:69" ht="14.5" x14ac:dyDescent="0.25">
      <c r="D254" s="10"/>
      <c r="E254" s="11"/>
      <c r="BN254" s="12"/>
      <c r="BQ254" s="12"/>
    </row>
    <row r="255" spans="4:69" ht="14.5" x14ac:dyDescent="0.25">
      <c r="D255" s="10"/>
      <c r="E255" s="11"/>
      <c r="BN255" s="12"/>
      <c r="BQ255" s="12"/>
    </row>
    <row r="256" spans="4:69" ht="14.5" x14ac:dyDescent="0.25">
      <c r="D256" s="10"/>
      <c r="E256" s="11"/>
      <c r="BN256" s="12"/>
      <c r="BQ256" s="12"/>
    </row>
    <row r="257" spans="4:69" ht="14.5" x14ac:dyDescent="0.25">
      <c r="D257" s="10"/>
      <c r="E257" s="11"/>
      <c r="BN257" s="12"/>
      <c r="BQ257" s="12"/>
    </row>
    <row r="258" spans="4:69" ht="14.5" x14ac:dyDescent="0.25">
      <c r="D258" s="10"/>
      <c r="E258" s="11"/>
      <c r="BN258" s="12"/>
      <c r="BQ258" s="12"/>
    </row>
    <row r="259" spans="4:69" ht="14.5" x14ac:dyDescent="0.25">
      <c r="D259" s="10"/>
      <c r="E259" s="11"/>
      <c r="BN259" s="12"/>
      <c r="BQ259" s="12"/>
    </row>
    <row r="260" spans="4:69" ht="14.5" x14ac:dyDescent="0.25">
      <c r="D260" s="10"/>
      <c r="E260" s="11"/>
      <c r="BQ260" s="12"/>
    </row>
    <row r="261" spans="4:69" ht="14.5" x14ac:dyDescent="0.25">
      <c r="D261" s="10"/>
      <c r="E261" s="11"/>
      <c r="BN261" s="12"/>
      <c r="BQ261" s="12"/>
    </row>
    <row r="262" spans="4:69" ht="14.5" x14ac:dyDescent="0.25">
      <c r="D262" s="10"/>
      <c r="E262" s="11"/>
      <c r="BN262" s="12"/>
      <c r="BQ262" s="12"/>
    </row>
    <row r="263" spans="4:69" ht="14.5" x14ac:dyDescent="0.25">
      <c r="D263" s="10"/>
      <c r="E263" s="11"/>
      <c r="BN263" s="12"/>
      <c r="BQ263" s="12"/>
    </row>
    <row r="264" spans="4:69" ht="14.5" x14ac:dyDescent="0.25">
      <c r="D264" s="10"/>
      <c r="E264" s="11"/>
      <c r="BN264" s="12"/>
      <c r="BQ264" s="12"/>
    </row>
    <row r="265" spans="4:69" ht="14.5" x14ac:dyDescent="0.25">
      <c r="D265" s="10"/>
      <c r="E265" s="11"/>
      <c r="BN265" s="12"/>
      <c r="BQ265" s="12"/>
    </row>
    <row r="266" spans="4:69" ht="14.5" x14ac:dyDescent="0.25">
      <c r="D266" s="10"/>
      <c r="E266" s="11"/>
      <c r="BN266" s="12"/>
      <c r="BQ266" s="12"/>
    </row>
    <row r="267" spans="4:69" ht="14.5" x14ac:dyDescent="0.25">
      <c r="D267" s="10"/>
      <c r="E267" s="11"/>
      <c r="BN267" s="12"/>
      <c r="BQ267" s="12"/>
    </row>
    <row r="268" spans="4:69" ht="14.5" x14ac:dyDescent="0.25">
      <c r="D268" s="10"/>
      <c r="E268" s="11"/>
      <c r="BN268" s="12"/>
      <c r="BQ268" s="12"/>
    </row>
    <row r="269" spans="4:69" ht="14.5" x14ac:dyDescent="0.25">
      <c r="D269" s="10"/>
      <c r="E269" s="11"/>
      <c r="BN269" s="12"/>
      <c r="BQ269" s="12"/>
    </row>
    <row r="270" spans="4:69" ht="14.5" x14ac:dyDescent="0.25">
      <c r="D270" s="10"/>
      <c r="E270" s="11"/>
      <c r="BN270" s="12"/>
      <c r="BQ270" s="12"/>
    </row>
    <row r="271" spans="4:69" ht="14.5" x14ac:dyDescent="0.25">
      <c r="D271" s="10"/>
      <c r="E271" s="11"/>
      <c r="BN271" s="12"/>
      <c r="BQ271" s="12"/>
    </row>
    <row r="272" spans="4:69" ht="14.5" x14ac:dyDescent="0.25">
      <c r="D272" s="10"/>
      <c r="E272" s="11"/>
      <c r="BN272" s="12"/>
      <c r="BQ272" s="12"/>
    </row>
    <row r="273" spans="4:69" ht="14.5" x14ac:dyDescent="0.25">
      <c r="D273" s="10"/>
      <c r="E273" s="11"/>
      <c r="BN273" s="12"/>
      <c r="BQ273" s="12"/>
    </row>
    <row r="274" spans="4:69" ht="14.5" x14ac:dyDescent="0.25">
      <c r="D274" s="10"/>
      <c r="E274" s="11"/>
      <c r="BN274" s="12"/>
      <c r="BQ274" s="12"/>
    </row>
    <row r="275" spans="4:69" ht="14.5" x14ac:dyDescent="0.25">
      <c r="D275" s="10"/>
      <c r="E275" s="11"/>
      <c r="BN275" s="12"/>
      <c r="BQ275" s="12"/>
    </row>
    <row r="276" spans="4:69" ht="14.5" x14ac:dyDescent="0.25">
      <c r="D276" s="10"/>
      <c r="E276" s="11"/>
      <c r="BN276" s="12"/>
      <c r="BQ276" s="12"/>
    </row>
    <row r="277" spans="4:69" ht="14.5" x14ac:dyDescent="0.25">
      <c r="D277" s="10"/>
      <c r="E277" s="11"/>
      <c r="BN277" s="12"/>
      <c r="BQ277" s="12"/>
    </row>
    <row r="278" spans="4:69" ht="14.5" x14ac:dyDescent="0.25">
      <c r="D278" s="10"/>
      <c r="E278" s="11"/>
      <c r="BN278" s="12"/>
      <c r="BQ278" s="12"/>
    </row>
    <row r="279" spans="4:69" ht="14.5" x14ac:dyDescent="0.25">
      <c r="D279" s="10"/>
      <c r="E279" s="11"/>
      <c r="BN279" s="12"/>
      <c r="BQ279" s="12"/>
    </row>
    <row r="280" spans="4:69" ht="14.5" x14ac:dyDescent="0.25">
      <c r="D280" s="10"/>
      <c r="E280" s="11"/>
      <c r="BN280" s="12"/>
      <c r="BQ280" s="12"/>
    </row>
    <row r="281" spans="4:69" ht="14.5" x14ac:dyDescent="0.25">
      <c r="D281" s="10"/>
      <c r="E281" s="11"/>
      <c r="BN281" s="12"/>
      <c r="BQ281" s="12"/>
    </row>
    <row r="282" spans="4:69" ht="14.5" x14ac:dyDescent="0.25">
      <c r="D282" s="10"/>
      <c r="E282" s="11"/>
      <c r="BN282" s="12"/>
      <c r="BQ282" s="12"/>
    </row>
    <row r="283" spans="4:69" ht="14.5" x14ac:dyDescent="0.25">
      <c r="D283" s="10"/>
      <c r="E283" s="11"/>
      <c r="BN283" s="12"/>
      <c r="BQ283" s="12"/>
    </row>
    <row r="284" spans="4:69" ht="14.5" x14ac:dyDescent="0.25">
      <c r="D284" s="10"/>
      <c r="E284" s="11"/>
      <c r="BN284" s="12"/>
      <c r="BQ284" s="12"/>
    </row>
    <row r="285" spans="4:69" ht="14.5" x14ac:dyDescent="0.25">
      <c r="D285" s="10"/>
      <c r="E285" s="11"/>
      <c r="BN285" s="12"/>
      <c r="BQ285" s="12"/>
    </row>
    <row r="286" spans="4:69" ht="14.5" x14ac:dyDescent="0.25">
      <c r="D286" s="10"/>
      <c r="E286" s="11"/>
      <c r="BN286" s="12"/>
      <c r="BQ286" s="12"/>
    </row>
    <row r="287" spans="4:69" ht="14.5" x14ac:dyDescent="0.25">
      <c r="D287" s="10"/>
      <c r="E287" s="11"/>
      <c r="BN287" s="12"/>
      <c r="BQ287" s="12"/>
    </row>
    <row r="288" spans="4:69" ht="14.5" x14ac:dyDescent="0.25">
      <c r="D288" s="10"/>
      <c r="E288" s="11"/>
      <c r="BN288" s="12"/>
      <c r="BQ288" s="12"/>
    </row>
    <row r="289" spans="4:69" ht="14.5" x14ac:dyDescent="0.25">
      <c r="D289" s="10"/>
      <c r="E289" s="11"/>
      <c r="BN289" s="12"/>
      <c r="BQ289" s="12"/>
    </row>
    <row r="290" spans="4:69" ht="14.5" x14ac:dyDescent="0.25">
      <c r="D290" s="10"/>
      <c r="E290" s="11"/>
      <c r="BN290" s="12"/>
      <c r="BQ290" s="12"/>
    </row>
    <row r="291" spans="4:69" ht="14.5" x14ac:dyDescent="0.25">
      <c r="D291" s="10"/>
      <c r="E291" s="11"/>
      <c r="BN291" s="12"/>
      <c r="BQ291" s="12"/>
    </row>
    <row r="292" spans="4:69" ht="14.5" x14ac:dyDescent="0.25">
      <c r="D292" s="10"/>
      <c r="E292" s="11"/>
      <c r="BN292" s="12"/>
      <c r="BQ292" s="12"/>
    </row>
    <row r="293" spans="4:69" ht="14.5" x14ac:dyDescent="0.25">
      <c r="D293" s="10"/>
      <c r="E293" s="11"/>
      <c r="BN293" s="12"/>
      <c r="BQ293" s="12"/>
    </row>
    <row r="294" spans="4:69" ht="14.5" x14ac:dyDescent="0.25">
      <c r="D294" s="10"/>
      <c r="E294" s="11"/>
      <c r="BN294" s="12"/>
      <c r="BQ294" s="12"/>
    </row>
    <row r="295" spans="4:69" ht="14.5" x14ac:dyDescent="0.25">
      <c r="D295" s="10"/>
      <c r="E295" s="11"/>
      <c r="BN295" s="12"/>
      <c r="BQ295" s="12"/>
    </row>
    <row r="296" spans="4:69" ht="14.5" x14ac:dyDescent="0.25">
      <c r="D296" s="10"/>
      <c r="E296" s="11"/>
      <c r="BN296" s="12"/>
      <c r="BQ296" s="12"/>
    </row>
    <row r="297" spans="4:69" ht="14.5" x14ac:dyDescent="0.25">
      <c r="D297" s="10"/>
      <c r="E297" s="11"/>
      <c r="BN297" s="12"/>
      <c r="BQ297" s="12"/>
    </row>
    <row r="298" spans="4:69" ht="14.5" x14ac:dyDescent="0.25">
      <c r="D298" s="10"/>
      <c r="E298" s="11"/>
      <c r="BN298" s="12"/>
      <c r="BQ298" s="12"/>
    </row>
    <row r="299" spans="4:69" ht="14.5" x14ac:dyDescent="0.25">
      <c r="D299" s="10"/>
      <c r="E299" s="11"/>
      <c r="BN299" s="12"/>
      <c r="BQ299" s="12"/>
    </row>
    <row r="300" spans="4:69" ht="14.5" x14ac:dyDescent="0.25">
      <c r="D300" s="10"/>
      <c r="E300" s="11"/>
      <c r="BN300" s="12"/>
      <c r="BQ300" s="12"/>
    </row>
    <row r="301" spans="4:69" ht="14.5" x14ac:dyDescent="0.25">
      <c r="D301" s="10"/>
      <c r="E301" s="11"/>
      <c r="BN301" s="12"/>
      <c r="BQ301" s="12"/>
    </row>
    <row r="302" spans="4:69" ht="14.5" x14ac:dyDescent="0.25">
      <c r="D302" s="10"/>
      <c r="E302" s="11"/>
      <c r="BN302" s="12"/>
      <c r="BQ302" s="12"/>
    </row>
    <row r="303" spans="4:69" ht="14.5" x14ac:dyDescent="0.25">
      <c r="D303" s="10"/>
      <c r="E303" s="11"/>
      <c r="BN303" s="12"/>
      <c r="BQ303" s="12"/>
    </row>
    <row r="304" spans="4:69" ht="14.5" x14ac:dyDescent="0.25">
      <c r="D304" s="10"/>
      <c r="E304" s="11"/>
      <c r="BN304" s="12"/>
      <c r="BQ304" s="12"/>
    </row>
    <row r="305" spans="4:69" ht="14.5" x14ac:dyDescent="0.25">
      <c r="D305" s="10"/>
      <c r="E305" s="11"/>
      <c r="BN305" s="12"/>
      <c r="BQ305" s="12"/>
    </row>
    <row r="306" spans="4:69" ht="14.5" x14ac:dyDescent="0.25">
      <c r="D306" s="10"/>
      <c r="E306" s="11"/>
      <c r="BN306" s="12"/>
      <c r="BQ306" s="12"/>
    </row>
    <row r="307" spans="4:69" ht="14.5" x14ac:dyDescent="0.25">
      <c r="D307" s="10"/>
      <c r="E307" s="11"/>
      <c r="BN307" s="12"/>
      <c r="BQ307" s="12"/>
    </row>
    <row r="308" spans="4:69" ht="14.5" x14ac:dyDescent="0.25">
      <c r="D308" s="10"/>
      <c r="E308" s="11"/>
      <c r="BN308" s="12"/>
      <c r="BQ308" s="12"/>
    </row>
    <row r="309" spans="4:69" ht="14.5" x14ac:dyDescent="0.25">
      <c r="D309" s="10"/>
      <c r="E309" s="11"/>
      <c r="BN309" s="12"/>
      <c r="BQ309" s="12"/>
    </row>
    <row r="310" spans="4:69" ht="14.5" x14ac:dyDescent="0.25">
      <c r="D310" s="10"/>
      <c r="E310" s="11"/>
      <c r="BN310" s="12"/>
      <c r="BQ310" s="12"/>
    </row>
    <row r="311" spans="4:69" ht="14.5" x14ac:dyDescent="0.25">
      <c r="D311" s="10"/>
      <c r="E311" s="11"/>
      <c r="BN311" s="12"/>
      <c r="BQ311" s="12"/>
    </row>
    <row r="312" spans="4:69" ht="14.5" x14ac:dyDescent="0.25">
      <c r="D312" s="10"/>
      <c r="E312" s="11"/>
      <c r="BN312" s="12"/>
      <c r="BQ312" s="12"/>
    </row>
    <row r="313" spans="4:69" ht="14.5" x14ac:dyDescent="0.25">
      <c r="D313" s="10"/>
      <c r="E313" s="11"/>
      <c r="BN313" s="12"/>
      <c r="BQ313" s="12"/>
    </row>
    <row r="314" spans="4:69" ht="14.5" x14ac:dyDescent="0.25">
      <c r="D314" s="10"/>
      <c r="E314" s="11"/>
      <c r="BN314" s="12"/>
      <c r="BQ314" s="12"/>
    </row>
    <row r="315" spans="4:69" ht="14.5" x14ac:dyDescent="0.25">
      <c r="D315" s="10"/>
      <c r="E315" s="11"/>
      <c r="BN315" s="12"/>
      <c r="BQ315" s="12"/>
    </row>
    <row r="316" spans="4:69" ht="14.5" x14ac:dyDescent="0.25">
      <c r="D316" s="10"/>
      <c r="E316" s="11"/>
      <c r="BQ316" s="12"/>
    </row>
    <row r="317" spans="4:69" ht="14.5" x14ac:dyDescent="0.25">
      <c r="D317" s="10"/>
      <c r="E317" s="11"/>
      <c r="BQ317" s="12"/>
    </row>
    <row r="318" spans="4:69" ht="14.5" x14ac:dyDescent="0.25">
      <c r="D318" s="10"/>
      <c r="E318" s="11"/>
      <c r="BQ318" s="12"/>
    </row>
    <row r="319" spans="4:69" ht="14.5" x14ac:dyDescent="0.25">
      <c r="D319" s="10"/>
      <c r="E319" s="11"/>
      <c r="BN319" s="12"/>
      <c r="BQ319" s="12"/>
    </row>
    <row r="320" spans="4:69" ht="14.5" x14ac:dyDescent="0.25">
      <c r="D320" s="10"/>
      <c r="E320" s="11"/>
      <c r="BN320" s="12"/>
      <c r="BQ320" s="12"/>
    </row>
    <row r="321" spans="4:69" ht="14.5" x14ac:dyDescent="0.25">
      <c r="D321" s="10"/>
      <c r="E321" s="11"/>
      <c r="BN321" s="12"/>
      <c r="BQ321" s="12"/>
    </row>
    <row r="322" spans="4:69" ht="14.5" x14ac:dyDescent="0.25">
      <c r="D322" s="10"/>
      <c r="E322" s="11"/>
      <c r="BN322" s="12"/>
      <c r="BQ322" s="12"/>
    </row>
    <row r="323" spans="4:69" ht="14.5" x14ac:dyDescent="0.25">
      <c r="D323" s="10"/>
      <c r="E323" s="11"/>
      <c r="BN323" s="12"/>
      <c r="BQ323" s="12"/>
    </row>
    <row r="324" spans="4:69" ht="14.5" x14ac:dyDescent="0.25">
      <c r="D324" s="10"/>
      <c r="E324" s="11"/>
      <c r="BN324" s="12"/>
      <c r="BQ324" s="12"/>
    </row>
    <row r="325" spans="4:69" ht="14.5" x14ac:dyDescent="0.25">
      <c r="D325" s="10"/>
      <c r="E325" s="11"/>
      <c r="BN325" s="12"/>
      <c r="BQ325" s="12"/>
    </row>
    <row r="326" spans="4:69" ht="14.5" x14ac:dyDescent="0.25">
      <c r="D326" s="10"/>
      <c r="E326" s="11"/>
      <c r="BN326" s="12"/>
      <c r="BQ326" s="12"/>
    </row>
    <row r="327" spans="4:69" ht="14.5" x14ac:dyDescent="0.25">
      <c r="D327" s="10"/>
      <c r="E327" s="11"/>
      <c r="BN327" s="12"/>
      <c r="BQ327" s="12"/>
    </row>
    <row r="328" spans="4:69" ht="14.5" x14ac:dyDescent="0.25">
      <c r="D328" s="10"/>
      <c r="E328" s="11"/>
      <c r="BN328" s="12"/>
      <c r="BQ328" s="12"/>
    </row>
    <row r="329" spans="4:69" ht="14.5" x14ac:dyDescent="0.25">
      <c r="D329" s="10"/>
      <c r="E329" s="11"/>
      <c r="BN329" s="12"/>
      <c r="BQ329" s="12"/>
    </row>
    <row r="330" spans="4:69" ht="14.5" x14ac:dyDescent="0.25">
      <c r="D330" s="10"/>
      <c r="E330" s="11"/>
      <c r="BN330" s="12"/>
      <c r="BQ330" s="12"/>
    </row>
    <row r="331" spans="4:69" ht="14.5" x14ac:dyDescent="0.25">
      <c r="D331" s="10"/>
      <c r="E331" s="11"/>
      <c r="BN331" s="12"/>
      <c r="BQ331" s="12"/>
    </row>
    <row r="332" spans="4:69" ht="14.5" x14ac:dyDescent="0.25">
      <c r="D332" s="10"/>
      <c r="E332" s="11"/>
      <c r="BN332" s="12"/>
      <c r="BQ332" s="12"/>
    </row>
    <row r="333" spans="4:69" ht="14.5" x14ac:dyDescent="0.25">
      <c r="D333" s="10"/>
      <c r="E333" s="11"/>
      <c r="BN333" s="12"/>
      <c r="BQ333" s="12"/>
    </row>
    <row r="334" spans="4:69" ht="14.5" x14ac:dyDescent="0.25">
      <c r="D334" s="10"/>
      <c r="E334" s="11"/>
      <c r="BN334" s="12"/>
      <c r="BQ334" s="12"/>
    </row>
    <row r="335" spans="4:69" ht="14.5" x14ac:dyDescent="0.25">
      <c r="D335" s="10"/>
      <c r="E335" s="11"/>
      <c r="BN335" s="12"/>
      <c r="BQ335" s="12"/>
    </row>
    <row r="336" spans="4:69" ht="14.5" x14ac:dyDescent="0.25">
      <c r="D336" s="10"/>
      <c r="E336" s="11"/>
      <c r="BN336" s="12"/>
      <c r="BQ336" s="12"/>
    </row>
    <row r="337" spans="4:69" ht="14.5" x14ac:dyDescent="0.25">
      <c r="D337" s="10"/>
      <c r="E337" s="11"/>
      <c r="BN337" s="12"/>
      <c r="BQ337" s="12"/>
    </row>
    <row r="338" spans="4:69" ht="14.5" x14ac:dyDescent="0.25">
      <c r="D338" s="10"/>
      <c r="E338" s="11"/>
      <c r="BN338" s="12"/>
      <c r="BQ338" s="12"/>
    </row>
    <row r="339" spans="4:69" ht="14.5" x14ac:dyDescent="0.25">
      <c r="D339" s="10"/>
      <c r="E339" s="11"/>
      <c r="BN339" s="12"/>
      <c r="BQ339" s="12"/>
    </row>
    <row r="340" spans="4:69" ht="14.5" x14ac:dyDescent="0.25">
      <c r="D340" s="10"/>
      <c r="E340" s="11"/>
      <c r="BN340" s="12"/>
      <c r="BQ340" s="12"/>
    </row>
    <row r="341" spans="4:69" ht="14.5" x14ac:dyDescent="0.25">
      <c r="D341" s="10"/>
      <c r="E341" s="11"/>
      <c r="BN341" s="12"/>
      <c r="BQ341" s="12"/>
    </row>
    <row r="342" spans="4:69" ht="14.5" x14ac:dyDescent="0.25">
      <c r="D342" s="10"/>
      <c r="E342" s="11"/>
      <c r="BN342" s="12"/>
      <c r="BQ342" s="12"/>
    </row>
    <row r="343" spans="4:69" ht="14.5" x14ac:dyDescent="0.25">
      <c r="D343" s="10"/>
      <c r="E343" s="11"/>
      <c r="BN343" s="12"/>
      <c r="BQ343" s="12"/>
    </row>
    <row r="344" spans="4:69" ht="14.5" x14ac:dyDescent="0.25">
      <c r="D344" s="10"/>
      <c r="E344" s="11"/>
      <c r="BN344" s="12"/>
      <c r="BQ344" s="12"/>
    </row>
    <row r="345" spans="4:69" ht="14.5" x14ac:dyDescent="0.25">
      <c r="D345" s="10"/>
      <c r="E345" s="11"/>
      <c r="BN345" s="12"/>
      <c r="BQ345" s="12"/>
    </row>
    <row r="346" spans="4:69" ht="14.5" x14ac:dyDescent="0.25">
      <c r="D346" s="10"/>
      <c r="E346" s="11"/>
      <c r="BN346" s="12"/>
      <c r="BQ346" s="12"/>
    </row>
    <row r="347" spans="4:69" ht="14.5" x14ac:dyDescent="0.25">
      <c r="D347" s="10"/>
      <c r="E347" s="11"/>
      <c r="BN347" s="12"/>
      <c r="BQ347" s="12"/>
    </row>
    <row r="348" spans="4:69" ht="14.5" x14ac:dyDescent="0.25">
      <c r="D348" s="10"/>
      <c r="E348" s="11"/>
      <c r="BN348" s="12"/>
      <c r="BQ348" s="12"/>
    </row>
    <row r="349" spans="4:69" ht="14.5" x14ac:dyDescent="0.25">
      <c r="D349" s="10"/>
      <c r="E349" s="11"/>
      <c r="BN349" s="12"/>
      <c r="BQ349" s="12"/>
    </row>
    <row r="350" spans="4:69" ht="14.5" x14ac:dyDescent="0.25">
      <c r="D350" s="10"/>
      <c r="E350" s="11"/>
      <c r="BN350" s="12"/>
      <c r="BQ350" s="12"/>
    </row>
    <row r="351" spans="4:69" ht="14.5" x14ac:dyDescent="0.25">
      <c r="D351" s="10"/>
      <c r="E351" s="11"/>
      <c r="BN351" s="12"/>
      <c r="BQ351" s="12"/>
    </row>
    <row r="352" spans="4:69" ht="14.5" x14ac:dyDescent="0.25">
      <c r="D352" s="10"/>
      <c r="E352" s="11"/>
      <c r="BN352" s="12"/>
      <c r="BQ352" s="12"/>
    </row>
    <row r="353" spans="4:69" ht="14.5" x14ac:dyDescent="0.25">
      <c r="D353" s="10"/>
      <c r="E353" s="11"/>
      <c r="BQ353" s="12"/>
    </row>
    <row r="354" spans="4:69" ht="14.5" x14ac:dyDescent="0.25">
      <c r="D354" s="10"/>
      <c r="E354" s="11"/>
      <c r="BQ354" s="12"/>
    </row>
    <row r="355" spans="4:69" ht="14.5" x14ac:dyDescent="0.25">
      <c r="D355" s="10"/>
      <c r="E355" s="11"/>
      <c r="BN355" s="12"/>
      <c r="BQ355" s="12"/>
    </row>
    <row r="356" spans="4:69" ht="14.5" x14ac:dyDescent="0.25">
      <c r="D356" s="10"/>
      <c r="E356" s="11"/>
      <c r="BN356" s="12"/>
      <c r="BQ356" s="12"/>
    </row>
    <row r="357" spans="4:69" ht="14.5" x14ac:dyDescent="0.25">
      <c r="D357" s="10"/>
      <c r="E357" s="11"/>
      <c r="BN357" s="12"/>
      <c r="BQ357" s="12"/>
    </row>
    <row r="358" spans="4:69" ht="14.5" x14ac:dyDescent="0.25">
      <c r="D358" s="10"/>
      <c r="E358" s="11"/>
      <c r="BN358" s="12"/>
      <c r="BQ358" s="12"/>
    </row>
    <row r="359" spans="4:69" ht="14.5" x14ac:dyDescent="0.25">
      <c r="D359" s="10"/>
      <c r="E359" s="11"/>
      <c r="BN359" s="12"/>
      <c r="BQ359" s="12"/>
    </row>
    <row r="360" spans="4:69" ht="14.5" x14ac:dyDescent="0.25">
      <c r="D360" s="10"/>
      <c r="E360" s="11"/>
      <c r="BN360" s="12"/>
      <c r="BQ360" s="12"/>
    </row>
    <row r="361" spans="4:69" ht="14.5" x14ac:dyDescent="0.25">
      <c r="D361" s="10"/>
      <c r="E361" s="11"/>
      <c r="BN361" s="12"/>
      <c r="BQ361" s="12"/>
    </row>
    <row r="362" spans="4:69" ht="14.5" x14ac:dyDescent="0.25">
      <c r="D362" s="10"/>
      <c r="E362" s="11"/>
      <c r="BN362" s="12"/>
      <c r="BQ362" s="12"/>
    </row>
    <row r="363" spans="4:69" ht="14.5" x14ac:dyDescent="0.25">
      <c r="D363" s="10"/>
      <c r="E363" s="11"/>
      <c r="BN363" s="12"/>
      <c r="BQ363" s="12"/>
    </row>
    <row r="364" spans="4:69" ht="14.5" x14ac:dyDescent="0.25">
      <c r="D364" s="10"/>
      <c r="E364" s="11"/>
      <c r="BN364" s="12"/>
      <c r="BQ364" s="12"/>
    </row>
    <row r="365" spans="4:69" ht="14.5" x14ac:dyDescent="0.25">
      <c r="D365" s="10"/>
      <c r="E365" s="11"/>
      <c r="BN365" s="12"/>
      <c r="BQ365" s="12"/>
    </row>
    <row r="366" spans="4:69" ht="14.5" x14ac:dyDescent="0.25">
      <c r="D366" s="10"/>
      <c r="E366" s="11"/>
      <c r="BN366" s="12"/>
      <c r="BQ366" s="12"/>
    </row>
    <row r="367" spans="4:69" ht="14.5" x14ac:dyDescent="0.25">
      <c r="D367" s="10"/>
      <c r="E367" s="11"/>
      <c r="BN367" s="12"/>
      <c r="BQ367" s="12"/>
    </row>
    <row r="368" spans="4:69" ht="14.5" x14ac:dyDescent="0.25">
      <c r="D368" s="10"/>
      <c r="E368" s="11"/>
      <c r="BN368" s="12"/>
      <c r="BQ368" s="12"/>
    </row>
    <row r="369" spans="4:69" ht="14.5" x14ac:dyDescent="0.25">
      <c r="D369" s="10"/>
      <c r="E369" s="11"/>
      <c r="BN369" s="12"/>
      <c r="BQ369" s="12"/>
    </row>
    <row r="370" spans="4:69" ht="14.5" x14ac:dyDescent="0.25">
      <c r="D370" s="10"/>
      <c r="E370" s="11"/>
      <c r="BN370" s="12"/>
      <c r="BQ370" s="12"/>
    </row>
    <row r="371" spans="4:69" ht="14.5" x14ac:dyDescent="0.25">
      <c r="D371" s="10"/>
      <c r="E371" s="11"/>
      <c r="BN371" s="12"/>
      <c r="BQ371" s="12"/>
    </row>
    <row r="372" spans="4:69" ht="14.5" x14ac:dyDescent="0.25">
      <c r="D372" s="10"/>
      <c r="E372" s="11"/>
      <c r="BN372" s="12"/>
      <c r="BQ372" s="12"/>
    </row>
    <row r="373" spans="4:69" ht="14.5" x14ac:dyDescent="0.25">
      <c r="D373" s="10"/>
      <c r="E373" s="11"/>
      <c r="BN373" s="12"/>
      <c r="BQ373" s="12"/>
    </row>
    <row r="374" spans="4:69" ht="14.5" x14ac:dyDescent="0.25">
      <c r="D374" s="10"/>
      <c r="E374" s="11"/>
      <c r="BN374" s="12"/>
      <c r="BQ374" s="12"/>
    </row>
    <row r="375" spans="4:69" ht="14.5" x14ac:dyDescent="0.25">
      <c r="D375" s="10"/>
      <c r="E375" s="11"/>
      <c r="BN375" s="12"/>
      <c r="BQ375" s="12"/>
    </row>
    <row r="376" spans="4:69" ht="14.5" x14ac:dyDescent="0.25">
      <c r="D376" s="10"/>
      <c r="E376" s="11"/>
      <c r="BN376" s="12"/>
      <c r="BQ376" s="12"/>
    </row>
    <row r="377" spans="4:69" ht="14.5" x14ac:dyDescent="0.25">
      <c r="D377" s="10"/>
      <c r="E377" s="11"/>
      <c r="BN377" s="12"/>
      <c r="BQ377" s="12"/>
    </row>
    <row r="378" spans="4:69" ht="14.5" x14ac:dyDescent="0.25">
      <c r="D378" s="10"/>
      <c r="E378" s="11"/>
      <c r="BQ378" s="12"/>
    </row>
    <row r="379" spans="4:69" ht="14.5" x14ac:dyDescent="0.25">
      <c r="D379" s="10"/>
      <c r="E379" s="11"/>
      <c r="BQ379" s="12"/>
    </row>
    <row r="380" spans="4:69" ht="14.5" x14ac:dyDescent="0.25">
      <c r="D380" s="10"/>
      <c r="E380" s="11"/>
      <c r="BN380" s="12"/>
      <c r="BQ380" s="12"/>
    </row>
    <row r="381" spans="4:69" ht="14.5" x14ac:dyDescent="0.25">
      <c r="D381" s="10"/>
      <c r="E381" s="11"/>
      <c r="BN381" s="12"/>
      <c r="BQ381" s="12"/>
    </row>
    <row r="382" spans="4:69" ht="14.5" x14ac:dyDescent="0.25">
      <c r="D382" s="10"/>
      <c r="E382" s="11"/>
      <c r="BQ382" s="12"/>
    </row>
    <row r="383" spans="4:69" ht="14.5" x14ac:dyDescent="0.25">
      <c r="D383" s="10"/>
      <c r="E383" s="11"/>
      <c r="BQ383" s="12"/>
    </row>
    <row r="384" spans="4:69" ht="14.5" x14ac:dyDescent="0.25">
      <c r="D384" s="10"/>
      <c r="E384" s="11"/>
      <c r="BN384" s="12"/>
      <c r="BQ384" s="12"/>
    </row>
    <row r="385" spans="4:69" ht="14.5" x14ac:dyDescent="0.25">
      <c r="D385" s="10"/>
      <c r="E385" s="11"/>
      <c r="BN385" s="12"/>
      <c r="BQ385" s="12"/>
    </row>
    <row r="386" spans="4:69" ht="14.5" x14ac:dyDescent="0.25">
      <c r="D386" s="10"/>
      <c r="E386" s="11"/>
      <c r="BN386" s="12"/>
      <c r="BQ386" s="12"/>
    </row>
    <row r="387" spans="4:69" ht="14.5" x14ac:dyDescent="0.25">
      <c r="D387" s="10"/>
      <c r="E387" s="11"/>
      <c r="BN387" s="12"/>
      <c r="BQ387" s="12"/>
    </row>
    <row r="388" spans="4:69" ht="14.5" x14ac:dyDescent="0.25">
      <c r="D388" s="10"/>
      <c r="E388" s="11"/>
      <c r="BN388" s="12"/>
      <c r="BQ388" s="12"/>
    </row>
    <row r="389" spans="4:69" ht="14.5" x14ac:dyDescent="0.25">
      <c r="D389" s="10"/>
      <c r="E389" s="11"/>
      <c r="BN389" s="12"/>
      <c r="BQ389" s="12"/>
    </row>
    <row r="390" spans="4:69" ht="14.5" x14ac:dyDescent="0.25">
      <c r="D390" s="10"/>
      <c r="E390" s="11"/>
      <c r="BN390" s="12"/>
      <c r="BQ390" s="12"/>
    </row>
    <row r="391" spans="4:69" ht="14.5" x14ac:dyDescent="0.25">
      <c r="D391" s="10"/>
      <c r="E391" s="11"/>
      <c r="BN391" s="12"/>
      <c r="BQ391" s="12"/>
    </row>
    <row r="392" spans="4:69" ht="14.5" x14ac:dyDescent="0.25">
      <c r="D392" s="10"/>
      <c r="E392" s="11"/>
      <c r="BN392" s="12"/>
      <c r="BQ392" s="12"/>
    </row>
    <row r="393" spans="4:69" ht="14.5" x14ac:dyDescent="0.25">
      <c r="D393" s="10"/>
      <c r="E393" s="11"/>
      <c r="BN393" s="12"/>
      <c r="BQ393" s="12"/>
    </row>
    <row r="394" spans="4:69" ht="14.5" x14ac:dyDescent="0.25">
      <c r="D394" s="10"/>
      <c r="E394" s="11"/>
      <c r="BN394" s="12"/>
      <c r="BQ394" s="12"/>
    </row>
    <row r="395" spans="4:69" ht="14.5" x14ac:dyDescent="0.25">
      <c r="D395" s="10"/>
      <c r="E395" s="11"/>
      <c r="BN395" s="12"/>
      <c r="BQ395" s="12"/>
    </row>
    <row r="396" spans="4:69" ht="14.5" x14ac:dyDescent="0.25">
      <c r="D396" s="10"/>
      <c r="E396" s="11"/>
      <c r="BN396" s="12"/>
      <c r="BQ396" s="12"/>
    </row>
    <row r="397" spans="4:69" ht="14.5" x14ac:dyDescent="0.25">
      <c r="D397" s="10"/>
      <c r="E397" s="11"/>
      <c r="BN397" s="12"/>
      <c r="BQ397" s="12"/>
    </row>
    <row r="398" spans="4:69" ht="14.5" x14ac:dyDescent="0.25">
      <c r="D398" s="10"/>
      <c r="E398" s="11"/>
      <c r="BN398" s="12"/>
      <c r="BQ398" s="12"/>
    </row>
    <row r="399" spans="4:69" ht="14.5" x14ac:dyDescent="0.25">
      <c r="D399" s="10"/>
      <c r="E399" s="11"/>
      <c r="BN399" s="12"/>
      <c r="BQ399" s="12"/>
    </row>
    <row r="400" spans="4:69" ht="14.5" x14ac:dyDescent="0.25">
      <c r="D400" s="10"/>
      <c r="E400" s="11"/>
      <c r="BN400" s="12"/>
    </row>
    <row r="401" spans="4:5" ht="14.5" x14ac:dyDescent="0.25">
      <c r="D401" s="10"/>
      <c r="E401" s="11"/>
    </row>
    <row r="402" spans="4:5" ht="14.5" x14ac:dyDescent="0.25">
      <c r="D402" s="10"/>
      <c r="E402" s="11"/>
    </row>
    <row r="403" spans="4:5" ht="14.5" x14ac:dyDescent="0.25">
      <c r="D403" s="10"/>
      <c r="E403" s="11"/>
    </row>
    <row r="404" spans="4:5" ht="14.5" x14ac:dyDescent="0.25">
      <c r="D404" s="10"/>
      <c r="E404" s="11"/>
    </row>
    <row r="405" spans="4:5" ht="14.5" x14ac:dyDescent="0.25">
      <c r="D405" s="10"/>
      <c r="E405" s="11"/>
    </row>
    <row r="406" spans="4:5" ht="14.5" x14ac:dyDescent="0.25">
      <c r="D406" s="10"/>
      <c r="E406" s="11"/>
    </row>
    <row r="407" spans="4:5" ht="14.5" x14ac:dyDescent="0.25">
      <c r="D407" s="10"/>
      <c r="E407" s="11"/>
    </row>
    <row r="408" spans="4:5" ht="14.5" x14ac:dyDescent="0.25">
      <c r="D408" s="10"/>
      <c r="E408" s="11"/>
    </row>
    <row r="409" spans="4:5" ht="14.5" x14ac:dyDescent="0.25">
      <c r="D409" s="10"/>
      <c r="E409" s="11"/>
    </row>
    <row r="410" spans="4:5" ht="14.5" x14ac:dyDescent="0.25">
      <c r="D410" s="10"/>
      <c r="E410" s="11"/>
    </row>
    <row r="411" spans="4:5" ht="14.5" x14ac:dyDescent="0.25">
      <c r="D411" s="10"/>
      <c r="E411" s="11"/>
    </row>
    <row r="412" spans="4:5" ht="14.5" x14ac:dyDescent="0.25">
      <c r="D412" s="10"/>
      <c r="E412" s="11"/>
    </row>
    <row r="413" spans="4:5" ht="14.5" x14ac:dyDescent="0.25">
      <c r="D413" s="10"/>
      <c r="E413" s="11"/>
    </row>
    <row r="414" spans="4:5" ht="14.5" x14ac:dyDescent="0.25">
      <c r="D414" s="10"/>
      <c r="E414" s="11"/>
    </row>
    <row r="415" spans="4:5" ht="14.5" x14ac:dyDescent="0.25">
      <c r="D415" s="10"/>
      <c r="E415" s="11"/>
    </row>
    <row r="416" spans="4:5" ht="14.5" x14ac:dyDescent="0.25">
      <c r="D416" s="10"/>
      <c r="E416" s="11"/>
    </row>
    <row r="417" spans="4:5" ht="14.5" x14ac:dyDescent="0.25">
      <c r="D417" s="10"/>
      <c r="E417" s="11"/>
    </row>
    <row r="418" spans="4:5" ht="14.5" x14ac:dyDescent="0.25">
      <c r="D418" s="10"/>
      <c r="E418" s="11"/>
    </row>
    <row r="419" spans="4:5" ht="14.5" x14ac:dyDescent="0.25">
      <c r="D419" s="10"/>
      <c r="E419" s="11"/>
    </row>
    <row r="420" spans="4:5" ht="14.5" x14ac:dyDescent="0.25">
      <c r="D420" s="10"/>
      <c r="E420" s="11"/>
    </row>
    <row r="421" spans="4:5" ht="14.5" x14ac:dyDescent="0.25">
      <c r="D421" s="10"/>
      <c r="E421" s="11"/>
    </row>
    <row r="422" spans="4:5" ht="14.5" x14ac:dyDescent="0.25">
      <c r="D422" s="10"/>
      <c r="E422" s="11"/>
    </row>
    <row r="423" spans="4:5" ht="14.5" x14ac:dyDescent="0.25">
      <c r="D423" s="10"/>
      <c r="E423" s="11"/>
    </row>
    <row r="424" spans="4:5" ht="14.5" x14ac:dyDescent="0.25">
      <c r="D424" s="10"/>
      <c r="E424" s="11"/>
    </row>
    <row r="425" spans="4:5" ht="14.5" x14ac:dyDescent="0.25">
      <c r="D425" s="10"/>
      <c r="E425" s="11"/>
    </row>
    <row r="426" spans="4:5" ht="14.5" x14ac:dyDescent="0.25">
      <c r="D426" s="10"/>
      <c r="E426" s="11"/>
    </row>
    <row r="427" spans="4:5" ht="14.5" x14ac:dyDescent="0.25">
      <c r="D427" s="10"/>
      <c r="E427" s="11"/>
    </row>
    <row r="428" spans="4:5" ht="14.5" x14ac:dyDescent="0.25">
      <c r="D428" s="10"/>
      <c r="E428" s="11"/>
    </row>
    <row r="429" spans="4:5" ht="14.5" x14ac:dyDescent="0.25">
      <c r="D429" s="10"/>
      <c r="E429" s="11"/>
    </row>
    <row r="430" spans="4:5" ht="14.5" x14ac:dyDescent="0.25">
      <c r="D430" s="10"/>
      <c r="E430" s="11"/>
    </row>
    <row r="431" spans="4:5" ht="14.5" x14ac:dyDescent="0.25">
      <c r="D431" s="10"/>
      <c r="E431" s="11"/>
    </row>
    <row r="432" spans="4:5" ht="14.5" x14ac:dyDescent="0.25">
      <c r="D432" s="10"/>
      <c r="E432" s="11"/>
    </row>
    <row r="433" spans="4:5" ht="14.5" x14ac:dyDescent="0.25">
      <c r="D433" s="10"/>
      <c r="E433" s="11"/>
    </row>
    <row r="434" spans="4:5" ht="14.5" x14ac:dyDescent="0.25">
      <c r="D434" s="10"/>
      <c r="E434" s="11"/>
    </row>
    <row r="435" spans="4:5" ht="14.5" x14ac:dyDescent="0.25">
      <c r="D435" s="10"/>
      <c r="E435" s="11"/>
    </row>
    <row r="436" spans="4:5" ht="14.5" x14ac:dyDescent="0.25">
      <c r="D436" s="10"/>
      <c r="E436" s="11"/>
    </row>
    <row r="437" spans="4:5" ht="14.5" x14ac:dyDescent="0.25">
      <c r="D437" s="10"/>
      <c r="E437" s="11"/>
    </row>
    <row r="438" spans="4:5" ht="14.5" x14ac:dyDescent="0.25">
      <c r="D438" s="10"/>
      <c r="E438" s="11"/>
    </row>
    <row r="439" spans="4:5" ht="14.5" x14ac:dyDescent="0.25">
      <c r="D439" s="10"/>
      <c r="E439" s="11"/>
    </row>
    <row r="440" spans="4:5" ht="14.5" x14ac:dyDescent="0.25">
      <c r="D440" s="10"/>
      <c r="E440" s="11"/>
    </row>
    <row r="441" spans="4:5" ht="14.5" x14ac:dyDescent="0.25">
      <c r="D441" s="10"/>
      <c r="E441" s="11"/>
    </row>
    <row r="442" spans="4:5" ht="14.5" x14ac:dyDescent="0.25">
      <c r="D442" s="10"/>
      <c r="E442" s="11"/>
    </row>
    <row r="443" spans="4:5" ht="14.5" x14ac:dyDescent="0.25">
      <c r="D443" s="10"/>
      <c r="E443" s="11"/>
    </row>
    <row r="444" spans="4:5" ht="14.5" x14ac:dyDescent="0.25">
      <c r="D444" s="10"/>
      <c r="E444" s="11"/>
    </row>
    <row r="445" spans="4:5" ht="14.5" x14ac:dyDescent="0.25">
      <c r="D445" s="10"/>
      <c r="E445" s="11"/>
    </row>
    <row r="446" spans="4:5" ht="14.5" x14ac:dyDescent="0.25">
      <c r="D446" s="10"/>
      <c r="E446" s="11"/>
    </row>
    <row r="447" spans="4:5" ht="14.5" x14ac:dyDescent="0.25">
      <c r="D447" s="10"/>
      <c r="E447" s="11"/>
    </row>
    <row r="448" spans="4:5" ht="14.5" x14ac:dyDescent="0.25">
      <c r="D448" s="10"/>
      <c r="E448" s="11"/>
    </row>
    <row r="449" spans="4:5" ht="14.5" x14ac:dyDescent="0.25">
      <c r="D449" s="10"/>
      <c r="E449" s="11"/>
    </row>
    <row r="450" spans="4:5" ht="14.5" x14ac:dyDescent="0.25">
      <c r="D450" s="10"/>
      <c r="E450" s="11"/>
    </row>
    <row r="451" spans="4:5" ht="14.5" x14ac:dyDescent="0.25">
      <c r="D451" s="10"/>
      <c r="E451" s="11"/>
    </row>
    <row r="452" spans="4:5" ht="14.5" x14ac:dyDescent="0.25">
      <c r="D452" s="10"/>
      <c r="E452" s="11"/>
    </row>
    <row r="453" spans="4:5" ht="14.5" x14ac:dyDescent="0.25">
      <c r="D453" s="10"/>
      <c r="E453" s="11"/>
    </row>
    <row r="454" spans="4:5" ht="14.5" x14ac:dyDescent="0.25">
      <c r="D454" s="10"/>
      <c r="E454" s="11"/>
    </row>
    <row r="455" spans="4:5" ht="14.5" x14ac:dyDescent="0.25">
      <c r="D455" s="10"/>
      <c r="E455" s="11"/>
    </row>
    <row r="456" spans="4:5" ht="14.5" x14ac:dyDescent="0.25">
      <c r="D456" s="10"/>
      <c r="E456" s="11"/>
    </row>
    <row r="457" spans="4:5" ht="14.5" x14ac:dyDescent="0.25">
      <c r="D457" s="10"/>
      <c r="E457" s="11"/>
    </row>
    <row r="458" spans="4:5" ht="14.5" x14ac:dyDescent="0.25">
      <c r="D458" s="10"/>
      <c r="E458" s="11"/>
    </row>
    <row r="459" spans="4:5" ht="14.5" x14ac:dyDescent="0.25">
      <c r="D459" s="10"/>
      <c r="E459" s="11"/>
    </row>
    <row r="460" spans="4:5" ht="14.5" x14ac:dyDescent="0.25">
      <c r="D460" s="10"/>
      <c r="E460" s="11"/>
    </row>
    <row r="461" spans="4:5" ht="14.5" x14ac:dyDescent="0.25">
      <c r="D461" s="10"/>
      <c r="E461" s="11"/>
    </row>
    <row r="462" spans="4:5" ht="14.5" x14ac:dyDescent="0.25">
      <c r="D462" s="10"/>
      <c r="E462" s="11"/>
    </row>
    <row r="463" spans="4:5" ht="14.5" x14ac:dyDescent="0.25">
      <c r="D463" s="10"/>
      <c r="E463" s="11"/>
    </row>
    <row r="464" spans="4:5" ht="14.5" x14ac:dyDescent="0.25">
      <c r="D464" s="10"/>
      <c r="E464" s="11"/>
    </row>
    <row r="465" spans="4:5" ht="14.5" x14ac:dyDescent="0.25">
      <c r="D465" s="10"/>
      <c r="E465" s="11"/>
    </row>
    <row r="466" spans="4:5" ht="14.5" x14ac:dyDescent="0.25">
      <c r="D466" s="10"/>
      <c r="E466" s="11"/>
    </row>
    <row r="467" spans="4:5" ht="14.5" x14ac:dyDescent="0.25">
      <c r="D467" s="10"/>
      <c r="E467" s="11"/>
    </row>
    <row r="468" spans="4:5" ht="14.5" x14ac:dyDescent="0.25">
      <c r="D468" s="10"/>
      <c r="E468" s="11"/>
    </row>
    <row r="469" spans="4:5" ht="14.5" x14ac:dyDescent="0.25">
      <c r="D469" s="10"/>
      <c r="E469" s="11"/>
    </row>
    <row r="470" spans="4:5" ht="14.5" x14ac:dyDescent="0.25">
      <c r="D470" s="10"/>
      <c r="E470" s="11"/>
    </row>
    <row r="471" spans="4:5" ht="14.5" x14ac:dyDescent="0.25">
      <c r="D471" s="10"/>
      <c r="E471" s="11"/>
    </row>
    <row r="472" spans="4:5" ht="14.5" x14ac:dyDescent="0.25">
      <c r="D472" s="10"/>
      <c r="E472" s="11"/>
    </row>
    <row r="473" spans="4:5" ht="14.5" x14ac:dyDescent="0.25">
      <c r="D473" s="10"/>
      <c r="E473" s="11"/>
    </row>
    <row r="474" spans="4:5" ht="14.5" x14ac:dyDescent="0.25">
      <c r="D474" s="10"/>
      <c r="E474" s="11"/>
    </row>
    <row r="475" spans="4:5" ht="14.5" x14ac:dyDescent="0.25">
      <c r="D475" s="10"/>
      <c r="E475" s="11"/>
    </row>
    <row r="476" spans="4:5" ht="14.5" x14ac:dyDescent="0.25">
      <c r="D476" s="10"/>
      <c r="E476" s="11"/>
    </row>
    <row r="477" spans="4:5" ht="14.5" x14ac:dyDescent="0.25">
      <c r="D477" s="10"/>
      <c r="E477" s="11"/>
    </row>
    <row r="478" spans="4:5" ht="14.5" x14ac:dyDescent="0.25">
      <c r="D478" s="10"/>
      <c r="E478" s="11"/>
    </row>
    <row r="479" spans="4:5" ht="14.5" x14ac:dyDescent="0.25">
      <c r="D479" s="10"/>
      <c r="E479" s="11"/>
    </row>
    <row r="480" spans="4:5" ht="14.5" x14ac:dyDescent="0.25">
      <c r="D480" s="10"/>
      <c r="E480" s="11"/>
    </row>
    <row r="548" spans="4:5" ht="14.5" x14ac:dyDescent="0.25">
      <c r="D548" s="10"/>
      <c r="E548" s="11"/>
    </row>
    <row r="549" spans="4:5" ht="14.5" x14ac:dyDescent="0.25">
      <c r="D549" s="10"/>
      <c r="E549" s="11"/>
    </row>
    <row r="550" spans="4:5" ht="14.5" x14ac:dyDescent="0.25">
      <c r="D550" s="10"/>
      <c r="E550" s="11"/>
    </row>
    <row r="551" spans="4:5" ht="14.5" x14ac:dyDescent="0.25">
      <c r="D551" s="10"/>
      <c r="E551" s="11"/>
    </row>
    <row r="552" spans="4:5" ht="14.5" x14ac:dyDescent="0.25">
      <c r="D552" s="10"/>
      <c r="E552" s="11"/>
    </row>
    <row r="553" spans="4:5" ht="14.5" x14ac:dyDescent="0.25">
      <c r="D553" s="10"/>
      <c r="E553" s="11"/>
    </row>
    <row r="554" spans="4:5" ht="14.5" x14ac:dyDescent="0.25">
      <c r="D554" s="10"/>
      <c r="E554" s="11"/>
    </row>
    <row r="555" spans="4:5" ht="14.5" x14ac:dyDescent="0.25">
      <c r="D555" s="10"/>
      <c r="E555" s="11"/>
    </row>
    <row r="556" spans="4:5" ht="14.5" x14ac:dyDescent="0.25">
      <c r="D556" s="10"/>
      <c r="E556" s="11"/>
    </row>
    <row r="557" spans="4:5" ht="14.5" x14ac:dyDescent="0.25">
      <c r="D557" s="10"/>
      <c r="E557" s="11"/>
    </row>
    <row r="558" spans="4:5" ht="14.5" x14ac:dyDescent="0.25">
      <c r="D558" s="10"/>
      <c r="E558" s="11"/>
    </row>
    <row r="559" spans="4:5" ht="14.5" x14ac:dyDescent="0.25">
      <c r="D559" s="10"/>
      <c r="E559" s="11"/>
    </row>
    <row r="560" spans="4:5" ht="14.5" x14ac:dyDescent="0.25">
      <c r="D560" s="10"/>
      <c r="E560" s="11"/>
    </row>
    <row r="561" spans="4:5" ht="14.5" x14ac:dyDescent="0.25">
      <c r="D561" s="10"/>
      <c r="E561" s="11"/>
    </row>
    <row r="562" spans="4:5" ht="14.5" x14ac:dyDescent="0.25">
      <c r="D562" s="10"/>
      <c r="E562" s="11"/>
    </row>
    <row r="563" spans="4:5" ht="14.5" x14ac:dyDescent="0.25">
      <c r="D563" s="10"/>
      <c r="E563" s="11"/>
    </row>
    <row r="564" spans="4:5" ht="14.5" x14ac:dyDescent="0.25">
      <c r="D564" s="10"/>
      <c r="E564" s="11"/>
    </row>
    <row r="565" spans="4:5" ht="14.5" x14ac:dyDescent="0.25">
      <c r="D565" s="10"/>
      <c r="E565" s="11"/>
    </row>
    <row r="566" spans="4:5" ht="14.5" x14ac:dyDescent="0.25">
      <c r="D566" s="10"/>
      <c r="E566" s="11"/>
    </row>
    <row r="567" spans="4:5" ht="14.5" x14ac:dyDescent="0.25">
      <c r="D567" s="10"/>
      <c r="E567" s="11"/>
    </row>
    <row r="568" spans="4:5" ht="14.5" x14ac:dyDescent="0.25">
      <c r="D568" s="10"/>
      <c r="E568" s="11"/>
    </row>
    <row r="569" spans="4:5" ht="14.5" x14ac:dyDescent="0.25">
      <c r="D569" s="10"/>
      <c r="E569" s="11"/>
    </row>
    <row r="570" spans="4:5" ht="14.5" x14ac:dyDescent="0.25">
      <c r="D570" s="10"/>
      <c r="E570" s="11"/>
    </row>
    <row r="571" spans="4:5" ht="14.5" x14ac:dyDescent="0.25">
      <c r="D571" s="10"/>
      <c r="E571" s="11"/>
    </row>
    <row r="572" spans="4:5" ht="14.5" x14ac:dyDescent="0.25">
      <c r="D572" s="10"/>
      <c r="E572" s="11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DJ654"/>
  <sheetViews>
    <sheetView workbookViewId="0">
      <pane xSplit="1" ySplit="3" topLeftCell="BF10" activePane="bottomRight" state="frozen"/>
      <selection pane="topRight"/>
      <selection pane="bottomLeft"/>
      <selection pane="bottomRight" activeCell="BO13" sqref="BO13"/>
    </sheetView>
  </sheetViews>
  <sheetFormatPr defaultColWidth="9" defaultRowHeight="14.05" x14ac:dyDescent="0.25"/>
  <cols>
    <col min="1" max="1" width="21.08203125" customWidth="1"/>
    <col min="2" max="2" width="15.58203125" customWidth="1"/>
    <col min="3" max="3" width="7.75" customWidth="1"/>
    <col min="4" max="4" width="16.58203125" customWidth="1"/>
    <col min="5" max="5" width="16.83203125" customWidth="1"/>
    <col min="6" max="6" width="31.33203125" customWidth="1"/>
    <col min="7" max="7" width="7.33203125" customWidth="1"/>
    <col min="8" max="8" width="17.83203125" customWidth="1"/>
    <col min="9" max="9" width="7.33203125" customWidth="1"/>
    <col min="10" max="10" width="15.75" customWidth="1"/>
    <col min="11" max="13" width="8.33203125" style="3" customWidth="1"/>
    <col min="14" max="14" width="11.75" style="3" customWidth="1"/>
    <col min="15" max="15" width="13.08203125" style="3" customWidth="1"/>
    <col min="16" max="16" width="11.58203125" style="3" customWidth="1"/>
    <col min="17" max="17" width="21.5" style="3" customWidth="1"/>
    <col min="18" max="18" width="19.83203125" style="3" customWidth="1"/>
    <col min="19" max="19" width="16.58203125" style="3" customWidth="1"/>
    <col min="20" max="20" width="19.08203125" style="3" customWidth="1"/>
    <col min="21" max="21" width="18.33203125" style="3" customWidth="1"/>
    <col min="22" max="22" width="17.75" style="3" customWidth="1"/>
    <col min="23" max="23" width="8.33203125" style="3" customWidth="1"/>
    <col min="24" max="24" width="18.5" style="3" customWidth="1"/>
    <col min="25" max="25" width="16.58203125" customWidth="1"/>
    <col min="26" max="26" width="10.6640625" customWidth="1"/>
    <col min="27" max="27" width="8.33203125" customWidth="1"/>
    <col min="28" max="28" width="15.1640625" customWidth="1"/>
    <col min="29" max="30" width="8.58203125" customWidth="1"/>
    <col min="31" max="31" width="13.4140625" customWidth="1"/>
    <col min="32" max="32" width="13.75" customWidth="1"/>
    <col min="33" max="33" width="14.58203125" customWidth="1"/>
    <col min="34" max="34" width="17.4140625" customWidth="1"/>
    <col min="35" max="35" width="8.58203125" customWidth="1"/>
    <col min="36" max="36" width="12.5" customWidth="1"/>
    <col min="37" max="37" width="8.58203125" customWidth="1"/>
    <col min="38" max="39" width="8.33203125" customWidth="1"/>
    <col min="40" max="40" width="15" customWidth="1"/>
    <col min="41" max="41" width="13.25" customWidth="1"/>
    <col min="42" max="45" width="11.83203125" customWidth="1"/>
    <col min="46" max="46" width="18.4140625" customWidth="1"/>
    <col min="47" max="47" width="12.25" customWidth="1"/>
    <col min="48" max="48" width="11.9140625" customWidth="1"/>
    <col min="49" max="49" width="19.58203125" customWidth="1"/>
    <col min="50" max="50" width="12.6640625" customWidth="1"/>
    <col min="52" max="52" width="7" customWidth="1"/>
    <col min="53" max="53" width="11.75" customWidth="1"/>
    <col min="54" max="54" width="19.75" customWidth="1"/>
    <col min="55" max="55" width="5.08203125" customWidth="1"/>
    <col min="56" max="56" width="8.5" customWidth="1"/>
    <col min="57" max="57" width="13.5" customWidth="1"/>
    <col min="58" max="58" width="14.6640625" customWidth="1"/>
    <col min="59" max="59" width="10.1640625" customWidth="1"/>
    <col min="60" max="60" width="8.25" customWidth="1"/>
    <col min="61" max="67" width="8.33203125" customWidth="1"/>
    <col min="68" max="70" width="11.25" customWidth="1"/>
    <col min="71" max="71" width="6.58203125" customWidth="1"/>
    <col min="72" max="73" width="8" customWidth="1"/>
    <col min="74" max="74" width="7.33203125" style="4" customWidth="1"/>
    <col min="75" max="76" width="8.5" style="4" customWidth="1"/>
    <col min="77" max="78" width="7.83203125" style="4" customWidth="1"/>
    <col min="79" max="79" width="22.1640625" style="4" customWidth="1"/>
    <col min="80" max="80" width="13.5" customWidth="1"/>
    <col min="81" max="81" width="21.1640625" customWidth="1"/>
    <col min="82" max="82" width="15.75" customWidth="1"/>
    <col min="83" max="83" width="15.58203125" customWidth="1"/>
    <col min="84" max="84" width="12.83203125" customWidth="1"/>
    <col min="85" max="85" width="16.1640625" customWidth="1"/>
    <col min="87" max="87" width="16" customWidth="1"/>
    <col min="88" max="89" width="12.83203125" customWidth="1"/>
    <col min="90" max="90" width="23.58203125" customWidth="1"/>
    <col min="91" max="91" width="12.83203125" customWidth="1"/>
    <col min="92" max="92" width="17.08203125" customWidth="1"/>
    <col min="93" max="93" width="9.5"/>
    <col min="99" max="99" width="14" customWidth="1"/>
    <col min="100" max="100" width="8" customWidth="1"/>
    <col min="102" max="102" width="11.08203125" customWidth="1"/>
    <col min="103" max="103" width="13.75" customWidth="1"/>
    <col min="104" max="104" width="9.5"/>
    <col min="107" max="108" width="9.5"/>
    <col min="110" max="110" width="15.5" customWidth="1"/>
    <col min="112" max="113" width="9.5"/>
    <col min="114" max="114" width="9" hidden="1" customWidth="1"/>
    <col min="119" max="119" width="9.5"/>
  </cols>
  <sheetData>
    <row r="1" spans="1:113" x14ac:dyDescent="0.25">
      <c r="B1" t="s">
        <v>139</v>
      </c>
      <c r="D1" t="s">
        <v>140</v>
      </c>
      <c r="E1" t="s">
        <v>141</v>
      </c>
      <c r="F1" t="s">
        <v>142</v>
      </c>
      <c r="G1" t="s">
        <v>143</v>
      </c>
      <c r="H1" t="s">
        <v>144</v>
      </c>
      <c r="I1" t="s">
        <v>145</v>
      </c>
      <c r="J1" t="s">
        <v>146</v>
      </c>
      <c r="K1" s="3" t="s">
        <v>147</v>
      </c>
      <c r="L1" s="3" t="s">
        <v>148</v>
      </c>
      <c r="M1" s="3" t="s">
        <v>149</v>
      </c>
      <c r="N1" s="3" t="s">
        <v>150</v>
      </c>
      <c r="O1" s="3" t="s">
        <v>151</v>
      </c>
      <c r="P1" s="3" t="s">
        <v>152</v>
      </c>
      <c r="Q1" s="3" t="s">
        <v>153</v>
      </c>
      <c r="R1" s="3" t="s">
        <v>154</v>
      </c>
      <c r="S1" s="3" t="s">
        <v>155</v>
      </c>
      <c r="T1" s="3" t="s">
        <v>156</v>
      </c>
      <c r="U1" s="3" t="s">
        <v>156</v>
      </c>
      <c r="V1" s="3" t="s">
        <v>157</v>
      </c>
      <c r="W1" s="3" t="s">
        <v>158</v>
      </c>
      <c r="X1" s="3" t="s">
        <v>159</v>
      </c>
      <c r="Y1" t="s">
        <v>160</v>
      </c>
      <c r="Z1" t="s">
        <v>161</v>
      </c>
      <c r="AA1" s="3" t="s">
        <v>162</v>
      </c>
      <c r="AB1" t="s">
        <v>163</v>
      </c>
      <c r="AC1" t="s">
        <v>164</v>
      </c>
      <c r="AD1" t="s">
        <v>165</v>
      </c>
      <c r="AE1" t="s">
        <v>166</v>
      </c>
      <c r="AF1" t="s">
        <v>167</v>
      </c>
      <c r="AG1" t="s">
        <v>168</v>
      </c>
      <c r="AH1" t="s">
        <v>169</v>
      </c>
      <c r="AI1" t="s">
        <v>170</v>
      </c>
      <c r="AJ1" t="s">
        <v>171</v>
      </c>
      <c r="AK1" t="s">
        <v>172</v>
      </c>
      <c r="AL1" t="s">
        <v>173</v>
      </c>
      <c r="AM1" t="s">
        <v>174</v>
      </c>
      <c r="AN1" t="s">
        <v>175</v>
      </c>
      <c r="AO1" t="s">
        <v>176</v>
      </c>
      <c r="AP1" t="s">
        <v>177</v>
      </c>
      <c r="AQ1" t="s">
        <v>178</v>
      </c>
      <c r="AR1" s="13" t="s">
        <v>553</v>
      </c>
      <c r="AS1" s="13" t="s">
        <v>554</v>
      </c>
      <c r="AT1" t="s">
        <v>179</v>
      </c>
      <c r="AU1" t="s">
        <v>180</v>
      </c>
      <c r="AV1" t="s">
        <v>181</v>
      </c>
      <c r="AW1" t="s">
        <v>182</v>
      </c>
      <c r="AX1" t="s">
        <v>183</v>
      </c>
      <c r="AY1" t="s">
        <v>184</v>
      </c>
      <c r="AZ1" t="s">
        <v>185</v>
      </c>
      <c r="BA1" t="s">
        <v>186</v>
      </c>
      <c r="BB1" t="s">
        <v>187</v>
      </c>
      <c r="BC1" t="s">
        <v>188</v>
      </c>
      <c r="BD1" t="s">
        <v>189</v>
      </c>
      <c r="BE1" t="s">
        <v>190</v>
      </c>
      <c r="BF1" t="s">
        <v>191</v>
      </c>
      <c r="BG1" t="s">
        <v>192</v>
      </c>
      <c r="BH1" t="s">
        <v>193</v>
      </c>
      <c r="BJ1" t="s">
        <v>193</v>
      </c>
      <c r="BK1" t="s">
        <v>194</v>
      </c>
      <c r="BL1" t="s">
        <v>195</v>
      </c>
      <c r="BM1" t="s">
        <v>196</v>
      </c>
      <c r="BN1" t="s">
        <v>197</v>
      </c>
      <c r="BO1" t="s">
        <v>198</v>
      </c>
      <c r="BP1" t="s">
        <v>199</v>
      </c>
      <c r="BQ1" t="s">
        <v>200</v>
      </c>
      <c r="BR1" t="s">
        <v>201</v>
      </c>
      <c r="BS1" t="s">
        <v>202</v>
      </c>
      <c r="BT1" t="s">
        <v>203</v>
      </c>
      <c r="BU1" t="s">
        <v>204</v>
      </c>
      <c r="BV1" s="4" t="s">
        <v>205</v>
      </c>
      <c r="BW1" s="4" t="s">
        <v>206</v>
      </c>
      <c r="BX1" s="4" t="s">
        <v>207</v>
      </c>
      <c r="BY1" s="4" t="s">
        <v>208</v>
      </c>
      <c r="BZ1" s="4" t="s">
        <v>209</v>
      </c>
      <c r="CA1" s="4" t="s">
        <v>210</v>
      </c>
      <c r="CB1" t="s">
        <v>211</v>
      </c>
      <c r="CC1" s="4" t="s">
        <v>212</v>
      </c>
      <c r="CD1" t="s">
        <v>213</v>
      </c>
      <c r="CE1" t="s">
        <v>214</v>
      </c>
      <c r="CF1" t="s">
        <v>215</v>
      </c>
      <c r="CG1" t="s">
        <v>216</v>
      </c>
      <c r="CH1" t="s">
        <v>217</v>
      </c>
      <c r="CI1" t="s">
        <v>218</v>
      </c>
      <c r="CJ1" t="s">
        <v>219</v>
      </c>
      <c r="CK1" t="s">
        <v>220</v>
      </c>
      <c r="CL1" t="s">
        <v>221</v>
      </c>
      <c r="CM1" t="s">
        <v>222</v>
      </c>
      <c r="CN1" t="s">
        <v>223</v>
      </c>
      <c r="CO1" t="s">
        <v>224</v>
      </c>
      <c r="CP1" t="s">
        <v>225</v>
      </c>
      <c r="CQ1" t="s">
        <v>226</v>
      </c>
      <c r="CR1" t="s">
        <v>203</v>
      </c>
      <c r="CS1" t="s">
        <v>227</v>
      </c>
      <c r="CT1" t="s">
        <v>228</v>
      </c>
      <c r="CU1" t="s">
        <v>229</v>
      </c>
      <c r="CV1" t="s">
        <v>230</v>
      </c>
      <c r="CW1" t="s">
        <v>231</v>
      </c>
      <c r="CX1" t="s">
        <v>232</v>
      </c>
      <c r="CY1" t="s">
        <v>233</v>
      </c>
      <c r="CZ1" t="s">
        <v>232</v>
      </c>
      <c r="DA1" t="s">
        <v>234</v>
      </c>
      <c r="DB1" t="s">
        <v>235</v>
      </c>
      <c r="DC1" t="s">
        <v>236</v>
      </c>
      <c r="DD1" t="s">
        <v>237</v>
      </c>
      <c r="DE1" t="s">
        <v>238</v>
      </c>
      <c r="DF1" t="s">
        <v>239</v>
      </c>
      <c r="DG1" t="s">
        <v>240</v>
      </c>
      <c r="DH1" t="s">
        <v>241</v>
      </c>
      <c r="DI1" t="s">
        <v>242</v>
      </c>
    </row>
    <row r="2" spans="1:113" x14ac:dyDescent="0.25">
      <c r="A2" t="s">
        <v>0</v>
      </c>
      <c r="C2" t="s">
        <v>46</v>
      </c>
      <c r="D2" t="s">
        <v>75</v>
      </c>
      <c r="E2" t="s">
        <v>243</v>
      </c>
      <c r="F2" t="s">
        <v>244</v>
      </c>
      <c r="G2" t="s">
        <v>51</v>
      </c>
      <c r="H2" t="s">
        <v>245</v>
      </c>
      <c r="I2" t="s">
        <v>246</v>
      </c>
      <c r="J2" t="s">
        <v>247</v>
      </c>
      <c r="K2" s="3" t="s">
        <v>248</v>
      </c>
      <c r="L2" s="3" t="s">
        <v>249</v>
      </c>
      <c r="M2" s="3" t="s">
        <v>250</v>
      </c>
      <c r="N2" s="3" t="s">
        <v>251</v>
      </c>
      <c r="O2" s="3" t="s">
        <v>252</v>
      </c>
      <c r="P2" s="3" t="s">
        <v>253</v>
      </c>
      <c r="Q2" s="3" t="s">
        <v>254</v>
      </c>
      <c r="R2" s="3" t="s">
        <v>255</v>
      </c>
      <c r="S2" s="3" t="s">
        <v>256</v>
      </c>
      <c r="T2" s="3" t="s">
        <v>257</v>
      </c>
      <c r="U2" s="3" t="s">
        <v>258</v>
      </c>
      <c r="V2" s="3" t="s">
        <v>259</v>
      </c>
      <c r="W2" s="3" t="s">
        <v>260</v>
      </c>
      <c r="X2" s="3" t="s">
        <v>261</v>
      </c>
      <c r="Y2" t="s">
        <v>262</v>
      </c>
      <c r="Z2" t="s">
        <v>263</v>
      </c>
      <c r="AA2" s="3" t="s">
        <v>264</v>
      </c>
      <c r="AB2" t="s">
        <v>265</v>
      </c>
      <c r="AC2" t="s">
        <v>266</v>
      </c>
      <c r="AD2" t="s">
        <v>267</v>
      </c>
      <c r="AE2" t="s">
        <v>268</v>
      </c>
      <c r="AF2" t="s">
        <v>269</v>
      </c>
      <c r="AG2" t="s">
        <v>270</v>
      </c>
      <c r="AH2" t="s">
        <v>271</v>
      </c>
      <c r="AI2" t="s">
        <v>272</v>
      </c>
      <c r="AJ2" t="s">
        <v>273</v>
      </c>
      <c r="AK2" t="s">
        <v>274</v>
      </c>
      <c r="AL2" t="s">
        <v>275</v>
      </c>
      <c r="AM2" t="s">
        <v>276</v>
      </c>
      <c r="AN2" t="s">
        <v>277</v>
      </c>
      <c r="AO2" t="s">
        <v>278</v>
      </c>
      <c r="AP2" t="s">
        <v>279</v>
      </c>
      <c r="AQ2" t="s">
        <v>280</v>
      </c>
      <c r="AR2" s="13" t="s">
        <v>555</v>
      </c>
      <c r="AS2" s="13" t="s">
        <v>556</v>
      </c>
      <c r="AT2" t="s">
        <v>281</v>
      </c>
      <c r="AU2" t="s">
        <v>282</v>
      </c>
      <c r="AV2" t="s">
        <v>283</v>
      </c>
      <c r="AW2" t="s">
        <v>284</v>
      </c>
      <c r="AX2" t="s">
        <v>285</v>
      </c>
      <c r="AY2" t="s">
        <v>286</v>
      </c>
      <c r="AZ2" t="s">
        <v>287</v>
      </c>
      <c r="BA2" t="s">
        <v>288</v>
      </c>
      <c r="BB2" t="s">
        <v>289</v>
      </c>
      <c r="BC2" t="s">
        <v>290</v>
      </c>
      <c r="BD2" t="s">
        <v>291</v>
      </c>
      <c r="BE2" t="s">
        <v>292</v>
      </c>
      <c r="BF2" t="s">
        <v>293</v>
      </c>
      <c r="BG2" t="s">
        <v>294</v>
      </c>
      <c r="BH2" t="s">
        <v>295</v>
      </c>
      <c r="BI2" t="s">
        <v>296</v>
      </c>
      <c r="BJ2" t="s">
        <v>297</v>
      </c>
      <c r="BK2" t="s">
        <v>298</v>
      </c>
      <c r="BL2" t="s">
        <v>299</v>
      </c>
      <c r="BM2" t="s">
        <v>300</v>
      </c>
      <c r="BN2" t="s">
        <v>301</v>
      </c>
      <c r="BO2" t="s">
        <v>77</v>
      </c>
      <c r="BP2" t="s">
        <v>302</v>
      </c>
      <c r="BQ2" t="s">
        <v>303</v>
      </c>
      <c r="BR2" t="s">
        <v>304</v>
      </c>
      <c r="BS2" t="s">
        <v>305</v>
      </c>
      <c r="BT2" t="s">
        <v>306</v>
      </c>
      <c r="BU2" t="s">
        <v>91</v>
      </c>
      <c r="BV2" s="4" t="s">
        <v>307</v>
      </c>
      <c r="BW2" s="4" t="s">
        <v>308</v>
      </c>
      <c r="BX2" s="4" t="s">
        <v>309</v>
      </c>
      <c r="BY2" s="4" t="s">
        <v>310</v>
      </c>
      <c r="BZ2" s="4" t="s">
        <v>311</v>
      </c>
      <c r="CA2" s="4" t="s">
        <v>312</v>
      </c>
      <c r="CB2" t="s">
        <v>313</v>
      </c>
      <c r="CC2" t="s">
        <v>314</v>
      </c>
      <c r="CD2" t="s">
        <v>315</v>
      </c>
      <c r="CE2" t="s">
        <v>316</v>
      </c>
      <c r="CF2" t="s">
        <v>317</v>
      </c>
      <c r="CG2" t="s">
        <v>318</v>
      </c>
      <c r="CH2" t="s">
        <v>319</v>
      </c>
      <c r="CI2" t="s">
        <v>320</v>
      </c>
      <c r="CJ2" t="s">
        <v>321</v>
      </c>
      <c r="CK2" t="s">
        <v>322</v>
      </c>
      <c r="CL2" t="s">
        <v>323</v>
      </c>
      <c r="CM2" t="s">
        <v>324</v>
      </c>
      <c r="CN2" t="s">
        <v>325</v>
      </c>
      <c r="CO2" t="s">
        <v>326</v>
      </c>
      <c r="CP2" t="s">
        <v>327</v>
      </c>
      <c r="CQ2" t="s">
        <v>328</v>
      </c>
      <c r="CR2" t="s">
        <v>329</v>
      </c>
      <c r="CS2" t="s">
        <v>330</v>
      </c>
      <c r="CT2" t="s">
        <v>331</v>
      </c>
      <c r="CU2" t="s">
        <v>332</v>
      </c>
      <c r="CV2" t="s">
        <v>333</v>
      </c>
      <c r="CW2" t="s">
        <v>334</v>
      </c>
      <c r="CX2" t="s">
        <v>335</v>
      </c>
      <c r="CY2" t="s">
        <v>336</v>
      </c>
      <c r="CZ2" t="s">
        <v>337</v>
      </c>
      <c r="DA2" t="s">
        <v>338</v>
      </c>
      <c r="DB2" t="s">
        <v>339</v>
      </c>
      <c r="DC2" t="s">
        <v>340</v>
      </c>
      <c r="DD2" t="s">
        <v>341</v>
      </c>
      <c r="DE2" t="s">
        <v>342</v>
      </c>
      <c r="DF2" t="s">
        <v>343</v>
      </c>
      <c r="DG2" t="s">
        <v>344</v>
      </c>
      <c r="DH2" t="s">
        <v>345</v>
      </c>
      <c r="DI2" t="s">
        <v>346</v>
      </c>
    </row>
    <row r="3" spans="1:113" x14ac:dyDescent="0.25">
      <c r="A3" t="s">
        <v>2</v>
      </c>
      <c r="C3" t="s">
        <v>2</v>
      </c>
      <c r="D3" t="s">
        <v>2</v>
      </c>
      <c r="E3" t="s">
        <v>2</v>
      </c>
      <c r="F3" t="s">
        <v>2</v>
      </c>
      <c r="G3" t="s">
        <v>114</v>
      </c>
      <c r="H3" t="s">
        <v>2</v>
      </c>
      <c r="I3" t="s">
        <v>112</v>
      </c>
      <c r="J3" t="s">
        <v>347</v>
      </c>
      <c r="K3" s="3" t="s">
        <v>348</v>
      </c>
      <c r="L3" s="3" t="s">
        <v>349</v>
      </c>
      <c r="M3" s="3" t="s">
        <v>114</v>
      </c>
      <c r="N3" s="3" t="s">
        <v>114</v>
      </c>
      <c r="O3" s="3" t="s">
        <v>116</v>
      </c>
      <c r="P3" s="3" t="s">
        <v>116</v>
      </c>
      <c r="Q3" s="3" t="s">
        <v>116</v>
      </c>
      <c r="R3" s="3" t="s">
        <v>116</v>
      </c>
      <c r="S3" s="3" t="s">
        <v>112</v>
      </c>
      <c r="T3" s="3" t="s">
        <v>113</v>
      </c>
      <c r="U3" s="3" t="s">
        <v>113</v>
      </c>
      <c r="V3" s="3" t="s">
        <v>113</v>
      </c>
      <c r="W3" s="3" t="s">
        <v>112</v>
      </c>
      <c r="X3" s="3" t="s">
        <v>112</v>
      </c>
      <c r="Y3" t="s">
        <v>112</v>
      </c>
      <c r="Z3" t="s">
        <v>112</v>
      </c>
      <c r="AA3" s="3" t="s">
        <v>113</v>
      </c>
      <c r="AB3" t="s">
        <v>112</v>
      </c>
      <c r="AC3" t="s">
        <v>114</v>
      </c>
      <c r="AD3" t="s">
        <v>112</v>
      </c>
      <c r="AE3" t="s">
        <v>112</v>
      </c>
      <c r="AF3" t="s">
        <v>112</v>
      </c>
      <c r="AG3" t="s">
        <v>350</v>
      </c>
      <c r="AH3" t="s">
        <v>112</v>
      </c>
      <c r="AI3" t="s">
        <v>118</v>
      </c>
      <c r="AJ3" t="s">
        <v>3</v>
      </c>
      <c r="AK3" t="s">
        <v>114</v>
      </c>
      <c r="AL3" t="s">
        <v>114</v>
      </c>
      <c r="AM3" t="s">
        <v>114</v>
      </c>
      <c r="AN3" t="s">
        <v>112</v>
      </c>
      <c r="AO3" t="s">
        <v>351</v>
      </c>
      <c r="AP3" t="s">
        <v>352</v>
      </c>
      <c r="AQ3" t="s">
        <v>2</v>
      </c>
      <c r="AR3" s="13" t="s">
        <v>557</v>
      </c>
      <c r="AS3" s="13" t="s">
        <v>557</v>
      </c>
      <c r="AT3" t="s">
        <v>353</v>
      </c>
      <c r="AU3" t="s">
        <v>112</v>
      </c>
      <c r="AV3" t="s">
        <v>113</v>
      </c>
      <c r="AW3" t="s">
        <v>112</v>
      </c>
      <c r="AX3" t="s">
        <v>354</v>
      </c>
      <c r="AY3" t="s">
        <v>112</v>
      </c>
      <c r="AZ3" t="s">
        <v>113</v>
      </c>
      <c r="BA3" t="s">
        <v>112</v>
      </c>
      <c r="BB3" t="s">
        <v>114</v>
      </c>
      <c r="BC3" t="s">
        <v>113</v>
      </c>
      <c r="BD3" t="s">
        <v>114</v>
      </c>
      <c r="BE3" t="s">
        <v>114</v>
      </c>
      <c r="BF3" t="s">
        <v>113</v>
      </c>
      <c r="BG3" t="s">
        <v>112</v>
      </c>
      <c r="BH3" t="s">
        <v>353</v>
      </c>
      <c r="BI3" t="s">
        <v>112</v>
      </c>
      <c r="BJ3" t="s">
        <v>113</v>
      </c>
      <c r="BK3" t="s">
        <v>113</v>
      </c>
      <c r="BL3" t="s">
        <v>113</v>
      </c>
      <c r="BM3" t="s">
        <v>114</v>
      </c>
      <c r="BN3" t="s">
        <v>114</v>
      </c>
      <c r="BO3" t="s">
        <v>115</v>
      </c>
      <c r="BP3" t="s">
        <v>115</v>
      </c>
      <c r="BQ3" t="s">
        <v>355</v>
      </c>
      <c r="BR3" t="s">
        <v>356</v>
      </c>
      <c r="BS3" t="s">
        <v>113</v>
      </c>
      <c r="BT3" t="s">
        <v>113</v>
      </c>
      <c r="BU3" t="s">
        <v>112</v>
      </c>
      <c r="BV3" s="4" t="s">
        <v>113</v>
      </c>
      <c r="BW3" s="4" t="s">
        <v>113</v>
      </c>
      <c r="BX3" s="4" t="s">
        <v>114</v>
      </c>
      <c r="BY3" s="4" t="s">
        <v>357</v>
      </c>
      <c r="BZ3" s="4" t="s">
        <v>112</v>
      </c>
      <c r="CA3" s="4" t="s">
        <v>357</v>
      </c>
      <c r="CB3" t="s">
        <v>120</v>
      </c>
      <c r="CC3" t="s">
        <v>358</v>
      </c>
      <c r="CD3" t="s">
        <v>120</v>
      </c>
      <c r="CE3" t="s">
        <v>120</v>
      </c>
      <c r="CF3" t="s">
        <v>120</v>
      </c>
      <c r="CG3" t="s">
        <v>359</v>
      </c>
      <c r="CH3" t="s">
        <v>360</v>
      </c>
      <c r="CI3" t="s">
        <v>2</v>
      </c>
      <c r="CJ3" t="s">
        <v>361</v>
      </c>
      <c r="CK3" t="s">
        <v>361</v>
      </c>
      <c r="CL3" t="s">
        <v>121</v>
      </c>
      <c r="CM3" t="s">
        <v>116</v>
      </c>
      <c r="CN3" t="s">
        <v>116</v>
      </c>
      <c r="CO3" t="s">
        <v>119</v>
      </c>
      <c r="CP3" t="s">
        <v>119</v>
      </c>
      <c r="CQ3" t="s">
        <v>119</v>
      </c>
      <c r="CR3" t="s">
        <v>358</v>
      </c>
      <c r="CS3" t="s">
        <v>119</v>
      </c>
      <c r="CT3" t="s">
        <v>112</v>
      </c>
      <c r="CU3" t="s">
        <v>121</v>
      </c>
      <c r="CV3" t="s">
        <v>362</v>
      </c>
      <c r="CW3" t="s">
        <v>363</v>
      </c>
      <c r="CX3" t="s">
        <v>363</v>
      </c>
      <c r="CY3" t="s">
        <v>362</v>
      </c>
      <c r="CZ3" t="s">
        <v>362</v>
      </c>
      <c r="DA3" t="s">
        <v>362</v>
      </c>
      <c r="DB3" t="s">
        <v>362</v>
      </c>
      <c r="DC3" t="s">
        <v>362</v>
      </c>
      <c r="DD3" t="s">
        <v>112</v>
      </c>
      <c r="DE3" t="s">
        <v>112</v>
      </c>
      <c r="DF3" t="s">
        <v>112</v>
      </c>
      <c r="DG3" t="s">
        <v>112</v>
      </c>
      <c r="DH3" t="s">
        <v>112</v>
      </c>
      <c r="DI3" t="s">
        <v>112</v>
      </c>
    </row>
    <row r="4" spans="1:113" s="2" customFormat="1" x14ac:dyDescent="0.25">
      <c r="A4" s="2" t="s">
        <v>364</v>
      </c>
    </row>
    <row r="5" spans="1:113" x14ac:dyDescent="0.25">
      <c r="A5" t="s">
        <v>365</v>
      </c>
      <c r="C5" t="s">
        <v>366</v>
      </c>
      <c r="J5" s="3"/>
      <c r="M5"/>
      <c r="N5"/>
      <c r="S5" s="3">
        <v>1</v>
      </c>
      <c r="Y5" s="3"/>
      <c r="Z5" s="3"/>
      <c r="AA5" s="3"/>
      <c r="AB5" s="3"/>
      <c r="AC5">
        <v>2</v>
      </c>
      <c r="AD5">
        <v>1</v>
      </c>
      <c r="AO5" t="s">
        <v>367</v>
      </c>
      <c r="AT5" t="s">
        <v>368</v>
      </c>
      <c r="AX5" t="s">
        <v>369</v>
      </c>
      <c r="AZ5">
        <v>1</v>
      </c>
      <c r="BD5">
        <v>1</v>
      </c>
      <c r="BP5" t="s">
        <v>370</v>
      </c>
      <c r="BV5"/>
      <c r="CB5" t="s">
        <v>371</v>
      </c>
      <c r="CG5" t="s">
        <v>372</v>
      </c>
      <c r="CH5" t="s">
        <v>373</v>
      </c>
      <c r="CI5" t="s">
        <v>374</v>
      </c>
      <c r="CL5" t="s">
        <v>375</v>
      </c>
      <c r="CN5" t="s">
        <v>376</v>
      </c>
      <c r="CO5">
        <v>-10</v>
      </c>
      <c r="CP5">
        <v>0.1</v>
      </c>
      <c r="CR5">
        <v>5</v>
      </c>
      <c r="CY5" t="s">
        <v>377</v>
      </c>
    </row>
    <row r="6" spans="1:113" x14ac:dyDescent="0.25">
      <c r="A6" t="s">
        <v>370</v>
      </c>
      <c r="C6" t="s">
        <v>366</v>
      </c>
      <c r="I6">
        <v>1</v>
      </c>
      <c r="K6" s="3" t="s">
        <v>378</v>
      </c>
      <c r="M6"/>
      <c r="N6"/>
      <c r="Y6" s="3"/>
      <c r="Z6" s="3"/>
      <c r="AA6" s="3"/>
      <c r="AB6" s="3"/>
      <c r="AC6">
        <v>2</v>
      </c>
      <c r="AD6">
        <v>1</v>
      </c>
      <c r="AO6" t="s">
        <v>379</v>
      </c>
      <c r="AW6">
        <v>1</v>
      </c>
      <c r="BD6">
        <v>1</v>
      </c>
      <c r="BV6"/>
      <c r="CN6" t="s">
        <v>370</v>
      </c>
      <c r="CR6">
        <v>9999</v>
      </c>
      <c r="CS6">
        <v>0.6</v>
      </c>
    </row>
    <row r="7" spans="1:113" x14ac:dyDescent="0.25">
      <c r="A7" t="s">
        <v>380</v>
      </c>
      <c r="C7" t="s">
        <v>366</v>
      </c>
      <c r="I7">
        <v>1</v>
      </c>
      <c r="J7" s="3"/>
      <c r="M7"/>
      <c r="N7"/>
      <c r="P7"/>
      <c r="Q7" t="s">
        <v>370</v>
      </c>
      <c r="Y7" s="3"/>
      <c r="Z7" s="3"/>
      <c r="AA7" s="3"/>
      <c r="AB7" s="3"/>
      <c r="AC7">
        <v>2</v>
      </c>
      <c r="AD7">
        <v>1</v>
      </c>
      <c r="AO7" t="s">
        <v>367</v>
      </c>
      <c r="AW7">
        <v>1</v>
      </c>
      <c r="AX7" t="s">
        <v>369</v>
      </c>
      <c r="AZ7">
        <v>0.65</v>
      </c>
      <c r="BD7">
        <v>99</v>
      </c>
      <c r="BO7" t="s">
        <v>381</v>
      </c>
      <c r="BP7" t="s">
        <v>382</v>
      </c>
      <c r="BS7">
        <v>0.1</v>
      </c>
      <c r="BV7"/>
      <c r="CH7" t="s">
        <v>383</v>
      </c>
      <c r="CI7" t="s">
        <v>374</v>
      </c>
      <c r="CL7" t="s">
        <v>375</v>
      </c>
      <c r="CM7" t="s">
        <v>370</v>
      </c>
      <c r="CN7" s="6" t="s">
        <v>384</v>
      </c>
      <c r="CO7" s="3">
        <v>-0.8</v>
      </c>
      <c r="CP7" s="3"/>
      <c r="CQ7" s="3"/>
      <c r="CR7" s="3">
        <v>0.8</v>
      </c>
      <c r="CY7" t="s">
        <v>385</v>
      </c>
    </row>
    <row r="8" spans="1:113" x14ac:dyDescent="0.25">
      <c r="A8" t="s">
        <v>381</v>
      </c>
      <c r="C8" t="s">
        <v>366</v>
      </c>
      <c r="I8">
        <v>1</v>
      </c>
      <c r="J8" s="3"/>
      <c r="M8"/>
      <c r="N8"/>
      <c r="P8"/>
      <c r="Q8" t="s">
        <v>370</v>
      </c>
      <c r="Y8" s="3"/>
      <c r="Z8" s="3"/>
      <c r="AA8" s="3"/>
      <c r="AB8" s="3"/>
      <c r="AC8">
        <v>2</v>
      </c>
      <c r="AD8">
        <v>1</v>
      </c>
      <c r="AO8" t="s">
        <v>367</v>
      </c>
      <c r="AW8">
        <v>1</v>
      </c>
      <c r="BD8">
        <v>99</v>
      </c>
      <c r="BV8"/>
      <c r="CN8" t="s">
        <v>376</v>
      </c>
      <c r="CO8">
        <v>-10</v>
      </c>
      <c r="CP8">
        <v>0.1</v>
      </c>
      <c r="CR8">
        <v>5</v>
      </c>
    </row>
    <row r="9" spans="1:113" x14ac:dyDescent="0.25">
      <c r="A9" t="s">
        <v>382</v>
      </c>
      <c r="C9" t="s">
        <v>366</v>
      </c>
      <c r="I9">
        <v>1</v>
      </c>
      <c r="J9" s="3"/>
      <c r="K9" s="3" t="s">
        <v>378</v>
      </c>
      <c r="M9"/>
      <c r="N9"/>
      <c r="P9"/>
      <c r="Q9" s="5" t="s">
        <v>386</v>
      </c>
      <c r="Y9" s="3"/>
      <c r="Z9" s="3"/>
      <c r="AA9" s="3"/>
      <c r="AB9" s="3"/>
      <c r="AC9">
        <v>2</v>
      </c>
      <c r="AD9">
        <v>1</v>
      </c>
      <c r="AO9" t="s">
        <v>367</v>
      </c>
      <c r="AW9">
        <v>1</v>
      </c>
      <c r="AX9" t="s">
        <v>387</v>
      </c>
      <c r="AZ9">
        <v>0.6</v>
      </c>
      <c r="BD9">
        <v>99</v>
      </c>
      <c r="BV9"/>
      <c r="CN9" s="6"/>
      <c r="CO9" s="3"/>
      <c r="CP9" s="3"/>
      <c r="CQ9" s="3"/>
      <c r="CR9" s="3"/>
      <c r="CY9" t="s">
        <v>388</v>
      </c>
    </row>
    <row r="11" spans="1:113" x14ac:dyDescent="0.25">
      <c r="A11" s="13" t="s">
        <v>560</v>
      </c>
      <c r="C11" t="s">
        <v>366</v>
      </c>
      <c r="D11" t="s">
        <v>390</v>
      </c>
      <c r="E11" t="s">
        <v>391</v>
      </c>
      <c r="F11" t="s">
        <v>392</v>
      </c>
      <c r="G11">
        <v>3</v>
      </c>
      <c r="J11" t="s">
        <v>393</v>
      </c>
      <c r="K11" s="3" t="s">
        <v>394</v>
      </c>
      <c r="M11"/>
      <c r="N11"/>
      <c r="Y11" s="3"/>
      <c r="Z11" s="3"/>
      <c r="AA11" s="3"/>
      <c r="AB11" s="3"/>
      <c r="AC11">
        <v>1</v>
      </c>
      <c r="AG11" t="s">
        <v>395</v>
      </c>
      <c r="AT11" t="s">
        <v>396</v>
      </c>
      <c r="BD11">
        <v>1</v>
      </c>
      <c r="BO11" s="13" t="s">
        <v>559</v>
      </c>
      <c r="BP11" t="s">
        <v>397</v>
      </c>
      <c r="BT11">
        <v>99999</v>
      </c>
      <c r="BV11" s="4">
        <v>0</v>
      </c>
      <c r="BW11" s="4">
        <v>60</v>
      </c>
      <c r="BX11" s="4">
        <v>1</v>
      </c>
      <c r="BY11" s="4" t="s">
        <v>394</v>
      </c>
      <c r="BZ11"/>
      <c r="CA11"/>
      <c r="CB11" s="3"/>
      <c r="CC11" s="3"/>
      <c r="CD11" s="3"/>
      <c r="CE11" s="3"/>
      <c r="CF11" s="3"/>
      <c r="CK11" s="3"/>
      <c r="CL11" s="3"/>
      <c r="CN11" t="s">
        <v>398</v>
      </c>
      <c r="CO11">
        <v>1</v>
      </c>
      <c r="CR11">
        <v>99999</v>
      </c>
      <c r="CU11" t="s">
        <v>399</v>
      </c>
    </row>
    <row r="12" spans="1:113" x14ac:dyDescent="0.25">
      <c r="A12" t="s">
        <v>389</v>
      </c>
      <c r="C12" t="s">
        <v>366</v>
      </c>
      <c r="D12" t="s">
        <v>390</v>
      </c>
      <c r="E12" t="s">
        <v>391</v>
      </c>
      <c r="F12" t="s">
        <v>392</v>
      </c>
      <c r="G12">
        <v>3</v>
      </c>
      <c r="J12" t="s">
        <v>393</v>
      </c>
      <c r="K12" s="3" t="s">
        <v>394</v>
      </c>
      <c r="M12"/>
      <c r="N12"/>
      <c r="Y12" s="3"/>
      <c r="Z12" s="3"/>
      <c r="AA12" s="3"/>
      <c r="AB12" s="3"/>
      <c r="AC12">
        <v>1</v>
      </c>
      <c r="AG12" t="s">
        <v>395</v>
      </c>
      <c r="AT12" t="s">
        <v>396</v>
      </c>
      <c r="BD12">
        <v>1</v>
      </c>
      <c r="BO12" s="13" t="s">
        <v>561</v>
      </c>
      <c r="BP12" t="s">
        <v>397</v>
      </c>
      <c r="BT12">
        <v>99999</v>
      </c>
      <c r="BV12" s="4">
        <v>0</v>
      </c>
      <c r="BW12" s="4">
        <v>60</v>
      </c>
      <c r="BX12" s="4">
        <v>1</v>
      </c>
      <c r="BY12" s="4" t="s">
        <v>394</v>
      </c>
      <c r="BZ12"/>
      <c r="CA12"/>
      <c r="CB12" s="3"/>
      <c r="CC12" s="3"/>
      <c r="CD12" s="3"/>
      <c r="CE12" s="3"/>
      <c r="CF12" s="3"/>
      <c r="CK12" s="3"/>
      <c r="CL12" s="3"/>
      <c r="CN12" t="s">
        <v>398</v>
      </c>
      <c r="CO12">
        <v>1</v>
      </c>
      <c r="CR12">
        <v>99999</v>
      </c>
      <c r="CU12" t="s">
        <v>399</v>
      </c>
    </row>
    <row r="13" spans="1:113" x14ac:dyDescent="0.25">
      <c r="A13" t="s">
        <v>400</v>
      </c>
      <c r="C13" t="s">
        <v>366</v>
      </c>
      <c r="J13" s="3"/>
      <c r="M13"/>
      <c r="N13"/>
      <c r="O13" t="s">
        <v>401</v>
      </c>
      <c r="Y13" s="3"/>
      <c r="Z13" s="3"/>
      <c r="AA13" s="3"/>
      <c r="AB13" s="3"/>
      <c r="AC13">
        <v>2</v>
      </c>
      <c r="AD13">
        <v>1</v>
      </c>
      <c r="AO13" t="s">
        <v>367</v>
      </c>
      <c r="AT13" t="s">
        <v>396</v>
      </c>
      <c r="AX13" t="s">
        <v>369</v>
      </c>
      <c r="AZ13">
        <v>1</v>
      </c>
      <c r="BD13">
        <v>1</v>
      </c>
      <c r="BP13" t="s">
        <v>370</v>
      </c>
      <c r="BV13"/>
      <c r="CB13" t="s">
        <v>402</v>
      </c>
      <c r="CG13" t="s">
        <v>372</v>
      </c>
      <c r="CH13" t="s">
        <v>373</v>
      </c>
      <c r="CI13" t="s">
        <v>374</v>
      </c>
      <c r="CL13" t="s">
        <v>375</v>
      </c>
      <c r="CN13" t="s">
        <v>376</v>
      </c>
      <c r="CO13">
        <v>-10</v>
      </c>
      <c r="CP13">
        <v>0.1</v>
      </c>
      <c r="CR13">
        <v>5</v>
      </c>
      <c r="CY13" t="s">
        <v>377</v>
      </c>
    </row>
    <row r="14" spans="1:113" x14ac:dyDescent="0.25">
      <c r="A14" s="13" t="s">
        <v>558</v>
      </c>
      <c r="C14" t="s">
        <v>366</v>
      </c>
      <c r="H14" t="s">
        <v>403</v>
      </c>
      <c r="M14"/>
      <c r="N14"/>
      <c r="O14" t="s">
        <v>401</v>
      </c>
      <c r="Y14" s="3"/>
      <c r="Z14" s="3"/>
      <c r="AA14" s="3"/>
      <c r="AB14" s="3"/>
      <c r="AC14">
        <v>2</v>
      </c>
      <c r="AD14">
        <v>1</v>
      </c>
      <c r="AO14" t="s">
        <v>379</v>
      </c>
      <c r="AW14">
        <v>1</v>
      </c>
      <c r="AX14" t="s">
        <v>369</v>
      </c>
      <c r="AZ14">
        <v>1</v>
      </c>
      <c r="BD14">
        <v>1</v>
      </c>
      <c r="BP14" t="s">
        <v>370</v>
      </c>
      <c r="CB14" s="3"/>
      <c r="CC14" s="3"/>
      <c r="CD14" s="3"/>
      <c r="CE14" s="3"/>
      <c r="CF14" s="3"/>
      <c r="CJ14" s="3"/>
      <c r="CK14" s="3"/>
      <c r="CL14" t="s">
        <v>375</v>
      </c>
      <c r="CN14" t="s">
        <v>404</v>
      </c>
      <c r="CR14">
        <v>1</v>
      </c>
    </row>
    <row r="15" spans="1:113" x14ac:dyDescent="0.25">
      <c r="A15" t="s">
        <v>397</v>
      </c>
      <c r="C15" t="s">
        <v>366</v>
      </c>
      <c r="I15">
        <v>1</v>
      </c>
      <c r="K15" s="3" t="s">
        <v>378</v>
      </c>
      <c r="M15"/>
      <c r="N15"/>
      <c r="Y15" s="3"/>
      <c r="Z15" s="3"/>
      <c r="AA15" s="3"/>
      <c r="AB15" s="3"/>
      <c r="AC15">
        <v>1</v>
      </c>
      <c r="AG15" t="s">
        <v>395</v>
      </c>
      <c r="BD15">
        <v>1</v>
      </c>
      <c r="BS15">
        <v>0.33300000000000002</v>
      </c>
      <c r="CB15" s="3" t="s">
        <v>405</v>
      </c>
      <c r="CC15" s="3"/>
      <c r="CD15" s="3"/>
      <c r="CE15" s="3"/>
      <c r="CF15" s="3"/>
      <c r="CG15" t="s">
        <v>372</v>
      </c>
      <c r="CH15" s="3"/>
      <c r="CI15" s="3"/>
      <c r="CJ15" s="3"/>
      <c r="CK15" s="3"/>
      <c r="CL15" s="3"/>
      <c r="DD15">
        <v>1</v>
      </c>
      <c r="DF15">
        <v>1</v>
      </c>
      <c r="DG15">
        <v>1</v>
      </c>
      <c r="DH15">
        <v>1</v>
      </c>
    </row>
    <row r="16" spans="1:113" x14ac:dyDescent="0.25">
      <c r="BO16" s="4"/>
      <c r="BP16" s="4"/>
      <c r="BQ16" s="4"/>
      <c r="BR16" s="4"/>
      <c r="BS16" s="4"/>
      <c r="BV16"/>
      <c r="BW16"/>
      <c r="BX16"/>
      <c r="BY16"/>
      <c r="BZ16"/>
      <c r="CA16"/>
    </row>
    <row r="17" spans="1:112" x14ac:dyDescent="0.25">
      <c r="A17" t="s">
        <v>406</v>
      </c>
      <c r="C17" t="s">
        <v>366</v>
      </c>
      <c r="D17" t="s">
        <v>407</v>
      </c>
      <c r="E17" t="s">
        <v>408</v>
      </c>
      <c r="F17" t="s">
        <v>409</v>
      </c>
      <c r="G17">
        <v>3</v>
      </c>
      <c r="J17" t="s">
        <v>393</v>
      </c>
      <c r="K17" s="3" t="s">
        <v>410</v>
      </c>
      <c r="M17"/>
      <c r="N17"/>
      <c r="Y17" s="3"/>
      <c r="Z17" s="3"/>
      <c r="AA17" s="3"/>
      <c r="AB17" s="3"/>
      <c r="AC17">
        <v>1</v>
      </c>
      <c r="AG17" t="s">
        <v>395</v>
      </c>
      <c r="AZ17" s="3"/>
      <c r="BD17">
        <v>1</v>
      </c>
      <c r="BO17" t="s">
        <v>411</v>
      </c>
      <c r="BP17" t="s">
        <v>412</v>
      </c>
      <c r="BT17">
        <v>20</v>
      </c>
      <c r="BV17" s="4">
        <v>20</v>
      </c>
      <c r="BW17" s="4">
        <v>30</v>
      </c>
      <c r="BX17" s="4">
        <v>1</v>
      </c>
      <c r="BY17" s="4" t="s">
        <v>394</v>
      </c>
      <c r="BZ17"/>
      <c r="CA17"/>
      <c r="CB17" s="3"/>
      <c r="CC17" s="3"/>
      <c r="CD17" s="3"/>
      <c r="CE17" s="3"/>
      <c r="CF17" s="3"/>
      <c r="CK17" s="3"/>
      <c r="CL17" s="3"/>
      <c r="CN17" t="s">
        <v>413</v>
      </c>
      <c r="CO17">
        <v>70</v>
      </c>
      <c r="CR17">
        <v>20</v>
      </c>
      <c r="DC17" t="s">
        <v>414</v>
      </c>
    </row>
    <row r="18" spans="1:112" x14ac:dyDescent="0.25">
      <c r="A18" t="s">
        <v>415</v>
      </c>
      <c r="C18" t="s">
        <v>366</v>
      </c>
      <c r="M18"/>
      <c r="N18"/>
      <c r="O18" t="s">
        <v>416</v>
      </c>
      <c r="Y18" s="3"/>
      <c r="Z18" s="3"/>
      <c r="AA18" s="3"/>
      <c r="AB18" s="3"/>
      <c r="AC18">
        <v>2</v>
      </c>
      <c r="AD18">
        <v>1</v>
      </c>
      <c r="AO18" t="s">
        <v>367</v>
      </c>
      <c r="AT18" t="s">
        <v>368</v>
      </c>
      <c r="AX18" t="s">
        <v>369</v>
      </c>
      <c r="AZ18">
        <v>0.75</v>
      </c>
      <c r="BD18">
        <v>1</v>
      </c>
      <c r="BP18" t="s">
        <v>417</v>
      </c>
      <c r="BS18">
        <v>0.5</v>
      </c>
      <c r="CB18" t="s">
        <v>418</v>
      </c>
      <c r="CE18" t="s">
        <v>418</v>
      </c>
      <c r="CH18" t="s">
        <v>373</v>
      </c>
      <c r="CI18" t="s">
        <v>374</v>
      </c>
      <c r="CL18" t="s">
        <v>375</v>
      </c>
      <c r="CN18" t="s">
        <v>419</v>
      </c>
      <c r="CO18">
        <v>-0.04</v>
      </c>
      <c r="CR18">
        <v>0.6</v>
      </c>
      <c r="CY18" t="s">
        <v>377</v>
      </c>
    </row>
    <row r="19" spans="1:112" x14ac:dyDescent="0.25">
      <c r="A19" t="s">
        <v>420</v>
      </c>
      <c r="C19" t="s">
        <v>366</v>
      </c>
      <c r="I19">
        <v>1</v>
      </c>
      <c r="K19" s="3" t="s">
        <v>378</v>
      </c>
      <c r="M19"/>
      <c r="N19"/>
      <c r="Y19" s="3"/>
      <c r="Z19" s="3"/>
      <c r="AA19" s="3"/>
      <c r="AB19" s="3"/>
      <c r="AC19">
        <v>1</v>
      </c>
      <c r="AG19" t="s">
        <v>395</v>
      </c>
      <c r="BD19">
        <v>1</v>
      </c>
      <c r="BV19"/>
      <c r="CN19" t="s">
        <v>420</v>
      </c>
      <c r="CO19">
        <v>0.2</v>
      </c>
      <c r="CR19">
        <v>0.6</v>
      </c>
    </row>
    <row r="20" spans="1:112" x14ac:dyDescent="0.25">
      <c r="A20" t="s">
        <v>421</v>
      </c>
      <c r="C20" t="s">
        <v>366</v>
      </c>
      <c r="I20">
        <v>1</v>
      </c>
      <c r="K20" s="3" t="s">
        <v>378</v>
      </c>
      <c r="M20"/>
      <c r="N20"/>
      <c r="Q20" s="3" t="s">
        <v>422</v>
      </c>
      <c r="Y20" s="3"/>
      <c r="Z20" s="3"/>
      <c r="AA20" s="3"/>
      <c r="AB20" s="3"/>
      <c r="AC20">
        <v>2</v>
      </c>
      <c r="AD20">
        <v>1</v>
      </c>
      <c r="AO20" t="s">
        <v>367</v>
      </c>
      <c r="AW20">
        <v>1</v>
      </c>
      <c r="BD20">
        <v>1</v>
      </c>
      <c r="BV20"/>
      <c r="CN20" t="s">
        <v>370</v>
      </c>
      <c r="CR20">
        <v>9999</v>
      </c>
      <c r="CS20">
        <v>0.6</v>
      </c>
    </row>
    <row r="21" spans="1:112" x14ac:dyDescent="0.25">
      <c r="A21" t="s">
        <v>412</v>
      </c>
      <c r="C21" t="s">
        <v>366</v>
      </c>
      <c r="I21">
        <v>1</v>
      </c>
      <c r="K21" s="3" t="s">
        <v>378</v>
      </c>
      <c r="M21"/>
      <c r="N21"/>
      <c r="Y21" s="3"/>
      <c r="Z21" s="3"/>
      <c r="AA21" s="3"/>
      <c r="AB21" s="3"/>
      <c r="AC21">
        <v>1</v>
      </c>
      <c r="AG21" t="s">
        <v>395</v>
      </c>
      <c r="AZ21" s="3"/>
      <c r="BD21">
        <v>1</v>
      </c>
      <c r="BS21">
        <v>0.16700000000000001</v>
      </c>
      <c r="CB21" s="3" t="s">
        <v>423</v>
      </c>
      <c r="CC21" s="3"/>
      <c r="CD21" s="3"/>
      <c r="CE21" s="3"/>
      <c r="CF21" s="3"/>
      <c r="CG21" t="s">
        <v>372</v>
      </c>
      <c r="CH21" s="3"/>
      <c r="CI21" s="3"/>
      <c r="CJ21" s="3"/>
      <c r="CK21" s="3"/>
      <c r="CL21" s="3"/>
      <c r="CN21" t="s">
        <v>424</v>
      </c>
      <c r="CR21">
        <v>19.7</v>
      </c>
      <c r="DD21">
        <v>1</v>
      </c>
      <c r="DF21">
        <v>1</v>
      </c>
      <c r="DG21">
        <v>1</v>
      </c>
      <c r="DH21">
        <v>1</v>
      </c>
    </row>
    <row r="22" spans="1:112" x14ac:dyDescent="0.25">
      <c r="A22" t="s">
        <v>425</v>
      </c>
      <c r="C22" t="s">
        <v>366</v>
      </c>
      <c r="I22">
        <v>1</v>
      </c>
      <c r="M22"/>
      <c r="N22"/>
      <c r="O22" t="s">
        <v>416</v>
      </c>
      <c r="P22" t="s">
        <v>424</v>
      </c>
      <c r="Y22" s="3"/>
      <c r="Z22" s="3"/>
      <c r="AA22" s="3"/>
      <c r="AB22" s="3"/>
      <c r="AC22">
        <v>1</v>
      </c>
      <c r="AG22" t="s">
        <v>395</v>
      </c>
      <c r="AZ22" s="3"/>
      <c r="BD22">
        <v>1</v>
      </c>
      <c r="BS22">
        <v>0.26700000000000002</v>
      </c>
      <c r="CB22" s="3" t="s">
        <v>426</v>
      </c>
      <c r="CC22" s="3"/>
      <c r="CD22" s="3"/>
      <c r="CE22" s="3"/>
      <c r="CF22" s="3"/>
      <c r="CG22" t="s">
        <v>372</v>
      </c>
      <c r="CH22" s="3"/>
      <c r="CI22" s="3"/>
      <c r="CJ22" s="3"/>
      <c r="CK22" s="3"/>
      <c r="CL22" s="3"/>
      <c r="DD22">
        <v>1</v>
      </c>
      <c r="DF22">
        <v>1</v>
      </c>
      <c r="DG22">
        <v>1</v>
      </c>
      <c r="DH22">
        <v>1</v>
      </c>
    </row>
    <row r="23" spans="1:112" x14ac:dyDescent="0.25">
      <c r="V23"/>
      <c r="W23"/>
      <c r="X23"/>
      <c r="BS23" s="4"/>
      <c r="BT23" s="4"/>
      <c r="BU23" s="4"/>
      <c r="BY23"/>
      <c r="BZ23"/>
      <c r="CA23"/>
    </row>
    <row r="24" spans="1:112" x14ac:dyDescent="0.25">
      <c r="A24" t="s">
        <v>427</v>
      </c>
      <c r="C24" t="s">
        <v>366</v>
      </c>
      <c r="D24" t="s">
        <v>428</v>
      </c>
      <c r="E24" t="s">
        <v>429</v>
      </c>
      <c r="F24" t="s">
        <v>430</v>
      </c>
      <c r="G24">
        <v>3</v>
      </c>
      <c r="J24" t="s">
        <v>393</v>
      </c>
      <c r="K24" s="3" t="s">
        <v>410</v>
      </c>
      <c r="M24"/>
      <c r="N24"/>
      <c r="Y24" s="3"/>
      <c r="Z24" s="3"/>
      <c r="AA24" s="3"/>
      <c r="AB24" s="3"/>
      <c r="AC24">
        <v>1</v>
      </c>
      <c r="AG24" t="s">
        <v>395</v>
      </c>
      <c r="AT24" t="s">
        <v>431</v>
      </c>
      <c r="BD24">
        <v>1</v>
      </c>
      <c r="BO24" t="s">
        <v>432</v>
      </c>
      <c r="BP24" t="s">
        <v>433</v>
      </c>
      <c r="BT24">
        <v>30</v>
      </c>
      <c r="BV24" s="4">
        <v>30</v>
      </c>
      <c r="BW24" s="4">
        <v>45</v>
      </c>
      <c r="BX24" s="4">
        <v>1</v>
      </c>
      <c r="BY24" s="4" t="s">
        <v>394</v>
      </c>
      <c r="BZ24"/>
      <c r="CA24"/>
      <c r="CB24" s="3"/>
      <c r="CC24" s="3"/>
      <c r="CD24" s="3"/>
      <c r="CE24" s="3"/>
      <c r="CF24" s="3"/>
      <c r="CK24" s="3"/>
      <c r="CL24" s="3"/>
      <c r="CN24" t="s">
        <v>434</v>
      </c>
      <c r="CO24">
        <v>3</v>
      </c>
      <c r="CR24">
        <v>30</v>
      </c>
      <c r="CU24" t="s">
        <v>399</v>
      </c>
      <c r="DB24" t="s">
        <v>435</v>
      </c>
      <c r="DC24" t="s">
        <v>436</v>
      </c>
    </row>
    <row r="25" spans="1:112" x14ac:dyDescent="0.25">
      <c r="A25" t="s">
        <v>437</v>
      </c>
      <c r="C25" t="s">
        <v>366</v>
      </c>
      <c r="M25"/>
      <c r="N25"/>
      <c r="O25" t="s">
        <v>438</v>
      </c>
      <c r="Y25" s="3"/>
      <c r="Z25" s="3"/>
      <c r="AA25" s="3"/>
      <c r="AB25" s="3"/>
      <c r="AC25">
        <v>2</v>
      </c>
      <c r="AD25">
        <v>1</v>
      </c>
      <c r="AO25" t="s">
        <v>367</v>
      </c>
      <c r="AT25" t="s">
        <v>431</v>
      </c>
      <c r="AX25" t="s">
        <v>369</v>
      </c>
      <c r="AZ25">
        <v>1</v>
      </c>
      <c r="BD25">
        <v>4</v>
      </c>
      <c r="BP25" t="s">
        <v>439</v>
      </c>
      <c r="CB25" s="3" t="s">
        <v>440</v>
      </c>
      <c r="CG25" t="s">
        <v>372</v>
      </c>
      <c r="CH25" t="s">
        <v>373</v>
      </c>
      <c r="CI25" t="s">
        <v>374</v>
      </c>
      <c r="CL25" t="s">
        <v>375</v>
      </c>
      <c r="CN25" t="s">
        <v>376</v>
      </c>
      <c r="CO25">
        <v>-10</v>
      </c>
      <c r="CP25">
        <v>0.1</v>
      </c>
      <c r="CR25">
        <v>5</v>
      </c>
      <c r="CY25" t="s">
        <v>441</v>
      </c>
    </row>
    <row r="26" spans="1:112" x14ac:dyDescent="0.25">
      <c r="A26" t="s">
        <v>439</v>
      </c>
      <c r="C26" t="s">
        <v>366</v>
      </c>
      <c r="I26">
        <v>1</v>
      </c>
      <c r="K26" s="3" t="s">
        <v>378</v>
      </c>
      <c r="M26"/>
      <c r="N26"/>
      <c r="Y26" s="3"/>
      <c r="Z26" s="3"/>
      <c r="AA26" s="3"/>
      <c r="AB26" s="3"/>
      <c r="AC26">
        <v>2</v>
      </c>
      <c r="AD26">
        <v>1</v>
      </c>
      <c r="AO26" t="s">
        <v>379</v>
      </c>
      <c r="AW26">
        <v>1</v>
      </c>
      <c r="BD26">
        <v>4</v>
      </c>
      <c r="BV26"/>
      <c r="CN26" t="s">
        <v>370</v>
      </c>
      <c r="CR26">
        <v>9999</v>
      </c>
      <c r="CS26">
        <v>0.6</v>
      </c>
    </row>
    <row r="27" spans="1:112" x14ac:dyDescent="0.25">
      <c r="A27" t="s">
        <v>433</v>
      </c>
      <c r="C27" t="s">
        <v>366</v>
      </c>
      <c r="I27">
        <v>1</v>
      </c>
      <c r="K27" s="3" t="s">
        <v>378</v>
      </c>
      <c r="M27"/>
      <c r="N27"/>
      <c r="Y27" s="3"/>
      <c r="Z27" s="3"/>
      <c r="AA27" s="3"/>
      <c r="AB27" s="3"/>
      <c r="AC27">
        <v>1</v>
      </c>
      <c r="AG27" t="s">
        <v>395</v>
      </c>
      <c r="BD27">
        <v>1</v>
      </c>
      <c r="BS27">
        <v>0.16700000000000001</v>
      </c>
      <c r="CB27" s="3" t="s">
        <v>442</v>
      </c>
      <c r="CC27" s="3"/>
      <c r="CD27" s="3"/>
      <c r="CE27" s="3"/>
      <c r="CF27" s="3"/>
      <c r="CG27" t="s">
        <v>372</v>
      </c>
      <c r="CH27" s="3"/>
      <c r="CI27" s="3"/>
      <c r="CJ27" s="3"/>
      <c r="CK27" s="3"/>
      <c r="CL27" s="3"/>
      <c r="DD27">
        <v>1</v>
      </c>
      <c r="DF27">
        <v>1</v>
      </c>
      <c r="DG27">
        <v>1</v>
      </c>
      <c r="DH27">
        <v>1</v>
      </c>
    </row>
    <row r="28" spans="1:112" x14ac:dyDescent="0.25">
      <c r="A28" t="s">
        <v>443</v>
      </c>
      <c r="C28" t="s">
        <v>366</v>
      </c>
      <c r="I28">
        <v>1</v>
      </c>
      <c r="K28" s="3" t="s">
        <v>378</v>
      </c>
      <c r="L28" s="3" t="s">
        <v>444</v>
      </c>
      <c r="M28"/>
      <c r="N28"/>
      <c r="O28"/>
      <c r="P28"/>
      <c r="Y28" s="3"/>
      <c r="Z28" s="3"/>
      <c r="AA28" s="3"/>
      <c r="AB28" s="3"/>
      <c r="AC28">
        <v>1</v>
      </c>
      <c r="AG28" t="s">
        <v>395</v>
      </c>
      <c r="BD28">
        <v>1</v>
      </c>
      <c r="BS28">
        <v>0.5</v>
      </c>
      <c r="CB28" s="3" t="s">
        <v>445</v>
      </c>
      <c r="CC28" s="3"/>
      <c r="CD28" s="3"/>
      <c r="CE28" s="3"/>
      <c r="CF28" s="3"/>
      <c r="CG28" t="s">
        <v>372</v>
      </c>
      <c r="CH28" s="3"/>
      <c r="CI28" s="3"/>
      <c r="CJ28" s="3"/>
      <c r="CK28" s="3"/>
      <c r="CL28" s="3"/>
      <c r="DD28">
        <v>1</v>
      </c>
      <c r="DF28">
        <v>1</v>
      </c>
      <c r="DG28">
        <v>1</v>
      </c>
      <c r="DH28">
        <v>1</v>
      </c>
    </row>
    <row r="29" spans="1:112" x14ac:dyDescent="0.25">
      <c r="CL29" s="3"/>
    </row>
    <row r="30" spans="1:112" x14ac:dyDescent="0.25">
      <c r="BV30"/>
    </row>
    <row r="31" spans="1:112" x14ac:dyDescent="0.25">
      <c r="BV31"/>
      <c r="CL31" s="3"/>
    </row>
    <row r="32" spans="1:112" x14ac:dyDescent="0.25">
      <c r="CL32" s="3"/>
    </row>
    <row r="34" spans="74:90" x14ac:dyDescent="0.25">
      <c r="BV34"/>
    </row>
    <row r="35" spans="74:90" x14ac:dyDescent="0.25">
      <c r="BV35"/>
      <c r="CL35" s="3"/>
    </row>
    <row r="36" spans="74:90" x14ac:dyDescent="0.25">
      <c r="CL36" s="3"/>
    </row>
    <row r="38" spans="74:90" x14ac:dyDescent="0.25">
      <c r="BV38"/>
    </row>
    <row r="39" spans="74:90" x14ac:dyDescent="0.25">
      <c r="CL39" s="3"/>
    </row>
    <row r="42" spans="74:90" x14ac:dyDescent="0.25">
      <c r="CL42" s="3"/>
    </row>
    <row r="46" spans="74:90" x14ac:dyDescent="0.25">
      <c r="CL46" s="3"/>
    </row>
    <row r="48" spans="74:90" x14ac:dyDescent="0.25">
      <c r="BV48"/>
    </row>
    <row r="49" spans="74:90" x14ac:dyDescent="0.25">
      <c r="CL49" s="3"/>
    </row>
    <row r="56" spans="74:90" x14ac:dyDescent="0.25">
      <c r="BV56"/>
    </row>
    <row r="57" spans="74:90" x14ac:dyDescent="0.25">
      <c r="CL57" s="3"/>
    </row>
    <row r="58" spans="74:90" x14ac:dyDescent="0.25">
      <c r="CL58" s="3"/>
    </row>
    <row r="60" spans="74:90" x14ac:dyDescent="0.25">
      <c r="BV60"/>
    </row>
    <row r="61" spans="74:90" x14ac:dyDescent="0.25">
      <c r="BV61"/>
      <c r="CL61" s="3"/>
    </row>
    <row r="62" spans="74:90" x14ac:dyDescent="0.25">
      <c r="CL62" s="3"/>
    </row>
    <row r="68" spans="74:90" x14ac:dyDescent="0.25">
      <c r="BV68"/>
    </row>
    <row r="69" spans="74:90" x14ac:dyDescent="0.25">
      <c r="BV69"/>
      <c r="CL69" s="3"/>
    </row>
    <row r="70" spans="74:90" x14ac:dyDescent="0.25">
      <c r="BV70"/>
      <c r="CL70" s="3"/>
    </row>
    <row r="71" spans="74:90" x14ac:dyDescent="0.25">
      <c r="CL71" s="3"/>
    </row>
    <row r="76" spans="74:90" x14ac:dyDescent="0.25">
      <c r="BV76"/>
    </row>
    <row r="77" spans="74:90" x14ac:dyDescent="0.25">
      <c r="BV77"/>
    </row>
    <row r="81" spans="74:90" x14ac:dyDescent="0.25">
      <c r="BV81"/>
    </row>
    <row r="82" spans="74:90" x14ac:dyDescent="0.25">
      <c r="CL82" s="3"/>
    </row>
    <row r="83" spans="74:90" x14ac:dyDescent="0.25">
      <c r="BV83"/>
    </row>
    <row r="84" spans="74:90" x14ac:dyDescent="0.25">
      <c r="CL84" s="3"/>
    </row>
    <row r="94" spans="74:90" x14ac:dyDescent="0.25">
      <c r="BV94"/>
    </row>
    <row r="95" spans="74:90" x14ac:dyDescent="0.25">
      <c r="CL95" s="3"/>
    </row>
    <row r="97" spans="74:90" x14ac:dyDescent="0.25">
      <c r="BV97"/>
    </row>
    <row r="98" spans="74:90" x14ac:dyDescent="0.25">
      <c r="CL98" s="3"/>
    </row>
    <row r="106" spans="74:90" x14ac:dyDescent="0.25">
      <c r="BV106"/>
    </row>
    <row r="107" spans="74:90" x14ac:dyDescent="0.25">
      <c r="CL107" s="3"/>
    </row>
    <row r="111" spans="74:90" x14ac:dyDescent="0.25">
      <c r="BV111"/>
    </row>
    <row r="112" spans="74:90" x14ac:dyDescent="0.25">
      <c r="CL112" s="3"/>
    </row>
    <row r="114" spans="74:90" x14ac:dyDescent="0.25">
      <c r="BV114"/>
    </row>
    <row r="115" spans="74:90" x14ac:dyDescent="0.25">
      <c r="CL115" s="3"/>
    </row>
    <row r="131" spans="74:90" x14ac:dyDescent="0.25">
      <c r="BV131"/>
    </row>
    <row r="132" spans="74:90" x14ac:dyDescent="0.25">
      <c r="BV132"/>
      <c r="CL132" s="3"/>
    </row>
    <row r="133" spans="74:90" x14ac:dyDescent="0.25">
      <c r="BV133"/>
      <c r="CL133" s="3"/>
    </row>
    <row r="134" spans="74:90" x14ac:dyDescent="0.25">
      <c r="BV134"/>
      <c r="CL134" s="3"/>
    </row>
    <row r="135" spans="74:90" x14ac:dyDescent="0.25">
      <c r="BV135"/>
    </row>
    <row r="137" spans="74:90" x14ac:dyDescent="0.25">
      <c r="BV137"/>
    </row>
    <row r="138" spans="74:90" x14ac:dyDescent="0.25">
      <c r="BV138"/>
      <c r="CL138" s="3"/>
    </row>
    <row r="139" spans="74:90" x14ac:dyDescent="0.25">
      <c r="BV139"/>
      <c r="CL139" s="3"/>
    </row>
    <row r="140" spans="74:90" x14ac:dyDescent="0.25">
      <c r="CL140" s="3"/>
    </row>
    <row r="144" spans="74:90" x14ac:dyDescent="0.25">
      <c r="BV144"/>
    </row>
    <row r="145" spans="74:90" x14ac:dyDescent="0.25">
      <c r="CL145" s="3"/>
    </row>
    <row r="147" spans="74:90" x14ac:dyDescent="0.25">
      <c r="BV147"/>
    </row>
    <row r="148" spans="74:90" x14ac:dyDescent="0.25">
      <c r="BV148"/>
      <c r="CL148" s="3"/>
    </row>
    <row r="149" spans="74:90" x14ac:dyDescent="0.25">
      <c r="BV149"/>
      <c r="CL149" s="3"/>
    </row>
    <row r="150" spans="74:90" x14ac:dyDescent="0.25">
      <c r="CL150" s="3"/>
    </row>
    <row r="166" spans="74:90" x14ac:dyDescent="0.25">
      <c r="BV166"/>
    </row>
    <row r="167" spans="74:90" x14ac:dyDescent="0.25">
      <c r="CL167" s="3"/>
    </row>
    <row r="175" spans="74:90" x14ac:dyDescent="0.25">
      <c r="CL175" s="3"/>
    </row>
    <row r="176" spans="74:90" x14ac:dyDescent="0.25">
      <c r="CL176" s="3"/>
    </row>
    <row r="177" spans="74:90" x14ac:dyDescent="0.25">
      <c r="CL177" s="3"/>
    </row>
    <row r="178" spans="74:90" x14ac:dyDescent="0.25">
      <c r="CL178" s="3"/>
    </row>
    <row r="179" spans="74:90" x14ac:dyDescent="0.25">
      <c r="CL179" s="3"/>
    </row>
    <row r="181" spans="74:90" x14ac:dyDescent="0.25">
      <c r="BV181"/>
    </row>
    <row r="182" spans="74:90" x14ac:dyDescent="0.25">
      <c r="CL182" s="3"/>
    </row>
    <row r="183" spans="74:90" x14ac:dyDescent="0.25">
      <c r="BV183"/>
    </row>
    <row r="184" spans="74:90" x14ac:dyDescent="0.25">
      <c r="BV184"/>
      <c r="CL184" s="3"/>
    </row>
    <row r="185" spans="74:90" x14ac:dyDescent="0.25">
      <c r="CL185" s="3"/>
    </row>
    <row r="187" spans="74:90" x14ac:dyDescent="0.25">
      <c r="BV187"/>
    </row>
    <row r="188" spans="74:90" x14ac:dyDescent="0.25">
      <c r="BV188"/>
      <c r="CL188" s="3"/>
    </row>
    <row r="189" spans="74:90" x14ac:dyDescent="0.25">
      <c r="BV189"/>
      <c r="CL189" s="3"/>
    </row>
    <row r="190" spans="74:90" x14ac:dyDescent="0.25">
      <c r="CL190" s="3"/>
    </row>
    <row r="192" spans="74:90" x14ac:dyDescent="0.25">
      <c r="CL192" s="3"/>
    </row>
    <row r="194" spans="74:90" x14ac:dyDescent="0.25">
      <c r="CL194" s="3"/>
    </row>
    <row r="196" spans="74:90" x14ac:dyDescent="0.25">
      <c r="CL196" s="3"/>
    </row>
    <row r="199" spans="74:90" x14ac:dyDescent="0.25">
      <c r="CL199" s="3"/>
    </row>
    <row r="200" spans="74:90" x14ac:dyDescent="0.25">
      <c r="CL200" s="3"/>
    </row>
    <row r="201" spans="74:90" x14ac:dyDescent="0.25">
      <c r="CL201" s="3"/>
    </row>
    <row r="202" spans="74:90" x14ac:dyDescent="0.25">
      <c r="CL202" s="3"/>
    </row>
    <row r="203" spans="74:90" x14ac:dyDescent="0.25">
      <c r="CL203" s="3"/>
    </row>
    <row r="204" spans="74:90" x14ac:dyDescent="0.25">
      <c r="CL204" s="3"/>
    </row>
    <row r="205" spans="74:90" x14ac:dyDescent="0.25">
      <c r="BV205"/>
    </row>
    <row r="206" spans="74:90" x14ac:dyDescent="0.25">
      <c r="BV206"/>
      <c r="CL206" s="3"/>
    </row>
    <row r="207" spans="74:90" x14ac:dyDescent="0.25">
      <c r="BV207"/>
      <c r="CL207" s="3"/>
    </row>
    <row r="208" spans="74:90" x14ac:dyDescent="0.25">
      <c r="CL208" s="3"/>
    </row>
    <row r="209" spans="74:90" x14ac:dyDescent="0.25">
      <c r="CL209" s="3"/>
    </row>
    <row r="210" spans="74:90" x14ac:dyDescent="0.25">
      <c r="CL210" s="3"/>
    </row>
    <row r="211" spans="74:90" x14ac:dyDescent="0.25">
      <c r="CL211" s="3"/>
    </row>
    <row r="213" spans="74:90" x14ac:dyDescent="0.25">
      <c r="CL213" s="3"/>
    </row>
    <row r="214" spans="74:90" x14ac:dyDescent="0.25">
      <c r="CL214" s="3"/>
    </row>
    <row r="215" spans="74:90" x14ac:dyDescent="0.25">
      <c r="BV215"/>
    </row>
    <row r="216" spans="74:90" x14ac:dyDescent="0.25">
      <c r="BV216"/>
      <c r="CL216" s="3"/>
    </row>
    <row r="217" spans="74:90" x14ac:dyDescent="0.25">
      <c r="BV217"/>
      <c r="CL217" s="3"/>
    </row>
    <row r="218" spans="74:90" x14ac:dyDescent="0.25">
      <c r="CL218" s="3"/>
    </row>
    <row r="219" spans="74:90" x14ac:dyDescent="0.25">
      <c r="CL219" s="3"/>
    </row>
    <row r="221" spans="74:90" x14ac:dyDescent="0.25">
      <c r="CL221" s="3"/>
    </row>
    <row r="222" spans="74:90" x14ac:dyDescent="0.25">
      <c r="CL222" s="3"/>
    </row>
    <row r="223" spans="74:90" x14ac:dyDescent="0.25">
      <c r="BV223"/>
      <c r="CL223" s="3"/>
    </row>
    <row r="224" spans="74:90" x14ac:dyDescent="0.25">
      <c r="BV224"/>
      <c r="CL224" s="3"/>
    </row>
    <row r="225" spans="74:90" x14ac:dyDescent="0.25">
      <c r="CL225" s="3"/>
    </row>
    <row r="226" spans="74:90" x14ac:dyDescent="0.25">
      <c r="CL226" s="3"/>
    </row>
    <row r="227" spans="74:90" x14ac:dyDescent="0.25">
      <c r="CL227" s="3"/>
    </row>
    <row r="229" spans="74:90" x14ac:dyDescent="0.25">
      <c r="BV229"/>
      <c r="CL229" s="3"/>
    </row>
    <row r="230" spans="74:90" x14ac:dyDescent="0.25">
      <c r="CL230" s="3"/>
    </row>
    <row r="231" spans="74:90" x14ac:dyDescent="0.25">
      <c r="CL231" s="3"/>
    </row>
    <row r="233" spans="74:90" x14ac:dyDescent="0.25">
      <c r="BV233"/>
      <c r="CL233" s="3"/>
    </row>
    <row r="234" spans="74:90" x14ac:dyDescent="0.25">
      <c r="BV234"/>
      <c r="CL234" s="3"/>
    </row>
    <row r="235" spans="74:90" x14ac:dyDescent="0.25">
      <c r="CL235" s="3"/>
    </row>
    <row r="237" spans="74:90" x14ac:dyDescent="0.25">
      <c r="CL237" s="3"/>
    </row>
    <row r="239" spans="74:90" x14ac:dyDescent="0.25">
      <c r="CL239" s="3"/>
    </row>
    <row r="242" spans="74:90" x14ac:dyDescent="0.25">
      <c r="CL242" s="3"/>
    </row>
    <row r="243" spans="74:90" x14ac:dyDescent="0.25">
      <c r="CL243" s="3"/>
    </row>
    <row r="247" spans="74:90" x14ac:dyDescent="0.25">
      <c r="BV247"/>
    </row>
    <row r="248" spans="74:90" x14ac:dyDescent="0.25">
      <c r="BV248"/>
      <c r="CL248" s="3"/>
    </row>
    <row r="249" spans="74:90" x14ac:dyDescent="0.25">
      <c r="BV249"/>
      <c r="CL249" s="3"/>
    </row>
    <row r="250" spans="74:90" x14ac:dyDescent="0.25">
      <c r="CL250" s="3"/>
    </row>
    <row r="251" spans="74:90" x14ac:dyDescent="0.25">
      <c r="CL251" s="3"/>
    </row>
    <row r="252" spans="74:90" x14ac:dyDescent="0.25">
      <c r="BV252"/>
    </row>
    <row r="253" spans="74:90" x14ac:dyDescent="0.25">
      <c r="CL253" s="3"/>
    </row>
    <row r="255" spans="74:90" x14ac:dyDescent="0.25">
      <c r="CL255" s="3"/>
    </row>
    <row r="256" spans="74:90" x14ac:dyDescent="0.25">
      <c r="CL256" s="3"/>
    </row>
    <row r="258" spans="74:90" x14ac:dyDescent="0.25">
      <c r="CL258" s="3"/>
    </row>
    <row r="259" spans="74:90" x14ac:dyDescent="0.25">
      <c r="CL259" s="3"/>
    </row>
    <row r="260" spans="74:90" x14ac:dyDescent="0.25">
      <c r="CL260" s="3"/>
    </row>
    <row r="261" spans="74:90" x14ac:dyDescent="0.25">
      <c r="CL261" s="3"/>
    </row>
    <row r="262" spans="74:90" x14ac:dyDescent="0.25">
      <c r="CL262" s="3"/>
    </row>
    <row r="263" spans="74:90" x14ac:dyDescent="0.25">
      <c r="CL263" s="3"/>
    </row>
    <row r="264" spans="74:90" x14ac:dyDescent="0.25">
      <c r="CL264" s="3"/>
    </row>
    <row r="266" spans="74:90" x14ac:dyDescent="0.25">
      <c r="BV266"/>
    </row>
    <row r="267" spans="74:90" x14ac:dyDescent="0.25">
      <c r="CL267" s="3"/>
    </row>
    <row r="268" spans="74:90" x14ac:dyDescent="0.25">
      <c r="CL268" s="3"/>
    </row>
    <row r="301" spans="8:90" x14ac:dyDescent="0.25">
      <c r="BU301" s="7"/>
      <c r="BV301" s="8"/>
    </row>
    <row r="302" spans="8:90" x14ac:dyDescent="0.25">
      <c r="H302" s="7"/>
      <c r="CL302" s="7"/>
    </row>
    <row r="308" spans="74:90" x14ac:dyDescent="0.25">
      <c r="BV308"/>
    </row>
    <row r="309" spans="74:90" x14ac:dyDescent="0.25">
      <c r="BV309"/>
      <c r="CL309" s="3"/>
    </row>
    <row r="310" spans="74:90" x14ac:dyDescent="0.25">
      <c r="BV310"/>
      <c r="CL310" s="3"/>
    </row>
    <row r="311" spans="74:90" x14ac:dyDescent="0.25">
      <c r="CL311" s="3"/>
    </row>
    <row r="328" spans="74:90" x14ac:dyDescent="0.25">
      <c r="BV328"/>
    </row>
    <row r="329" spans="74:90" x14ac:dyDescent="0.25">
      <c r="CL329" s="3"/>
    </row>
    <row r="361" spans="74:90" x14ac:dyDescent="0.25">
      <c r="BV361"/>
    </row>
    <row r="362" spans="74:90" x14ac:dyDescent="0.25">
      <c r="BV362"/>
      <c r="CL362" s="3"/>
    </row>
    <row r="363" spans="74:90" x14ac:dyDescent="0.25">
      <c r="CL363" s="3"/>
    </row>
    <row r="379" spans="74:90" x14ac:dyDescent="0.25">
      <c r="BV379"/>
    </row>
    <row r="380" spans="74:90" x14ac:dyDescent="0.25">
      <c r="CL380" s="3"/>
    </row>
    <row r="386" spans="74:90" x14ac:dyDescent="0.25">
      <c r="BV386"/>
    </row>
    <row r="387" spans="74:90" x14ac:dyDescent="0.25">
      <c r="BV387"/>
      <c r="CL387" s="3"/>
    </row>
    <row r="388" spans="74:90" x14ac:dyDescent="0.25">
      <c r="CL388" s="3"/>
    </row>
    <row r="393" spans="74:90" x14ac:dyDescent="0.25">
      <c r="BV393"/>
    </row>
    <row r="394" spans="74:90" x14ac:dyDescent="0.25">
      <c r="BV394"/>
      <c r="CL394" s="3"/>
    </row>
    <row r="395" spans="74:90" x14ac:dyDescent="0.25">
      <c r="BV395"/>
      <c r="CL395" s="3"/>
    </row>
    <row r="396" spans="74:90" x14ac:dyDescent="0.25">
      <c r="BV396"/>
      <c r="CL396" s="3"/>
    </row>
    <row r="397" spans="74:90" x14ac:dyDescent="0.25">
      <c r="BV397"/>
      <c r="CL397" s="3"/>
    </row>
    <row r="398" spans="74:90" x14ac:dyDescent="0.25">
      <c r="BV398"/>
      <c r="CL398" s="3"/>
    </row>
    <row r="399" spans="74:90" x14ac:dyDescent="0.25">
      <c r="BV399"/>
      <c r="CL399" s="3"/>
    </row>
    <row r="400" spans="74:90" x14ac:dyDescent="0.25">
      <c r="BV400"/>
      <c r="CL400" s="3"/>
    </row>
    <row r="401" spans="74:90" x14ac:dyDescent="0.25">
      <c r="BV401"/>
      <c r="CL401" s="3"/>
    </row>
    <row r="402" spans="74:90" x14ac:dyDescent="0.25">
      <c r="BV402"/>
      <c r="CL402" s="3"/>
    </row>
    <row r="403" spans="74:90" x14ac:dyDescent="0.25">
      <c r="BV403"/>
      <c r="CL403" s="3"/>
    </row>
    <row r="404" spans="74:90" x14ac:dyDescent="0.25">
      <c r="BV404"/>
      <c r="CL404" s="3"/>
    </row>
    <row r="405" spans="74:90" x14ac:dyDescent="0.25">
      <c r="BV405"/>
      <c r="CL405" s="3"/>
    </row>
    <row r="406" spans="74:90" x14ac:dyDescent="0.25">
      <c r="BV406"/>
      <c r="CL406" s="3"/>
    </row>
    <row r="407" spans="74:90" x14ac:dyDescent="0.25">
      <c r="BV407"/>
      <c r="CL407" s="3"/>
    </row>
    <row r="408" spans="74:90" x14ac:dyDescent="0.25">
      <c r="BV408"/>
      <c r="CL408" s="3"/>
    </row>
    <row r="409" spans="74:90" x14ac:dyDescent="0.25">
      <c r="CL409" s="3"/>
    </row>
    <row r="413" spans="74:90" x14ac:dyDescent="0.25">
      <c r="BV413"/>
    </row>
    <row r="414" spans="74:90" x14ac:dyDescent="0.25">
      <c r="BV414"/>
      <c r="CL414" s="3"/>
    </row>
    <row r="415" spans="74:90" x14ac:dyDescent="0.25">
      <c r="CL415" s="3"/>
    </row>
    <row r="416" spans="74:90" x14ac:dyDescent="0.25">
      <c r="BV416"/>
    </row>
    <row r="417" spans="74:90" x14ac:dyDescent="0.25">
      <c r="CL417" s="3"/>
    </row>
    <row r="420" spans="74:90" x14ac:dyDescent="0.25">
      <c r="BV420"/>
    </row>
    <row r="421" spans="74:90" x14ac:dyDescent="0.25">
      <c r="BV421"/>
      <c r="CL421" s="3"/>
    </row>
    <row r="422" spans="74:90" x14ac:dyDescent="0.25">
      <c r="CL422" s="3"/>
    </row>
    <row r="453" spans="74:90" x14ac:dyDescent="0.25">
      <c r="BV453"/>
    </row>
    <row r="454" spans="74:90" x14ac:dyDescent="0.25">
      <c r="BV454"/>
      <c r="CL454" s="3"/>
    </row>
    <row r="455" spans="74:90" x14ac:dyDescent="0.25">
      <c r="BV455"/>
      <c r="CL455" s="3"/>
    </row>
    <row r="456" spans="74:90" x14ac:dyDescent="0.25">
      <c r="BV456"/>
      <c r="CL456" s="3"/>
    </row>
    <row r="457" spans="74:90" x14ac:dyDescent="0.25">
      <c r="BV457"/>
      <c r="CL457" s="3"/>
    </row>
    <row r="458" spans="74:90" x14ac:dyDescent="0.25">
      <c r="BV458"/>
      <c r="CL458" s="3"/>
    </row>
    <row r="459" spans="74:90" x14ac:dyDescent="0.25">
      <c r="BV459"/>
      <c r="CL459" s="3"/>
    </row>
    <row r="460" spans="74:90" x14ac:dyDescent="0.25">
      <c r="BV460"/>
      <c r="CL460" s="3"/>
    </row>
    <row r="461" spans="74:90" x14ac:dyDescent="0.25">
      <c r="CL461" s="3"/>
    </row>
    <row r="463" spans="74:90" x14ac:dyDescent="0.25">
      <c r="BV463"/>
    </row>
    <row r="464" spans="74:90" x14ac:dyDescent="0.25">
      <c r="CL464" s="3"/>
    </row>
    <row r="468" spans="74:90" x14ac:dyDescent="0.25">
      <c r="BV468"/>
    </row>
    <row r="469" spans="74:90" x14ac:dyDescent="0.25">
      <c r="CL469" s="3"/>
    </row>
    <row r="472" spans="74:90" x14ac:dyDescent="0.25">
      <c r="BV472"/>
    </row>
    <row r="473" spans="74:90" x14ac:dyDescent="0.25">
      <c r="BV473"/>
      <c r="CL473" s="3"/>
    </row>
    <row r="474" spans="74:90" x14ac:dyDescent="0.25">
      <c r="BV474"/>
      <c r="CL474" s="3"/>
    </row>
    <row r="475" spans="74:90" x14ac:dyDescent="0.25">
      <c r="BV475"/>
      <c r="CL475" s="3"/>
    </row>
    <row r="476" spans="74:90" x14ac:dyDescent="0.25">
      <c r="CL476" s="3"/>
    </row>
    <row r="483" spans="74:90" x14ac:dyDescent="0.25">
      <c r="BV483"/>
    </row>
    <row r="484" spans="74:90" x14ac:dyDescent="0.25">
      <c r="CL484" s="3"/>
    </row>
    <row r="487" spans="74:90" x14ac:dyDescent="0.25">
      <c r="BV487"/>
    </row>
    <row r="488" spans="74:90" x14ac:dyDescent="0.25">
      <c r="BV488"/>
      <c r="CL488" s="3"/>
    </row>
    <row r="489" spans="74:90" x14ac:dyDescent="0.25">
      <c r="BV489"/>
      <c r="CL489" s="3"/>
    </row>
    <row r="490" spans="74:90" x14ac:dyDescent="0.25">
      <c r="BV490"/>
      <c r="CL490" s="3"/>
    </row>
    <row r="491" spans="74:90" x14ac:dyDescent="0.25">
      <c r="CL491" s="3"/>
    </row>
    <row r="493" spans="74:90" x14ac:dyDescent="0.25">
      <c r="BV493"/>
    </row>
    <row r="494" spans="74:90" x14ac:dyDescent="0.25">
      <c r="BV494"/>
      <c r="CL494" s="3"/>
    </row>
    <row r="495" spans="74:90" x14ac:dyDescent="0.25">
      <c r="CL495" s="3"/>
    </row>
    <row r="496" spans="74:90" x14ac:dyDescent="0.25">
      <c r="CL496">
        <v>0.15</v>
      </c>
    </row>
    <row r="498" spans="90:90" x14ac:dyDescent="0.25">
      <c r="CL498">
        <v>0.2</v>
      </c>
    </row>
    <row r="499" spans="90:90" x14ac:dyDescent="0.25">
      <c r="CL499">
        <v>0.1</v>
      </c>
    </row>
    <row r="501" spans="90:90" x14ac:dyDescent="0.25">
      <c r="CL501">
        <v>0.2</v>
      </c>
    </row>
    <row r="508" spans="90:90" x14ac:dyDescent="0.25">
      <c r="CL508">
        <v>1</v>
      </c>
    </row>
    <row r="510" spans="90:90" x14ac:dyDescent="0.25">
      <c r="CL510">
        <v>0.4</v>
      </c>
    </row>
    <row r="511" spans="90:90" x14ac:dyDescent="0.25">
      <c r="CL511">
        <v>0.6</v>
      </c>
    </row>
    <row r="514" spans="74:90" x14ac:dyDescent="0.25">
      <c r="CL514">
        <v>0.5</v>
      </c>
    </row>
    <row r="515" spans="74:90" x14ac:dyDescent="0.25">
      <c r="CL515">
        <v>0.66700000000000004</v>
      </c>
    </row>
    <row r="516" spans="74:90" x14ac:dyDescent="0.25">
      <c r="CL516">
        <v>0.2</v>
      </c>
    </row>
    <row r="519" spans="74:90" x14ac:dyDescent="0.25">
      <c r="BV519"/>
    </row>
    <row r="520" spans="74:90" x14ac:dyDescent="0.25">
      <c r="BV520"/>
      <c r="CL520" s="3"/>
    </row>
    <row r="521" spans="74:90" x14ac:dyDescent="0.25">
      <c r="BV521"/>
      <c r="CL521" s="3"/>
    </row>
    <row r="522" spans="74:90" x14ac:dyDescent="0.25">
      <c r="BV522"/>
      <c r="CL522" s="3"/>
    </row>
    <row r="523" spans="74:90" x14ac:dyDescent="0.25">
      <c r="BV523"/>
      <c r="CL523" s="3"/>
    </row>
    <row r="524" spans="74:90" x14ac:dyDescent="0.25">
      <c r="BV524"/>
      <c r="CL524" s="3"/>
    </row>
    <row r="525" spans="74:90" x14ac:dyDescent="0.25">
      <c r="BV525"/>
      <c r="CL525" s="3"/>
    </row>
    <row r="526" spans="74:90" x14ac:dyDescent="0.25">
      <c r="BV526"/>
      <c r="CL526" s="3"/>
    </row>
    <row r="527" spans="74:90" x14ac:dyDescent="0.25">
      <c r="BV527"/>
      <c r="CL527" s="3"/>
    </row>
    <row r="528" spans="74:90" x14ac:dyDescent="0.25">
      <c r="CL528" s="3"/>
    </row>
    <row r="529" spans="74:90" x14ac:dyDescent="0.25">
      <c r="BV529"/>
    </row>
    <row r="530" spans="74:90" x14ac:dyDescent="0.25">
      <c r="CL530" s="3"/>
    </row>
    <row r="539" spans="74:90" x14ac:dyDescent="0.25">
      <c r="BV539"/>
    </row>
    <row r="540" spans="74:90" x14ac:dyDescent="0.25">
      <c r="BV540"/>
      <c r="CL540" s="3"/>
    </row>
    <row r="541" spans="74:90" x14ac:dyDescent="0.25">
      <c r="BV541"/>
      <c r="CL541" s="3"/>
    </row>
    <row r="542" spans="74:90" x14ac:dyDescent="0.25">
      <c r="BV542"/>
      <c r="CL542" s="3"/>
    </row>
    <row r="543" spans="74:90" x14ac:dyDescent="0.25">
      <c r="BV543"/>
      <c r="CL543" s="3"/>
    </row>
    <row r="544" spans="74:90" x14ac:dyDescent="0.25">
      <c r="BV544"/>
      <c r="CL544" s="3"/>
    </row>
    <row r="545" spans="74:90" x14ac:dyDescent="0.25">
      <c r="BV545"/>
      <c r="CL545" s="3"/>
    </row>
    <row r="546" spans="74:90" x14ac:dyDescent="0.25">
      <c r="BV546"/>
      <c r="CL546" s="3"/>
    </row>
    <row r="547" spans="74:90" x14ac:dyDescent="0.25">
      <c r="CL547" s="3"/>
    </row>
    <row r="548" spans="74:90" x14ac:dyDescent="0.25">
      <c r="BV548"/>
    </row>
    <row r="549" spans="74:90" x14ac:dyDescent="0.25">
      <c r="CL549" s="3"/>
    </row>
    <row r="554" spans="74:90" x14ac:dyDescent="0.25">
      <c r="BV554"/>
    </row>
    <row r="555" spans="74:90" x14ac:dyDescent="0.25">
      <c r="BV555"/>
      <c r="CL555" s="3"/>
    </row>
    <row r="556" spans="74:90" x14ac:dyDescent="0.25">
      <c r="CL556" s="3"/>
    </row>
    <row r="557" spans="74:90" x14ac:dyDescent="0.25">
      <c r="BV557"/>
    </row>
    <row r="558" spans="74:90" x14ac:dyDescent="0.25">
      <c r="BV558"/>
      <c r="CL558" s="3"/>
    </row>
    <row r="559" spans="74:90" x14ac:dyDescent="0.25">
      <c r="CL559" s="3"/>
    </row>
    <row r="560" spans="74:90" x14ac:dyDescent="0.25">
      <c r="BV560"/>
    </row>
    <row r="561" spans="8:90" x14ac:dyDescent="0.25">
      <c r="BV561"/>
      <c r="CL561" s="3"/>
    </row>
    <row r="562" spans="8:90" x14ac:dyDescent="0.25">
      <c r="BV562"/>
      <c r="CL562" s="3"/>
    </row>
    <row r="563" spans="8:90" x14ac:dyDescent="0.25">
      <c r="BV563"/>
      <c r="CL563" s="3"/>
    </row>
    <row r="564" spans="8:90" x14ac:dyDescent="0.25">
      <c r="CL564" s="3"/>
    </row>
    <row r="568" spans="8:90" x14ac:dyDescent="0.25">
      <c r="BV568"/>
    </row>
    <row r="569" spans="8:90" x14ac:dyDescent="0.25">
      <c r="BV569"/>
      <c r="CL569" s="3"/>
    </row>
    <row r="570" spans="8:90" x14ac:dyDescent="0.25">
      <c r="BV570"/>
      <c r="CL570" s="3"/>
    </row>
    <row r="571" spans="8:90" x14ac:dyDescent="0.25">
      <c r="CL571" s="3"/>
    </row>
    <row r="572" spans="8:90" x14ac:dyDescent="0.25">
      <c r="BV572"/>
    </row>
    <row r="573" spans="8:90" x14ac:dyDescent="0.25">
      <c r="CL573" s="3"/>
    </row>
    <row r="574" spans="8:90" x14ac:dyDescent="0.25">
      <c r="BU574" s="7"/>
      <c r="BV574" s="8"/>
    </row>
    <row r="575" spans="8:90" x14ac:dyDescent="0.25">
      <c r="H575" s="7"/>
      <c r="CL575" s="7"/>
    </row>
    <row r="592" spans="74:74" x14ac:dyDescent="0.25">
      <c r="BV592"/>
    </row>
    <row r="593" spans="8:90" x14ac:dyDescent="0.25">
      <c r="BV593"/>
      <c r="CL593" s="3"/>
    </row>
    <row r="594" spans="8:90" x14ac:dyDescent="0.25">
      <c r="BV594"/>
      <c r="CL594" s="3"/>
    </row>
    <row r="595" spans="8:90" x14ac:dyDescent="0.25">
      <c r="BV595"/>
      <c r="CL595" s="3"/>
    </row>
    <row r="596" spans="8:90" x14ac:dyDescent="0.25">
      <c r="CL596" s="3"/>
    </row>
    <row r="597" spans="8:90" x14ac:dyDescent="0.25">
      <c r="BV597"/>
    </row>
    <row r="598" spans="8:90" x14ac:dyDescent="0.25">
      <c r="BV598"/>
      <c r="CL598" s="3"/>
    </row>
    <row r="599" spans="8:90" x14ac:dyDescent="0.25">
      <c r="BU599" s="7"/>
      <c r="BV599" s="8"/>
      <c r="CL599" s="3"/>
    </row>
    <row r="600" spans="8:90" x14ac:dyDescent="0.25">
      <c r="H600" s="7"/>
      <c r="CL600" s="7"/>
    </row>
    <row r="603" spans="8:90" x14ac:dyDescent="0.25">
      <c r="BV603"/>
    </row>
    <row r="604" spans="8:90" x14ac:dyDescent="0.25">
      <c r="BV604"/>
      <c r="CL604" s="3"/>
    </row>
    <row r="605" spans="8:90" x14ac:dyDescent="0.25">
      <c r="BV605"/>
      <c r="CL605" s="3"/>
    </row>
    <row r="606" spans="8:90" x14ac:dyDescent="0.25">
      <c r="BV606"/>
      <c r="CL606" s="3"/>
    </row>
    <row r="607" spans="8:90" x14ac:dyDescent="0.25">
      <c r="BV607"/>
      <c r="CL607" s="3"/>
    </row>
    <row r="608" spans="8:90" x14ac:dyDescent="0.25">
      <c r="BV608"/>
      <c r="CL608" s="3"/>
    </row>
    <row r="609" spans="74:90" x14ac:dyDescent="0.25">
      <c r="BV609"/>
      <c r="CL609" s="3"/>
    </row>
    <row r="610" spans="74:90" x14ac:dyDescent="0.25">
      <c r="BV610"/>
      <c r="CL610" s="3"/>
    </row>
    <row r="611" spans="74:90" x14ac:dyDescent="0.25">
      <c r="CL611" s="3"/>
    </row>
    <row r="613" spans="74:90" x14ac:dyDescent="0.25">
      <c r="BV613"/>
    </row>
    <row r="614" spans="74:90" x14ac:dyDescent="0.25">
      <c r="BV614"/>
      <c r="CL614" s="3"/>
    </row>
    <row r="615" spans="74:90" x14ac:dyDescent="0.25">
      <c r="BV615"/>
      <c r="CL615" s="3"/>
    </row>
    <row r="616" spans="74:90" x14ac:dyDescent="0.25">
      <c r="BV616"/>
      <c r="CL616" s="3"/>
    </row>
    <row r="617" spans="74:90" x14ac:dyDescent="0.25">
      <c r="BV617"/>
      <c r="CL617" s="3"/>
    </row>
    <row r="618" spans="74:90" x14ac:dyDescent="0.25">
      <c r="BV618"/>
      <c r="CL618" s="3"/>
    </row>
    <row r="619" spans="74:90" x14ac:dyDescent="0.25">
      <c r="CL619" s="3"/>
    </row>
    <row r="620" spans="74:90" x14ac:dyDescent="0.25">
      <c r="BV620"/>
    </row>
    <row r="621" spans="74:90" x14ac:dyDescent="0.25">
      <c r="BV621"/>
      <c r="CL621" s="3"/>
    </row>
    <row r="622" spans="74:90" x14ac:dyDescent="0.25">
      <c r="BV622"/>
      <c r="CL622" s="3"/>
    </row>
    <row r="623" spans="74:90" x14ac:dyDescent="0.25">
      <c r="BV623"/>
      <c r="CL623" s="3"/>
    </row>
    <row r="624" spans="74:90" x14ac:dyDescent="0.25">
      <c r="BV624"/>
      <c r="CL624" s="3"/>
    </row>
    <row r="625" spans="74:90" x14ac:dyDescent="0.25">
      <c r="BV625"/>
      <c r="CL625" s="3"/>
    </row>
    <row r="626" spans="74:90" x14ac:dyDescent="0.25">
      <c r="BV626"/>
      <c r="CL626" s="3"/>
    </row>
    <row r="627" spans="74:90" x14ac:dyDescent="0.25">
      <c r="BV627"/>
      <c r="CL627" s="3"/>
    </row>
    <row r="628" spans="74:90" x14ac:dyDescent="0.25">
      <c r="BV628"/>
      <c r="CL628" s="3"/>
    </row>
    <row r="629" spans="74:90" x14ac:dyDescent="0.25">
      <c r="BV629"/>
      <c r="CL629" s="3"/>
    </row>
    <row r="630" spans="74:90" x14ac:dyDescent="0.25">
      <c r="BV630"/>
      <c r="CL630" s="3"/>
    </row>
    <row r="631" spans="74:90" x14ac:dyDescent="0.25">
      <c r="BV631"/>
      <c r="CL631" s="3"/>
    </row>
    <row r="632" spans="74:90" x14ac:dyDescent="0.25">
      <c r="BV632"/>
      <c r="CL632" s="3"/>
    </row>
    <row r="633" spans="74:90" x14ac:dyDescent="0.25">
      <c r="BV633"/>
      <c r="CL633" s="3"/>
    </row>
    <row r="634" spans="74:90" x14ac:dyDescent="0.25">
      <c r="BV634"/>
      <c r="CL634" s="3"/>
    </row>
    <row r="635" spans="74:90" x14ac:dyDescent="0.25">
      <c r="BV635"/>
      <c r="CL635" s="3"/>
    </row>
    <row r="636" spans="74:90" x14ac:dyDescent="0.25">
      <c r="BV636"/>
      <c r="CL636" s="3"/>
    </row>
    <row r="637" spans="74:90" x14ac:dyDescent="0.25">
      <c r="BV637"/>
      <c r="CL637" s="3"/>
    </row>
    <row r="638" spans="74:90" x14ac:dyDescent="0.25">
      <c r="BV638"/>
      <c r="CL638" s="3"/>
    </row>
    <row r="639" spans="74:90" x14ac:dyDescent="0.25">
      <c r="BV639"/>
      <c r="CL639" s="3"/>
    </row>
    <row r="640" spans="74:90" x14ac:dyDescent="0.25">
      <c r="BV640"/>
      <c r="CL640" s="3"/>
    </row>
    <row r="641" spans="74:90" x14ac:dyDescent="0.25">
      <c r="BV641"/>
      <c r="CL641" s="3"/>
    </row>
    <row r="642" spans="74:90" x14ac:dyDescent="0.25">
      <c r="BV642"/>
      <c r="CL642" s="3"/>
    </row>
    <row r="643" spans="74:90" x14ac:dyDescent="0.25">
      <c r="BV643"/>
      <c r="CL643" s="3"/>
    </row>
    <row r="644" spans="74:90" x14ac:dyDescent="0.25">
      <c r="BV644"/>
      <c r="CL644" s="3"/>
    </row>
    <row r="645" spans="74:90" x14ac:dyDescent="0.25">
      <c r="BV645"/>
      <c r="CL645" s="3"/>
    </row>
    <row r="646" spans="74:90" x14ac:dyDescent="0.25">
      <c r="BV646"/>
      <c r="CL646" s="3"/>
    </row>
    <row r="647" spans="74:90" x14ac:dyDescent="0.25">
      <c r="BV647"/>
      <c r="CL647" s="3"/>
    </row>
    <row r="648" spans="74:90" x14ac:dyDescent="0.25">
      <c r="BV648"/>
      <c r="CL648" s="3"/>
    </row>
    <row r="649" spans="74:90" x14ac:dyDescent="0.25">
      <c r="BV649"/>
      <c r="CL649" s="3"/>
    </row>
    <row r="650" spans="74:90" x14ac:dyDescent="0.25">
      <c r="CL650" s="3"/>
    </row>
    <row r="651" spans="74:90" x14ac:dyDescent="0.25">
      <c r="BV651"/>
    </row>
    <row r="652" spans="74:90" x14ac:dyDescent="0.25">
      <c r="BV652"/>
      <c r="CL652" s="3"/>
    </row>
    <row r="653" spans="74:90" x14ac:dyDescent="0.25">
      <c r="BV653"/>
      <c r="CL653" s="3"/>
    </row>
    <row r="654" spans="74:90" x14ac:dyDescent="0.25">
      <c r="CL654" s="3"/>
    </row>
  </sheetData>
  <phoneticPr fontId="11" type="noConversion"/>
  <pageMargins left="0.7" right="0.7" top="0.75" bottom="0.75" header="0.3" footer="0.3"/>
  <pageSetup paperSize="9" orientation="portrait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Q277"/>
  <sheetViews>
    <sheetView workbookViewId="0">
      <pane xSplit="1" ySplit="3" topLeftCell="G4" activePane="bottomRight" state="frozen"/>
      <selection pane="topRight"/>
      <selection pane="bottomLeft"/>
      <selection pane="bottomRight" activeCell="M17" sqref="M17"/>
    </sheetView>
  </sheetViews>
  <sheetFormatPr defaultColWidth="9" defaultRowHeight="14.05" x14ac:dyDescent="0.25"/>
  <cols>
    <col min="1" max="1" width="13" customWidth="1"/>
    <col min="2" max="2" width="31.25" customWidth="1"/>
    <col min="7" max="7" width="18.75" customWidth="1"/>
    <col min="8" max="8" width="15" customWidth="1"/>
    <col min="14" max="14" width="16.08203125" customWidth="1"/>
    <col min="15" max="15" width="9.5" customWidth="1"/>
    <col min="16" max="16" width="22.1640625" customWidth="1"/>
    <col min="17" max="17" width="12.83203125" customWidth="1"/>
    <col min="20" max="20" width="9" customWidth="1"/>
  </cols>
  <sheetData>
    <row r="1" spans="1:17" x14ac:dyDescent="0.25">
      <c r="A1" t="s">
        <v>0</v>
      </c>
      <c r="B1" t="s">
        <v>5</v>
      </c>
      <c r="E1" t="s">
        <v>446</v>
      </c>
      <c r="F1" t="s">
        <v>447</v>
      </c>
      <c r="G1" t="s">
        <v>448</v>
      </c>
      <c r="H1" t="s">
        <v>449</v>
      </c>
      <c r="I1" t="s">
        <v>450</v>
      </c>
      <c r="J1" t="s">
        <v>451</v>
      </c>
      <c r="L1" t="s">
        <v>452</v>
      </c>
      <c r="M1" t="s">
        <v>453</v>
      </c>
      <c r="N1" t="s">
        <v>454</v>
      </c>
      <c r="O1" t="s">
        <v>455</v>
      </c>
      <c r="P1" t="s">
        <v>456</v>
      </c>
    </row>
    <row r="2" spans="1:17" x14ac:dyDescent="0.25">
      <c r="A2" t="s">
        <v>0</v>
      </c>
      <c r="C2" t="s">
        <v>46</v>
      </c>
      <c r="D2" t="s">
        <v>75</v>
      </c>
      <c r="E2" t="s">
        <v>457</v>
      </c>
      <c r="F2" t="s">
        <v>458</v>
      </c>
      <c r="G2" t="s">
        <v>459</v>
      </c>
      <c r="H2" t="s">
        <v>460</v>
      </c>
      <c r="I2" t="s">
        <v>461</v>
      </c>
      <c r="J2" t="s">
        <v>462</v>
      </c>
      <c r="K2" t="s">
        <v>463</v>
      </c>
      <c r="L2" t="s">
        <v>51</v>
      </c>
      <c r="M2" t="s">
        <v>464</v>
      </c>
      <c r="N2" t="s">
        <v>465</v>
      </c>
      <c r="O2" t="s">
        <v>466</v>
      </c>
      <c r="P2" t="s">
        <v>467</v>
      </c>
      <c r="Q2" t="s">
        <v>332</v>
      </c>
    </row>
    <row r="3" spans="1:17" x14ac:dyDescent="0.25">
      <c r="A3" t="s">
        <v>2</v>
      </c>
      <c r="C3" t="s">
        <v>2</v>
      </c>
      <c r="D3" t="s">
        <v>2</v>
      </c>
      <c r="E3" t="s">
        <v>114</v>
      </c>
      <c r="F3" t="s">
        <v>114</v>
      </c>
      <c r="G3" t="s">
        <v>114</v>
      </c>
      <c r="H3" t="s">
        <v>112</v>
      </c>
      <c r="I3" t="s">
        <v>112</v>
      </c>
      <c r="J3" t="s">
        <v>362</v>
      </c>
      <c r="K3" t="s">
        <v>113</v>
      </c>
      <c r="L3" t="s">
        <v>326</v>
      </c>
      <c r="M3" t="s">
        <v>112</v>
      </c>
      <c r="N3" t="s">
        <v>112</v>
      </c>
      <c r="O3" t="s">
        <v>326</v>
      </c>
      <c r="P3" t="s">
        <v>112</v>
      </c>
      <c r="Q3" t="s">
        <v>121</v>
      </c>
    </row>
    <row r="4" spans="1:17" x14ac:dyDescent="0.25">
      <c r="A4" t="s">
        <v>370</v>
      </c>
      <c r="C4" t="s">
        <v>468</v>
      </c>
      <c r="H4">
        <v>1</v>
      </c>
    </row>
    <row r="5" spans="1:17" x14ac:dyDescent="0.25">
      <c r="A5" t="s">
        <v>469</v>
      </c>
      <c r="C5" t="s">
        <v>470</v>
      </c>
      <c r="J5" t="s">
        <v>471</v>
      </c>
      <c r="Q5" t="s">
        <v>472</v>
      </c>
    </row>
    <row r="8" spans="1:17" x14ac:dyDescent="0.25">
      <c r="A8" t="s">
        <v>401</v>
      </c>
      <c r="C8" t="s">
        <v>470</v>
      </c>
      <c r="H8">
        <v>1</v>
      </c>
      <c r="J8" t="s">
        <v>473</v>
      </c>
      <c r="Q8" t="s">
        <v>474</v>
      </c>
    </row>
    <row r="9" spans="1:17" x14ac:dyDescent="0.25">
      <c r="A9" t="s">
        <v>475</v>
      </c>
      <c r="C9" t="s">
        <v>214</v>
      </c>
      <c r="H9">
        <v>1</v>
      </c>
      <c r="Q9" t="s">
        <v>476</v>
      </c>
    </row>
    <row r="10" spans="1:17" x14ac:dyDescent="0.25">
      <c r="A10" t="s">
        <v>477</v>
      </c>
      <c r="C10" t="s">
        <v>470</v>
      </c>
      <c r="H10">
        <v>1</v>
      </c>
      <c r="J10" t="s">
        <v>478</v>
      </c>
      <c r="Q10" t="s">
        <v>472</v>
      </c>
    </row>
    <row r="11" spans="1:17" x14ac:dyDescent="0.25">
      <c r="A11" t="s">
        <v>416</v>
      </c>
      <c r="C11" t="s">
        <v>214</v>
      </c>
      <c r="H11">
        <v>1</v>
      </c>
      <c r="J11" t="s">
        <v>479</v>
      </c>
      <c r="Q11" t="s">
        <v>480</v>
      </c>
    </row>
    <row r="12" spans="1:17" x14ac:dyDescent="0.25">
      <c r="A12" t="s">
        <v>422</v>
      </c>
      <c r="C12" t="s">
        <v>468</v>
      </c>
      <c r="H12">
        <v>1</v>
      </c>
    </row>
    <row r="13" spans="1:17" x14ac:dyDescent="0.25">
      <c r="A13" t="s">
        <v>481</v>
      </c>
      <c r="C13" t="s">
        <v>482</v>
      </c>
      <c r="K13">
        <v>0.3</v>
      </c>
      <c r="Q13" t="s">
        <v>483</v>
      </c>
    </row>
    <row r="14" spans="1:17" x14ac:dyDescent="0.25">
      <c r="A14" t="s">
        <v>420</v>
      </c>
      <c r="C14" t="s">
        <v>482</v>
      </c>
      <c r="H14">
        <v>1</v>
      </c>
      <c r="Q14" t="s">
        <v>484</v>
      </c>
    </row>
    <row r="15" spans="1:17" x14ac:dyDescent="0.25">
      <c r="A15" t="s">
        <v>424</v>
      </c>
      <c r="C15" t="s">
        <v>468</v>
      </c>
      <c r="H15">
        <v>1</v>
      </c>
    </row>
    <row r="16" spans="1:17" x14ac:dyDescent="0.25">
      <c r="A16" t="s">
        <v>485</v>
      </c>
      <c r="C16" t="s">
        <v>470</v>
      </c>
      <c r="H16">
        <v>1</v>
      </c>
      <c r="J16" t="s">
        <v>486</v>
      </c>
      <c r="Q16" t="s">
        <v>474</v>
      </c>
    </row>
    <row r="17" spans="1:17" x14ac:dyDescent="0.25">
      <c r="A17" t="s">
        <v>438</v>
      </c>
      <c r="C17" t="s">
        <v>214</v>
      </c>
      <c r="H17">
        <v>1</v>
      </c>
      <c r="Q17" t="s">
        <v>487</v>
      </c>
    </row>
    <row r="19" spans="1:17" x14ac:dyDescent="0.25">
      <c r="Q19" t="s">
        <v>488</v>
      </c>
    </row>
    <row r="276" spans="16:16" x14ac:dyDescent="0.25">
      <c r="P276">
        <v>1</v>
      </c>
    </row>
    <row r="277" spans="16:16" x14ac:dyDescent="0.25">
      <c r="P277">
        <v>1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"/>
  <sheetViews>
    <sheetView workbookViewId="0">
      <selection activeCell="D14" sqref="D14"/>
    </sheetView>
  </sheetViews>
  <sheetFormatPr defaultColWidth="9" defaultRowHeight="14.05" x14ac:dyDescent="0.25"/>
  <cols>
    <col min="1" max="1" width="11.33203125" customWidth="1"/>
    <col min="2" max="2" width="11.25" customWidth="1"/>
    <col min="4" max="4" width="27.5" customWidth="1"/>
  </cols>
  <sheetData>
    <row r="1" spans="1:4" x14ac:dyDescent="0.25">
      <c r="A1" t="s">
        <v>0</v>
      </c>
      <c r="C1" t="s">
        <v>489</v>
      </c>
    </row>
    <row r="2" spans="1:4" x14ac:dyDescent="0.25">
      <c r="A2" t="s">
        <v>0</v>
      </c>
      <c r="B2" t="s">
        <v>46</v>
      </c>
      <c r="C2" t="s">
        <v>490</v>
      </c>
      <c r="D2" t="s">
        <v>332</v>
      </c>
    </row>
    <row r="3" spans="1:4" x14ac:dyDescent="0.25">
      <c r="A3" t="s">
        <v>2</v>
      </c>
      <c r="B3" t="s">
        <v>2</v>
      </c>
      <c r="C3" t="s">
        <v>326</v>
      </c>
      <c r="D3" t="s">
        <v>121</v>
      </c>
    </row>
    <row r="4" spans="1:4" x14ac:dyDescent="0.25">
      <c r="A4" t="s">
        <v>491</v>
      </c>
      <c r="B4" t="s">
        <v>492</v>
      </c>
      <c r="C4" t="s">
        <v>422</v>
      </c>
      <c r="D4" t="s">
        <v>493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J4"/>
  <sheetViews>
    <sheetView workbookViewId="0">
      <selection activeCell="I1" sqref="I1:I1048576"/>
    </sheetView>
  </sheetViews>
  <sheetFormatPr defaultColWidth="9" defaultRowHeight="14.05" x14ac:dyDescent="0.25"/>
  <cols>
    <col min="1" max="1" width="15.25" customWidth="1"/>
    <col min="3" max="3" width="27.25" customWidth="1"/>
    <col min="4" max="4" width="10.83203125" customWidth="1"/>
    <col min="10" max="10" width="9" customWidth="1"/>
  </cols>
  <sheetData>
    <row r="1" spans="1:10" x14ac:dyDescent="0.25">
      <c r="I1" t="s">
        <v>219</v>
      </c>
    </row>
    <row r="2" spans="1:10" x14ac:dyDescent="0.25">
      <c r="A2" t="s">
        <v>0</v>
      </c>
      <c r="B2" t="s">
        <v>46</v>
      </c>
      <c r="C2" t="s">
        <v>48</v>
      </c>
      <c r="D2" t="s">
        <v>494</v>
      </c>
      <c r="E2" t="s">
        <v>70</v>
      </c>
      <c r="F2" t="s">
        <v>495</v>
      </c>
      <c r="G2" t="s">
        <v>496</v>
      </c>
      <c r="H2" t="s">
        <v>497</v>
      </c>
      <c r="I2" t="s">
        <v>321</v>
      </c>
      <c r="J2" t="s">
        <v>332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113</v>
      </c>
      <c r="F3" t="s">
        <v>114</v>
      </c>
      <c r="G3" t="s">
        <v>114</v>
      </c>
      <c r="H3" t="s">
        <v>114</v>
      </c>
      <c r="I3" t="s">
        <v>361</v>
      </c>
      <c r="J3" t="s">
        <v>121</v>
      </c>
    </row>
    <row r="4" spans="1:10" x14ac:dyDescent="0.25">
      <c r="A4" t="s">
        <v>383</v>
      </c>
      <c r="B4" t="s">
        <v>217</v>
      </c>
      <c r="C4" t="s">
        <v>498</v>
      </c>
      <c r="E4">
        <v>50</v>
      </c>
      <c r="F4">
        <v>2</v>
      </c>
    </row>
  </sheetData>
  <phoneticPr fontId="11" type="noConversion"/>
  <pageMargins left="0.75" right="0.75" top="1" bottom="1" header="0.5" footer="0.5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L4"/>
  <sheetViews>
    <sheetView workbookViewId="0">
      <pane xSplit="1" ySplit="3" topLeftCell="B4" activePane="bottomRight" state="frozen"/>
      <selection pane="topRight"/>
      <selection pane="bottomLeft"/>
      <selection pane="bottomRight" activeCell="L13" sqref="L13"/>
    </sheetView>
  </sheetViews>
  <sheetFormatPr defaultColWidth="9" defaultRowHeight="14.05" x14ac:dyDescent="0.25"/>
  <cols>
    <col min="1" max="1" width="15.25" customWidth="1"/>
    <col min="2" max="2" width="28" customWidth="1"/>
    <col min="3" max="4" width="10.08203125" customWidth="1"/>
    <col min="5" max="10" width="11.25" customWidth="1"/>
    <col min="11" max="11" width="6.33203125" customWidth="1"/>
  </cols>
  <sheetData>
    <row r="1" spans="1:12" x14ac:dyDescent="0.25">
      <c r="A1" t="s">
        <v>0</v>
      </c>
      <c r="B1" t="s">
        <v>499</v>
      </c>
      <c r="C1" t="s">
        <v>500</v>
      </c>
      <c r="D1" t="s">
        <v>501</v>
      </c>
      <c r="E1" t="s">
        <v>502</v>
      </c>
      <c r="F1" t="s">
        <v>503</v>
      </c>
      <c r="H1" t="s">
        <v>504</v>
      </c>
      <c r="I1" t="s">
        <v>505</v>
      </c>
      <c r="J1" t="s">
        <v>506</v>
      </c>
      <c r="K1" t="s">
        <v>507</v>
      </c>
      <c r="L1" t="s">
        <v>508</v>
      </c>
    </row>
    <row r="2" spans="1:12" x14ac:dyDescent="0.25">
      <c r="A2" t="s">
        <v>0</v>
      </c>
      <c r="B2" t="s">
        <v>509</v>
      </c>
      <c r="C2" t="s">
        <v>510</v>
      </c>
      <c r="D2" t="s">
        <v>511</v>
      </c>
      <c r="E2" t="s">
        <v>512</v>
      </c>
      <c r="F2" t="s">
        <v>513</v>
      </c>
      <c r="G2" t="s">
        <v>514</v>
      </c>
      <c r="H2" t="s">
        <v>515</v>
      </c>
      <c r="I2" t="s">
        <v>516</v>
      </c>
      <c r="J2" t="s">
        <v>517</v>
      </c>
      <c r="K2" t="s">
        <v>495</v>
      </c>
      <c r="L2" t="s">
        <v>93</v>
      </c>
    </row>
    <row r="3" spans="1:12" x14ac:dyDescent="0.25">
      <c r="A3" t="s">
        <v>2</v>
      </c>
      <c r="B3" t="s">
        <v>2</v>
      </c>
      <c r="C3" t="s">
        <v>114</v>
      </c>
      <c r="D3" t="s">
        <v>518</v>
      </c>
      <c r="E3" t="s">
        <v>2</v>
      </c>
      <c r="F3" t="s">
        <v>112</v>
      </c>
      <c r="G3" t="s">
        <v>112</v>
      </c>
      <c r="H3" t="s">
        <v>114</v>
      </c>
      <c r="I3" t="s">
        <v>114</v>
      </c>
      <c r="J3" t="s">
        <v>114</v>
      </c>
      <c r="K3" t="s">
        <v>113</v>
      </c>
      <c r="L3" t="s">
        <v>113</v>
      </c>
    </row>
    <row r="4" spans="1:12" x14ac:dyDescent="0.25">
      <c r="A4" t="s">
        <v>473</v>
      </c>
      <c r="B4" t="s">
        <v>519</v>
      </c>
      <c r="D4" t="s">
        <v>520</v>
      </c>
      <c r="I4">
        <v>1</v>
      </c>
      <c r="K4">
        <v>60</v>
      </c>
    </row>
  </sheetData>
  <phoneticPr fontId="11" type="noConversion"/>
  <pageMargins left="0.75" right="0.75" top="1" bottom="1" header="0.5" footer="0.5"/>
  <pageSetup paperSize="9" orientation="portrait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2:J3"/>
  <sheetViews>
    <sheetView workbookViewId="0">
      <pane xSplit="1" ySplit="2" topLeftCell="B3" activePane="bottomRight" state="frozen"/>
      <selection pane="topRight"/>
      <selection pane="bottomLeft"/>
      <selection pane="bottomRight" activeCell="D16" sqref="D16"/>
    </sheetView>
  </sheetViews>
  <sheetFormatPr defaultColWidth="9" defaultRowHeight="14.05" x14ac:dyDescent="0.25"/>
  <cols>
    <col min="1" max="1" width="19.08203125" customWidth="1"/>
    <col min="2" max="2" width="16.25" customWidth="1"/>
    <col min="3" max="3" width="16.33203125" customWidth="1"/>
    <col min="4" max="4" width="47.83203125" customWidth="1"/>
    <col min="5" max="5" width="10.25" customWidth="1"/>
    <col min="6" max="6" width="12.83203125" customWidth="1"/>
    <col min="10" max="10" width="11.83203125" customWidth="1"/>
  </cols>
  <sheetData>
    <row r="2" spans="1:10" x14ac:dyDescent="0.25">
      <c r="A2" t="s">
        <v>0</v>
      </c>
      <c r="B2" t="s">
        <v>244</v>
      </c>
      <c r="C2" t="s">
        <v>75</v>
      </c>
      <c r="D2" t="s">
        <v>521</v>
      </c>
      <c r="E2" t="s">
        <v>522</v>
      </c>
      <c r="F2" t="s">
        <v>77</v>
      </c>
      <c r="G2" t="s">
        <v>523</v>
      </c>
      <c r="H2" t="s">
        <v>272</v>
      </c>
      <c r="I2" t="s">
        <v>524</v>
      </c>
      <c r="J2" t="s">
        <v>52</v>
      </c>
    </row>
    <row r="3" spans="1:10" x14ac:dyDescent="0.25">
      <c r="A3" t="s">
        <v>2</v>
      </c>
      <c r="B3" t="s">
        <v>2</v>
      </c>
      <c r="C3" t="s">
        <v>2</v>
      </c>
      <c r="D3" t="s">
        <v>2</v>
      </c>
      <c r="E3" t="s">
        <v>114</v>
      </c>
      <c r="F3" t="s">
        <v>115</v>
      </c>
      <c r="G3" t="s">
        <v>114</v>
      </c>
      <c r="H3" t="s">
        <v>525</v>
      </c>
      <c r="I3" t="s">
        <v>114</v>
      </c>
      <c r="J3" t="s">
        <v>114</v>
      </c>
    </row>
  </sheetData>
  <phoneticPr fontId="1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I5"/>
  <sheetViews>
    <sheetView workbookViewId="0">
      <selection activeCell="G15" sqref="G15"/>
    </sheetView>
  </sheetViews>
  <sheetFormatPr defaultColWidth="8.75" defaultRowHeight="14.05" x14ac:dyDescent="0.25"/>
  <cols>
    <col min="1" max="1" width="7.5" customWidth="1"/>
    <col min="2" max="2" width="10.6640625" customWidth="1"/>
    <col min="3" max="3" width="21.9140625" customWidth="1"/>
    <col min="4" max="4" width="16.25" customWidth="1"/>
    <col min="5" max="5" width="14" customWidth="1"/>
    <col min="6" max="7" width="15.1640625" customWidth="1"/>
    <col min="8" max="8" width="12.9140625" customWidth="1"/>
    <col min="9" max="9" width="14" customWidth="1"/>
  </cols>
  <sheetData>
    <row r="1" spans="1:9" s="1" customFormat="1" x14ac:dyDescent="0.25">
      <c r="A1" s="1" t="s">
        <v>0</v>
      </c>
      <c r="B1" s="1" t="s">
        <v>526</v>
      </c>
      <c r="C1" s="1" t="s">
        <v>527</v>
      </c>
      <c r="D1" s="1" t="s">
        <v>528</v>
      </c>
      <c r="E1" s="1" t="s">
        <v>529</v>
      </c>
      <c r="F1" s="1" t="s">
        <v>530</v>
      </c>
      <c r="G1" s="1" t="s">
        <v>531</v>
      </c>
      <c r="H1" s="1" t="s">
        <v>532</v>
      </c>
      <c r="I1" s="1" t="s">
        <v>533</v>
      </c>
    </row>
    <row r="2" spans="1:9" s="1" customFormat="1" x14ac:dyDescent="0.25">
      <c r="A2" s="1" t="s">
        <v>0</v>
      </c>
      <c r="B2" s="1" t="s">
        <v>534</v>
      </c>
      <c r="C2" s="1" t="s">
        <v>535</v>
      </c>
      <c r="D2" s="1" t="s">
        <v>536</v>
      </c>
      <c r="E2" s="1" t="s">
        <v>537</v>
      </c>
      <c r="F2" s="1" t="s">
        <v>538</v>
      </c>
      <c r="G2" s="1" t="s">
        <v>539</v>
      </c>
      <c r="H2" s="1" t="s">
        <v>540</v>
      </c>
      <c r="I2" s="1" t="s">
        <v>541</v>
      </c>
    </row>
    <row r="3" spans="1:9" s="1" customFormat="1" x14ac:dyDescent="0.25">
      <c r="A3" s="1" t="s">
        <v>2</v>
      </c>
      <c r="B3" s="1" t="s">
        <v>112</v>
      </c>
      <c r="C3" s="1" t="s">
        <v>112</v>
      </c>
      <c r="D3" s="1" t="s">
        <v>2</v>
      </c>
      <c r="E3" s="1" t="s">
        <v>2</v>
      </c>
      <c r="F3" s="1" t="s">
        <v>2</v>
      </c>
      <c r="G3" s="1" t="s">
        <v>2</v>
      </c>
      <c r="H3" s="1" t="s">
        <v>2</v>
      </c>
      <c r="I3" s="1" t="s">
        <v>2</v>
      </c>
    </row>
    <row r="4" spans="1:9" s="1" customFormat="1" x14ac:dyDescent="0.25">
      <c r="A4" s="1" t="s">
        <v>542</v>
      </c>
      <c r="C4" s="1">
        <v>1</v>
      </c>
      <c r="D4" s="1" t="s">
        <v>543</v>
      </c>
      <c r="E4" s="1" t="s">
        <v>544</v>
      </c>
      <c r="F4" s="1" t="s">
        <v>545</v>
      </c>
      <c r="G4" s="1" t="s">
        <v>546</v>
      </c>
      <c r="H4" s="1" t="s">
        <v>547</v>
      </c>
      <c r="I4" s="1" t="s">
        <v>548</v>
      </c>
    </row>
    <row r="5" spans="1:9" s="1" customFormat="1" x14ac:dyDescent="0.25">
      <c r="A5" s="1" t="s">
        <v>549</v>
      </c>
      <c r="B5" s="1">
        <v>1</v>
      </c>
      <c r="C5" s="1">
        <v>1</v>
      </c>
      <c r="D5" s="1" t="s">
        <v>550</v>
      </c>
      <c r="E5" s="1" t="s">
        <v>551</v>
      </c>
      <c r="F5" s="1" t="s">
        <v>552</v>
      </c>
    </row>
  </sheetData>
  <phoneticPr fontId="11" type="noConversion"/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comments xmlns="https://web.wps.cn/et/2018/main" xmlns:s="http://schemas.openxmlformats.org/spreadsheetml/2006/main">
  <commentList sheetStid="6">
    <comment s:ref="P248" rgbClr="98C86C"/>
  </commentList>
  <commentList sheetStid="9"/>
</comments>
</file>

<file path=customXml/itemProps1.xml><?xml version="1.0" encoding="utf-8"?>
<ds:datastoreItem xmlns:ds="http://schemas.openxmlformats.org/officeDocument/2006/customXml" ds:itemID="{06A0048C-2381-489B-AA07-9611017176E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CardData</vt:lpstr>
      <vt:lpstr>UnitData</vt:lpstr>
      <vt:lpstr>SkillData</vt:lpstr>
      <vt:lpstr>BuffData</vt:lpstr>
      <vt:lpstr>ModifyData</vt:lpstr>
      <vt:lpstr>BulletData</vt:lpstr>
      <vt:lpstr>EffectData</vt:lpstr>
      <vt:lpstr>ContractData</vt:lpstr>
      <vt:lpstr>SpineData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2r X</cp:lastModifiedBy>
  <dcterms:created xsi:type="dcterms:W3CDTF">2021-01-13T06:40:00Z</dcterms:created>
  <dcterms:modified xsi:type="dcterms:W3CDTF">2026-01-10T17:55:47Z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2052-12.1.0.16120</vt:lpwstr>
  </property>
  <property fmtid="{D5CDD505-2E9C-101B-9397-08002B2CF9AE}" pid="3" name="ICV">
    <vt:lpwstr>CB94523E41B44DAE99CC12982DC882B4</vt:lpwstr>
  </property>
</Properties>
</file>