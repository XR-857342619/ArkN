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7E2784F7-17B8-4CE3-8D84-FFCD682F4908}" xr6:coauthVersionLast="47" xr6:coauthVersionMax="47" xr10:uidLastSave="{00000000-0000-0000-0000-000000000000}"/>
  <bookViews>
    <workbookView xWindow="-103" yWindow="-103" windowWidth="24144" windowHeight="1444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<sst xmlns="http://schemas.openxmlformats.org/spreadsheetml/2006/main" count="958" uniqueCount="566">
  <si>
    <t>Id</t>
  </si>
  <si>
    <t>units</t>
  </si>
  <si>
    <t>string</t>
  </si>
  <si>
    <t>UnitData[]</t>
  </si>
  <si>
    <t>逻各斯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</si>
  <si>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</si>
  <si>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</si>
  <si>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</si>
  <si>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</si>
  <si>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</si>
  <si>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</si>
  <si>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</si>
  <si>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</si>
  <si>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</si>
  <si>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</si>
  <si>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</si>
  <si>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</si>
  <si>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</si>
  <si>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</si>
  <si>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</si>
  <si>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</si>
  <si>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</si>
  <si>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</si>
  <si>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</si>
  <si>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</si>
  <si>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</si>
  <si>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</si>
  <si>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</si>
  <si>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</si>
  <si>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</si>
  <si>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</si>
  <si>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</si>
  <si>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</si>
  <si>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</si>
  <si>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</si>
  <si>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</si>
  <si>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</si>
  <si>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</si>
  <si>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</si>
  <si>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</si>
  <si>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</si>
  <si>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</si>
  <si>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</si>
  <si>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</si>
  <si>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</si>
  <si>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</si>
  <si>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</si>
  <si>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</si>
  <si>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</si>
  <si>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</si>
  <si>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</si>
  <si>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</si>
  <si>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</si>
  <si>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</si>
  <si>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</si>
  <si>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</si>
  <si>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</si>
  <si>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</si>
  <si>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</si>
  <si>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</si>
  <si>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</si>
  <si>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</si>
  <si>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</si>
  <si>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</si>
  <si>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</si>
  <si>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</si>
  <si>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</si>
  <si>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</si>
  <si>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</si>
  <si>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</si>
  <si>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</si>
  <si>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</si>
  <si>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</si>
  <si>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</si>
  <si>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</si>
  <si>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</si>
  <si>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</si>
  <si>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</si>
  <si>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</si>
  <si>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</si>
  <si>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</si>
  <si>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</si>
  <si>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</si>
  <si>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</si>
  <si>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</si>
  <si>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</si>
  <si>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</si>
  <si>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</si>
  <si>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</si>
  <si>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</si>
  <si>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</si>
  <si>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</si>
  <si>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</si>
  <si>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</si>
  <si>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</si>
  <si>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</si>
  <si>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</si>
  <si>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</si>
  <si>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</si>
  <si>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</si>
  <si>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</si>
  <si>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</si>
  <si>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</si>
  <si>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</si>
  <si>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</si>
  <si>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</si>
  <si>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</si>
  <si>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</si>
  <si>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</si>
  <si>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</si>
  <si>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</si>
  <si>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</si>
  <si>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</si>
  <si>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</si>
  <si>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</si>
  <si>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</si>
  <si>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</si>
  <si>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</si>
  <si>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</si>
  <si>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</si>
  <si>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</si>
  <si>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</si>
  <si>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</si>
  <si>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</si>
  <si>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</si>
  <si>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</si>
  <si>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</si>
  <si>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logos</t>
  </si>
  <si>
    <t>4133</t>
  </si>
  <si>
    <t>Hip</t>
  </si>
  <si>
    <t>逻各斯攻击,逻各斯附加伤害</t>
  </si>
  <si>
    <t>逻各斯1,逻各斯2,逻各斯3</t>
  </si>
  <si>
    <t>术士</t>
  </si>
  <si>
    <t>中坚术师</t>
  </si>
  <si>
    <t>icon_logos</t>
  </si>
  <si>
    <t>half_logos</t>
  </si>
  <si>
    <t>211,81,1500,1500</t>
  </si>
  <si>
    <t>远程位</t>
  </si>
  <si>
    <t>远程</t>
  </si>
  <si>
    <t>攻击造成法术伤害,造成法术伤害时附带相当于8%攻击力的凋亡损伤</t>
  </si>
  <si>
    <t>Default</t>
  </si>
  <si>
    <t>Idle</t>
  </si>
  <si>
    <t>Die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</si>
  <si>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</si>
  <si>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</si>
  <si>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</si>
  <si>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</si>
  <si>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</si>
  <si>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</si>
  <si>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</si>
  <si>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</si>
  <si>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</si>
  <si>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</si>
  <si>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</si>
  <si>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</si>
  <si>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</si>
  <si>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</si>
  <si>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</si>
  <si>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</si>
  <si>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</si>
  <si>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</si>
  <si>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</si>
  <si>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</si>
  <si>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</si>
  <si>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</si>
  <si>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</si>
  <si>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</si>
  <si>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</si>
  <si>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</si>
  <si>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</si>
  <si>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</si>
  <si>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</si>
  <si>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</si>
  <si>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</si>
  <si>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</si>
  <si>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</si>
  <si>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</si>
  <si>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</si>
  <si>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</si>
  <si>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</si>
  <si>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</si>
  <si>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</si>
  <si>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</si>
  <si>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</si>
  <si>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</si>
  <si>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</si>
  <si>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</si>
  <si>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</si>
  <si>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</si>
  <si>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</si>
  <si>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</si>
  <si>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</si>
  <si>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</si>
  <si>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</si>
  <si>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</si>
  <si>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</si>
  <si>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</si>
  <si>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</si>
  <si>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</si>
  <si>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</si>
  <si>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</si>
  <si>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</si>
  <si>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</si>
  <si>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</si>
  <si>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</si>
  <si>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</si>
  <si>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</si>
  <si>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</si>
  <si>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</si>
  <si>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</si>
  <si>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</si>
  <si>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</si>
  <si>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</si>
  <si>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</si>
  <si>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</si>
  <si>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</si>
  <si>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</si>
  <si>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</si>
  <si>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</si>
  <si>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</si>
  <si>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</si>
  <si>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</si>
  <si>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</si>
  <si>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</si>
  <si>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</si>
  <si>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</si>
  <si>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</si>
  <si>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</si>
  <si>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</si>
  <si>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</si>
  <si>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</si>
  <si>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</si>
  <si>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</si>
  <si>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</si>
  <si>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</si>
  <si>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</si>
  <si>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</si>
  <si>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</si>
  <si>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</si>
  <si>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</si>
  <si>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</si>
  <si>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</si>
  <si>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</si>
  <si>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</si>
  <si>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</si>
  <si>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</si>
  <si>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</si>
  <si>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</si>
  <si>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</si>
  <si>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</si>
  <si>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</si>
  <si>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</si>
  <si>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</si>
  <si>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</si>
  <si>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</si>
  <si>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</si>
  <si>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</si>
  <si>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</si>
  <si>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</si>
  <si>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</si>
  <si>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</si>
  <si>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</si>
  <si>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</si>
  <si>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</si>
  <si>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</si>
  <si>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</si>
  <si>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</si>
  <si>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</si>
  <si>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</si>
  <si>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</si>
  <si>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</si>
  <si>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</si>
  <si>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</si>
  <si>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</si>
  <si>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</si>
  <si>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</si>
  <si>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</si>
  <si>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</si>
  <si>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</si>
  <si>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</si>
  <si>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</si>
  <si>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</si>
  <si>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</si>
  <si>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</si>
  <si>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</si>
  <si>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</si>
  <si>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</si>
  <si>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</si>
  <si>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</si>
  <si>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</si>
  <si>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</si>
  <si>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</si>
  <si>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</si>
  <si>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</si>
  <si>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</si>
  <si>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</si>
  <si>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</si>
  <si>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</si>
  <si>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</si>
  <si>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</si>
  <si>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</si>
  <si>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</si>
  <si>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</si>
  <si>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</si>
  <si>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</si>
  <si>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</si>
  <si>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</si>
  <si>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</si>
  <si>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</si>
  <si>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</si>
  <si>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</si>
  <si>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</si>
  <si>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</si>
  <si>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</si>
  <si>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</si>
  <si>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</si>
  <si>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</si>
  <si>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</si>
  <si>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</si>
  <si>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</si>
  <si>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</si>
  <si>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</si>
  <si>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</si>
  <si>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</si>
  <si>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</si>
  <si>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</si>
  <si>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</si>
  <si>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</si>
  <si>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</si>
  <si>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</si>
  <si>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</si>
  <si>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</si>
  <si>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</si>
  <si>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</si>
  <si>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</si>
  <si>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</si>
  <si>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</si>
  <si>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</si>
  <si>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</si>
  <si>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</si>
  <si>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</si>
  <si>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</si>
  <si>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</si>
  <si>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</si>
  <si>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</si>
  <si>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</si>
  <si>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</si>
  <si>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</si>
  <si>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</si>
  <si>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</si>
  <si>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</si>
  <si>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</si>
  <si>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</si>
  <si>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</si>
  <si>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</si>
  <si>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</si>
  <si>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</si>
  <si>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</si>
  <si>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</si>
  <si>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</si>
  <si>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</si>
  <si>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</si>
  <si>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</si>
  <si>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</si>
  <si>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</si>
  <si>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</si>
  <si>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</si>
  <si>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</si>
  <si>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</si>
  <si>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逻各斯攻击</t>
  </si>
  <si>
    <t>普通技能</t>
  </si>
  <si>
    <t>终点距离</t>
  </si>
  <si>
    <t>0,0#0,1#0,-1#1,0#2,0#1,1#1,-1#2,1#2,-1#3,0</t>
  </si>
  <si>
    <t>Magic</t>
  </si>
  <si>
    <t>逻各斯附加</t>
  </si>
  <si>
    <t>Attack_2</t>
  </si>
  <si>
    <t>跟随攻击</t>
  </si>
  <si>
    <t>史都华德弹道</t>
  </si>
  <si>
    <t>Muzzle</t>
  </si>
  <si>
    <t>{"Fire":0.08}</t>
  </si>
  <si>
    <t>逻减抗,法术易伤</t>
  </si>
  <si>
    <t>阿米娅击中</t>
  </si>
  <si>
    <t>被动</t>
  </si>
  <si>
    <t>随机</t>
  </si>
  <si>
    <t>逻各斯附加伤害</t>
  </si>
  <si>
    <t>逻附加减抗</t>
  </si>
  <si>
    <t>逻各斯附加元素伤害</t>
  </si>
  <si>
    <t>逻附加子弹</t>
  </si>
  <si>
    <t>减速</t>
  </si>
  <si>
    <t>洁哥普攻击中</t>
  </si>
  <si>
    <t>逻各斯附加,灼燃损伤减法抗</t>
  </si>
  <si>
    <t>Element</t>
  </si>
  <si>
    <t>夜烟2击中</t>
  </si>
  <si>
    <t>逻各斯1</t>
  </si>
  <si>
    <t>殁亡</t>
  </si>
  <si>
    <t>攻击范围扩大，攻击力+100%，使攻击范围内生命值低于逻各斯攻击力150%的敌人立刻倒下、并对另一个随机目标造成与倒下单位生命值相等的法术伤害\n持续时间无限</t>
  </si>
  <si>
    <t>skill_icon_skchr_logos_1</t>
  </si>
  <si>
    <t>充能释放</t>
  </si>
  <si>
    <t>自动</t>
  </si>
  <si>
    <t>仅自己</t>
  </si>
  <si>
    <t>0,0#0,1#0,-1#1,0#2,0#1,1#1,-1#2,1#2,-1#3,0#3,1#3,-1</t>
  </si>
  <si>
    <t>逻各斯1启动</t>
  </si>
  <si>
    <t>逻各斯1加成,逻各斯1动作</t>
  </si>
  <si>
    <t>{"ShowRange":1,"Color":"#397CC0","Alpha":0.5}</t>
  </si>
  <si>
    <t>逻各斯1攻击</t>
  </si>
  <si>
    <t>逻各斯1加成</t>
  </si>
  <si>
    <t>Skill_1_Attack</t>
  </si>
  <si>
    <t>Target.Hp&lt;Unit.Attack*1.5</t>
  </si>
  <si>
    <t>罗即死</t>
  </si>
  <si>
    <t>Skill_1_Begin</t>
  </si>
  <si>
    <t>逻各斯2</t>
  </si>
  <si>
    <t>提喻</t>
  </si>
  <si>
    <t>法术抗性+70，攻击改为锁定一个目标对其每0.5秒造成一次相当于攻击力75%的法术伤害，对相同目标的伤害逐渐提高至3倍并使其移动速度逐渐降低至40%(锁定5秒后达到上限)，被打断或目标倒下时重新索敌且效果重置，技能期间第一天赋只会攻击锁定目标</t>
  </si>
  <si>
    <t>skill_icon_skchr_logos_2</t>
  </si>
  <si>
    <t>手动</t>
  </si>
  <si>
    <t>逻各斯2攻击,逻各斯2结束</t>
  </si>
  <si>
    <t>逻各斯2启动</t>
  </si>
  <si>
    <t>逻各斯2加成,逻各斯2动作</t>
  </si>
  <si>
    <t>洁哥2抬手</t>
  </si>
  <si>
    <t>逻各斯2攻击</t>
  </si>
  <si>
    <t>逻各斯2动作</t>
  </si>
  <si>
    <t>逻各斯2附加,逻2增伤</t>
  </si>
  <si>
    <t>Skill_2_Loop</t>
  </si>
  <si>
    <t>逻2减速,逻2锁定</t>
  </si>
  <si>
    <t>逻2增伤</t>
  </si>
  <si>
    <t>逻各斯2附加</t>
  </si>
  <si>
    <t>逻2锁定</t>
  </si>
  <si>
    <t>Skill_2_Begin</t>
  </si>
  <si>
    <t>逻各斯2延迟结束</t>
  </si>
  <si>
    <t>逻各斯2结束</t>
  </si>
  <si>
    <t>Skill_2_End</t>
  </si>
  <si>
    <t>逻各斯3</t>
  </si>
  <si>
    <t>延异视阈</t>
  </si>
  <si>
    <t>攻击范围扩大，攻击力+300%，同时攻击4个目标，使攻击范围内敌方子弹的飞行速度大幅降低、并在技能结束时将其全部清除</t>
  </si>
  <si>
    <t>skill_icon_skchr_logos_3</t>
  </si>
  <si>
    <t>0,0#0,1#0,-1#1,0#2,0#1,1#1,-1#2,1#2,-1#3,0#3,-1#3,1#0,2#0,-2#1,2#1,-2#2,2#2,-2</t>
  </si>
  <si>
    <t>逻各斯3攻击,逻各斯3结束</t>
  </si>
  <si>
    <t>逻各斯3启动</t>
  </si>
  <si>
    <t>逻各斯3加成,逻各斯3动作</t>
  </si>
  <si>
    <t>阿米娅3启动</t>
  </si>
  <si>
    <t>阿米娅3持续</t>
  </si>
  <si>
    <t>逻各斯3攻击</t>
  </si>
  <si>
    <t>逻各斯3动作</t>
  </si>
  <si>
    <t>逻各斯3附加</t>
  </si>
  <si>
    <t>Skill_3_Attack</t>
  </si>
  <si>
    <t>阿米娅3击中</t>
  </si>
  <si>
    <t>Skill_3_Begin</t>
  </si>
  <si>
    <t>逻各斯3结束</t>
  </si>
  <si>
    <t>技能结束</t>
  </si>
  <si>
    <t>Skill_3_End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</si>
  <si>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</si>
  <si>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</si>
  <si>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</si>
  <si>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</si>
  <si>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</si>
  <si>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</si>
  <si>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</si>
  <si>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</si>
  <si>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</si>
  <si>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</si>
  <si>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</si>
  <si>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</si>
  <si>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</si>
  <si>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</si>
  <si>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</si>
  <si>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</si>
  <si>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</si>
  <si>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</si>
  <si>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</si>
  <si>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</si>
  <si>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</si>
  <si>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</si>
  <si>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普通Buff</t>
  </si>
  <si>
    <t>逻减抗</t>
  </si>
  <si>
    <t>数值变化</t>
  </si>
  <si>
    <t>降防</t>
  </si>
  <si>
    <t>{"t":["MagicDefenceAdd"]}</t>
  </si>
  <si>
    <t>罗1buff</t>
  </si>
  <si>
    <t>{"t":["AttackRate"]}</t>
  </si>
  <si>
    <t>逻各斯1动作</t>
  </si>
  <si>
    <t>{"IdleAnimation":["Skill_1_Idle"]}</t>
  </si>
  <si>
    <t>逻各斯2加成</t>
  </si>
  <si>
    <t>雷蛇2buff</t>
  </si>
  <si>
    <t>攻击强化</t>
  </si>
  <si>
    <t>{"IdleAnimation":["Skill_2_Loop"]}</t>
  </si>
  <si>
    <t>逻2减速</t>
  </si>
  <si>
    <t>数值变化叠加</t>
  </si>
  <si>
    <t>{"t":["SpeedRate"],"MaxLevel":10}</t>
  </si>
  <si>
    <t>{"t":["AttackRateFin"],"MaxLevel":10}</t>
  </si>
  <si>
    <t>逻各斯3加成</t>
  </si>
  <si>
    <t>银灰真银斩buff</t>
  </si>
  <si>
    <t>{"IdleAnimation":["Skill_3_Idle"]}</t>
  </si>
  <si>
    <t>{"t":["AttackRateFin"]}</t>
  </si>
  <si>
    <t>相关buff</t>
  </si>
  <si>
    <t>Buff</t>
  </si>
  <si>
    <t>逻2伤害</t>
  </si>
  <si>
    <t>对buff伤害</t>
  </si>
  <si>
    <t>{"DamageRate":3}</t>
  </si>
  <si>
    <t>Line</t>
  </si>
  <si>
    <t>FaceCamera</t>
  </si>
  <si>
    <t>ScaleX</t>
  </si>
  <si>
    <t>EffectBase</t>
  </si>
  <si>
    <t>common_magic_trail_01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</si>
  <si>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</si>
  <si>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</si>
  <si>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</si>
  <si>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</si>
  <si>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</si>
  <si>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</si>
  <si>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</si>
  <si>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</si>
  <si>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</si>
  <si>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</si>
  <si>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</si>
  <si>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</si>
  <si>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</si>
  <si>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</si>
  <si>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</si>
  <si>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</si>
  <si>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</si>
  <si>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</si>
  <si>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</si>
  <si>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</si>
  <si>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thorns_skill_03_buff_02</t>
  </si>
  <si>
    <t>0,-0.5,0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</si>
  <si>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</si>
  <si>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</si>
  <si>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</si>
  <si>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</si>
  <si>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</si>
  <si>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</si>
  <si>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</si>
  <si>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</si>
  <si>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</si>
  <si>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</si>
  <si>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</si>
  <si>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</si>
  <si>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</si>
  <si>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</si>
  <si>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</si>
  <si>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</si>
  <si>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</si>
  <si>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</si>
  <si>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</si>
  <si>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</si>
  <si>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</si>
  <si>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酒神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</si>
  <si>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</si>
  <si>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</si>
  <si>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</si>
  <si>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</si>
  <si>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</si>
  <si>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</si>
  <si>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本能的召唤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</si>
  <si>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</si>
  <si>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</si>
  <si>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</si>
  <si>
    <t>优先Buff</t>
    <phoneticPr fontId="11" type="noConversion"/>
  </si>
  <si>
    <t>自定义优先级</t>
    <phoneticPr fontId="11" type="noConversion"/>
  </si>
  <si>
    <t>OrderBuff</t>
    <phoneticPr fontId="11" type="noConversion"/>
  </si>
  <si>
    <t>OrderExpression</t>
    <phoneticPr fontId="11" type="noConversion"/>
  </si>
  <si>
    <t>string</t>
    <phoneticPr fontId="11" type="noConversion"/>
  </si>
  <si>
    <t>#逻1斩杀</t>
    <phoneticPr fontId="11" type="noConversion"/>
  </si>
  <si>
    <t>逻各斯1攻击,逻1斩杀</t>
    <phoneticPr fontId="11" type="noConversion"/>
  </si>
  <si>
    <t>#逻各斯1</t>
    <phoneticPr fontId="11" type="noConversion"/>
  </si>
  <si>
    <t>逻各斯1攻击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</si>
</sst>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6" fillId="4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4">
    <xf numFmtId="0" fontId="0" fillId="0" borderId="0" xfId="0">
      <alignment vertical="center"/>
    </xf>
    <xf numFmtId="0" fontId="10" fillId="0" borderId="0" xfId="2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1" applyFont="1" applyFill="1">
      <alignment vertical="center"/>
    </xf>
    <xf numFmtId="0" fontId="2" fillId="0" borderId="0" xfId="1" applyFont="1" applyFill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0" fontId="5" fillId="0" borderId="0" xfId="0" applyFont="1">
      <alignment vertical="center"/>
    </xf>
    <xf numFmtId="49" fontId="0" fillId="0" borderId="0" xfId="0" applyNumberFormat="1">
      <alignment vertical="center"/>
    </xf>
    <xf numFmtId="0" fontId="0" fillId="0" borderId="0" xfId="0" applyAlignment="1"/>
    <xf numFmtId="0" fontId="7" fillId="0" borderId="0" xfId="0" applyFont="1">
      <alignment vertical="center"/>
    </xf>
  </cellXfs>
  <cellStyles count="3">
    <cellStyle name="差" xfId="1" builtinId="27"/>
    <cellStyle name="常规" xfId="0" builtinId="0"/>
    <cellStyle name="常规 2" xfId="2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W572"/>
  <sheetViews>
    <sheetView workbookViewId="0">
      <pane xSplit="1" ySplit="3" topLeftCell="I4" activePane="bottomRight" state="frozen"/>
      <selection pane="topRight"/>
      <selection pane="bottomLeft"/>
      <selection pane="bottomRight" activeCell="Q21" sqref="Q21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5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5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5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5" x14ac:dyDescent="0.25">
      <c r="A4" t="s">
        <v>4</v>
      </c>
      <c r="B4" t="s">
        <v>126</v>
      </c>
      <c r="D4" t="s">
        <v>127</v>
      </c>
      <c r="E4" s="9" t="s">
        <v>128</v>
      </c>
      <c r="F4" t="str">
        <f>"char_"&amp;E4&amp;"_"&amp;D4</f>
        <v>char_4133_logos</v>
      </c>
      <c r="G4">
        <v>1</v>
      </c>
      <c r="I4">
        <v>2</v>
      </c>
      <c r="J4">
        <v>90</v>
      </c>
      <c r="K4">
        <v>1663</v>
      </c>
      <c r="L4">
        <v>170</v>
      </c>
      <c r="M4">
        <v>788</v>
      </c>
      <c r="N4">
        <v>67</v>
      </c>
      <c r="O4">
        <v>119</v>
      </c>
      <c r="Q4">
        <v>20</v>
      </c>
      <c r="S4">
        <v>21</v>
      </c>
      <c r="T4">
        <v>-2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129</v>
      </c>
      <c r="AI4" t="s">
        <v>130</v>
      </c>
      <c r="AJ4" t="s">
        <v>131</v>
      </c>
      <c r="AM4">
        <v>1</v>
      </c>
      <c r="AO4">
        <v>1</v>
      </c>
      <c r="AP4">
        <v>0.5</v>
      </c>
      <c r="AW4">
        <v>0.25</v>
      </c>
      <c r="BB4" t="s">
        <v>132</v>
      </c>
      <c r="BC4" t="s">
        <v>133</v>
      </c>
      <c r="BD4" t="s">
        <v>134</v>
      </c>
      <c r="BE4" t="s">
        <v>135</v>
      </c>
      <c r="BF4" t="s">
        <v>127</v>
      </c>
      <c r="BG4" t="s">
        <v>136</v>
      </c>
      <c r="BH4">
        <v>6</v>
      </c>
      <c r="BI4" t="s">
        <v>137</v>
      </c>
      <c r="BJ4" t="s">
        <v>138</v>
      </c>
      <c r="BK4" t="s">
        <v>139</v>
      </c>
      <c r="BM4" t="s">
        <v>140</v>
      </c>
      <c r="BN4" t="s">
        <v>141</v>
      </c>
      <c r="BP4" t="s">
        <v>142</v>
      </c>
      <c r="BQ4" t="s">
        <v>142</v>
      </c>
      <c r="BS4">
        <v>1</v>
      </c>
      <c r="BW4" s="3"/>
    </row>
    <row r="9" spans="1:75" x14ac:dyDescent="0.25">
      <c r="BR9" s="12"/>
    </row>
    <row r="10" spans="1:75" ht="14.5" x14ac:dyDescent="0.25">
      <c r="D10" s="10"/>
      <c r="E10" s="11"/>
      <c r="BO10" s="12"/>
      <c r="BR10" s="12"/>
    </row>
    <row r="11" spans="1:75" ht="14.5" x14ac:dyDescent="0.25">
      <c r="D11" s="10"/>
      <c r="E11" s="11"/>
      <c r="BO11" s="12"/>
      <c r="BR11" s="12"/>
    </row>
    <row r="12" spans="1:75" ht="14.5" x14ac:dyDescent="0.25">
      <c r="D12" s="10"/>
      <c r="E12" s="11"/>
      <c r="BO12" s="12"/>
      <c r="BR12" s="12"/>
    </row>
    <row r="13" spans="1:75" ht="14.5" x14ac:dyDescent="0.25">
      <c r="D13" s="10"/>
      <c r="E13" s="11"/>
      <c r="BO13" s="12"/>
      <c r="BR13" s="12"/>
    </row>
    <row r="14" spans="1:75" ht="14.5" x14ac:dyDescent="0.25">
      <c r="D14" s="10"/>
      <c r="E14" s="11"/>
      <c r="BO14" s="12"/>
      <c r="BR14" s="12"/>
    </row>
    <row r="15" spans="1:75" ht="14.5" x14ac:dyDescent="0.25">
      <c r="D15" s="10"/>
      <c r="E15" s="11"/>
      <c r="BO15" s="12"/>
      <c r="BR15" s="12"/>
    </row>
    <row r="16" spans="1:75" ht="14.5" x14ac:dyDescent="0.25">
      <c r="D16" s="10"/>
      <c r="E16" s="11"/>
      <c r="BO16" s="12"/>
      <c r="BR16" s="12"/>
    </row>
    <row r="17" spans="4:70" ht="14.5" x14ac:dyDescent="0.25">
      <c r="D17" s="10"/>
      <c r="E17" s="11"/>
      <c r="BR17" s="12"/>
    </row>
    <row r="18" spans="4:70" ht="14.5" x14ac:dyDescent="0.25">
      <c r="D18" s="10"/>
      <c r="E18" s="11"/>
      <c r="BR18" s="12"/>
    </row>
    <row r="19" spans="4:70" ht="14.5" x14ac:dyDescent="0.25">
      <c r="D19" s="10"/>
      <c r="E19" s="11"/>
      <c r="BR19" s="12"/>
    </row>
    <row r="20" spans="4:70" ht="14.5" x14ac:dyDescent="0.25">
      <c r="D20" s="10"/>
      <c r="E20" s="11"/>
      <c r="BO20" s="12"/>
      <c r="BR20" s="12"/>
    </row>
    <row r="21" spans="4:70" ht="14.5" x14ac:dyDescent="0.25">
      <c r="D21" s="10"/>
      <c r="E21" s="11"/>
      <c r="BO21" s="12"/>
      <c r="BR21" s="12"/>
    </row>
    <row r="22" spans="4:70" ht="14.5" x14ac:dyDescent="0.25">
      <c r="D22" s="10"/>
      <c r="E22" s="11"/>
      <c r="BO22" s="12"/>
      <c r="BR22" s="12"/>
    </row>
    <row r="23" spans="4:70" ht="14.5" x14ac:dyDescent="0.25">
      <c r="D23" s="10"/>
      <c r="E23" s="11"/>
      <c r="BO23" s="12"/>
      <c r="BR23" s="12"/>
    </row>
    <row r="24" spans="4:70" ht="14.5" x14ac:dyDescent="0.25">
      <c r="D24" s="10"/>
      <c r="E24" s="11"/>
      <c r="BO24" s="12"/>
      <c r="BR24" s="12"/>
    </row>
    <row r="25" spans="4:70" ht="14.5" x14ac:dyDescent="0.25">
      <c r="D25" s="10"/>
      <c r="E25" s="11"/>
      <c r="BO25" s="12"/>
      <c r="BR25" s="12"/>
    </row>
    <row r="26" spans="4:70" ht="14.5" x14ac:dyDescent="0.25">
      <c r="D26" s="10"/>
      <c r="E26" s="11"/>
      <c r="BO26" s="12"/>
      <c r="BR26" s="12"/>
    </row>
    <row r="27" spans="4:70" ht="14.5" x14ac:dyDescent="0.25">
      <c r="D27" s="10"/>
      <c r="E27" s="11"/>
      <c r="BO27" s="12"/>
      <c r="BR27" s="12"/>
    </row>
    <row r="28" spans="4:70" ht="14.5" x14ac:dyDescent="0.25">
      <c r="D28" s="10"/>
      <c r="E28" s="11"/>
      <c r="BO28" s="12"/>
      <c r="BR28" s="12"/>
    </row>
    <row r="29" spans="4:70" ht="14.5" x14ac:dyDescent="0.25">
      <c r="D29" s="10"/>
      <c r="E29" s="11"/>
      <c r="BO29" s="12"/>
      <c r="BR29" s="12"/>
    </row>
    <row r="30" spans="4:70" ht="14.5" x14ac:dyDescent="0.25">
      <c r="D30" s="10"/>
      <c r="E30" s="11"/>
      <c r="BO30" s="12"/>
      <c r="BR30" s="12"/>
    </row>
    <row r="31" spans="4:70" ht="14.5" x14ac:dyDescent="0.25">
      <c r="D31" s="10"/>
      <c r="E31" s="11"/>
      <c r="BO31" s="12"/>
      <c r="BR31" s="12"/>
    </row>
    <row r="32" spans="4:70" ht="14.5" x14ac:dyDescent="0.25">
      <c r="D32" s="10"/>
      <c r="E32" s="11"/>
      <c r="BO32" s="12"/>
      <c r="BR32" s="12"/>
    </row>
    <row r="33" spans="4:70" ht="14.5" x14ac:dyDescent="0.25">
      <c r="D33" s="10"/>
      <c r="E33" s="11"/>
      <c r="BO33" s="12"/>
      <c r="BR33" s="12"/>
    </row>
    <row r="34" spans="4:70" ht="14.5" x14ac:dyDescent="0.25">
      <c r="D34" s="10"/>
      <c r="E34" s="11"/>
      <c r="BO34" s="12"/>
      <c r="BR34" s="12"/>
    </row>
    <row r="35" spans="4:70" ht="14.5" x14ac:dyDescent="0.25">
      <c r="D35" s="10"/>
      <c r="E35" s="11"/>
      <c r="BO35" s="12"/>
      <c r="BR35" s="12"/>
    </row>
    <row r="36" spans="4:70" ht="14.5" x14ac:dyDescent="0.25">
      <c r="D36" s="10"/>
      <c r="E36" s="11"/>
      <c r="BO36" s="12"/>
      <c r="BR36" s="12"/>
    </row>
    <row r="37" spans="4:70" ht="14.5" x14ac:dyDescent="0.25">
      <c r="D37" s="10"/>
      <c r="E37" s="11"/>
      <c r="BO37" s="12"/>
      <c r="BR37" s="12"/>
    </row>
    <row r="38" spans="4:70" ht="14.5" x14ac:dyDescent="0.25">
      <c r="D38" s="10"/>
      <c r="E38" s="11"/>
      <c r="BO38" s="12"/>
      <c r="BR38" s="12"/>
    </row>
    <row r="39" spans="4:70" ht="14.5" x14ac:dyDescent="0.25">
      <c r="D39" s="10"/>
      <c r="E39" s="11"/>
      <c r="BO39" s="12"/>
      <c r="BR39" s="12"/>
    </row>
    <row r="40" spans="4:70" ht="14.5" x14ac:dyDescent="0.25">
      <c r="D40" s="10"/>
      <c r="E40" s="11"/>
      <c r="BO40" s="12"/>
      <c r="BR40" s="12"/>
    </row>
    <row r="41" spans="4:70" ht="14.5" x14ac:dyDescent="0.25">
      <c r="D41" s="10"/>
      <c r="E41" s="11"/>
      <c r="BO41" s="12"/>
      <c r="BR41" s="12"/>
    </row>
    <row r="42" spans="4:70" ht="14.5" x14ac:dyDescent="0.25">
      <c r="D42" s="10"/>
      <c r="E42" s="11"/>
      <c r="BO42" s="12"/>
      <c r="BR42" s="12"/>
    </row>
    <row r="43" spans="4:70" ht="14.5" x14ac:dyDescent="0.25">
      <c r="D43" s="10"/>
      <c r="E43" s="11"/>
      <c r="BO43" s="12"/>
      <c r="BR43" s="12"/>
    </row>
    <row r="44" spans="4:70" ht="14.5" x14ac:dyDescent="0.25">
      <c r="D44" s="10"/>
      <c r="E44" s="11"/>
      <c r="BO44" s="12"/>
      <c r="BR44" s="12"/>
    </row>
    <row r="45" spans="4:70" ht="14.5" x14ac:dyDescent="0.25">
      <c r="D45" s="10"/>
      <c r="E45" s="11"/>
      <c r="BO45" s="12"/>
      <c r="BR45" s="12"/>
    </row>
    <row r="46" spans="4:70" ht="14.5" x14ac:dyDescent="0.25">
      <c r="D46" s="10"/>
      <c r="E46" s="11"/>
      <c r="BO46" s="12"/>
      <c r="BR46" s="12"/>
    </row>
    <row r="47" spans="4:70" ht="14.5" x14ac:dyDescent="0.25">
      <c r="D47" s="10"/>
      <c r="E47" s="11"/>
      <c r="BO47" s="12"/>
      <c r="BR47" s="12"/>
    </row>
    <row r="48" spans="4:70" ht="14.5" x14ac:dyDescent="0.25">
      <c r="D48" s="10"/>
      <c r="E48" s="11"/>
      <c r="BO48" s="12"/>
      <c r="BR48" s="12"/>
    </row>
    <row r="49" spans="4:70" ht="14.5" x14ac:dyDescent="0.25">
      <c r="D49" s="10"/>
      <c r="E49" s="11"/>
      <c r="BO49" s="12"/>
      <c r="BR49" s="12"/>
    </row>
    <row r="50" spans="4:70" ht="14.5" x14ac:dyDescent="0.25">
      <c r="D50" s="10"/>
      <c r="E50" s="11"/>
      <c r="BO50" s="12"/>
      <c r="BR50" s="12"/>
    </row>
    <row r="51" spans="4:70" ht="14.5" x14ac:dyDescent="0.25">
      <c r="D51" s="10"/>
      <c r="E51" s="11"/>
      <c r="BO51" s="12"/>
      <c r="BR51" s="12"/>
    </row>
    <row r="52" spans="4:70" ht="14.5" x14ac:dyDescent="0.25">
      <c r="D52" s="10"/>
      <c r="E52" s="11"/>
      <c r="BO52" s="12"/>
      <c r="BR52" s="12"/>
    </row>
    <row r="53" spans="4:70" ht="14.5" x14ac:dyDescent="0.25">
      <c r="D53" s="10"/>
      <c r="E53" s="11"/>
      <c r="BO53" s="12"/>
      <c r="BR53" s="12"/>
    </row>
    <row r="54" spans="4:70" ht="14.5" x14ac:dyDescent="0.25">
      <c r="D54" s="10"/>
      <c r="E54" s="11"/>
      <c r="BO54" s="12"/>
      <c r="BR54" s="12"/>
    </row>
    <row r="55" spans="4:70" ht="14.5" x14ac:dyDescent="0.25">
      <c r="D55" s="10"/>
      <c r="E55" s="11"/>
      <c r="BO55" s="12"/>
      <c r="BR55" s="12"/>
    </row>
    <row r="56" spans="4:70" ht="14.5" x14ac:dyDescent="0.25">
      <c r="D56" s="10"/>
      <c r="E56" s="11"/>
      <c r="BO56" s="12"/>
      <c r="BR56" s="12"/>
    </row>
    <row r="57" spans="4:70" ht="14.5" x14ac:dyDescent="0.25">
      <c r="D57" s="10"/>
      <c r="E57" s="11"/>
      <c r="BO57" s="12"/>
      <c r="BR57" s="12"/>
    </row>
    <row r="58" spans="4:70" ht="14.5" x14ac:dyDescent="0.25">
      <c r="D58" s="10"/>
      <c r="E58" s="11"/>
      <c r="BO58" s="12"/>
      <c r="BR58" s="12"/>
    </row>
    <row r="59" spans="4:70" ht="14.5" x14ac:dyDescent="0.25">
      <c r="D59" s="10"/>
      <c r="E59" s="11"/>
      <c r="BO59" s="12"/>
      <c r="BR59" s="12"/>
    </row>
    <row r="60" spans="4:70" ht="14.5" x14ac:dyDescent="0.25">
      <c r="D60" s="10"/>
      <c r="E60" s="11"/>
      <c r="BO60" s="12"/>
      <c r="BR60" s="12"/>
    </row>
    <row r="61" spans="4:70" ht="14.5" x14ac:dyDescent="0.25">
      <c r="D61" s="10"/>
      <c r="E61" s="11"/>
      <c r="BO61" s="12"/>
      <c r="BR61" s="12"/>
    </row>
    <row r="62" spans="4:70" ht="14.5" x14ac:dyDescent="0.25">
      <c r="D62" s="10"/>
      <c r="E62" s="11"/>
      <c r="BO62" s="12"/>
      <c r="BR62" s="12"/>
    </row>
    <row r="63" spans="4:70" ht="14.5" x14ac:dyDescent="0.25">
      <c r="D63" s="10"/>
      <c r="E63" s="11"/>
      <c r="BO63" s="12"/>
      <c r="BR63" s="12"/>
    </row>
    <row r="64" spans="4:70" ht="14.5" x14ac:dyDescent="0.25">
      <c r="D64" s="10"/>
      <c r="E64" s="11"/>
      <c r="BO64" s="12"/>
      <c r="BR64" s="12"/>
    </row>
    <row r="65" spans="4:70" ht="14.5" x14ac:dyDescent="0.25">
      <c r="D65" s="10"/>
      <c r="E65" s="11"/>
      <c r="BO65" s="12"/>
      <c r="BR65" s="12"/>
    </row>
    <row r="66" spans="4:70" ht="14.5" x14ac:dyDescent="0.25">
      <c r="D66" s="10"/>
      <c r="E66" s="11"/>
      <c r="BO66" s="12"/>
      <c r="BR66" s="12"/>
    </row>
    <row r="67" spans="4:70" ht="14.5" x14ac:dyDescent="0.25">
      <c r="D67" s="10"/>
      <c r="E67" s="11"/>
      <c r="BO67" s="12"/>
      <c r="BR67" s="12"/>
    </row>
    <row r="68" spans="4:70" ht="14.5" x14ac:dyDescent="0.25">
      <c r="D68" s="10"/>
      <c r="E68" s="11"/>
      <c r="BO68" s="12"/>
      <c r="BR68" s="12"/>
    </row>
    <row r="69" spans="4:70" ht="14.5" x14ac:dyDescent="0.25">
      <c r="D69" s="10"/>
      <c r="E69" s="11"/>
      <c r="BO69" s="12"/>
      <c r="BR69" s="12"/>
    </row>
    <row r="70" spans="4:70" ht="14.5" x14ac:dyDescent="0.25">
      <c r="D70" s="10"/>
      <c r="E70" s="11"/>
      <c r="BO70" s="12"/>
      <c r="BR70" s="12"/>
    </row>
    <row r="71" spans="4:70" ht="14.5" x14ac:dyDescent="0.25">
      <c r="D71" s="10"/>
      <c r="E71" s="11"/>
      <c r="BO71" s="12"/>
      <c r="BR71" s="12"/>
    </row>
    <row r="72" spans="4:70" ht="14.5" x14ac:dyDescent="0.25">
      <c r="D72" s="10"/>
      <c r="E72" s="11"/>
      <c r="BO72" s="12"/>
      <c r="BR72" s="12"/>
    </row>
    <row r="73" spans="4:70" ht="14.5" x14ac:dyDescent="0.25">
      <c r="D73" s="10"/>
      <c r="E73" s="11"/>
      <c r="BO73" s="12"/>
      <c r="BR73" s="12"/>
    </row>
    <row r="74" spans="4:70" ht="14.5" x14ac:dyDescent="0.25">
      <c r="D74" s="10"/>
      <c r="E74" s="11"/>
      <c r="BO74" s="12"/>
      <c r="BR74" s="12"/>
    </row>
    <row r="75" spans="4:70" ht="14.5" x14ac:dyDescent="0.25">
      <c r="D75" s="10"/>
      <c r="E75" s="11"/>
      <c r="BO75" s="12"/>
      <c r="BR75" s="12"/>
    </row>
    <row r="76" spans="4:70" ht="14.5" x14ac:dyDescent="0.25">
      <c r="D76" s="10"/>
      <c r="E76" s="11"/>
      <c r="BO76" s="12"/>
      <c r="BR76" s="12"/>
    </row>
    <row r="77" spans="4:70" ht="14.5" x14ac:dyDescent="0.25">
      <c r="D77" s="10"/>
      <c r="E77" s="11"/>
      <c r="BO77" s="12"/>
      <c r="BR77" s="12"/>
    </row>
    <row r="78" spans="4:70" ht="14.5" x14ac:dyDescent="0.25">
      <c r="D78" s="10"/>
      <c r="E78" s="11"/>
      <c r="BO78" s="12"/>
      <c r="BR78" s="12"/>
    </row>
    <row r="79" spans="4:70" ht="14.5" x14ac:dyDescent="0.25">
      <c r="D79" s="10"/>
      <c r="E79" s="11"/>
      <c r="BO79" s="12"/>
      <c r="BR79" s="12"/>
    </row>
    <row r="80" spans="4:70" ht="14.5" x14ac:dyDescent="0.25">
      <c r="D80" s="10"/>
      <c r="E80" s="11"/>
      <c r="BO80" s="12"/>
      <c r="BR80" s="12"/>
    </row>
    <row r="81" spans="4:70" ht="14.5" x14ac:dyDescent="0.25">
      <c r="D81" s="10"/>
      <c r="E81" s="11"/>
      <c r="BO81" s="12"/>
      <c r="BR81" s="12"/>
    </row>
    <row r="82" spans="4:70" ht="14.5" x14ac:dyDescent="0.25">
      <c r="D82" s="10"/>
      <c r="E82" s="11"/>
      <c r="BO82" s="12"/>
      <c r="BR82" s="12"/>
    </row>
    <row r="83" spans="4:70" ht="14.5" x14ac:dyDescent="0.25">
      <c r="D83" s="10"/>
      <c r="E83" s="11"/>
      <c r="BO83" s="12"/>
      <c r="BR83" s="12"/>
    </row>
    <row r="84" spans="4:70" ht="14.5" x14ac:dyDescent="0.25">
      <c r="D84" s="10"/>
      <c r="E84" s="11"/>
      <c r="BO84" s="12"/>
      <c r="BR84" s="12"/>
    </row>
    <row r="85" spans="4:70" ht="14.5" x14ac:dyDescent="0.25">
      <c r="D85" s="10"/>
      <c r="E85" s="11"/>
      <c r="BO85" s="12"/>
      <c r="BR85" s="12"/>
    </row>
    <row r="86" spans="4:70" ht="14.5" x14ac:dyDescent="0.25">
      <c r="D86" s="10"/>
      <c r="E86" s="11"/>
      <c r="BO86" s="12"/>
      <c r="BR86" s="12"/>
    </row>
    <row r="87" spans="4:70" ht="14.5" x14ac:dyDescent="0.25">
      <c r="D87" s="10"/>
      <c r="E87" s="11"/>
      <c r="BO87" s="12"/>
      <c r="BR87" s="12"/>
    </row>
    <row r="88" spans="4:70" ht="14.5" x14ac:dyDescent="0.25">
      <c r="D88" s="10"/>
      <c r="E88" s="11"/>
      <c r="BO88" s="12"/>
      <c r="BR88" s="12"/>
    </row>
    <row r="89" spans="4:70" ht="14.5" x14ac:dyDescent="0.25">
      <c r="D89" s="10"/>
      <c r="E89" s="11"/>
      <c r="BO89" s="12"/>
      <c r="BR89" s="12"/>
    </row>
    <row r="90" spans="4:70" ht="14.5" x14ac:dyDescent="0.25">
      <c r="D90" s="10"/>
      <c r="E90" s="11"/>
      <c r="BO90" s="12"/>
      <c r="BR90" s="12"/>
    </row>
    <row r="91" spans="4:70" ht="14.5" x14ac:dyDescent="0.25">
      <c r="D91" s="10"/>
      <c r="E91" s="11"/>
      <c r="BO91" s="12"/>
      <c r="BR91" s="12"/>
    </row>
    <row r="92" spans="4:70" ht="14.5" x14ac:dyDescent="0.25">
      <c r="D92" s="10"/>
      <c r="E92" s="11"/>
      <c r="BO92" s="12"/>
      <c r="BR92" s="12"/>
    </row>
    <row r="93" spans="4:70" ht="14.5" x14ac:dyDescent="0.25">
      <c r="D93" s="10"/>
      <c r="E93" s="11"/>
      <c r="BO93" s="12"/>
      <c r="BR93" s="12"/>
    </row>
    <row r="94" spans="4:70" ht="14.5" x14ac:dyDescent="0.25">
      <c r="D94" s="10"/>
      <c r="E94" s="11"/>
      <c r="BO94" s="12"/>
      <c r="BR94" s="12"/>
    </row>
    <row r="95" spans="4:70" ht="14.5" x14ac:dyDescent="0.25">
      <c r="D95" s="10"/>
      <c r="E95" s="11"/>
      <c r="BO95" s="12"/>
      <c r="BR95" s="12"/>
    </row>
    <row r="96" spans="4:70" ht="14.5" x14ac:dyDescent="0.25">
      <c r="D96" s="10"/>
      <c r="E96" s="11"/>
      <c r="BO96" s="12"/>
      <c r="BR96" s="12"/>
    </row>
    <row r="97" spans="4:70" ht="14.5" x14ac:dyDescent="0.25">
      <c r="D97" s="10"/>
      <c r="E97" s="11"/>
      <c r="BO97" s="12"/>
      <c r="BR97" s="12"/>
    </row>
    <row r="98" spans="4:70" ht="14.5" x14ac:dyDescent="0.25">
      <c r="D98" s="10"/>
      <c r="E98" s="11"/>
      <c r="BO98" s="12"/>
      <c r="BR98" s="12"/>
    </row>
    <row r="99" spans="4:70" ht="14.5" x14ac:dyDescent="0.25">
      <c r="D99" s="10"/>
      <c r="E99" s="11"/>
      <c r="BO99" s="12"/>
      <c r="BR99" s="12"/>
    </row>
    <row r="100" spans="4:70" ht="14.5" x14ac:dyDescent="0.25">
      <c r="D100" s="10"/>
      <c r="E100" s="11"/>
      <c r="BO100" s="12"/>
      <c r="BR100" s="12"/>
    </row>
    <row r="101" spans="4:70" ht="14.5" x14ac:dyDescent="0.25">
      <c r="D101" s="10"/>
      <c r="E101" s="11"/>
      <c r="BO101" s="12"/>
      <c r="BR101" s="12"/>
    </row>
    <row r="102" spans="4:70" ht="14.5" x14ac:dyDescent="0.25">
      <c r="D102" s="10"/>
      <c r="E102" s="11"/>
      <c r="BO102" s="12"/>
      <c r="BR102" s="12"/>
    </row>
    <row r="103" spans="4:70" ht="14.5" x14ac:dyDescent="0.25">
      <c r="D103" s="10"/>
      <c r="E103" s="11"/>
      <c r="BO103" s="12"/>
      <c r="BR103" s="12"/>
    </row>
    <row r="104" spans="4:70" ht="14.5" x14ac:dyDescent="0.25">
      <c r="D104" s="10"/>
      <c r="E104" s="11"/>
      <c r="BO104" s="12"/>
      <c r="BR104" s="12"/>
    </row>
    <row r="105" spans="4:70" ht="14.5" x14ac:dyDescent="0.25">
      <c r="D105" s="10"/>
      <c r="E105" s="11"/>
      <c r="BO105" s="12"/>
      <c r="BR105" s="12"/>
    </row>
    <row r="106" spans="4:70" ht="14.5" x14ac:dyDescent="0.25">
      <c r="D106" s="10"/>
      <c r="E106" s="11"/>
      <c r="BO106" s="12"/>
      <c r="BR106" s="12"/>
    </row>
    <row r="107" spans="4:70" ht="14.5" x14ac:dyDescent="0.25">
      <c r="D107" s="10"/>
      <c r="E107" s="11"/>
      <c r="BO107" s="12"/>
      <c r="BR107" s="12"/>
    </row>
    <row r="108" spans="4:70" ht="14.5" x14ac:dyDescent="0.25">
      <c r="D108" s="10"/>
      <c r="E108" s="11"/>
      <c r="BO108" s="12"/>
      <c r="BR108" s="12"/>
    </row>
    <row r="109" spans="4:70" ht="14.5" x14ac:dyDescent="0.25">
      <c r="D109" s="10"/>
      <c r="E109" s="11"/>
      <c r="BO109" s="12"/>
      <c r="BR109" s="12"/>
    </row>
    <row r="110" spans="4:70" ht="14.5" x14ac:dyDescent="0.25">
      <c r="D110" s="10"/>
      <c r="E110" s="11"/>
      <c r="BO110" s="12"/>
      <c r="BR110" s="12"/>
    </row>
    <row r="111" spans="4:70" ht="14.5" x14ac:dyDescent="0.25">
      <c r="D111" s="10"/>
      <c r="E111" s="11"/>
      <c r="BO111" s="12"/>
      <c r="BR111" s="12"/>
    </row>
    <row r="112" spans="4:70" ht="14.5" x14ac:dyDescent="0.25">
      <c r="D112" s="10"/>
      <c r="E112" s="11"/>
      <c r="BO112" s="12"/>
      <c r="BR112" s="12"/>
    </row>
    <row r="113" spans="4:70" ht="14.5" x14ac:dyDescent="0.25">
      <c r="D113" s="10"/>
      <c r="E113" s="11"/>
      <c r="BO113" s="12"/>
      <c r="BR113" s="12"/>
    </row>
    <row r="114" spans="4:70" ht="14.5" x14ac:dyDescent="0.25">
      <c r="D114" s="10"/>
      <c r="E114" s="11"/>
      <c r="BO114" s="12"/>
      <c r="BR114" s="12"/>
    </row>
    <row r="115" spans="4:70" ht="14.5" x14ac:dyDescent="0.25">
      <c r="D115" s="10"/>
      <c r="E115" s="11"/>
      <c r="BO115" s="12"/>
      <c r="BR115" s="12"/>
    </row>
    <row r="116" spans="4:70" ht="14.5" x14ac:dyDescent="0.25">
      <c r="D116" s="10"/>
      <c r="E116" s="11"/>
      <c r="BO116" s="12"/>
      <c r="BR116" s="12"/>
    </row>
    <row r="117" spans="4:70" ht="14.5" x14ac:dyDescent="0.25">
      <c r="D117" s="10"/>
      <c r="E117" s="11"/>
      <c r="BO117" s="12"/>
      <c r="BR117" s="12"/>
    </row>
    <row r="118" spans="4:70" ht="14.5" x14ac:dyDescent="0.25">
      <c r="D118" s="10"/>
      <c r="E118" s="11"/>
      <c r="BO118" s="12"/>
      <c r="BR118" s="12"/>
    </row>
    <row r="119" spans="4:70" ht="14.5" x14ac:dyDescent="0.25">
      <c r="D119" s="10"/>
      <c r="E119" s="11"/>
      <c r="BO119" s="12"/>
      <c r="BR119" s="12"/>
    </row>
    <row r="120" spans="4:70" ht="14.5" x14ac:dyDescent="0.25">
      <c r="D120" s="10"/>
      <c r="E120" s="11"/>
      <c r="BO120" s="12"/>
      <c r="BR120" s="12"/>
    </row>
    <row r="121" spans="4:70" ht="14.5" x14ac:dyDescent="0.25">
      <c r="D121" s="10"/>
      <c r="E121" s="11"/>
      <c r="BO121" s="12"/>
      <c r="BR121" s="12"/>
    </row>
    <row r="122" spans="4:70" ht="14.5" x14ac:dyDescent="0.25">
      <c r="D122" s="10"/>
      <c r="E122" s="11"/>
      <c r="BO122" s="12"/>
      <c r="BR122" s="12"/>
    </row>
    <row r="123" spans="4:70" ht="14.5" x14ac:dyDescent="0.25">
      <c r="D123" s="10"/>
      <c r="E123" s="11"/>
      <c r="BO123" s="12"/>
      <c r="BR123" s="12"/>
    </row>
    <row r="124" spans="4:70" ht="14.5" x14ac:dyDescent="0.25">
      <c r="D124" s="10"/>
      <c r="E124" s="11"/>
      <c r="BO124" s="12"/>
      <c r="BR124" s="12"/>
    </row>
    <row r="125" spans="4:70" ht="14.5" x14ac:dyDescent="0.25">
      <c r="D125" s="10"/>
      <c r="E125" s="11"/>
      <c r="BO125" s="12"/>
      <c r="BR125" s="12"/>
    </row>
    <row r="126" spans="4:70" ht="14.5" x14ac:dyDescent="0.25">
      <c r="D126" s="10"/>
      <c r="E126" s="11"/>
      <c r="BO126" s="12"/>
      <c r="BR126" s="12"/>
    </row>
    <row r="127" spans="4:70" ht="14.5" x14ac:dyDescent="0.25">
      <c r="D127" s="10"/>
      <c r="E127" s="11"/>
      <c r="BO127" s="12"/>
      <c r="BR127" s="12"/>
    </row>
    <row r="128" spans="4:70" ht="14.5" x14ac:dyDescent="0.25">
      <c r="D128" s="10"/>
      <c r="E128" s="11"/>
      <c r="BO128" s="12"/>
      <c r="BR128" s="12"/>
    </row>
    <row r="129" spans="4:70" ht="14.5" x14ac:dyDescent="0.25">
      <c r="D129" s="10"/>
      <c r="E129" s="11"/>
      <c r="BO129" s="12"/>
      <c r="BR129" s="12"/>
    </row>
    <row r="130" spans="4:70" ht="14.5" x14ac:dyDescent="0.25">
      <c r="D130" s="10"/>
      <c r="E130" s="11"/>
      <c r="BO130" s="12"/>
      <c r="BR130" s="12"/>
    </row>
    <row r="131" spans="4:70" ht="14.5" x14ac:dyDescent="0.25">
      <c r="D131" s="10"/>
      <c r="E131" s="11"/>
      <c r="BO131" s="12"/>
      <c r="BR131" s="12"/>
    </row>
    <row r="132" spans="4:70" ht="14.5" x14ac:dyDescent="0.25">
      <c r="D132" s="10"/>
      <c r="E132" s="11"/>
      <c r="BO132" s="12"/>
      <c r="BR132" s="12"/>
    </row>
    <row r="133" spans="4:70" ht="14.5" x14ac:dyDescent="0.25">
      <c r="D133" s="10"/>
      <c r="E133" s="11"/>
      <c r="BO133" s="12"/>
      <c r="BR133" s="12"/>
    </row>
    <row r="134" spans="4:70" ht="14.5" x14ac:dyDescent="0.25">
      <c r="D134" s="10"/>
      <c r="E134" s="11"/>
      <c r="BO134" s="12"/>
      <c r="BR134" s="12"/>
    </row>
    <row r="135" spans="4:70" ht="14.5" x14ac:dyDescent="0.25">
      <c r="D135" s="10"/>
      <c r="E135" s="11"/>
      <c r="BO135" s="12"/>
      <c r="BR135" s="12"/>
    </row>
    <row r="136" spans="4:70" ht="14.5" x14ac:dyDescent="0.25">
      <c r="D136" s="10"/>
      <c r="E136" s="11"/>
      <c r="BO136" s="12"/>
      <c r="BR136" s="12"/>
    </row>
    <row r="137" spans="4:70" ht="14.5" x14ac:dyDescent="0.25">
      <c r="D137" s="10"/>
      <c r="E137" s="11"/>
      <c r="BO137" s="12"/>
      <c r="BR137" s="12"/>
    </row>
    <row r="138" spans="4:70" ht="14.5" x14ac:dyDescent="0.25">
      <c r="D138" s="10"/>
      <c r="E138" s="11"/>
      <c r="BO138" s="12"/>
      <c r="BR138" s="12"/>
    </row>
    <row r="139" spans="4:70" ht="14.5" x14ac:dyDescent="0.25">
      <c r="D139" s="10"/>
      <c r="E139" s="11"/>
      <c r="BO139" s="12"/>
      <c r="BR139" s="12"/>
    </row>
    <row r="140" spans="4:70" ht="14.5" x14ac:dyDescent="0.25">
      <c r="D140" s="10"/>
      <c r="E140" s="11"/>
      <c r="BO140" s="12"/>
      <c r="BR140" s="12"/>
    </row>
    <row r="141" spans="4:70" ht="14.5" x14ac:dyDescent="0.25">
      <c r="D141" s="10"/>
      <c r="E141" s="11"/>
      <c r="BO141" s="12"/>
      <c r="BR141" s="12"/>
    </row>
    <row r="142" spans="4:70" ht="14.5" x14ac:dyDescent="0.25">
      <c r="D142" s="10"/>
      <c r="E142" s="11"/>
      <c r="BO142" s="12"/>
      <c r="BR142" s="12"/>
    </row>
    <row r="143" spans="4:70" ht="14.5" x14ac:dyDescent="0.25">
      <c r="D143" s="10"/>
      <c r="E143" s="11"/>
      <c r="BO143" s="12"/>
      <c r="BR143" s="12"/>
    </row>
    <row r="144" spans="4:70" ht="14.5" x14ac:dyDescent="0.25">
      <c r="D144" s="10"/>
      <c r="E144" s="11"/>
      <c r="BO144" s="12"/>
      <c r="BR144" s="12"/>
    </row>
    <row r="145" spans="4:70" ht="14.5" x14ac:dyDescent="0.25">
      <c r="D145" s="10"/>
      <c r="E145" s="11"/>
      <c r="BO145" s="12"/>
      <c r="BR145" s="12"/>
    </row>
    <row r="146" spans="4:70" ht="14.5" x14ac:dyDescent="0.25">
      <c r="D146" s="10"/>
      <c r="E146" s="11"/>
      <c r="BO146" s="12"/>
      <c r="BR146" s="12"/>
    </row>
    <row r="147" spans="4:70" ht="14.5" x14ac:dyDescent="0.25">
      <c r="D147" s="10"/>
      <c r="E147" s="11"/>
      <c r="BO147" s="12"/>
      <c r="BR147" s="12"/>
    </row>
    <row r="148" spans="4:70" ht="14.5" x14ac:dyDescent="0.25">
      <c r="D148" s="10"/>
      <c r="E148" s="11"/>
      <c r="BO148" s="12"/>
      <c r="BR148" s="12"/>
    </row>
    <row r="149" spans="4:70" ht="14.5" x14ac:dyDescent="0.25">
      <c r="D149" s="10"/>
      <c r="E149" s="11"/>
      <c r="BO149" s="12"/>
      <c r="BR149" s="12"/>
    </row>
    <row r="150" spans="4:70" ht="14.5" x14ac:dyDescent="0.25">
      <c r="D150" s="10"/>
      <c r="E150" s="11"/>
      <c r="BO150" s="12"/>
      <c r="BR150" s="12"/>
    </row>
    <row r="151" spans="4:70" ht="14.5" x14ac:dyDescent="0.25">
      <c r="D151" s="10"/>
      <c r="E151" s="11"/>
      <c r="BO151" s="12"/>
      <c r="BR151" s="12"/>
    </row>
    <row r="152" spans="4:70" ht="14.5" x14ac:dyDescent="0.25">
      <c r="D152" s="10"/>
      <c r="E152" s="11"/>
      <c r="BO152" s="12"/>
      <c r="BR152" s="12"/>
    </row>
    <row r="153" spans="4:70" ht="14.5" x14ac:dyDescent="0.25">
      <c r="D153" s="10"/>
      <c r="E153" s="11"/>
      <c r="BO153" s="12"/>
      <c r="BR153" s="12"/>
    </row>
    <row r="154" spans="4:70" ht="14.5" x14ac:dyDescent="0.25">
      <c r="D154" s="10"/>
      <c r="E154" s="11"/>
      <c r="BO154" s="12"/>
      <c r="BR154" s="12"/>
    </row>
    <row r="155" spans="4:70" ht="14.5" x14ac:dyDescent="0.25">
      <c r="D155" s="10"/>
      <c r="E155" s="11"/>
      <c r="BO155" s="12"/>
      <c r="BR155" s="12"/>
    </row>
    <row r="156" spans="4:70" ht="14.5" x14ac:dyDescent="0.25">
      <c r="D156" s="10"/>
      <c r="E156" s="11"/>
      <c r="BO156" s="12"/>
      <c r="BR156" s="12"/>
    </row>
    <row r="157" spans="4:70" ht="14.5" x14ac:dyDescent="0.25">
      <c r="D157" s="10"/>
      <c r="E157" s="11"/>
      <c r="BO157" s="12"/>
      <c r="BR157" s="12"/>
    </row>
    <row r="158" spans="4:70" ht="14.5" x14ac:dyDescent="0.25">
      <c r="D158" s="10"/>
      <c r="E158" s="11"/>
      <c r="BO158" s="12"/>
      <c r="BR158" s="12"/>
    </row>
    <row r="159" spans="4:70" ht="14.5" x14ac:dyDescent="0.25">
      <c r="D159" s="10"/>
      <c r="E159" s="11"/>
      <c r="BO159" s="12"/>
      <c r="BR159" s="12"/>
    </row>
    <row r="160" spans="4:70" ht="14.5" x14ac:dyDescent="0.25">
      <c r="D160" s="10"/>
      <c r="E160" s="11"/>
      <c r="BO160" s="12"/>
      <c r="BR160" s="12"/>
    </row>
    <row r="161" spans="4:70" ht="14.5" x14ac:dyDescent="0.25">
      <c r="D161" s="10"/>
      <c r="E161" s="11"/>
      <c r="BO161" s="12"/>
      <c r="BR161" s="12"/>
    </row>
    <row r="162" spans="4:70" ht="14.5" x14ac:dyDescent="0.25">
      <c r="D162" s="10"/>
      <c r="E162" s="11"/>
      <c r="BO162" s="12"/>
      <c r="BR162" s="12"/>
    </row>
    <row r="163" spans="4:70" ht="14.5" x14ac:dyDescent="0.25">
      <c r="D163" s="10"/>
      <c r="E163" s="11"/>
      <c r="BO163" s="12"/>
      <c r="BR163" s="12"/>
    </row>
    <row r="164" spans="4:70" ht="14.5" x14ac:dyDescent="0.25">
      <c r="D164" s="10"/>
      <c r="E164" s="11"/>
      <c r="BO164" s="12"/>
      <c r="BR164" s="12"/>
    </row>
    <row r="165" spans="4:70" ht="14.5" x14ac:dyDescent="0.25">
      <c r="D165" s="10"/>
      <c r="E165" s="11"/>
      <c r="BO165" s="12"/>
      <c r="BR165" s="12"/>
    </row>
    <row r="166" spans="4:70" ht="14.5" x14ac:dyDescent="0.25">
      <c r="D166" s="10"/>
      <c r="E166" s="11"/>
      <c r="BO166" s="12"/>
      <c r="BR166" s="12"/>
    </row>
    <row r="167" spans="4:70" ht="14.5" x14ac:dyDescent="0.25">
      <c r="D167" s="10"/>
      <c r="E167" s="11"/>
      <c r="BO167" s="12"/>
      <c r="BR167" s="12"/>
    </row>
    <row r="168" spans="4:70" ht="14.5" x14ac:dyDescent="0.25">
      <c r="D168" s="10"/>
      <c r="E168" s="11"/>
      <c r="BO168" s="12"/>
      <c r="BR168" s="12"/>
    </row>
    <row r="169" spans="4:70" ht="14.5" x14ac:dyDescent="0.25">
      <c r="D169" s="10"/>
      <c r="E169" s="11"/>
      <c r="BO169" s="12"/>
      <c r="BR169" s="12"/>
    </row>
    <row r="170" spans="4:70" ht="14.5" x14ac:dyDescent="0.25">
      <c r="D170" s="10"/>
      <c r="E170" s="11"/>
      <c r="BO170" s="12"/>
      <c r="BR170" s="12"/>
    </row>
    <row r="171" spans="4:70" ht="14.5" x14ac:dyDescent="0.25">
      <c r="D171" s="10"/>
      <c r="E171" s="11"/>
      <c r="BO171" s="12"/>
      <c r="BR171" s="12"/>
    </row>
    <row r="172" spans="4:70" ht="14.5" x14ac:dyDescent="0.25">
      <c r="D172" s="10"/>
      <c r="E172" s="11"/>
      <c r="BO172" s="12"/>
      <c r="BR172" s="12"/>
    </row>
    <row r="173" spans="4:70" ht="14.5" x14ac:dyDescent="0.25">
      <c r="D173" s="10"/>
      <c r="E173" s="11"/>
      <c r="BO173" s="12"/>
      <c r="BR173" s="12"/>
    </row>
    <row r="174" spans="4:70" ht="14.5" x14ac:dyDescent="0.25">
      <c r="D174" s="10"/>
      <c r="E174" s="11"/>
      <c r="BO174" s="12"/>
      <c r="BR174" s="12"/>
    </row>
    <row r="175" spans="4:70" ht="14.5" x14ac:dyDescent="0.25">
      <c r="D175" s="10"/>
      <c r="E175" s="11"/>
      <c r="BO175" s="12"/>
      <c r="BR175" s="12"/>
    </row>
    <row r="176" spans="4:70" ht="14.5" x14ac:dyDescent="0.25">
      <c r="D176" s="10"/>
      <c r="E176" s="11"/>
      <c r="BO176" s="12"/>
      <c r="BR176" s="12"/>
    </row>
    <row r="177" spans="4:70" ht="14.5" x14ac:dyDescent="0.25">
      <c r="D177" s="10"/>
      <c r="E177" s="11"/>
      <c r="BO177" s="12"/>
      <c r="BR177" s="12"/>
    </row>
    <row r="178" spans="4:70" ht="14.5" x14ac:dyDescent="0.25">
      <c r="D178" s="10"/>
      <c r="E178" s="11"/>
      <c r="BO178" s="12"/>
      <c r="BR178" s="12"/>
    </row>
    <row r="179" spans="4:70" ht="14.5" x14ac:dyDescent="0.25">
      <c r="D179" s="10"/>
      <c r="E179" s="11"/>
      <c r="BO179" s="12"/>
      <c r="BR179" s="12"/>
    </row>
    <row r="180" spans="4:70" ht="14.5" x14ac:dyDescent="0.25">
      <c r="D180" s="10"/>
      <c r="E180" s="11"/>
      <c r="BO180" s="12"/>
      <c r="BR180" s="12"/>
    </row>
    <row r="181" spans="4:70" ht="14.5" x14ac:dyDescent="0.25">
      <c r="D181" s="10"/>
      <c r="E181" s="11"/>
      <c r="BO181" s="12"/>
      <c r="BR181" s="12"/>
    </row>
    <row r="182" spans="4:70" ht="14.5" x14ac:dyDescent="0.25">
      <c r="D182" s="10"/>
      <c r="E182" s="11"/>
      <c r="BO182" s="12"/>
      <c r="BR182" s="12"/>
    </row>
    <row r="183" spans="4:70" ht="14.5" x14ac:dyDescent="0.25">
      <c r="D183" s="10"/>
      <c r="E183" s="11"/>
      <c r="BO183" s="12"/>
      <c r="BR183" s="12"/>
    </row>
    <row r="184" spans="4:70" ht="14.5" x14ac:dyDescent="0.25">
      <c r="D184" s="10"/>
      <c r="E184" s="11"/>
      <c r="BO184" s="12"/>
      <c r="BR184" s="12"/>
    </row>
    <row r="185" spans="4:70" ht="14.5" x14ac:dyDescent="0.25">
      <c r="D185" s="10"/>
      <c r="E185" s="11"/>
      <c r="BO185" s="12"/>
      <c r="BR185" s="12"/>
    </row>
    <row r="186" spans="4:70" ht="14.5" x14ac:dyDescent="0.25">
      <c r="D186" s="10"/>
      <c r="E186" s="11"/>
      <c r="BO186" s="12"/>
      <c r="BR186" s="12"/>
    </row>
    <row r="187" spans="4:70" ht="14.5" x14ac:dyDescent="0.25">
      <c r="D187" s="10"/>
      <c r="E187" s="11"/>
      <c r="BO187" s="12"/>
      <c r="BR187" s="12"/>
    </row>
    <row r="188" spans="4:70" ht="14.5" x14ac:dyDescent="0.25">
      <c r="D188" s="10"/>
      <c r="E188" s="11"/>
      <c r="BO188" s="12"/>
      <c r="BR188" s="12"/>
    </row>
    <row r="189" spans="4:70" ht="14.5" x14ac:dyDescent="0.25">
      <c r="D189" s="10"/>
      <c r="E189" s="11"/>
      <c r="BO189" s="12"/>
      <c r="BR189" s="12"/>
    </row>
    <row r="190" spans="4:70" ht="14.5" x14ac:dyDescent="0.25">
      <c r="D190" s="10"/>
      <c r="E190" s="11"/>
      <c r="BO190" s="12"/>
      <c r="BR190" s="12"/>
    </row>
    <row r="191" spans="4:70" ht="14.5" x14ac:dyDescent="0.25">
      <c r="D191" s="10"/>
      <c r="E191" s="11"/>
      <c r="BO191" s="12"/>
      <c r="BR191" s="12"/>
    </row>
    <row r="192" spans="4:70" ht="14.5" x14ac:dyDescent="0.25">
      <c r="D192" s="10"/>
      <c r="E192" s="11"/>
      <c r="BO192" s="12"/>
      <c r="BR192" s="12"/>
    </row>
    <row r="193" spans="4:70" ht="14.5" x14ac:dyDescent="0.25">
      <c r="D193" s="10"/>
      <c r="E193" s="11"/>
      <c r="BO193" s="12"/>
      <c r="BR193" s="12"/>
    </row>
    <row r="194" spans="4:70" ht="14.5" x14ac:dyDescent="0.25">
      <c r="D194" s="10"/>
      <c r="E194" s="11"/>
      <c r="BO194" s="12"/>
      <c r="BR194" s="12"/>
    </row>
    <row r="195" spans="4:70" ht="14.5" x14ac:dyDescent="0.25">
      <c r="D195" s="10"/>
      <c r="E195" s="11"/>
      <c r="BO195" s="12"/>
      <c r="BR195" s="12"/>
    </row>
    <row r="196" spans="4:70" ht="14.5" x14ac:dyDescent="0.25">
      <c r="D196" s="10"/>
      <c r="E196" s="11"/>
      <c r="BO196" s="12"/>
      <c r="BR196" s="12"/>
    </row>
    <row r="197" spans="4:70" ht="14.5" x14ac:dyDescent="0.25">
      <c r="D197" s="10"/>
      <c r="E197" s="11"/>
      <c r="BO197" s="12"/>
      <c r="BR197" s="12"/>
    </row>
    <row r="198" spans="4:70" ht="14.5" x14ac:dyDescent="0.25">
      <c r="D198" s="10"/>
      <c r="E198" s="11"/>
      <c r="BO198" s="12"/>
      <c r="BR198" s="12"/>
    </row>
    <row r="199" spans="4:70" ht="14.5" x14ac:dyDescent="0.25">
      <c r="D199" s="10"/>
      <c r="E199" s="11"/>
      <c r="BO199" s="12"/>
      <c r="BR199" s="12"/>
    </row>
    <row r="200" spans="4:70" ht="14.5" x14ac:dyDescent="0.25">
      <c r="D200" s="10"/>
      <c r="E200" s="11"/>
      <c r="BO200" s="12"/>
      <c r="BR200" s="12"/>
    </row>
    <row r="201" spans="4:70" ht="14.5" x14ac:dyDescent="0.25">
      <c r="D201" s="10"/>
      <c r="E201" s="11"/>
      <c r="BO201" s="12"/>
      <c r="BR201" s="12"/>
    </row>
    <row r="202" spans="4:70" ht="14.5" x14ac:dyDescent="0.25">
      <c r="D202" s="10"/>
      <c r="E202" s="11"/>
      <c r="BO202" s="12"/>
      <c r="BR202" s="12"/>
    </row>
    <row r="203" spans="4:70" ht="14.5" x14ac:dyDescent="0.25">
      <c r="D203" s="10"/>
      <c r="E203" s="11"/>
      <c r="BO203" s="12"/>
      <c r="BR203" s="12"/>
    </row>
    <row r="204" spans="4:70" ht="14.5" x14ac:dyDescent="0.25">
      <c r="D204" s="10"/>
      <c r="E204" s="11"/>
      <c r="BO204" s="12"/>
      <c r="BR204" s="12"/>
    </row>
    <row r="205" spans="4:70" ht="14.5" x14ac:dyDescent="0.25">
      <c r="D205" s="10"/>
      <c r="E205" s="11"/>
      <c r="BO205" s="12"/>
      <c r="BR205" s="12"/>
    </row>
    <row r="206" spans="4:70" ht="14.5" x14ac:dyDescent="0.25">
      <c r="D206" s="10"/>
      <c r="E206" s="11"/>
      <c r="BO206" s="12"/>
      <c r="BR206" s="12"/>
    </row>
    <row r="207" spans="4:70" ht="14.5" x14ac:dyDescent="0.25">
      <c r="D207" s="10"/>
      <c r="E207" s="11"/>
      <c r="BO207" s="12"/>
      <c r="BR207" s="12"/>
    </row>
    <row r="208" spans="4:70" ht="14.5" x14ac:dyDescent="0.25">
      <c r="D208" s="10"/>
      <c r="E208" s="11"/>
      <c r="BO208" s="12"/>
      <c r="BR208" s="12"/>
    </row>
    <row r="209" spans="4:70" ht="14.5" x14ac:dyDescent="0.25">
      <c r="D209" s="10"/>
      <c r="E209" s="11"/>
      <c r="BO209" s="12"/>
      <c r="BR209" s="12"/>
    </row>
    <row r="210" spans="4:70" ht="14.5" x14ac:dyDescent="0.25">
      <c r="D210" s="10"/>
      <c r="E210" s="11"/>
      <c r="BO210" s="12"/>
      <c r="BR210" s="12"/>
    </row>
    <row r="211" spans="4:70" ht="14.5" x14ac:dyDescent="0.25">
      <c r="D211" s="10"/>
      <c r="E211" s="11"/>
      <c r="BO211" s="12"/>
      <c r="BR211" s="12"/>
    </row>
    <row r="212" spans="4:70" ht="14.5" x14ac:dyDescent="0.25">
      <c r="D212" s="10"/>
      <c r="E212" s="11"/>
      <c r="BO212" s="12"/>
      <c r="BR212" s="12"/>
    </row>
    <row r="213" spans="4:70" ht="14.5" x14ac:dyDescent="0.25">
      <c r="D213" s="10"/>
      <c r="E213" s="11"/>
      <c r="BO213" s="12"/>
      <c r="BR213" s="12"/>
    </row>
    <row r="214" spans="4:70" ht="14.5" x14ac:dyDescent="0.25">
      <c r="D214" s="10"/>
      <c r="E214" s="11"/>
      <c r="BO214" s="12"/>
      <c r="BR214" s="12"/>
    </row>
    <row r="215" spans="4:70" ht="14.5" x14ac:dyDescent="0.25">
      <c r="D215" s="10"/>
      <c r="E215" s="11"/>
      <c r="BO215" s="12"/>
      <c r="BR215" s="12"/>
    </row>
    <row r="216" spans="4:70" ht="14.5" x14ac:dyDescent="0.25">
      <c r="D216" s="10"/>
      <c r="E216" s="11"/>
      <c r="BO216" s="12"/>
      <c r="BR216" s="12"/>
    </row>
    <row r="217" spans="4:70" ht="14.5" x14ac:dyDescent="0.25">
      <c r="D217" s="10"/>
      <c r="E217" s="11"/>
      <c r="BR217" s="12"/>
    </row>
    <row r="218" spans="4:70" ht="14.5" x14ac:dyDescent="0.25">
      <c r="D218" s="10"/>
      <c r="E218" s="11"/>
      <c r="BO218" s="12"/>
      <c r="BR218" s="12"/>
    </row>
    <row r="219" spans="4:70" ht="14.5" x14ac:dyDescent="0.25">
      <c r="D219" s="10"/>
      <c r="E219" s="11"/>
      <c r="BO219" s="12"/>
      <c r="BR219" s="12"/>
    </row>
    <row r="220" spans="4:70" ht="14.5" x14ac:dyDescent="0.25">
      <c r="D220" s="10"/>
      <c r="E220" s="11"/>
      <c r="BO220" s="12"/>
      <c r="BR220" s="12"/>
    </row>
    <row r="221" spans="4:70" ht="14.5" x14ac:dyDescent="0.25">
      <c r="D221" s="10"/>
      <c r="E221" s="11"/>
      <c r="BO221" s="12"/>
      <c r="BR221" s="12"/>
    </row>
    <row r="222" spans="4:70" ht="14.5" x14ac:dyDescent="0.25">
      <c r="D222" s="10"/>
      <c r="E222" s="11"/>
      <c r="BO222" s="12"/>
      <c r="BR222" s="12"/>
    </row>
    <row r="223" spans="4:70" ht="14.5" x14ac:dyDescent="0.25">
      <c r="D223" s="10"/>
      <c r="E223" s="11"/>
      <c r="BO223" s="12"/>
      <c r="BR223" s="12"/>
    </row>
    <row r="224" spans="4:70" ht="14.5" x14ac:dyDescent="0.25">
      <c r="D224" s="10"/>
      <c r="E224" s="11"/>
      <c r="BO224" s="12"/>
      <c r="BR224" s="12"/>
    </row>
    <row r="225" spans="4:70" ht="14.5" x14ac:dyDescent="0.25">
      <c r="D225" s="10"/>
      <c r="E225" s="11"/>
      <c r="BO225" s="12"/>
      <c r="BR225" s="12"/>
    </row>
    <row r="226" spans="4:70" ht="14.5" x14ac:dyDescent="0.25">
      <c r="D226" s="10"/>
      <c r="E226" s="11"/>
      <c r="BO226" s="12"/>
      <c r="BR226" s="12"/>
    </row>
    <row r="227" spans="4:70" ht="14.5" x14ac:dyDescent="0.25">
      <c r="D227" s="10"/>
      <c r="E227" s="11"/>
      <c r="BO227" s="12"/>
      <c r="BR227" s="12"/>
    </row>
    <row r="228" spans="4:70" ht="14.5" x14ac:dyDescent="0.25">
      <c r="D228" s="10"/>
      <c r="E228" s="11"/>
      <c r="BO228" s="12"/>
      <c r="BR228" s="12"/>
    </row>
    <row r="229" spans="4:70" ht="14.5" x14ac:dyDescent="0.25">
      <c r="D229" s="10"/>
      <c r="E229" s="11"/>
      <c r="BO229" s="12"/>
      <c r="BR229" s="12"/>
    </row>
    <row r="230" spans="4:70" ht="14.5" x14ac:dyDescent="0.25">
      <c r="D230" s="10"/>
      <c r="E230" s="11"/>
      <c r="BO230" s="12"/>
      <c r="BR230" s="12"/>
    </row>
    <row r="231" spans="4:70" ht="14.5" x14ac:dyDescent="0.25">
      <c r="D231" s="10"/>
      <c r="E231" s="11"/>
      <c r="BO231" s="12"/>
      <c r="BR231" s="12"/>
    </row>
    <row r="232" spans="4:70" ht="14.5" x14ac:dyDescent="0.25">
      <c r="D232" s="10"/>
      <c r="E232" s="11"/>
      <c r="BO232" s="12"/>
      <c r="BR232" s="12"/>
    </row>
    <row r="233" spans="4:70" ht="14.5" x14ac:dyDescent="0.25">
      <c r="D233" s="10"/>
      <c r="E233" s="11"/>
      <c r="BO233" s="12"/>
      <c r="BR233" s="12"/>
    </row>
    <row r="234" spans="4:70" ht="14.5" x14ac:dyDescent="0.25">
      <c r="D234" s="10"/>
      <c r="E234" s="11"/>
      <c r="BO234" s="12"/>
      <c r="BR234" s="12"/>
    </row>
    <row r="235" spans="4:70" ht="14.5" x14ac:dyDescent="0.25">
      <c r="D235" s="10"/>
      <c r="E235" s="11"/>
      <c r="BO235" s="12"/>
      <c r="BR235" s="12"/>
    </row>
    <row r="236" spans="4:70" ht="14.5" x14ac:dyDescent="0.25">
      <c r="D236" s="10"/>
      <c r="E236" s="11"/>
      <c r="BO236" s="12"/>
      <c r="BR236" s="12"/>
    </row>
    <row r="237" spans="4:70" ht="14.5" x14ac:dyDescent="0.25">
      <c r="D237" s="10"/>
      <c r="E237" s="11"/>
      <c r="BO237" s="12"/>
      <c r="BR237" s="12"/>
    </row>
    <row r="238" spans="4:70" ht="14.5" x14ac:dyDescent="0.25">
      <c r="D238" s="10"/>
      <c r="E238" s="11"/>
      <c r="BO238" s="12"/>
      <c r="BR238" s="12"/>
    </row>
    <row r="239" spans="4:70" ht="14.5" x14ac:dyDescent="0.25">
      <c r="D239" s="10"/>
      <c r="E239" s="11"/>
      <c r="BO239" s="12"/>
      <c r="BR239" s="12"/>
    </row>
    <row r="240" spans="4:70" ht="14.5" x14ac:dyDescent="0.25">
      <c r="D240" s="10"/>
      <c r="E240" s="11"/>
      <c r="BO240" s="12"/>
      <c r="BR240" s="12"/>
    </row>
    <row r="241" spans="4:70" ht="14.5" x14ac:dyDescent="0.25">
      <c r="D241" s="10"/>
      <c r="E241" s="11"/>
      <c r="BO241" s="12"/>
      <c r="BR241" s="12"/>
    </row>
    <row r="242" spans="4:70" ht="14.5" x14ac:dyDescent="0.25">
      <c r="D242" s="10"/>
      <c r="E242" s="11"/>
      <c r="BO242" s="12"/>
      <c r="BR242" s="12"/>
    </row>
    <row r="243" spans="4:70" ht="14.5" x14ac:dyDescent="0.25">
      <c r="D243" s="10"/>
      <c r="E243" s="11"/>
      <c r="BO243" s="12"/>
      <c r="BR243" s="12"/>
    </row>
    <row r="244" spans="4:70" ht="14.5" x14ac:dyDescent="0.25">
      <c r="D244" s="10"/>
      <c r="E244" s="11"/>
      <c r="BO244" s="12"/>
      <c r="BR244" s="12"/>
    </row>
    <row r="245" spans="4:70" ht="14.5" x14ac:dyDescent="0.25">
      <c r="D245" s="10"/>
      <c r="E245" s="11"/>
      <c r="BO245" s="12"/>
      <c r="BR245" s="12"/>
    </row>
    <row r="246" spans="4:70" ht="14.5" x14ac:dyDescent="0.25">
      <c r="D246" s="10"/>
      <c r="E246" s="11"/>
      <c r="BO246" s="12"/>
      <c r="BR246" s="12"/>
    </row>
    <row r="247" spans="4:70" ht="14.5" x14ac:dyDescent="0.25">
      <c r="D247" s="10"/>
      <c r="E247" s="11"/>
      <c r="BO247" s="12"/>
      <c r="BR247" s="12"/>
    </row>
    <row r="248" spans="4:70" ht="14.5" x14ac:dyDescent="0.25">
      <c r="D248" s="10"/>
      <c r="E248" s="11"/>
      <c r="BO248" s="12"/>
      <c r="BR248" s="12"/>
    </row>
    <row r="249" spans="4:70" ht="14.5" x14ac:dyDescent="0.25">
      <c r="D249" s="10"/>
      <c r="E249" s="11"/>
      <c r="BO249" s="12"/>
      <c r="BR249" s="12"/>
    </row>
    <row r="250" spans="4:70" ht="14.5" x14ac:dyDescent="0.25">
      <c r="D250" s="10"/>
      <c r="E250" s="11"/>
      <c r="BO250" s="12"/>
      <c r="BR250" s="12"/>
    </row>
    <row r="251" spans="4:70" ht="14.5" x14ac:dyDescent="0.25">
      <c r="D251" s="10"/>
      <c r="E251" s="11"/>
      <c r="BO251" s="12"/>
      <c r="BR251" s="12"/>
    </row>
    <row r="252" spans="4:70" ht="14.5" x14ac:dyDescent="0.25">
      <c r="D252" s="10"/>
      <c r="E252" s="11"/>
      <c r="BO252" s="12"/>
      <c r="BR252" s="12"/>
    </row>
    <row r="253" spans="4:70" ht="14.5" x14ac:dyDescent="0.25">
      <c r="D253" s="10"/>
      <c r="E253" s="11"/>
      <c r="BO253" s="12"/>
      <c r="BR253" s="12"/>
    </row>
    <row r="254" spans="4:70" ht="14.5" x14ac:dyDescent="0.25">
      <c r="D254" s="10"/>
      <c r="E254" s="11"/>
      <c r="BO254" s="12"/>
      <c r="BR254" s="12"/>
    </row>
    <row r="255" spans="4:70" ht="14.5" x14ac:dyDescent="0.25">
      <c r="D255" s="10"/>
      <c r="E255" s="11"/>
      <c r="BO255" s="12"/>
      <c r="BR255" s="12"/>
    </row>
    <row r="256" spans="4:70" ht="14.5" x14ac:dyDescent="0.25">
      <c r="D256" s="10"/>
      <c r="E256" s="11"/>
      <c r="BO256" s="12"/>
      <c r="BR256" s="12"/>
    </row>
    <row r="257" spans="4:70" ht="14.5" x14ac:dyDescent="0.25">
      <c r="D257" s="10"/>
      <c r="E257" s="11"/>
      <c r="BO257" s="12"/>
      <c r="BR257" s="12"/>
    </row>
    <row r="258" spans="4:70" ht="14.5" x14ac:dyDescent="0.25">
      <c r="D258" s="10"/>
      <c r="E258" s="11"/>
      <c r="BO258" s="12"/>
      <c r="BR258" s="12"/>
    </row>
    <row r="259" spans="4:70" ht="14.5" x14ac:dyDescent="0.25">
      <c r="D259" s="10"/>
      <c r="E259" s="11"/>
      <c r="BO259" s="12"/>
      <c r="BR259" s="12"/>
    </row>
    <row r="260" spans="4:70" ht="14.5" x14ac:dyDescent="0.25">
      <c r="D260" s="10"/>
      <c r="E260" s="11"/>
      <c r="BR260" s="12"/>
    </row>
    <row r="261" spans="4:70" ht="14.5" x14ac:dyDescent="0.25">
      <c r="D261" s="10"/>
      <c r="E261" s="11"/>
      <c r="BO261" s="12"/>
      <c r="BR261" s="12"/>
    </row>
    <row r="262" spans="4:70" ht="14.5" x14ac:dyDescent="0.25">
      <c r="D262" s="10"/>
      <c r="E262" s="11"/>
      <c r="BO262" s="12"/>
      <c r="BR262" s="12"/>
    </row>
    <row r="263" spans="4:70" ht="14.5" x14ac:dyDescent="0.25">
      <c r="D263" s="10"/>
      <c r="E263" s="11"/>
      <c r="BO263" s="12"/>
      <c r="BR263" s="12"/>
    </row>
    <row r="264" spans="4:70" ht="14.5" x14ac:dyDescent="0.25">
      <c r="D264" s="10"/>
      <c r="E264" s="11"/>
      <c r="BO264" s="12"/>
      <c r="BR264" s="12"/>
    </row>
    <row r="265" spans="4:70" ht="14.5" x14ac:dyDescent="0.25">
      <c r="D265" s="10"/>
      <c r="E265" s="11"/>
      <c r="BO265" s="12"/>
      <c r="BR265" s="12"/>
    </row>
    <row r="266" spans="4:70" ht="14.5" x14ac:dyDescent="0.25">
      <c r="D266" s="10"/>
      <c r="E266" s="11"/>
      <c r="BO266" s="12"/>
      <c r="BR266" s="12"/>
    </row>
    <row r="267" spans="4:70" ht="14.5" x14ac:dyDescent="0.25">
      <c r="D267" s="10"/>
      <c r="E267" s="11"/>
      <c r="BO267" s="12"/>
      <c r="BR267" s="12"/>
    </row>
    <row r="268" spans="4:70" ht="14.5" x14ac:dyDescent="0.25">
      <c r="D268" s="10"/>
      <c r="E268" s="11"/>
      <c r="BO268" s="12"/>
      <c r="BR268" s="12"/>
    </row>
    <row r="269" spans="4:70" ht="14.5" x14ac:dyDescent="0.25">
      <c r="D269" s="10"/>
      <c r="E269" s="11"/>
      <c r="BO269" s="12"/>
      <c r="BR269" s="12"/>
    </row>
    <row r="270" spans="4:70" ht="14.5" x14ac:dyDescent="0.25">
      <c r="D270" s="10"/>
      <c r="E270" s="11"/>
      <c r="BO270" s="12"/>
      <c r="BR270" s="12"/>
    </row>
    <row r="271" spans="4:70" ht="14.5" x14ac:dyDescent="0.25">
      <c r="D271" s="10"/>
      <c r="E271" s="11"/>
      <c r="BO271" s="12"/>
      <c r="BR271" s="12"/>
    </row>
    <row r="272" spans="4:70" ht="14.5" x14ac:dyDescent="0.25">
      <c r="D272" s="10"/>
      <c r="E272" s="11"/>
      <c r="BO272" s="12"/>
      <c r="BR272" s="12"/>
    </row>
    <row r="273" spans="4:70" ht="14.5" x14ac:dyDescent="0.25">
      <c r="D273" s="10"/>
      <c r="E273" s="11"/>
      <c r="BO273" s="12"/>
      <c r="BR273" s="12"/>
    </row>
    <row r="274" spans="4:70" ht="14.5" x14ac:dyDescent="0.25">
      <c r="D274" s="10"/>
      <c r="E274" s="11"/>
      <c r="BO274" s="12"/>
      <c r="BR274" s="12"/>
    </row>
    <row r="275" spans="4:70" ht="14.5" x14ac:dyDescent="0.25">
      <c r="D275" s="10"/>
      <c r="E275" s="11"/>
      <c r="BO275" s="12"/>
      <c r="BR275" s="12"/>
    </row>
    <row r="276" spans="4:70" ht="14.5" x14ac:dyDescent="0.25">
      <c r="D276" s="10"/>
      <c r="E276" s="11"/>
      <c r="BO276" s="12"/>
      <c r="BR276" s="12"/>
    </row>
    <row r="277" spans="4:70" ht="14.5" x14ac:dyDescent="0.25">
      <c r="D277" s="10"/>
      <c r="E277" s="11"/>
      <c r="BO277" s="12"/>
      <c r="BR277" s="12"/>
    </row>
    <row r="278" spans="4:70" ht="14.5" x14ac:dyDescent="0.25">
      <c r="D278" s="10"/>
      <c r="E278" s="11"/>
      <c r="BO278" s="12"/>
      <c r="BR278" s="12"/>
    </row>
    <row r="279" spans="4:70" ht="14.5" x14ac:dyDescent="0.25">
      <c r="D279" s="10"/>
      <c r="E279" s="11"/>
      <c r="BO279" s="12"/>
      <c r="BR279" s="12"/>
    </row>
    <row r="280" spans="4:70" ht="14.5" x14ac:dyDescent="0.25">
      <c r="D280" s="10"/>
      <c r="E280" s="11"/>
      <c r="BO280" s="12"/>
      <c r="BR280" s="12"/>
    </row>
    <row r="281" spans="4:70" ht="14.5" x14ac:dyDescent="0.25">
      <c r="D281" s="10"/>
      <c r="E281" s="11"/>
      <c r="BO281" s="12"/>
      <c r="BR281" s="12"/>
    </row>
    <row r="282" spans="4:70" ht="14.5" x14ac:dyDescent="0.25">
      <c r="D282" s="10"/>
      <c r="E282" s="11"/>
      <c r="BO282" s="12"/>
      <c r="BR282" s="12"/>
    </row>
    <row r="283" spans="4:70" ht="14.5" x14ac:dyDescent="0.25">
      <c r="D283" s="10"/>
      <c r="E283" s="11"/>
      <c r="BO283" s="12"/>
      <c r="BR283" s="12"/>
    </row>
    <row r="284" spans="4:70" ht="14.5" x14ac:dyDescent="0.25">
      <c r="D284" s="10"/>
      <c r="E284" s="11"/>
      <c r="BO284" s="12"/>
      <c r="BR284" s="12"/>
    </row>
    <row r="285" spans="4:70" ht="14.5" x14ac:dyDescent="0.25">
      <c r="D285" s="10"/>
      <c r="E285" s="11"/>
      <c r="BO285" s="12"/>
      <c r="BR285" s="12"/>
    </row>
    <row r="286" spans="4:70" ht="14.5" x14ac:dyDescent="0.25">
      <c r="D286" s="10"/>
      <c r="E286" s="11"/>
      <c r="BO286" s="12"/>
      <c r="BR286" s="12"/>
    </row>
    <row r="287" spans="4:70" ht="14.5" x14ac:dyDescent="0.25">
      <c r="D287" s="10"/>
      <c r="E287" s="11"/>
      <c r="BO287" s="12"/>
      <c r="BR287" s="12"/>
    </row>
    <row r="288" spans="4:70" ht="14.5" x14ac:dyDescent="0.25">
      <c r="D288" s="10"/>
      <c r="E288" s="11"/>
      <c r="BO288" s="12"/>
      <c r="BR288" s="12"/>
    </row>
    <row r="289" spans="4:70" ht="14.5" x14ac:dyDescent="0.25">
      <c r="D289" s="10"/>
      <c r="E289" s="11"/>
      <c r="BO289" s="12"/>
      <c r="BR289" s="12"/>
    </row>
    <row r="290" spans="4:70" ht="14.5" x14ac:dyDescent="0.25">
      <c r="D290" s="10"/>
      <c r="E290" s="11"/>
      <c r="BO290" s="12"/>
      <c r="BR290" s="12"/>
    </row>
    <row r="291" spans="4:70" ht="14.5" x14ac:dyDescent="0.25">
      <c r="D291" s="10"/>
      <c r="E291" s="11"/>
      <c r="BO291" s="12"/>
      <c r="BR291" s="12"/>
    </row>
    <row r="292" spans="4:70" ht="14.5" x14ac:dyDescent="0.25">
      <c r="D292" s="10"/>
      <c r="E292" s="11"/>
      <c r="BO292" s="12"/>
      <c r="BR292" s="12"/>
    </row>
    <row r="293" spans="4:70" ht="14.5" x14ac:dyDescent="0.25">
      <c r="D293" s="10"/>
      <c r="E293" s="11"/>
      <c r="BO293" s="12"/>
      <c r="BR293" s="12"/>
    </row>
    <row r="294" spans="4:70" ht="14.5" x14ac:dyDescent="0.25">
      <c r="D294" s="10"/>
      <c r="E294" s="11"/>
      <c r="BO294" s="12"/>
      <c r="BR294" s="12"/>
    </row>
    <row r="295" spans="4:70" ht="14.5" x14ac:dyDescent="0.25">
      <c r="D295" s="10"/>
      <c r="E295" s="11"/>
      <c r="BO295" s="12"/>
      <c r="BR295" s="12"/>
    </row>
    <row r="296" spans="4:70" ht="14.5" x14ac:dyDescent="0.25">
      <c r="D296" s="10"/>
      <c r="E296" s="11"/>
      <c r="BO296" s="12"/>
      <c r="BR296" s="12"/>
    </row>
    <row r="297" spans="4:70" ht="14.5" x14ac:dyDescent="0.25">
      <c r="D297" s="10"/>
      <c r="E297" s="11"/>
      <c r="BO297" s="12"/>
      <c r="BR297" s="12"/>
    </row>
    <row r="298" spans="4:70" ht="14.5" x14ac:dyDescent="0.25">
      <c r="D298" s="10"/>
      <c r="E298" s="11"/>
      <c r="BO298" s="12"/>
      <c r="BR298" s="12"/>
    </row>
    <row r="299" spans="4:70" ht="14.5" x14ac:dyDescent="0.25">
      <c r="D299" s="10"/>
      <c r="E299" s="11"/>
      <c r="BO299" s="12"/>
      <c r="BR299" s="12"/>
    </row>
    <row r="300" spans="4:70" ht="14.5" x14ac:dyDescent="0.25">
      <c r="D300" s="10"/>
      <c r="E300" s="11"/>
      <c r="BO300" s="12"/>
      <c r="BR300" s="12"/>
    </row>
    <row r="301" spans="4:70" ht="14.5" x14ac:dyDescent="0.25">
      <c r="D301" s="10"/>
      <c r="E301" s="11"/>
      <c r="BO301" s="12"/>
      <c r="BR301" s="12"/>
    </row>
    <row r="302" spans="4:70" ht="14.5" x14ac:dyDescent="0.25">
      <c r="D302" s="10"/>
      <c r="E302" s="11"/>
      <c r="BO302" s="12"/>
      <c r="BR302" s="12"/>
    </row>
    <row r="303" spans="4:70" ht="14.5" x14ac:dyDescent="0.25">
      <c r="D303" s="10"/>
      <c r="E303" s="11"/>
      <c r="BO303" s="12"/>
      <c r="BR303" s="12"/>
    </row>
    <row r="304" spans="4:70" ht="14.5" x14ac:dyDescent="0.25">
      <c r="D304" s="10"/>
      <c r="E304" s="11"/>
      <c r="BO304" s="12"/>
      <c r="BR304" s="12"/>
    </row>
    <row r="305" spans="4:70" ht="14.5" x14ac:dyDescent="0.25">
      <c r="D305" s="10"/>
      <c r="E305" s="11"/>
      <c r="BO305" s="12"/>
      <c r="BR305" s="12"/>
    </row>
    <row r="306" spans="4:70" ht="14.5" x14ac:dyDescent="0.25">
      <c r="D306" s="10"/>
      <c r="E306" s="11"/>
      <c r="BO306" s="12"/>
      <c r="BR306" s="12"/>
    </row>
    <row r="307" spans="4:70" ht="14.5" x14ac:dyDescent="0.25">
      <c r="D307" s="10"/>
      <c r="E307" s="11"/>
      <c r="BO307" s="12"/>
      <c r="BR307" s="12"/>
    </row>
    <row r="308" spans="4:70" ht="14.5" x14ac:dyDescent="0.25">
      <c r="D308" s="10"/>
      <c r="E308" s="11"/>
      <c r="BO308" s="12"/>
      <c r="BR308" s="12"/>
    </row>
    <row r="309" spans="4:70" ht="14.5" x14ac:dyDescent="0.25">
      <c r="D309" s="10"/>
      <c r="E309" s="11"/>
      <c r="BO309" s="12"/>
      <c r="BR309" s="12"/>
    </row>
    <row r="310" spans="4:70" ht="14.5" x14ac:dyDescent="0.25">
      <c r="D310" s="10"/>
      <c r="E310" s="11"/>
      <c r="BO310" s="12"/>
      <c r="BR310" s="12"/>
    </row>
    <row r="311" spans="4:70" ht="14.5" x14ac:dyDescent="0.25">
      <c r="D311" s="10"/>
      <c r="E311" s="11"/>
      <c r="BO311" s="12"/>
      <c r="BR311" s="12"/>
    </row>
    <row r="312" spans="4:70" ht="14.5" x14ac:dyDescent="0.25">
      <c r="D312" s="10"/>
      <c r="E312" s="11"/>
      <c r="BO312" s="12"/>
      <c r="BR312" s="12"/>
    </row>
    <row r="313" spans="4:70" ht="14.5" x14ac:dyDescent="0.25">
      <c r="D313" s="10"/>
      <c r="E313" s="11"/>
      <c r="BO313" s="12"/>
      <c r="BR313" s="12"/>
    </row>
    <row r="314" spans="4:70" ht="14.5" x14ac:dyDescent="0.25">
      <c r="D314" s="10"/>
      <c r="E314" s="11"/>
      <c r="BO314" s="12"/>
      <c r="BR314" s="12"/>
    </row>
    <row r="315" spans="4:70" ht="14.5" x14ac:dyDescent="0.25">
      <c r="D315" s="10"/>
      <c r="E315" s="11"/>
      <c r="BO315" s="12"/>
      <c r="BR315" s="12"/>
    </row>
    <row r="316" spans="4:70" ht="14.5" x14ac:dyDescent="0.25">
      <c r="D316" s="10"/>
      <c r="E316" s="11"/>
      <c r="BR316" s="12"/>
    </row>
    <row r="317" spans="4:70" ht="14.5" x14ac:dyDescent="0.25">
      <c r="D317" s="10"/>
      <c r="E317" s="11"/>
      <c r="BR317" s="12"/>
    </row>
    <row r="318" spans="4:70" ht="14.5" x14ac:dyDescent="0.25">
      <c r="D318" s="10"/>
      <c r="E318" s="11"/>
      <c r="BR318" s="12"/>
    </row>
    <row r="319" spans="4:70" ht="14.5" x14ac:dyDescent="0.25">
      <c r="D319" s="10"/>
      <c r="E319" s="11"/>
      <c r="BO319" s="12"/>
      <c r="BR319" s="12"/>
    </row>
    <row r="320" spans="4:70" ht="14.5" x14ac:dyDescent="0.25">
      <c r="D320" s="10"/>
      <c r="E320" s="11"/>
      <c r="BO320" s="12"/>
      <c r="BR320" s="12"/>
    </row>
    <row r="321" spans="4:70" ht="14.5" x14ac:dyDescent="0.25">
      <c r="D321" s="10"/>
      <c r="E321" s="11"/>
      <c r="BO321" s="12"/>
      <c r="BR321" s="12"/>
    </row>
    <row r="322" spans="4:70" ht="14.5" x14ac:dyDescent="0.25">
      <c r="D322" s="10"/>
      <c r="E322" s="11"/>
      <c r="BO322" s="12"/>
      <c r="BR322" s="12"/>
    </row>
    <row r="323" spans="4:70" ht="14.5" x14ac:dyDescent="0.25">
      <c r="D323" s="10"/>
      <c r="E323" s="11"/>
      <c r="BO323" s="12"/>
      <c r="BR323" s="12"/>
    </row>
    <row r="324" spans="4:70" ht="14.5" x14ac:dyDescent="0.25">
      <c r="D324" s="10"/>
      <c r="E324" s="11"/>
      <c r="BO324" s="12"/>
      <c r="BR324" s="12"/>
    </row>
    <row r="325" spans="4:70" ht="14.5" x14ac:dyDescent="0.25">
      <c r="D325" s="10"/>
      <c r="E325" s="11"/>
      <c r="BO325" s="12"/>
      <c r="BR325" s="12"/>
    </row>
    <row r="326" spans="4:70" ht="14.5" x14ac:dyDescent="0.25">
      <c r="D326" s="10"/>
      <c r="E326" s="11"/>
      <c r="BO326" s="12"/>
      <c r="BR326" s="12"/>
    </row>
    <row r="327" spans="4:70" ht="14.5" x14ac:dyDescent="0.25">
      <c r="D327" s="10"/>
      <c r="E327" s="11"/>
      <c r="BO327" s="12"/>
      <c r="BR327" s="12"/>
    </row>
    <row r="328" spans="4:70" ht="14.5" x14ac:dyDescent="0.25">
      <c r="D328" s="10"/>
      <c r="E328" s="11"/>
      <c r="BO328" s="12"/>
      <c r="BR328" s="12"/>
    </row>
    <row r="329" spans="4:70" ht="14.5" x14ac:dyDescent="0.25">
      <c r="D329" s="10"/>
      <c r="E329" s="11"/>
      <c r="BO329" s="12"/>
      <c r="BR329" s="12"/>
    </row>
    <row r="330" spans="4:70" ht="14.5" x14ac:dyDescent="0.25">
      <c r="D330" s="10"/>
      <c r="E330" s="11"/>
      <c r="BO330" s="12"/>
      <c r="BR330" s="12"/>
    </row>
    <row r="331" spans="4:70" ht="14.5" x14ac:dyDescent="0.25">
      <c r="D331" s="10"/>
      <c r="E331" s="11"/>
      <c r="BO331" s="12"/>
      <c r="BR331" s="12"/>
    </row>
    <row r="332" spans="4:70" ht="14.5" x14ac:dyDescent="0.25">
      <c r="D332" s="10"/>
      <c r="E332" s="11"/>
      <c r="BO332" s="12"/>
      <c r="BR332" s="12"/>
    </row>
    <row r="333" spans="4:70" ht="14.5" x14ac:dyDescent="0.25">
      <c r="D333" s="10"/>
      <c r="E333" s="11"/>
      <c r="BO333" s="12"/>
      <c r="BR333" s="12"/>
    </row>
    <row r="334" spans="4:70" ht="14.5" x14ac:dyDescent="0.25">
      <c r="D334" s="10"/>
      <c r="E334" s="11"/>
      <c r="BO334" s="12"/>
      <c r="BR334" s="12"/>
    </row>
    <row r="335" spans="4:70" ht="14.5" x14ac:dyDescent="0.25">
      <c r="D335" s="10"/>
      <c r="E335" s="11"/>
      <c r="BO335" s="12"/>
      <c r="BR335" s="12"/>
    </row>
    <row r="336" spans="4:70" ht="14.5" x14ac:dyDescent="0.25">
      <c r="D336" s="10"/>
      <c r="E336" s="11"/>
      <c r="BO336" s="12"/>
      <c r="BR336" s="12"/>
    </row>
    <row r="337" spans="4:70" ht="14.5" x14ac:dyDescent="0.25">
      <c r="D337" s="10"/>
      <c r="E337" s="11"/>
      <c r="BO337" s="12"/>
      <c r="BR337" s="12"/>
    </row>
    <row r="338" spans="4:70" ht="14.5" x14ac:dyDescent="0.25">
      <c r="D338" s="10"/>
      <c r="E338" s="11"/>
      <c r="BO338" s="12"/>
      <c r="BR338" s="12"/>
    </row>
    <row r="339" spans="4:70" ht="14.5" x14ac:dyDescent="0.25">
      <c r="D339" s="10"/>
      <c r="E339" s="11"/>
      <c r="BO339" s="12"/>
      <c r="BR339" s="12"/>
    </row>
    <row r="340" spans="4:70" ht="14.5" x14ac:dyDescent="0.25">
      <c r="D340" s="10"/>
      <c r="E340" s="11"/>
      <c r="BO340" s="12"/>
      <c r="BR340" s="12"/>
    </row>
    <row r="341" spans="4:70" ht="14.5" x14ac:dyDescent="0.25">
      <c r="D341" s="10"/>
      <c r="E341" s="11"/>
      <c r="BO341" s="12"/>
      <c r="BR341" s="12"/>
    </row>
    <row r="342" spans="4:70" ht="14.5" x14ac:dyDescent="0.25">
      <c r="D342" s="10"/>
      <c r="E342" s="11"/>
      <c r="BO342" s="12"/>
      <c r="BR342" s="12"/>
    </row>
    <row r="343" spans="4:70" ht="14.5" x14ac:dyDescent="0.25">
      <c r="D343" s="10"/>
      <c r="E343" s="11"/>
      <c r="BO343" s="12"/>
      <c r="BR343" s="12"/>
    </row>
    <row r="344" spans="4:70" ht="14.5" x14ac:dyDescent="0.25">
      <c r="D344" s="10"/>
      <c r="E344" s="11"/>
      <c r="BO344" s="12"/>
      <c r="BR344" s="12"/>
    </row>
    <row r="345" spans="4:70" ht="14.5" x14ac:dyDescent="0.25">
      <c r="D345" s="10"/>
      <c r="E345" s="11"/>
      <c r="BO345" s="12"/>
      <c r="BR345" s="12"/>
    </row>
    <row r="346" spans="4:70" ht="14.5" x14ac:dyDescent="0.25">
      <c r="D346" s="10"/>
      <c r="E346" s="11"/>
      <c r="BO346" s="12"/>
      <c r="BR346" s="12"/>
    </row>
    <row r="347" spans="4:70" ht="14.5" x14ac:dyDescent="0.25">
      <c r="D347" s="10"/>
      <c r="E347" s="11"/>
      <c r="BO347" s="12"/>
      <c r="BR347" s="12"/>
    </row>
    <row r="348" spans="4:70" ht="14.5" x14ac:dyDescent="0.25">
      <c r="D348" s="10"/>
      <c r="E348" s="11"/>
      <c r="BO348" s="12"/>
      <c r="BR348" s="12"/>
    </row>
    <row r="349" spans="4:70" ht="14.5" x14ac:dyDescent="0.25">
      <c r="D349" s="10"/>
      <c r="E349" s="11"/>
      <c r="BO349" s="12"/>
      <c r="BR349" s="12"/>
    </row>
    <row r="350" spans="4:70" ht="14.5" x14ac:dyDescent="0.25">
      <c r="D350" s="10"/>
      <c r="E350" s="11"/>
      <c r="BO350" s="12"/>
      <c r="BR350" s="12"/>
    </row>
    <row r="351" spans="4:70" ht="14.5" x14ac:dyDescent="0.25">
      <c r="D351" s="10"/>
      <c r="E351" s="11"/>
      <c r="BO351" s="12"/>
      <c r="BR351" s="12"/>
    </row>
    <row r="352" spans="4:70" ht="14.5" x14ac:dyDescent="0.25">
      <c r="D352" s="10"/>
      <c r="E352" s="11"/>
      <c r="BO352" s="12"/>
      <c r="BR352" s="12"/>
    </row>
    <row r="353" spans="4:70" ht="14.5" x14ac:dyDescent="0.25">
      <c r="D353" s="10"/>
      <c r="E353" s="11"/>
      <c r="BR353" s="12"/>
    </row>
    <row r="354" spans="4:70" ht="14.5" x14ac:dyDescent="0.25">
      <c r="D354" s="10"/>
      <c r="E354" s="11"/>
      <c r="BR354" s="12"/>
    </row>
    <row r="355" spans="4:70" ht="14.5" x14ac:dyDescent="0.25">
      <c r="D355" s="10"/>
      <c r="E355" s="11"/>
      <c r="BO355" s="12"/>
      <c r="BR355" s="12"/>
    </row>
    <row r="356" spans="4:70" ht="14.5" x14ac:dyDescent="0.25">
      <c r="D356" s="10"/>
      <c r="E356" s="11"/>
      <c r="BO356" s="12"/>
      <c r="BR356" s="12"/>
    </row>
    <row r="357" spans="4:70" ht="14.5" x14ac:dyDescent="0.25">
      <c r="D357" s="10"/>
      <c r="E357" s="11"/>
      <c r="BO357" s="12"/>
      <c r="BR357" s="12"/>
    </row>
    <row r="358" spans="4:70" ht="14.5" x14ac:dyDescent="0.25">
      <c r="D358" s="10"/>
      <c r="E358" s="11"/>
      <c r="BO358" s="12"/>
      <c r="BR358" s="12"/>
    </row>
    <row r="359" spans="4:70" ht="14.5" x14ac:dyDescent="0.25">
      <c r="D359" s="10"/>
      <c r="E359" s="11"/>
      <c r="BO359" s="12"/>
      <c r="BR359" s="12"/>
    </row>
    <row r="360" spans="4:70" ht="14.5" x14ac:dyDescent="0.25">
      <c r="D360" s="10"/>
      <c r="E360" s="11"/>
      <c r="BO360" s="12"/>
      <c r="BR360" s="12"/>
    </row>
    <row r="361" spans="4:70" ht="14.5" x14ac:dyDescent="0.25">
      <c r="D361" s="10"/>
      <c r="E361" s="11"/>
      <c r="BO361" s="12"/>
      <c r="BR361" s="12"/>
    </row>
    <row r="362" spans="4:70" ht="14.5" x14ac:dyDescent="0.25">
      <c r="D362" s="10"/>
      <c r="E362" s="11"/>
      <c r="BO362" s="12"/>
      <c r="BR362" s="12"/>
    </row>
    <row r="363" spans="4:70" ht="14.5" x14ac:dyDescent="0.25">
      <c r="D363" s="10"/>
      <c r="E363" s="11"/>
      <c r="BO363" s="12"/>
      <c r="BR363" s="12"/>
    </row>
    <row r="364" spans="4:70" ht="14.5" x14ac:dyDescent="0.25">
      <c r="D364" s="10"/>
      <c r="E364" s="11"/>
      <c r="BO364" s="12"/>
      <c r="BR364" s="12"/>
    </row>
    <row r="365" spans="4:70" ht="14.5" x14ac:dyDescent="0.25">
      <c r="D365" s="10"/>
      <c r="E365" s="11"/>
      <c r="BO365" s="12"/>
      <c r="BR365" s="12"/>
    </row>
    <row r="366" spans="4:70" ht="14.5" x14ac:dyDescent="0.25">
      <c r="D366" s="10"/>
      <c r="E366" s="11"/>
      <c r="BO366" s="12"/>
      <c r="BR366" s="12"/>
    </row>
    <row r="367" spans="4:70" ht="14.5" x14ac:dyDescent="0.25">
      <c r="D367" s="10"/>
      <c r="E367" s="11"/>
      <c r="BO367" s="12"/>
      <c r="BR367" s="12"/>
    </row>
    <row r="368" spans="4:70" ht="14.5" x14ac:dyDescent="0.25">
      <c r="D368" s="10"/>
      <c r="E368" s="11"/>
      <c r="BO368" s="12"/>
      <c r="BR368" s="12"/>
    </row>
    <row r="369" spans="4:70" ht="14.5" x14ac:dyDescent="0.25">
      <c r="D369" s="10"/>
      <c r="E369" s="11"/>
      <c r="BO369" s="12"/>
      <c r="BR369" s="12"/>
    </row>
    <row r="370" spans="4:70" ht="14.5" x14ac:dyDescent="0.25">
      <c r="D370" s="10"/>
      <c r="E370" s="11"/>
      <c r="BO370" s="12"/>
      <c r="BR370" s="12"/>
    </row>
    <row r="371" spans="4:70" ht="14.5" x14ac:dyDescent="0.25">
      <c r="D371" s="10"/>
      <c r="E371" s="11"/>
      <c r="BO371" s="12"/>
      <c r="BR371" s="12"/>
    </row>
    <row r="372" spans="4:70" ht="14.5" x14ac:dyDescent="0.25">
      <c r="D372" s="10"/>
      <c r="E372" s="11"/>
      <c r="BO372" s="12"/>
      <c r="BR372" s="12"/>
    </row>
    <row r="373" spans="4:70" ht="14.5" x14ac:dyDescent="0.25">
      <c r="D373" s="10"/>
      <c r="E373" s="11"/>
      <c r="BO373" s="12"/>
      <c r="BR373" s="12"/>
    </row>
    <row r="374" spans="4:70" ht="14.5" x14ac:dyDescent="0.25">
      <c r="D374" s="10"/>
      <c r="E374" s="11"/>
      <c r="BO374" s="12"/>
      <c r="BR374" s="12"/>
    </row>
    <row r="375" spans="4:70" ht="14.5" x14ac:dyDescent="0.25">
      <c r="D375" s="10"/>
      <c r="E375" s="11"/>
      <c r="BO375" s="12"/>
      <c r="BR375" s="12"/>
    </row>
    <row r="376" spans="4:70" ht="14.5" x14ac:dyDescent="0.25">
      <c r="D376" s="10"/>
      <c r="E376" s="11"/>
      <c r="BO376" s="12"/>
      <c r="BR376" s="12"/>
    </row>
    <row r="377" spans="4:70" ht="14.5" x14ac:dyDescent="0.25">
      <c r="D377" s="10"/>
      <c r="E377" s="11"/>
      <c r="BO377" s="12"/>
      <c r="BR377" s="12"/>
    </row>
    <row r="378" spans="4:70" ht="14.5" x14ac:dyDescent="0.25">
      <c r="D378" s="10"/>
      <c r="E378" s="11"/>
      <c r="BR378" s="12"/>
    </row>
    <row r="379" spans="4:70" ht="14.5" x14ac:dyDescent="0.25">
      <c r="D379" s="10"/>
      <c r="E379" s="11"/>
      <c r="BR379" s="12"/>
    </row>
    <row r="380" spans="4:70" ht="14.5" x14ac:dyDescent="0.25">
      <c r="D380" s="10"/>
      <c r="E380" s="11"/>
      <c r="BO380" s="12"/>
      <c r="BR380" s="12"/>
    </row>
    <row r="381" spans="4:70" ht="14.5" x14ac:dyDescent="0.25">
      <c r="D381" s="10"/>
      <c r="E381" s="11"/>
      <c r="BO381" s="12"/>
      <c r="BR381" s="12"/>
    </row>
    <row r="382" spans="4:70" ht="14.5" x14ac:dyDescent="0.25">
      <c r="D382" s="10"/>
      <c r="E382" s="11"/>
      <c r="BR382" s="12"/>
    </row>
    <row r="383" spans="4:70" ht="14.5" x14ac:dyDescent="0.25">
      <c r="D383" s="10"/>
      <c r="E383" s="11"/>
      <c r="BR383" s="12"/>
    </row>
    <row r="384" spans="4:70" ht="14.5" x14ac:dyDescent="0.25">
      <c r="D384" s="10"/>
      <c r="E384" s="11"/>
      <c r="BO384" s="12"/>
      <c r="BR384" s="12"/>
    </row>
    <row r="385" spans="4:70" ht="14.5" x14ac:dyDescent="0.25">
      <c r="D385" s="10"/>
      <c r="E385" s="11"/>
      <c r="BO385" s="12"/>
      <c r="BR385" s="12"/>
    </row>
    <row r="386" spans="4:70" ht="14.5" x14ac:dyDescent="0.25">
      <c r="D386" s="10"/>
      <c r="E386" s="11"/>
      <c r="BO386" s="12"/>
      <c r="BR386" s="12"/>
    </row>
    <row r="387" spans="4:70" ht="14.5" x14ac:dyDescent="0.25">
      <c r="D387" s="10"/>
      <c r="E387" s="11"/>
      <c r="BO387" s="12"/>
      <c r="BR387" s="12"/>
    </row>
    <row r="388" spans="4:70" ht="14.5" x14ac:dyDescent="0.25">
      <c r="D388" s="10"/>
      <c r="E388" s="11"/>
      <c r="BO388" s="12"/>
      <c r="BR388" s="12"/>
    </row>
    <row r="389" spans="4:70" ht="14.5" x14ac:dyDescent="0.25">
      <c r="D389" s="10"/>
      <c r="E389" s="11"/>
      <c r="BO389" s="12"/>
      <c r="BR389" s="12"/>
    </row>
    <row r="390" spans="4:70" ht="14.5" x14ac:dyDescent="0.25">
      <c r="D390" s="10"/>
      <c r="E390" s="11"/>
      <c r="BO390" s="12"/>
      <c r="BR390" s="12"/>
    </row>
    <row r="391" spans="4:70" ht="14.5" x14ac:dyDescent="0.25">
      <c r="D391" s="10"/>
      <c r="E391" s="11"/>
      <c r="BO391" s="12"/>
      <c r="BR391" s="12"/>
    </row>
    <row r="392" spans="4:70" ht="14.5" x14ac:dyDescent="0.25">
      <c r="D392" s="10"/>
      <c r="E392" s="11"/>
      <c r="BO392" s="12"/>
      <c r="BR392" s="12"/>
    </row>
    <row r="393" spans="4:70" ht="14.5" x14ac:dyDescent="0.25">
      <c r="D393" s="10"/>
      <c r="E393" s="11"/>
      <c r="BO393" s="12"/>
      <c r="BR393" s="12"/>
    </row>
    <row r="394" spans="4:70" ht="14.5" x14ac:dyDescent="0.25">
      <c r="D394" s="10"/>
      <c r="E394" s="11"/>
      <c r="BO394" s="12"/>
      <c r="BR394" s="12"/>
    </row>
    <row r="395" spans="4:70" ht="14.5" x14ac:dyDescent="0.25">
      <c r="D395" s="10"/>
      <c r="E395" s="11"/>
      <c r="BO395" s="12"/>
      <c r="BR395" s="12"/>
    </row>
    <row r="396" spans="4:70" ht="14.5" x14ac:dyDescent="0.25">
      <c r="D396" s="10"/>
      <c r="E396" s="11"/>
      <c r="BO396" s="12"/>
      <c r="BR396" s="12"/>
    </row>
    <row r="397" spans="4:70" ht="14.5" x14ac:dyDescent="0.25">
      <c r="D397" s="10"/>
      <c r="E397" s="11"/>
      <c r="BO397" s="12"/>
      <c r="BR397" s="12"/>
    </row>
    <row r="398" spans="4:70" ht="14.5" x14ac:dyDescent="0.25">
      <c r="D398" s="10"/>
      <c r="E398" s="11"/>
      <c r="BO398" s="12"/>
      <c r="BR398" s="12"/>
    </row>
    <row r="399" spans="4:70" ht="14.5" x14ac:dyDescent="0.25">
      <c r="D399" s="10"/>
      <c r="E399" s="11"/>
      <c r="BO399" s="12"/>
      <c r="BR399" s="12"/>
    </row>
    <row r="400" spans="4:70" ht="14.5" x14ac:dyDescent="0.25">
      <c r="D400" s="10"/>
      <c r="E400" s="11"/>
      <c r="BO400" s="12"/>
    </row>
    <row r="401" spans="4:5" ht="14.5" x14ac:dyDescent="0.25">
      <c r="D401" s="10"/>
      <c r="E401" s="11"/>
    </row>
    <row r="402" spans="4:5" ht="14.5" x14ac:dyDescent="0.25">
      <c r="D402" s="10"/>
      <c r="E402" s="11"/>
    </row>
    <row r="403" spans="4:5" ht="14.5" x14ac:dyDescent="0.25">
      <c r="D403" s="10"/>
      <c r="E403" s="11"/>
    </row>
    <row r="404" spans="4:5" ht="14.5" x14ac:dyDescent="0.25">
      <c r="D404" s="10"/>
      <c r="E404" s="11"/>
    </row>
    <row r="405" spans="4:5" ht="14.5" x14ac:dyDescent="0.25">
      <c r="D405" s="10"/>
      <c r="E405" s="11"/>
    </row>
    <row r="406" spans="4:5" ht="14.5" x14ac:dyDescent="0.25">
      <c r="D406" s="10"/>
      <c r="E406" s="11"/>
    </row>
    <row r="407" spans="4:5" ht="14.5" x14ac:dyDescent="0.25">
      <c r="D407" s="10"/>
      <c r="E407" s="11"/>
    </row>
    <row r="408" spans="4:5" ht="14.5" x14ac:dyDescent="0.25">
      <c r="D408" s="10"/>
      <c r="E408" s="11"/>
    </row>
    <row r="409" spans="4:5" ht="14.5" x14ac:dyDescent="0.25">
      <c r="D409" s="10"/>
      <c r="E409" s="11"/>
    </row>
    <row r="410" spans="4:5" ht="14.5" x14ac:dyDescent="0.25">
      <c r="D410" s="10"/>
      <c r="E410" s="11"/>
    </row>
    <row r="411" spans="4:5" ht="14.5" x14ac:dyDescent="0.25">
      <c r="D411" s="10"/>
      <c r="E411" s="11"/>
    </row>
    <row r="412" spans="4:5" ht="14.5" x14ac:dyDescent="0.25">
      <c r="D412" s="10"/>
      <c r="E412" s="11"/>
    </row>
    <row r="413" spans="4:5" ht="14.5" x14ac:dyDescent="0.25">
      <c r="D413" s="10"/>
      <c r="E413" s="11"/>
    </row>
    <row r="414" spans="4:5" ht="14.5" x14ac:dyDescent="0.25">
      <c r="D414" s="10"/>
      <c r="E414" s="11"/>
    </row>
    <row r="415" spans="4:5" ht="14.5" x14ac:dyDescent="0.25">
      <c r="D415" s="10"/>
      <c r="E415" s="11"/>
    </row>
    <row r="416" spans="4:5" ht="14.5" x14ac:dyDescent="0.25">
      <c r="D416" s="10"/>
      <c r="E416" s="11"/>
    </row>
    <row r="417" spans="4:5" ht="14.5" x14ac:dyDescent="0.25">
      <c r="D417" s="10"/>
      <c r="E417" s="11"/>
    </row>
    <row r="418" spans="4:5" ht="14.5" x14ac:dyDescent="0.25">
      <c r="D418" s="10"/>
      <c r="E418" s="11"/>
    </row>
    <row r="419" spans="4:5" ht="14.5" x14ac:dyDescent="0.25">
      <c r="D419" s="10"/>
      <c r="E419" s="11"/>
    </row>
    <row r="420" spans="4:5" ht="14.5" x14ac:dyDescent="0.25">
      <c r="D420" s="10"/>
      <c r="E420" s="11"/>
    </row>
    <row r="421" spans="4:5" ht="14.5" x14ac:dyDescent="0.25">
      <c r="D421" s="10"/>
      <c r="E421" s="11"/>
    </row>
    <row r="422" spans="4:5" ht="14.5" x14ac:dyDescent="0.25">
      <c r="D422" s="10"/>
      <c r="E422" s="11"/>
    </row>
    <row r="423" spans="4:5" ht="14.5" x14ac:dyDescent="0.25">
      <c r="D423" s="10"/>
      <c r="E423" s="11"/>
    </row>
    <row r="424" spans="4:5" ht="14.5" x14ac:dyDescent="0.25">
      <c r="D424" s="10"/>
      <c r="E424" s="11"/>
    </row>
    <row r="425" spans="4:5" ht="14.5" x14ac:dyDescent="0.25">
      <c r="D425" s="10"/>
      <c r="E425" s="11"/>
    </row>
    <row r="426" spans="4:5" ht="14.5" x14ac:dyDescent="0.25">
      <c r="D426" s="10"/>
      <c r="E426" s="11"/>
    </row>
    <row r="427" spans="4:5" ht="14.5" x14ac:dyDescent="0.25">
      <c r="D427" s="10"/>
      <c r="E427" s="11"/>
    </row>
    <row r="428" spans="4:5" ht="14.5" x14ac:dyDescent="0.25">
      <c r="D428" s="10"/>
      <c r="E428" s="11"/>
    </row>
    <row r="429" spans="4:5" ht="14.5" x14ac:dyDescent="0.25">
      <c r="D429" s="10"/>
      <c r="E429" s="11"/>
    </row>
    <row r="430" spans="4:5" ht="14.5" x14ac:dyDescent="0.25">
      <c r="D430" s="10"/>
      <c r="E430" s="11"/>
    </row>
    <row r="431" spans="4:5" ht="14.5" x14ac:dyDescent="0.25">
      <c r="D431" s="10"/>
      <c r="E431" s="11"/>
    </row>
    <row r="432" spans="4:5" ht="14.5" x14ac:dyDescent="0.25">
      <c r="D432" s="10"/>
      <c r="E432" s="11"/>
    </row>
    <row r="433" spans="4:5" ht="14.5" x14ac:dyDescent="0.25">
      <c r="D433" s="10"/>
      <c r="E433" s="11"/>
    </row>
    <row r="434" spans="4:5" ht="14.5" x14ac:dyDescent="0.25">
      <c r="D434" s="10"/>
      <c r="E434" s="11"/>
    </row>
    <row r="435" spans="4:5" ht="14.5" x14ac:dyDescent="0.25">
      <c r="D435" s="10"/>
      <c r="E435" s="11"/>
    </row>
    <row r="436" spans="4:5" ht="14.5" x14ac:dyDescent="0.25">
      <c r="D436" s="10"/>
      <c r="E436" s="11"/>
    </row>
    <row r="437" spans="4:5" ht="14.5" x14ac:dyDescent="0.25">
      <c r="D437" s="10"/>
      <c r="E437" s="11"/>
    </row>
    <row r="438" spans="4:5" ht="14.5" x14ac:dyDescent="0.25">
      <c r="D438" s="10"/>
      <c r="E438" s="11"/>
    </row>
    <row r="439" spans="4:5" ht="14.5" x14ac:dyDescent="0.25">
      <c r="D439" s="10"/>
      <c r="E439" s="11"/>
    </row>
    <row r="440" spans="4:5" ht="14.5" x14ac:dyDescent="0.25">
      <c r="D440" s="10"/>
      <c r="E440" s="11"/>
    </row>
    <row r="441" spans="4:5" ht="14.5" x14ac:dyDescent="0.25">
      <c r="D441" s="10"/>
      <c r="E441" s="11"/>
    </row>
    <row r="442" spans="4:5" ht="14.5" x14ac:dyDescent="0.25">
      <c r="D442" s="10"/>
      <c r="E442" s="11"/>
    </row>
    <row r="443" spans="4:5" ht="14.5" x14ac:dyDescent="0.25">
      <c r="D443" s="10"/>
      <c r="E443" s="11"/>
    </row>
    <row r="444" spans="4:5" ht="14.5" x14ac:dyDescent="0.25">
      <c r="D444" s="10"/>
      <c r="E444" s="11"/>
    </row>
    <row r="445" spans="4:5" ht="14.5" x14ac:dyDescent="0.25">
      <c r="D445" s="10"/>
      <c r="E445" s="11"/>
    </row>
    <row r="446" spans="4:5" ht="14.5" x14ac:dyDescent="0.25">
      <c r="D446" s="10"/>
      <c r="E446" s="11"/>
    </row>
    <row r="447" spans="4:5" ht="14.5" x14ac:dyDescent="0.25">
      <c r="D447" s="10"/>
      <c r="E447" s="11"/>
    </row>
    <row r="448" spans="4:5" ht="14.5" x14ac:dyDescent="0.25">
      <c r="D448" s="10"/>
      <c r="E448" s="11"/>
    </row>
    <row r="449" spans="4:5" ht="14.5" x14ac:dyDescent="0.25">
      <c r="D449" s="10"/>
      <c r="E449" s="11"/>
    </row>
    <row r="450" spans="4:5" ht="14.5" x14ac:dyDescent="0.25">
      <c r="D450" s="10"/>
      <c r="E450" s="11"/>
    </row>
    <row r="451" spans="4:5" ht="14.5" x14ac:dyDescent="0.25">
      <c r="D451" s="10"/>
      <c r="E451" s="11"/>
    </row>
    <row r="452" spans="4:5" ht="14.5" x14ac:dyDescent="0.25">
      <c r="D452" s="10"/>
      <c r="E452" s="11"/>
    </row>
    <row r="453" spans="4:5" ht="14.5" x14ac:dyDescent="0.25">
      <c r="D453" s="10"/>
      <c r="E453" s="11"/>
    </row>
    <row r="454" spans="4:5" ht="14.5" x14ac:dyDescent="0.25">
      <c r="D454" s="10"/>
      <c r="E454" s="11"/>
    </row>
    <row r="455" spans="4:5" ht="14.5" x14ac:dyDescent="0.25">
      <c r="D455" s="10"/>
      <c r="E455" s="11"/>
    </row>
    <row r="456" spans="4:5" ht="14.5" x14ac:dyDescent="0.25">
      <c r="D456" s="10"/>
      <c r="E456" s="11"/>
    </row>
    <row r="457" spans="4:5" ht="14.5" x14ac:dyDescent="0.25">
      <c r="D457" s="10"/>
      <c r="E457" s="11"/>
    </row>
    <row r="458" spans="4:5" ht="14.5" x14ac:dyDescent="0.25">
      <c r="D458" s="10"/>
      <c r="E458" s="11"/>
    </row>
    <row r="459" spans="4:5" ht="14.5" x14ac:dyDescent="0.25">
      <c r="D459" s="10"/>
      <c r="E459" s="11"/>
    </row>
    <row r="460" spans="4:5" ht="14.5" x14ac:dyDescent="0.25">
      <c r="D460" s="10"/>
      <c r="E460" s="11"/>
    </row>
    <row r="461" spans="4:5" ht="14.5" x14ac:dyDescent="0.25">
      <c r="D461" s="10"/>
      <c r="E461" s="11"/>
    </row>
    <row r="462" spans="4:5" ht="14.5" x14ac:dyDescent="0.25">
      <c r="D462" s="10"/>
      <c r="E462" s="11"/>
    </row>
    <row r="463" spans="4:5" ht="14.5" x14ac:dyDescent="0.25">
      <c r="D463" s="10"/>
      <c r="E463" s="11"/>
    </row>
    <row r="464" spans="4:5" ht="14.5" x14ac:dyDescent="0.25">
      <c r="D464" s="10"/>
      <c r="E464" s="11"/>
    </row>
    <row r="465" spans="4:5" ht="14.5" x14ac:dyDescent="0.25">
      <c r="D465" s="10"/>
      <c r="E465" s="11"/>
    </row>
    <row r="466" spans="4:5" ht="14.5" x14ac:dyDescent="0.25">
      <c r="D466" s="10"/>
      <c r="E466" s="11"/>
    </row>
    <row r="467" spans="4:5" ht="14.5" x14ac:dyDescent="0.25">
      <c r="D467" s="10"/>
      <c r="E467" s="11"/>
    </row>
    <row r="468" spans="4:5" ht="14.5" x14ac:dyDescent="0.25">
      <c r="D468" s="10"/>
      <c r="E468" s="11"/>
    </row>
    <row r="469" spans="4:5" ht="14.5" x14ac:dyDescent="0.25">
      <c r="D469" s="10"/>
      <c r="E469" s="11"/>
    </row>
    <row r="470" spans="4:5" ht="14.5" x14ac:dyDescent="0.25">
      <c r="D470" s="10"/>
      <c r="E470" s="11"/>
    </row>
    <row r="471" spans="4:5" ht="14.5" x14ac:dyDescent="0.25">
      <c r="D471" s="10"/>
      <c r="E471" s="11"/>
    </row>
    <row r="472" spans="4:5" ht="14.5" x14ac:dyDescent="0.25">
      <c r="D472" s="10"/>
      <c r="E472" s="11"/>
    </row>
    <row r="473" spans="4:5" ht="14.5" x14ac:dyDescent="0.25">
      <c r="D473" s="10"/>
      <c r="E473" s="11"/>
    </row>
    <row r="474" spans="4:5" ht="14.5" x14ac:dyDescent="0.25">
      <c r="D474" s="10"/>
      <c r="E474" s="11"/>
    </row>
    <row r="475" spans="4:5" ht="14.5" x14ac:dyDescent="0.25">
      <c r="D475" s="10"/>
      <c r="E475" s="11"/>
    </row>
    <row r="476" spans="4:5" ht="14.5" x14ac:dyDescent="0.25">
      <c r="D476" s="10"/>
      <c r="E476" s="11"/>
    </row>
    <row r="477" spans="4:5" ht="14.5" x14ac:dyDescent="0.25">
      <c r="D477" s="10"/>
      <c r="E477" s="11"/>
    </row>
    <row r="478" spans="4:5" ht="14.5" x14ac:dyDescent="0.25">
      <c r="D478" s="10"/>
      <c r="E478" s="11"/>
    </row>
    <row r="479" spans="4:5" ht="14.5" x14ac:dyDescent="0.25">
      <c r="D479" s="10"/>
      <c r="E479" s="11"/>
    </row>
    <row r="480" spans="4:5" ht="14.5" x14ac:dyDescent="0.25">
      <c r="D480" s="10"/>
      <c r="E480" s="11"/>
    </row>
    <row r="548" spans="4:5" ht="14.5" x14ac:dyDescent="0.25">
      <c r="D548" s="10"/>
      <c r="E548" s="11"/>
    </row>
    <row r="549" spans="4:5" ht="14.5" x14ac:dyDescent="0.25">
      <c r="D549" s="10"/>
      <c r="E549" s="11"/>
    </row>
    <row r="550" spans="4:5" ht="14.5" x14ac:dyDescent="0.25">
      <c r="D550" s="10"/>
      <c r="E550" s="11"/>
    </row>
    <row r="551" spans="4:5" ht="14.5" x14ac:dyDescent="0.25">
      <c r="D551" s="10"/>
      <c r="E551" s="11"/>
    </row>
    <row r="552" spans="4:5" ht="14.5" x14ac:dyDescent="0.25">
      <c r="D552" s="10"/>
      <c r="E552" s="11"/>
    </row>
    <row r="553" spans="4:5" ht="14.5" x14ac:dyDescent="0.25">
      <c r="D553" s="10"/>
      <c r="E553" s="11"/>
    </row>
    <row r="554" spans="4:5" ht="14.5" x14ac:dyDescent="0.25">
      <c r="D554" s="10"/>
      <c r="E554" s="11"/>
    </row>
    <row r="555" spans="4:5" ht="14.5" x14ac:dyDescent="0.25">
      <c r="D555" s="10"/>
      <c r="E555" s="11"/>
    </row>
    <row r="556" spans="4:5" ht="14.5" x14ac:dyDescent="0.25">
      <c r="D556" s="10"/>
      <c r="E556" s="11"/>
    </row>
    <row r="557" spans="4:5" ht="14.5" x14ac:dyDescent="0.25">
      <c r="D557" s="10"/>
      <c r="E557" s="11"/>
    </row>
    <row r="558" spans="4:5" ht="14.5" x14ac:dyDescent="0.25">
      <c r="D558" s="10"/>
      <c r="E558" s="11"/>
    </row>
    <row r="559" spans="4:5" ht="14.5" x14ac:dyDescent="0.25">
      <c r="D559" s="10"/>
      <c r="E559" s="11"/>
    </row>
    <row r="560" spans="4:5" ht="14.5" x14ac:dyDescent="0.25">
      <c r="D560" s="10"/>
      <c r="E560" s="11"/>
    </row>
    <row r="561" spans="4:5" ht="14.5" x14ac:dyDescent="0.25">
      <c r="D561" s="10"/>
      <c r="E561" s="11"/>
    </row>
    <row r="562" spans="4:5" ht="14.5" x14ac:dyDescent="0.25">
      <c r="D562" s="10"/>
      <c r="E562" s="11"/>
    </row>
    <row r="563" spans="4:5" ht="14.5" x14ac:dyDescent="0.25">
      <c r="D563" s="10"/>
      <c r="E563" s="11"/>
    </row>
    <row r="564" spans="4:5" ht="14.5" x14ac:dyDescent="0.25">
      <c r="D564" s="10"/>
      <c r="E564" s="11"/>
    </row>
    <row r="565" spans="4:5" ht="14.5" x14ac:dyDescent="0.25">
      <c r="D565" s="10"/>
      <c r="E565" s="11"/>
    </row>
    <row r="566" spans="4:5" ht="14.5" x14ac:dyDescent="0.25">
      <c r="D566" s="10"/>
      <c r="E566" s="11"/>
    </row>
    <row r="567" spans="4:5" ht="14.5" x14ac:dyDescent="0.25">
      <c r="D567" s="10"/>
      <c r="E567" s="11"/>
    </row>
    <row r="568" spans="4:5" ht="14.5" x14ac:dyDescent="0.25">
      <c r="D568" s="10"/>
      <c r="E568" s="11"/>
    </row>
    <row r="569" spans="4:5" ht="14.5" x14ac:dyDescent="0.25">
      <c r="D569" s="10"/>
      <c r="E569" s="11"/>
    </row>
    <row r="570" spans="4:5" ht="14.5" x14ac:dyDescent="0.25">
      <c r="D570" s="10"/>
      <c r="E570" s="11"/>
    </row>
    <row r="571" spans="4:5" ht="14.5" x14ac:dyDescent="0.25">
      <c r="D571" s="10"/>
      <c r="E571" s="11"/>
    </row>
    <row r="572" spans="4:5" ht="14.5" x14ac:dyDescent="0.25">
      <c r="D572" s="10"/>
      <c r="E572" s="11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654"/>
  <sheetViews>
    <sheetView tabSelected="1" workbookViewId="0">
      <pane xSplit="1" ySplit="3" topLeftCell="BF10" activePane="bottomRight" state="frozen"/>
      <selection pane="topRight"/>
      <selection pane="bottomLeft"/>
      <selection pane="bottomRight" activeCell="BO13" sqref="BO1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4" customWidth="1"/>
    <col min="75" max="76" width="8.5" style="4" customWidth="1"/>
    <col min="77" max="78" width="7.83203125" style="4" customWidth="1"/>
    <col min="79" max="79" width="22.1640625" style="4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143</v>
      </c>
      <c r="D1" t="s">
        <v>144</v>
      </c>
      <c r="E1" t="s">
        <v>145</v>
      </c>
      <c r="F1" t="s">
        <v>146</v>
      </c>
      <c r="G1" t="s">
        <v>147</v>
      </c>
      <c r="H1" t="s">
        <v>148</v>
      </c>
      <c r="I1" t="s">
        <v>149</v>
      </c>
      <c r="J1" t="s">
        <v>150</v>
      </c>
      <c r="K1" s="3" t="s">
        <v>151</v>
      </c>
      <c r="L1" s="3" t="s">
        <v>152</v>
      </c>
      <c r="M1" s="3" t="s">
        <v>153</v>
      </c>
      <c r="N1" s="3" t="s">
        <v>154</v>
      </c>
      <c r="O1" s="3" t="s">
        <v>155</v>
      </c>
      <c r="P1" s="3" t="s">
        <v>156</v>
      </c>
      <c r="Q1" s="3" t="s">
        <v>157</v>
      </c>
      <c r="R1" s="3" t="s">
        <v>158</v>
      </c>
      <c r="S1" s="3" t="s">
        <v>159</v>
      </c>
      <c r="T1" s="3" t="s">
        <v>160</v>
      </c>
      <c r="U1" s="3" t="s">
        <v>160</v>
      </c>
      <c r="V1" s="3" t="s">
        <v>161</v>
      </c>
      <c r="W1" s="3" t="s">
        <v>162</v>
      </c>
      <c r="X1" s="3" t="s">
        <v>163</v>
      </c>
      <c r="Y1" t="s">
        <v>164</v>
      </c>
      <c r="Z1" t="s">
        <v>165</v>
      </c>
      <c r="AA1" s="3" t="s">
        <v>166</v>
      </c>
      <c r="AB1" t="s">
        <v>167</v>
      </c>
      <c r="AC1" t="s">
        <v>168</v>
      </c>
      <c r="AD1" t="s">
        <v>169</v>
      </c>
      <c r="AE1" t="s">
        <v>170</v>
      </c>
      <c r="AF1" t="s">
        <v>171</v>
      </c>
      <c r="AG1" t="s">
        <v>172</v>
      </c>
      <c r="AH1" t="s">
        <v>173</v>
      </c>
      <c r="AI1" t="s">
        <v>174</v>
      </c>
      <c r="AJ1" t="s">
        <v>175</v>
      </c>
      <c r="AK1" t="s">
        <v>176</v>
      </c>
      <c r="AL1" t="s">
        <v>177</v>
      </c>
      <c r="AM1" t="s">
        <v>178</v>
      </c>
      <c r="AN1" t="s">
        <v>179</v>
      </c>
      <c r="AO1" t="s">
        <v>180</v>
      </c>
      <c r="AP1" t="s">
        <v>181</v>
      </c>
      <c r="AQ1" t="s">
        <v>182</v>
      </c>
      <c r="AR1" s="13" t="s">
        <v>557</v>
      </c>
      <c r="AS1" s="13" t="s">
        <v>558</v>
      </c>
      <c r="AT1" t="s">
        <v>183</v>
      </c>
      <c r="AU1" t="s">
        <v>184</v>
      </c>
      <c r="AV1" t="s">
        <v>185</v>
      </c>
      <c r="AW1" t="s">
        <v>186</v>
      </c>
      <c r="AX1" t="s">
        <v>187</v>
      </c>
      <c r="AY1" t="s">
        <v>188</v>
      </c>
      <c r="AZ1" t="s">
        <v>189</v>
      </c>
      <c r="BA1" t="s">
        <v>190</v>
      </c>
      <c r="BB1" t="s">
        <v>191</v>
      </c>
      <c r="BC1" t="s">
        <v>192</v>
      </c>
      <c r="BD1" t="s">
        <v>193</v>
      </c>
      <c r="BE1" t="s">
        <v>194</v>
      </c>
      <c r="BF1" t="s">
        <v>195</v>
      </c>
      <c r="BG1" t="s">
        <v>196</v>
      </c>
      <c r="BH1" t="s">
        <v>197</v>
      </c>
      <c r="BJ1" t="s">
        <v>197</v>
      </c>
      <c r="BK1" t="s">
        <v>198</v>
      </c>
      <c r="BL1" t="s">
        <v>199</v>
      </c>
      <c r="BM1" t="s">
        <v>200</v>
      </c>
      <c r="BN1" t="s">
        <v>201</v>
      </c>
      <c r="BO1" t="s">
        <v>202</v>
      </c>
      <c r="BP1" t="s">
        <v>203</v>
      </c>
      <c r="BQ1" t="s">
        <v>204</v>
      </c>
      <c r="BR1" t="s">
        <v>205</v>
      </c>
      <c r="BS1" t="s">
        <v>206</v>
      </c>
      <c r="BT1" t="s">
        <v>207</v>
      </c>
      <c r="BU1" t="s">
        <v>208</v>
      </c>
      <c r="BV1" s="4" t="s">
        <v>209</v>
      </c>
      <c r="BW1" s="4" t="s">
        <v>210</v>
      </c>
      <c r="BX1" s="4" t="s">
        <v>211</v>
      </c>
      <c r="BY1" s="4" t="s">
        <v>212</v>
      </c>
      <c r="BZ1" s="4" t="s">
        <v>213</v>
      </c>
      <c r="CA1" s="4" t="s">
        <v>214</v>
      </c>
      <c r="CB1" t="s">
        <v>215</v>
      </c>
      <c r="CC1" s="4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221</v>
      </c>
      <c r="CI1" t="s">
        <v>222</v>
      </c>
      <c r="CJ1" t="s">
        <v>223</v>
      </c>
      <c r="CK1" t="s">
        <v>224</v>
      </c>
      <c r="CL1" t="s">
        <v>225</v>
      </c>
      <c r="CM1" t="s">
        <v>226</v>
      </c>
      <c r="CN1" t="s">
        <v>227</v>
      </c>
      <c r="CO1" t="s">
        <v>228</v>
      </c>
      <c r="CP1" t="s">
        <v>229</v>
      </c>
      <c r="CQ1" t="s">
        <v>230</v>
      </c>
      <c r="CR1" t="s">
        <v>207</v>
      </c>
      <c r="CS1" t="s">
        <v>231</v>
      </c>
      <c r="CT1" t="s">
        <v>232</v>
      </c>
      <c r="CU1" t="s">
        <v>233</v>
      </c>
      <c r="CV1" t="s">
        <v>234</v>
      </c>
      <c r="CW1" t="s">
        <v>235</v>
      </c>
      <c r="CX1" t="s">
        <v>236</v>
      </c>
      <c r="CY1" t="s">
        <v>237</v>
      </c>
      <c r="CZ1" t="s">
        <v>236</v>
      </c>
      <c r="DA1" t="s">
        <v>238</v>
      </c>
      <c r="DB1" t="s">
        <v>239</v>
      </c>
      <c r="DC1" t="s">
        <v>240</v>
      </c>
      <c r="DD1" t="s">
        <v>241</v>
      </c>
      <c r="DE1" t="s">
        <v>242</v>
      </c>
      <c r="DF1" t="s">
        <v>243</v>
      </c>
      <c r="DG1" t="s">
        <v>244</v>
      </c>
      <c r="DH1" t="s">
        <v>245</v>
      </c>
      <c r="DI1" t="s">
        <v>246</v>
      </c>
    </row>
    <row r="2" spans="1:113" x14ac:dyDescent="0.25">
      <c r="A2" t="s">
        <v>0</v>
      </c>
      <c r="C2" t="s">
        <v>48</v>
      </c>
      <c r="D2" t="s">
        <v>77</v>
      </c>
      <c r="E2" t="s">
        <v>247</v>
      </c>
      <c r="F2" t="s">
        <v>248</v>
      </c>
      <c r="G2" t="s">
        <v>53</v>
      </c>
      <c r="H2" t="s">
        <v>249</v>
      </c>
      <c r="I2" t="s">
        <v>250</v>
      </c>
      <c r="J2" t="s">
        <v>251</v>
      </c>
      <c r="K2" s="3" t="s">
        <v>252</v>
      </c>
      <c r="L2" s="3" t="s">
        <v>253</v>
      </c>
      <c r="M2" s="3" t="s">
        <v>254</v>
      </c>
      <c r="N2" s="3" t="s">
        <v>255</v>
      </c>
      <c r="O2" s="3" t="s">
        <v>256</v>
      </c>
      <c r="P2" s="3" t="s">
        <v>257</v>
      </c>
      <c r="Q2" s="3" t="s">
        <v>258</v>
      </c>
      <c r="R2" s="3" t="s">
        <v>259</v>
      </c>
      <c r="S2" s="3" t="s">
        <v>260</v>
      </c>
      <c r="T2" s="3" t="s">
        <v>261</v>
      </c>
      <c r="U2" s="3" t="s">
        <v>262</v>
      </c>
      <c r="V2" s="3" t="s">
        <v>263</v>
      </c>
      <c r="W2" s="3" t="s">
        <v>264</v>
      </c>
      <c r="X2" s="3" t="s">
        <v>265</v>
      </c>
      <c r="Y2" t="s">
        <v>266</v>
      </c>
      <c r="Z2" t="s">
        <v>267</v>
      </c>
      <c r="AA2" s="3" t="s">
        <v>268</v>
      </c>
      <c r="AB2" t="s">
        <v>269</v>
      </c>
      <c r="AC2" t="s">
        <v>270</v>
      </c>
      <c r="AD2" t="s">
        <v>271</v>
      </c>
      <c r="AE2" t="s">
        <v>272</v>
      </c>
      <c r="AF2" t="s">
        <v>273</v>
      </c>
      <c r="AG2" t="s">
        <v>274</v>
      </c>
      <c r="AH2" t="s">
        <v>275</v>
      </c>
      <c r="AI2" t="s">
        <v>276</v>
      </c>
      <c r="AJ2" t="s">
        <v>277</v>
      </c>
      <c r="AK2" t="s">
        <v>278</v>
      </c>
      <c r="AL2" t="s">
        <v>279</v>
      </c>
      <c r="AM2" t="s">
        <v>280</v>
      </c>
      <c r="AN2" t="s">
        <v>281</v>
      </c>
      <c r="AO2" t="s">
        <v>282</v>
      </c>
      <c r="AP2" t="s">
        <v>283</v>
      </c>
      <c r="AQ2" t="s">
        <v>284</v>
      </c>
      <c r="AR2" s="13" t="s">
        <v>559</v>
      </c>
      <c r="AS2" s="13" t="s">
        <v>560</v>
      </c>
      <c r="AT2" t="s">
        <v>285</v>
      </c>
      <c r="AU2" t="s">
        <v>286</v>
      </c>
      <c r="AV2" t="s">
        <v>287</v>
      </c>
      <c r="AW2" t="s">
        <v>288</v>
      </c>
      <c r="AX2" t="s">
        <v>289</v>
      </c>
      <c r="AY2" t="s">
        <v>290</v>
      </c>
      <c r="AZ2" t="s">
        <v>291</v>
      </c>
      <c r="BA2" t="s">
        <v>292</v>
      </c>
      <c r="BB2" t="s">
        <v>293</v>
      </c>
      <c r="BC2" t="s">
        <v>294</v>
      </c>
      <c r="BD2" t="s">
        <v>295</v>
      </c>
      <c r="BE2" t="s">
        <v>296</v>
      </c>
      <c r="BF2" t="s">
        <v>297</v>
      </c>
      <c r="BG2" t="s">
        <v>298</v>
      </c>
      <c r="BH2" t="s">
        <v>299</v>
      </c>
      <c r="BI2" t="s">
        <v>300</v>
      </c>
      <c r="BJ2" t="s">
        <v>301</v>
      </c>
      <c r="BK2" t="s">
        <v>302</v>
      </c>
      <c r="BL2" t="s">
        <v>303</v>
      </c>
      <c r="BM2" t="s">
        <v>304</v>
      </c>
      <c r="BN2" t="s">
        <v>305</v>
      </c>
      <c r="BO2" t="s">
        <v>79</v>
      </c>
      <c r="BP2" t="s">
        <v>306</v>
      </c>
      <c r="BQ2" t="s">
        <v>307</v>
      </c>
      <c r="BR2" t="s">
        <v>308</v>
      </c>
      <c r="BS2" t="s">
        <v>309</v>
      </c>
      <c r="BT2" t="s">
        <v>310</v>
      </c>
      <c r="BU2" t="s">
        <v>95</v>
      </c>
      <c r="BV2" s="4" t="s">
        <v>311</v>
      </c>
      <c r="BW2" s="4" t="s">
        <v>312</v>
      </c>
      <c r="BX2" s="4" t="s">
        <v>313</v>
      </c>
      <c r="BY2" s="4" t="s">
        <v>314</v>
      </c>
      <c r="BZ2" s="4" t="s">
        <v>315</v>
      </c>
      <c r="CA2" s="4" t="s">
        <v>316</v>
      </c>
      <c r="CB2" t="s">
        <v>317</v>
      </c>
      <c r="CC2" t="s">
        <v>318</v>
      </c>
      <c r="CD2" t="s">
        <v>319</v>
      </c>
      <c r="CE2" t="s">
        <v>320</v>
      </c>
      <c r="CF2" t="s">
        <v>321</v>
      </c>
      <c r="CG2" t="s">
        <v>322</v>
      </c>
      <c r="CH2" t="s">
        <v>323</v>
      </c>
      <c r="CI2" t="s">
        <v>324</v>
      </c>
      <c r="CJ2" t="s">
        <v>325</v>
      </c>
      <c r="CK2" t="s">
        <v>326</v>
      </c>
      <c r="CL2" t="s">
        <v>327</v>
      </c>
      <c r="CM2" t="s">
        <v>328</v>
      </c>
      <c r="CN2" t="s">
        <v>329</v>
      </c>
      <c r="CO2" t="s">
        <v>330</v>
      </c>
      <c r="CP2" t="s">
        <v>331</v>
      </c>
      <c r="CQ2" t="s">
        <v>332</v>
      </c>
      <c r="CR2" t="s">
        <v>333</v>
      </c>
      <c r="CS2" t="s">
        <v>334</v>
      </c>
      <c r="CT2" t="s">
        <v>335</v>
      </c>
      <c r="CU2" t="s">
        <v>336</v>
      </c>
      <c r="CV2" t="s">
        <v>337</v>
      </c>
      <c r="CW2" t="s">
        <v>338</v>
      </c>
      <c r="CX2" t="s">
        <v>339</v>
      </c>
      <c r="CY2" t="s">
        <v>340</v>
      </c>
      <c r="CZ2" t="s">
        <v>341</v>
      </c>
      <c r="DA2" t="s">
        <v>342</v>
      </c>
      <c r="DB2" t="s">
        <v>343</v>
      </c>
      <c r="DC2" t="s">
        <v>344</v>
      </c>
      <c r="DD2" t="s">
        <v>345</v>
      </c>
      <c r="DE2" t="s">
        <v>346</v>
      </c>
      <c r="DF2" t="s">
        <v>347</v>
      </c>
      <c r="DG2" t="s">
        <v>348</v>
      </c>
      <c r="DH2" t="s">
        <v>349</v>
      </c>
      <c r="DI2" t="s">
        <v>350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351</v>
      </c>
      <c r="K3" s="3" t="s">
        <v>352</v>
      </c>
      <c r="L3" s="3" t="s">
        <v>353</v>
      </c>
      <c r="M3" s="3" t="s">
        <v>118</v>
      </c>
      <c r="N3" s="3" t="s">
        <v>118</v>
      </c>
      <c r="O3" s="3" t="s">
        <v>120</v>
      </c>
      <c r="P3" s="3" t="s">
        <v>120</v>
      </c>
      <c r="Q3" s="3" t="s">
        <v>120</v>
      </c>
      <c r="R3" s="3" t="s">
        <v>120</v>
      </c>
      <c r="S3" s="3" t="s">
        <v>116</v>
      </c>
      <c r="T3" s="3" t="s">
        <v>117</v>
      </c>
      <c r="U3" s="3" t="s">
        <v>117</v>
      </c>
      <c r="V3" s="3" t="s">
        <v>117</v>
      </c>
      <c r="W3" s="3" t="s">
        <v>116</v>
      </c>
      <c r="X3" s="3" t="s">
        <v>116</v>
      </c>
      <c r="Y3" t="s">
        <v>116</v>
      </c>
      <c r="Z3" t="s">
        <v>116</v>
      </c>
      <c r="AA3" s="3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354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355</v>
      </c>
      <c r="AP3" t="s">
        <v>356</v>
      </c>
      <c r="AQ3" t="s">
        <v>2</v>
      </c>
      <c r="AR3" s="13" t="s">
        <v>561</v>
      </c>
      <c r="AS3" s="13" t="s">
        <v>561</v>
      </c>
      <c r="AT3" t="s">
        <v>357</v>
      </c>
      <c r="AU3" t="s">
        <v>116</v>
      </c>
      <c r="AV3" t="s">
        <v>117</v>
      </c>
      <c r="AW3" t="s">
        <v>116</v>
      </c>
      <c r="AX3" t="s">
        <v>358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357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359</v>
      </c>
      <c r="BR3" t="s">
        <v>360</v>
      </c>
      <c r="BS3" t="s">
        <v>117</v>
      </c>
      <c r="BT3" t="s">
        <v>117</v>
      </c>
      <c r="BU3" t="s">
        <v>116</v>
      </c>
      <c r="BV3" s="4" t="s">
        <v>117</v>
      </c>
      <c r="BW3" s="4" t="s">
        <v>117</v>
      </c>
      <c r="BX3" s="4" t="s">
        <v>118</v>
      </c>
      <c r="BY3" s="4" t="s">
        <v>361</v>
      </c>
      <c r="BZ3" s="4" t="s">
        <v>116</v>
      </c>
      <c r="CA3" s="4" t="s">
        <v>361</v>
      </c>
      <c r="CB3" t="s">
        <v>124</v>
      </c>
      <c r="CC3" t="s">
        <v>362</v>
      </c>
      <c r="CD3" t="s">
        <v>124</v>
      </c>
      <c r="CE3" t="s">
        <v>124</v>
      </c>
      <c r="CF3" t="s">
        <v>124</v>
      </c>
      <c r="CG3" t="s">
        <v>363</v>
      </c>
      <c r="CH3" t="s">
        <v>364</v>
      </c>
      <c r="CI3" t="s">
        <v>2</v>
      </c>
      <c r="CJ3" t="s">
        <v>365</v>
      </c>
      <c r="CK3" t="s">
        <v>365</v>
      </c>
      <c r="CL3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362</v>
      </c>
      <c r="CS3" t="s">
        <v>123</v>
      </c>
      <c r="CT3" t="s">
        <v>116</v>
      </c>
      <c r="CU3" t="s">
        <v>125</v>
      </c>
      <c r="CV3" t="s">
        <v>366</v>
      </c>
      <c r="CW3" t="s">
        <v>367</v>
      </c>
      <c r="CX3" t="s">
        <v>367</v>
      </c>
      <c r="CY3" t="s">
        <v>366</v>
      </c>
      <c r="CZ3" t="s">
        <v>366</v>
      </c>
      <c r="DA3" t="s">
        <v>366</v>
      </c>
      <c r="DB3" t="s">
        <v>366</v>
      </c>
      <c r="DC3" t="s">
        <v>366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2" customFormat="1" x14ac:dyDescent="0.25">
      <c r="A4" s="2" t="s">
        <v>368</v>
      </c>
    </row>
    <row r="5" spans="1:113" x14ac:dyDescent="0.25">
      <c r="A5" t="s">
        <v>369</v>
      </c>
      <c r="C5" t="s">
        <v>370</v>
      </c>
      <c r="J5" s="3"/>
      <c r="M5"/>
      <c r="N5"/>
      <c r="S5" s="3">
        <v>1</v>
      </c>
      <c r="Y5" s="3"/>
      <c r="Z5" s="3"/>
      <c r="AA5" s="3"/>
      <c r="AB5" s="3"/>
      <c r="AC5">
        <v>2</v>
      </c>
      <c r="AD5">
        <v>1</v>
      </c>
      <c r="AO5" t="s">
        <v>371</v>
      </c>
      <c r="AT5" t="s">
        <v>372</v>
      </c>
      <c r="AX5" t="s">
        <v>373</v>
      </c>
      <c r="AZ5">
        <v>1</v>
      </c>
      <c r="BD5">
        <v>1</v>
      </c>
      <c r="BP5" t="s">
        <v>374</v>
      </c>
      <c r="BV5"/>
      <c r="CB5" t="s">
        <v>375</v>
      </c>
      <c r="CG5" t="s">
        <v>376</v>
      </c>
      <c r="CH5" t="s">
        <v>377</v>
      </c>
      <c r="CI5" t="s">
        <v>378</v>
      </c>
      <c r="CL5" t="s">
        <v>379</v>
      </c>
      <c r="CN5" t="s">
        <v>380</v>
      </c>
      <c r="CO5">
        <v>-10</v>
      </c>
      <c r="CP5">
        <v>0.1</v>
      </c>
      <c r="CR5">
        <v>5</v>
      </c>
      <c r="CY5" t="s">
        <v>381</v>
      </c>
    </row>
    <row r="6" spans="1:113" x14ac:dyDescent="0.25">
      <c r="A6" t="s">
        <v>374</v>
      </c>
      <c r="C6" t="s">
        <v>370</v>
      </c>
      <c r="I6">
        <v>1</v>
      </c>
      <c r="K6" s="3" t="s">
        <v>382</v>
      </c>
      <c r="M6"/>
      <c r="N6"/>
      <c r="Y6" s="3"/>
      <c r="Z6" s="3"/>
      <c r="AA6" s="3"/>
      <c r="AB6" s="3"/>
      <c r="AC6">
        <v>2</v>
      </c>
      <c r="AD6">
        <v>1</v>
      </c>
      <c r="AO6" t="s">
        <v>383</v>
      </c>
      <c r="AW6">
        <v>1</v>
      </c>
      <c r="BD6">
        <v>1</v>
      </c>
      <c r="BV6"/>
      <c r="CN6" t="s">
        <v>374</v>
      </c>
      <c r="CR6">
        <v>9999</v>
      </c>
      <c r="CS6">
        <v>0.6</v>
      </c>
    </row>
    <row r="7" spans="1:113" x14ac:dyDescent="0.25">
      <c r="A7" t="s">
        <v>384</v>
      </c>
      <c r="C7" t="s">
        <v>370</v>
      </c>
      <c r="I7">
        <v>1</v>
      </c>
      <c r="J7" s="3"/>
      <c r="M7"/>
      <c r="N7"/>
      <c r="P7"/>
      <c r="Q7" t="s">
        <v>374</v>
      </c>
      <c r="Y7" s="3"/>
      <c r="Z7" s="3"/>
      <c r="AA7" s="3"/>
      <c r="AB7" s="3"/>
      <c r="AC7">
        <v>2</v>
      </c>
      <c r="AD7">
        <v>1</v>
      </c>
      <c r="AO7" t="s">
        <v>371</v>
      </c>
      <c r="AW7">
        <v>1</v>
      </c>
      <c r="AX7" t="s">
        <v>373</v>
      </c>
      <c r="AZ7">
        <v>0.65</v>
      </c>
      <c r="BD7">
        <v>99</v>
      </c>
      <c r="BO7" t="s">
        <v>385</v>
      </c>
      <c r="BP7" t="s">
        <v>386</v>
      </c>
      <c r="BS7">
        <v>0.1</v>
      </c>
      <c r="BV7"/>
      <c r="CH7" t="s">
        <v>387</v>
      </c>
      <c r="CI7" t="s">
        <v>378</v>
      </c>
      <c r="CL7" t="s">
        <v>379</v>
      </c>
      <c r="CM7" t="s">
        <v>374</v>
      </c>
      <c r="CN7" s="6" t="s">
        <v>388</v>
      </c>
      <c r="CO7" s="3">
        <v>-0.8</v>
      </c>
      <c r="CP7" s="3"/>
      <c r="CQ7" s="3"/>
      <c r="CR7" s="3">
        <v>0.8</v>
      </c>
      <c r="CY7" t="s">
        <v>389</v>
      </c>
    </row>
    <row r="8" spans="1:113" x14ac:dyDescent="0.25">
      <c r="A8" t="s">
        <v>385</v>
      </c>
      <c r="C8" t="s">
        <v>370</v>
      </c>
      <c r="I8">
        <v>1</v>
      </c>
      <c r="J8" s="3"/>
      <c r="M8"/>
      <c r="N8"/>
      <c r="P8"/>
      <c r="Q8" t="s">
        <v>374</v>
      </c>
      <c r="Y8" s="3"/>
      <c r="Z8" s="3"/>
      <c r="AA8" s="3"/>
      <c r="AB8" s="3"/>
      <c r="AC8">
        <v>2</v>
      </c>
      <c r="AD8">
        <v>1</v>
      </c>
      <c r="AO8" t="s">
        <v>371</v>
      </c>
      <c r="AW8">
        <v>1</v>
      </c>
      <c r="BD8">
        <v>99</v>
      </c>
      <c r="BV8"/>
      <c r="CN8" t="s">
        <v>380</v>
      </c>
      <c r="CO8">
        <v>-10</v>
      </c>
      <c r="CP8">
        <v>0.1</v>
      </c>
      <c r="CR8">
        <v>5</v>
      </c>
    </row>
    <row r="9" spans="1:113" x14ac:dyDescent="0.25">
      <c r="A9" t="s">
        <v>386</v>
      </c>
      <c r="C9" t="s">
        <v>370</v>
      </c>
      <c r="I9">
        <v>1</v>
      </c>
      <c r="J9" s="3"/>
      <c r="K9" s="3" t="s">
        <v>382</v>
      </c>
      <c r="M9"/>
      <c r="N9"/>
      <c r="P9"/>
      <c r="Q9" s="5" t="s">
        <v>390</v>
      </c>
      <c r="Y9" s="3"/>
      <c r="Z9" s="3"/>
      <c r="AA9" s="3"/>
      <c r="AB9" s="3"/>
      <c r="AC9">
        <v>2</v>
      </c>
      <c r="AD9">
        <v>1</v>
      </c>
      <c r="AO9" t="s">
        <v>371</v>
      </c>
      <c r="AW9">
        <v>1</v>
      </c>
      <c r="AX9" t="s">
        <v>391</v>
      </c>
      <c r="AZ9">
        <v>0.6</v>
      </c>
      <c r="BD9">
        <v>99</v>
      </c>
      <c r="BV9"/>
      <c r="CN9" s="6"/>
      <c r="CO9" s="3"/>
      <c r="CP9" s="3"/>
      <c r="CQ9" s="3"/>
      <c r="CR9" s="3"/>
      <c r="CY9" t="s">
        <v>392</v>
      </c>
    </row>
    <row r="11" spans="1:113" x14ac:dyDescent="0.25">
      <c r="A11" s="13" t="s">
        <v>564</v>
      </c>
      <c r="C11" t="s">
        <v>370</v>
      </c>
      <c r="D11" t="s">
        <v>394</v>
      </c>
      <c r="E11" t="s">
        <v>395</v>
      </c>
      <c r="F11" t="s">
        <v>396</v>
      </c>
      <c r="G11">
        <v>3</v>
      </c>
      <c r="J11" t="s">
        <v>397</v>
      </c>
      <c r="K11" s="3" t="s">
        <v>398</v>
      </c>
      <c r="M11"/>
      <c r="N11"/>
      <c r="Y11" s="3"/>
      <c r="Z11" s="3"/>
      <c r="AA11" s="3"/>
      <c r="AB11" s="3"/>
      <c r="AC11">
        <v>1</v>
      </c>
      <c r="AG11" t="s">
        <v>399</v>
      </c>
      <c r="AT11" t="s">
        <v>400</v>
      </c>
      <c r="BD11">
        <v>1</v>
      </c>
      <c r="BO11" s="13" t="s">
        <v>563</v>
      </c>
      <c r="BP11" t="s">
        <v>401</v>
      </c>
      <c r="BT11">
        <v>99999</v>
      </c>
      <c r="BV11" s="4">
        <v>0</v>
      </c>
      <c r="BW11" s="4">
        <v>60</v>
      </c>
      <c r="BX11" s="4">
        <v>1</v>
      </c>
      <c r="BY11" s="4" t="s">
        <v>398</v>
      </c>
      <c r="BZ11"/>
      <c r="CA11"/>
      <c r="CB11" s="3"/>
      <c r="CC11" s="3"/>
      <c r="CD11" s="3"/>
      <c r="CE11" s="3"/>
      <c r="CF11" s="3"/>
      <c r="CK11" s="3"/>
      <c r="CL11" s="3"/>
      <c r="CN11" t="s">
        <v>402</v>
      </c>
      <c r="CO11">
        <v>1</v>
      </c>
      <c r="CR11">
        <v>99999</v>
      </c>
      <c r="CU11" t="s">
        <v>403</v>
      </c>
    </row>
    <row r="12" spans="1:113" x14ac:dyDescent="0.25">
      <c r="A12" t="s">
        <v>393</v>
      </c>
      <c r="C12" t="s">
        <v>370</v>
      </c>
      <c r="D12" t="s">
        <v>394</v>
      </c>
      <c r="E12" t="s">
        <v>395</v>
      </c>
      <c r="F12" t="s">
        <v>396</v>
      </c>
      <c r="G12">
        <v>3</v>
      </c>
      <c r="J12" t="s">
        <v>397</v>
      </c>
      <c r="K12" s="3" t="s">
        <v>398</v>
      </c>
      <c r="M12"/>
      <c r="N12"/>
      <c r="Y12" s="3"/>
      <c r="Z12" s="3"/>
      <c r="AA12" s="3"/>
      <c r="AB12" s="3"/>
      <c r="AC12">
        <v>1</v>
      </c>
      <c r="AG12" t="s">
        <v>399</v>
      </c>
      <c r="AT12" t="s">
        <v>400</v>
      </c>
      <c r="BD12">
        <v>1</v>
      </c>
      <c r="BO12" s="13" t="s">
        <v>565</v>
      </c>
      <c r="BP12" t="s">
        <v>401</v>
      </c>
      <c r="BT12">
        <v>99999</v>
      </c>
      <c r="BV12" s="4">
        <v>0</v>
      </c>
      <c r="BW12" s="4">
        <v>60</v>
      </c>
      <c r="BX12" s="4">
        <v>1</v>
      </c>
      <c r="BY12" s="4" t="s">
        <v>398</v>
      </c>
      <c r="BZ12"/>
      <c r="CA12"/>
      <c r="CB12" s="3"/>
      <c r="CC12" s="3"/>
      <c r="CD12" s="3"/>
      <c r="CE12" s="3"/>
      <c r="CF12" s="3"/>
      <c r="CK12" s="3"/>
      <c r="CL12" s="3"/>
      <c r="CN12" t="s">
        <v>402</v>
      </c>
      <c r="CO12">
        <v>1</v>
      </c>
      <c r="CR12">
        <v>99999</v>
      </c>
      <c r="CU12" t="s">
        <v>403</v>
      </c>
    </row>
    <row r="13" spans="1:113" x14ac:dyDescent="0.25">
      <c r="A13" t="s">
        <v>404</v>
      </c>
      <c r="C13" t="s">
        <v>370</v>
      </c>
      <c r="J13" s="3"/>
      <c r="M13"/>
      <c r="N13"/>
      <c r="O13" t="s">
        <v>405</v>
      </c>
      <c r="Y13" s="3"/>
      <c r="Z13" s="3"/>
      <c r="AA13" s="3"/>
      <c r="AB13" s="3"/>
      <c r="AC13">
        <v>2</v>
      </c>
      <c r="AD13">
        <v>1</v>
      </c>
      <c r="AO13" t="s">
        <v>371</v>
      </c>
      <c r="AT13" t="s">
        <v>400</v>
      </c>
      <c r="AX13" t="s">
        <v>373</v>
      </c>
      <c r="AZ13">
        <v>1</v>
      </c>
      <c r="BD13">
        <v>1</v>
      </c>
      <c r="BP13" t="s">
        <v>374</v>
      </c>
      <c r="BV13"/>
      <c r="CB13" t="s">
        <v>406</v>
      </c>
      <c r="CG13" t="s">
        <v>376</v>
      </c>
      <c r="CH13" t="s">
        <v>377</v>
      </c>
      <c r="CI13" t="s">
        <v>378</v>
      </c>
      <c r="CL13" t="s">
        <v>379</v>
      </c>
      <c r="CN13" t="s">
        <v>380</v>
      </c>
      <c r="CO13">
        <v>-10</v>
      </c>
      <c r="CP13">
        <v>0.1</v>
      </c>
      <c r="CR13">
        <v>5</v>
      </c>
      <c r="CY13" t="s">
        <v>381</v>
      </c>
    </row>
    <row r="14" spans="1:113" x14ac:dyDescent="0.25">
      <c r="A14" s="13" t="s">
        <v>562</v>
      </c>
      <c r="C14" t="s">
        <v>370</v>
      </c>
      <c r="H14" t="s">
        <v>407</v>
      </c>
      <c r="M14"/>
      <c r="N14"/>
      <c r="O14" t="s">
        <v>405</v>
      </c>
      <c r="Y14" s="3"/>
      <c r="Z14" s="3"/>
      <c r="AA14" s="3"/>
      <c r="AB14" s="3"/>
      <c r="AC14">
        <v>2</v>
      </c>
      <c r="AD14">
        <v>1</v>
      </c>
      <c r="AO14" t="s">
        <v>383</v>
      </c>
      <c r="AW14">
        <v>1</v>
      </c>
      <c r="AX14" t="s">
        <v>373</v>
      </c>
      <c r="AZ14">
        <v>1</v>
      </c>
      <c r="BD14">
        <v>1</v>
      </c>
      <c r="BP14" t="s">
        <v>374</v>
      </c>
      <c r="CB14" s="3"/>
      <c r="CC14" s="3"/>
      <c r="CD14" s="3"/>
      <c r="CE14" s="3"/>
      <c r="CF14" s="3"/>
      <c r="CJ14" s="3"/>
      <c r="CK14" s="3"/>
      <c r="CL14" t="s">
        <v>379</v>
      </c>
      <c r="CN14" t="s">
        <v>408</v>
      </c>
      <c r="CR14">
        <v>1</v>
      </c>
    </row>
    <row r="15" spans="1:113" x14ac:dyDescent="0.25">
      <c r="A15" t="s">
        <v>401</v>
      </c>
      <c r="C15" t="s">
        <v>370</v>
      </c>
      <c r="I15">
        <v>1</v>
      </c>
      <c r="K15" s="3" t="s">
        <v>382</v>
      </c>
      <c r="M15"/>
      <c r="N15"/>
      <c r="Y15" s="3"/>
      <c r="Z15" s="3"/>
      <c r="AA15" s="3"/>
      <c r="AB15" s="3"/>
      <c r="AC15">
        <v>1</v>
      </c>
      <c r="AG15" t="s">
        <v>399</v>
      </c>
      <c r="BD15">
        <v>1</v>
      </c>
      <c r="BS15">
        <v>0.33300000000000002</v>
      </c>
      <c r="CB15" s="3" t="s">
        <v>409</v>
      </c>
      <c r="CC15" s="3"/>
      <c r="CD15" s="3"/>
      <c r="CE15" s="3"/>
      <c r="CF15" s="3"/>
      <c r="CG15" t="s">
        <v>376</v>
      </c>
      <c r="CH15" s="3"/>
      <c r="CI15" s="3"/>
      <c r="CJ15" s="3"/>
      <c r="CK15" s="3"/>
      <c r="CL15" s="3"/>
      <c r="DD15">
        <v>1</v>
      </c>
      <c r="DF15">
        <v>1</v>
      </c>
      <c r="DG15">
        <v>1</v>
      </c>
      <c r="DH15">
        <v>1</v>
      </c>
    </row>
    <row r="16" spans="1:113" x14ac:dyDescent="0.25">
      <c r="BO16" s="4"/>
      <c r="BP16" s="4"/>
      <c r="BQ16" s="4"/>
      <c r="BR16" s="4"/>
      <c r="BS16" s="4"/>
      <c r="BV16"/>
      <c r="BW16"/>
      <c r="BX16"/>
      <c r="BY16"/>
      <c r="BZ16"/>
      <c r="CA16"/>
    </row>
    <row r="17" spans="1:112" x14ac:dyDescent="0.25">
      <c r="A17" t="s">
        <v>410</v>
      </c>
      <c r="C17" t="s">
        <v>370</v>
      </c>
      <c r="D17" t="s">
        <v>411</v>
      </c>
      <c r="E17" t="s">
        <v>412</v>
      </c>
      <c r="F17" t="s">
        <v>413</v>
      </c>
      <c r="G17">
        <v>3</v>
      </c>
      <c r="J17" t="s">
        <v>397</v>
      </c>
      <c r="K17" s="3" t="s">
        <v>414</v>
      </c>
      <c r="M17"/>
      <c r="N17"/>
      <c r="Y17" s="3"/>
      <c r="Z17" s="3"/>
      <c r="AA17" s="3"/>
      <c r="AB17" s="3"/>
      <c r="AC17">
        <v>1</v>
      </c>
      <c r="AG17" t="s">
        <v>399</v>
      </c>
      <c r="AZ17" s="3"/>
      <c r="BD17">
        <v>1</v>
      </c>
      <c r="BO17" t="s">
        <v>415</v>
      </c>
      <c r="BP17" t="s">
        <v>416</v>
      </c>
      <c r="BT17">
        <v>20</v>
      </c>
      <c r="BV17" s="4">
        <v>20</v>
      </c>
      <c r="BW17" s="4">
        <v>30</v>
      </c>
      <c r="BX17" s="4">
        <v>1</v>
      </c>
      <c r="BY17" s="4" t="s">
        <v>398</v>
      </c>
      <c r="BZ17"/>
      <c r="CA17"/>
      <c r="CB17" s="3"/>
      <c r="CC17" s="3"/>
      <c r="CD17" s="3"/>
      <c r="CE17" s="3"/>
      <c r="CF17" s="3"/>
      <c r="CK17" s="3"/>
      <c r="CL17" s="3"/>
      <c r="CN17" t="s">
        <v>417</v>
      </c>
      <c r="CO17">
        <v>70</v>
      </c>
      <c r="CR17">
        <v>20</v>
      </c>
      <c r="DC17" t="s">
        <v>418</v>
      </c>
    </row>
    <row r="18" spans="1:112" x14ac:dyDescent="0.25">
      <c r="A18" t="s">
        <v>419</v>
      </c>
      <c r="C18" t="s">
        <v>370</v>
      </c>
      <c r="M18"/>
      <c r="N18"/>
      <c r="O18" t="s">
        <v>420</v>
      </c>
      <c r="Y18" s="3"/>
      <c r="Z18" s="3"/>
      <c r="AA18" s="3"/>
      <c r="AB18" s="3"/>
      <c r="AC18">
        <v>2</v>
      </c>
      <c r="AD18">
        <v>1</v>
      </c>
      <c r="AO18" t="s">
        <v>371</v>
      </c>
      <c r="AT18" t="s">
        <v>372</v>
      </c>
      <c r="AX18" t="s">
        <v>373</v>
      </c>
      <c r="AZ18">
        <v>0.75</v>
      </c>
      <c r="BD18">
        <v>1</v>
      </c>
      <c r="BP18" t="s">
        <v>421</v>
      </c>
      <c r="BS18">
        <v>0.5</v>
      </c>
      <c r="CB18" t="s">
        <v>422</v>
      </c>
      <c r="CE18" t="s">
        <v>422</v>
      </c>
      <c r="CH18" t="s">
        <v>377</v>
      </c>
      <c r="CI18" t="s">
        <v>378</v>
      </c>
      <c r="CL18" t="s">
        <v>379</v>
      </c>
      <c r="CN18" t="s">
        <v>423</v>
      </c>
      <c r="CO18">
        <v>-0.04</v>
      </c>
      <c r="CR18">
        <v>0.6</v>
      </c>
      <c r="CY18" t="s">
        <v>381</v>
      </c>
    </row>
    <row r="19" spans="1:112" x14ac:dyDescent="0.25">
      <c r="A19" t="s">
        <v>424</v>
      </c>
      <c r="C19" t="s">
        <v>370</v>
      </c>
      <c r="I19">
        <v>1</v>
      </c>
      <c r="K19" s="3" t="s">
        <v>382</v>
      </c>
      <c r="M19"/>
      <c r="N19"/>
      <c r="Y19" s="3"/>
      <c r="Z19" s="3"/>
      <c r="AA19" s="3"/>
      <c r="AB19" s="3"/>
      <c r="AC19">
        <v>1</v>
      </c>
      <c r="AG19" t="s">
        <v>399</v>
      </c>
      <c r="BD19">
        <v>1</v>
      </c>
      <c r="BV19"/>
      <c r="CN19" t="s">
        <v>424</v>
      </c>
      <c r="CO19">
        <v>0.2</v>
      </c>
      <c r="CR19">
        <v>0.6</v>
      </c>
    </row>
    <row r="20" spans="1:112" x14ac:dyDescent="0.25">
      <c r="A20" t="s">
        <v>425</v>
      </c>
      <c r="C20" t="s">
        <v>370</v>
      </c>
      <c r="I20">
        <v>1</v>
      </c>
      <c r="K20" s="3" t="s">
        <v>382</v>
      </c>
      <c r="M20"/>
      <c r="N20"/>
      <c r="Q20" s="3" t="s">
        <v>426</v>
      </c>
      <c r="Y20" s="3"/>
      <c r="Z20" s="3"/>
      <c r="AA20" s="3"/>
      <c r="AB20" s="3"/>
      <c r="AC20">
        <v>2</v>
      </c>
      <c r="AD20">
        <v>1</v>
      </c>
      <c r="AO20" t="s">
        <v>371</v>
      </c>
      <c r="AW20">
        <v>1</v>
      </c>
      <c r="BD20">
        <v>1</v>
      </c>
      <c r="BV20"/>
      <c r="CN20" t="s">
        <v>374</v>
      </c>
      <c r="CR20">
        <v>9999</v>
      </c>
      <c r="CS20">
        <v>0.6</v>
      </c>
    </row>
    <row r="21" spans="1:112" x14ac:dyDescent="0.25">
      <c r="A21" t="s">
        <v>416</v>
      </c>
      <c r="C21" t="s">
        <v>370</v>
      </c>
      <c r="I21">
        <v>1</v>
      </c>
      <c r="K21" s="3" t="s">
        <v>382</v>
      </c>
      <c r="M21"/>
      <c r="N21"/>
      <c r="Y21" s="3"/>
      <c r="Z21" s="3"/>
      <c r="AA21" s="3"/>
      <c r="AB21" s="3"/>
      <c r="AC21">
        <v>1</v>
      </c>
      <c r="AG21" t="s">
        <v>399</v>
      </c>
      <c r="AZ21" s="3"/>
      <c r="BD21">
        <v>1</v>
      </c>
      <c r="BS21">
        <v>0.16700000000000001</v>
      </c>
      <c r="CB21" s="3" t="s">
        <v>427</v>
      </c>
      <c r="CC21" s="3"/>
      <c r="CD21" s="3"/>
      <c r="CE21" s="3"/>
      <c r="CF21" s="3"/>
      <c r="CG21" t="s">
        <v>376</v>
      </c>
      <c r="CH21" s="3"/>
      <c r="CI21" s="3"/>
      <c r="CJ21" s="3"/>
      <c r="CK21" s="3"/>
      <c r="CL21" s="3"/>
      <c r="CN21" t="s">
        <v>428</v>
      </c>
      <c r="CR21">
        <v>19.7</v>
      </c>
      <c r="DD21">
        <v>1</v>
      </c>
      <c r="DF21">
        <v>1</v>
      </c>
      <c r="DG21">
        <v>1</v>
      </c>
      <c r="DH21">
        <v>1</v>
      </c>
    </row>
    <row r="22" spans="1:112" x14ac:dyDescent="0.25">
      <c r="A22" t="s">
        <v>429</v>
      </c>
      <c r="C22" t="s">
        <v>370</v>
      </c>
      <c r="I22">
        <v>1</v>
      </c>
      <c r="M22"/>
      <c r="N22"/>
      <c r="O22" t="s">
        <v>420</v>
      </c>
      <c r="P22" t="s">
        <v>428</v>
      </c>
      <c r="Y22" s="3"/>
      <c r="Z22" s="3"/>
      <c r="AA22" s="3"/>
      <c r="AB22" s="3"/>
      <c r="AC22">
        <v>1</v>
      </c>
      <c r="AG22" t="s">
        <v>399</v>
      </c>
      <c r="AZ22" s="3"/>
      <c r="BD22">
        <v>1</v>
      </c>
      <c r="BS22">
        <v>0.26700000000000002</v>
      </c>
      <c r="CB22" s="3" t="s">
        <v>430</v>
      </c>
      <c r="CC22" s="3"/>
      <c r="CD22" s="3"/>
      <c r="CE22" s="3"/>
      <c r="CF22" s="3"/>
      <c r="CG22" t="s">
        <v>376</v>
      </c>
      <c r="CH22" s="3"/>
      <c r="CI22" s="3"/>
      <c r="CJ22" s="3"/>
      <c r="CK22" s="3"/>
      <c r="CL22" s="3"/>
      <c r="DD22">
        <v>1</v>
      </c>
      <c r="DF22">
        <v>1</v>
      </c>
      <c r="DG22">
        <v>1</v>
      </c>
      <c r="DH22">
        <v>1</v>
      </c>
    </row>
    <row r="23" spans="1:112" x14ac:dyDescent="0.25">
      <c r="V23"/>
      <c r="W23"/>
      <c r="X23"/>
      <c r="BS23" s="4"/>
      <c r="BT23" s="4"/>
      <c r="BU23" s="4"/>
      <c r="BY23"/>
      <c r="BZ23"/>
      <c r="CA23"/>
    </row>
    <row r="24" spans="1:112" x14ac:dyDescent="0.25">
      <c r="A24" t="s">
        <v>431</v>
      </c>
      <c r="C24" t="s">
        <v>370</v>
      </c>
      <c r="D24" t="s">
        <v>432</v>
      </c>
      <c r="E24" t="s">
        <v>433</v>
      </c>
      <c r="F24" t="s">
        <v>434</v>
      </c>
      <c r="G24">
        <v>3</v>
      </c>
      <c r="J24" t="s">
        <v>397</v>
      </c>
      <c r="K24" s="3" t="s">
        <v>414</v>
      </c>
      <c r="M24"/>
      <c r="N24"/>
      <c r="Y24" s="3"/>
      <c r="Z24" s="3"/>
      <c r="AA24" s="3"/>
      <c r="AB24" s="3"/>
      <c r="AC24">
        <v>1</v>
      </c>
      <c r="AG24" t="s">
        <v>399</v>
      </c>
      <c r="AT24" t="s">
        <v>435</v>
      </c>
      <c r="BD24">
        <v>1</v>
      </c>
      <c r="BO24" t="s">
        <v>436</v>
      </c>
      <c r="BP24" t="s">
        <v>437</v>
      </c>
      <c r="BT24">
        <v>30</v>
      </c>
      <c r="BV24" s="4">
        <v>30</v>
      </c>
      <c r="BW24" s="4">
        <v>45</v>
      </c>
      <c r="BX24" s="4">
        <v>1</v>
      </c>
      <c r="BY24" s="4" t="s">
        <v>398</v>
      </c>
      <c r="BZ24"/>
      <c r="CA24"/>
      <c r="CB24" s="3"/>
      <c r="CC24" s="3"/>
      <c r="CD24" s="3"/>
      <c r="CE24" s="3"/>
      <c r="CF24" s="3"/>
      <c r="CK24" s="3"/>
      <c r="CL24" s="3"/>
      <c r="CN24" t="s">
        <v>438</v>
      </c>
      <c r="CO24">
        <v>3</v>
      </c>
      <c r="CR24">
        <v>30</v>
      </c>
      <c r="CU24" t="s">
        <v>403</v>
      </c>
      <c r="DB24" t="s">
        <v>439</v>
      </c>
      <c r="DC24" t="s">
        <v>440</v>
      </c>
    </row>
    <row r="25" spans="1:112" x14ac:dyDescent="0.25">
      <c r="A25" t="s">
        <v>441</v>
      </c>
      <c r="C25" t="s">
        <v>370</v>
      </c>
      <c r="M25"/>
      <c r="N25"/>
      <c r="O25" t="s">
        <v>442</v>
      </c>
      <c r="Y25" s="3"/>
      <c r="Z25" s="3"/>
      <c r="AA25" s="3"/>
      <c r="AB25" s="3"/>
      <c r="AC25">
        <v>2</v>
      </c>
      <c r="AD25">
        <v>1</v>
      </c>
      <c r="AO25" t="s">
        <v>371</v>
      </c>
      <c r="AT25" t="s">
        <v>435</v>
      </c>
      <c r="AX25" t="s">
        <v>373</v>
      </c>
      <c r="AZ25">
        <v>1</v>
      </c>
      <c r="BD25">
        <v>4</v>
      </c>
      <c r="BP25" t="s">
        <v>443</v>
      </c>
      <c r="CB25" s="3" t="s">
        <v>444</v>
      </c>
      <c r="CG25" t="s">
        <v>376</v>
      </c>
      <c r="CH25" t="s">
        <v>377</v>
      </c>
      <c r="CI25" t="s">
        <v>378</v>
      </c>
      <c r="CL25" t="s">
        <v>379</v>
      </c>
      <c r="CN25" t="s">
        <v>380</v>
      </c>
      <c r="CO25">
        <v>-10</v>
      </c>
      <c r="CP25">
        <v>0.1</v>
      </c>
      <c r="CR25">
        <v>5</v>
      </c>
      <c r="CY25" t="s">
        <v>445</v>
      </c>
    </row>
    <row r="26" spans="1:112" x14ac:dyDescent="0.25">
      <c r="A26" t="s">
        <v>443</v>
      </c>
      <c r="C26" t="s">
        <v>370</v>
      </c>
      <c r="I26">
        <v>1</v>
      </c>
      <c r="K26" s="3" t="s">
        <v>382</v>
      </c>
      <c r="M26"/>
      <c r="N26"/>
      <c r="Y26" s="3"/>
      <c r="Z26" s="3"/>
      <c r="AA26" s="3"/>
      <c r="AB26" s="3"/>
      <c r="AC26">
        <v>2</v>
      </c>
      <c r="AD26">
        <v>1</v>
      </c>
      <c r="AO26" t="s">
        <v>383</v>
      </c>
      <c r="AW26">
        <v>1</v>
      </c>
      <c r="BD26">
        <v>4</v>
      </c>
      <c r="BV26"/>
      <c r="CN26" t="s">
        <v>374</v>
      </c>
      <c r="CR26">
        <v>9999</v>
      </c>
      <c r="CS26">
        <v>0.6</v>
      </c>
    </row>
    <row r="27" spans="1:112" x14ac:dyDescent="0.25">
      <c r="A27" t="s">
        <v>437</v>
      </c>
      <c r="C27" t="s">
        <v>370</v>
      </c>
      <c r="I27">
        <v>1</v>
      </c>
      <c r="K27" s="3" t="s">
        <v>382</v>
      </c>
      <c r="M27"/>
      <c r="N27"/>
      <c r="Y27" s="3"/>
      <c r="Z27" s="3"/>
      <c r="AA27" s="3"/>
      <c r="AB27" s="3"/>
      <c r="AC27">
        <v>1</v>
      </c>
      <c r="AG27" t="s">
        <v>399</v>
      </c>
      <c r="BD27">
        <v>1</v>
      </c>
      <c r="BS27">
        <v>0.16700000000000001</v>
      </c>
      <c r="CB27" s="3" t="s">
        <v>446</v>
      </c>
      <c r="CC27" s="3"/>
      <c r="CD27" s="3"/>
      <c r="CE27" s="3"/>
      <c r="CF27" s="3"/>
      <c r="CG27" t="s">
        <v>376</v>
      </c>
      <c r="CH27" s="3"/>
      <c r="CI27" s="3"/>
      <c r="CJ27" s="3"/>
      <c r="CK27" s="3"/>
      <c r="CL27" s="3"/>
      <c r="DD27">
        <v>1</v>
      </c>
      <c r="DF27">
        <v>1</v>
      </c>
      <c r="DG27">
        <v>1</v>
      </c>
      <c r="DH27">
        <v>1</v>
      </c>
    </row>
    <row r="28" spans="1:112" x14ac:dyDescent="0.25">
      <c r="A28" t="s">
        <v>447</v>
      </c>
      <c r="C28" t="s">
        <v>370</v>
      </c>
      <c r="I28">
        <v>1</v>
      </c>
      <c r="K28" s="3" t="s">
        <v>382</v>
      </c>
      <c r="L28" s="3" t="s">
        <v>448</v>
      </c>
      <c r="M28"/>
      <c r="N28"/>
      <c r="O28"/>
      <c r="P28"/>
      <c r="Y28" s="3"/>
      <c r="Z28" s="3"/>
      <c r="AA28" s="3"/>
      <c r="AB28" s="3"/>
      <c r="AC28">
        <v>1</v>
      </c>
      <c r="AG28" t="s">
        <v>399</v>
      </c>
      <c r="BD28">
        <v>1</v>
      </c>
      <c r="BS28">
        <v>0.5</v>
      </c>
      <c r="CB28" s="3" t="s">
        <v>449</v>
      </c>
      <c r="CC28" s="3"/>
      <c r="CD28" s="3"/>
      <c r="CE28" s="3"/>
      <c r="CF28" s="3"/>
      <c r="CG28" t="s">
        <v>376</v>
      </c>
      <c r="CH28" s="3"/>
      <c r="CI28" s="3"/>
      <c r="CJ28" s="3"/>
      <c r="CK28" s="3"/>
      <c r="CL28" s="3"/>
      <c r="DD28">
        <v>1</v>
      </c>
      <c r="DF28">
        <v>1</v>
      </c>
      <c r="DG28">
        <v>1</v>
      </c>
      <c r="DH28">
        <v>1</v>
      </c>
    </row>
    <row r="29" spans="1:112" x14ac:dyDescent="0.25">
      <c r="CL29" s="3"/>
    </row>
    <row r="30" spans="1:112" x14ac:dyDescent="0.25">
      <c r="BV30"/>
    </row>
    <row r="31" spans="1:112" x14ac:dyDescent="0.25">
      <c r="BV31"/>
      <c r="CL31" s="3"/>
    </row>
    <row r="32" spans="1:112" x14ac:dyDescent="0.25">
      <c r="CL32" s="3"/>
    </row>
    <row r="34" spans="74:90" x14ac:dyDescent="0.25">
      <c r="BV34"/>
    </row>
    <row r="35" spans="74:90" x14ac:dyDescent="0.25">
      <c r="BV35"/>
      <c r="CL35" s="3"/>
    </row>
    <row r="36" spans="74:90" x14ac:dyDescent="0.25">
      <c r="CL36" s="3"/>
    </row>
    <row r="38" spans="74:90" x14ac:dyDescent="0.25">
      <c r="BV38"/>
    </row>
    <row r="39" spans="74:90" x14ac:dyDescent="0.25">
      <c r="CL39" s="3"/>
    </row>
    <row r="42" spans="74:90" x14ac:dyDescent="0.25">
      <c r="CL42" s="3"/>
    </row>
    <row r="46" spans="74:90" x14ac:dyDescent="0.25">
      <c r="CL46" s="3"/>
    </row>
    <row r="48" spans="74:90" x14ac:dyDescent="0.25">
      <c r="BV48"/>
    </row>
    <row r="49" spans="74:90" x14ac:dyDescent="0.25">
      <c r="CL49" s="3"/>
    </row>
    <row r="56" spans="74:90" x14ac:dyDescent="0.25">
      <c r="BV56"/>
    </row>
    <row r="57" spans="74:90" x14ac:dyDescent="0.25">
      <c r="CL57" s="3"/>
    </row>
    <row r="58" spans="74:90" x14ac:dyDescent="0.25">
      <c r="CL58" s="3"/>
    </row>
    <row r="60" spans="74:90" x14ac:dyDescent="0.25">
      <c r="BV60"/>
    </row>
    <row r="61" spans="74:90" x14ac:dyDescent="0.25">
      <c r="BV61"/>
      <c r="CL61" s="3"/>
    </row>
    <row r="62" spans="74:90" x14ac:dyDescent="0.25">
      <c r="CL62" s="3"/>
    </row>
    <row r="68" spans="74:90" x14ac:dyDescent="0.25">
      <c r="BV68"/>
    </row>
    <row r="69" spans="74:90" x14ac:dyDescent="0.25">
      <c r="BV69"/>
      <c r="CL69" s="3"/>
    </row>
    <row r="70" spans="74:90" x14ac:dyDescent="0.25">
      <c r="BV70"/>
      <c r="CL70" s="3"/>
    </row>
    <row r="71" spans="74:90" x14ac:dyDescent="0.25">
      <c r="CL71" s="3"/>
    </row>
    <row r="76" spans="74:90" x14ac:dyDescent="0.25">
      <c r="BV76"/>
    </row>
    <row r="77" spans="74:90" x14ac:dyDescent="0.25">
      <c r="BV77"/>
    </row>
    <row r="81" spans="74:90" x14ac:dyDescent="0.25">
      <c r="BV81"/>
    </row>
    <row r="82" spans="74:90" x14ac:dyDescent="0.25">
      <c r="CL82" s="3"/>
    </row>
    <row r="83" spans="74:90" x14ac:dyDescent="0.25">
      <c r="BV83"/>
    </row>
    <row r="84" spans="74:90" x14ac:dyDescent="0.25">
      <c r="CL84" s="3"/>
    </row>
    <row r="94" spans="74:90" x14ac:dyDescent="0.25">
      <c r="BV94"/>
    </row>
    <row r="95" spans="74:90" x14ac:dyDescent="0.25">
      <c r="CL95" s="3"/>
    </row>
    <row r="97" spans="74:90" x14ac:dyDescent="0.25">
      <c r="BV97"/>
    </row>
    <row r="98" spans="74:90" x14ac:dyDescent="0.25">
      <c r="CL98" s="3"/>
    </row>
    <row r="106" spans="74:90" x14ac:dyDescent="0.25">
      <c r="BV106"/>
    </row>
    <row r="107" spans="74:90" x14ac:dyDescent="0.25">
      <c r="CL107" s="3"/>
    </row>
    <row r="111" spans="74:90" x14ac:dyDescent="0.25">
      <c r="BV111"/>
    </row>
    <row r="112" spans="74:90" x14ac:dyDescent="0.25">
      <c r="CL112" s="3"/>
    </row>
    <row r="114" spans="74:90" x14ac:dyDescent="0.25">
      <c r="BV114"/>
    </row>
    <row r="115" spans="74:90" x14ac:dyDescent="0.25">
      <c r="CL115" s="3"/>
    </row>
    <row r="131" spans="74:90" x14ac:dyDescent="0.25">
      <c r="BV131"/>
    </row>
    <row r="132" spans="74:90" x14ac:dyDescent="0.25">
      <c r="BV132"/>
      <c r="CL132" s="3"/>
    </row>
    <row r="133" spans="74:90" x14ac:dyDescent="0.25">
      <c r="BV133"/>
      <c r="CL133" s="3"/>
    </row>
    <row r="134" spans="74:90" x14ac:dyDescent="0.25">
      <c r="BV134"/>
      <c r="CL134" s="3"/>
    </row>
    <row r="135" spans="74:90" x14ac:dyDescent="0.25">
      <c r="BV135"/>
    </row>
    <row r="137" spans="74:90" x14ac:dyDescent="0.25">
      <c r="BV137"/>
    </row>
    <row r="138" spans="74:90" x14ac:dyDescent="0.25">
      <c r="BV138"/>
      <c r="CL138" s="3"/>
    </row>
    <row r="139" spans="74:90" x14ac:dyDescent="0.25">
      <c r="BV139"/>
      <c r="CL139" s="3"/>
    </row>
    <row r="140" spans="74:90" x14ac:dyDescent="0.25">
      <c r="CL140" s="3"/>
    </row>
    <row r="144" spans="74:90" x14ac:dyDescent="0.25">
      <c r="BV144"/>
    </row>
    <row r="145" spans="74:90" x14ac:dyDescent="0.25">
      <c r="CL145" s="3"/>
    </row>
    <row r="147" spans="74:90" x14ac:dyDescent="0.25">
      <c r="BV147"/>
    </row>
    <row r="148" spans="74:90" x14ac:dyDescent="0.25">
      <c r="BV148"/>
      <c r="CL148" s="3"/>
    </row>
    <row r="149" spans="74:90" x14ac:dyDescent="0.25">
      <c r="BV149"/>
      <c r="CL149" s="3"/>
    </row>
    <row r="150" spans="74:90" x14ac:dyDescent="0.25">
      <c r="CL150" s="3"/>
    </row>
    <row r="166" spans="74:90" x14ac:dyDescent="0.25">
      <c r="BV166"/>
    </row>
    <row r="167" spans="74:90" x14ac:dyDescent="0.25">
      <c r="CL167" s="3"/>
    </row>
    <row r="175" spans="74:90" x14ac:dyDescent="0.25">
      <c r="CL175" s="3"/>
    </row>
    <row r="176" spans="74:90" x14ac:dyDescent="0.25">
      <c r="CL176" s="3"/>
    </row>
    <row r="177" spans="74:90" x14ac:dyDescent="0.25">
      <c r="CL177" s="3"/>
    </row>
    <row r="178" spans="74:90" x14ac:dyDescent="0.25">
      <c r="CL178" s="3"/>
    </row>
    <row r="179" spans="74:90" x14ac:dyDescent="0.25">
      <c r="CL179" s="3"/>
    </row>
    <row r="181" spans="74:90" x14ac:dyDescent="0.25">
      <c r="BV181"/>
    </row>
    <row r="182" spans="74:90" x14ac:dyDescent="0.25">
      <c r="CL182" s="3"/>
    </row>
    <row r="183" spans="74:90" x14ac:dyDescent="0.25">
      <c r="BV183"/>
    </row>
    <row r="184" spans="74:90" x14ac:dyDescent="0.25">
      <c r="BV184"/>
      <c r="CL184" s="3"/>
    </row>
    <row r="185" spans="74:90" x14ac:dyDescent="0.25">
      <c r="CL185" s="3"/>
    </row>
    <row r="187" spans="74:90" x14ac:dyDescent="0.25">
      <c r="BV187"/>
    </row>
    <row r="188" spans="74:90" x14ac:dyDescent="0.25">
      <c r="BV188"/>
      <c r="CL188" s="3"/>
    </row>
    <row r="189" spans="74:90" x14ac:dyDescent="0.25">
      <c r="BV189"/>
      <c r="CL189" s="3"/>
    </row>
    <row r="190" spans="74:90" x14ac:dyDescent="0.25">
      <c r="CL190" s="3"/>
    </row>
    <row r="192" spans="74:90" x14ac:dyDescent="0.25">
      <c r="CL192" s="3"/>
    </row>
    <row r="194" spans="74:90" x14ac:dyDescent="0.25">
      <c r="CL194" s="3"/>
    </row>
    <row r="196" spans="74:90" x14ac:dyDescent="0.25">
      <c r="CL196" s="3"/>
    </row>
    <row r="199" spans="74:90" x14ac:dyDescent="0.25">
      <c r="CL199" s="3"/>
    </row>
    <row r="200" spans="74:90" x14ac:dyDescent="0.25">
      <c r="CL200" s="3"/>
    </row>
    <row r="201" spans="74:90" x14ac:dyDescent="0.25">
      <c r="CL201" s="3"/>
    </row>
    <row r="202" spans="74:90" x14ac:dyDescent="0.25">
      <c r="CL202" s="3"/>
    </row>
    <row r="203" spans="74:90" x14ac:dyDescent="0.25">
      <c r="CL203" s="3"/>
    </row>
    <row r="204" spans="74:90" x14ac:dyDescent="0.25">
      <c r="CL204" s="3"/>
    </row>
    <row r="205" spans="74:90" x14ac:dyDescent="0.25">
      <c r="BV205"/>
    </row>
    <row r="206" spans="74:90" x14ac:dyDescent="0.25">
      <c r="BV206"/>
      <c r="CL206" s="3"/>
    </row>
    <row r="207" spans="74:90" x14ac:dyDescent="0.25">
      <c r="BV207"/>
      <c r="CL207" s="3"/>
    </row>
    <row r="208" spans="74:90" x14ac:dyDescent="0.25">
      <c r="CL208" s="3"/>
    </row>
    <row r="209" spans="74:90" x14ac:dyDescent="0.25">
      <c r="CL209" s="3"/>
    </row>
    <row r="210" spans="74:90" x14ac:dyDescent="0.25">
      <c r="CL210" s="3"/>
    </row>
    <row r="211" spans="74:90" x14ac:dyDescent="0.25">
      <c r="CL211" s="3"/>
    </row>
    <row r="213" spans="74:90" x14ac:dyDescent="0.25">
      <c r="CL213" s="3"/>
    </row>
    <row r="214" spans="74:90" x14ac:dyDescent="0.25">
      <c r="CL214" s="3"/>
    </row>
    <row r="215" spans="74:90" x14ac:dyDescent="0.25">
      <c r="BV215"/>
    </row>
    <row r="216" spans="74:90" x14ac:dyDescent="0.25">
      <c r="BV216"/>
      <c r="CL216" s="3"/>
    </row>
    <row r="217" spans="74:90" x14ac:dyDescent="0.25">
      <c r="BV217"/>
      <c r="CL217" s="3"/>
    </row>
    <row r="218" spans="74:90" x14ac:dyDescent="0.25">
      <c r="CL218" s="3"/>
    </row>
    <row r="219" spans="74:90" x14ac:dyDescent="0.25">
      <c r="CL219" s="3"/>
    </row>
    <row r="221" spans="74:90" x14ac:dyDescent="0.25">
      <c r="CL221" s="3"/>
    </row>
    <row r="222" spans="74:90" x14ac:dyDescent="0.25">
      <c r="CL222" s="3"/>
    </row>
    <row r="223" spans="74:90" x14ac:dyDescent="0.25">
      <c r="BV223"/>
      <c r="CL223" s="3"/>
    </row>
    <row r="224" spans="74:90" x14ac:dyDescent="0.25">
      <c r="BV224"/>
      <c r="CL224" s="3"/>
    </row>
    <row r="225" spans="74:90" x14ac:dyDescent="0.25">
      <c r="CL225" s="3"/>
    </row>
    <row r="226" spans="74:90" x14ac:dyDescent="0.25">
      <c r="CL226" s="3"/>
    </row>
    <row r="227" spans="74:90" x14ac:dyDescent="0.25">
      <c r="CL227" s="3"/>
    </row>
    <row r="229" spans="74:90" x14ac:dyDescent="0.25">
      <c r="BV229"/>
      <c r="CL229" s="3"/>
    </row>
    <row r="230" spans="74:90" x14ac:dyDescent="0.25">
      <c r="CL230" s="3"/>
    </row>
    <row r="231" spans="74:90" x14ac:dyDescent="0.25">
      <c r="CL231" s="3"/>
    </row>
    <row r="233" spans="74:90" x14ac:dyDescent="0.25">
      <c r="BV233"/>
      <c r="CL233" s="3"/>
    </row>
    <row r="234" spans="74:90" x14ac:dyDescent="0.25">
      <c r="BV234"/>
      <c r="CL234" s="3"/>
    </row>
    <row r="235" spans="74:90" x14ac:dyDescent="0.25">
      <c r="CL235" s="3"/>
    </row>
    <row r="237" spans="74:90" x14ac:dyDescent="0.25">
      <c r="CL237" s="3"/>
    </row>
    <row r="239" spans="74:90" x14ac:dyDescent="0.25">
      <c r="CL239" s="3"/>
    </row>
    <row r="242" spans="74:90" x14ac:dyDescent="0.25">
      <c r="CL242" s="3"/>
    </row>
    <row r="243" spans="74:90" x14ac:dyDescent="0.25">
      <c r="CL243" s="3"/>
    </row>
    <row r="247" spans="74:90" x14ac:dyDescent="0.25">
      <c r="BV247"/>
    </row>
    <row r="248" spans="74:90" x14ac:dyDescent="0.25">
      <c r="BV248"/>
      <c r="CL248" s="3"/>
    </row>
    <row r="249" spans="74:90" x14ac:dyDescent="0.25">
      <c r="BV249"/>
      <c r="CL249" s="3"/>
    </row>
    <row r="250" spans="74:90" x14ac:dyDescent="0.25">
      <c r="CL250" s="3"/>
    </row>
    <row r="251" spans="74:90" x14ac:dyDescent="0.25">
      <c r="CL251" s="3"/>
    </row>
    <row r="252" spans="74:90" x14ac:dyDescent="0.25">
      <c r="BV252"/>
    </row>
    <row r="253" spans="74:90" x14ac:dyDescent="0.25">
      <c r="CL253" s="3"/>
    </row>
    <row r="255" spans="74:90" x14ac:dyDescent="0.25">
      <c r="CL255" s="3"/>
    </row>
    <row r="256" spans="74:90" x14ac:dyDescent="0.25">
      <c r="CL256" s="3"/>
    </row>
    <row r="258" spans="74:90" x14ac:dyDescent="0.25">
      <c r="CL258" s="3"/>
    </row>
    <row r="259" spans="74:90" x14ac:dyDescent="0.25">
      <c r="CL259" s="3"/>
    </row>
    <row r="260" spans="74:90" x14ac:dyDescent="0.25">
      <c r="CL260" s="3"/>
    </row>
    <row r="261" spans="74:90" x14ac:dyDescent="0.25">
      <c r="CL261" s="3"/>
    </row>
    <row r="262" spans="74:90" x14ac:dyDescent="0.25">
      <c r="CL262" s="3"/>
    </row>
    <row r="263" spans="74:90" x14ac:dyDescent="0.25">
      <c r="CL263" s="3"/>
    </row>
    <row r="264" spans="74:90" x14ac:dyDescent="0.25">
      <c r="CL264" s="3"/>
    </row>
    <row r="266" spans="74:90" x14ac:dyDescent="0.25">
      <c r="BV266"/>
    </row>
    <row r="267" spans="74:90" x14ac:dyDescent="0.25">
      <c r="CL267" s="3"/>
    </row>
    <row r="268" spans="74:90" x14ac:dyDescent="0.25">
      <c r="CL268" s="3"/>
    </row>
    <row r="301" spans="8:90" x14ac:dyDescent="0.25">
      <c r="BU301" s="7"/>
      <c r="BV301" s="8"/>
    </row>
    <row r="302" spans="8:90" x14ac:dyDescent="0.25">
      <c r="H302" s="7"/>
      <c r="CL302" s="7"/>
    </row>
    <row r="308" spans="74:90" x14ac:dyDescent="0.25">
      <c r="BV308"/>
    </row>
    <row r="309" spans="74:90" x14ac:dyDescent="0.25">
      <c r="BV309"/>
      <c r="CL309" s="3"/>
    </row>
    <row r="310" spans="74:90" x14ac:dyDescent="0.25">
      <c r="BV310"/>
      <c r="CL310" s="3"/>
    </row>
    <row r="311" spans="74:90" x14ac:dyDescent="0.25">
      <c r="CL311" s="3"/>
    </row>
    <row r="328" spans="74:90" x14ac:dyDescent="0.25">
      <c r="BV328"/>
    </row>
    <row r="329" spans="74:90" x14ac:dyDescent="0.25">
      <c r="CL329" s="3"/>
    </row>
    <row r="361" spans="74:90" x14ac:dyDescent="0.25">
      <c r="BV361"/>
    </row>
    <row r="362" spans="74:90" x14ac:dyDescent="0.25">
      <c r="BV362"/>
      <c r="CL362" s="3"/>
    </row>
    <row r="363" spans="74:90" x14ac:dyDescent="0.25">
      <c r="CL363" s="3"/>
    </row>
    <row r="379" spans="74:90" x14ac:dyDescent="0.25">
      <c r="BV379"/>
    </row>
    <row r="380" spans="74:90" x14ac:dyDescent="0.25">
      <c r="CL380" s="3"/>
    </row>
    <row r="386" spans="74:90" x14ac:dyDescent="0.25">
      <c r="BV386"/>
    </row>
    <row r="387" spans="74:90" x14ac:dyDescent="0.25">
      <c r="BV387"/>
      <c r="CL387" s="3"/>
    </row>
    <row r="388" spans="74:90" x14ac:dyDescent="0.25">
      <c r="CL388" s="3"/>
    </row>
    <row r="393" spans="74:90" x14ac:dyDescent="0.25">
      <c r="BV393"/>
    </row>
    <row r="394" spans="74:90" x14ac:dyDescent="0.25">
      <c r="BV394"/>
      <c r="CL394" s="3"/>
    </row>
    <row r="395" spans="74:90" x14ac:dyDescent="0.25">
      <c r="BV395"/>
      <c r="CL395" s="3"/>
    </row>
    <row r="396" spans="74:90" x14ac:dyDescent="0.25">
      <c r="BV396"/>
      <c r="CL396" s="3"/>
    </row>
    <row r="397" spans="74:90" x14ac:dyDescent="0.25">
      <c r="BV397"/>
      <c r="CL397" s="3"/>
    </row>
    <row r="398" spans="74:90" x14ac:dyDescent="0.25">
      <c r="BV398"/>
      <c r="CL398" s="3"/>
    </row>
    <row r="399" spans="74:90" x14ac:dyDescent="0.25">
      <c r="BV399"/>
      <c r="CL399" s="3"/>
    </row>
    <row r="400" spans="74:90" x14ac:dyDescent="0.25">
      <c r="BV400"/>
      <c r="CL400" s="3"/>
    </row>
    <row r="401" spans="74:90" x14ac:dyDescent="0.25">
      <c r="BV401"/>
      <c r="CL401" s="3"/>
    </row>
    <row r="402" spans="74:90" x14ac:dyDescent="0.25">
      <c r="BV402"/>
      <c r="CL402" s="3"/>
    </row>
    <row r="403" spans="74:90" x14ac:dyDescent="0.25">
      <c r="BV403"/>
      <c r="CL403" s="3"/>
    </row>
    <row r="404" spans="74:90" x14ac:dyDescent="0.25">
      <c r="BV404"/>
      <c r="CL404" s="3"/>
    </row>
    <row r="405" spans="74:90" x14ac:dyDescent="0.25">
      <c r="BV405"/>
      <c r="CL405" s="3"/>
    </row>
    <row r="406" spans="74:90" x14ac:dyDescent="0.25">
      <c r="BV406"/>
      <c r="CL406" s="3"/>
    </row>
    <row r="407" spans="74:90" x14ac:dyDescent="0.25">
      <c r="BV407"/>
      <c r="CL407" s="3"/>
    </row>
    <row r="408" spans="74:90" x14ac:dyDescent="0.25">
      <c r="BV408"/>
      <c r="CL408" s="3"/>
    </row>
    <row r="409" spans="74:90" x14ac:dyDescent="0.25">
      <c r="CL409" s="3"/>
    </row>
    <row r="413" spans="74:90" x14ac:dyDescent="0.25">
      <c r="BV413"/>
    </row>
    <row r="414" spans="74:90" x14ac:dyDescent="0.25">
      <c r="BV414"/>
      <c r="CL414" s="3"/>
    </row>
    <row r="415" spans="74:90" x14ac:dyDescent="0.25">
      <c r="CL415" s="3"/>
    </row>
    <row r="416" spans="74:90" x14ac:dyDescent="0.25">
      <c r="BV416"/>
    </row>
    <row r="417" spans="74:90" x14ac:dyDescent="0.25">
      <c r="CL417" s="3"/>
    </row>
    <row r="420" spans="74:90" x14ac:dyDescent="0.25">
      <c r="BV420"/>
    </row>
    <row r="421" spans="74:90" x14ac:dyDescent="0.25">
      <c r="BV421"/>
      <c r="CL421" s="3"/>
    </row>
    <row r="422" spans="74:90" x14ac:dyDescent="0.25">
      <c r="CL422" s="3"/>
    </row>
    <row r="453" spans="74:90" x14ac:dyDescent="0.25">
      <c r="BV453"/>
    </row>
    <row r="454" spans="74:90" x14ac:dyDescent="0.25">
      <c r="BV454"/>
      <c r="CL454" s="3"/>
    </row>
    <row r="455" spans="74:90" x14ac:dyDescent="0.25">
      <c r="BV455"/>
      <c r="CL455" s="3"/>
    </row>
    <row r="456" spans="74:90" x14ac:dyDescent="0.25">
      <c r="BV456"/>
      <c r="CL456" s="3"/>
    </row>
    <row r="457" spans="74:90" x14ac:dyDescent="0.25">
      <c r="BV457"/>
      <c r="CL457" s="3"/>
    </row>
    <row r="458" spans="74:90" x14ac:dyDescent="0.25">
      <c r="BV458"/>
      <c r="CL458" s="3"/>
    </row>
    <row r="459" spans="74:90" x14ac:dyDescent="0.25">
      <c r="BV459"/>
      <c r="CL459" s="3"/>
    </row>
    <row r="460" spans="74:90" x14ac:dyDescent="0.25">
      <c r="BV460"/>
      <c r="CL460" s="3"/>
    </row>
    <row r="461" spans="74:90" x14ac:dyDescent="0.25">
      <c r="CL461" s="3"/>
    </row>
    <row r="463" spans="74:90" x14ac:dyDescent="0.25">
      <c r="BV463"/>
    </row>
    <row r="464" spans="74:90" x14ac:dyDescent="0.25">
      <c r="CL464" s="3"/>
    </row>
    <row r="468" spans="74:90" x14ac:dyDescent="0.25">
      <c r="BV468"/>
    </row>
    <row r="469" spans="74:90" x14ac:dyDescent="0.25">
      <c r="CL469" s="3"/>
    </row>
    <row r="472" spans="74:90" x14ac:dyDescent="0.25">
      <c r="BV472"/>
    </row>
    <row r="473" spans="74:90" x14ac:dyDescent="0.25">
      <c r="BV473"/>
      <c r="CL473" s="3"/>
    </row>
    <row r="474" spans="74:90" x14ac:dyDescent="0.25">
      <c r="BV474"/>
      <c r="CL474" s="3"/>
    </row>
    <row r="475" spans="74:90" x14ac:dyDescent="0.25">
      <c r="BV475"/>
      <c r="CL475" s="3"/>
    </row>
    <row r="476" spans="74:90" x14ac:dyDescent="0.25">
      <c r="CL476" s="3"/>
    </row>
    <row r="483" spans="74:90" x14ac:dyDescent="0.25">
      <c r="BV483"/>
    </row>
    <row r="484" spans="74:90" x14ac:dyDescent="0.25">
      <c r="CL484" s="3"/>
    </row>
    <row r="487" spans="74:90" x14ac:dyDescent="0.25">
      <c r="BV487"/>
    </row>
    <row r="488" spans="74:90" x14ac:dyDescent="0.25">
      <c r="BV488"/>
      <c r="CL488" s="3"/>
    </row>
    <row r="489" spans="74:90" x14ac:dyDescent="0.25">
      <c r="BV489"/>
      <c r="CL489" s="3"/>
    </row>
    <row r="490" spans="74:90" x14ac:dyDescent="0.25">
      <c r="BV490"/>
      <c r="CL490" s="3"/>
    </row>
    <row r="491" spans="74:90" x14ac:dyDescent="0.25">
      <c r="CL491" s="3"/>
    </row>
    <row r="493" spans="74:90" x14ac:dyDescent="0.25">
      <c r="BV493"/>
    </row>
    <row r="494" spans="74:90" x14ac:dyDescent="0.25">
      <c r="BV494"/>
      <c r="CL494" s="3"/>
    </row>
    <row r="495" spans="74:90" x14ac:dyDescent="0.25">
      <c r="CL495" s="3"/>
    </row>
    <row r="496" spans="74:90" x14ac:dyDescent="0.25">
      <c r="CL496">
        <v>0.15</v>
      </c>
    </row>
    <row r="498" spans="90:90" x14ac:dyDescent="0.25">
      <c r="CL498">
        <v>0.2</v>
      </c>
    </row>
    <row r="499" spans="90:90" x14ac:dyDescent="0.25">
      <c r="CL499">
        <v>0.1</v>
      </c>
    </row>
    <row r="501" spans="90:90" x14ac:dyDescent="0.25">
      <c r="CL501">
        <v>0.2</v>
      </c>
    </row>
    <row r="508" spans="90:90" x14ac:dyDescent="0.25">
      <c r="CL508">
        <v>1</v>
      </c>
    </row>
    <row r="510" spans="90:90" x14ac:dyDescent="0.25">
      <c r="CL510">
        <v>0.4</v>
      </c>
    </row>
    <row r="511" spans="90:90" x14ac:dyDescent="0.25">
      <c r="CL511">
        <v>0.6</v>
      </c>
    </row>
    <row r="514" spans="74:90" x14ac:dyDescent="0.25">
      <c r="CL514">
        <v>0.5</v>
      </c>
    </row>
    <row r="515" spans="74:90" x14ac:dyDescent="0.25">
      <c r="CL515">
        <v>0.66700000000000004</v>
      </c>
    </row>
    <row r="516" spans="74:90" x14ac:dyDescent="0.25">
      <c r="CL516">
        <v>0.2</v>
      </c>
    </row>
    <row r="519" spans="74:90" x14ac:dyDescent="0.25">
      <c r="BV519"/>
    </row>
    <row r="520" spans="74:90" x14ac:dyDescent="0.25">
      <c r="BV520"/>
      <c r="CL520" s="3"/>
    </row>
    <row r="521" spans="74:90" x14ac:dyDescent="0.25">
      <c r="BV521"/>
      <c r="CL521" s="3"/>
    </row>
    <row r="522" spans="74:90" x14ac:dyDescent="0.25">
      <c r="BV522"/>
      <c r="CL522" s="3"/>
    </row>
    <row r="523" spans="74:90" x14ac:dyDescent="0.25">
      <c r="BV523"/>
      <c r="CL523" s="3"/>
    </row>
    <row r="524" spans="74:90" x14ac:dyDescent="0.25">
      <c r="BV524"/>
      <c r="CL524" s="3"/>
    </row>
    <row r="525" spans="74:90" x14ac:dyDescent="0.25">
      <c r="BV525"/>
      <c r="CL525" s="3"/>
    </row>
    <row r="526" spans="74:90" x14ac:dyDescent="0.25">
      <c r="BV526"/>
      <c r="CL526" s="3"/>
    </row>
    <row r="527" spans="74:90" x14ac:dyDescent="0.25">
      <c r="BV527"/>
      <c r="CL527" s="3"/>
    </row>
    <row r="528" spans="74:90" x14ac:dyDescent="0.25">
      <c r="CL528" s="3"/>
    </row>
    <row r="529" spans="74:90" x14ac:dyDescent="0.25">
      <c r="BV529"/>
    </row>
    <row r="530" spans="74:90" x14ac:dyDescent="0.25">
      <c r="CL530" s="3"/>
    </row>
    <row r="539" spans="74:90" x14ac:dyDescent="0.25">
      <c r="BV539"/>
    </row>
    <row r="540" spans="74:90" x14ac:dyDescent="0.25">
      <c r="BV540"/>
      <c r="CL540" s="3"/>
    </row>
    <row r="541" spans="74:90" x14ac:dyDescent="0.25">
      <c r="BV541"/>
      <c r="CL541" s="3"/>
    </row>
    <row r="542" spans="74:90" x14ac:dyDescent="0.25">
      <c r="BV542"/>
      <c r="CL542" s="3"/>
    </row>
    <row r="543" spans="74:90" x14ac:dyDescent="0.25">
      <c r="BV543"/>
      <c r="CL543" s="3"/>
    </row>
    <row r="544" spans="74:90" x14ac:dyDescent="0.25">
      <c r="BV544"/>
      <c r="CL544" s="3"/>
    </row>
    <row r="545" spans="74:90" x14ac:dyDescent="0.25">
      <c r="BV545"/>
      <c r="CL545" s="3"/>
    </row>
    <row r="546" spans="74:90" x14ac:dyDescent="0.25">
      <c r="BV546"/>
      <c r="CL546" s="3"/>
    </row>
    <row r="547" spans="74:90" x14ac:dyDescent="0.25">
      <c r="CL547" s="3"/>
    </row>
    <row r="548" spans="74:90" x14ac:dyDescent="0.25">
      <c r="BV548"/>
    </row>
    <row r="549" spans="74:90" x14ac:dyDescent="0.25">
      <c r="CL549" s="3"/>
    </row>
    <row r="554" spans="74:90" x14ac:dyDescent="0.25">
      <c r="BV554"/>
    </row>
    <row r="555" spans="74:90" x14ac:dyDescent="0.25">
      <c r="BV555"/>
      <c r="CL555" s="3"/>
    </row>
    <row r="556" spans="74:90" x14ac:dyDescent="0.25">
      <c r="CL556" s="3"/>
    </row>
    <row r="557" spans="74:90" x14ac:dyDescent="0.25">
      <c r="BV557"/>
    </row>
    <row r="558" spans="74:90" x14ac:dyDescent="0.25">
      <c r="BV558"/>
      <c r="CL558" s="3"/>
    </row>
    <row r="559" spans="74:90" x14ac:dyDescent="0.25">
      <c r="CL559" s="3"/>
    </row>
    <row r="560" spans="74:90" x14ac:dyDescent="0.25">
      <c r="BV560"/>
    </row>
    <row r="561" spans="8:90" x14ac:dyDescent="0.25">
      <c r="BV561"/>
      <c r="CL561" s="3"/>
    </row>
    <row r="562" spans="8:90" x14ac:dyDescent="0.25">
      <c r="BV562"/>
      <c r="CL562" s="3"/>
    </row>
    <row r="563" spans="8:90" x14ac:dyDescent="0.25">
      <c r="BV563"/>
      <c r="CL563" s="3"/>
    </row>
    <row r="564" spans="8:90" x14ac:dyDescent="0.25">
      <c r="CL564" s="3"/>
    </row>
    <row r="568" spans="8:90" x14ac:dyDescent="0.25">
      <c r="BV568"/>
    </row>
    <row r="569" spans="8:90" x14ac:dyDescent="0.25">
      <c r="BV569"/>
      <c r="CL569" s="3"/>
    </row>
    <row r="570" spans="8:90" x14ac:dyDescent="0.25">
      <c r="BV570"/>
      <c r="CL570" s="3"/>
    </row>
    <row r="571" spans="8:90" x14ac:dyDescent="0.25">
      <c r="CL571" s="3"/>
    </row>
    <row r="572" spans="8:90" x14ac:dyDescent="0.25">
      <c r="BV572"/>
    </row>
    <row r="573" spans="8:90" x14ac:dyDescent="0.25">
      <c r="CL573" s="3"/>
    </row>
    <row r="574" spans="8:90" x14ac:dyDescent="0.25">
      <c r="BU574" s="7"/>
      <c r="BV574" s="8"/>
    </row>
    <row r="575" spans="8:90" x14ac:dyDescent="0.25">
      <c r="H575" s="7"/>
      <c r="CL575" s="7"/>
    </row>
    <row r="592" spans="74:74" x14ac:dyDescent="0.25">
      <c r="BV592"/>
    </row>
    <row r="593" spans="8:90" x14ac:dyDescent="0.25">
      <c r="BV593"/>
      <c r="CL593" s="3"/>
    </row>
    <row r="594" spans="8:90" x14ac:dyDescent="0.25">
      <c r="BV594"/>
      <c r="CL594" s="3"/>
    </row>
    <row r="595" spans="8:90" x14ac:dyDescent="0.25">
      <c r="BV595"/>
      <c r="CL595" s="3"/>
    </row>
    <row r="596" spans="8:90" x14ac:dyDescent="0.25">
      <c r="CL596" s="3"/>
    </row>
    <row r="597" spans="8:90" x14ac:dyDescent="0.25">
      <c r="BV597"/>
    </row>
    <row r="598" spans="8:90" x14ac:dyDescent="0.25">
      <c r="BV598"/>
      <c r="CL598" s="3"/>
    </row>
    <row r="599" spans="8:90" x14ac:dyDescent="0.25">
      <c r="BU599" s="7"/>
      <c r="BV599" s="8"/>
      <c r="CL599" s="3"/>
    </row>
    <row r="600" spans="8:90" x14ac:dyDescent="0.25">
      <c r="H600" s="7"/>
      <c r="CL600" s="7"/>
    </row>
    <row r="603" spans="8:90" x14ac:dyDescent="0.25">
      <c r="BV603"/>
    </row>
    <row r="604" spans="8:90" x14ac:dyDescent="0.25">
      <c r="BV604"/>
      <c r="CL604" s="3"/>
    </row>
    <row r="605" spans="8:90" x14ac:dyDescent="0.25">
      <c r="BV605"/>
      <c r="CL605" s="3"/>
    </row>
    <row r="606" spans="8:90" x14ac:dyDescent="0.25">
      <c r="BV606"/>
      <c r="CL606" s="3"/>
    </row>
    <row r="607" spans="8:90" x14ac:dyDescent="0.25">
      <c r="BV607"/>
      <c r="CL607" s="3"/>
    </row>
    <row r="608" spans="8:90" x14ac:dyDescent="0.25">
      <c r="BV608"/>
      <c r="CL608" s="3"/>
    </row>
    <row r="609" spans="74:90" x14ac:dyDescent="0.25">
      <c r="BV609"/>
      <c r="CL609" s="3"/>
    </row>
    <row r="610" spans="74:90" x14ac:dyDescent="0.25">
      <c r="BV610"/>
      <c r="CL610" s="3"/>
    </row>
    <row r="611" spans="74:90" x14ac:dyDescent="0.25">
      <c r="CL611" s="3"/>
    </row>
    <row r="613" spans="74:90" x14ac:dyDescent="0.25">
      <c r="BV613"/>
    </row>
    <row r="614" spans="74:90" x14ac:dyDescent="0.25">
      <c r="BV614"/>
      <c r="CL614" s="3"/>
    </row>
    <row r="615" spans="74:90" x14ac:dyDescent="0.25">
      <c r="BV615"/>
      <c r="CL615" s="3"/>
    </row>
    <row r="616" spans="74:90" x14ac:dyDescent="0.25">
      <c r="BV616"/>
      <c r="CL616" s="3"/>
    </row>
    <row r="617" spans="74:90" x14ac:dyDescent="0.25">
      <c r="BV617"/>
      <c r="CL617" s="3"/>
    </row>
    <row r="618" spans="74:90" x14ac:dyDescent="0.25">
      <c r="BV618"/>
      <c r="CL618" s="3"/>
    </row>
    <row r="619" spans="74:90" x14ac:dyDescent="0.25">
      <c r="CL619" s="3"/>
    </row>
    <row r="620" spans="74:90" x14ac:dyDescent="0.25">
      <c r="BV620"/>
    </row>
    <row r="621" spans="74:90" x14ac:dyDescent="0.25">
      <c r="BV621"/>
      <c r="CL621" s="3"/>
    </row>
    <row r="622" spans="74:90" x14ac:dyDescent="0.25">
      <c r="BV622"/>
      <c r="CL622" s="3"/>
    </row>
    <row r="623" spans="74:90" x14ac:dyDescent="0.25">
      <c r="BV623"/>
      <c r="CL623" s="3"/>
    </row>
    <row r="624" spans="74:90" x14ac:dyDescent="0.25">
      <c r="BV624"/>
      <c r="CL624" s="3"/>
    </row>
    <row r="625" spans="74:90" x14ac:dyDescent="0.25">
      <c r="BV625"/>
      <c r="CL625" s="3"/>
    </row>
    <row r="626" spans="74:90" x14ac:dyDescent="0.25">
      <c r="BV626"/>
      <c r="CL626" s="3"/>
    </row>
    <row r="627" spans="74:90" x14ac:dyDescent="0.25">
      <c r="BV627"/>
      <c r="CL627" s="3"/>
    </row>
    <row r="628" spans="74:90" x14ac:dyDescent="0.25">
      <c r="BV628"/>
      <c r="CL628" s="3"/>
    </row>
    <row r="629" spans="74:90" x14ac:dyDescent="0.25">
      <c r="BV629"/>
      <c r="CL629" s="3"/>
    </row>
    <row r="630" spans="74:90" x14ac:dyDescent="0.25">
      <c r="BV630"/>
      <c r="CL630" s="3"/>
    </row>
    <row r="631" spans="74:90" x14ac:dyDescent="0.25">
      <c r="BV631"/>
      <c r="CL631" s="3"/>
    </row>
    <row r="632" spans="74:90" x14ac:dyDescent="0.25">
      <c r="BV632"/>
      <c r="CL632" s="3"/>
    </row>
    <row r="633" spans="74:90" x14ac:dyDescent="0.25">
      <c r="BV633"/>
      <c r="CL633" s="3"/>
    </row>
    <row r="634" spans="74:90" x14ac:dyDescent="0.25">
      <c r="BV634"/>
      <c r="CL634" s="3"/>
    </row>
    <row r="635" spans="74:90" x14ac:dyDescent="0.25">
      <c r="BV635"/>
      <c r="CL635" s="3"/>
    </row>
    <row r="636" spans="74:90" x14ac:dyDescent="0.25">
      <c r="BV636"/>
      <c r="CL636" s="3"/>
    </row>
    <row r="637" spans="74:90" x14ac:dyDescent="0.25">
      <c r="BV637"/>
      <c r="CL637" s="3"/>
    </row>
    <row r="638" spans="74:90" x14ac:dyDescent="0.25">
      <c r="BV638"/>
      <c r="CL638" s="3"/>
    </row>
    <row r="639" spans="74:90" x14ac:dyDescent="0.25">
      <c r="BV639"/>
      <c r="CL639" s="3"/>
    </row>
    <row r="640" spans="74:90" x14ac:dyDescent="0.25">
      <c r="BV640"/>
      <c r="CL640" s="3"/>
    </row>
    <row r="641" spans="74:90" x14ac:dyDescent="0.25">
      <c r="BV641"/>
      <c r="CL641" s="3"/>
    </row>
    <row r="642" spans="74:90" x14ac:dyDescent="0.25">
      <c r="BV642"/>
      <c r="CL642" s="3"/>
    </row>
    <row r="643" spans="74:90" x14ac:dyDescent="0.25">
      <c r="BV643"/>
      <c r="CL643" s="3"/>
    </row>
    <row r="644" spans="74:90" x14ac:dyDescent="0.25">
      <c r="BV644"/>
      <c r="CL644" s="3"/>
    </row>
    <row r="645" spans="74:90" x14ac:dyDescent="0.25">
      <c r="BV645"/>
      <c r="CL645" s="3"/>
    </row>
    <row r="646" spans="74:90" x14ac:dyDescent="0.25">
      <c r="BV646"/>
      <c r="CL646" s="3"/>
    </row>
    <row r="647" spans="74:90" x14ac:dyDescent="0.25">
      <c r="BV647"/>
      <c r="CL647" s="3"/>
    </row>
    <row r="648" spans="74:90" x14ac:dyDescent="0.25">
      <c r="BV648"/>
      <c r="CL648" s="3"/>
    </row>
    <row r="649" spans="74:90" x14ac:dyDescent="0.25">
      <c r="BV649"/>
      <c r="CL649" s="3"/>
    </row>
    <row r="650" spans="74:90" x14ac:dyDescent="0.25">
      <c r="CL650" s="3"/>
    </row>
    <row r="651" spans="74:90" x14ac:dyDescent="0.25">
      <c r="BV651"/>
    </row>
    <row r="652" spans="74:90" x14ac:dyDescent="0.25">
      <c r="BV652"/>
      <c r="CL652" s="3"/>
    </row>
    <row r="653" spans="74:90" x14ac:dyDescent="0.25">
      <c r="BV653"/>
      <c r="CL653" s="3"/>
    </row>
    <row r="654" spans="74:90" x14ac:dyDescent="0.25">
      <c r="CL654" s="3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7"/>
  <sheetViews>
    <sheetView workbookViewId="0">
      <pane xSplit="1" ySplit="3" topLeftCell="G4" activePane="bottomRight" state="frozen"/>
      <selection pane="topRight"/>
      <selection pane="bottomLeft"/>
      <selection pane="bottomRight" activeCell="M17" sqref="M17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450</v>
      </c>
      <c r="F1" t="s">
        <v>451</v>
      </c>
      <c r="G1" t="s">
        <v>452</v>
      </c>
      <c r="H1" t="s">
        <v>453</v>
      </c>
      <c r="I1" t="s">
        <v>454</v>
      </c>
      <c r="J1" t="s">
        <v>455</v>
      </c>
      <c r="L1" t="s">
        <v>456</v>
      </c>
      <c r="M1" t="s">
        <v>457</v>
      </c>
      <c r="N1" t="s">
        <v>458</v>
      </c>
      <c r="O1" t="s">
        <v>459</v>
      </c>
      <c r="P1" t="s">
        <v>460</v>
      </c>
    </row>
    <row r="2" spans="1:17" x14ac:dyDescent="0.25">
      <c r="A2" t="s">
        <v>0</v>
      </c>
      <c r="C2" t="s">
        <v>48</v>
      </c>
      <c r="D2" t="s">
        <v>77</v>
      </c>
      <c r="E2" t="s">
        <v>461</v>
      </c>
      <c r="F2" t="s">
        <v>462</v>
      </c>
      <c r="G2" t="s">
        <v>463</v>
      </c>
      <c r="H2" t="s">
        <v>464</v>
      </c>
      <c r="I2" t="s">
        <v>465</v>
      </c>
      <c r="J2" t="s">
        <v>466</v>
      </c>
      <c r="K2" t="s">
        <v>467</v>
      </c>
      <c r="L2" t="s">
        <v>53</v>
      </c>
      <c r="M2" t="s">
        <v>468</v>
      </c>
      <c r="N2" t="s">
        <v>469</v>
      </c>
      <c r="O2" t="s">
        <v>470</v>
      </c>
      <c r="P2" t="s">
        <v>471</v>
      </c>
      <c r="Q2" t="s">
        <v>336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366</v>
      </c>
      <c r="K3" t="s">
        <v>117</v>
      </c>
      <c r="L3" t="s">
        <v>330</v>
      </c>
      <c r="M3" t="s">
        <v>116</v>
      </c>
      <c r="N3" t="s">
        <v>116</v>
      </c>
      <c r="O3" t="s">
        <v>330</v>
      </c>
      <c r="P3" t="s">
        <v>116</v>
      </c>
      <c r="Q3" t="s">
        <v>125</v>
      </c>
    </row>
    <row r="4" spans="1:17" x14ac:dyDescent="0.25">
      <c r="A4" t="s">
        <v>374</v>
      </c>
      <c r="C4" t="s">
        <v>472</v>
      </c>
      <c r="H4">
        <v>1</v>
      </c>
    </row>
    <row r="5" spans="1:17" x14ac:dyDescent="0.25">
      <c r="A5" t="s">
        <v>473</v>
      </c>
      <c r="C5" t="s">
        <v>474</v>
      </c>
      <c r="J5" t="s">
        <v>475</v>
      </c>
      <c r="Q5" t="s">
        <v>476</v>
      </c>
    </row>
    <row r="8" spans="1:17" x14ac:dyDescent="0.25">
      <c r="A8" t="s">
        <v>405</v>
      </c>
      <c r="C8" t="s">
        <v>474</v>
      </c>
      <c r="H8">
        <v>1</v>
      </c>
      <c r="J8" t="s">
        <v>477</v>
      </c>
      <c r="Q8" t="s">
        <v>478</v>
      </c>
    </row>
    <row r="9" spans="1:17" x14ac:dyDescent="0.25">
      <c r="A9" t="s">
        <v>479</v>
      </c>
      <c r="C9" t="s">
        <v>218</v>
      </c>
      <c r="H9">
        <v>1</v>
      </c>
      <c r="Q9" t="s">
        <v>480</v>
      </c>
    </row>
    <row r="10" spans="1:17" x14ac:dyDescent="0.25">
      <c r="A10" t="s">
        <v>481</v>
      </c>
      <c r="C10" t="s">
        <v>474</v>
      </c>
      <c r="H10">
        <v>1</v>
      </c>
      <c r="J10" t="s">
        <v>482</v>
      </c>
      <c r="Q10" t="s">
        <v>476</v>
      </c>
    </row>
    <row r="11" spans="1:17" x14ac:dyDescent="0.25">
      <c r="A11" t="s">
        <v>420</v>
      </c>
      <c r="C11" t="s">
        <v>218</v>
      </c>
      <c r="H11">
        <v>1</v>
      </c>
      <c r="J11" t="s">
        <v>483</v>
      </c>
      <c r="Q11" t="s">
        <v>484</v>
      </c>
    </row>
    <row r="12" spans="1:17" x14ac:dyDescent="0.25">
      <c r="A12" t="s">
        <v>426</v>
      </c>
      <c r="C12" t="s">
        <v>472</v>
      </c>
      <c r="H12">
        <v>1</v>
      </c>
    </row>
    <row r="13" spans="1:17" x14ac:dyDescent="0.25">
      <c r="A13" t="s">
        <v>485</v>
      </c>
      <c r="C13" t="s">
        <v>486</v>
      </c>
      <c r="K13">
        <v>0.3</v>
      </c>
      <c r="Q13" t="s">
        <v>487</v>
      </c>
    </row>
    <row r="14" spans="1:17" x14ac:dyDescent="0.25">
      <c r="A14" t="s">
        <v>424</v>
      </c>
      <c r="C14" t="s">
        <v>486</v>
      </c>
      <c r="H14">
        <v>1</v>
      </c>
      <c r="Q14" t="s">
        <v>488</v>
      </c>
    </row>
    <row r="15" spans="1:17" x14ac:dyDescent="0.25">
      <c r="A15" t="s">
        <v>428</v>
      </c>
      <c r="C15" t="s">
        <v>472</v>
      </c>
      <c r="H15">
        <v>1</v>
      </c>
    </row>
    <row r="16" spans="1:17" x14ac:dyDescent="0.25">
      <c r="A16" t="s">
        <v>489</v>
      </c>
      <c r="C16" t="s">
        <v>474</v>
      </c>
      <c r="H16">
        <v>1</v>
      </c>
      <c r="J16" t="s">
        <v>490</v>
      </c>
      <c r="Q16" t="s">
        <v>478</v>
      </c>
    </row>
    <row r="17" spans="1:17" x14ac:dyDescent="0.25">
      <c r="A17" t="s">
        <v>442</v>
      </c>
      <c r="C17" t="s">
        <v>218</v>
      </c>
      <c r="H17">
        <v>1</v>
      </c>
      <c r="Q17" t="s">
        <v>491</v>
      </c>
    </row>
    <row r="19" spans="1:17" x14ac:dyDescent="0.25">
      <c r="Q19" t="s">
        <v>492</v>
      </c>
    </row>
    <row r="276" spans="16:16" x14ac:dyDescent="0.25">
      <c r="P276">
        <v>1</v>
      </c>
    </row>
    <row r="277" spans="16:16" x14ac:dyDescent="0.25">
      <c r="P277">
        <v>1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D14" sqref="D1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493</v>
      </c>
    </row>
    <row r="2" spans="1:4" x14ac:dyDescent="0.25">
      <c r="A2" t="s">
        <v>0</v>
      </c>
      <c r="B2" t="s">
        <v>48</v>
      </c>
      <c r="C2" t="s">
        <v>494</v>
      </c>
      <c r="D2" t="s">
        <v>336</v>
      </c>
    </row>
    <row r="3" spans="1:4" x14ac:dyDescent="0.25">
      <c r="A3" t="s">
        <v>2</v>
      </c>
      <c r="B3" t="s">
        <v>2</v>
      </c>
      <c r="C3" t="s">
        <v>330</v>
      </c>
      <c r="D3" t="s">
        <v>125</v>
      </c>
    </row>
    <row r="4" spans="1:4" x14ac:dyDescent="0.25">
      <c r="A4" t="s">
        <v>495</v>
      </c>
      <c r="B4" t="s">
        <v>496</v>
      </c>
      <c r="C4" t="s">
        <v>426</v>
      </c>
      <c r="D4" t="s">
        <v>497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C12" sqref="C12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498</v>
      </c>
      <c r="E2" t="s">
        <v>72</v>
      </c>
      <c r="F2" t="s">
        <v>499</v>
      </c>
      <c r="G2" t="s">
        <v>500</v>
      </c>
      <c r="H2" t="s">
        <v>501</v>
      </c>
      <c r="I2" t="s">
        <v>336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125</v>
      </c>
    </row>
    <row r="4" spans="1:9" x14ac:dyDescent="0.25">
      <c r="A4" t="s">
        <v>387</v>
      </c>
      <c r="B4" t="s">
        <v>221</v>
      </c>
      <c r="C4" t="s">
        <v>502</v>
      </c>
      <c r="E4">
        <v>50</v>
      </c>
      <c r="F4">
        <v>2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workbookViewId="0">
      <pane xSplit="1" ySplit="3" topLeftCell="B4" activePane="bottomRight" state="frozen"/>
      <selection pane="topRight"/>
      <selection pane="bottomLeft"/>
      <selection pane="bottomRight" activeCell="L13" sqref="L13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503</v>
      </c>
      <c r="C1" t="s">
        <v>504</v>
      </c>
      <c r="D1" t="s">
        <v>505</v>
      </c>
      <c r="E1" t="s">
        <v>506</v>
      </c>
      <c r="F1" t="s">
        <v>507</v>
      </c>
      <c r="H1" t="s">
        <v>508</v>
      </c>
      <c r="I1" t="s">
        <v>509</v>
      </c>
      <c r="J1" t="s">
        <v>510</v>
      </c>
      <c r="K1" t="s">
        <v>511</v>
      </c>
      <c r="L1" t="s">
        <v>512</v>
      </c>
    </row>
    <row r="2" spans="1:12" x14ac:dyDescent="0.25">
      <c r="A2" t="s">
        <v>0</v>
      </c>
      <c r="B2" t="s">
        <v>513</v>
      </c>
      <c r="C2" t="s">
        <v>514</v>
      </c>
      <c r="D2" t="s">
        <v>515</v>
      </c>
      <c r="E2" t="s">
        <v>516</v>
      </c>
      <c r="F2" t="s">
        <v>517</v>
      </c>
      <c r="G2" t="s">
        <v>518</v>
      </c>
      <c r="H2" t="s">
        <v>519</v>
      </c>
      <c r="I2" t="s">
        <v>520</v>
      </c>
      <c r="J2" t="s">
        <v>521</v>
      </c>
      <c r="K2" t="s">
        <v>499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522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477</v>
      </c>
      <c r="B4" t="s">
        <v>523</v>
      </c>
      <c r="D4" t="s">
        <v>524</v>
      </c>
      <c r="I4">
        <v>1</v>
      </c>
      <c r="K4">
        <v>60</v>
      </c>
    </row>
  </sheetData>
  <phoneticPr fontId="11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248</v>
      </c>
      <c r="C2" t="s">
        <v>77</v>
      </c>
      <c r="D2" t="s">
        <v>525</v>
      </c>
      <c r="E2" t="s">
        <v>526</v>
      </c>
      <c r="F2" t="s">
        <v>79</v>
      </c>
      <c r="G2" t="s">
        <v>527</v>
      </c>
      <c r="H2" t="s">
        <v>276</v>
      </c>
      <c r="I2" t="s">
        <v>528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529</v>
      </c>
      <c r="I3" t="s">
        <v>118</v>
      </c>
      <c r="J3" t="s">
        <v>118</v>
      </c>
    </row>
  </sheetData>
  <phoneticPr fontId="1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G15" sqref="G15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530</v>
      </c>
      <c r="C1" s="1" t="s">
        <v>531</v>
      </c>
      <c r="D1" s="1" t="s">
        <v>532</v>
      </c>
      <c r="E1" s="1" t="s">
        <v>533</v>
      </c>
      <c r="F1" s="1" t="s">
        <v>534</v>
      </c>
      <c r="G1" s="1" t="s">
        <v>535</v>
      </c>
      <c r="H1" s="1" t="s">
        <v>536</v>
      </c>
      <c r="I1" s="1" t="s">
        <v>537</v>
      </c>
    </row>
    <row r="2" spans="1:9" s="1" customFormat="1" x14ac:dyDescent="0.25">
      <c r="A2" s="1" t="s">
        <v>0</v>
      </c>
      <c r="B2" s="1" t="s">
        <v>538</v>
      </c>
      <c r="C2" s="1" t="s">
        <v>539</v>
      </c>
      <c r="D2" s="1" t="s">
        <v>540</v>
      </c>
      <c r="E2" s="1" t="s">
        <v>541</v>
      </c>
      <c r="F2" s="1" t="s">
        <v>542</v>
      </c>
      <c r="G2" s="1" t="s">
        <v>543</v>
      </c>
      <c r="H2" s="1" t="s">
        <v>544</v>
      </c>
      <c r="I2" s="1" t="s">
        <v>545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>
      <c r="A4" s="1" t="s">
        <v>546</v>
      </c>
      <c r="C4" s="1">
        <v>1</v>
      </c>
      <c r="D4" s="1" t="s">
        <v>547</v>
      </c>
      <c r="E4" s="1" t="s">
        <v>548</v>
      </c>
      <c r="F4" s="1" t="s">
        <v>549</v>
      </c>
      <c r="G4" s="1" t="s">
        <v>550</v>
      </c>
      <c r="H4" s="1" t="s">
        <v>551</v>
      </c>
      <c r="I4" s="1" t="s">
        <v>552</v>
      </c>
    </row>
    <row r="5" spans="1:9" s="1" customFormat="1" x14ac:dyDescent="0.25">
      <c r="A5" s="1" t="s">
        <v>553</v>
      </c>
      <c r="B5" s="1">
        <v>1</v>
      </c>
      <c r="C5" s="1">
        <v>1</v>
      </c>
      <c r="D5" s="1" t="s">
        <v>554</v>
      </c>
      <c r="E5" s="1" t="s">
        <v>555</v>
      </c>
      <c r="F5" s="1" t="s">
        <v>556</v>
      </c>
    </row>
  </sheetData>
  <phoneticPr fontId="11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2025-10-25T16:38:58Z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