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4F201F5F-E568-4A88-9FBC-5E9925B23193}" xr6:coauthVersionLast="47" xr6:coauthVersionMax="47" xr10:uidLastSave="{00000000-0000-0000-0000-000000000000}"/>
  <bookViews>
    <workbookView xWindow="-103" yWindow="-103" windowWidth="24144" windowHeight="14447" firstSheet="1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7" i="1" l="1"/>
  <c r="BD27" i="1"/>
  <c r="BC27" i="1"/>
  <c r="F27" i="1"/>
  <c r="BE26" i="1"/>
  <c r="BD26" i="1"/>
  <c r="BE25" i="1"/>
  <c r="BD25" i="1"/>
  <c r="BC25" i="1"/>
  <c r="BE24" i="1"/>
  <c r="BD24" i="1"/>
  <c r="BC24" i="1"/>
  <c r="BE23" i="1"/>
  <c r="BD23" i="1"/>
  <c r="BC23" i="1"/>
  <c r="BE22" i="1"/>
  <c r="BD22" i="1"/>
  <c r="BC22" i="1"/>
  <c r="F22" i="1"/>
  <c r="BE20" i="1"/>
  <c r="BD20" i="1"/>
  <c r="BC20" i="1"/>
  <c r="F19" i="1"/>
  <c r="F18" i="1"/>
  <c r="BE17" i="1"/>
  <c r="BD17" i="1"/>
  <c r="F16" i="1"/>
  <c r="BE15" i="1"/>
  <c r="BD15" i="1"/>
  <c r="BE14" i="1"/>
  <c r="BD14" i="1"/>
  <c r="BE13" i="1"/>
  <c r="BD13" i="1"/>
  <c r="BE12" i="1"/>
  <c r="BD12" i="1"/>
  <c r="BC12" i="1"/>
  <c r="F12" i="1"/>
  <c r="BE11" i="1"/>
  <c r="BD11" i="1"/>
  <c r="BE10" i="1"/>
  <c r="BD10" i="1"/>
  <c r="BE6" i="1"/>
  <c r="BD6" i="1"/>
  <c r="BC6" i="1"/>
  <c r="F6" i="1"/>
  <c r="BE5" i="1"/>
  <c r="BD5" i="1"/>
  <c r="BC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<sst xmlns="http://schemas.openxmlformats.org/spreadsheetml/2006/main" count="4413" uniqueCount="1658">
  <si>
    <t>Id</t>
  </si>
  <si>
    <t>units</t>
  </si>
  <si>
    <t>string</t>
  </si>
  <si>
    <t>UnitData[]</t>
  </si>
  <si>
    <t>斩业星熊</t>
  </si>
  <si>
    <t>余</t>
  </si>
  <si>
    <t>玛恩纳</t>
  </si>
  <si>
    <t>酒神</t>
  </si>
  <si>
    <t>艾拉</t>
  </si>
  <si>
    <t>干员M3</t>
  </si>
  <si>
    <t>逻各斯</t>
  </si>
  <si>
    <t>烛煌</t>
  </si>
  <si>
    <t>真言</t>
  </si>
  <si>
    <t>乌尔比安</t>
  </si>
  <si>
    <t>假日威龙陈</t>
  </si>
  <si>
    <t>蕾缪安</t>
  </si>
  <si>
    <t>维什戴尔</t>
  </si>
  <si>
    <t>凛御银灰</t>
  </si>
  <si>
    <t>杰作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</si>
  <si>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</si>
  <si>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</si>
  <si>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</si>
  <si>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</si>
  <si>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</si>
  <si>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</si>
  <si>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</si>
  <si>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</si>
  <si>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</si>
  <si>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</si>
  <si>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</si>
  <si>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</si>
  <si>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</si>
  <si>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</si>
  <si>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</si>
  <si>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</si>
  <si>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</si>
  <si>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</si>
  <si>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</si>
  <si>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</si>
  <si>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</si>
  <si>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</si>
  <si>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</si>
  <si>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</si>
  <si>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</si>
  <si>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</si>
  <si>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</si>
  <si>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</si>
  <si>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</si>
  <si>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</si>
  <si>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</si>
  <si>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</si>
  <si>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</si>
  <si>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</si>
  <si>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</si>
  <si>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</si>
  <si>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</si>
  <si>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</si>
  <si>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</si>
  <si>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</si>
  <si>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</si>
  <si>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</si>
  <si>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</si>
  <si>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</si>
  <si>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</si>
  <si>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</si>
  <si>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</si>
  <si>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</si>
  <si>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</si>
  <si>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</si>
  <si>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</si>
  <si>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</si>
  <si>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</si>
  <si>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</si>
  <si>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</si>
  <si>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</si>
  <si>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</si>
  <si>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</si>
  <si>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</si>
  <si>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</si>
  <si>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</si>
  <si>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</si>
  <si>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</si>
  <si>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</si>
  <si>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</si>
  <si>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</si>
  <si>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</si>
  <si>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</si>
  <si>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</si>
  <si>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</si>
  <si>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</si>
  <si>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Skills</t>
  </si>
  <si>
    <t>MainSkill</t>
  </si>
  <si>
    <t>HpBarType</t>
  </si>
  <si>
    <t>Height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</si>
  <si>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</si>
  <si>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</si>
  <si>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</si>
  <si>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</si>
  <si>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</si>
  <si>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</si>
  <si>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</si>
  <si>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</si>
  <si>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</si>
  <si>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</si>
  <si>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</si>
  <si>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</si>
  <si>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</si>
  <si>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</si>
  <si>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</si>
  <si>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</si>
  <si>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</si>
  <si>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</si>
  <si>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</si>
  <si>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</si>
  <si>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</si>
  <si>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</si>
  <si>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</si>
  <si>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</si>
  <si>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</si>
  <si>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</si>
  <si>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</si>
  <si>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</si>
  <si>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</si>
  <si>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</si>
  <si>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</si>
  <si>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</si>
  <si>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</si>
  <si>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</si>
  <si>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</si>
  <si>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</si>
  <si>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</si>
  <si>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</si>
  <si>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</si>
  <si>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</si>
  <si>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</si>
  <si>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</si>
  <si>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</si>
  <si>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斩熊攻击,斩熊天赋一,斩熊天赋二1</t>
  </si>
  <si>
    <t>斩熊1,斩熊3</t>
  </si>
  <si>
    <t>重装</t>
  </si>
  <si>
    <t>驭法铁卫</t>
  </si>
  <si>
    <t>icon_hsguma</t>
  </si>
  <si>
    <t>half_hsguma</t>
  </si>
  <si>
    <t>hsguma</t>
  </si>
  <si>
    <t>211,81,1500,1500</t>
  </si>
  <si>
    <t>近战位</t>
  </si>
  <si>
    <t>近战</t>
  </si>
  <si>
    <t>Default</t>
  </si>
  <si>
    <t>Idle</t>
  </si>
  <si>
    <t>Die</t>
  </si>
  <si>
    <t>yu</t>
  </si>
  <si>
    <t>2026</t>
  </si>
  <si>
    <t>余攻击,余天赋一</t>
  </si>
  <si>
    <t>余1,余2,余3</t>
  </si>
  <si>
    <t>本源重装</t>
  </si>
  <si>
    <t>能够阻挡三个敌人，可以造成元素损伤</t>
  </si>
  <si>
    <t>mlynar</t>
  </si>
  <si>
    <t>4064</t>
  </si>
  <si>
    <t>玛恩纳攻击,玛恩纳特性</t>
  </si>
  <si>
    <t>玛恩纳3</t>
  </si>
  <si>
    <t>近卫</t>
  </si>
  <si>
    <t>解放者</t>
  </si>
  <si>
    <t>近战,卡西米尔</t>
  </si>
  <si>
    <t>通常不攻击且阻挡数为0，技能未开启时40秒内攻击力逐\n渐提升至最高+200%且技能结束时重置攻击力</t>
  </si>
  <si>
    <t>酒神攻击</t>
  </si>
  <si>
    <t>酒神1,酒神2,酒神3</t>
  </si>
  <si>
    <t>辅助</t>
  </si>
  <si>
    <t>巫役</t>
  </si>
  <si>
    <t>enemy_2016_csphtm</t>
  </si>
  <si>
    <t>half_svrash</t>
  </si>
  <si>
    <t>svrash</t>
  </si>
  <si>
    <t>远程位</t>
  </si>
  <si>
    <t>远程</t>
  </si>
  <si>
    <t>本能的召唤</t>
  </si>
  <si>
    <t>部署猫</t>
  </si>
  <si>
    <t>特种</t>
  </si>
  <si>
    <t>half_skadi</t>
  </si>
  <si>
    <t>skadi</t>
  </si>
  <si>
    <t>Loop</t>
  </si>
  <si>
    <t>End</t>
  </si>
  <si>
    <t>猫诱导</t>
  </si>
  <si>
    <t>猫索敌,猫诱导,猫自杀</t>
  </si>
  <si>
    <t>猫诱导后续</t>
  </si>
  <si>
    <t>otter</t>
  </si>
  <si>
    <t>242</t>
  </si>
  <si>
    <t>token_10004_otter_motter</t>
  </si>
  <si>
    <t>猫后续入场,猫爆炸</t>
  </si>
  <si>
    <t>猫牢笼</t>
  </si>
  <si>
    <t>猫</t>
  </si>
  <si>
    <t>ela</t>
  </si>
  <si>
    <t>4123</t>
  </si>
  <si>
    <t>艾拉攻击</t>
  </si>
  <si>
    <t>艾拉1,艾拉2,艾拉3</t>
  </si>
  <si>
    <t>陷阱师</t>
  </si>
  <si>
    <t>远程,彩虹小队</t>
  </si>
  <si>
    <t>可以使用陷阱来协助作战，但陷阱无法放置于敌人已在的格子中</t>
  </si>
  <si>
    <t>艾拉地雷A</t>
  </si>
  <si>
    <t>deepcl</t>
  </si>
  <si>
    <t>110</t>
  </si>
  <si>
    <t>token_10001_deepcl_tentacle</t>
  </si>
  <si>
    <t>雷鸣地雷</t>
  </si>
  <si>
    <t>艾拉地雷A索敌,艾拉地雷入场</t>
  </si>
  <si>
    <t>艾拉地雷A技能描述</t>
  </si>
  <si>
    <t>头像_召唤物_触手</t>
  </si>
  <si>
    <t>召唤物,陷阱</t>
  </si>
  <si>
    <t>艾拉地雷B</t>
  </si>
  <si>
    <t>艾拉地雷B索敌,艾拉地雷入场</t>
  </si>
  <si>
    <t>艾拉地雷B技能描述</t>
  </si>
  <si>
    <t>艾拉地雷C</t>
  </si>
  <si>
    <t>艾拉地雷入场,艾拉地雷C索敌</t>
  </si>
  <si>
    <t>艾拉地雷C技能描述</t>
  </si>
  <si>
    <t>monstr</t>
  </si>
  <si>
    <t>4179</t>
  </si>
  <si>
    <t>Mon3tr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</si>
  <si>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</si>
  <si>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</si>
  <si>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</si>
  <si>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</si>
  <si>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</si>
  <si>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</si>
  <si>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</si>
  <si>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远程,Mon3tr</t>
  </si>
  <si>
    <t>重构体</t>
  </si>
  <si>
    <t>重构体天赋,重构体绝食,重构体2,重构体给予m3</t>
  </si>
  <si>
    <t>眩晕,眩晕2,寒冷,冻结</t>
  </si>
  <si>
    <t>头像_召唤物_幻影</t>
  </si>
  <si>
    <t>地面M3</t>
  </si>
  <si>
    <t>地面m3落地无敌,地面m3释放buff</t>
  </si>
  <si>
    <t>地面m3</t>
  </si>
  <si>
    <r>
      <rPr>
        <sz val="10.5"/>
        <color rgb="FF333639"/>
        <rFont val="Arial"/>
        <family val="2"/>
      </rPr>
      <t>Skill_3_Idle</t>
    </r>
  </si>
  <si>
    <t>Skill_3_End,Skill_3_ReStart</t>
  </si>
  <si>
    <t>logos</t>
  </si>
  <si>
    <t>4133</t>
  </si>
  <si>
    <t>逻各斯攻击,逻各斯附加伤害</t>
  </si>
  <si>
    <t>逻各斯1,逻各斯2,逻各斯3</t>
  </si>
  <si>
    <t>术士</t>
  </si>
  <si>
    <t>中坚术师</t>
  </si>
  <si>
    <t>icon_logos</t>
  </si>
  <si>
    <t>half_logos</t>
  </si>
  <si>
    <t>攻击造成法术伤害,造成法术伤害时附带相当于8%攻击力的凋亡损伤</t>
  </si>
  <si>
    <t>blaze2</t>
  </si>
  <si>
    <t>1040</t>
  </si>
  <si>
    <t>烛煌攻击,被标记爆发,烛煌天赋复活</t>
  </si>
  <si>
    <t>烛煌2,烛煌3</t>
  </si>
  <si>
    <t>本源术师</t>
  </si>
  <si>
    <t>攻击造成法术伤害，可以造成元素伤害</t>
  </si>
  <si>
    <t>真言攻击,真言标记,真言入场</t>
  </si>
  <si>
    <t>真言1,真言2,真言3</t>
  </si>
  <si>
    <t>ulpia</t>
  </si>
  <si>
    <t>乌尔比安攻击,乌尔天赋二</t>
  </si>
  <si>
    <t>乌尔比安2,乌尔比安3</t>
  </si>
  <si>
    <t>重剑手</t>
  </si>
  <si>
    <t>近战,深海猎人</t>
  </si>
  <si>
    <t>同时攻击阻挡的所有敌人</t>
  </si>
  <si>
    <t>chen2</t>
  </si>
  <si>
    <t>1013</t>
  </si>
  <si>
    <t>水陈</t>
  </si>
  <si>
    <t>水陈攻击,水陈特性,水陈Y模组</t>
  </si>
  <si>
    <t>水陈1,水陈2,水陈3,水陈3pro</t>
  </si>
  <si>
    <t>狙击</t>
  </si>
  <si>
    <t>散射手</t>
  </si>
  <si>
    <t>攻击范围内的所有敌人，对自己前方一横排的敌人攻击力提升至150%</t>
  </si>
  <si>
    <t>lemuen</t>
  </si>
  <si>
    <t>蕾缪安攻击,蕾缪安天赋,蕾缪安模组特性</t>
  </si>
  <si>
    <t>蕾缪安2,蕾缪安3</t>
  </si>
  <si>
    <t>神射手</t>
  </si>
  <si>
    <t>远程,拉特兰</t>
  </si>
  <si>
    <t>优先攻击攻击范围内防御力最低的敌方单位</t>
  </si>
  <si>
    <t>wisdel</t>
  </si>
  <si>
    <t>1035</t>
  </si>
  <si>
    <t>维什戴尔攻击,维什戴尔召唤,维什戴尔爆炸,给予魂灵范围</t>
  </si>
  <si>
    <t>维什戴尔1,维什戴尔2,维什戴尔3</t>
  </si>
  <si>
    <t>投掷手</t>
  </si>
  <si>
    <t>攻击对小范围的地面敌人造成三次物理伤害（后两次为余震，伤害降低至攻击力的50%）</t>
  </si>
  <si>
    <t>{"好礼":" ","死魂灵的余息":" "}</t>
  </si>
  <si>
    <t>魂灵之影</t>
  </si>
  <si>
    <t>魂灵之影天赋</t>
  </si>
  <si>
    <t>魂灵之影攻击</t>
  </si>
  <si>
    <t>token_10035_wisdel_wward</t>
  </si>
  <si>
    <t>召唤物</t>
  </si>
  <si>
    <t>172</t>
  </si>
  <si>
    <t>凛御银灰攻击</t>
  </si>
  <si>
    <t>先锋</t>
  </si>
  <si>
    <t>冲锋手</t>
  </si>
  <si>
    <t>费用回复,输出</t>
  </si>
  <si>
    <t>击杀敌人后获得1点部署费用，撤退时返还初始部署费用</t>
  </si>
  <si>
    <t>{"精密填弹":"每次攻击有28%的概率攻击力提升至130%，且额外攻击一个目标","军事传统":"编入队伍时所有【先锋】干员的初始技力+8"}</t>
  </si>
  <si>
    <t>poca</t>
  </si>
  <si>
    <t>197</t>
  </si>
  <si>
    <t>杰作攻击,杰作天赋二</t>
  </si>
  <si>
    <t>杰作1,杰作2,杰作3</t>
  </si>
  <si>
    <t>攻城手</t>
  </si>
  <si>
    <t>icon_poca</t>
  </si>
  <si>
    <t>half_poca</t>
  </si>
  <si>
    <t>远程,乌萨斯学生团</t>
  </si>
  <si>
    <t>优先攻击重量最重的敌人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</si>
  <si>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</si>
  <si>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</si>
  <si>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</si>
  <si>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</si>
  <si>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</si>
  <si>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</si>
  <si>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</si>
  <si>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</si>
  <si>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</si>
  <si>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</si>
  <si>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</si>
  <si>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</si>
  <si>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</si>
  <si>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</si>
  <si>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</si>
  <si>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</si>
  <si>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</si>
  <si>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</si>
  <si>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</si>
  <si>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</si>
  <si>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</si>
  <si>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</si>
  <si>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</si>
  <si>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</si>
  <si>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</si>
  <si>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</si>
  <si>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</si>
  <si>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</si>
  <si>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</si>
  <si>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</si>
  <si>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</si>
  <si>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</si>
  <si>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</si>
  <si>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</si>
  <si>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</si>
  <si>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</si>
  <si>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</si>
  <si>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</si>
  <si>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</si>
  <si>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</si>
  <si>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</si>
  <si>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</si>
  <si>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</si>
  <si>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</si>
  <si>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</si>
  <si>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</si>
  <si>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</si>
  <si>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</si>
  <si>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</si>
  <si>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</si>
  <si>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</si>
  <si>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</si>
  <si>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</si>
  <si>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</si>
  <si>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</si>
  <si>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</si>
  <si>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</si>
  <si>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</si>
  <si>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</si>
  <si>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</si>
  <si>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</si>
  <si>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</si>
  <si>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</si>
  <si>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</si>
  <si>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</si>
  <si>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</si>
  <si>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</si>
  <si>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</si>
  <si>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</si>
  <si>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</si>
  <si>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</si>
  <si>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</si>
  <si>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</si>
  <si>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</si>
  <si>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</si>
  <si>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</si>
  <si>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</si>
  <si>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</si>
  <si>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</si>
  <si>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</si>
  <si>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</si>
  <si>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</si>
  <si>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</si>
  <si>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</si>
  <si>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</si>
  <si>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</si>
  <si>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</si>
  <si>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</si>
  <si>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</si>
  <si>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</si>
  <si>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</si>
  <si>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</si>
  <si>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</si>
  <si>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</si>
  <si>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</si>
  <si>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</si>
  <si>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</si>
  <si>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</si>
  <si>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</si>
  <si>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</si>
  <si>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</si>
  <si>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</si>
  <si>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</si>
  <si>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</si>
  <si>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</si>
  <si>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</si>
  <si>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</si>
  <si>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</si>
  <si>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</si>
  <si>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</si>
  <si>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</si>
  <si>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</si>
  <si>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</si>
  <si>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</si>
  <si>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</si>
  <si>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</si>
  <si>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</si>
  <si>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</si>
  <si>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</si>
  <si>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</si>
  <si>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</si>
  <si>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</si>
  <si>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</si>
  <si>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</si>
  <si>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</si>
  <si>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</si>
  <si>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</si>
  <si>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</si>
  <si>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</si>
  <si>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</si>
  <si>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</si>
  <si>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</si>
  <si>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</si>
  <si>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</si>
  <si>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</si>
  <si>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</si>
  <si>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</si>
  <si>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</si>
  <si>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</si>
  <si>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</si>
  <si>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</si>
  <si>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</si>
  <si>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</si>
  <si>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</si>
  <si>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</si>
  <si>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</si>
  <si>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</si>
  <si>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</si>
  <si>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</si>
  <si>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</si>
  <si>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</si>
  <si>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</si>
  <si>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</si>
  <si>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</si>
  <si>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</si>
  <si>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</si>
  <si>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</si>
  <si>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</si>
  <si>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</si>
  <si>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</si>
  <si>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</si>
  <si>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</si>
  <si>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</si>
  <si>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</si>
  <si>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</si>
  <si>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</si>
  <si>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</si>
  <si>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</si>
  <si>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</si>
  <si>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</si>
  <si>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</si>
  <si>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</si>
  <si>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</si>
  <si>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</si>
  <si>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</si>
  <si>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</si>
  <si>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</si>
  <si>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</si>
  <si>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</si>
  <si>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</si>
  <si>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</si>
  <si>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</si>
  <si>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</si>
  <si>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</si>
  <si>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</si>
  <si>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</si>
  <si>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</si>
  <si>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</si>
  <si>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</si>
  <si>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</si>
  <si>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</si>
  <si>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</si>
  <si>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</si>
  <si>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</si>
  <si>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</si>
  <si>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</si>
  <si>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</si>
  <si>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</si>
  <si>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</si>
  <si>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</si>
  <si>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</si>
  <si>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</si>
  <si>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</si>
  <si>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</si>
  <si>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</si>
  <si>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</si>
  <si>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</si>
  <si>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</si>
  <si>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</si>
  <si>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</si>
  <si>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</si>
  <si>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</si>
  <si>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</si>
  <si>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</si>
  <si>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</si>
  <si>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</si>
  <si>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</si>
  <si>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</si>
  <si>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</si>
  <si>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</si>
  <si>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</si>
  <si>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</si>
  <si>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</si>
  <si>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</si>
  <si>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</si>
  <si>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</si>
  <si>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</si>
  <si>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</si>
  <si>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</si>
  <si>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</si>
  <si>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斩熊攻击</t>
  </si>
  <si>
    <t>终点距离</t>
  </si>
  <si>
    <t>0,0#1,0</t>
  </si>
  <si>
    <t>Normal</t>
  </si>
  <si>
    <t>跟随攻击</t>
  </si>
  <si>
    <t>星熊普攻击中</t>
  </si>
  <si>
    <t>斩熊天赋一</t>
  </si>
  <si>
    <t>普通技能</t>
  </si>
  <si>
    <t>仅自己</t>
  </si>
  <si>
    <t>斩熊天赋一回血buff,斩熊天赋一回血</t>
  </si>
  <si>
    <t>斩熊绝食</t>
  </si>
  <si>
    <t>斩熊天赋一回血buff</t>
  </si>
  <si>
    <t>被动</t>
  </si>
  <si>
    <t>被击</t>
  </si>
  <si>
    <t>星熊被击</t>
  </si>
  <si>
    <t>斩熊天赋一回血</t>
  </si>
  <si>
    <t>自动</t>
  </si>
  <si>
    <t>Real</t>
  </si>
  <si>
    <t>星熊天赋回血</t>
  </si>
  <si>
    <t>斩熊天赋二1</t>
  </si>
  <si>
    <t>斩熊天赋二2,斩熊天赋二3,斩熊天赋二4,斩熊天赋二5</t>
  </si>
  <si>
    <t>星熊天赋二数值</t>
  </si>
  <si>
    <t>0.07,10</t>
  </si>
  <si>
    <t>斩熊天赋二2</t>
  </si>
  <si>
    <t>斩熊天赋二3</t>
  </si>
  <si>
    <t>斩熊天赋二4</t>
  </si>
  <si>
    <t>斩熊天赋二5</t>
  </si>
  <si>
    <t>斩熊1</t>
  </si>
  <si>
    <t>恶业苦果</t>
  </si>
  <si>
    <t>攻击力+70%，防御力+70%，每次受到攻击时对目标造成相当于斩业星熊攻击力175%的法术伤害\n持续时间无限</t>
  </si>
  <si>
    <t>skill_icon_skchr_hsguma_2</t>
  </si>
  <si>
    <t>充能释放</t>
  </si>
  <si>
    <t>斩熊1攻击,斩熊受击</t>
  </si>
  <si>
    <t>受击</t>
  </si>
  <si>
    <t>斩熊1加成</t>
  </si>
  <si>
    <t>0.7,0.7</t>
  </si>
  <si>
    <t>斩熊1攻击</t>
  </si>
  <si>
    <t>Magic</t>
  </si>
  <si>
    <t>拉普兰德近战击中</t>
  </si>
  <si>
    <t>斩熊受击</t>
  </si>
  <si>
    <t>斩熊3</t>
  </si>
  <si>
    <t>地狱变相</t>
  </si>
  <si>
    <t>攻击范围扩大，生命上限+100%，攻击力+230%，以二连击攻击最多3名敌人；主动关闭技能后11秒内保留技能加成且攻击范围内所有干员不会被击倒，攻击变为四连击，攻击范围内我方干员进入不死状态后分摊其受到的全部伤害，11秒后强制退出战场\n可主动关闭（期间可随时停止技能）</t>
  </si>
  <si>
    <t>skill_icon_skchr_hsguma_3</t>
  </si>
  <si>
    <t>手动</t>
  </si>
  <si>
    <t>0,0#0,1#0,2#0,-1#0,-2#-1,0#-1,1#-1,2#-1,-1#-1,-2#1,0#1,1#1,2#1,-1#1,-2#2,0#2,1#2,-1#-2,0#-2,1#-2,-1</t>
  </si>
  <si>
    <t>斩熊3攻击,斩熊3结束,斩熊3二,斩熊3结束动作</t>
  </si>
  <si>
    <t>斩熊3启动动作</t>
  </si>
  <si>
    <t>斩熊3加成,斩熊3动作,星熊3buff</t>
  </si>
  <si>
    <t>2.3,1</t>
  </si>
  <si>
    <t>{"ShowRange":1,"Color":"#1A94BC","Alpha":0.5}</t>
  </si>
  <si>
    <t>斩熊3攻击</t>
  </si>
  <si>
    <t>斩熊3加成</t>
  </si>
  <si>
    <t>Skill_3_Loop_C</t>
  </si>
  <si>
    <t>斩熊3结束</t>
  </si>
  <si>
    <t>技能结束</t>
  </si>
  <si>
    <t>斩熊3二</t>
  </si>
  <si>
    <t>星熊3buff</t>
  </si>
  <si>
    <t>斩熊3二攻击,星熊锁血,星熊分摊对其他,星熊分摊对自身,斩熊撤退,斩熊3结束动作</t>
  </si>
  <si>
    <t>斩熊3二加成,星熊技力回复变化,斩熊3动作</t>
  </si>
  <si>
    <t>{"ShowRange":1,"Color":"#ED3333","Alpha":0.5}</t>
  </si>
  <si>
    <t>斩熊3二攻击</t>
  </si>
  <si>
    <t>斩熊3二加成</t>
  </si>
  <si>
    <t>芙兰卡2击中</t>
  </si>
  <si>
    <t>星熊锁血</t>
  </si>
  <si>
    <t>星熊不死</t>
  </si>
  <si>
    <t>星熊分摊对其他</t>
  </si>
  <si>
    <t>自己以外</t>
  </si>
  <si>
    <t>星熊分摊对自身</t>
  </si>
  <si>
    <t>斩熊撤退</t>
  </si>
  <si>
    <t>强制撤退</t>
  </si>
  <si>
    <t>{"Time":11}</t>
  </si>
  <si>
    <t>Skill_3_Begin</t>
  </si>
  <si>
    <t>斩熊3结束动作</t>
  </si>
  <si>
    <t>Skill_3_End</t>
  </si>
  <si>
    <t>余攻击</t>
  </si>
  <si>
    <t>0,0</t>
  </si>
  <si>
    <t>火神击中</t>
  </si>
  <si>
    <t>余天赋一</t>
  </si>
  <si>
    <t>余阻挡</t>
  </si>
  <si>
    <t>余庇护</t>
  </si>
  <si>
    <t>-0.3,-0.3</t>
  </si>
  <si>
    <t>余损伤</t>
  </si>
  <si>
    <t>{"Fire":0.12}</t>
  </si>
  <si>
    <t>余1</t>
  </si>
  <si>
    <t>今日做东</t>
  </si>
  <si>
    <t>被动效果：自身更容易受到敌人攻击\n生命上限+70%，防御力+70%，每次受到攻击对目标造成相当于余攻击力50%的灼燃损伤</t>
  </si>
  <si>
    <t>skill_icon_skchr_aglina_1</t>
  </si>
  <si>
    <t>余1攻击,余1受击,余1嘲讽</t>
  </si>
  <si>
    <t>生命提升,防御提升</t>
  </si>
  <si>
    <t>余1嘲讽</t>
  </si>
  <si>
    <t>余仇恨</t>
  </si>
  <si>
    <t>余1攻击</t>
  </si>
  <si>
    <t>生命提升</t>
  </si>
  <si>
    <t>Skill_1</t>
  </si>
  <si>
    <t>余1受击</t>
  </si>
  <si>
    <t>{"Fire":0.5}</t>
  </si>
  <si>
    <t>羊普攻击中</t>
  </si>
  <si>
    <t>余2</t>
  </si>
  <si>
    <t>厚礼上宾</t>
  </si>
  <si>
    <t>立即对周围所有敌人造成相当于攻击力100%的法术伤害并将其中的地面可达目标传送至自身位置，阻挡数+2，生命上限+160%，攻击力+290%，普通攻击造成法术伤害</t>
  </si>
  <si>
    <t>skill_icon_skchr_aglina_2</t>
  </si>
  <si>
    <t>0,0#0,-2#-1,-1#0,-1#1,-1#-2,0#-1,0#1,0#2,0#-1,1#0,1#1,1#0,2</t>
  </si>
  <si>
    <t>余2攻击</t>
  </si>
  <si>
    <t>开技能传送</t>
  </si>
  <si>
    <r>
      <rPr>
        <sz val="10.5"/>
        <color rgb="FF333639"/>
        <rFont val="Arial"/>
        <family val="2"/>
      </rPr>
      <t>Skill_2</t>
    </r>
  </si>
  <si>
    <t>生命提升,攻击提升,阻挡变化</t>
  </si>
  <si>
    <t>德克萨斯1范围</t>
  </si>
  <si>
    <t>传送</t>
  </si>
  <si>
    <t>近身</t>
  </si>
  <si>
    <t>{"TargetPos":"useSelfPos","UseMod":"IfCanArrvie"}</t>
  </si>
  <si>
    <t>攻击提升</t>
  </si>
  <si>
    <t>余3</t>
  </si>
  <si>
    <t>灶里乾坤</t>
  </si>
  <si>
    <t>生命上限+110%，攻击力+110%，防御力+110%，将第二天赋效果赋予全场所有干员；生成一面跨越整个战场的火墙，其他友方穿过火墙造成法术伤害时附带相当于余攻击力10%的灼燃损伤，敌方子弹穿过火墙时有20%几率被清除</t>
  </si>
  <si>
    <t>skill_icon_skchr_aglina_3</t>
  </si>
  <si>
    <t>余3结束,余3攻击,火墙附魔</t>
  </si>
  <si>
    <t>余3启动</t>
  </si>
  <si>
    <t>生命提升,攻击提升,防御提升,余3动作</t>
  </si>
  <si>
    <t>火墙附魔</t>
  </si>
  <si>
    <t>余火墙</t>
  </si>
  <si>
    <t>弹道命中</t>
  </si>
  <si>
    <t>{"Fire":0.1}</t>
  </si>
  <si>
    <t>{"DamageTypeLimit":"Magic"}</t>
  </si>
  <si>
    <t>余3攻击</t>
  </si>
  <si>
    <t>Skill_3_Loop</t>
  </si>
  <si>
    <t>余3结束</t>
  </si>
  <si>
    <t>玛恩纳攻击</t>
  </si>
  <si>
    <t>0,0#0,1#1,0#0,-1</t>
  </si>
  <si>
    <t>Skill_1_Loop</t>
  </si>
  <si>
    <t>凛冬击中</t>
  </si>
  <si>
    <t>玛恩纳特性</t>
  </si>
  <si>
    <t>玛恩纳模组特性,玛恩纳阻挡</t>
  </si>
  <si>
    <t>玛恩纳特性,缴械</t>
  </si>
  <si>
    <t>玛恩纳模组特性</t>
  </si>
  <si>
    <t>玛恩纳阻挡</t>
  </si>
  <si>
    <t>阻挡变化</t>
  </si>
  <si>
    <t>玛恩纳减伤</t>
  </si>
  <si>
    <t>未照耀的荣光</t>
  </si>
  <si>
    <t>攻击范围扩大，特性提升至2倍，攻击对5个目标造成相当于180%攻击力的物理伤害\n范围内所有敌人受到卡西米尔干员攻击时额外受到玛恩纳12%攻击力的真实伤害</t>
  </si>
  <si>
    <t>skill_icon_skchr_mlynar_3</t>
  </si>
  <si>
    <t>0,0#1,0#2,0#3,0#0,1#1,1#2,1#0,2#1,2#0,-1#1,-1#2,-1#0,-2#1,-2</t>
  </si>
  <si>
    <t>玛恩纳3攻击,玛恩纳3结束,玛恩纳3击杀</t>
  </si>
  <si>
    <t>玛恩纳3启动</t>
  </si>
  <si>
    <t>玛恩纳3动作</t>
  </si>
  <si>
    <t>{"ShowRange":1,"Color":"#ffd700","Alpha":0.5}</t>
  </si>
  <si>
    <t>玛恩纳3攻击</t>
  </si>
  <si>
    <t>玛恩纳3真伤</t>
  </si>
  <si>
    <t>玛恩纳暴击</t>
  </si>
  <si>
    <t>银灰真银斩启动</t>
  </si>
  <si>
    <t>银灰真银斩击中</t>
  </si>
  <si>
    <t>玛恩纳3击杀</t>
  </si>
  <si>
    <t>击杀</t>
  </si>
  <si>
    <t>Skill_3_Start</t>
  </si>
  <si>
    <t>玛恩纳3结束</t>
  </si>
  <si>
    <t>0,0#0,1#0,-1#1,0#2,0#1,1#1,-1#2,1#2,-1#-1,0#-1,1#-1,-1</t>
  </si>
  <si>
    <t>目标有buff损伤</t>
  </si>
  <si>
    <t>酒神附加,酒神1附加</t>
  </si>
  <si>
    <t>Attack_2</t>
  </si>
  <si>
    <t>酒神buff</t>
  </si>
  <si>
    <t>远山普攻击中</t>
  </si>
  <si>
    <t>酒神附加</t>
  </si>
  <si>
    <t>束缚</t>
  </si>
  <si>
    <t>{"Sanity":0.33}</t>
  </si>
  <si>
    <t>{"Sanity":0.23}</t>
  </si>
  <si>
    <t>酒神1</t>
  </si>
  <si>
    <t>暗夜回声</t>
  </si>
  <si>
    <t>下次攻击造成两次相当于攻击力150%的法术伤害并使目标束缚3秒，该次束缚期间目标受到的神经损伤提升至1.8倍，优先攻击未处于爆发期间的敌人</t>
  </si>
  <si>
    <r>
      <rPr>
        <sz val="11"/>
        <color theme="1"/>
        <rFont val="宋体"/>
        <family val="3"/>
        <charset val="134"/>
        <scheme val="minor"/>
      </rPr>
      <t>元素损伤升序</t>
    </r>
  </si>
  <si>
    <t>酒神1附加束缚</t>
  </si>
  <si>
    <t>攻击</t>
  </si>
  <si>
    <t>{"Sanity":0.594}</t>
  </si>
  <si>
    <t>酒神1附加</t>
  </si>
  <si>
    <t>束缚,酒神buff</t>
  </si>
  <si>
    <t>酒神2</t>
  </si>
  <si>
    <t>获取单位</t>
  </si>
  <si>
    <t>群体性谵妄</t>
  </si>
  <si>
    <t>攻击速度+35，第一天赋溅射范围扩大；期间可以使用一个本能的召唤，部署后诱导至多4名进入范围的可达敌人（优先精英或领袖）10秒，首个目标到达后撤退并使周围所有敌人在6秒内停顿、每0.5秒受到酒神攻击力150%的法术伤害和攻击力25%的神经损伤\n持续时间无限，本能的召唤有独立再部署时间</t>
  </si>
  <si>
    <t>酒神2攻击</t>
  </si>
  <si>
    <t>酒神2启动</t>
  </si>
  <si>
    <t>攻速提升,酒神2动作</t>
  </si>
  <si>
    <t>{"Count":1,"UnitId":"本能的召唤"}</t>
  </si>
  <si>
    <t>攻速提升</t>
  </si>
  <si>
    <t>Skill_2_Loop_1</t>
  </si>
  <si>
    <t>天火2击中</t>
  </si>
  <si>
    <t>Skill_2_Begin</t>
  </si>
  <si>
    <t>酒神3</t>
  </si>
  <si>
    <t>空剧场</t>
  </si>
  <si>
    <t>攻击范围扩大，攻击力+125%，优先攻击未处于损伤爆发期间的敌人，技能期间酒神造成过神经损伤的敌人每秒受到攻击力10%的神经损伤直至爆发；范围内敌人神经损伤冷却恢复速度+50%，神经损伤爆发时在其地面位置生成/刷新一个迷狂牢笼</t>
  </si>
  <si>
    <t>0,0#0,1#0,-1#1,0#2,0#1,1#1,-1#2,1#2,-1#-1,0#-1,1#-1,-1#-1,2#-1,-2#0,2#0,-2#1,2#1,-2#2,2#2,-2#3,1#3,0#3,-1</t>
  </si>
  <si>
    <t>酒神3攻击,酒神3结束,持续神经损伤,持续损伤爆发,酒神爆条加速,部署牢笼</t>
  </si>
  <si>
    <t>酒神3启动</t>
  </si>
  <si>
    <t>攻击提升,酒神3动作</t>
  </si>
  <si>
    <t>{"ShowRange":1,"Color":"#8948E9","Alpha":0.5}</t>
  </si>
  <si>
    <t>酒神3攻击</t>
  </si>
  <si>
    <t>酒神buff,酒神buff2</t>
  </si>
  <si>
    <t>酒神3结束</t>
  </si>
  <si>
    <t>持续神经损伤</t>
  </si>
  <si>
    <t>酒神buff2</t>
  </si>
  <si>
    <t>{"Sanity":0.1}</t>
  </si>
  <si>
    <t>持续损伤爆发</t>
  </si>
  <si>
    <t>自身元素爆发</t>
  </si>
  <si>
    <t>{"ElementType":"Sanity"}</t>
  </si>
  <si>
    <t>酒神爆条加速</t>
  </si>
  <si>
    <t>部署牢笼</t>
  </si>
  <si>
    <t>部署干员</t>
  </si>
  <si>
    <t>{"UnitId":"猫牢笼","TargetPos":"useSelfTargetPos","SetMod":"Add","UseMod":"UserDirection","UserName":"酒神","ElementType":"Sanity"}</t>
  </si>
  <si>
    <t>自己入场</t>
  </si>
  <si>
    <t>{"UnitId":"猫诱导","TargetPos":"useSelfPos","SetMod":"Replace","UseMod":"UserDirection","UserName":"本能的召唤"}</t>
  </si>
  <si>
    <t>尝试插入临时路径点</t>
  </si>
  <si>
    <t>{"UseMod":"useSelfPos","ShowRange":1,"LastTime":5}</t>
  </si>
  <si>
    <t>诅咒</t>
  </si>
  <si>
    <t>猫自杀</t>
  </si>
  <si>
    <t>{"Time":10}</t>
  </si>
  <si>
    <t>猫索敌</t>
  </si>
  <si>
    <t>部署猫后续,部署猫后续2</t>
  </si>
  <si>
    <t>猫死亡</t>
  </si>
  <si>
    <t>无</t>
  </si>
  <si>
    <t>部署猫后续</t>
  </si>
  <si>
    <t>离场</t>
  </si>
  <si>
    <t>{"UnitId":"猫诱导后续","TargetPos":"useSelfPos","SetMod":"Add","UseMod":"UserDirection","UserName":"猫诱导"}</t>
  </si>
  <si>
    <t>部署猫后续2</t>
  </si>
  <si>
    <t>撤退</t>
  </si>
  <si>
    <t>猫后续入场</t>
  </si>
  <si>
    <t>陨星1击中</t>
  </si>
  <si>
    <t>猫爆炸</t>
  </si>
  <si>
    <t>猫停顿</t>
  </si>
  <si>
    <t>猫后续死亡</t>
  </si>
  <si>
    <t>{"Sanity":0.25}</t>
  </si>
  <si>
    <t>{"ShowRange":1}</t>
  </si>
  <si>
    <t>减速</t>
  </si>
  <si>
    <t>0,0#0,1#0,-1#1,0#2,0#1,1#1,-1#2,1#2,-1#3,0#3,1#3,-1</t>
  </si>
  <si>
    <t>艾拉攻击暴击</t>
  </si>
  <si>
    <t>Attack_Begin,Attack_Loop,Attack_End</t>
  </si>
  <si>
    <t>Attack_Begin,Attack_Down_Loop,Attack_End</t>
  </si>
  <si>
    <t>艾拉弹道</t>
  </si>
  <si>
    <t>Muzzle</t>
  </si>
  <si>
    <t>艾拉暴击</t>
  </si>
  <si>
    <t>守林人击中</t>
  </si>
  <si>
    <t>艾拉1</t>
  </si>
  <si>
    <t>眩目阻滞</t>
  </si>
  <si>
    <t>被动效果：陷阱触发时使周围所有目标停顿且物理与法术命中率-40%，持续10秒\n主动效果：立即获得一个陷阱</t>
  </si>
  <si>
    <t>skill_icon_skchr_ela_1</t>
  </si>
  <si>
    <t>艾拉1入场获得装置,艾拉1撤退爆炸,艾拉1退场爆炸</t>
  </si>
  <si>
    <t>{"Count":1,"UnitId":"艾拉地雷A","MaxCount":4}</t>
  </si>
  <si>
    <t>艾拉1入场获得装置</t>
  </si>
  <si>
    <t>{"Count":4,"UnitId":"艾拉地雷A","MaxCount":4}</t>
  </si>
  <si>
    <t>艾拉1撤退爆炸</t>
  </si>
  <si>
    <t>减速,艾拉地雷A减命中,艾拉地雷标记</t>
  </si>
  <si>
    <t>艾拉1退场爆炸</t>
  </si>
  <si>
    <t>艾拉2</t>
  </si>
  <si>
    <t>震荡坚守</t>
  </si>
  <si>
    <t>被动效果：陷阱触发时使周围所有目标晕眩，持续5秒\n主动效果：架设机动护盾使自身防御力+300%，攻击范围缩小，攻击对目标周围造成溅射物理伤害且无视其800的防御力\n技能结束时获得一个陷阱</t>
  </si>
  <si>
    <t>skill_icon_skchr_ela_2</t>
  </si>
  <si>
    <t>艾拉2入场获得装置,艾拉2攻击,艾拉2结束,艾拉2结束获得装置,艾拉2撤退爆炸,艾拉2退场爆炸</t>
  </si>
  <si>
    <t>艾拉2启动</t>
  </si>
  <si>
    <t>艾拉2加成,艾拉2动作</t>
  </si>
  <si>
    <t>艾拉2入场获得装置</t>
  </si>
  <si>
    <t>{"Count":4,"UnitId":"艾拉地雷B","MaxCount":4}</t>
  </si>
  <si>
    <t>艾拉2攻击</t>
  </si>
  <si>
    <t>艾拉2加成</t>
  </si>
  <si>
    <t>0,0#0,1#0,-1#1,0#2,0#1,1#1,-1#2,1#2,-1</t>
  </si>
  <si>
    <t>艾拉2攻击暴击</t>
  </si>
  <si>
    <t>Skill_2_Loop</t>
  </si>
  <si>
    <t>艾拉2穿甲,艾拉暴击</t>
  </si>
  <si>
    <t>陨星击中</t>
  </si>
  <si>
    <t>艾拉2穿甲</t>
  </si>
  <si>
    <t>艾拉2结束</t>
  </si>
  <si>
    <t>Skill_2_End</t>
  </si>
  <si>
    <t>艾拉2结束获得装置</t>
  </si>
  <si>
    <t>{"Count":1,"UnitId":"艾拉地雷B","MaxCount":4}</t>
  </si>
  <si>
    <t>艾拉2撤退爆炸</t>
  </si>
  <si>
    <t>眩晕,艾拉地雷标记</t>
  </si>
  <si>
    <t>艾拉2退场爆炸</t>
  </si>
  <si>
    <t>艾拉3</t>
  </si>
  <si>
    <t>“博萨克风暴”</t>
  </si>
  <si>
    <t>被动效果：陷阱触发时使周围所有目标停顿并获得35%的脆弱效果，持续7秒\n主动效果：攻击间隔缩短，攻击力+90%，优先攻击受到雷鸣地雷效果影响的敌人\n攻击装有40发子弹，打完后技能结束（期间可随时停止技能），技能结束时获得两个陷阱</t>
  </si>
  <si>
    <t>skill_icon_skchr_ela_3</t>
  </si>
  <si>
    <t>艾拉3攻击,艾拉3结束,艾拉3入场获得装置,艾拉3结束获得装置,艾拉3攻击标记,艾拉3撤退爆炸,艾拉3退场爆炸</t>
  </si>
  <si>
    <t>艾拉3启动</t>
  </si>
  <si>
    <t>艾拉3加成,艾拉3动作</t>
  </si>
  <si>
    <t>-0.35,0.9</t>
  </si>
  <si>
    <t>艾拉3入场获得装置</t>
  </si>
  <si>
    <t>{"Count":4,"UnitId":"艾拉地雷C","MaxCount":4}</t>
  </si>
  <si>
    <t>艾拉3攻击</t>
  </si>
  <si>
    <t>艾拉3加成</t>
  </si>
  <si>
    <t>艾拉地雷标记</t>
  </si>
  <si>
    <t>艾拉3攻击暴击</t>
  </si>
  <si>
    <r>
      <rPr>
        <sz val="10.5"/>
        <color rgb="FF333639"/>
        <rFont val="Arial"/>
        <family val="2"/>
      </rPr>
      <t>Skill_Down_3_Loop</t>
    </r>
  </si>
  <si>
    <t>艾拉3攻击标记</t>
  </si>
  <si>
    <t>艾拉3结束</t>
  </si>
  <si>
    <t>艾拉3结束获得装置</t>
  </si>
  <si>
    <t>{"Count":2,"UnitId":"艾拉地雷C","MaxCount":4}</t>
  </si>
  <si>
    <t>艾拉地雷入场</t>
  </si>
  <si>
    <t>艾拉地雷射程</t>
  </si>
  <si>
    <t>绝食,隐身,艾拉地雷光环</t>
  </si>
  <si>
    <t>艾拉3撤退爆炸</t>
  </si>
  <si>
    <t>减速,易伤,艾拉地雷标记</t>
  </si>
  <si>
    <t>艾拉3退场爆炸</t>
  </si>
  <si>
    <t>触发时使周围所有目标停顿且物理与法术命中率-40%，持续10秒</t>
  </si>
  <si>
    <t>艾拉地雷A索敌</t>
  </si>
  <si>
    <t>艾拉地雷A爆炸</t>
  </si>
  <si>
    <t>艾拉地雷退场</t>
  </si>
  <si>
    <t>触发时使周围所有目标晕眩，持续5秒</t>
  </si>
  <si>
    <t>艾拉地雷B索敌</t>
  </si>
  <si>
    <t>艾拉地雷B爆炸</t>
  </si>
  <si>
    <t>触发时使周围所有目标停顿并获得35%的脆弱效果，持续7秒</t>
  </si>
  <si>
    <t>艾拉地雷C索敌</t>
  </si>
  <si>
    <t>艾拉地雷C爆炸</t>
  </si>
  <si>
    <t>干员链式弹道索敌</t>
  </si>
  <si>
    <t>禁止主动</t>
  </si>
  <si>
    <t>放置降序</t>
  </si>
  <si>
    <t>0,0#-1,-1#0,-1#1,-1#-1,0#1,0#-1,1#0,1#1,1</t>
  </si>
  <si>
    <t>干员m3攻击</t>
  </si>
  <si>
    <t>血量比例升序</t>
  </si>
  <si>
    <t>m3自身攻速</t>
  </si>
  <si>
    <t>M3链式弹道</t>
  </si>
  <si>
    <t>m3攻速提升buff</t>
  </si>
  <si>
    <t>夜莺普攻击中</t>
  </si>
  <si>
    <t>获取重构体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</si>
  <si>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</si>
  <si>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</si>
  <si>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</si>
  <si>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</si>
  <si>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</si>
  <si>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</si>
  <si>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</si>
  <si>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</si>
  <si>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</si>
  <si>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</si>
  <si>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</si>
  <si>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</si>
  <si>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</si>
  <si>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</si>
  <si>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</si>
  <si>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m32攻击,m32结束,m32自身结束</t>
  </si>
  <si>
    <t>m32追加,m32启动</t>
  </si>
  <si>
    <t>m32加成,m32动作</t>
  </si>
  <si>
    <t>m32攻击</t>
  </si>
  <si>
    <t>m3对重构体,m32自身攻速</t>
  </si>
  <si>
    <t>m3攻速提升buff,m32攻速提升buff</t>
  </si>
  <si>
    <t>m3对重构体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</si>
  <si>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</si>
  <si>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</si>
  <si>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</si>
  <si>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</si>
  <si>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</si>
  <si>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</si>
  <si>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</si>
  <si>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m32自身结束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</si>
  <si>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</si>
  <si>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</si>
  <si>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</si>
  <si>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</si>
  <si>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</si>
  <si>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</si>
  <si>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</si>
  <si>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</si>
  <si>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</si>
  <si>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m3标记</t>
  </si>
  <si>
    <t>无敌</t>
  </si>
  <si>
    <t>部署地面m3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</si>
  <si>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</si>
  <si>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</si>
  <si>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</si>
  <si>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</si>
  <si>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</si>
  <si>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</si>
  <si>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</si>
  <si>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</si>
  <si>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</si>
  <si>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m33治疗</t>
  </si>
  <si>
    <t>m3抬手</t>
  </si>
  <si>
    <t>阿米娅3击中</t>
  </si>
  <si>
    <t>地面m3死亡</t>
  </si>
  <si>
    <t>{"Time":25}</t>
  </si>
  <si>
    <t>地面m3落地无敌</t>
  </si>
  <si>
    <t>地面m3释放buff</t>
  </si>
  <si>
    <t>逻各斯攻击</t>
  </si>
  <si>
    <t>0,0#0,1#0,-1#1,0#2,0#1,1#1,-1#2,1#2,-1#3,0</t>
  </si>
  <si>
    <t>逻各斯附加</t>
  </si>
  <si>
    <t>史都华德弹道</t>
  </si>
  <si>
    <t>{"Dark":0.08}</t>
  </si>
  <si>
    <t>逻减抗,法术易伤</t>
  </si>
  <si>
    <t>阿米娅击中</t>
  </si>
  <si>
    <t>随机</t>
  </si>
  <si>
    <t>逻各斯附加伤害</t>
  </si>
  <si>
    <t>逻附加减抗</t>
  </si>
  <si>
    <t>逻各斯附加元素伤害</t>
  </si>
  <si>
    <t>逻附加子弹</t>
  </si>
  <si>
    <t>洁哥普攻击中</t>
  </si>
  <si>
    <t>逻各斯附加,凋亡虚弱</t>
  </si>
  <si>
    <t>Element</t>
  </si>
  <si>
    <t>夜烟2击中</t>
  </si>
  <si>
    <t>逻各斯1</t>
  </si>
  <si>
    <t>殁亡</t>
  </si>
  <si>
    <t>攻击范围扩大，攻击力+100%，使攻击范围内生命值低于逻各斯攻击力150%的敌人立刻倒下、并对另一个随机目标造成与倒下单位生命值相等的法术伤害\n持续时间无限</t>
  </si>
  <si>
    <t>skill_icon_skchr_logos_1</t>
  </si>
  <si>
    <t>逻各斯1攻击,逻1斩杀</t>
  </si>
  <si>
    <t>逻各斯1启动</t>
  </si>
  <si>
    <t>逻各斯1加成,逻各斯1动作</t>
  </si>
  <si>
    <t>{"ShowRange":1,"Color":"#397CC0","Alpha":0.5}</t>
  </si>
  <si>
    <t>逻各斯1攻击</t>
  </si>
  <si>
    <t>逻各斯1加成</t>
  </si>
  <si>
    <t>Skill_1_Attack</t>
  </si>
  <si>
    <t>逻1斩杀</t>
  </si>
  <si>
    <t>Target.Hp&lt;Unit.Attack*1.5</t>
  </si>
  <si>
    <t>罗即死</t>
  </si>
  <si>
    <t>Skill_1_Begin</t>
  </si>
  <si>
    <t>逻各斯2</t>
  </si>
  <si>
    <t>提喻</t>
  </si>
  <si>
    <t>法术抗性+70，攻击改为锁定一个目标对其每0.5秒造成一次相当于攻击力75%的法术伤害，对相同目标的伤害逐渐提高至3倍并使其移动速度逐渐降低至40%(锁定5秒后达到上限)，被打断或目标倒下时重新索敌且效果重置，技能期间第一天赋只会攻击锁定目标</t>
  </si>
  <si>
    <t>skill_icon_skchr_logos_2</t>
  </si>
  <si>
    <t>逻各斯2攻击,逻各斯2结束</t>
  </si>
  <si>
    <t>逻各斯2启动</t>
  </si>
  <si>
    <t>逻各斯2加成,逻各斯2动作</t>
  </si>
  <si>
    <t>洁哥2抬手</t>
  </si>
  <si>
    <t>逻各斯2攻击</t>
  </si>
  <si>
    <t>逻各斯2动作</t>
  </si>
  <si>
    <t>逻各斯2附加</t>
  </si>
  <si>
    <t>逻2伤害</t>
  </si>
  <si>
    <t>逻2减速,逻2锁定</t>
  </si>
  <si>
    <t>逻2锁定</t>
  </si>
  <si>
    <t>逻各斯2延迟结束</t>
  </si>
  <si>
    <t>逻各斯2结束</t>
  </si>
  <si>
    <t>逻各斯3</t>
  </si>
  <si>
    <t>延异视阈</t>
  </si>
  <si>
    <t>攻击范围扩大，攻击力+300%，同时攻击4个目标，使攻击范围内敌方子弹的飞行速度大幅降低、并在技能结束时将其全部清除</t>
  </si>
  <si>
    <t>skill_icon_skchr_logos_3</t>
  </si>
  <si>
    <t>0,0#0,1#0,-1#1,0#2,0#1,1#1,-1#2,1#2,-1#3,0#3,-1#3,1#0,2#0,-2#1,2#1,-2#2,2#2,-2</t>
  </si>
  <si>
    <t>逻各斯3攻击,逻各斯3结束</t>
  </si>
  <si>
    <t>逻各斯3启动</t>
  </si>
  <si>
    <t>逻各斯3加成,逻各斯3动作</t>
  </si>
  <si>
    <t>阿米娅3启动</t>
  </si>
  <si>
    <t>阿米娅3持续</t>
  </si>
  <si>
    <t>逻各斯3攻击</t>
  </si>
  <si>
    <t>逻各斯3动作</t>
  </si>
  <si>
    <t>逻各斯3附加</t>
  </si>
  <si>
    <t>Skill_3_Attack</t>
  </si>
  <si>
    <t>逻各斯3结束</t>
  </si>
  <si>
    <t>烛煌攻击</t>
  </si>
  <si>
    <t>烛煌治愈</t>
  </si>
  <si>
    <t>羊普攻弹道</t>
  </si>
  <si>
    <t>烛煌标记灼燃损伤</t>
  </si>
  <si>
    <t>全局技能</t>
  </si>
  <si>
    <t>烛煌标记</t>
  </si>
  <si>
    <t>{"ElementType":"Fire"}</t>
  </si>
  <si>
    <t>被标记爆发</t>
  </si>
  <si>
    <t>烛煌加攻击</t>
  </si>
  <si>
    <t>烛煌模组</t>
  </si>
  <si>
    <t>烛煌天赋复活</t>
  </si>
  <si>
    <t>锁血治疗</t>
  </si>
  <si>
    <t>致命</t>
  </si>
  <si>
    <t>烛煌复活效果,烛煌天赋复活结束</t>
  </si>
  <si>
    <t>眩晕,寒冷,睡眠</t>
  </si>
  <si>
    <t>烛煌治愈,烛煌盾,烛煌天赋复活动作</t>
  </si>
  <si>
    <t>{"LockHp":0.0001}</t>
  </si>
  <si>
    <t>烛煌复活效果</t>
  </si>
  <si>
    <t>阻挡变化,烛煌绝食,缴械,破坏,眩晕2</t>
  </si>
  <si>
    <t>烛煌天赋复活结束</t>
  </si>
  <si>
    <t>烛煌复活动作</t>
  </si>
  <si>
    <t>复活结束</t>
  </si>
  <si>
    <t>烛煌复活眩晕</t>
  </si>
  <si>
    <t>Revive_End</t>
  </si>
  <si>
    <t>复活结束,烛煌治愈,烛煌盾,烛煌天赋复活动作,烛煌绝食,缴械,阻挡变化,破坏,眩晕2</t>
  </si>
  <si>
    <t>眩晕</t>
  </si>
  <si>
    <t>烛煌2</t>
  </si>
  <si>
    <t>沸血燎原</t>
  </si>
  <si>
    <t>攻击范围改变，攻击间隔增大(+0.9)，攻击力+150%，同时攻击3名敌人；攻击时流失5%的生命并在目标所在位置留下灼烧地段：经过的敌人移动速度-50%，每秒受到烛煌攻击力35%的法术伤害和相当于法术伤害30%的灼燃损伤</t>
  </si>
  <si>
    <t>skill_icon_skchr_blaze2_2</t>
  </si>
  <si>
    <t>烛煌2攻击,烛煌2结束,烛煌2元素损伤</t>
  </si>
  <si>
    <t>烛煌2启动</t>
  </si>
  <si>
    <t>烛煌2加成,烛煌2动作</t>
  </si>
  <si>
    <t>1.5,0.9</t>
  </si>
  <si>
    <t>{"ShowRange":1,"Color":"#ED3F0C","Alpha":0.5}</t>
  </si>
  <si>
    <t>烛煌2攻击</t>
  </si>
  <si>
    <t>烛煌2加成</t>
  </si>
  <si>
    <t>烛煌2流失</t>
  </si>
  <si>
    <r>
      <rPr>
        <sz val="10.5"/>
        <color rgb="FF333639"/>
        <rFont val="Arial"/>
        <family val="2"/>
      </rPr>
      <t>Skill_2_Loop</t>
    </r>
  </si>
  <si>
    <t>烛煌弹道</t>
  </si>
  <si>
    <t>烛煌2标记</t>
  </si>
  <si>
    <t>烛煌2结束</t>
  </si>
  <si>
    <t>烛煌2元素损伤</t>
  </si>
  <si>
    <t>{"Fire":0.105}</t>
  </si>
  <si>
    <t>烛煌3</t>
  </si>
  <si>
    <t>众恶的焚场</t>
  </si>
  <si>
    <t>攻击范围改变，攻击力+115%，攻击间隔大幅缩短(-1.3)，攻击变为群体攻击；若目标处于灼燃损伤爆发期间则额外造成攻击力80%的元素伤害\n自身每秒流失最大生命的3%，攻击装有25发弹药，全场有敌人进入灼燃损伤爆发时获得2颗额外弹药，弹药打完后结束（可随时停止技能）</t>
  </si>
  <si>
    <t>skill_icon_skchr_blaze2_3</t>
  </si>
  <si>
    <t>0,0#1,0#1,1#1,-1#2,0#2,1#2,-1#2,2#2,-2#2,-1#3,0#3,1#3,-1#4,0</t>
  </si>
  <si>
    <t>烛煌3攻击,烛煌3结束,烛煌3流失</t>
  </si>
  <si>
    <t>烛煌3启动</t>
  </si>
  <si>
    <t>烛煌3加成,烛煌3动作</t>
  </si>
  <si>
    <t>1.15,-1.3</t>
  </si>
  <si>
    <t>烛煌3流失</t>
  </si>
  <si>
    <t>烛煌3加成</t>
  </si>
  <si>
    <t>烛煌3攻击</t>
  </si>
  <si>
    <t>烛煌3元素损伤</t>
  </si>
  <si>
    <t>烛煌3附加元素伤害</t>
  </si>
  <si>
    <t>烛煌3标记,烛煌3标记2</t>
  </si>
  <si>
    <t>远山2抬手</t>
  </si>
  <si>
    <t>烛煌3标记</t>
  </si>
  <si>
    <t>{"Fire":0.18}</t>
  </si>
  <si>
    <t>烛煌3标记2,灼燃损伤减法抗</t>
  </si>
  <si>
    <t>烛煌3标记2</t>
  </si>
  <si>
    <t>烛煌3结束</t>
  </si>
  <si>
    <t>真言攻击</t>
  </si>
  <si>
    <r>
      <rPr>
        <sz val="10.5"/>
        <color rgb="FF333639"/>
        <rFont val="Arial"/>
        <family val="2"/>
      </rPr>
      <t>Attack</t>
    </r>
  </si>
  <si>
    <t>真言模组</t>
  </si>
  <si>
    <t>真言酒神标记损伤</t>
  </si>
  <si>
    <t>神经爆发标记</t>
  </si>
  <si>
    <t>真言标记损伤</t>
  </si>
  <si>
    <t>真言标记</t>
  </si>
  <si>
    <t>神经损伤麻痹</t>
  </si>
  <si>
    <t>真言标记爆发,真言标记麻痹</t>
  </si>
  <si>
    <t>真言标记麻痹</t>
  </si>
  <si>
    <t>真言麻痹</t>
  </si>
  <si>
    <t>真言标记爆发</t>
  </si>
  <si>
    <t>真言入场</t>
  </si>
  <si>
    <t>红门</t>
  </si>
  <si>
    <t>自身距离升序</t>
  </si>
  <si>
    <t>真言天赋二</t>
  </si>
  <si>
    <t>出场</t>
  </si>
  <si>
    <t>真言入场标记</t>
  </si>
  <si>
    <t>真言入场标记,真言麻痹</t>
  </si>
  <si>
    <t>真言1</t>
  </si>
  <si>
    <t>共鸣溃缩</t>
  </si>
  <si>
    <t>下次攻击造成攻击力325%的法术伤害并附带伤害x%的神经损伤，若目标处于神经损伤爆发期间则额外造成攻击力200%的元素伤害</t>
  </si>
  <si>
    <t>skill_icon_skcom_powerstrike[3]</t>
  </si>
  <si>
    <t>真言1元素伤害</t>
  </si>
  <si>
    <r>
      <rPr>
        <sz val="10.5"/>
        <color rgb="FF333639"/>
        <rFont val="Arial"/>
        <family val="2"/>
      </rPr>
      <t>Skill_1</t>
    </r>
  </si>
  <si>
    <t>{"Sanity":0.3}</t>
  </si>
  <si>
    <t>真言2</t>
  </si>
  <si>
    <t>意识联协</t>
  </si>
  <si>
    <t>攻击间隔缩短（-0.8），攻击造成攻击力240%的法术伤害并跳跃至其他数名敌人造成攻击力120%的法术伤害,均附带伤害18%的神经损伤,若目标处于神经损伤爆发期间则附带攻击力25%的元素伤害</t>
  </si>
  <si>
    <t>真言2攻击,真言2其他目标伤害,真言2结束</t>
  </si>
  <si>
    <t>真言2启动</t>
  </si>
  <si>
    <t>真言2加成,真言2动作</t>
  </si>
  <si>
    <t>真言2攻击</t>
  </si>
  <si>
    <t>真言2加成</t>
  </si>
  <si>
    <t>真言2元素伤害</t>
  </si>
  <si>
    <t>真言2其他目标</t>
  </si>
  <si>
    <t>{"Sanity":0.432}</t>
  </si>
  <si>
    <t>真言其他目标</t>
  </si>
  <si>
    <t>真言主目标</t>
  </si>
  <si>
    <t>真言2链式弹道</t>
  </si>
  <si>
    <t>真言其他目标,真言2元素伤害</t>
  </si>
  <si>
    <t>真言2其他目标伤害</t>
  </si>
  <si>
    <t>{"Sanity":0.216}</t>
  </si>
  <si>
    <t>神经爆发标记,真言2元素伤害</t>
  </si>
  <si>
    <t>真言链式弹道索敌</t>
  </si>
  <si>
    <t>真言2结束</t>
  </si>
  <si>
    <t>真言3</t>
  </si>
  <si>
    <t>无言为真</t>
  </si>
  <si>
    <t>攻击范围扩大,范围内敌人隐匿失效且麻痹层数上限下降为2，攻击力+275%,同时攻击2个目标,范围中干员开启技能时(包括自身)使范围内敌人获得2层麻痹(至多3次)，范围内敌人麻痹层数每超过上限1层在目标及1名敌人间跳跃1次攻击力185%的元素伤害,跳跃间存在短暂间隔</t>
  </si>
  <si>
    <t>0,0#0,1#0,-1#1,0#1,1#1,2#1,-1#1,-2#2,0#2,1#2,2#2,-1#2,-2#3,0#3,1#3,2#3,-1#3,-2</t>
  </si>
  <si>
    <t>真言3攻击,真言反隐,真言3释放麻痹,真言3麻痹弹射</t>
  </si>
  <si>
    <t>真言3加成,真言3动作</t>
  </si>
  <si>
    <t>{"ShowRange":1,"Color":"#648CC2","Alpha":0.5}</t>
  </si>
  <si>
    <t>真言3攻击</t>
  </si>
  <si>
    <t>真言3加成</t>
  </si>
  <si>
    <r>
      <rPr>
        <sz val="10.5"/>
        <color rgb="FF333639"/>
        <rFont val="Arial"/>
        <family val="2"/>
      </rPr>
      <t>Skill_3_Loop</t>
    </r>
  </si>
  <si>
    <t>真言反隐</t>
  </si>
  <si>
    <t>真言3释放麻痹</t>
  </si>
  <si>
    <t>释放技能</t>
  </si>
  <si>
    <t>真言3麻痹</t>
  </si>
  <si>
    <t>真言3麻痹弹射</t>
  </si>
  <si>
    <t>真言3链式弹道</t>
  </si>
  <si>
    <t>真言3启动</t>
  </si>
  <si>
    <t>真言3结束</t>
  </si>
  <si>
    <t>乌尔比安攻击</t>
  </si>
  <si>
    <t>幽灵鲨击中</t>
  </si>
  <si>
    <t>乌尔天赋二</t>
  </si>
  <si>
    <t>120,30</t>
  </si>
  <si>
    <t>乌尔比安2</t>
  </si>
  <si>
    <t>必须维系的界限</t>
  </si>
  <si>
    <t>第一天赋的效果提升至2倍，阻挡数+1，生命上限+60%，攻击力+160%\n持续时间无限</t>
  </si>
  <si>
    <t>skill_icon_skchr_ulpia_2</t>
  </si>
  <si>
    <t>乌尔比安2攻击</t>
  </si>
  <si>
    <t>乌尔比安2启动</t>
  </si>
  <si>
    <t>乌尔比安加成,乌尔比安2动作</t>
  </si>
  <si>
    <t>1.6,0.6,1</t>
  </si>
  <si>
    <t>乌尔比安2动作</t>
  </si>
  <si>
    <t>乌尔比安3</t>
  </si>
  <si>
    <t>必须开辟的通路</t>
  </si>
  <si>
    <t>最大生命值+80%，攻击力+260%，立即朝面前扔出一个船锚，撞击到目标或达到最远距离时停止，并对周围所有敌人造成攻击力160%的物理伤害和6秒晕眩。若船锚停留的位置可以部署，乌尔比安会移动到该位置\n可以手动结束技能，技能结束时乌尔比安会返回到初始的位置</t>
  </si>
  <si>
    <t>skill_icon_skchr_ulpia_3</t>
  </si>
  <si>
    <t>乌尔比安3攻击,乌尔比安3结束</t>
  </si>
  <si>
    <t>乌尔比安3启动</t>
  </si>
  <si>
    <t>乌尔比安加成,乌尔比安3动作</t>
  </si>
  <si>
    <t>2.6,0.8,0</t>
  </si>
  <si>
    <t>乌尔比安撞</t>
  </si>
  <si>
    <t>乌尔比安3动作</t>
  </si>
  <si>
    <t>0,0#1,0#2,0#3,0#4,0#5,0#6,0</t>
  </si>
  <si>
    <t>乌尔比安3攻击</t>
  </si>
  <si>
    <r>
      <rPr>
        <sz val="10.5"/>
        <color rgb="FF333639"/>
        <rFont val="Arial"/>
        <family val="2"/>
      </rPr>
      <t>Skill_3_Begin_Down</t>
    </r>
  </si>
  <si>
    <t>乌尔比安3结束</t>
  </si>
  <si>
    <t>水陈攻击</t>
  </si>
  <si>
    <r>
      <rPr>
        <sz val="11"/>
        <color theme="1"/>
        <rFont val="宋体"/>
        <family val="3"/>
        <charset val="134"/>
        <scheme val="minor"/>
      </rPr>
      <t>0,0#1,0</t>
    </r>
    <r>
      <rPr>
        <sz val="11"/>
        <color theme="1"/>
        <rFont val="宋体"/>
        <family val="3"/>
        <charset val="134"/>
        <scheme val="minor"/>
      </rPr>
      <t>#1,1#1,-1#2,0#2,1#2,-1</t>
    </r>
  </si>
  <si>
    <t>Attack_Down</t>
  </si>
  <si>
    <t>水陈特性</t>
  </si>
  <si>
    <t>守林人抬手</t>
  </si>
  <si>
    <t>白金2击中</t>
  </si>
  <si>
    <t>1,0#1,1#1,-1</t>
  </si>
  <si>
    <t>水陈Y模组</t>
  </si>
  <si>
    <t>部署费用提升,水陈Y模组</t>
  </si>
  <si>
    <t>180,100,0.28,20</t>
  </si>
  <si>
    <t>水陈1</t>
  </si>
  <si>
    <t>高压冲击</t>
  </si>
  <si>
    <t>攻击力+100%，对攻击范围内的所有敌人应用特性加成\n攻击装有4发弹药，打完后结束（可随时停止技能）</t>
  </si>
  <si>
    <r>
      <rPr>
        <sz val="11"/>
        <color theme="1"/>
        <rFont val="宋体"/>
        <family val="3"/>
        <charset val="134"/>
        <scheme val="minor"/>
      </rPr>
      <t>skill_icon_skchr_chen2</t>
    </r>
    <r>
      <rPr>
        <sz val="11"/>
        <color theme="1"/>
        <rFont val="宋体"/>
        <family val="3"/>
        <charset val="134"/>
        <scheme val="minor"/>
      </rPr>
      <t>_</t>
    </r>
    <r>
      <rPr>
        <sz val="11"/>
        <color theme="1"/>
        <rFont val="宋体"/>
        <family val="3"/>
        <charset val="134"/>
        <scheme val="minor"/>
      </rPr>
      <t>1</t>
    </r>
  </si>
  <si>
    <t>水陈1攻击,水陈1结束</t>
  </si>
  <si>
    <t>水陈1启动</t>
  </si>
  <si>
    <t>水陈技能加成,水陈1动作</t>
  </si>
  <si>
    <t>水陈1攻击</t>
  </si>
  <si>
    <t>水陈技能加成</t>
  </si>
  <si>
    <t>水陈1攻击天赋</t>
  </si>
  <si>
    <t>Skill_Loop</t>
  </si>
  <si>
    <t>Skill_Loop_Down</t>
  </si>
  <si>
    <t>雷蛇抬手</t>
  </si>
  <si>
    <t>雷蛇2启动</t>
  </si>
  <si>
    <t>雷蛇2抬手</t>
  </si>
  <si>
    <t>Skill_Begin</t>
  </si>
  <si>
    <t>水陈1结束</t>
  </si>
  <si>
    <t>Skill_End</t>
  </si>
  <si>
    <t>水陈2</t>
  </si>
  <si>
    <t>“堇青之夜”</t>
  </si>
  <si>
    <t>攻击力+80%，每次攻击在范围内生成持续5秒的粘液，地面敌人经过时移动速度-35%、防御力-170（不叠加）\n攻击装有20发弹药，打完后结束（可随时停止技能）</t>
  </si>
  <si>
    <t>skill_icon_skchr_chen2_2</t>
  </si>
  <si>
    <t>水陈2攻击,水陈2光环,水陈2结束</t>
  </si>
  <si>
    <t>水陈2启动</t>
  </si>
  <si>
    <t>水陈技能加成,水陈2动作</t>
  </si>
  <si>
    <t>水陈2攻击</t>
  </si>
  <si>
    <t>水陈2攻击天赋</t>
  </si>
  <si>
    <t>水陈粘液</t>
  </si>
  <si>
    <t>Skill_1_Loop_Down</t>
  </si>
  <si>
    <t>水陈3</t>
  </si>
  <si>
    <t>水陈2光环</t>
  </si>
  <si>
    <t>水陈技能减防,减速</t>
  </si>
  <si>
    <t>水陈2结束</t>
  </si>
  <si>
    <t>Skill_1_End</t>
  </si>
  <si>
    <t>“假日风暴”</t>
  </si>
  <si>
    <t>攻击范围扩大，攻击力+100%，攻击造成两次伤害，对攻击范围内的所有敌人应用特性加成，每次攻击在范围内生成持续5秒的粘液，地面敌人经过时移动速度-45%、防御力-220（不叠加）\n攻击装有32发弹药，打完后结束（可随时停止技能）</t>
  </si>
  <si>
    <t>skill_icon_skchr_chen2_3</t>
  </si>
  <si>
    <t>0,0#1,0#1,1#1,-1#2,0#2,1#2,-1#2,2#2,-2</t>
  </si>
  <si>
    <t>水陈3攻击,水陈3光环,水陈3结束</t>
  </si>
  <si>
    <t>水陈3启动</t>
  </si>
  <si>
    <t>水陈技能加成,水陈3动作</t>
  </si>
  <si>
    <t>水陈3攻击</t>
  </si>
  <si>
    <t>水陈3攻击天赋</t>
  </si>
  <si>
    <t>Skill_2_Loop_Down</t>
  </si>
  <si>
    <t>水陈3光环</t>
  </si>
  <si>
    <t>水陈3结束</t>
  </si>
  <si>
    <t>水陈3pro</t>
  </si>
  <si>
    <t>“假日风暴”Pro</t>
  </si>
  <si>
    <t>攻击范围扩大，攻击力+100%，攻击造成两次伤害，特性提升至1.5倍并对攻击范围内的所有敌人应用特性加成，每次攻击在范围内生成持续5秒的粘液，地面敌人经过时移动速度-45%、防御力-220（不叠加）\n攻击装有32发弹药，打完后结束（可随时停止技能）</t>
  </si>
  <si>
    <t>水陈3攻击pro,水陈3光环,水陈3结束</t>
  </si>
  <si>
    <t>水陈3攻击pro</t>
  </si>
  <si>
    <t>水陈3攻击天赋pro</t>
  </si>
  <si>
    <t>蕾缪安攻击</t>
  </si>
  <si>
    <t>蕾缪安标记</t>
  </si>
  <si>
    <t>防御升序</t>
  </si>
  <si>
    <t>0,0#0,1#0,-1#1,0#2,0#1,1#1,-1#2,1#2,-1#3,0#3,1#3,-1#0,2#0,-2#1,2#1,-2#2,2#2,-2#4,0</t>
  </si>
  <si>
    <t>蕾缪安攻击2</t>
  </si>
  <si>
    <t>Attack_Down_Begin,Attack_Down_Loop,Attack_Down_End</t>
  </si>
  <si>
    <t>蕾缪安天赋</t>
  </si>
  <si>
    <t>蕾缪安模组特性</t>
  </si>
  <si>
    <t>回复技力</t>
  </si>
  <si>
    <t>{"PowerCount":1}</t>
  </si>
  <si>
    <t>落地</t>
  </si>
  <si>
    <t>蕾缪安天赋二</t>
  </si>
  <si>
    <t>蕾缪安2</t>
  </si>
  <si>
    <t>归乡邀约</t>
  </si>
  <si>
    <t>攻击速度+80，攻击力+70%，场上有被通缉敌人时会消耗1发弹药对其瞄准最多3.5秒后进行无视闪避的狙击（期间攻击力从180%逐渐提升至425%，攻击力高于敌人剩余生命值和防御力之和时停止瞄准并立刻攻击）\n攻击装有7发弹药，打完后结束（可随时停止技能）</t>
  </si>
  <si>
    <t>skill_icon_skchr_glaze_1</t>
  </si>
  <si>
    <t>蕾缪安2攻击,蕾缪安2攻击瞄准,蕾缪安瞄准,蕾缪安瞄准低于</t>
  </si>
  <si>
    <t>蕾缪安2buff,蕾缪安2动作</t>
  </si>
  <si>
    <t>0.7,80</t>
  </si>
  <si>
    <t>蕾缪安2攻击</t>
  </si>
  <si>
    <t>蕾缪安2buff</t>
  </si>
  <si>
    <t>蕾缪安2,蕾缪安2攻击</t>
  </si>
  <si>
    <t>蕾缪安瞄准低于</t>
  </si>
  <si>
    <t>Unit.Attack*1.8&gt;Target.Hp + Target.Defence</t>
  </si>
  <si>
    <t>蕾缪安2buff,蕾缪安2</t>
  </si>
  <si>
    <t>蕾缪安瞄准低于自身</t>
  </si>
  <si>
    <t>蕾缪安2标记</t>
  </si>
  <si>
    <t>蕾缪安瞄准</t>
  </si>
  <si>
    <t>蕾缪安瞄准自身</t>
  </si>
  <si>
    <t>蕾缪安2攻击瞄准</t>
  </si>
  <si>
    <t>食铁兽2抬手</t>
  </si>
  <si>
    <t>推王3击中</t>
  </si>
  <si>
    <t>蕾缪安3</t>
  </si>
  <si>
    <t>礼炮·强制追思</t>
  </si>
  <si>
    <t>停止攻击，每0.5秒消耗1发弹药依次锁定敌人，技能结束时对每名被锁定的敌人所在位置进行轰炸，轰炸造成攻击力300%的范围物理伤害（中心伤害提升至攻击力的450%）\n攻击装有5发弹药，打完后结束（可随时停止技能）</t>
  </si>
  <si>
    <t>skill_icon_skchr_glaze_2</t>
  </si>
  <si>
    <t>蕾缪安3结束,蕾缪安3攻击</t>
  </si>
  <si>
    <t>蕾缪安3启动</t>
  </si>
  <si>
    <t>蕾缪安3动作</t>
  </si>
  <si>
    <t>蕾缪安3攻击</t>
  </si>
  <si>
    <t>蕾缪安3攻击2</t>
  </si>
  <si>
    <t>守林人2击中</t>
  </si>
  <si>
    <t>蕾缪安3结束</t>
  </si>
  <si>
    <t>维什戴尔攻击</t>
  </si>
  <si>
    <t>维什戴尔余震</t>
  </si>
  <si>
    <t>维什戴尔主目标</t>
  </si>
  <si>
    <t>Attack_A</t>
  </si>
  <si>
    <t>洁哥2弹道</t>
  </si>
  <si>
    <t>维什戴尔余震标记</t>
  </si>
  <si>
    <t>空爆启动</t>
  </si>
  <si>
    <t>W</t>
  </si>
  <si>
    <t>维什戴尔残影标记</t>
  </si>
  <si>
    <t>击中</t>
  </si>
  <si>
    <t>维什戴尔爆炸标记</t>
  </si>
  <si>
    <t>炎溶击中</t>
  </si>
  <si>
    <t>维什戴尔爆炸</t>
  </si>
  <si>
    <t>维什戴尔爆炸标记,维什戴尔残影标记</t>
  </si>
  <si>
    <t>维什戴尔召唤</t>
  </si>
  <si>
    <t>给予魂灵范围</t>
  </si>
  <si>
    <t>隐身</t>
  </si>
  <si>
    <t>0,0#0,1#0,-1#1,0#0,-1</t>
  </si>
  <si>
    <t>魂灵之影结束</t>
  </si>
  <si>
    <t>魂灵之影停顿,维什戴尔残影标记</t>
  </si>
  <si>
    <t>{"PowerCount":0,"PowerCount2":3}</t>
  </si>
  <si>
    <t>维什戴尔1</t>
  </si>
  <si>
    <t>定点清算</t>
  </si>
  <si>
    <t>下次攻击额外造成2次余震并使所有目标晕眩1.5秒，此次攻击的溅射范围略微扩大且余震伤害变为攻击力的120%</t>
  </si>
  <si>
    <t>skill_icon_skchr_wisdel_1</t>
  </si>
  <si>
    <t>维什戴尔1余震</t>
  </si>
  <si>
    <t>维什戴尔1余震标记,眩晕</t>
  </si>
  <si>
    <t>维什戴尔1余震标记</t>
  </si>
  <si>
    <t>维什戴尔2</t>
  </si>
  <si>
    <t>饱和复仇</t>
  </si>
  <si>
    <t>攻击力+35%，攻击间隔缩短(-0.7)，可同时攻击3名敌人\n过载：攻击改为攻击力80%的4连发，随机攻击范围内的目标\n该技能可随时主动关闭</t>
  </si>
  <si>
    <t>skill_icon_skchr_wisdel_2</t>
  </si>
  <si>
    <t>维什戴尔2攻击,维什戴尔2结束,维什戴尔一阶段,维什戴尔2过载启动</t>
  </si>
  <si>
    <t>维什戴尔2启动</t>
  </si>
  <si>
    <t>维什戴尔2加成,维什戴尔2动作</t>
  </si>
  <si>
    <t>0.35,-0.7</t>
  </si>
  <si>
    <t>维什戴尔一阶段</t>
  </si>
  <si>
    <t>维什戴尔2攻击</t>
  </si>
  <si>
    <t>维什戴尔2余震</t>
  </si>
  <si>
    <t>维什戴尔2主目标</t>
  </si>
  <si>
    <t>维什戴尔2余震标记</t>
  </si>
  <si>
    <t>塞雷娅1启动</t>
  </si>
  <si>
    <t>洁哥2击中</t>
  </si>
  <si>
    <t>维什戴尔2过载主目标</t>
  </si>
  <si>
    <t>维什戴尔2过载动作</t>
  </si>
  <si>
    <t>维什戴尔2过载攻击</t>
  </si>
  <si>
    <t>Skill_2_Overload_Loop</t>
  </si>
  <si>
    <t>维什戴尔残影标记,过载主目标标记</t>
  </si>
  <si>
    <t>过载主目标标记</t>
  </si>
  <si>
    <t>维什戴尔2过载余震</t>
  </si>
  <si>
    <t>维什戴尔2过载余震标记</t>
  </si>
  <si>
    <t>维什戴尔2过载启动</t>
  </si>
  <si>
    <t>维什戴尔2加成</t>
  </si>
  <si>
    <t>维什戴尔一阶段,维什戴尔2过载动作</t>
  </si>
  <si>
    <t>维什戴尔2过载主目标,维什戴尔2过载结束</t>
  </si>
  <si>
    <t>Skill_2_Overload_Begin</t>
  </si>
  <si>
    <t>维什戴尔2结束</t>
  </si>
  <si>
    <t>维什戴尔2过载结束</t>
  </si>
  <si>
    <t>Skill_2_Overload_End</t>
  </si>
  <si>
    <t>维什戴尔3</t>
  </si>
  <si>
    <t>爆裂黎明</t>
  </si>
  <si>
    <t>立刻在攻击范围内召唤2个魂灵之影（最多存在3个，技能结束后保留），攻击力+180%，攻击间隔大幅增大(+2.9)，攻击时攻击力提升至220%，溅射范围大幅扩大且第一天赋的发动概率提高至100%\n攻击装有6发弹药，打完后结束（可随时停止技能）</t>
  </si>
  <si>
    <t>skill_icon_skchr_wisdel_3</t>
  </si>
  <si>
    <t>维什戴尔3攻击,维什戴尔3余震,维什戴尔3结束,维什戴尔3召唤,维什戴尔3技力</t>
  </si>
  <si>
    <t>维什戴尔3启动</t>
  </si>
  <si>
    <t>维什戴尔3加成,维什戴尔3动作</t>
  </si>
  <si>
    <t>1.8,2.9</t>
  </si>
  <si>
    <t>维什戴尔3召唤</t>
  </si>
  <si>
    <t>维什戴尔3技力</t>
  </si>
  <si>
    <t>入场</t>
  </si>
  <si>
    <t>维什戴尔3加成</t>
  </si>
  <si>
    <t>维什代尔3技力标记</t>
  </si>
  <si>
    <t>维什戴尔3技力结束</t>
  </si>
  <si>
    <t>{"PowerCount":3}</t>
  </si>
  <si>
    <t>维什戴尔3攻击</t>
  </si>
  <si>
    <t>维什戴尔3余震标记</t>
  </si>
  <si>
    <t>阿米娅3抬手</t>
  </si>
  <si>
    <t>红2抬手</t>
  </si>
  <si>
    <t>维什戴尔3余震</t>
  </si>
  <si>
    <t>维什戴尔3结束</t>
  </si>
  <si>
    <t>维什戴尔3加成,维什戴尔3动作,维什代尔3技力标记</t>
  </si>
  <si>
    <t>风笛被动</t>
  </si>
  <si>
    <t>杰作攻击</t>
  </si>
  <si>
    <t>重量降序</t>
  </si>
  <si>
    <t>2,0#2,1#2,2#2,-1#2,-2#3,0#3,1#3,2#3,-1#3,-2#4,0#4,1#4,-1</t>
  </si>
  <si>
    <t>杰作攻击重量3</t>
  </si>
  <si>
    <t>浮士德弹道</t>
  </si>
  <si>
    <t>杰作穿甲</t>
  </si>
  <si>
    <t>Target.Weight&gt;3</t>
  </si>
  <si>
    <t>杰作穿甲3</t>
  </si>
  <si>
    <t>杰作天赋二</t>
  </si>
  <si>
    <t>杰作,凛冬,真理,古米</t>
  </si>
  <si>
    <t>攻击变化f</t>
  </si>
  <si>
    <t>杰作1</t>
  </si>
  <si>
    <t>精准射击</t>
  </si>
  <si>
    <t>技能期间停止攻击，技能结束时对范围内一个目标造成共计8次相当于攻击力160%的物理伤害且必定触发天赋一</t>
  </si>
  <si>
    <t>skill_icon_skcom_atk_up[3]</t>
  </si>
  <si>
    <t>杰作1攻击</t>
  </si>
  <si>
    <t>杰作3穿甲</t>
  </si>
  <si>
    <t>杰作2</t>
  </si>
  <si>
    <t>分裂矢</t>
  </si>
  <si>
    <t>攻击间隔-1，攻击变为2连击并对周围1.5半径造成250%的溅射伤害。</t>
  </si>
  <si>
    <t>skill_icon_skchr_poca_2</t>
  </si>
  <si>
    <t>杰作2攻击</t>
  </si>
  <si>
    <t>攻击间隔变化</t>
  </si>
  <si>
    <t>杰作2攻击重量3</t>
  </si>
  <si>
    <t>陨星2击中</t>
  </si>
  <si>
    <t>杰作3</t>
  </si>
  <si>
    <t>罪与罚！</t>
  </si>
  <si>
    <t>对全场最重的3名敌人施加“审判标记”并造成无视70%防御相当于目标最大生命值5%的物理伤害，即使不在攻击范围内也会优先攻击他们。攻击力+100%，攻击变为3连击并附加1.8秒眩晕，对标记目标的攻击力提升至320%。所有【乌萨斯学生自治团】干员攻击标记目标时攻击提升至120%</t>
  </si>
  <si>
    <t>skill_icon_skchr_poca_3</t>
  </si>
  <si>
    <t>杰作标记目标,杰作3攻击,杰作3攻击2</t>
  </si>
  <si>
    <t>杰作标记目标</t>
  </si>
  <si>
    <t>杰作3穿甲,杰作3增伤</t>
  </si>
  <si>
    <t>杰作3标记</t>
  </si>
  <si>
    <t>杰作3攻击</t>
  </si>
  <si>
    <t>杰作3攻击重量3</t>
  </si>
  <si>
    <t>杰作3攻击2</t>
  </si>
  <si>
    <t>杰作穿甲,杰作3增伤</t>
  </si>
  <si>
    <t>杰作3攻击2重量3</t>
  </si>
  <si>
    <t>杰作穿甲3,杰作3增伤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</si>
  <si>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</si>
  <si>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</si>
  <si>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</si>
  <si>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</si>
  <si>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</si>
  <si>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</si>
  <si>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</si>
  <si>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</si>
  <si>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</si>
  <si>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</si>
  <si>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</si>
  <si>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</si>
  <si>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</si>
  <si>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</si>
  <si>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</si>
  <si>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</si>
  <si>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</si>
  <si>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</si>
  <si>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</si>
  <si>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</si>
  <si>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</si>
  <si>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</si>
  <si>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绝食</t>
  </si>
  <si>
    <t>{"HealOnly":"斩业星熊"}</t>
  </si>
  <si>
    <t>普通Buff</t>
  </si>
  <si>
    <t>嘉维尔buff</t>
  </si>
  <si>
    <t>数值变化</t>
  </si>
  <si>
    <t>{"t":["AttackRate","MagicDefenceAdd"]}</t>
  </si>
  <si>
    <t>星熊最终生命提升</t>
  </si>
  <si>
    <t>{"t":["AttackRate","DefenceRate"]}</t>
  </si>
  <si>
    <t>{"t":["AttackRate","HpRate"]}</t>
  </si>
  <si>
    <t>斩熊3动作</t>
  </si>
  <si>
    <t>真理2范围</t>
  </si>
  <si>
    <t>{"IdleAnimation":["Skill_3_Idle"]}</t>
  </si>
  <si>
    <t>星熊技力回复变化</t>
  </si>
  <si>
    <t>伤害分摊</t>
  </si>
  <si>
    <t>{"OnlyFatal":1,"IsMainUnit":1,"Group":"星熊3"}</t>
  </si>
  <si>
    <t>{"Group":"星熊3"}</t>
  </si>
  <si>
    <t>锁血</t>
  </si>
  <si>
    <t>{"TriggerPoint":0.1,"CanRecover":1}</t>
  </si>
  <si>
    <t>{"t":["NormalDamageReceiveRate","MagicDamageReceiveRate"]}</t>
  </si>
  <si>
    <t>{"t":["Hatre"]}</t>
  </si>
  <si>
    <t>余3动作</t>
  </si>
  <si>
    <t>数值变化叠加</t>
  </si>
  <si>
    <t>{"t":["AttackRate"],"MaxLevel":40}</t>
  </si>
  <si>
    <t>酒神2动作</t>
  </si>
  <si>
    <t>{"IdleAnimation":["Skill_2_Idle"]}</t>
  </si>
  <si>
    <t>{"t":["ElementBreakRecoverRate"]}</t>
  </si>
  <si>
    <t>酒神3动作</t>
  </si>
  <si>
    <t>{"IdleAnimation":["Skill_3_Loop"]}</t>
  </si>
  <si>
    <t>投降</t>
  </si>
  <si>
    <t>艾拉地雷光环</t>
  </si>
  <si>
    <t>地雷范围</t>
  </si>
  <si>
    <t>艾拉地雷A减命中</t>
  </si>
  <si>
    <t>攻击强化</t>
  </si>
  <si>
    <t>{"t":["DefenceRate"]}</t>
  </si>
  <si>
    <t>艾拉2动作</t>
  </si>
  <si>
    <t>{"t":["AttackGapAdd","AttackRate"]}</t>
  </si>
  <si>
    <t>艾拉3动作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</si>
  <si>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</si>
  <si>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</si>
  <si>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</si>
  <si>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</si>
  <si>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</si>
  <si>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</si>
  <si>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</si>
  <si>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{"HealOnly":"干员M3"}</t>
  </si>
  <si>
    <t>重构体绝食2</t>
  </si>
  <si>
    <t>{"HealOnly":"重构体"}</t>
  </si>
  <si>
    <t>m32动作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</si>
  <si>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</si>
  <si>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</si>
  <si>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</si>
  <si>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</si>
  <si>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</si>
  <si>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</si>
  <si>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</si>
  <si>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</si>
  <si>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</si>
  <si>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</si>
  <si>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</si>
  <si>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</si>
  <si>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逻减抗</t>
  </si>
  <si>
    <t>缴械</t>
  </si>
  <si>
    <t>{"t":["MagicDefenceAdd"]}</t>
  </si>
  <si>
    <t>罗1buff</t>
  </si>
  <si>
    <t>逻各斯1动作</t>
  </si>
  <si>
    <t>{"IdleAnimation":["Skill_1_Idle"]}</t>
  </si>
  <si>
    <t>逻各斯2加成</t>
  </si>
  <si>
    <t>雷蛇2buff</t>
  </si>
  <si>
    <t>{"IdleAnimation":["Skill_2_Loop"]}</t>
  </si>
  <si>
    <t>逻2减速</t>
  </si>
  <si>
    <t>{"t":["SpeedRate"],"MaxLevel":10}</t>
  </si>
  <si>
    <t>逻2增伤</t>
  </si>
  <si>
    <t>{"t":["AttackRateFin"],"MaxLevel":10}</t>
  </si>
  <si>
    <t>逻各斯3加成</t>
  </si>
  <si>
    <t>{"t":["AttackRateFin"]}</t>
  </si>
  <si>
    <t>烛煌回血</t>
  </si>
  <si>
    <t>治愈</t>
  </si>
  <si>
    <t>{"TriggerTime":0.5,"DamageBase":2}</t>
  </si>
  <si>
    <t>烛煌天赋复活动作</t>
  </si>
  <si>
    <t>{"IdleAnimation":["Revive_Begin","Revive_Idle"]}</t>
  </si>
  <si>
    <t>烛煌绝食</t>
  </si>
  <si>
    <t>{"HealOnly":"烛煌"}</t>
  </si>
  <si>
    <t>烛煌盾</t>
  </si>
  <si>
    <t>屏障</t>
  </si>
  <si>
    <t>砾2buff</t>
  </si>
  <si>
    <t>{"ShieldType":"Real","Base":0,"AutoReduce":0}</t>
  </si>
  <si>
    <t>{"t":["AttackRate","AttackGapAdd"]}</t>
  </si>
  <si>
    <t>烛煌2动作</t>
  </si>
  <si>
    <t>烛煌3动作</t>
  </si>
  <si>
    <t>艾斯黛尔buff</t>
  </si>
  <si>
    <t>麻痹</t>
  </si>
  <si>
    <t>沉默</t>
  </si>
  <si>
    <t>{"Times":1}</t>
  </si>
  <si>
    <t>闪灵1buff</t>
  </si>
  <si>
    <t>{"t":["AttackGapAdd"]}</t>
  </si>
  <si>
    <t>真言2动作</t>
  </si>
  <si>
    <t>白面鸮buff</t>
  </si>
  <si>
    <t>{"Times":2}</t>
  </si>
  <si>
    <t>真言3动作</t>
  </si>
  <si>
    <t>缠丸buff</t>
  </si>
  <si>
    <t>红门辅助buff</t>
  </si>
  <si>
    <t>{"t":["HpAdd","AttackAdd"],"MaxLevel":10}</t>
  </si>
  <si>
    <t>{"IdleAnimation":["Skill_2_Idle"],"DieAnimation":["Skill_2_Die"]}</t>
  </si>
  <si>
    <t>乌尔比安加成</t>
  </si>
  <si>
    <t>{"t":["AttackRate","HpRate","StopCountAdd"]}</t>
  </si>
  <si>
    <t>夜莺1buff</t>
  </si>
  <si>
    <t>水陈1动作</t>
  </si>
  <si>
    <t>{"IdleAnimation":["Skill_Idle"],"StunAnimation":["Skill_Daze"]}</t>
  </si>
  <si>
    <t>水陈2动作</t>
  </si>
  <si>
    <t>{"IdleAnimation":["Skill_1_Idle"],"StunAnimation":["Skill_1_Daze"]}</t>
  </si>
  <si>
    <t>水陈3动作</t>
  </si>
  <si>
    <t>{"IdleAnimation":["Skill_2_Idle"],"StunAnimation":["Skill_2_Daze"]}</t>
  </si>
  <si>
    <t>水陈技能减防</t>
  </si>
  <si>
    <t>降防</t>
  </si>
  <si>
    <t>{"t":["DefenceAdd"]}</t>
  </si>
  <si>
    <t>水陈技能减速</t>
  </si>
  <si>
    <t>数值乘算变化</t>
  </si>
  <si>
    <t>{"t":["LastSpeedRate"]}</t>
  </si>
  <si>
    <t>{"t":["HpAdd","AttackAdd","AttackRate","AgiAdd"]}</t>
  </si>
  <si>
    <t>蕾缪安通缉类停留时间标记</t>
  </si>
  <si>
    <t>{"Time":6,"WantedBuffs":["蕾缪安标记"]}</t>
  </si>
  <si>
    <t>星熊3眼睛特效</t>
  </si>
  <si>
    <t>能天使祝福</t>
  </si>
  <si>
    <t>{"t":["AttackRate","AgiAdd"]}</t>
  </si>
  <si>
    <t>蕾缪安2动作</t>
  </si>
  <si>
    <t>洁哥蓄力</t>
  </si>
  <si>
    <t>{"IdleAnimation":["Skill_2_Begin","Skill_2_Idle"]}</t>
  </si>
  <si>
    <t>刁民</t>
  </si>
  <si>
    <t>洁哥3抬手</t>
  </si>
  <si>
    <t>维什戴尔天赋爆炸</t>
  </si>
  <si>
    <t>魂灵之影停顿</t>
  </si>
  <si>
    <t>{"t":["SpeedRate"]}</t>
  </si>
  <si>
    <t>维什戴尔2动作</t>
  </si>
  <si>
    <t>{"IdleAnimation":["Skill_2_Overload_Idle"]}</t>
  </si>
  <si>
    <t>凯尔希buff3</t>
  </si>
  <si>
    <t>维什戴尔3动作</t>
  </si>
  <si>
    <t>相关buff</t>
  </si>
  <si>
    <t>Buff</t>
  </si>
  <si>
    <t>暴击</t>
  </si>
  <si>
    <t>{"Chance":1,"Rate":1.28}</t>
  </si>
  <si>
    <t>对buff伤害</t>
  </si>
  <si>
    <t>{"DamageRate":1.8}</t>
  </si>
  <si>
    <t>穿甲</t>
  </si>
  <si>
    <t>{"Chance":1,"Value":800}</t>
  </si>
  <si>
    <t>{"DamageRate":2.75}</t>
  </si>
  <si>
    <t>灼燃损伤减法抗</t>
  </si>
  <si>
    <t>{"DamageRate":1.1}</t>
  </si>
  <si>
    <t>{"DamageRate":1.5}</t>
  </si>
  <si>
    <t>{"DamageRate":1.18}</t>
  </si>
  <si>
    <t>蓄力增伤</t>
  </si>
  <si>
    <t>{"Rate":4.25,"Time":3.5}</t>
  </si>
  <si>
    <t>{"Chance":0.4,"Rate":0.7}</t>
  </si>
  <si>
    <t>{"Chance":0.8,"Rate":0.7}</t>
  </si>
  <si>
    <t>{"Chance":1,"Rate":0.7}</t>
  </si>
  <si>
    <t>杰作3增伤</t>
  </si>
  <si>
    <t>{"DamageRate":1.2}</t>
  </si>
  <si>
    <t>Line</t>
  </si>
  <si>
    <t>FaceCamera</t>
  </si>
  <si>
    <t>ScaleX</t>
  </si>
  <si>
    <t>EffectBase</t>
  </si>
  <si>
    <t>angle_skill_01_trail</t>
  </si>
  <si>
    <t>测试弩箭</t>
  </si>
  <si>
    <t>冲击波</t>
  </si>
  <si>
    <t>platnm_attack_01_trail</t>
  </si>
  <si>
    <t>链式弹道</t>
  </si>
  <si>
    <t>frostl_attack_01_trail</t>
  </si>
  <si>
    <t>{"MoveHeight":0,"MaxLinkNum":4,"SkillId":"干员链式弹道索敌","ReductionRate":0.1,"CanBack":"false"}</t>
  </si>
  <si>
    <t>common_magic_trail_01</t>
  </si>
  <si>
    <t>skfire_skill_02_trail</t>
  </si>
  <si>
    <t>{"MoveHeight":0,"MaxLinkNum":4,"ReductionRate":0,"SkillId":"真言链式弹道索敌","CanBack":"false"}</t>
  </si>
  <si>
    <t>{"MoveHeight":0,"MaxLinkNum":2,"ReductionRate":0,"SkillId":"真言链式弹道索敌","CanBack":"false"}</t>
  </si>
  <si>
    <t>aglina_attack_01_trail</t>
  </si>
  <si>
    <t>{"MoveHeight":5}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</si>
  <si>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</si>
  <si>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</si>
  <si>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</si>
  <si>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</si>
  <si>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</si>
  <si>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</si>
  <si>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</si>
  <si>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</si>
  <si>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</si>
  <si>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</si>
  <si>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</si>
  <si>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</si>
  <si>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</si>
  <si>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</si>
  <si>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</si>
  <si>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</si>
  <si>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</si>
  <si>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</si>
  <si>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</si>
  <si>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</si>
  <si>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skgoat_skill_02_range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</si>
  <si>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</si>
  <si>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</si>
  <si>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</si>
  <si>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</si>
  <si>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</si>
  <si>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</si>
  <si>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</si>
  <si>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thorns_skill_03_buff_02</t>
  </si>
  <si>
    <t>0,-0.5,0</t>
  </si>
  <si>
    <t>aglina_skill_03_start</t>
  </si>
  <si>
    <t>ew2</t>
  </si>
  <si>
    <t>fmout_skill_02_start</t>
  </si>
  <si>
    <t>0,0.5,0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</si>
  <si>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</si>
  <si>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</si>
  <si>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</si>
  <si>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</si>
  <si>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</si>
  <si>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</si>
  <si>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</si>
  <si>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</si>
  <si>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</si>
  <si>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</si>
  <si>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</si>
  <si>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</si>
  <si>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</si>
  <si>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</si>
  <si>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</si>
  <si>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</si>
  <si>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</si>
  <si>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</si>
  <si>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</si>
  <si>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</si>
  <si>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</si>
  <si>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/Spine/烛煌/front/char_1040_blaze2.atlas.txt</t>
  </si>
  <si>
    <t>/Spine/烛煌/front/char_1040_blaze2.png</t>
  </si>
  <si>
    <t>/Spine/烛煌/front/char_1040_blaze2.skel.bytes</t>
  </si>
  <si>
    <t>/Spine/烛煌/back/char_1040_blaze2.atlas.txt</t>
  </si>
  <si>
    <t>/Spine/烛煌/back/char_1040_blaze2.png</t>
  </si>
  <si>
    <t>/Spine/烛煌/back/char_1040_blaze2.skel.bytes</t>
  </si>
  <si>
    <t>/Spine/真言/front/char_4204_mantra.atlas.txt</t>
  </si>
  <si>
    <t>/Spine/真言/front/char_4204_mantra.png</t>
  </si>
  <si>
    <t>/Spine/真言/front/char_4204_mantra.skel.bytes</t>
  </si>
  <si>
    <t>/Spine/真言/back/char_4204_mantra.atlas.txt</t>
  </si>
  <si>
    <t>/Spine/真言/back/char_4204_mantra.png</t>
  </si>
  <si>
    <t>/Spine/真言/back/char_4204_mantra.skel.bytes</t>
  </si>
  <si>
    <t>/Spine/水陈/front/char_1013_chen2.atlas.txt</t>
  </si>
  <si>
    <t>/Spine/水陈/front/char_1013_chen2.png</t>
  </si>
  <si>
    <t>/Spine/水陈/front/char_1013_chen2.skel.bytes</t>
  </si>
  <si>
    <t>/Spine/水陈/back/char_1013_chen2.atlas.txt</t>
  </si>
  <si>
    <t>/Spine/水陈/back/char_1013_chen2.png</t>
  </si>
  <si>
    <t>/Spine/水陈/back/char_1013_chen2.skel.bytes</t>
  </si>
  <si>
    <t>/Spine/蕾缪安/front/char_4193_lemuen.atlas.txt</t>
  </si>
  <si>
    <t>/Spine/蕾缪安/front/char_4193_lemuen.png</t>
  </si>
  <si>
    <t>/Spine/蕾缪安/front/char_4193_lemuen.skel.bytes</t>
  </si>
  <si>
    <t>/Spine/蕾缪安/back/char_4193_lemuen.atlas.txt</t>
  </si>
  <si>
    <t>/Spine/蕾缪安/back/char_4193_lemuen.png</t>
  </si>
  <si>
    <t>/Spine/蕾缪安/back/char_4193_lemuen.skel.bytes</t>
  </si>
  <si>
    <t>/Spine/维什戴尔/front/char_1035_wisdel.atlas.txt</t>
  </si>
  <si>
    <t>/Spine/维什戴尔/front/char_1035_wisdel.png</t>
  </si>
  <si>
    <t>/Spine/维什戴尔/front/char_1035_wisdel.skel.bytes</t>
  </si>
  <si>
    <t>/Spine/维什戴尔/back/char_1035_wisdel.atlas.txt</t>
  </si>
  <si>
    <t>/Spine/维什戴尔/back/char_1035_wisdel.png</t>
  </si>
  <si>
    <t>/Spine/维什戴尔/back/char_1035_wisdel.skel.bytes</t>
  </si>
  <si>
    <t>/Spine/魂灵之影/front/token_10035_wisdel_wward.atlas.txt</t>
  </si>
  <si>
    <t>/Spine/魂灵之影/front/token_10035_wisdel_wward.png</t>
  </si>
  <si>
    <t>/Spine/魂灵之影/front/token_10035_wisdel_wward.skel.bytes</t>
  </si>
  <si>
    <t>/Spine/杰作/front/char_197_poca_epoque_12.atlas.txt</t>
  </si>
  <si>
    <t>/Spine/杰作/front/char_197_poca_epoque_12.png</t>
  </si>
  <si>
    <t>/Spine/杰作/front/char_197_poca_epoque_12.skel.bytes</t>
  </si>
  <si>
    <t>/Spine/杰作/back/char_197_poca_epoque_12.atlas.txt</t>
  </si>
  <si>
    <t>/Spine/杰作/back/char_197_poca_epoque_12.png</t>
  </si>
  <si>
    <t>/Spine/杰作/back/char_197_poca_epoque_12.skel.bytes</t>
  </si>
  <si>
    <t>token_10054_phatm2_encdool</t>
  </si>
  <si>
    <t>维什戴尔余震</t>
    <phoneticPr fontId="22" type="noConversion"/>
  </si>
  <si>
    <t>ew3类部署干员</t>
    <phoneticPr fontId="22" type="noConversion"/>
  </si>
  <si>
    <t>HitPointName</t>
    <phoneticPr fontId="22" type="noConversion"/>
  </si>
  <si>
    <t>{"召唤物ID":"魂灵之影","召唤位置":"使用自身位置","数量":1}</t>
    <phoneticPr fontId="22" type="noConversion"/>
  </si>
  <si>
    <t>{"召唤物ID":"魂灵之影","召唤位置":"使用自身位置","数量":2}</t>
    <phoneticPr fontId="22" type="noConversion"/>
  </si>
  <si>
    <t>char_1042_phatm2</t>
    <phoneticPr fontId="22" type="noConversion"/>
  </si>
  <si>
    <t>char_1044_hsgma2</t>
    <phoneticPr fontId="22" type="noConversion"/>
  </si>
  <si>
    <t>token_10054_phatm2_encdool</t>
    <phoneticPr fontId="22" type="noConversion"/>
  </si>
  <si>
    <t>char_1040_blaze2</t>
  </si>
  <si>
    <t>char_4204_mantra</t>
  </si>
  <si>
    <t>char_1013_chen2</t>
  </si>
  <si>
    <t>char_4193_lemuen</t>
  </si>
  <si>
    <t>char_1035_wisdel</t>
  </si>
  <si>
    <t>0,1#0,-1#1,0#2,0#1,1#1,-1#2,1#2,-1#3,0#3,1#3,-1#0,2#0,-2#1,2#1,-2#2,2#2,-2#4,0</t>
    <phoneticPr fontId="22" type="noConversion"/>
  </si>
  <si>
    <t>可部署位</t>
    <phoneticPr fontId="22" type="noConversion"/>
  </si>
  <si>
    <t>CanSetPos</t>
    <phoneticPr fontId="22" type="noConversion"/>
  </si>
  <si>
    <t>string[]</t>
    <phoneticPr fontId="22" type="noConversion"/>
  </si>
  <si>
    <t>高台位</t>
    <phoneticPr fontId="22" type="noConversion"/>
  </si>
  <si>
    <t>地面位</t>
    <phoneticPr fontId="22" type="noConversion"/>
  </si>
  <si>
    <t>全地形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</si>
</sst>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宋体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0.5"/>
      <color rgb="FF333639"/>
      <name val="Arial"/>
      <family val="2"/>
    </font>
    <font>
      <sz val="11"/>
      <color rgb="FF00B0F0"/>
      <name val="宋体"/>
      <family val="3"/>
      <charset val="134"/>
    </font>
    <font>
      <sz val="11"/>
      <color rgb="FF333639"/>
      <name val="宋体"/>
      <family val="3"/>
      <charset val="134"/>
      <scheme val="major"/>
    </font>
    <font>
      <sz val="10.5"/>
      <name val="宋体"/>
      <family val="3"/>
      <charset val="134"/>
    </font>
    <font>
      <sz val="11"/>
      <color rgb="FF202122"/>
      <name val="宋体"/>
      <family val="3"/>
      <charset val="134"/>
    </font>
    <font>
      <sz val="11"/>
      <color rgb="FF9C570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11"/>
      <color rgb="FF333639"/>
      <name val="宋体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16" fillId="3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21" fillId="0" borderId="0">
      <alignment vertical="center"/>
    </xf>
  </cellStyleXfs>
  <cellXfs count="42">
    <xf numFmtId="0" fontId="0" fillId="0" borderId="0" xfId="0">
      <alignment vertical="center"/>
    </xf>
    <xf numFmtId="0" fontId="21" fillId="0" borderId="0" xfId="4">
      <alignment vertical="center"/>
    </xf>
    <xf numFmtId="0" fontId="21" fillId="2" borderId="0" xfId="4" applyFill="1">
      <alignment vertical="center"/>
    </xf>
    <xf numFmtId="0" fontId="0" fillId="2" borderId="0" xfId="0" applyFill="1">
      <alignment vertical="center"/>
    </xf>
    <xf numFmtId="0" fontId="1" fillId="3" borderId="0" xfId="1" applyFont="1">
      <alignment vertical="center"/>
    </xf>
    <xf numFmtId="0" fontId="2" fillId="0" borderId="0" xfId="0" applyFont="1">
      <alignment vertical="center"/>
    </xf>
    <xf numFmtId="0" fontId="0" fillId="4" borderId="0" xfId="0" applyFill="1">
      <alignment vertical="center"/>
    </xf>
    <xf numFmtId="0" fontId="3" fillId="5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4" borderId="0" xfId="0" applyFont="1" applyFill="1">
      <alignment vertical="center"/>
    </xf>
    <xf numFmtId="0" fontId="6" fillId="0" borderId="0" xfId="0" applyFont="1">
      <alignment vertical="center"/>
    </xf>
    <xf numFmtId="0" fontId="5" fillId="4" borderId="0" xfId="0" applyFont="1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0" borderId="0" xfId="1" applyFont="1" applyFill="1">
      <alignment vertical="center"/>
    </xf>
    <xf numFmtId="0" fontId="9" fillId="0" borderId="0" xfId="0" applyFont="1">
      <alignment vertical="center"/>
    </xf>
    <xf numFmtId="0" fontId="4" fillId="0" borderId="0" xfId="1" applyFont="1" applyFill="1">
      <alignment vertical="center"/>
    </xf>
    <xf numFmtId="0" fontId="10" fillId="0" borderId="0" xfId="0" applyFont="1">
      <alignment vertical="center"/>
    </xf>
    <xf numFmtId="0" fontId="0" fillId="0" borderId="0" xfId="3" applyFont="1" applyFill="1">
      <alignment vertical="center"/>
    </xf>
    <xf numFmtId="0" fontId="11" fillId="0" borderId="0" xfId="0" applyFont="1">
      <alignment vertical="center"/>
    </xf>
    <xf numFmtId="0" fontId="0" fillId="6" borderId="0" xfId="3" applyFont="1">
      <alignment vertical="center"/>
    </xf>
    <xf numFmtId="0" fontId="12" fillId="0" borderId="0" xfId="2" applyFont="1" applyFill="1">
      <alignment vertical="center"/>
    </xf>
    <xf numFmtId="0" fontId="13" fillId="0" borderId="0" xfId="0" applyFont="1">
      <alignment vertical="center"/>
    </xf>
    <xf numFmtId="0" fontId="12" fillId="7" borderId="0" xfId="2" applyFont="1">
      <alignment vertical="center"/>
    </xf>
    <xf numFmtId="0" fontId="3" fillId="0" borderId="0" xfId="0" applyFont="1">
      <alignment vertical="center"/>
    </xf>
    <xf numFmtId="20" fontId="0" fillId="0" borderId="0" xfId="0" applyNumberFormat="1">
      <alignment vertical="center"/>
    </xf>
    <xf numFmtId="0" fontId="7" fillId="0" borderId="0" xfId="0" applyFont="1" applyAlignment="1"/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0" fillId="8" borderId="0" xfId="0" applyFill="1">
      <alignment vertical="center"/>
    </xf>
    <xf numFmtId="0" fontId="5" fillId="8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49" fontId="0" fillId="2" borderId="0" xfId="0" applyNumberFormat="1" applyFill="1" applyAlignment="1">
      <alignment horizontal="left"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23" fillId="0" borderId="0" xfId="0" applyFont="1">
      <alignment vertical="center"/>
    </xf>
    <xf numFmtId="0" fontId="18" fillId="0" borderId="0" xfId="0" applyFont="1">
      <alignment vertical="center"/>
    </xf>
  </cellXfs>
  <cellStyles count="5">
    <cellStyle name="20% - 着色 3" xfId="3" builtinId="38"/>
    <cellStyle name="差" xfId="1" builtinId="27"/>
    <cellStyle name="常规" xfId="0" builtinId="0"/>
    <cellStyle name="常规 2" xfId="4" xr:uid="{00000000-0005-0000-0000-000031000000}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2"/>
  <sheetViews>
    <sheetView workbookViewId="0">
      <selection activeCell="A17" sqref="A17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  <row r="5" spans="1:2" x14ac:dyDescent="0.25">
      <c r="A5" t="s">
        <v>5</v>
      </c>
      <c r="B5" t="s">
        <v>5</v>
      </c>
    </row>
    <row r="6" spans="1:2" x14ac:dyDescent="0.25">
      <c r="A6" t="s">
        <v>6</v>
      </c>
      <c r="B6" t="s">
        <v>6</v>
      </c>
    </row>
    <row r="7" spans="1:2" x14ac:dyDescent="0.25">
      <c r="A7" t="s">
        <v>7</v>
      </c>
      <c r="B7" t="s">
        <v>7</v>
      </c>
    </row>
    <row r="8" spans="1:2" x14ac:dyDescent="0.25">
      <c r="A8" t="s">
        <v>8</v>
      </c>
      <c r="B8" t="s">
        <v>8</v>
      </c>
    </row>
    <row r="9" spans="1:2" x14ac:dyDescent="0.25">
      <c r="A9" t="s">
        <v>9</v>
      </c>
      <c r="B9" t="s">
        <v>9</v>
      </c>
    </row>
    <row r="10" spans="1:2" x14ac:dyDescent="0.25">
      <c r="A10" t="s">
        <v>10</v>
      </c>
      <c r="B10" t="s">
        <v>10</v>
      </c>
    </row>
    <row r="11" spans="1:2" x14ac:dyDescent="0.25">
      <c r="A11" t="s">
        <v>11</v>
      </c>
      <c r="B11" t="s">
        <v>11</v>
      </c>
    </row>
    <row r="12" spans="1:2" x14ac:dyDescent="0.25">
      <c r="A12" t="s">
        <v>12</v>
      </c>
      <c r="B12" t="s">
        <v>12</v>
      </c>
    </row>
    <row r="13" spans="1:2" x14ac:dyDescent="0.25">
      <c r="A13" t="s">
        <v>13</v>
      </c>
      <c r="B13" t="s">
        <v>13</v>
      </c>
    </row>
    <row r="14" spans="1:2" x14ac:dyDescent="0.25">
      <c r="A14" t="s">
        <v>14</v>
      </c>
      <c r="B14" t="s">
        <v>14</v>
      </c>
    </row>
    <row r="15" spans="1:2" x14ac:dyDescent="0.25">
      <c r="A15" t="s">
        <v>15</v>
      </c>
      <c r="B15" t="s">
        <v>15</v>
      </c>
    </row>
    <row r="16" spans="1:2" x14ac:dyDescent="0.25">
      <c r="A16" t="s">
        <v>16</v>
      </c>
      <c r="B16" t="s">
        <v>16</v>
      </c>
    </row>
    <row r="17" spans="1:2" x14ac:dyDescent="0.25">
      <c r="A17" t="s">
        <v>17</v>
      </c>
      <c r="B17" t="s">
        <v>17</v>
      </c>
    </row>
    <row r="22" spans="1:2" s="3" customFormat="1" x14ac:dyDescent="0.25">
      <c r="A22" s="3" t="s">
        <v>18</v>
      </c>
      <c r="B22" s="3" t="s">
        <v>18</v>
      </c>
    </row>
  </sheetData>
  <phoneticPr fontId="2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V577"/>
  <sheetViews>
    <sheetView tabSelected="1" workbookViewId="0">
      <pane xSplit="1" ySplit="3" topLeftCell="AI4" activePane="bottomRight" state="frozen"/>
      <selection pane="topRight"/>
      <selection pane="bottomLeft"/>
      <selection pane="bottomRight" activeCell="AN1" sqref="AN1:AO104857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2" max="42" width="12.5" customWidth="1"/>
    <col min="49" max="49" width="24.33203125" customWidth="1"/>
    <col min="51" max="51" width="17.75" customWidth="1"/>
    <col min="52" max="52" width="7.83203125" customWidth="1"/>
    <col min="55" max="55" width="24.25" customWidth="1"/>
    <col min="56" max="56" width="13.25" customWidth="1"/>
    <col min="57" max="57" width="16.08203125" customWidth="1"/>
    <col min="58" max="58" width="8" customWidth="1"/>
    <col min="63" max="63" width="39.58203125" customWidth="1"/>
    <col min="64" max="64" width="14" customWidth="1"/>
    <col min="65" max="65" width="14.83203125" customWidth="1"/>
    <col min="66" max="69" width="14" customWidth="1"/>
    <col min="70" max="70" width="19.1640625" customWidth="1"/>
  </cols>
  <sheetData>
    <row r="1" spans="1:70" x14ac:dyDescent="0.25">
      <c r="D1" t="s">
        <v>19</v>
      </c>
      <c r="E1" t="s">
        <v>19</v>
      </c>
      <c r="G1" t="s">
        <v>20</v>
      </c>
      <c r="I1" t="s">
        <v>21</v>
      </c>
      <c r="J1" t="s">
        <v>22</v>
      </c>
      <c r="K1" t="s">
        <v>23</v>
      </c>
      <c r="M1" t="s">
        <v>24</v>
      </c>
      <c r="O1" t="s">
        <v>25</v>
      </c>
      <c r="Q1" t="s">
        <v>26</v>
      </c>
      <c r="S1" t="s">
        <v>27</v>
      </c>
      <c r="U1" t="s">
        <v>28</v>
      </c>
      <c r="V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s="41" t="s">
        <v>1652</v>
      </c>
      <c r="AN1" t="s">
        <v>43</v>
      </c>
      <c r="AO1" t="s">
        <v>44</v>
      </c>
      <c r="AP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51</v>
      </c>
      <c r="AX1" t="s">
        <v>52</v>
      </c>
      <c r="AY1" t="s">
        <v>53</v>
      </c>
      <c r="AZ1" t="s">
        <v>54</v>
      </c>
      <c r="BC1" t="s">
        <v>55</v>
      </c>
      <c r="BD1" t="s">
        <v>56</v>
      </c>
      <c r="BE1" t="s">
        <v>57</v>
      </c>
      <c r="BF1" t="s">
        <v>58</v>
      </c>
      <c r="BG1" t="s">
        <v>59</v>
      </c>
    </row>
    <row r="2" spans="1:70" x14ac:dyDescent="0.25">
      <c r="A2" t="s">
        <v>0</v>
      </c>
      <c r="B2" t="s">
        <v>60</v>
      </c>
      <c r="C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67</v>
      </c>
      <c r="L2" t="s">
        <v>68</v>
      </c>
      <c r="M2" t="s">
        <v>69</v>
      </c>
      <c r="N2" t="s">
        <v>70</v>
      </c>
      <c r="O2" t="s">
        <v>71</v>
      </c>
      <c r="P2" t="s">
        <v>72</v>
      </c>
      <c r="Q2" t="s">
        <v>73</v>
      </c>
      <c r="R2" t="s">
        <v>74</v>
      </c>
      <c r="S2" t="s">
        <v>75</v>
      </c>
      <c r="T2" t="s">
        <v>76</v>
      </c>
      <c r="U2" t="s">
        <v>77</v>
      </c>
      <c r="V2" t="s">
        <v>78</v>
      </c>
      <c r="W2" t="s">
        <v>79</v>
      </c>
      <c r="X2" t="s">
        <v>80</v>
      </c>
      <c r="Y2" t="s">
        <v>81</v>
      </c>
      <c r="Z2" t="s">
        <v>82</v>
      </c>
      <c r="AA2" t="s">
        <v>83</v>
      </c>
      <c r="AB2" t="s">
        <v>84</v>
      </c>
      <c r="AC2" t="s">
        <v>85</v>
      </c>
      <c r="AD2" t="s">
        <v>86</v>
      </c>
      <c r="AE2" t="s">
        <v>87</v>
      </c>
      <c r="AF2" t="s">
        <v>88</v>
      </c>
      <c r="AG2" t="s">
        <v>89</v>
      </c>
      <c r="AH2" s="41" t="s">
        <v>1640</v>
      </c>
      <c r="AI2" t="s">
        <v>90</v>
      </c>
      <c r="AJ2" t="s">
        <v>91</v>
      </c>
      <c r="AK2" t="s">
        <v>92</v>
      </c>
      <c r="AL2" t="s">
        <v>93</v>
      </c>
      <c r="AM2" s="41" t="s">
        <v>1653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t="s">
        <v>106</v>
      </c>
      <c r="BA2" t="s">
        <v>107</v>
      </c>
      <c r="BB2" t="s">
        <v>108</v>
      </c>
      <c r="BC2" t="s">
        <v>109</v>
      </c>
      <c r="BD2" t="s">
        <v>110</v>
      </c>
      <c r="BE2" t="s">
        <v>111</v>
      </c>
      <c r="BF2" t="s">
        <v>112</v>
      </c>
      <c r="BG2" t="s">
        <v>113</v>
      </c>
      <c r="BH2" t="s">
        <v>114</v>
      </c>
      <c r="BI2" t="s">
        <v>115</v>
      </c>
      <c r="BJ2" t="s">
        <v>116</v>
      </c>
      <c r="BK2" t="s">
        <v>117</v>
      </c>
      <c r="BL2" t="s">
        <v>118</v>
      </c>
      <c r="BM2" t="s">
        <v>119</v>
      </c>
      <c r="BN2" t="s">
        <v>120</v>
      </c>
      <c r="BO2" t="s">
        <v>121</v>
      </c>
      <c r="BP2" t="s">
        <v>122</v>
      </c>
      <c r="BQ2" t="s">
        <v>123</v>
      </c>
      <c r="BR2" t="s">
        <v>124</v>
      </c>
    </row>
    <row r="3" spans="1:70" x14ac:dyDescent="0.25">
      <c r="A3" t="s">
        <v>2</v>
      </c>
      <c r="B3" t="s">
        <v>2</v>
      </c>
      <c r="C3" t="s">
        <v>125</v>
      </c>
      <c r="F3" t="s">
        <v>2</v>
      </c>
      <c r="G3" t="s">
        <v>126</v>
      </c>
      <c r="H3" t="s">
        <v>2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126</v>
      </c>
      <c r="V3" t="s">
        <v>127</v>
      </c>
      <c r="W3" t="s">
        <v>127</v>
      </c>
      <c r="X3" t="s">
        <v>126</v>
      </c>
      <c r="Y3" t="s">
        <v>126</v>
      </c>
      <c r="Z3" t="s">
        <v>126</v>
      </c>
      <c r="AA3" t="s">
        <v>127</v>
      </c>
      <c r="AB3" t="s">
        <v>126</v>
      </c>
      <c r="AC3" t="s">
        <v>127</v>
      </c>
      <c r="AD3" t="s">
        <v>125</v>
      </c>
      <c r="AE3" t="s">
        <v>127</v>
      </c>
      <c r="AF3" t="s">
        <v>127</v>
      </c>
      <c r="AG3" t="s">
        <v>2</v>
      </c>
      <c r="AH3" t="s">
        <v>2</v>
      </c>
      <c r="AI3" t="s">
        <v>128</v>
      </c>
      <c r="AJ3" t="s">
        <v>128</v>
      </c>
      <c r="AK3" t="s">
        <v>127</v>
      </c>
      <c r="AL3" t="s">
        <v>126</v>
      </c>
      <c r="AM3" s="41" t="s">
        <v>1654</v>
      </c>
      <c r="AN3" t="s">
        <v>127</v>
      </c>
      <c r="AO3" t="s">
        <v>126</v>
      </c>
      <c r="AP3" t="s">
        <v>125</v>
      </c>
      <c r="AR3" t="s">
        <v>126</v>
      </c>
      <c r="AS3" t="s">
        <v>125</v>
      </c>
      <c r="AT3" t="s">
        <v>127</v>
      </c>
      <c r="AU3" t="s">
        <v>129</v>
      </c>
      <c r="AV3" t="s">
        <v>126</v>
      </c>
      <c r="AW3" t="s">
        <v>130</v>
      </c>
      <c r="AX3" t="s">
        <v>125</v>
      </c>
      <c r="AY3" t="s">
        <v>125</v>
      </c>
      <c r="AZ3" t="s">
        <v>126</v>
      </c>
      <c r="BA3" t="s">
        <v>131</v>
      </c>
      <c r="BB3" t="s">
        <v>2</v>
      </c>
      <c r="BC3" t="s">
        <v>2</v>
      </c>
      <c r="BD3" t="s">
        <v>2</v>
      </c>
      <c r="BE3" t="s">
        <v>2</v>
      </c>
      <c r="BF3" t="s">
        <v>132</v>
      </c>
      <c r="BG3" t="s">
        <v>127</v>
      </c>
      <c r="BH3" t="s">
        <v>2</v>
      </c>
      <c r="BI3" t="s">
        <v>133</v>
      </c>
      <c r="BJ3" t="s">
        <v>2</v>
      </c>
      <c r="BK3" t="s">
        <v>134</v>
      </c>
      <c r="BL3" t="s">
        <v>133</v>
      </c>
      <c r="BM3" t="s">
        <v>133</v>
      </c>
      <c r="BN3" t="s">
        <v>133</v>
      </c>
      <c r="BO3" t="s">
        <v>133</v>
      </c>
      <c r="BP3" t="s">
        <v>133</v>
      </c>
      <c r="BQ3" t="s">
        <v>133</v>
      </c>
      <c r="BR3" t="s">
        <v>126</v>
      </c>
    </row>
    <row r="4" spans="1:70" x14ac:dyDescent="0.25">
      <c r="A4" t="s">
        <v>4</v>
      </c>
      <c r="B4" t="s">
        <v>135</v>
      </c>
      <c r="E4" s="32"/>
      <c r="F4" s="40" t="s">
        <v>1644</v>
      </c>
      <c r="G4">
        <v>1</v>
      </c>
      <c r="I4">
        <v>2</v>
      </c>
      <c r="J4">
        <v>90</v>
      </c>
      <c r="K4">
        <v>10653</v>
      </c>
      <c r="M4">
        <v>722</v>
      </c>
      <c r="O4">
        <v>646</v>
      </c>
      <c r="Q4">
        <v>15</v>
      </c>
      <c r="S4">
        <v>24</v>
      </c>
      <c r="U4">
        <v>0.5</v>
      </c>
      <c r="V4">
        <v>66</v>
      </c>
      <c r="Y4">
        <v>0.05</v>
      </c>
      <c r="Z4">
        <v>1.6</v>
      </c>
      <c r="AC4">
        <v>1</v>
      </c>
      <c r="AG4" t="s">
        <v>4</v>
      </c>
      <c r="AH4" t="s">
        <v>136</v>
      </c>
      <c r="AI4" t="s">
        <v>137</v>
      </c>
      <c r="AJ4" t="s">
        <v>138</v>
      </c>
      <c r="AM4" s="41" t="s">
        <v>1656</v>
      </c>
      <c r="AN4">
        <v>3</v>
      </c>
      <c r="AO4">
        <v>0.5</v>
      </c>
      <c r="AV4">
        <v>0.25</v>
      </c>
      <c r="BA4" t="s">
        <v>139</v>
      </c>
      <c r="BB4" t="s">
        <v>140</v>
      </c>
      <c r="BC4" t="s">
        <v>141</v>
      </c>
      <c r="BD4" t="s">
        <v>142</v>
      </c>
      <c r="BE4" t="s">
        <v>143</v>
      </c>
      <c r="BF4" t="s">
        <v>144</v>
      </c>
      <c r="BG4">
        <v>6</v>
      </c>
      <c r="BH4" t="s">
        <v>145</v>
      </c>
      <c r="BI4" t="s">
        <v>146</v>
      </c>
      <c r="BL4" t="s">
        <v>147</v>
      </c>
      <c r="BM4" t="s">
        <v>148</v>
      </c>
      <c r="BO4" t="s">
        <v>149</v>
      </c>
      <c r="BP4" t="s">
        <v>149</v>
      </c>
      <c r="BR4">
        <v>1</v>
      </c>
    </row>
    <row r="5" spans="1:70" x14ac:dyDescent="0.25">
      <c r="A5" t="s">
        <v>5</v>
      </c>
      <c r="B5" t="s">
        <v>135</v>
      </c>
      <c r="D5" t="s">
        <v>150</v>
      </c>
      <c r="E5" s="33" t="s">
        <v>151</v>
      </c>
      <c r="F5" t="str">
        <f>"char_"&amp;E5&amp;"_"&amp;D5</f>
        <v>char_2026_yu</v>
      </c>
      <c r="G5">
        <v>1</v>
      </c>
      <c r="I5">
        <v>2</v>
      </c>
      <c r="J5">
        <v>90</v>
      </c>
      <c r="K5">
        <v>3903</v>
      </c>
      <c r="M5">
        <v>715</v>
      </c>
      <c r="O5">
        <v>607</v>
      </c>
      <c r="Q5">
        <v>10</v>
      </c>
      <c r="S5">
        <v>24</v>
      </c>
      <c r="U5">
        <v>0.5</v>
      </c>
      <c r="V5">
        <v>70</v>
      </c>
      <c r="Y5">
        <v>0.05</v>
      </c>
      <c r="Z5">
        <v>1.6</v>
      </c>
      <c r="AC5">
        <v>1</v>
      </c>
      <c r="AG5" t="s">
        <v>5</v>
      </c>
      <c r="AH5" t="s">
        <v>136</v>
      </c>
      <c r="AI5" t="s">
        <v>152</v>
      </c>
      <c r="AJ5" t="s">
        <v>153</v>
      </c>
      <c r="AM5" s="41" t="s">
        <v>1656</v>
      </c>
      <c r="AN5">
        <v>3</v>
      </c>
      <c r="AO5">
        <v>0.5</v>
      </c>
      <c r="AV5">
        <v>0.25</v>
      </c>
      <c r="BA5" t="s">
        <v>139</v>
      </c>
      <c r="BB5" t="s">
        <v>154</v>
      </c>
      <c r="BC5" t="str">
        <f>"icon_"&amp;D5</f>
        <v>icon_yu</v>
      </c>
      <c r="BD5" t="str">
        <f>"half_"&amp;D5</f>
        <v>half_yu</v>
      </c>
      <c r="BE5" t="str">
        <f>D5</f>
        <v>yu</v>
      </c>
      <c r="BF5" t="s">
        <v>144</v>
      </c>
      <c r="BG5">
        <v>6</v>
      </c>
      <c r="BH5" t="s">
        <v>145</v>
      </c>
      <c r="BI5" t="s">
        <v>146</v>
      </c>
      <c r="BJ5" t="s">
        <v>155</v>
      </c>
      <c r="BL5" t="s">
        <v>147</v>
      </c>
      <c r="BM5" t="s">
        <v>148</v>
      </c>
      <c r="BO5" t="s">
        <v>149</v>
      </c>
      <c r="BP5" t="s">
        <v>149</v>
      </c>
      <c r="BR5">
        <v>1</v>
      </c>
    </row>
    <row r="6" spans="1:70" x14ac:dyDescent="0.25">
      <c r="A6" t="s">
        <v>6</v>
      </c>
      <c r="B6" t="s">
        <v>135</v>
      </c>
      <c r="D6" t="s">
        <v>156</v>
      </c>
      <c r="E6" s="32" t="s">
        <v>157</v>
      </c>
      <c r="F6" t="str">
        <f>"char_"&amp;E6&amp;"_"&amp;D6</f>
        <v>char_4064_mlynar</v>
      </c>
      <c r="G6">
        <v>1</v>
      </c>
      <c r="I6">
        <v>2</v>
      </c>
      <c r="J6">
        <v>90</v>
      </c>
      <c r="K6">
        <v>4266</v>
      </c>
      <c r="L6">
        <v>360</v>
      </c>
      <c r="M6">
        <v>410</v>
      </c>
      <c r="N6">
        <v>35</v>
      </c>
      <c r="O6">
        <v>502</v>
      </c>
      <c r="Q6">
        <v>15</v>
      </c>
      <c r="S6">
        <v>12</v>
      </c>
      <c r="T6">
        <v>-2</v>
      </c>
      <c r="U6">
        <v>0.5</v>
      </c>
      <c r="V6">
        <v>70</v>
      </c>
      <c r="X6">
        <v>7</v>
      </c>
      <c r="Y6">
        <v>0.05</v>
      </c>
      <c r="Z6">
        <v>1.2</v>
      </c>
      <c r="AC6">
        <v>1</v>
      </c>
      <c r="AE6">
        <v>1</v>
      </c>
      <c r="AG6" t="s">
        <v>6</v>
      </c>
      <c r="AH6" t="s">
        <v>136</v>
      </c>
      <c r="AI6" t="s">
        <v>158</v>
      </c>
      <c r="AJ6" t="s">
        <v>159</v>
      </c>
      <c r="AM6" s="41" t="s">
        <v>1656</v>
      </c>
      <c r="AN6">
        <v>3</v>
      </c>
      <c r="AO6">
        <v>0.5</v>
      </c>
      <c r="AV6">
        <v>0.25</v>
      </c>
      <c r="BA6" t="s">
        <v>160</v>
      </c>
      <c r="BB6" t="s">
        <v>161</v>
      </c>
      <c r="BC6" t="str">
        <f>"icon_"&amp;D6</f>
        <v>icon_mlynar</v>
      </c>
      <c r="BD6" t="str">
        <f>"half_"&amp;D6</f>
        <v>half_mlynar</v>
      </c>
      <c r="BE6" t="str">
        <f>D6</f>
        <v>mlynar</v>
      </c>
      <c r="BF6" t="s">
        <v>144</v>
      </c>
      <c r="BG6">
        <v>6</v>
      </c>
      <c r="BH6" t="s">
        <v>145</v>
      </c>
      <c r="BI6" t="s">
        <v>162</v>
      </c>
      <c r="BJ6" t="s">
        <v>163</v>
      </c>
      <c r="BL6" t="s">
        <v>147</v>
      </c>
      <c r="BM6" t="s">
        <v>148</v>
      </c>
      <c r="BO6" t="s">
        <v>149</v>
      </c>
      <c r="BP6" t="s">
        <v>149</v>
      </c>
      <c r="BR6">
        <v>1</v>
      </c>
    </row>
    <row r="7" spans="1:70" x14ac:dyDescent="0.25">
      <c r="A7" t="s">
        <v>7</v>
      </c>
      <c r="B7" t="s">
        <v>135</v>
      </c>
      <c r="E7" s="32"/>
      <c r="F7" s="40" t="s">
        <v>1643</v>
      </c>
      <c r="G7">
        <v>1</v>
      </c>
      <c r="I7">
        <v>2</v>
      </c>
      <c r="J7">
        <v>90</v>
      </c>
      <c r="K7">
        <v>1500</v>
      </c>
      <c r="L7">
        <v>200</v>
      </c>
      <c r="M7">
        <v>553</v>
      </c>
      <c r="N7">
        <v>42</v>
      </c>
      <c r="O7">
        <v>104</v>
      </c>
      <c r="Q7">
        <v>15</v>
      </c>
      <c r="S7">
        <v>14</v>
      </c>
      <c r="U7">
        <v>0.5</v>
      </c>
      <c r="V7">
        <v>70</v>
      </c>
      <c r="Y7">
        <v>0.05</v>
      </c>
      <c r="Z7">
        <v>1.6</v>
      </c>
      <c r="AC7">
        <v>1</v>
      </c>
      <c r="AG7" t="s">
        <v>7</v>
      </c>
      <c r="AH7" t="s">
        <v>136</v>
      </c>
      <c r="AI7" t="s">
        <v>164</v>
      </c>
      <c r="AJ7" t="s">
        <v>165</v>
      </c>
      <c r="AM7" s="41" t="s">
        <v>1655</v>
      </c>
      <c r="AN7">
        <v>1</v>
      </c>
      <c r="AO7">
        <v>0.5</v>
      </c>
      <c r="AV7">
        <v>0.25</v>
      </c>
      <c r="BA7" t="s">
        <v>166</v>
      </c>
      <c r="BB7" t="s">
        <v>167</v>
      </c>
      <c r="BC7" t="s">
        <v>168</v>
      </c>
      <c r="BD7" t="s">
        <v>169</v>
      </c>
      <c r="BE7" t="s">
        <v>170</v>
      </c>
      <c r="BF7" t="s">
        <v>144</v>
      </c>
      <c r="BG7">
        <v>6</v>
      </c>
      <c r="BH7" t="s">
        <v>171</v>
      </c>
      <c r="BI7" t="s">
        <v>172</v>
      </c>
      <c r="BL7" t="s">
        <v>147</v>
      </c>
      <c r="BM7" t="s">
        <v>148</v>
      </c>
      <c r="BO7" t="s">
        <v>149</v>
      </c>
      <c r="BP7" t="s">
        <v>149</v>
      </c>
      <c r="BR7">
        <v>1</v>
      </c>
    </row>
    <row r="8" spans="1:70" x14ac:dyDescent="0.25">
      <c r="A8" t="s">
        <v>173</v>
      </c>
      <c r="B8" t="s">
        <v>135</v>
      </c>
      <c r="E8" s="33"/>
      <c r="F8" s="41" t="s">
        <v>1645</v>
      </c>
      <c r="G8">
        <v>1</v>
      </c>
      <c r="I8">
        <v>2</v>
      </c>
      <c r="J8">
        <v>90</v>
      </c>
      <c r="K8">
        <v>100</v>
      </c>
      <c r="M8">
        <v>553</v>
      </c>
      <c r="N8">
        <v>42</v>
      </c>
      <c r="O8">
        <v>100</v>
      </c>
      <c r="Q8">
        <v>0</v>
      </c>
      <c r="S8">
        <v>5</v>
      </c>
      <c r="U8">
        <v>0</v>
      </c>
      <c r="V8">
        <v>25</v>
      </c>
      <c r="Y8">
        <v>0.05</v>
      </c>
      <c r="Z8">
        <v>1</v>
      </c>
      <c r="AC8">
        <v>0</v>
      </c>
      <c r="AE8">
        <v>-1</v>
      </c>
      <c r="AG8" t="s">
        <v>173</v>
      </c>
      <c r="AH8" t="s">
        <v>136</v>
      </c>
      <c r="AI8" t="s">
        <v>174</v>
      </c>
      <c r="AK8">
        <v>3</v>
      </c>
      <c r="AL8">
        <v>-0.5</v>
      </c>
      <c r="AM8" s="41" t="s">
        <v>1656</v>
      </c>
      <c r="AN8">
        <v>0</v>
      </c>
      <c r="AO8">
        <v>0</v>
      </c>
      <c r="AV8">
        <v>0</v>
      </c>
      <c r="AY8">
        <v>1</v>
      </c>
      <c r="BA8" t="s">
        <v>175</v>
      </c>
      <c r="BC8" t="s">
        <v>168</v>
      </c>
      <c r="BD8" t="s">
        <v>176</v>
      </c>
      <c r="BE8" t="s">
        <v>177</v>
      </c>
      <c r="BF8" t="s">
        <v>144</v>
      </c>
      <c r="BG8">
        <v>5</v>
      </c>
      <c r="BH8" t="s">
        <v>145</v>
      </c>
      <c r="BL8" t="s">
        <v>147</v>
      </c>
      <c r="BM8" t="s">
        <v>178</v>
      </c>
      <c r="BO8" t="s">
        <v>179</v>
      </c>
      <c r="BP8" t="s">
        <v>179</v>
      </c>
      <c r="BR8">
        <v>1</v>
      </c>
    </row>
    <row r="9" spans="1:70" x14ac:dyDescent="0.25">
      <c r="A9" t="s">
        <v>180</v>
      </c>
      <c r="B9" t="s">
        <v>135</v>
      </c>
      <c r="E9" s="33"/>
      <c r="F9" t="s">
        <v>1637</v>
      </c>
      <c r="G9">
        <v>1</v>
      </c>
      <c r="I9">
        <v>2</v>
      </c>
      <c r="J9">
        <v>90</v>
      </c>
      <c r="K9">
        <v>100</v>
      </c>
      <c r="M9">
        <v>553</v>
      </c>
      <c r="N9">
        <v>42</v>
      </c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E9">
        <v>-1</v>
      </c>
      <c r="AG9" t="s">
        <v>180</v>
      </c>
      <c r="AH9" t="s">
        <v>136</v>
      </c>
      <c r="AI9" t="s">
        <v>181</v>
      </c>
      <c r="AK9">
        <v>3</v>
      </c>
      <c r="AL9">
        <v>-0.5</v>
      </c>
      <c r="AM9" s="41" t="s">
        <v>1656</v>
      </c>
      <c r="AN9">
        <v>0</v>
      </c>
      <c r="AO9">
        <v>0</v>
      </c>
      <c r="AV9">
        <v>0</v>
      </c>
      <c r="AY9">
        <v>1</v>
      </c>
      <c r="BA9" t="s">
        <v>175</v>
      </c>
      <c r="BC9" t="s">
        <v>168</v>
      </c>
      <c r="BD9" t="s">
        <v>176</v>
      </c>
      <c r="BE9" t="s">
        <v>177</v>
      </c>
      <c r="BF9" t="s">
        <v>144</v>
      </c>
      <c r="BG9">
        <v>5</v>
      </c>
      <c r="BH9" t="s">
        <v>145</v>
      </c>
      <c r="BL9" t="s">
        <v>147</v>
      </c>
      <c r="BM9" t="s">
        <v>178</v>
      </c>
      <c r="BO9" t="s">
        <v>179</v>
      </c>
      <c r="BP9" t="s">
        <v>179</v>
      </c>
      <c r="BR9">
        <v>1</v>
      </c>
    </row>
    <row r="10" spans="1:70" x14ac:dyDescent="0.25">
      <c r="A10" t="s">
        <v>182</v>
      </c>
      <c r="B10" t="s">
        <v>135</v>
      </c>
      <c r="D10" t="s">
        <v>183</v>
      </c>
      <c r="E10" s="33" t="s">
        <v>184</v>
      </c>
      <c r="F10" t="s">
        <v>185</v>
      </c>
      <c r="G10">
        <v>0.01</v>
      </c>
      <c r="I10">
        <v>2</v>
      </c>
      <c r="J10">
        <v>90</v>
      </c>
      <c r="K10">
        <v>100</v>
      </c>
      <c r="M10">
        <v>553</v>
      </c>
      <c r="N10">
        <v>42</v>
      </c>
      <c r="O10">
        <v>100</v>
      </c>
      <c r="Q10">
        <v>0</v>
      </c>
      <c r="S10">
        <v>0</v>
      </c>
      <c r="U10">
        <v>0</v>
      </c>
      <c r="V10">
        <v>10</v>
      </c>
      <c r="Y10">
        <v>0.05</v>
      </c>
      <c r="Z10">
        <v>999</v>
      </c>
      <c r="AC10">
        <v>0</v>
      </c>
      <c r="AD10">
        <v>1</v>
      </c>
      <c r="AE10">
        <v>-1</v>
      </c>
      <c r="AG10" t="s">
        <v>182</v>
      </c>
      <c r="AH10" t="s">
        <v>136</v>
      </c>
      <c r="AI10" t="s">
        <v>186</v>
      </c>
      <c r="AK10">
        <v>3</v>
      </c>
      <c r="AL10">
        <v>-0.5</v>
      </c>
      <c r="AM10" s="41" t="s">
        <v>1656</v>
      </c>
      <c r="AN10">
        <v>0</v>
      </c>
      <c r="AO10">
        <v>0</v>
      </c>
      <c r="AP10">
        <v>1</v>
      </c>
      <c r="AV10">
        <v>0</v>
      </c>
      <c r="AY10">
        <v>1</v>
      </c>
      <c r="BA10" t="s">
        <v>175</v>
      </c>
      <c r="BC10" t="s">
        <v>168</v>
      </c>
      <c r="BD10" t="str">
        <f t="shared" ref="BD10:BD15" si="0">"half_"&amp;D10</f>
        <v>half_otter</v>
      </c>
      <c r="BE10" t="str">
        <f t="shared" ref="BE10:BE15" si="1">D10</f>
        <v>otter</v>
      </c>
      <c r="BF10" t="s">
        <v>144</v>
      </c>
      <c r="BG10">
        <v>5</v>
      </c>
      <c r="BH10" t="s">
        <v>145</v>
      </c>
      <c r="BL10" t="s">
        <v>147</v>
      </c>
      <c r="BM10" t="s">
        <v>148</v>
      </c>
      <c r="BO10" t="s">
        <v>149</v>
      </c>
      <c r="BP10" t="s">
        <v>149</v>
      </c>
      <c r="BR10">
        <v>1</v>
      </c>
    </row>
    <row r="11" spans="1:70" x14ac:dyDescent="0.25">
      <c r="A11" t="s">
        <v>187</v>
      </c>
      <c r="B11" t="s">
        <v>135</v>
      </c>
      <c r="D11" t="s">
        <v>183</v>
      </c>
      <c r="E11" s="33" t="s">
        <v>184</v>
      </c>
      <c r="F11" t="s">
        <v>185</v>
      </c>
      <c r="G11">
        <v>1</v>
      </c>
      <c r="I11">
        <v>2</v>
      </c>
      <c r="J11">
        <v>90</v>
      </c>
      <c r="K11">
        <v>3</v>
      </c>
      <c r="M11">
        <v>1000</v>
      </c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t="s">
        <v>188</v>
      </c>
      <c r="AH11" t="s">
        <v>136</v>
      </c>
      <c r="AK11">
        <v>3</v>
      </c>
      <c r="AL11">
        <v>-0.5</v>
      </c>
      <c r="AM11" s="41" t="s">
        <v>1656</v>
      </c>
      <c r="AN11">
        <v>99</v>
      </c>
      <c r="AO11">
        <v>0</v>
      </c>
      <c r="AP11">
        <v>1</v>
      </c>
      <c r="AV11">
        <v>0</v>
      </c>
      <c r="AY11">
        <v>1</v>
      </c>
      <c r="BA11" t="s">
        <v>175</v>
      </c>
      <c r="BC11" t="s">
        <v>168</v>
      </c>
      <c r="BD11" t="str">
        <f t="shared" si="0"/>
        <v>half_otter</v>
      </c>
      <c r="BE11" t="str">
        <f t="shared" si="1"/>
        <v>otter</v>
      </c>
      <c r="BF11" t="s">
        <v>144</v>
      </c>
      <c r="BG11">
        <v>5</v>
      </c>
      <c r="BH11" t="s">
        <v>145</v>
      </c>
      <c r="BL11" t="s">
        <v>147</v>
      </c>
      <c r="BM11" t="s">
        <v>148</v>
      </c>
      <c r="BO11" t="s">
        <v>149</v>
      </c>
      <c r="BP11" t="s">
        <v>149</v>
      </c>
      <c r="BR11">
        <v>1</v>
      </c>
    </row>
    <row r="12" spans="1:70" x14ac:dyDescent="0.25">
      <c r="A12" t="s">
        <v>8</v>
      </c>
      <c r="B12" t="s">
        <v>135</v>
      </c>
      <c r="D12" t="s">
        <v>189</v>
      </c>
      <c r="E12" s="32" t="s">
        <v>190</v>
      </c>
      <c r="F12" t="str">
        <f>"char_"&amp;E12&amp;"_"&amp;D12</f>
        <v>char_4123_ela</v>
      </c>
      <c r="G12">
        <v>1</v>
      </c>
      <c r="I12">
        <v>2</v>
      </c>
      <c r="J12">
        <v>90</v>
      </c>
      <c r="K12">
        <v>1468</v>
      </c>
      <c r="M12">
        <v>755</v>
      </c>
      <c r="O12">
        <v>203</v>
      </c>
      <c r="Q12">
        <v>0</v>
      </c>
      <c r="S12">
        <v>12</v>
      </c>
      <c r="T12">
        <v>-2</v>
      </c>
      <c r="U12">
        <v>0.5</v>
      </c>
      <c r="V12">
        <v>70</v>
      </c>
      <c r="Y12">
        <v>0.05</v>
      </c>
      <c r="Z12">
        <v>0.85</v>
      </c>
      <c r="AC12">
        <v>1</v>
      </c>
      <c r="AG12" t="s">
        <v>8</v>
      </c>
      <c r="AH12" t="s">
        <v>136</v>
      </c>
      <c r="AI12" t="s">
        <v>191</v>
      </c>
      <c r="AJ12" t="s">
        <v>192</v>
      </c>
      <c r="AM12" s="41" t="s">
        <v>1657</v>
      </c>
      <c r="AN12">
        <v>1</v>
      </c>
      <c r="AO12">
        <v>0.5</v>
      </c>
      <c r="AV12">
        <v>0.25</v>
      </c>
      <c r="BA12" t="s">
        <v>175</v>
      </c>
      <c r="BB12" t="s">
        <v>193</v>
      </c>
      <c r="BC12" t="str">
        <f>"icon_"&amp;D12</f>
        <v>icon_ela</v>
      </c>
      <c r="BD12" t="str">
        <f t="shared" si="0"/>
        <v>half_ela</v>
      </c>
      <c r="BE12" t="str">
        <f t="shared" si="1"/>
        <v>ela</v>
      </c>
      <c r="BF12" t="s">
        <v>144</v>
      </c>
      <c r="BG12">
        <v>6</v>
      </c>
      <c r="BH12" t="s">
        <v>171</v>
      </c>
      <c r="BI12" t="s">
        <v>194</v>
      </c>
      <c r="BJ12" t="s">
        <v>195</v>
      </c>
      <c r="BL12" t="s">
        <v>147</v>
      </c>
      <c r="BM12" t="s">
        <v>148</v>
      </c>
      <c r="BO12" t="s">
        <v>149</v>
      </c>
      <c r="BP12" t="s">
        <v>149</v>
      </c>
      <c r="BR12">
        <v>1.2</v>
      </c>
    </row>
    <row r="13" spans="1:70" x14ac:dyDescent="0.25">
      <c r="A13" t="s">
        <v>196</v>
      </c>
      <c r="B13" t="s">
        <v>135</v>
      </c>
      <c r="D13" t="s">
        <v>197</v>
      </c>
      <c r="E13" s="33" t="s">
        <v>198</v>
      </c>
      <c r="F13" t="s">
        <v>199</v>
      </c>
      <c r="G13">
        <v>1</v>
      </c>
      <c r="I13">
        <v>2</v>
      </c>
      <c r="J13">
        <v>90</v>
      </c>
      <c r="K13">
        <v>1000</v>
      </c>
      <c r="M13">
        <v>100</v>
      </c>
      <c r="O13">
        <v>0</v>
      </c>
      <c r="Q13">
        <v>0</v>
      </c>
      <c r="S13">
        <v>5</v>
      </c>
      <c r="U13">
        <v>0</v>
      </c>
      <c r="V13">
        <v>5</v>
      </c>
      <c r="Y13">
        <v>0.05</v>
      </c>
      <c r="Z13">
        <v>1</v>
      </c>
      <c r="AC13">
        <v>0</v>
      </c>
      <c r="AD13">
        <v>1</v>
      </c>
      <c r="AG13" t="s">
        <v>200</v>
      </c>
      <c r="AH13" t="s">
        <v>136</v>
      </c>
      <c r="AI13" t="s">
        <v>201</v>
      </c>
      <c r="AJ13" t="s">
        <v>202</v>
      </c>
      <c r="AK13">
        <v>1</v>
      </c>
      <c r="AM13" s="41" t="s">
        <v>1657</v>
      </c>
      <c r="AN13">
        <v>0</v>
      </c>
      <c r="AO13">
        <v>0</v>
      </c>
      <c r="AV13">
        <v>0.25</v>
      </c>
      <c r="BA13" t="s">
        <v>175</v>
      </c>
      <c r="BC13" t="s">
        <v>203</v>
      </c>
      <c r="BD13" t="str">
        <f t="shared" si="0"/>
        <v>half_deepcl</v>
      </c>
      <c r="BE13" t="str">
        <f t="shared" si="1"/>
        <v>deepcl</v>
      </c>
      <c r="BF13" t="s">
        <v>144</v>
      </c>
      <c r="BG13">
        <v>6</v>
      </c>
      <c r="BH13" t="s">
        <v>145</v>
      </c>
      <c r="BI13" t="s">
        <v>204</v>
      </c>
      <c r="BL13" t="s">
        <v>147</v>
      </c>
      <c r="BM13" t="s">
        <v>148</v>
      </c>
      <c r="BR13">
        <v>1</v>
      </c>
    </row>
    <row r="14" spans="1:70" x14ac:dyDescent="0.25">
      <c r="A14" t="s">
        <v>205</v>
      </c>
      <c r="B14" t="s">
        <v>135</v>
      </c>
      <c r="D14" t="s">
        <v>197</v>
      </c>
      <c r="E14" s="33" t="s">
        <v>198</v>
      </c>
      <c r="F14" t="s">
        <v>199</v>
      </c>
      <c r="G14">
        <v>1</v>
      </c>
      <c r="I14">
        <v>2</v>
      </c>
      <c r="J14">
        <v>90</v>
      </c>
      <c r="K14">
        <v>1000</v>
      </c>
      <c r="M14">
        <v>100</v>
      </c>
      <c r="O14">
        <v>0</v>
      </c>
      <c r="Q14">
        <v>0</v>
      </c>
      <c r="S14">
        <v>5</v>
      </c>
      <c r="U14">
        <v>0</v>
      </c>
      <c r="V14">
        <v>5</v>
      </c>
      <c r="Y14">
        <v>0.05</v>
      </c>
      <c r="Z14">
        <v>1</v>
      </c>
      <c r="AC14">
        <v>0</v>
      </c>
      <c r="AD14">
        <v>1</v>
      </c>
      <c r="AG14" t="s">
        <v>200</v>
      </c>
      <c r="AH14" t="s">
        <v>136</v>
      </c>
      <c r="AI14" t="s">
        <v>206</v>
      </c>
      <c r="AJ14" t="s">
        <v>207</v>
      </c>
      <c r="AK14">
        <v>1</v>
      </c>
      <c r="AM14" s="41" t="s">
        <v>1657</v>
      </c>
      <c r="AN14">
        <v>0</v>
      </c>
      <c r="AO14">
        <v>0</v>
      </c>
      <c r="AV14">
        <v>0.25</v>
      </c>
      <c r="BA14" t="s">
        <v>175</v>
      </c>
      <c r="BC14" t="s">
        <v>203</v>
      </c>
      <c r="BD14" t="str">
        <f t="shared" si="0"/>
        <v>half_deepcl</v>
      </c>
      <c r="BE14" t="str">
        <f t="shared" si="1"/>
        <v>deepcl</v>
      </c>
      <c r="BF14" t="s">
        <v>144</v>
      </c>
      <c r="BG14">
        <v>6</v>
      </c>
      <c r="BH14" t="s">
        <v>145</v>
      </c>
      <c r="BI14" t="s">
        <v>204</v>
      </c>
      <c r="BL14" t="s">
        <v>147</v>
      </c>
      <c r="BM14" t="s">
        <v>148</v>
      </c>
      <c r="BR14">
        <v>1</v>
      </c>
    </row>
    <row r="15" spans="1:70" x14ac:dyDescent="0.25">
      <c r="A15" t="s">
        <v>208</v>
      </c>
      <c r="B15" t="s">
        <v>135</v>
      </c>
      <c r="D15" t="s">
        <v>197</v>
      </c>
      <c r="E15" s="33" t="s">
        <v>198</v>
      </c>
      <c r="F15" t="s">
        <v>199</v>
      </c>
      <c r="G15">
        <v>1</v>
      </c>
      <c r="I15">
        <v>2</v>
      </c>
      <c r="J15">
        <v>90</v>
      </c>
      <c r="K15">
        <v>1000</v>
      </c>
      <c r="M15">
        <v>100</v>
      </c>
      <c r="O15">
        <v>0</v>
      </c>
      <c r="Q15">
        <v>0</v>
      </c>
      <c r="S15">
        <v>5</v>
      </c>
      <c r="U15">
        <v>0</v>
      </c>
      <c r="V15">
        <v>5</v>
      </c>
      <c r="Y15">
        <v>0.05</v>
      </c>
      <c r="Z15">
        <v>1</v>
      </c>
      <c r="AC15">
        <v>0</v>
      </c>
      <c r="AD15">
        <v>1</v>
      </c>
      <c r="AG15" t="s">
        <v>200</v>
      </c>
      <c r="AH15" t="s">
        <v>136</v>
      </c>
      <c r="AI15" t="s">
        <v>209</v>
      </c>
      <c r="AJ15" t="s">
        <v>210</v>
      </c>
      <c r="AK15">
        <v>1</v>
      </c>
      <c r="AM15" s="41" t="s">
        <v>1657</v>
      </c>
      <c r="AN15">
        <v>0</v>
      </c>
      <c r="AO15">
        <v>0</v>
      </c>
      <c r="AV15">
        <v>0.25</v>
      </c>
      <c r="BA15" t="s">
        <v>175</v>
      </c>
      <c r="BC15" t="s">
        <v>203</v>
      </c>
      <c r="BD15" t="str">
        <f t="shared" si="0"/>
        <v>half_deepcl</v>
      </c>
      <c r="BE15" t="str">
        <f t="shared" si="1"/>
        <v>deepcl</v>
      </c>
      <c r="BF15" t="s">
        <v>144</v>
      </c>
      <c r="BG15">
        <v>6</v>
      </c>
      <c r="BH15" t="s">
        <v>145</v>
      </c>
      <c r="BI15" t="s">
        <v>204</v>
      </c>
      <c r="BL15" t="s">
        <v>147</v>
      </c>
      <c r="BM15" t="s">
        <v>148</v>
      </c>
      <c r="BR15">
        <v>1</v>
      </c>
    </row>
    <row r="16" spans="1:70" x14ac:dyDescent="0.25">
      <c r="A16" t="s">
        <v>9</v>
      </c>
      <c r="B16" t="s">
        <v>135</v>
      </c>
      <c r="D16" t="s">
        <v>211</v>
      </c>
      <c r="E16" s="33" t="s">
        <v>212</v>
      </c>
      <c r="F16" t="str">
        <f t="shared" ref="F16:F19" si="2">"char_"&amp;E16&amp;"_"&amp;D16</f>
        <v>char_4179_monstr</v>
      </c>
      <c r="G16">
        <v>1</v>
      </c>
      <c r="I16">
        <v>2</v>
      </c>
      <c r="J16">
        <v>90</v>
      </c>
      <c r="K16">
        <v>2235</v>
      </c>
      <c r="M16">
        <v>583</v>
      </c>
      <c r="O16">
        <v>221</v>
      </c>
      <c r="Q16">
        <v>0</v>
      </c>
      <c r="S16">
        <v>16</v>
      </c>
      <c r="U16">
        <v>0.5</v>
      </c>
      <c r="V16">
        <v>70</v>
      </c>
      <c r="Y16">
        <v>0.05</v>
      </c>
      <c r="Z16">
        <v>2.85</v>
      </c>
      <c r="AC16">
        <v>1</v>
      </c>
      <c r="AG16" t="s">
        <v>213</v>
      </c>
      <c r="AH16" t="s">
        <v>136</v>
      </c>
      <c r="AI16" t="s">
        <v>214</v>
      </c>
      <c r="AJ16" t="s">
        <v>215</v>
      </c>
      <c r="AM16" s="41" t="s">
        <v>1655</v>
      </c>
      <c r="AN16">
        <v>1</v>
      </c>
      <c r="AO16">
        <v>0.5</v>
      </c>
      <c r="AV16">
        <v>0.25</v>
      </c>
      <c r="BA16" t="s">
        <v>216</v>
      </c>
      <c r="BB16" t="s">
        <v>217</v>
      </c>
      <c r="BC16" t="s">
        <v>218</v>
      </c>
      <c r="BD16" t="s">
        <v>219</v>
      </c>
      <c r="BE16" t="s">
        <v>220</v>
      </c>
      <c r="BF16" t="s">
        <v>144</v>
      </c>
      <c r="BG16">
        <v>6</v>
      </c>
      <c r="BH16" t="s">
        <v>171</v>
      </c>
      <c r="BI16" t="s">
        <v>221</v>
      </c>
      <c r="BL16" t="s">
        <v>147</v>
      </c>
      <c r="BM16" t="s">
        <v>148</v>
      </c>
      <c r="BO16" t="s">
        <v>149</v>
      </c>
      <c r="BP16" t="s">
        <v>149</v>
      </c>
      <c r="BR16">
        <v>1</v>
      </c>
    </row>
    <row r="17" spans="1:74" x14ac:dyDescent="0.25">
      <c r="A17" t="s">
        <v>222</v>
      </c>
      <c r="B17" t="s">
        <v>135</v>
      </c>
      <c r="D17" t="s">
        <v>183</v>
      </c>
      <c r="E17" s="33" t="s">
        <v>184</v>
      </c>
      <c r="F17" t="s">
        <v>185</v>
      </c>
      <c r="G17">
        <v>1</v>
      </c>
      <c r="I17">
        <v>2</v>
      </c>
      <c r="J17">
        <v>90</v>
      </c>
      <c r="K17">
        <v>5433</v>
      </c>
      <c r="M17">
        <v>583</v>
      </c>
      <c r="O17">
        <v>221</v>
      </c>
      <c r="Q17">
        <v>0</v>
      </c>
      <c r="S17">
        <v>3</v>
      </c>
      <c r="U17">
        <v>0</v>
      </c>
      <c r="V17">
        <v>15</v>
      </c>
      <c r="Y17">
        <v>0.05</v>
      </c>
      <c r="Z17">
        <v>1</v>
      </c>
      <c r="AC17">
        <v>0</v>
      </c>
      <c r="AE17">
        <v>-1</v>
      </c>
      <c r="AG17" t="s">
        <v>222</v>
      </c>
      <c r="AH17" t="s">
        <v>136</v>
      </c>
      <c r="AI17" t="s">
        <v>223</v>
      </c>
      <c r="AK17">
        <v>1</v>
      </c>
      <c r="AM17" s="41" t="s">
        <v>1656</v>
      </c>
      <c r="AN17">
        <v>0</v>
      </c>
      <c r="AO17">
        <v>0</v>
      </c>
      <c r="AU17" t="s">
        <v>224</v>
      </c>
      <c r="AV17">
        <v>0.25</v>
      </c>
      <c r="BA17" t="s">
        <v>216</v>
      </c>
      <c r="BC17" t="s">
        <v>225</v>
      </c>
      <c r="BD17" t="str">
        <f>"half_"&amp;D17</f>
        <v>half_otter</v>
      </c>
      <c r="BE17" t="str">
        <f>D17</f>
        <v>otter</v>
      </c>
      <c r="BF17" t="s">
        <v>144</v>
      </c>
      <c r="BG17">
        <v>6</v>
      </c>
      <c r="BH17" t="s">
        <v>145</v>
      </c>
      <c r="BI17" t="s">
        <v>222</v>
      </c>
      <c r="BL17" t="s">
        <v>147</v>
      </c>
      <c r="BM17" t="s">
        <v>148</v>
      </c>
      <c r="BR17">
        <v>1</v>
      </c>
    </row>
    <row r="18" spans="1:74" x14ac:dyDescent="0.25">
      <c r="A18" t="s">
        <v>226</v>
      </c>
      <c r="B18" t="s">
        <v>135</v>
      </c>
      <c r="D18" t="s">
        <v>211</v>
      </c>
      <c r="E18" s="33" t="s">
        <v>212</v>
      </c>
      <c r="F18" t="str">
        <f t="shared" si="2"/>
        <v>char_4179_monstr</v>
      </c>
      <c r="G18">
        <v>1</v>
      </c>
      <c r="I18">
        <v>2</v>
      </c>
      <c r="J18">
        <v>90</v>
      </c>
      <c r="K18">
        <v>2235</v>
      </c>
      <c r="M18">
        <v>583</v>
      </c>
      <c r="O18">
        <v>221</v>
      </c>
      <c r="Q18">
        <v>0</v>
      </c>
      <c r="S18">
        <v>0</v>
      </c>
      <c r="U18">
        <v>0.5</v>
      </c>
      <c r="V18">
        <v>70</v>
      </c>
      <c r="Y18">
        <v>0.05</v>
      </c>
      <c r="Z18">
        <v>2.85</v>
      </c>
      <c r="AC18">
        <v>1</v>
      </c>
      <c r="AD18">
        <v>1</v>
      </c>
      <c r="AG18" t="s">
        <v>213</v>
      </c>
      <c r="AH18" t="s">
        <v>136</v>
      </c>
      <c r="AI18" t="s">
        <v>227</v>
      </c>
      <c r="AJ18" t="s">
        <v>228</v>
      </c>
      <c r="AM18" s="41" t="s">
        <v>1656</v>
      </c>
      <c r="AN18">
        <v>3</v>
      </c>
      <c r="AO18">
        <v>0</v>
      </c>
      <c r="AV18">
        <v>0.25</v>
      </c>
      <c r="BA18" t="s">
        <v>216</v>
      </c>
      <c r="BB18" t="s">
        <v>217</v>
      </c>
      <c r="BC18" t="s">
        <v>218</v>
      </c>
      <c r="BD18" t="s">
        <v>219</v>
      </c>
      <c r="BE18" t="s">
        <v>220</v>
      </c>
      <c r="BF18" t="s">
        <v>144</v>
      </c>
      <c r="BG18">
        <v>6</v>
      </c>
      <c r="BH18" t="s">
        <v>171</v>
      </c>
      <c r="BI18" t="s">
        <v>221</v>
      </c>
      <c r="BL18" s="13" t="s">
        <v>229</v>
      </c>
      <c r="BM18" s="13" t="s">
        <v>229</v>
      </c>
      <c r="BO18" s="37" t="s">
        <v>230</v>
      </c>
      <c r="BP18" t="s">
        <v>149</v>
      </c>
      <c r="BR18">
        <v>1</v>
      </c>
    </row>
    <row r="19" spans="1:74" x14ac:dyDescent="0.25">
      <c r="A19" t="s">
        <v>10</v>
      </c>
      <c r="B19" t="s">
        <v>135</v>
      </c>
      <c r="D19" t="s">
        <v>231</v>
      </c>
      <c r="E19" s="32" t="s">
        <v>232</v>
      </c>
      <c r="F19" t="str">
        <f t="shared" si="2"/>
        <v>char_4133_logos</v>
      </c>
      <c r="G19">
        <v>1</v>
      </c>
      <c r="I19">
        <v>2</v>
      </c>
      <c r="J19">
        <v>90</v>
      </c>
      <c r="K19">
        <v>1663</v>
      </c>
      <c r="L19">
        <v>170</v>
      </c>
      <c r="M19">
        <v>788</v>
      </c>
      <c r="N19">
        <v>67</v>
      </c>
      <c r="O19">
        <v>119</v>
      </c>
      <c r="Q19">
        <v>20</v>
      </c>
      <c r="S19">
        <v>21</v>
      </c>
      <c r="T19">
        <v>-2</v>
      </c>
      <c r="U19">
        <v>0.5</v>
      </c>
      <c r="V19">
        <v>70</v>
      </c>
      <c r="Y19">
        <v>0.05</v>
      </c>
      <c r="Z19">
        <v>1.6</v>
      </c>
      <c r="AC19">
        <v>1</v>
      </c>
      <c r="AG19" t="s">
        <v>10</v>
      </c>
      <c r="AH19" t="s">
        <v>136</v>
      </c>
      <c r="AI19" t="s">
        <v>233</v>
      </c>
      <c r="AJ19" t="s">
        <v>234</v>
      </c>
      <c r="AM19" s="41" t="s">
        <v>1655</v>
      </c>
      <c r="AN19">
        <v>1</v>
      </c>
      <c r="AO19">
        <v>0.5</v>
      </c>
      <c r="AV19">
        <v>0.25</v>
      </c>
      <c r="BA19" t="s">
        <v>235</v>
      </c>
      <c r="BB19" t="s">
        <v>236</v>
      </c>
      <c r="BC19" t="s">
        <v>237</v>
      </c>
      <c r="BD19" t="s">
        <v>238</v>
      </c>
      <c r="BE19" t="s">
        <v>231</v>
      </c>
      <c r="BF19" t="s">
        <v>144</v>
      </c>
      <c r="BG19">
        <v>6</v>
      </c>
      <c r="BH19" t="s">
        <v>171</v>
      </c>
      <c r="BI19" t="s">
        <v>172</v>
      </c>
      <c r="BJ19" t="s">
        <v>239</v>
      </c>
      <c r="BL19" t="s">
        <v>147</v>
      </c>
      <c r="BM19" t="s">
        <v>148</v>
      </c>
      <c r="BO19" t="s">
        <v>149</v>
      </c>
      <c r="BP19" t="s">
        <v>149</v>
      </c>
      <c r="BR19">
        <v>1</v>
      </c>
      <c r="BV19" s="8"/>
    </row>
    <row r="20" spans="1:74" x14ac:dyDescent="0.25">
      <c r="A20" t="s">
        <v>11</v>
      </c>
      <c r="B20" t="s">
        <v>135</v>
      </c>
      <c r="D20" t="s">
        <v>240</v>
      </c>
      <c r="E20" s="32" t="s">
        <v>241</v>
      </c>
      <c r="F20" s="1" t="s">
        <v>1646</v>
      </c>
      <c r="G20">
        <v>1</v>
      </c>
      <c r="I20">
        <v>2</v>
      </c>
      <c r="J20">
        <v>90</v>
      </c>
      <c r="K20">
        <v>1608</v>
      </c>
      <c r="M20">
        <v>783</v>
      </c>
      <c r="N20">
        <v>82</v>
      </c>
      <c r="O20">
        <v>131</v>
      </c>
      <c r="P20">
        <v>25</v>
      </c>
      <c r="Q20">
        <v>15</v>
      </c>
      <c r="S20">
        <v>21</v>
      </c>
      <c r="T20">
        <v>-2</v>
      </c>
      <c r="U20">
        <v>0.5</v>
      </c>
      <c r="V20">
        <v>70</v>
      </c>
      <c r="Y20">
        <v>0.05</v>
      </c>
      <c r="Z20">
        <v>1.6</v>
      </c>
      <c r="AC20">
        <v>1</v>
      </c>
      <c r="AG20" t="s">
        <v>11</v>
      </c>
      <c r="AH20" t="s">
        <v>136</v>
      </c>
      <c r="AI20" t="s">
        <v>242</v>
      </c>
      <c r="AJ20" t="s">
        <v>243</v>
      </c>
      <c r="AM20" s="41" t="s">
        <v>1655</v>
      </c>
      <c r="AN20">
        <v>1</v>
      </c>
      <c r="AO20">
        <v>0.5</v>
      </c>
      <c r="AV20">
        <v>0.25</v>
      </c>
      <c r="BA20" t="s">
        <v>235</v>
      </c>
      <c r="BB20" t="s">
        <v>244</v>
      </c>
      <c r="BC20" t="str">
        <f>"icon_"&amp;D20</f>
        <v>icon_blaze2</v>
      </c>
      <c r="BD20" t="str">
        <f>"half_"&amp;D20</f>
        <v>half_blaze2</v>
      </c>
      <c r="BE20" t="str">
        <f>D20</f>
        <v>blaze2</v>
      </c>
      <c r="BF20" t="s">
        <v>144</v>
      </c>
      <c r="BG20">
        <v>6</v>
      </c>
      <c r="BH20" t="s">
        <v>171</v>
      </c>
      <c r="BI20" t="s">
        <v>172</v>
      </c>
      <c r="BJ20" t="s">
        <v>245</v>
      </c>
      <c r="BL20" t="s">
        <v>147</v>
      </c>
      <c r="BM20" t="s">
        <v>148</v>
      </c>
      <c r="BO20" t="s">
        <v>149</v>
      </c>
      <c r="BP20" s="8"/>
      <c r="BR20">
        <v>1</v>
      </c>
    </row>
    <row r="21" spans="1:74" x14ac:dyDescent="0.25">
      <c r="A21" t="s">
        <v>12</v>
      </c>
      <c r="B21" t="s">
        <v>135</v>
      </c>
      <c r="E21" s="32"/>
      <c r="F21" s="1" t="s">
        <v>1647</v>
      </c>
      <c r="G21">
        <v>1</v>
      </c>
      <c r="I21">
        <v>2</v>
      </c>
      <c r="J21">
        <v>90</v>
      </c>
      <c r="K21">
        <v>1753</v>
      </c>
      <c r="M21">
        <v>873</v>
      </c>
      <c r="O21">
        <v>130</v>
      </c>
      <c r="Q21">
        <v>15</v>
      </c>
      <c r="S21">
        <v>21</v>
      </c>
      <c r="T21">
        <v>-2</v>
      </c>
      <c r="U21">
        <v>0.5</v>
      </c>
      <c r="V21">
        <v>70</v>
      </c>
      <c r="W21">
        <v>-6</v>
      </c>
      <c r="Y21">
        <v>0.05</v>
      </c>
      <c r="Z21">
        <v>1.6</v>
      </c>
      <c r="AC21">
        <v>1</v>
      </c>
      <c r="AG21" t="s">
        <v>12</v>
      </c>
      <c r="AH21" t="s">
        <v>136</v>
      </c>
      <c r="AI21" t="s">
        <v>246</v>
      </c>
      <c r="AJ21" t="s">
        <v>247</v>
      </c>
      <c r="AM21" s="41" t="s">
        <v>1655</v>
      </c>
      <c r="AN21">
        <v>1</v>
      </c>
      <c r="AO21">
        <v>0.5</v>
      </c>
      <c r="AV21">
        <v>0.25</v>
      </c>
      <c r="BA21" t="s">
        <v>235</v>
      </c>
      <c r="BB21" t="s">
        <v>244</v>
      </c>
      <c r="BC21" t="s">
        <v>237</v>
      </c>
      <c r="BD21" t="s">
        <v>238</v>
      </c>
      <c r="BE21" t="s">
        <v>231</v>
      </c>
      <c r="BF21" t="s">
        <v>144</v>
      </c>
      <c r="BG21">
        <v>6</v>
      </c>
      <c r="BH21" t="s">
        <v>171</v>
      </c>
      <c r="BI21" t="s">
        <v>172</v>
      </c>
      <c r="BJ21" t="s">
        <v>245</v>
      </c>
      <c r="BL21" t="s">
        <v>147</v>
      </c>
      <c r="BM21" t="s">
        <v>148</v>
      </c>
      <c r="BO21" t="s">
        <v>149</v>
      </c>
      <c r="BP21" t="s">
        <v>149</v>
      </c>
      <c r="BR21">
        <v>1</v>
      </c>
      <c r="BV21" s="8"/>
    </row>
    <row r="22" spans="1:74" x14ac:dyDescent="0.25">
      <c r="A22" t="s">
        <v>13</v>
      </c>
      <c r="B22" t="s">
        <v>135</v>
      </c>
      <c r="D22" t="s">
        <v>248</v>
      </c>
      <c r="E22" s="34">
        <v>4145</v>
      </c>
      <c r="F22" t="str">
        <f>"char_"&amp;E22&amp;"_"&amp;D22</f>
        <v>char_4145_ulpia</v>
      </c>
      <c r="G22">
        <v>1</v>
      </c>
      <c r="I22">
        <v>2</v>
      </c>
      <c r="J22">
        <v>90</v>
      </c>
      <c r="K22">
        <v>6772</v>
      </c>
      <c r="L22">
        <v>510</v>
      </c>
      <c r="M22">
        <v>1694</v>
      </c>
      <c r="N22">
        <v>120</v>
      </c>
      <c r="O22">
        <v>0</v>
      </c>
      <c r="Q22">
        <v>0</v>
      </c>
      <c r="S22">
        <v>24</v>
      </c>
      <c r="T22">
        <v>-2</v>
      </c>
      <c r="U22">
        <v>0.5</v>
      </c>
      <c r="V22">
        <v>70</v>
      </c>
      <c r="Y22">
        <v>0.05</v>
      </c>
      <c r="Z22">
        <v>2.5</v>
      </c>
      <c r="AC22">
        <v>1</v>
      </c>
      <c r="AG22" t="s">
        <v>13</v>
      </c>
      <c r="AH22" t="s">
        <v>136</v>
      </c>
      <c r="AI22" t="s">
        <v>249</v>
      </c>
      <c r="AJ22" t="s">
        <v>250</v>
      </c>
      <c r="AM22" s="41" t="s">
        <v>1656</v>
      </c>
      <c r="AN22">
        <v>2</v>
      </c>
      <c r="AO22">
        <v>0.5</v>
      </c>
      <c r="AV22">
        <v>0.25</v>
      </c>
      <c r="BA22" t="s">
        <v>160</v>
      </c>
      <c r="BB22" t="s">
        <v>251</v>
      </c>
      <c r="BC22" t="str">
        <f t="shared" ref="BC22:BC27" si="3">"icon_"&amp;D22</f>
        <v>icon_ulpia</v>
      </c>
      <c r="BD22" t="str">
        <f t="shared" ref="BD22:BD27" si="4">"half_"&amp;D22</f>
        <v>half_ulpia</v>
      </c>
      <c r="BE22" t="str">
        <f t="shared" ref="BE22:BE27" si="5">D22</f>
        <v>ulpia</v>
      </c>
      <c r="BF22" t="s">
        <v>144</v>
      </c>
      <c r="BG22">
        <v>6</v>
      </c>
      <c r="BH22" t="s">
        <v>145</v>
      </c>
      <c r="BI22" t="s">
        <v>252</v>
      </c>
      <c r="BJ22" t="s">
        <v>253</v>
      </c>
      <c r="BL22" t="s">
        <v>147</v>
      </c>
      <c r="BM22" t="s">
        <v>148</v>
      </c>
      <c r="BO22" t="s">
        <v>149</v>
      </c>
      <c r="BP22" t="s">
        <v>149</v>
      </c>
      <c r="BR22">
        <v>1</v>
      </c>
    </row>
    <row r="23" spans="1:74" x14ac:dyDescent="0.25">
      <c r="A23" t="s">
        <v>14</v>
      </c>
      <c r="B23" t="s">
        <v>135</v>
      </c>
      <c r="D23" t="s">
        <v>254</v>
      </c>
      <c r="E23" s="32" t="s">
        <v>255</v>
      </c>
      <c r="F23" s="1" t="s">
        <v>1648</v>
      </c>
      <c r="G23">
        <v>1</v>
      </c>
      <c r="I23">
        <v>2</v>
      </c>
      <c r="J23">
        <v>90</v>
      </c>
      <c r="K23">
        <v>2501</v>
      </c>
      <c r="M23">
        <v>886</v>
      </c>
      <c r="O23">
        <v>203</v>
      </c>
      <c r="Q23">
        <v>0</v>
      </c>
      <c r="S23">
        <v>32</v>
      </c>
      <c r="T23">
        <v>-2</v>
      </c>
      <c r="U23">
        <v>0.5</v>
      </c>
      <c r="V23">
        <v>70</v>
      </c>
      <c r="W23">
        <v>-4</v>
      </c>
      <c r="Y23">
        <v>0.05</v>
      </c>
      <c r="Z23">
        <v>2.2999999999999998</v>
      </c>
      <c r="AC23">
        <v>1</v>
      </c>
      <c r="AG23" t="s">
        <v>14</v>
      </c>
      <c r="AH23" t="s">
        <v>136</v>
      </c>
      <c r="AI23" t="s">
        <v>257</v>
      </c>
      <c r="AJ23" t="s">
        <v>258</v>
      </c>
      <c r="AM23" s="41" t="s">
        <v>1655</v>
      </c>
      <c r="AN23">
        <v>1</v>
      </c>
      <c r="AO23">
        <v>0.5</v>
      </c>
      <c r="AV23">
        <v>0.25</v>
      </c>
      <c r="BA23" t="s">
        <v>259</v>
      </c>
      <c r="BB23" t="s">
        <v>260</v>
      </c>
      <c r="BC23" t="str">
        <f t="shared" si="3"/>
        <v>icon_chen2</v>
      </c>
      <c r="BD23" t="str">
        <f t="shared" si="4"/>
        <v>half_chen2</v>
      </c>
      <c r="BE23" t="str">
        <f t="shared" si="5"/>
        <v>chen2</v>
      </c>
      <c r="BF23" t="s">
        <v>144</v>
      </c>
      <c r="BG23">
        <v>6</v>
      </c>
      <c r="BH23" t="s">
        <v>171</v>
      </c>
      <c r="BI23" t="s">
        <v>172</v>
      </c>
      <c r="BJ23" t="s">
        <v>261</v>
      </c>
      <c r="BL23" t="s">
        <v>147</v>
      </c>
      <c r="BM23" t="s">
        <v>148</v>
      </c>
      <c r="BO23" t="s">
        <v>149</v>
      </c>
      <c r="BP23" t="s">
        <v>148</v>
      </c>
      <c r="BR23">
        <v>1</v>
      </c>
    </row>
    <row r="24" spans="1:74" x14ac:dyDescent="0.25">
      <c r="A24" t="s">
        <v>15</v>
      </c>
      <c r="B24" t="s">
        <v>135</v>
      </c>
      <c r="D24" t="s">
        <v>262</v>
      </c>
      <c r="E24" s="34">
        <v>4193</v>
      </c>
      <c r="F24" s="1" t="s">
        <v>1649</v>
      </c>
      <c r="G24">
        <v>1</v>
      </c>
      <c r="I24">
        <v>2</v>
      </c>
      <c r="J24">
        <v>90</v>
      </c>
      <c r="K24">
        <v>1448</v>
      </c>
      <c r="L24">
        <v>120</v>
      </c>
      <c r="M24">
        <v>1347</v>
      </c>
      <c r="N24">
        <v>120</v>
      </c>
      <c r="O24">
        <v>175</v>
      </c>
      <c r="Q24">
        <v>0</v>
      </c>
      <c r="S24">
        <v>22</v>
      </c>
      <c r="T24">
        <v>-2</v>
      </c>
      <c r="U24">
        <v>0.5</v>
      </c>
      <c r="V24">
        <v>70</v>
      </c>
      <c r="W24">
        <v>-4</v>
      </c>
      <c r="Y24">
        <v>0.05</v>
      </c>
      <c r="Z24">
        <v>2.7</v>
      </c>
      <c r="AC24">
        <v>1</v>
      </c>
      <c r="AG24" t="s">
        <v>15</v>
      </c>
      <c r="AH24" t="s">
        <v>136</v>
      </c>
      <c r="AI24" t="s">
        <v>263</v>
      </c>
      <c r="AJ24" t="s">
        <v>264</v>
      </c>
      <c r="AM24" s="41" t="s">
        <v>1655</v>
      </c>
      <c r="AN24">
        <v>1</v>
      </c>
      <c r="AO24">
        <v>0.5</v>
      </c>
      <c r="AV24">
        <v>0.25</v>
      </c>
      <c r="BA24" t="s">
        <v>259</v>
      </c>
      <c r="BB24" t="s">
        <v>265</v>
      </c>
      <c r="BC24" t="str">
        <f t="shared" si="3"/>
        <v>icon_lemuen</v>
      </c>
      <c r="BD24" t="str">
        <f t="shared" si="4"/>
        <v>half_lemuen</v>
      </c>
      <c r="BE24" t="str">
        <f t="shared" si="5"/>
        <v>lemuen</v>
      </c>
      <c r="BF24" t="s">
        <v>144</v>
      </c>
      <c r="BG24">
        <v>6</v>
      </c>
      <c r="BH24" t="s">
        <v>171</v>
      </c>
      <c r="BI24" t="s">
        <v>266</v>
      </c>
      <c r="BJ24" t="s">
        <v>267</v>
      </c>
      <c r="BL24" t="s">
        <v>147</v>
      </c>
      <c r="BM24" t="s">
        <v>148</v>
      </c>
      <c r="BO24" t="s">
        <v>149</v>
      </c>
      <c r="BP24" t="s">
        <v>149</v>
      </c>
      <c r="BR24">
        <v>3.6</v>
      </c>
    </row>
    <row r="25" spans="1:74" x14ac:dyDescent="0.25">
      <c r="A25" t="s">
        <v>16</v>
      </c>
      <c r="B25" t="s">
        <v>135</v>
      </c>
      <c r="D25" t="s">
        <v>268</v>
      </c>
      <c r="E25" s="32" t="s">
        <v>269</v>
      </c>
      <c r="F25" s="1" t="s">
        <v>1650</v>
      </c>
      <c r="G25">
        <v>1</v>
      </c>
      <c r="I25">
        <v>2</v>
      </c>
      <c r="J25">
        <v>90</v>
      </c>
      <c r="K25">
        <v>1888</v>
      </c>
      <c r="M25">
        <v>809</v>
      </c>
      <c r="N25">
        <v>65</v>
      </c>
      <c r="O25">
        <v>256</v>
      </c>
      <c r="Q25">
        <v>15</v>
      </c>
      <c r="S25">
        <v>25</v>
      </c>
      <c r="T25">
        <v>-2</v>
      </c>
      <c r="U25">
        <v>0.5</v>
      </c>
      <c r="V25">
        <v>70</v>
      </c>
      <c r="W25">
        <v>-4</v>
      </c>
      <c r="X25">
        <v>7</v>
      </c>
      <c r="Y25">
        <v>0.05</v>
      </c>
      <c r="Z25">
        <v>2.1</v>
      </c>
      <c r="AC25">
        <v>1</v>
      </c>
      <c r="AG25" t="s">
        <v>16</v>
      </c>
      <c r="AH25" t="s">
        <v>136</v>
      </c>
      <c r="AI25" t="s">
        <v>270</v>
      </c>
      <c r="AJ25" t="s">
        <v>271</v>
      </c>
      <c r="AM25" s="41" t="s">
        <v>1655</v>
      </c>
      <c r="AN25">
        <v>1</v>
      </c>
      <c r="AO25">
        <v>0.5</v>
      </c>
      <c r="AV25">
        <v>0.25</v>
      </c>
      <c r="BA25" t="s">
        <v>259</v>
      </c>
      <c r="BB25" t="s">
        <v>272</v>
      </c>
      <c r="BC25" t="str">
        <f t="shared" si="3"/>
        <v>icon_wisdel</v>
      </c>
      <c r="BD25" t="str">
        <f t="shared" si="4"/>
        <v>half_wisdel</v>
      </c>
      <c r="BE25" t="str">
        <f t="shared" si="5"/>
        <v>wisdel</v>
      </c>
      <c r="BF25" t="s">
        <v>144</v>
      </c>
      <c r="BG25">
        <v>6</v>
      </c>
      <c r="BH25" t="s">
        <v>171</v>
      </c>
      <c r="BI25" t="s">
        <v>172</v>
      </c>
      <c r="BJ25" t="s">
        <v>273</v>
      </c>
      <c r="BK25" t="s">
        <v>274</v>
      </c>
      <c r="BL25" t="s">
        <v>147</v>
      </c>
      <c r="BM25" t="s">
        <v>148</v>
      </c>
      <c r="BO25" t="s">
        <v>149</v>
      </c>
      <c r="BP25" t="s">
        <v>149</v>
      </c>
      <c r="BR25">
        <v>5.3330000000000002</v>
      </c>
    </row>
    <row r="26" spans="1:74" x14ac:dyDescent="0.25">
      <c r="A26" t="s">
        <v>275</v>
      </c>
      <c r="B26" t="s">
        <v>135</v>
      </c>
      <c r="D26" t="s">
        <v>268</v>
      </c>
      <c r="E26" s="34">
        <v>1035</v>
      </c>
      <c r="F26" t="s">
        <v>278</v>
      </c>
      <c r="G26">
        <v>1</v>
      </c>
      <c r="I26">
        <v>2</v>
      </c>
      <c r="J26">
        <v>90</v>
      </c>
      <c r="K26">
        <v>3500</v>
      </c>
      <c r="M26">
        <v>777</v>
      </c>
      <c r="O26">
        <v>650</v>
      </c>
      <c r="Q26">
        <v>50</v>
      </c>
      <c r="S26">
        <v>0</v>
      </c>
      <c r="U26">
        <v>0</v>
      </c>
      <c r="V26">
        <v>0</v>
      </c>
      <c r="Y26">
        <v>0.05</v>
      </c>
      <c r="Z26">
        <v>1</v>
      </c>
      <c r="AC26">
        <v>0</v>
      </c>
      <c r="AD26">
        <v>1</v>
      </c>
      <c r="AG26" t="s">
        <v>275</v>
      </c>
      <c r="AH26" t="s">
        <v>136</v>
      </c>
      <c r="AI26" t="s">
        <v>276</v>
      </c>
      <c r="AJ26" t="s">
        <v>277</v>
      </c>
      <c r="AM26" s="41" t="s">
        <v>1655</v>
      </c>
      <c r="AN26">
        <v>0</v>
      </c>
      <c r="AO26">
        <v>0</v>
      </c>
      <c r="AV26">
        <v>0.25</v>
      </c>
      <c r="BA26" t="s">
        <v>259</v>
      </c>
      <c r="BC26" t="s">
        <v>278</v>
      </c>
      <c r="BD26" t="str">
        <f t="shared" si="4"/>
        <v>half_wisdel</v>
      </c>
      <c r="BE26" t="str">
        <f t="shared" si="5"/>
        <v>wisdel</v>
      </c>
      <c r="BF26" t="s">
        <v>144</v>
      </c>
      <c r="BG26">
        <v>6</v>
      </c>
      <c r="BH26" t="s">
        <v>145</v>
      </c>
      <c r="BI26" t="s">
        <v>279</v>
      </c>
      <c r="BL26" t="s">
        <v>148</v>
      </c>
      <c r="BM26" t="s">
        <v>148</v>
      </c>
      <c r="BO26" t="s">
        <v>149</v>
      </c>
      <c r="BP26" t="s">
        <v>148</v>
      </c>
      <c r="BR26">
        <v>1</v>
      </c>
    </row>
    <row r="27" spans="1:74" x14ac:dyDescent="0.25">
      <c r="A27" t="s">
        <v>17</v>
      </c>
      <c r="B27" t="s">
        <v>135</v>
      </c>
      <c r="D27" t="s">
        <v>170</v>
      </c>
      <c r="E27" s="33" t="s">
        <v>280</v>
      </c>
      <c r="F27" t="str">
        <f>"char_"&amp;E27&amp;"_"&amp;D27</f>
        <v>char_172_svrash</v>
      </c>
      <c r="G27">
        <v>1</v>
      </c>
      <c r="I27">
        <v>2</v>
      </c>
      <c r="J27">
        <v>90</v>
      </c>
      <c r="K27">
        <v>2318</v>
      </c>
      <c r="M27">
        <v>653</v>
      </c>
      <c r="O27">
        <v>497</v>
      </c>
      <c r="Q27">
        <v>15</v>
      </c>
      <c r="S27">
        <v>13</v>
      </c>
      <c r="T27">
        <v>-2</v>
      </c>
      <c r="U27">
        <v>0.5</v>
      </c>
      <c r="V27">
        <v>70</v>
      </c>
      <c r="Y27">
        <v>0.05</v>
      </c>
      <c r="Z27">
        <v>1</v>
      </c>
      <c r="AC27">
        <v>1</v>
      </c>
      <c r="AG27" t="s">
        <v>17</v>
      </c>
      <c r="AH27" t="s">
        <v>136</v>
      </c>
      <c r="AI27" t="s">
        <v>281</v>
      </c>
      <c r="AM27" s="41" t="s">
        <v>1656</v>
      </c>
      <c r="AN27">
        <v>1</v>
      </c>
      <c r="AO27">
        <v>1</v>
      </c>
      <c r="AV27">
        <v>0.25</v>
      </c>
      <c r="BA27" t="s">
        <v>282</v>
      </c>
      <c r="BB27" t="s">
        <v>283</v>
      </c>
      <c r="BC27" t="str">
        <f t="shared" si="3"/>
        <v>icon_svrash</v>
      </c>
      <c r="BD27" t="str">
        <f t="shared" si="4"/>
        <v>half_svrash</v>
      </c>
      <c r="BE27" t="str">
        <f t="shared" si="5"/>
        <v>svrash</v>
      </c>
      <c r="BF27" t="s">
        <v>144</v>
      </c>
      <c r="BG27">
        <v>6</v>
      </c>
      <c r="BH27" t="s">
        <v>145</v>
      </c>
      <c r="BI27" t="s">
        <v>284</v>
      </c>
      <c r="BJ27" t="s">
        <v>285</v>
      </c>
      <c r="BK27" t="s">
        <v>286</v>
      </c>
      <c r="BL27" t="s">
        <v>147</v>
      </c>
      <c r="BM27" t="s">
        <v>148</v>
      </c>
      <c r="BO27" t="s">
        <v>149</v>
      </c>
      <c r="BP27" t="s">
        <v>149</v>
      </c>
      <c r="BR27">
        <v>2</v>
      </c>
    </row>
    <row r="29" spans="1:74" s="3" customFormat="1" x14ac:dyDescent="0.25">
      <c r="A29" s="3" t="s">
        <v>18</v>
      </c>
      <c r="B29" s="3" t="s">
        <v>135</v>
      </c>
      <c r="D29" s="3" t="s">
        <v>287</v>
      </c>
      <c r="E29" s="35" t="s">
        <v>288</v>
      </c>
      <c r="F29" s="2" t="s">
        <v>18</v>
      </c>
      <c r="G29" s="3">
        <v>1</v>
      </c>
      <c r="I29" s="3">
        <v>2</v>
      </c>
      <c r="J29" s="3">
        <v>90</v>
      </c>
      <c r="K29" s="3">
        <v>1755</v>
      </c>
      <c r="M29" s="3">
        <v>1276</v>
      </c>
      <c r="O29" s="3">
        <v>183</v>
      </c>
      <c r="Q29" s="3">
        <v>0</v>
      </c>
      <c r="S29" s="3">
        <v>24</v>
      </c>
      <c r="T29" s="3">
        <v>-2</v>
      </c>
      <c r="U29" s="3">
        <v>0.5</v>
      </c>
      <c r="V29" s="3">
        <v>70</v>
      </c>
      <c r="W29" s="3">
        <v>-4</v>
      </c>
      <c r="Y29" s="3">
        <v>0.05</v>
      </c>
      <c r="Z29" s="3">
        <v>2.4</v>
      </c>
      <c r="AC29" s="3">
        <v>1</v>
      </c>
      <c r="AG29" s="3" t="s">
        <v>18</v>
      </c>
      <c r="AH29" s="3" t="s">
        <v>136</v>
      </c>
      <c r="AI29" s="3" t="s">
        <v>289</v>
      </c>
      <c r="AJ29" s="3" t="s">
        <v>290</v>
      </c>
      <c r="AM29" s="41" t="s">
        <v>1655</v>
      </c>
      <c r="AN29" s="3">
        <v>1</v>
      </c>
      <c r="AO29" s="3">
        <v>0.5</v>
      </c>
      <c r="AV29" s="3">
        <v>0.25</v>
      </c>
      <c r="BA29" s="3" t="s">
        <v>259</v>
      </c>
      <c r="BB29" s="3" t="s">
        <v>291</v>
      </c>
      <c r="BC29" s="3" t="s">
        <v>292</v>
      </c>
      <c r="BD29" s="3" t="s">
        <v>293</v>
      </c>
      <c r="BE29" s="3" t="s">
        <v>287</v>
      </c>
      <c r="BF29" s="3" t="s">
        <v>144</v>
      </c>
      <c r="BG29" s="3">
        <v>6</v>
      </c>
      <c r="BH29" s="3" t="s">
        <v>171</v>
      </c>
      <c r="BI29" s="3" t="s">
        <v>294</v>
      </c>
      <c r="BJ29" s="3" t="s">
        <v>295</v>
      </c>
      <c r="BL29" s="3" t="s">
        <v>147</v>
      </c>
      <c r="BM29" s="3" t="s">
        <v>148</v>
      </c>
      <c r="BO29" s="3" t="s">
        <v>149</v>
      </c>
      <c r="BP29" s="3" t="s">
        <v>149</v>
      </c>
      <c r="BR29" s="3">
        <v>2</v>
      </c>
    </row>
    <row r="30" spans="1:74" ht="14.5" x14ac:dyDescent="0.25">
      <c r="D30" s="36"/>
      <c r="E30" s="33"/>
      <c r="BN30" s="38"/>
      <c r="BQ30" s="38"/>
    </row>
    <row r="31" spans="1:74" ht="14.5" x14ac:dyDescent="0.25">
      <c r="D31" s="36"/>
      <c r="E31" s="33"/>
      <c r="BN31" s="38"/>
      <c r="BQ31" s="38"/>
    </row>
    <row r="32" spans="1:74" ht="14.5" x14ac:dyDescent="0.25">
      <c r="D32" s="36"/>
      <c r="E32" s="33"/>
      <c r="BN32" s="38"/>
      <c r="BQ32" s="38"/>
    </row>
    <row r="33" spans="4:69" ht="14.5" x14ac:dyDescent="0.25">
      <c r="D33" s="36"/>
      <c r="E33" s="33"/>
      <c r="BN33" s="38"/>
      <c r="BQ33" s="38"/>
    </row>
    <row r="34" spans="4:69" ht="14.5" x14ac:dyDescent="0.25">
      <c r="D34" s="36"/>
      <c r="E34" s="33"/>
      <c r="BN34" s="38"/>
      <c r="BQ34" s="38"/>
    </row>
    <row r="35" spans="4:69" ht="14.5" x14ac:dyDescent="0.25">
      <c r="D35" s="36"/>
      <c r="E35" s="33"/>
      <c r="BN35" s="38"/>
      <c r="BQ35" s="38"/>
    </row>
    <row r="36" spans="4:69" ht="14.5" x14ac:dyDescent="0.25">
      <c r="D36" s="36"/>
      <c r="E36" s="33"/>
      <c r="BN36" s="38"/>
      <c r="BQ36" s="38"/>
    </row>
    <row r="37" spans="4:69" ht="14.5" x14ac:dyDescent="0.25">
      <c r="D37" s="36"/>
      <c r="E37" s="33"/>
      <c r="BN37" s="38"/>
      <c r="BQ37" s="38"/>
    </row>
    <row r="38" spans="4:69" ht="14.5" x14ac:dyDescent="0.25">
      <c r="D38" s="36"/>
      <c r="E38" s="33"/>
      <c r="BN38" s="38"/>
      <c r="BQ38" s="38"/>
    </row>
    <row r="39" spans="4:69" ht="14.5" x14ac:dyDescent="0.25">
      <c r="D39" s="36"/>
      <c r="E39" s="33"/>
      <c r="BN39" s="38"/>
      <c r="BQ39" s="38"/>
    </row>
    <row r="40" spans="4:69" ht="14.5" x14ac:dyDescent="0.25">
      <c r="D40" s="36"/>
      <c r="E40" s="33"/>
      <c r="BN40" s="38"/>
      <c r="BQ40" s="38"/>
    </row>
    <row r="41" spans="4:69" ht="14.5" x14ac:dyDescent="0.25">
      <c r="D41" s="36"/>
      <c r="E41" s="33"/>
      <c r="BN41" s="38"/>
      <c r="BQ41" s="38"/>
    </row>
    <row r="42" spans="4:69" ht="14.5" x14ac:dyDescent="0.25">
      <c r="D42" s="36"/>
      <c r="E42" s="33"/>
      <c r="BN42" s="38"/>
      <c r="BQ42" s="38"/>
    </row>
    <row r="43" spans="4:69" ht="14.5" x14ac:dyDescent="0.25">
      <c r="D43" s="36"/>
      <c r="E43" s="33"/>
      <c r="BN43" s="38"/>
      <c r="BQ43" s="38"/>
    </row>
    <row r="44" spans="4:69" ht="14.5" x14ac:dyDescent="0.25">
      <c r="D44" s="36"/>
      <c r="E44" s="33"/>
      <c r="BN44" s="38"/>
      <c r="BQ44" s="38"/>
    </row>
    <row r="45" spans="4:69" ht="14.5" x14ac:dyDescent="0.25">
      <c r="D45" s="36"/>
      <c r="E45" s="33"/>
      <c r="BN45" s="38"/>
      <c r="BQ45" s="38"/>
    </row>
    <row r="46" spans="4:69" ht="14.5" x14ac:dyDescent="0.25">
      <c r="D46" s="36"/>
      <c r="E46" s="33"/>
      <c r="BN46" s="38"/>
      <c r="BQ46" s="38"/>
    </row>
    <row r="47" spans="4:69" ht="14.5" x14ac:dyDescent="0.25">
      <c r="D47" s="36"/>
      <c r="E47" s="33"/>
      <c r="BN47" s="38"/>
      <c r="BQ47" s="38"/>
    </row>
    <row r="48" spans="4:69" ht="14.5" x14ac:dyDescent="0.25">
      <c r="D48" s="36"/>
      <c r="E48" s="33"/>
      <c r="BN48" s="38"/>
      <c r="BQ48" s="38"/>
    </row>
    <row r="49" spans="4:69" ht="14.5" x14ac:dyDescent="0.25">
      <c r="D49" s="36"/>
      <c r="E49" s="33"/>
      <c r="BN49" s="38"/>
      <c r="BQ49" s="38"/>
    </row>
    <row r="50" spans="4:69" ht="14.5" x14ac:dyDescent="0.25">
      <c r="D50" s="36"/>
      <c r="E50" s="33"/>
      <c r="BN50" s="38"/>
      <c r="BQ50" s="38"/>
    </row>
    <row r="51" spans="4:69" ht="14.5" x14ac:dyDescent="0.25">
      <c r="D51" s="36"/>
      <c r="E51" s="33"/>
      <c r="BN51" s="38"/>
      <c r="BQ51" s="38"/>
    </row>
    <row r="52" spans="4:69" ht="14.5" x14ac:dyDescent="0.25">
      <c r="D52" s="36"/>
      <c r="E52" s="33"/>
      <c r="BN52" s="38"/>
      <c r="BQ52" s="38"/>
    </row>
    <row r="53" spans="4:69" ht="14.5" x14ac:dyDescent="0.25">
      <c r="D53" s="36"/>
      <c r="E53" s="33"/>
      <c r="BN53" s="38"/>
      <c r="BQ53" s="38"/>
    </row>
    <row r="54" spans="4:69" ht="14.5" x14ac:dyDescent="0.25">
      <c r="D54" s="36"/>
      <c r="E54" s="33"/>
      <c r="BN54" s="38"/>
      <c r="BQ54" s="38"/>
    </row>
    <row r="55" spans="4:69" ht="14.5" x14ac:dyDescent="0.25">
      <c r="D55" s="36"/>
      <c r="E55" s="33"/>
      <c r="BN55" s="38"/>
      <c r="BQ55" s="38"/>
    </row>
    <row r="56" spans="4:69" ht="14.5" x14ac:dyDescent="0.25">
      <c r="D56" s="36"/>
      <c r="E56" s="33"/>
      <c r="BN56" s="38"/>
      <c r="BQ56" s="38"/>
    </row>
    <row r="57" spans="4:69" ht="14.5" x14ac:dyDescent="0.25">
      <c r="D57" s="36"/>
      <c r="E57" s="33"/>
      <c r="BN57" s="38"/>
      <c r="BQ57" s="38"/>
    </row>
    <row r="58" spans="4:69" ht="14.5" x14ac:dyDescent="0.25">
      <c r="D58" s="36"/>
      <c r="E58" s="33"/>
      <c r="BN58" s="38"/>
      <c r="BQ58" s="38"/>
    </row>
    <row r="59" spans="4:69" ht="14.5" x14ac:dyDescent="0.25">
      <c r="D59" s="36"/>
      <c r="E59" s="33"/>
      <c r="BN59" s="38"/>
      <c r="BQ59" s="38"/>
    </row>
    <row r="60" spans="4:69" ht="14.5" x14ac:dyDescent="0.25">
      <c r="D60" s="36"/>
      <c r="E60" s="33"/>
      <c r="BN60" s="38"/>
      <c r="BQ60" s="38"/>
    </row>
    <row r="61" spans="4:69" ht="14.5" x14ac:dyDescent="0.25">
      <c r="D61" s="36"/>
      <c r="E61" s="33"/>
      <c r="BN61" s="38"/>
      <c r="BQ61" s="38"/>
    </row>
    <row r="62" spans="4:69" ht="14.5" x14ac:dyDescent="0.25">
      <c r="D62" s="36"/>
      <c r="E62" s="33"/>
      <c r="BN62" s="38"/>
      <c r="BQ62" s="38"/>
    </row>
    <row r="63" spans="4:69" ht="14.5" x14ac:dyDescent="0.25">
      <c r="D63" s="36"/>
      <c r="E63" s="33"/>
      <c r="BN63" s="38"/>
      <c r="BQ63" s="38"/>
    </row>
    <row r="64" spans="4:69" ht="14.5" x14ac:dyDescent="0.25">
      <c r="D64" s="36"/>
      <c r="E64" s="33"/>
      <c r="BN64" s="38"/>
      <c r="BQ64" s="38"/>
    </row>
    <row r="65" spans="4:69" ht="14.5" x14ac:dyDescent="0.25">
      <c r="D65" s="36"/>
      <c r="E65" s="33"/>
      <c r="BN65" s="38"/>
      <c r="BQ65" s="38"/>
    </row>
    <row r="66" spans="4:69" ht="14.5" x14ac:dyDescent="0.25">
      <c r="D66" s="36"/>
      <c r="E66" s="33"/>
      <c r="BN66" s="38"/>
      <c r="BQ66" s="38"/>
    </row>
    <row r="67" spans="4:69" ht="14.5" x14ac:dyDescent="0.25">
      <c r="D67" s="36"/>
      <c r="E67" s="33"/>
      <c r="BN67" s="38"/>
      <c r="BQ67" s="38"/>
    </row>
    <row r="68" spans="4:69" ht="14.5" x14ac:dyDescent="0.25">
      <c r="D68" s="36"/>
      <c r="E68" s="33"/>
      <c r="BN68" s="38"/>
      <c r="BQ68" s="38"/>
    </row>
    <row r="69" spans="4:69" ht="14.5" x14ac:dyDescent="0.25">
      <c r="D69" s="36"/>
      <c r="E69" s="33"/>
      <c r="BN69" s="38"/>
      <c r="BQ69" s="38"/>
    </row>
    <row r="70" spans="4:69" ht="14.5" x14ac:dyDescent="0.25">
      <c r="D70" s="36"/>
      <c r="E70" s="33"/>
      <c r="BN70" s="38"/>
      <c r="BQ70" s="38"/>
    </row>
    <row r="71" spans="4:69" ht="14.5" x14ac:dyDescent="0.25">
      <c r="D71" s="36"/>
      <c r="E71" s="33"/>
      <c r="BN71" s="38"/>
      <c r="BQ71" s="38"/>
    </row>
    <row r="72" spans="4:69" ht="14.5" x14ac:dyDescent="0.25">
      <c r="D72" s="36"/>
      <c r="E72" s="33"/>
      <c r="BN72" s="38"/>
      <c r="BQ72" s="38"/>
    </row>
    <row r="73" spans="4:69" ht="14.5" x14ac:dyDescent="0.25">
      <c r="D73" s="36"/>
      <c r="E73" s="33"/>
      <c r="BN73" s="38"/>
      <c r="BQ73" s="38"/>
    </row>
    <row r="74" spans="4:69" ht="14.5" x14ac:dyDescent="0.25">
      <c r="D74" s="36"/>
      <c r="E74" s="33"/>
      <c r="BN74" s="38"/>
      <c r="BQ74" s="38"/>
    </row>
    <row r="75" spans="4:69" ht="14.5" x14ac:dyDescent="0.25">
      <c r="D75" s="36"/>
      <c r="E75" s="33"/>
      <c r="BN75" s="38"/>
      <c r="BQ75" s="38"/>
    </row>
    <row r="76" spans="4:69" ht="14.5" x14ac:dyDescent="0.25">
      <c r="D76" s="36"/>
      <c r="E76" s="33"/>
      <c r="BN76" s="38"/>
      <c r="BQ76" s="38"/>
    </row>
    <row r="77" spans="4:69" ht="14.5" x14ac:dyDescent="0.25">
      <c r="D77" s="36"/>
      <c r="E77" s="33"/>
      <c r="BN77" s="38"/>
      <c r="BQ77" s="38"/>
    </row>
    <row r="78" spans="4:69" ht="14.5" x14ac:dyDescent="0.25">
      <c r="D78" s="36"/>
      <c r="E78" s="33"/>
      <c r="BN78" s="38"/>
      <c r="BQ78" s="38"/>
    </row>
    <row r="79" spans="4:69" ht="14.5" x14ac:dyDescent="0.25">
      <c r="D79" s="36"/>
      <c r="E79" s="33"/>
      <c r="BN79" s="38"/>
      <c r="BQ79" s="38"/>
    </row>
    <row r="80" spans="4:69" ht="14.5" x14ac:dyDescent="0.25">
      <c r="D80" s="36"/>
      <c r="E80" s="33"/>
      <c r="BN80" s="38"/>
      <c r="BQ80" s="38"/>
    </row>
    <row r="81" spans="4:69" ht="14.5" x14ac:dyDescent="0.25">
      <c r="D81" s="36"/>
      <c r="E81" s="33"/>
      <c r="BN81" s="38"/>
      <c r="BQ81" s="38"/>
    </row>
    <row r="82" spans="4:69" ht="14.5" x14ac:dyDescent="0.25">
      <c r="D82" s="36"/>
      <c r="E82" s="33"/>
      <c r="BN82" s="38"/>
      <c r="BQ82" s="38"/>
    </row>
    <row r="83" spans="4:69" ht="14.5" x14ac:dyDescent="0.25">
      <c r="D83" s="36"/>
      <c r="E83" s="33"/>
      <c r="BN83" s="38"/>
      <c r="BQ83" s="38"/>
    </row>
    <row r="84" spans="4:69" ht="14.5" x14ac:dyDescent="0.25">
      <c r="D84" s="36"/>
      <c r="E84" s="33"/>
      <c r="BN84" s="38"/>
      <c r="BQ84" s="38"/>
    </row>
    <row r="85" spans="4:69" ht="14.5" x14ac:dyDescent="0.25">
      <c r="D85" s="36"/>
      <c r="E85" s="33"/>
      <c r="BN85" s="38"/>
      <c r="BQ85" s="38"/>
    </row>
    <row r="86" spans="4:69" ht="14.5" x14ac:dyDescent="0.25">
      <c r="D86" s="36"/>
      <c r="E86" s="33"/>
      <c r="BN86" s="38"/>
      <c r="BQ86" s="38"/>
    </row>
    <row r="87" spans="4:69" ht="14.5" x14ac:dyDescent="0.25">
      <c r="D87" s="36"/>
      <c r="E87" s="33"/>
      <c r="BN87" s="38"/>
      <c r="BQ87" s="38"/>
    </row>
    <row r="88" spans="4:69" ht="14.5" x14ac:dyDescent="0.25">
      <c r="D88" s="36"/>
      <c r="E88" s="33"/>
      <c r="BN88" s="38"/>
      <c r="BQ88" s="38"/>
    </row>
    <row r="89" spans="4:69" ht="14.5" x14ac:dyDescent="0.25">
      <c r="D89" s="36"/>
      <c r="E89" s="33"/>
      <c r="BN89" s="38"/>
      <c r="BQ89" s="38"/>
    </row>
    <row r="90" spans="4:69" ht="14.5" x14ac:dyDescent="0.25">
      <c r="D90" s="36"/>
      <c r="E90" s="33"/>
      <c r="BN90" s="38"/>
      <c r="BQ90" s="38"/>
    </row>
    <row r="91" spans="4:69" ht="14.5" x14ac:dyDescent="0.25">
      <c r="D91" s="36"/>
      <c r="E91" s="33"/>
      <c r="BN91" s="38"/>
      <c r="BQ91" s="38"/>
    </row>
    <row r="92" spans="4:69" ht="14.5" x14ac:dyDescent="0.25">
      <c r="D92" s="36"/>
      <c r="E92" s="33"/>
      <c r="BN92" s="38"/>
      <c r="BQ92" s="38"/>
    </row>
    <row r="93" spans="4:69" ht="14.5" x14ac:dyDescent="0.25">
      <c r="D93" s="36"/>
      <c r="E93" s="33"/>
      <c r="BN93" s="38"/>
      <c r="BQ93" s="38"/>
    </row>
    <row r="94" spans="4:69" ht="14.5" x14ac:dyDescent="0.25">
      <c r="D94" s="36"/>
      <c r="E94" s="33"/>
      <c r="BN94" s="38"/>
      <c r="BQ94" s="38"/>
    </row>
    <row r="95" spans="4:69" ht="14.5" x14ac:dyDescent="0.25">
      <c r="D95" s="36"/>
      <c r="E95" s="33"/>
      <c r="BN95" s="38"/>
      <c r="BQ95" s="38"/>
    </row>
    <row r="96" spans="4:69" ht="14.5" x14ac:dyDescent="0.25">
      <c r="D96" s="36"/>
      <c r="E96" s="33"/>
      <c r="BN96" s="38"/>
      <c r="BQ96" s="38"/>
    </row>
    <row r="97" spans="4:69" ht="14.5" x14ac:dyDescent="0.25">
      <c r="D97" s="36"/>
      <c r="E97" s="33"/>
      <c r="BN97" s="38"/>
      <c r="BQ97" s="38"/>
    </row>
    <row r="98" spans="4:69" ht="14.5" x14ac:dyDescent="0.25">
      <c r="D98" s="36"/>
      <c r="E98" s="33"/>
      <c r="BN98" s="38"/>
      <c r="BQ98" s="38"/>
    </row>
    <row r="99" spans="4:69" ht="14.5" x14ac:dyDescent="0.25">
      <c r="D99" s="36"/>
      <c r="E99" s="33"/>
      <c r="BN99" s="38"/>
      <c r="BQ99" s="38"/>
    </row>
    <row r="100" spans="4:69" ht="14.5" x14ac:dyDescent="0.25">
      <c r="D100" s="36"/>
      <c r="E100" s="33"/>
      <c r="BN100" s="38"/>
      <c r="BQ100" s="38"/>
    </row>
    <row r="101" spans="4:69" ht="14.5" x14ac:dyDescent="0.25">
      <c r="D101" s="36"/>
      <c r="E101" s="33"/>
      <c r="BN101" s="38"/>
      <c r="BQ101" s="38"/>
    </row>
    <row r="102" spans="4:69" ht="14.5" x14ac:dyDescent="0.25">
      <c r="D102" s="36"/>
      <c r="E102" s="33"/>
      <c r="BN102" s="38"/>
      <c r="BQ102" s="38"/>
    </row>
    <row r="103" spans="4:69" ht="14.5" x14ac:dyDescent="0.25">
      <c r="D103" s="36"/>
      <c r="E103" s="33"/>
      <c r="BN103" s="38"/>
      <c r="BQ103" s="38"/>
    </row>
    <row r="104" spans="4:69" ht="14.5" x14ac:dyDescent="0.25">
      <c r="D104" s="36"/>
      <c r="E104" s="33"/>
      <c r="BN104" s="38"/>
      <c r="BQ104" s="38"/>
    </row>
    <row r="105" spans="4:69" ht="14.5" x14ac:dyDescent="0.25">
      <c r="D105" s="36"/>
      <c r="E105" s="33"/>
      <c r="BN105" s="38"/>
      <c r="BQ105" s="38"/>
    </row>
    <row r="106" spans="4:69" ht="14.5" x14ac:dyDescent="0.25">
      <c r="D106" s="36"/>
      <c r="E106" s="33"/>
      <c r="BN106" s="38"/>
      <c r="BQ106" s="38"/>
    </row>
    <row r="107" spans="4:69" ht="14.5" x14ac:dyDescent="0.25">
      <c r="D107" s="36"/>
      <c r="E107" s="33"/>
      <c r="BN107" s="38"/>
      <c r="BQ107" s="38"/>
    </row>
    <row r="108" spans="4:69" ht="14.5" x14ac:dyDescent="0.25">
      <c r="D108" s="36"/>
      <c r="E108" s="33"/>
      <c r="BN108" s="38"/>
      <c r="BQ108" s="38"/>
    </row>
    <row r="109" spans="4:69" ht="14.5" x14ac:dyDescent="0.25">
      <c r="D109" s="36"/>
      <c r="E109" s="33"/>
      <c r="BN109" s="38"/>
      <c r="BQ109" s="38"/>
    </row>
    <row r="110" spans="4:69" ht="14.5" x14ac:dyDescent="0.25">
      <c r="D110" s="36"/>
      <c r="E110" s="33"/>
      <c r="BN110" s="38"/>
      <c r="BQ110" s="38"/>
    </row>
    <row r="111" spans="4:69" ht="14.5" x14ac:dyDescent="0.25">
      <c r="D111" s="36"/>
      <c r="E111" s="33"/>
      <c r="BN111" s="38"/>
      <c r="BQ111" s="38"/>
    </row>
    <row r="112" spans="4:69" ht="14.5" x14ac:dyDescent="0.25">
      <c r="D112" s="36"/>
      <c r="E112" s="33"/>
      <c r="BN112" s="38"/>
      <c r="BQ112" s="38"/>
    </row>
    <row r="113" spans="4:69" ht="14.5" x14ac:dyDescent="0.25">
      <c r="D113" s="36"/>
      <c r="E113" s="33"/>
      <c r="BN113" s="38"/>
      <c r="BQ113" s="38"/>
    </row>
    <row r="114" spans="4:69" ht="14.5" x14ac:dyDescent="0.25">
      <c r="D114" s="36"/>
      <c r="E114" s="33"/>
      <c r="BN114" s="38"/>
      <c r="BQ114" s="38"/>
    </row>
    <row r="115" spans="4:69" ht="14.5" x14ac:dyDescent="0.25">
      <c r="D115" s="36"/>
      <c r="E115" s="33"/>
      <c r="BN115" s="38"/>
      <c r="BQ115" s="38"/>
    </row>
    <row r="116" spans="4:69" ht="14.5" x14ac:dyDescent="0.25">
      <c r="D116" s="36"/>
      <c r="E116" s="33"/>
      <c r="BN116" s="38"/>
      <c r="BQ116" s="38"/>
    </row>
    <row r="117" spans="4:69" ht="14.5" x14ac:dyDescent="0.25">
      <c r="D117" s="36"/>
      <c r="E117" s="33"/>
      <c r="BN117" s="38"/>
      <c r="BQ117" s="38"/>
    </row>
    <row r="118" spans="4:69" ht="14.5" x14ac:dyDescent="0.25">
      <c r="D118" s="36"/>
      <c r="E118" s="33"/>
      <c r="BN118" s="38"/>
      <c r="BQ118" s="38"/>
    </row>
    <row r="119" spans="4:69" ht="14.5" x14ac:dyDescent="0.25">
      <c r="D119" s="36"/>
      <c r="E119" s="33"/>
      <c r="BN119" s="38"/>
      <c r="BQ119" s="38"/>
    </row>
    <row r="120" spans="4:69" ht="14.5" x14ac:dyDescent="0.25">
      <c r="D120" s="36"/>
      <c r="E120" s="33"/>
      <c r="BN120" s="38"/>
      <c r="BQ120" s="38"/>
    </row>
    <row r="121" spans="4:69" ht="14.5" x14ac:dyDescent="0.25">
      <c r="D121" s="36"/>
      <c r="E121" s="33"/>
      <c r="BN121" s="38"/>
      <c r="BQ121" s="38"/>
    </row>
    <row r="122" spans="4:69" ht="14.5" x14ac:dyDescent="0.25">
      <c r="D122" s="36"/>
      <c r="E122" s="33"/>
      <c r="BN122" s="38"/>
      <c r="BQ122" s="38"/>
    </row>
    <row r="123" spans="4:69" ht="14.5" x14ac:dyDescent="0.25">
      <c r="D123" s="36"/>
      <c r="E123" s="33"/>
      <c r="BN123" s="38"/>
      <c r="BQ123" s="38"/>
    </row>
    <row r="124" spans="4:69" ht="14.5" x14ac:dyDescent="0.25">
      <c r="D124" s="36"/>
      <c r="E124" s="33"/>
      <c r="BN124" s="38"/>
      <c r="BQ124" s="38"/>
    </row>
    <row r="125" spans="4:69" ht="14.5" x14ac:dyDescent="0.25">
      <c r="D125" s="36"/>
      <c r="E125" s="33"/>
      <c r="BN125" s="38"/>
      <c r="BQ125" s="38"/>
    </row>
    <row r="126" spans="4:69" ht="14.5" x14ac:dyDescent="0.25">
      <c r="D126" s="36"/>
      <c r="E126" s="33"/>
      <c r="BN126" s="38"/>
      <c r="BQ126" s="38"/>
    </row>
    <row r="127" spans="4:69" ht="14.5" x14ac:dyDescent="0.25">
      <c r="D127" s="36"/>
      <c r="E127" s="33"/>
      <c r="BN127" s="38"/>
      <c r="BQ127" s="38"/>
    </row>
    <row r="128" spans="4:69" ht="14.5" x14ac:dyDescent="0.25">
      <c r="D128" s="36"/>
      <c r="E128" s="33"/>
      <c r="BN128" s="38"/>
      <c r="BQ128" s="38"/>
    </row>
    <row r="129" spans="4:69" ht="14.5" x14ac:dyDescent="0.25">
      <c r="D129" s="36"/>
      <c r="E129" s="33"/>
      <c r="BN129" s="38"/>
      <c r="BQ129" s="38"/>
    </row>
    <row r="130" spans="4:69" ht="14.5" x14ac:dyDescent="0.25">
      <c r="D130" s="36"/>
      <c r="E130" s="33"/>
      <c r="BN130" s="38"/>
      <c r="BQ130" s="38"/>
    </row>
    <row r="131" spans="4:69" ht="14.5" x14ac:dyDescent="0.25">
      <c r="D131" s="36"/>
      <c r="E131" s="33"/>
      <c r="BN131" s="38"/>
      <c r="BQ131" s="38"/>
    </row>
    <row r="132" spans="4:69" ht="14.5" x14ac:dyDescent="0.25">
      <c r="D132" s="36"/>
      <c r="E132" s="33"/>
      <c r="BN132" s="38"/>
      <c r="BQ132" s="38"/>
    </row>
    <row r="133" spans="4:69" ht="14.5" x14ac:dyDescent="0.25">
      <c r="D133" s="36"/>
      <c r="E133" s="33"/>
      <c r="BN133" s="38"/>
      <c r="BQ133" s="38"/>
    </row>
    <row r="134" spans="4:69" ht="14.5" x14ac:dyDescent="0.25">
      <c r="D134" s="36"/>
      <c r="E134" s="33"/>
      <c r="BN134" s="38"/>
      <c r="BQ134" s="38"/>
    </row>
    <row r="135" spans="4:69" ht="14.5" x14ac:dyDescent="0.25">
      <c r="D135" s="36"/>
      <c r="E135" s="33"/>
      <c r="BN135" s="38"/>
      <c r="BQ135" s="38"/>
    </row>
    <row r="136" spans="4:69" ht="14.5" x14ac:dyDescent="0.25">
      <c r="D136" s="36"/>
      <c r="E136" s="33"/>
      <c r="BN136" s="38"/>
      <c r="BQ136" s="38"/>
    </row>
    <row r="137" spans="4:69" ht="14.5" x14ac:dyDescent="0.25">
      <c r="D137" s="36"/>
      <c r="E137" s="33"/>
      <c r="BN137" s="38"/>
      <c r="BQ137" s="38"/>
    </row>
    <row r="138" spans="4:69" ht="14.5" x14ac:dyDescent="0.25">
      <c r="D138" s="36"/>
      <c r="E138" s="33"/>
      <c r="BN138" s="38"/>
      <c r="BQ138" s="38"/>
    </row>
    <row r="139" spans="4:69" ht="14.5" x14ac:dyDescent="0.25">
      <c r="D139" s="36"/>
      <c r="E139" s="33"/>
      <c r="BN139" s="38"/>
      <c r="BQ139" s="38"/>
    </row>
    <row r="140" spans="4:69" ht="14.5" x14ac:dyDescent="0.25">
      <c r="D140" s="36"/>
      <c r="E140" s="33"/>
      <c r="BN140" s="38"/>
      <c r="BQ140" s="38"/>
    </row>
    <row r="141" spans="4:69" ht="14.5" x14ac:dyDescent="0.25">
      <c r="D141" s="36"/>
      <c r="E141" s="33"/>
      <c r="BN141" s="38"/>
      <c r="BQ141" s="38"/>
    </row>
    <row r="142" spans="4:69" ht="14.5" x14ac:dyDescent="0.25">
      <c r="D142" s="36"/>
      <c r="E142" s="33"/>
      <c r="BN142" s="38"/>
      <c r="BQ142" s="38"/>
    </row>
    <row r="143" spans="4:69" ht="14.5" x14ac:dyDescent="0.25">
      <c r="D143" s="36"/>
      <c r="E143" s="33"/>
      <c r="BN143" s="38"/>
      <c r="BQ143" s="38"/>
    </row>
    <row r="144" spans="4:69" ht="14.5" x14ac:dyDescent="0.25">
      <c r="D144" s="36"/>
      <c r="E144" s="33"/>
      <c r="BN144" s="38"/>
      <c r="BQ144" s="38"/>
    </row>
    <row r="145" spans="4:69" ht="14.5" x14ac:dyDescent="0.25">
      <c r="D145" s="36"/>
      <c r="E145" s="33"/>
      <c r="BN145" s="38"/>
      <c r="BQ145" s="38"/>
    </row>
    <row r="146" spans="4:69" ht="14.5" x14ac:dyDescent="0.25">
      <c r="D146" s="36"/>
      <c r="E146" s="33"/>
      <c r="BN146" s="38"/>
      <c r="BQ146" s="38"/>
    </row>
    <row r="147" spans="4:69" ht="14.5" x14ac:dyDescent="0.25">
      <c r="D147" s="36"/>
      <c r="E147" s="33"/>
      <c r="BN147" s="38"/>
      <c r="BQ147" s="38"/>
    </row>
    <row r="148" spans="4:69" ht="14.5" x14ac:dyDescent="0.25">
      <c r="D148" s="36"/>
      <c r="E148" s="33"/>
      <c r="BN148" s="38"/>
      <c r="BQ148" s="38"/>
    </row>
    <row r="149" spans="4:69" ht="14.5" x14ac:dyDescent="0.25">
      <c r="D149" s="36"/>
      <c r="E149" s="33"/>
      <c r="BN149" s="38"/>
      <c r="BQ149" s="38"/>
    </row>
    <row r="150" spans="4:69" ht="14.5" x14ac:dyDescent="0.25">
      <c r="D150" s="36"/>
      <c r="E150" s="33"/>
      <c r="BN150" s="38"/>
      <c r="BQ150" s="38"/>
    </row>
    <row r="151" spans="4:69" ht="14.5" x14ac:dyDescent="0.25">
      <c r="D151" s="36"/>
      <c r="E151" s="33"/>
      <c r="BN151" s="38"/>
      <c r="BQ151" s="38"/>
    </row>
    <row r="152" spans="4:69" ht="14.5" x14ac:dyDescent="0.25">
      <c r="D152" s="36"/>
      <c r="E152" s="33"/>
      <c r="BN152" s="38"/>
      <c r="BQ152" s="38"/>
    </row>
    <row r="153" spans="4:69" ht="14.5" x14ac:dyDescent="0.25">
      <c r="D153" s="36"/>
      <c r="E153" s="33"/>
      <c r="BN153" s="38"/>
      <c r="BQ153" s="38"/>
    </row>
    <row r="154" spans="4:69" ht="14.5" x14ac:dyDescent="0.25">
      <c r="D154" s="36"/>
      <c r="E154" s="33"/>
      <c r="BN154" s="38"/>
      <c r="BQ154" s="38"/>
    </row>
    <row r="155" spans="4:69" ht="14.5" x14ac:dyDescent="0.25">
      <c r="D155" s="36"/>
      <c r="E155" s="33"/>
      <c r="BN155" s="38"/>
      <c r="BQ155" s="38"/>
    </row>
    <row r="156" spans="4:69" ht="14.5" x14ac:dyDescent="0.25">
      <c r="D156" s="36"/>
      <c r="E156" s="33"/>
      <c r="BN156" s="38"/>
      <c r="BQ156" s="38"/>
    </row>
    <row r="157" spans="4:69" ht="14.5" x14ac:dyDescent="0.25">
      <c r="D157" s="36"/>
      <c r="E157" s="33"/>
      <c r="BN157" s="38"/>
      <c r="BQ157" s="38"/>
    </row>
    <row r="158" spans="4:69" ht="14.5" x14ac:dyDescent="0.25">
      <c r="D158" s="36"/>
      <c r="E158" s="33"/>
      <c r="BN158" s="38"/>
      <c r="BQ158" s="38"/>
    </row>
    <row r="159" spans="4:69" ht="14.5" x14ac:dyDescent="0.25">
      <c r="D159" s="36"/>
      <c r="E159" s="33"/>
      <c r="BN159" s="38"/>
      <c r="BQ159" s="38"/>
    </row>
    <row r="160" spans="4:69" ht="14.5" x14ac:dyDescent="0.25">
      <c r="D160" s="36"/>
      <c r="E160" s="33"/>
      <c r="BN160" s="38"/>
      <c r="BQ160" s="38"/>
    </row>
    <row r="161" spans="4:69" ht="14.5" x14ac:dyDescent="0.25">
      <c r="D161" s="36"/>
      <c r="E161" s="33"/>
      <c r="BN161" s="38"/>
      <c r="BQ161" s="38"/>
    </row>
    <row r="162" spans="4:69" ht="14.5" x14ac:dyDescent="0.25">
      <c r="D162" s="36"/>
      <c r="E162" s="33"/>
      <c r="BN162" s="38"/>
      <c r="BQ162" s="38"/>
    </row>
    <row r="163" spans="4:69" ht="14.5" x14ac:dyDescent="0.25">
      <c r="D163" s="36"/>
      <c r="E163" s="33"/>
      <c r="BN163" s="38"/>
      <c r="BQ163" s="38"/>
    </row>
    <row r="164" spans="4:69" ht="14.5" x14ac:dyDescent="0.25">
      <c r="D164" s="36"/>
      <c r="E164" s="33"/>
      <c r="BN164" s="38"/>
      <c r="BQ164" s="38"/>
    </row>
    <row r="165" spans="4:69" ht="14.5" x14ac:dyDescent="0.25">
      <c r="D165" s="36"/>
      <c r="E165" s="33"/>
      <c r="BN165" s="38"/>
      <c r="BQ165" s="38"/>
    </row>
    <row r="166" spans="4:69" ht="14.5" x14ac:dyDescent="0.25">
      <c r="D166" s="36"/>
      <c r="E166" s="33"/>
      <c r="BN166" s="38"/>
      <c r="BQ166" s="38"/>
    </row>
    <row r="167" spans="4:69" ht="14.5" x14ac:dyDescent="0.25">
      <c r="D167" s="36"/>
      <c r="E167" s="33"/>
      <c r="BN167" s="38"/>
      <c r="BQ167" s="38"/>
    </row>
    <row r="168" spans="4:69" ht="14.5" x14ac:dyDescent="0.25">
      <c r="D168" s="36"/>
      <c r="E168" s="33"/>
      <c r="BN168" s="38"/>
      <c r="BQ168" s="38"/>
    </row>
    <row r="169" spans="4:69" ht="14.5" x14ac:dyDescent="0.25">
      <c r="D169" s="36"/>
      <c r="E169" s="33"/>
      <c r="BN169" s="38"/>
      <c r="BQ169" s="38"/>
    </row>
    <row r="170" spans="4:69" ht="14.5" x14ac:dyDescent="0.25">
      <c r="D170" s="36"/>
      <c r="E170" s="33"/>
      <c r="BN170" s="38"/>
      <c r="BQ170" s="38"/>
    </row>
    <row r="171" spans="4:69" ht="14.5" x14ac:dyDescent="0.25">
      <c r="D171" s="36"/>
      <c r="E171" s="33"/>
      <c r="BN171" s="38"/>
      <c r="BQ171" s="38"/>
    </row>
    <row r="172" spans="4:69" ht="14.5" x14ac:dyDescent="0.25">
      <c r="D172" s="36"/>
      <c r="E172" s="33"/>
      <c r="BN172" s="38"/>
      <c r="BQ172" s="38"/>
    </row>
    <row r="173" spans="4:69" ht="14.5" x14ac:dyDescent="0.25">
      <c r="D173" s="36"/>
      <c r="E173" s="33"/>
      <c r="BN173" s="38"/>
      <c r="BQ173" s="38"/>
    </row>
    <row r="174" spans="4:69" ht="14.5" x14ac:dyDescent="0.25">
      <c r="D174" s="36"/>
      <c r="E174" s="33"/>
      <c r="BN174" s="38"/>
      <c r="BQ174" s="38"/>
    </row>
    <row r="175" spans="4:69" ht="14.5" x14ac:dyDescent="0.25">
      <c r="D175" s="36"/>
      <c r="E175" s="33"/>
      <c r="BN175" s="38"/>
      <c r="BQ175" s="38"/>
    </row>
    <row r="176" spans="4:69" ht="14.5" x14ac:dyDescent="0.25">
      <c r="D176" s="36"/>
      <c r="E176" s="33"/>
      <c r="BN176" s="38"/>
      <c r="BQ176" s="38"/>
    </row>
    <row r="177" spans="4:69" ht="14.5" x14ac:dyDescent="0.25">
      <c r="D177" s="36"/>
      <c r="E177" s="33"/>
      <c r="BN177" s="38"/>
      <c r="BQ177" s="38"/>
    </row>
    <row r="178" spans="4:69" ht="14.5" x14ac:dyDescent="0.25">
      <c r="D178" s="36"/>
      <c r="E178" s="33"/>
      <c r="BN178" s="38"/>
      <c r="BQ178" s="38"/>
    </row>
    <row r="179" spans="4:69" ht="14.5" x14ac:dyDescent="0.25">
      <c r="D179" s="36"/>
      <c r="E179" s="33"/>
      <c r="BN179" s="38"/>
      <c r="BQ179" s="38"/>
    </row>
    <row r="180" spans="4:69" ht="14.5" x14ac:dyDescent="0.25">
      <c r="D180" s="36"/>
      <c r="E180" s="33"/>
      <c r="BN180" s="38"/>
      <c r="BQ180" s="38"/>
    </row>
    <row r="181" spans="4:69" ht="14.5" x14ac:dyDescent="0.25">
      <c r="D181" s="36"/>
      <c r="E181" s="33"/>
      <c r="BN181" s="38"/>
      <c r="BQ181" s="38"/>
    </row>
    <row r="182" spans="4:69" ht="14.5" x14ac:dyDescent="0.25">
      <c r="D182" s="36"/>
      <c r="E182" s="33"/>
      <c r="BN182" s="38"/>
      <c r="BQ182" s="38"/>
    </row>
    <row r="183" spans="4:69" ht="14.5" x14ac:dyDescent="0.25">
      <c r="D183" s="36"/>
      <c r="E183" s="33"/>
      <c r="BN183" s="38"/>
      <c r="BQ183" s="38"/>
    </row>
    <row r="184" spans="4:69" ht="14.5" x14ac:dyDescent="0.25">
      <c r="D184" s="36"/>
      <c r="E184" s="33"/>
      <c r="BN184" s="38"/>
      <c r="BQ184" s="38"/>
    </row>
    <row r="185" spans="4:69" ht="14.5" x14ac:dyDescent="0.25">
      <c r="D185" s="36"/>
      <c r="E185" s="33"/>
      <c r="BN185" s="38"/>
      <c r="BQ185" s="38"/>
    </row>
    <row r="186" spans="4:69" ht="14.5" x14ac:dyDescent="0.25">
      <c r="D186" s="36"/>
      <c r="E186" s="33"/>
      <c r="BN186" s="38"/>
      <c r="BQ186" s="38"/>
    </row>
    <row r="187" spans="4:69" ht="14.5" x14ac:dyDescent="0.25">
      <c r="D187" s="36"/>
      <c r="E187" s="33"/>
      <c r="BN187" s="38"/>
      <c r="BQ187" s="38"/>
    </row>
    <row r="188" spans="4:69" ht="14.5" x14ac:dyDescent="0.25">
      <c r="D188" s="36"/>
      <c r="E188" s="33"/>
      <c r="BN188" s="38"/>
      <c r="BQ188" s="38"/>
    </row>
    <row r="189" spans="4:69" ht="14.5" x14ac:dyDescent="0.25">
      <c r="D189" s="36"/>
      <c r="E189" s="33"/>
      <c r="BN189" s="38"/>
      <c r="BQ189" s="38"/>
    </row>
    <row r="190" spans="4:69" ht="14.5" x14ac:dyDescent="0.25">
      <c r="D190" s="36"/>
      <c r="E190" s="33"/>
      <c r="BN190" s="38"/>
      <c r="BQ190" s="38"/>
    </row>
    <row r="191" spans="4:69" ht="14.5" x14ac:dyDescent="0.25">
      <c r="D191" s="36"/>
      <c r="E191" s="33"/>
      <c r="BN191" s="38"/>
      <c r="BQ191" s="38"/>
    </row>
    <row r="192" spans="4:69" ht="14.5" x14ac:dyDescent="0.25">
      <c r="D192" s="36"/>
      <c r="E192" s="33"/>
      <c r="BN192" s="38"/>
      <c r="BQ192" s="38"/>
    </row>
    <row r="193" spans="4:69" ht="14.5" x14ac:dyDescent="0.25">
      <c r="D193" s="36"/>
      <c r="E193" s="33"/>
      <c r="BN193" s="38"/>
      <c r="BQ193" s="38"/>
    </row>
    <row r="194" spans="4:69" ht="14.5" x14ac:dyDescent="0.25">
      <c r="D194" s="36"/>
      <c r="E194" s="33"/>
      <c r="BN194" s="38"/>
      <c r="BQ194" s="38"/>
    </row>
    <row r="195" spans="4:69" ht="14.5" x14ac:dyDescent="0.25">
      <c r="D195" s="36"/>
      <c r="E195" s="33"/>
      <c r="BN195" s="38"/>
      <c r="BQ195" s="38"/>
    </row>
    <row r="196" spans="4:69" ht="14.5" x14ac:dyDescent="0.25">
      <c r="D196" s="36"/>
      <c r="E196" s="33"/>
      <c r="BN196" s="38"/>
      <c r="BQ196" s="38"/>
    </row>
    <row r="197" spans="4:69" ht="14.5" x14ac:dyDescent="0.25">
      <c r="D197" s="36"/>
      <c r="E197" s="33"/>
      <c r="BN197" s="38"/>
      <c r="BQ197" s="38"/>
    </row>
    <row r="198" spans="4:69" ht="14.5" x14ac:dyDescent="0.25">
      <c r="D198" s="36"/>
      <c r="E198" s="33"/>
      <c r="BN198" s="38"/>
      <c r="BQ198" s="38"/>
    </row>
    <row r="199" spans="4:69" ht="14.5" x14ac:dyDescent="0.25">
      <c r="D199" s="36"/>
      <c r="E199" s="33"/>
      <c r="BN199" s="38"/>
      <c r="BQ199" s="38"/>
    </row>
    <row r="200" spans="4:69" ht="14.5" x14ac:dyDescent="0.25">
      <c r="D200" s="36"/>
      <c r="E200" s="33"/>
      <c r="BN200" s="38"/>
      <c r="BQ200" s="38"/>
    </row>
    <row r="201" spans="4:69" ht="14.5" x14ac:dyDescent="0.25">
      <c r="D201" s="36"/>
      <c r="E201" s="33"/>
      <c r="BN201" s="38"/>
      <c r="BQ201" s="38"/>
    </row>
    <row r="202" spans="4:69" ht="14.5" x14ac:dyDescent="0.25">
      <c r="D202" s="36"/>
      <c r="E202" s="33"/>
      <c r="BN202" s="38"/>
      <c r="BQ202" s="38"/>
    </row>
    <row r="203" spans="4:69" ht="14.5" x14ac:dyDescent="0.25">
      <c r="D203" s="36"/>
      <c r="E203" s="33"/>
      <c r="BN203" s="38"/>
      <c r="BQ203" s="38"/>
    </row>
    <row r="204" spans="4:69" ht="14.5" x14ac:dyDescent="0.25">
      <c r="D204" s="36"/>
      <c r="E204" s="33"/>
      <c r="BN204" s="38"/>
      <c r="BQ204" s="38"/>
    </row>
    <row r="205" spans="4:69" ht="14.5" x14ac:dyDescent="0.25">
      <c r="D205" s="36"/>
      <c r="E205" s="33"/>
      <c r="BN205" s="38"/>
      <c r="BQ205" s="38"/>
    </row>
    <row r="206" spans="4:69" ht="14.5" x14ac:dyDescent="0.25">
      <c r="D206" s="36"/>
      <c r="E206" s="33"/>
      <c r="BN206" s="38"/>
      <c r="BQ206" s="38"/>
    </row>
    <row r="207" spans="4:69" ht="14.5" x14ac:dyDescent="0.25">
      <c r="D207" s="36"/>
      <c r="E207" s="33"/>
      <c r="BN207" s="38"/>
      <c r="BQ207" s="38"/>
    </row>
    <row r="208" spans="4:69" ht="14.5" x14ac:dyDescent="0.25">
      <c r="D208" s="36"/>
      <c r="E208" s="33"/>
      <c r="BN208" s="38"/>
      <c r="BQ208" s="38"/>
    </row>
    <row r="209" spans="4:69" ht="14.5" x14ac:dyDescent="0.25">
      <c r="D209" s="36"/>
      <c r="E209" s="33"/>
      <c r="BN209" s="38"/>
      <c r="BQ209" s="38"/>
    </row>
    <row r="210" spans="4:69" ht="14.5" x14ac:dyDescent="0.25">
      <c r="D210" s="36"/>
      <c r="E210" s="33"/>
      <c r="BN210" s="38"/>
      <c r="BQ210" s="38"/>
    </row>
    <row r="211" spans="4:69" ht="14.5" x14ac:dyDescent="0.25">
      <c r="D211" s="36"/>
      <c r="E211" s="33"/>
      <c r="BN211" s="38"/>
      <c r="BQ211" s="38"/>
    </row>
    <row r="212" spans="4:69" ht="14.5" x14ac:dyDescent="0.25">
      <c r="D212" s="36"/>
      <c r="E212" s="33"/>
      <c r="BN212" s="38"/>
      <c r="BQ212" s="38"/>
    </row>
    <row r="213" spans="4:69" ht="14.5" x14ac:dyDescent="0.25">
      <c r="D213" s="36"/>
      <c r="E213" s="33"/>
      <c r="BN213" s="38"/>
      <c r="BQ213" s="38"/>
    </row>
    <row r="214" spans="4:69" ht="14.5" x14ac:dyDescent="0.25">
      <c r="D214" s="36"/>
      <c r="E214" s="33"/>
      <c r="BN214" s="38"/>
      <c r="BQ214" s="38"/>
    </row>
    <row r="215" spans="4:69" ht="14.5" x14ac:dyDescent="0.25">
      <c r="D215" s="36"/>
      <c r="E215" s="33"/>
      <c r="BN215" s="38"/>
      <c r="BQ215" s="38"/>
    </row>
    <row r="216" spans="4:69" ht="14.5" x14ac:dyDescent="0.25">
      <c r="D216" s="36"/>
      <c r="E216" s="33"/>
      <c r="BN216" s="38"/>
      <c r="BQ216" s="38"/>
    </row>
    <row r="217" spans="4:69" ht="14.5" x14ac:dyDescent="0.25">
      <c r="D217" s="36"/>
      <c r="E217" s="33"/>
      <c r="BN217" s="38"/>
      <c r="BQ217" s="38"/>
    </row>
    <row r="218" spans="4:69" ht="14.5" x14ac:dyDescent="0.25">
      <c r="D218" s="36"/>
      <c r="E218" s="33"/>
      <c r="BN218" s="38"/>
      <c r="BQ218" s="38"/>
    </row>
    <row r="219" spans="4:69" ht="14.5" x14ac:dyDescent="0.25">
      <c r="D219" s="36"/>
      <c r="E219" s="33"/>
      <c r="BN219" s="38"/>
      <c r="BQ219" s="38"/>
    </row>
    <row r="220" spans="4:69" ht="14.5" x14ac:dyDescent="0.25">
      <c r="D220" s="36"/>
      <c r="E220" s="33"/>
      <c r="BN220" s="38"/>
      <c r="BQ220" s="38"/>
    </row>
    <row r="221" spans="4:69" ht="14.5" x14ac:dyDescent="0.25">
      <c r="D221" s="36"/>
      <c r="E221" s="33"/>
      <c r="BN221" s="38"/>
      <c r="BQ221" s="38"/>
    </row>
    <row r="222" spans="4:69" ht="14.5" x14ac:dyDescent="0.25">
      <c r="D222" s="36"/>
      <c r="E222" s="33"/>
      <c r="BQ222" s="38"/>
    </row>
    <row r="223" spans="4:69" ht="14.5" x14ac:dyDescent="0.25">
      <c r="D223" s="36"/>
      <c r="E223" s="33"/>
      <c r="BN223" s="38"/>
      <c r="BQ223" s="38"/>
    </row>
    <row r="224" spans="4:69" ht="14.5" x14ac:dyDescent="0.25">
      <c r="D224" s="36"/>
      <c r="E224" s="33"/>
      <c r="BN224" s="38"/>
      <c r="BQ224" s="38"/>
    </row>
    <row r="225" spans="4:69" ht="14.5" x14ac:dyDescent="0.25">
      <c r="D225" s="36"/>
      <c r="E225" s="33"/>
      <c r="BN225" s="38"/>
      <c r="BQ225" s="38"/>
    </row>
    <row r="226" spans="4:69" ht="14.5" x14ac:dyDescent="0.25">
      <c r="D226" s="36"/>
      <c r="E226" s="33"/>
      <c r="BN226" s="38"/>
      <c r="BQ226" s="38"/>
    </row>
    <row r="227" spans="4:69" ht="14.5" x14ac:dyDescent="0.25">
      <c r="D227" s="36"/>
      <c r="E227" s="33"/>
      <c r="BN227" s="38"/>
      <c r="BQ227" s="38"/>
    </row>
    <row r="228" spans="4:69" ht="14.5" x14ac:dyDescent="0.25">
      <c r="D228" s="36"/>
      <c r="E228" s="33"/>
      <c r="BN228" s="38"/>
      <c r="BQ228" s="38"/>
    </row>
    <row r="229" spans="4:69" ht="14.5" x14ac:dyDescent="0.25">
      <c r="D229" s="36"/>
      <c r="E229" s="33"/>
      <c r="BN229" s="38"/>
      <c r="BQ229" s="38"/>
    </row>
    <row r="230" spans="4:69" ht="14.5" x14ac:dyDescent="0.25">
      <c r="D230" s="36"/>
      <c r="E230" s="33"/>
      <c r="BN230" s="38"/>
      <c r="BQ230" s="38"/>
    </row>
    <row r="231" spans="4:69" ht="14.5" x14ac:dyDescent="0.25">
      <c r="D231" s="36"/>
      <c r="E231" s="33"/>
      <c r="BN231" s="38"/>
      <c r="BQ231" s="38"/>
    </row>
    <row r="232" spans="4:69" ht="14.5" x14ac:dyDescent="0.25">
      <c r="D232" s="36"/>
      <c r="E232" s="33"/>
      <c r="BN232" s="38"/>
      <c r="BQ232" s="38"/>
    </row>
    <row r="233" spans="4:69" ht="14.5" x14ac:dyDescent="0.25">
      <c r="D233" s="36"/>
      <c r="E233" s="33"/>
      <c r="BN233" s="38"/>
      <c r="BQ233" s="38"/>
    </row>
    <row r="234" spans="4:69" ht="14.5" x14ac:dyDescent="0.25">
      <c r="D234" s="36"/>
      <c r="E234" s="33"/>
      <c r="BN234" s="38"/>
      <c r="BQ234" s="38"/>
    </row>
    <row r="235" spans="4:69" ht="14.5" x14ac:dyDescent="0.25">
      <c r="D235" s="36"/>
      <c r="E235" s="33"/>
      <c r="BN235" s="38"/>
      <c r="BQ235" s="38"/>
    </row>
    <row r="236" spans="4:69" ht="14.5" x14ac:dyDescent="0.25">
      <c r="D236" s="36"/>
      <c r="E236" s="33"/>
      <c r="BN236" s="38"/>
      <c r="BQ236" s="38"/>
    </row>
    <row r="237" spans="4:69" ht="14.5" x14ac:dyDescent="0.25">
      <c r="D237" s="36"/>
      <c r="E237" s="33"/>
      <c r="BN237" s="38"/>
      <c r="BQ237" s="38"/>
    </row>
    <row r="238" spans="4:69" ht="14.5" x14ac:dyDescent="0.25">
      <c r="D238" s="36"/>
      <c r="E238" s="33"/>
      <c r="BN238" s="38"/>
      <c r="BQ238" s="38"/>
    </row>
    <row r="239" spans="4:69" ht="14.5" x14ac:dyDescent="0.25">
      <c r="D239" s="36"/>
      <c r="E239" s="33"/>
      <c r="BN239" s="38"/>
      <c r="BQ239" s="38"/>
    </row>
    <row r="240" spans="4:69" ht="14.5" x14ac:dyDescent="0.25">
      <c r="D240" s="36"/>
      <c r="E240" s="33"/>
      <c r="BN240" s="38"/>
      <c r="BQ240" s="38"/>
    </row>
    <row r="241" spans="4:69" ht="14.5" x14ac:dyDescent="0.25">
      <c r="D241" s="36"/>
      <c r="E241" s="33"/>
      <c r="BN241" s="38"/>
      <c r="BQ241" s="38"/>
    </row>
    <row r="242" spans="4:69" ht="14.5" x14ac:dyDescent="0.25">
      <c r="D242" s="36"/>
      <c r="E242" s="33"/>
      <c r="BN242" s="38"/>
      <c r="BQ242" s="38"/>
    </row>
    <row r="243" spans="4:69" ht="14.5" x14ac:dyDescent="0.25">
      <c r="D243" s="36"/>
      <c r="E243" s="33"/>
      <c r="BN243" s="38"/>
      <c r="BQ243" s="38"/>
    </row>
    <row r="244" spans="4:69" ht="14.5" x14ac:dyDescent="0.25">
      <c r="D244" s="36"/>
      <c r="E244" s="33"/>
      <c r="BN244" s="38"/>
      <c r="BQ244" s="38"/>
    </row>
    <row r="245" spans="4:69" ht="14.5" x14ac:dyDescent="0.25">
      <c r="D245" s="36"/>
      <c r="E245" s="33"/>
      <c r="BN245" s="38"/>
      <c r="BQ245" s="38"/>
    </row>
    <row r="246" spans="4:69" ht="14.5" x14ac:dyDescent="0.25">
      <c r="D246" s="36"/>
      <c r="E246" s="33"/>
      <c r="BN246" s="38"/>
      <c r="BQ246" s="38"/>
    </row>
    <row r="247" spans="4:69" ht="14.5" x14ac:dyDescent="0.25">
      <c r="D247" s="36"/>
      <c r="E247" s="33"/>
      <c r="BN247" s="38"/>
      <c r="BQ247" s="38"/>
    </row>
    <row r="248" spans="4:69" ht="14.5" x14ac:dyDescent="0.25">
      <c r="D248" s="36"/>
      <c r="E248" s="33"/>
      <c r="BN248" s="38"/>
      <c r="BQ248" s="38"/>
    </row>
    <row r="249" spans="4:69" ht="14.5" x14ac:dyDescent="0.25">
      <c r="D249" s="36"/>
      <c r="E249" s="33"/>
      <c r="BN249" s="38"/>
      <c r="BQ249" s="38"/>
    </row>
    <row r="250" spans="4:69" ht="14.5" x14ac:dyDescent="0.25">
      <c r="D250" s="36"/>
      <c r="E250" s="33"/>
      <c r="BN250" s="38"/>
      <c r="BQ250" s="38"/>
    </row>
    <row r="251" spans="4:69" ht="14.5" x14ac:dyDescent="0.25">
      <c r="D251" s="36"/>
      <c r="E251" s="33"/>
      <c r="BN251" s="38"/>
      <c r="BQ251" s="38"/>
    </row>
    <row r="252" spans="4:69" ht="14.5" x14ac:dyDescent="0.25">
      <c r="D252" s="36"/>
      <c r="E252" s="33"/>
      <c r="BN252" s="38"/>
      <c r="BQ252" s="38"/>
    </row>
    <row r="253" spans="4:69" ht="14.5" x14ac:dyDescent="0.25">
      <c r="D253" s="36"/>
      <c r="E253" s="33"/>
      <c r="BN253" s="38"/>
      <c r="BQ253" s="38"/>
    </row>
    <row r="254" spans="4:69" ht="14.5" x14ac:dyDescent="0.25">
      <c r="D254" s="36"/>
      <c r="E254" s="33"/>
      <c r="BN254" s="38"/>
      <c r="BQ254" s="38"/>
    </row>
    <row r="255" spans="4:69" ht="14.5" x14ac:dyDescent="0.25">
      <c r="D255" s="36"/>
      <c r="E255" s="33"/>
      <c r="BN255" s="38"/>
      <c r="BQ255" s="38"/>
    </row>
    <row r="256" spans="4:69" ht="14.5" x14ac:dyDescent="0.25">
      <c r="D256" s="36"/>
      <c r="E256" s="33"/>
      <c r="BN256" s="38"/>
      <c r="BQ256" s="38"/>
    </row>
    <row r="257" spans="4:69" ht="14.5" x14ac:dyDescent="0.25">
      <c r="D257" s="36"/>
      <c r="E257" s="33"/>
      <c r="BN257" s="38"/>
      <c r="BQ257" s="38"/>
    </row>
    <row r="258" spans="4:69" ht="14.5" x14ac:dyDescent="0.25">
      <c r="D258" s="36"/>
      <c r="E258" s="33"/>
      <c r="BN258" s="38"/>
      <c r="BQ258" s="38"/>
    </row>
    <row r="259" spans="4:69" ht="14.5" x14ac:dyDescent="0.25">
      <c r="D259" s="36"/>
      <c r="E259" s="33"/>
      <c r="BN259" s="38"/>
      <c r="BQ259" s="38"/>
    </row>
    <row r="260" spans="4:69" ht="14.5" x14ac:dyDescent="0.25">
      <c r="D260" s="36"/>
      <c r="E260" s="33"/>
      <c r="BN260" s="38"/>
      <c r="BQ260" s="38"/>
    </row>
    <row r="261" spans="4:69" ht="14.5" x14ac:dyDescent="0.25">
      <c r="D261" s="36"/>
      <c r="E261" s="33"/>
      <c r="BN261" s="38"/>
      <c r="BQ261" s="38"/>
    </row>
    <row r="262" spans="4:69" ht="14.5" x14ac:dyDescent="0.25">
      <c r="D262" s="36"/>
      <c r="E262" s="33"/>
      <c r="BN262" s="38"/>
      <c r="BQ262" s="38"/>
    </row>
    <row r="263" spans="4:69" ht="14.5" x14ac:dyDescent="0.25">
      <c r="D263" s="36"/>
      <c r="E263" s="33"/>
      <c r="BN263" s="38"/>
      <c r="BQ263" s="38"/>
    </row>
    <row r="264" spans="4:69" ht="14.5" x14ac:dyDescent="0.25">
      <c r="D264" s="36"/>
      <c r="E264" s="33"/>
      <c r="BN264" s="38"/>
      <c r="BQ264" s="38"/>
    </row>
    <row r="265" spans="4:69" ht="14.5" x14ac:dyDescent="0.25">
      <c r="D265" s="36"/>
      <c r="E265" s="33"/>
      <c r="BQ265" s="38"/>
    </row>
    <row r="266" spans="4:69" ht="14.5" x14ac:dyDescent="0.25">
      <c r="D266" s="36"/>
      <c r="E266" s="33"/>
      <c r="BN266" s="38"/>
      <c r="BQ266" s="38"/>
    </row>
    <row r="267" spans="4:69" ht="14.5" x14ac:dyDescent="0.25">
      <c r="D267" s="36"/>
      <c r="E267" s="33"/>
      <c r="BN267" s="38"/>
      <c r="BQ267" s="38"/>
    </row>
    <row r="268" spans="4:69" ht="14.5" x14ac:dyDescent="0.25">
      <c r="D268" s="36"/>
      <c r="E268" s="33"/>
      <c r="BN268" s="38"/>
      <c r="BQ268" s="38"/>
    </row>
    <row r="269" spans="4:69" ht="14.5" x14ac:dyDescent="0.25">
      <c r="D269" s="36"/>
      <c r="E269" s="33"/>
      <c r="BN269" s="38"/>
      <c r="BQ269" s="38"/>
    </row>
    <row r="270" spans="4:69" ht="14.5" x14ac:dyDescent="0.25">
      <c r="D270" s="36"/>
      <c r="E270" s="33"/>
      <c r="BN270" s="38"/>
      <c r="BQ270" s="38"/>
    </row>
    <row r="271" spans="4:69" ht="14.5" x14ac:dyDescent="0.25">
      <c r="D271" s="36"/>
      <c r="E271" s="33"/>
      <c r="BN271" s="38"/>
      <c r="BQ271" s="38"/>
    </row>
    <row r="272" spans="4:69" ht="14.5" x14ac:dyDescent="0.25">
      <c r="D272" s="36"/>
      <c r="E272" s="33"/>
      <c r="BN272" s="38"/>
      <c r="BQ272" s="38"/>
    </row>
    <row r="273" spans="4:69" ht="14.5" x14ac:dyDescent="0.25">
      <c r="D273" s="36"/>
      <c r="E273" s="33"/>
      <c r="BN273" s="38"/>
      <c r="BQ273" s="38"/>
    </row>
    <row r="274" spans="4:69" ht="14.5" x14ac:dyDescent="0.25">
      <c r="D274" s="36"/>
      <c r="E274" s="33"/>
      <c r="BN274" s="38"/>
      <c r="BQ274" s="38"/>
    </row>
    <row r="275" spans="4:69" ht="14.5" x14ac:dyDescent="0.25">
      <c r="D275" s="36"/>
      <c r="E275" s="33"/>
      <c r="BN275" s="38"/>
      <c r="BQ275" s="38"/>
    </row>
    <row r="276" spans="4:69" ht="14.5" x14ac:dyDescent="0.25">
      <c r="D276" s="36"/>
      <c r="E276" s="33"/>
      <c r="BN276" s="38"/>
      <c r="BQ276" s="38"/>
    </row>
    <row r="277" spans="4:69" ht="14.5" x14ac:dyDescent="0.25">
      <c r="D277" s="36"/>
      <c r="E277" s="33"/>
      <c r="BN277" s="38"/>
      <c r="BQ277" s="38"/>
    </row>
    <row r="278" spans="4:69" ht="14.5" x14ac:dyDescent="0.25">
      <c r="D278" s="36"/>
      <c r="E278" s="33"/>
      <c r="BN278" s="38"/>
      <c r="BQ278" s="38"/>
    </row>
    <row r="279" spans="4:69" ht="14.5" x14ac:dyDescent="0.25">
      <c r="D279" s="36"/>
      <c r="E279" s="33"/>
      <c r="BN279" s="38"/>
      <c r="BQ279" s="38"/>
    </row>
    <row r="280" spans="4:69" ht="14.5" x14ac:dyDescent="0.25">
      <c r="D280" s="36"/>
      <c r="E280" s="33"/>
      <c r="BN280" s="38"/>
      <c r="BQ280" s="38"/>
    </row>
    <row r="281" spans="4:69" ht="14.5" x14ac:dyDescent="0.25">
      <c r="D281" s="36"/>
      <c r="E281" s="33"/>
      <c r="BN281" s="38"/>
      <c r="BQ281" s="38"/>
    </row>
    <row r="282" spans="4:69" ht="14.5" x14ac:dyDescent="0.25">
      <c r="D282" s="36"/>
      <c r="E282" s="33"/>
      <c r="BN282" s="38"/>
      <c r="BQ282" s="38"/>
    </row>
    <row r="283" spans="4:69" ht="14.5" x14ac:dyDescent="0.25">
      <c r="D283" s="36"/>
      <c r="E283" s="33"/>
      <c r="BN283" s="38"/>
      <c r="BQ283" s="38"/>
    </row>
    <row r="284" spans="4:69" ht="14.5" x14ac:dyDescent="0.25">
      <c r="D284" s="36"/>
      <c r="E284" s="33"/>
      <c r="BN284" s="38"/>
      <c r="BQ284" s="38"/>
    </row>
    <row r="285" spans="4:69" ht="14.5" x14ac:dyDescent="0.25">
      <c r="D285" s="36"/>
      <c r="E285" s="33"/>
      <c r="BN285" s="38"/>
      <c r="BQ285" s="38"/>
    </row>
    <row r="286" spans="4:69" ht="14.5" x14ac:dyDescent="0.25">
      <c r="D286" s="36"/>
      <c r="E286" s="33"/>
      <c r="BN286" s="38"/>
      <c r="BQ286" s="38"/>
    </row>
    <row r="287" spans="4:69" ht="14.5" x14ac:dyDescent="0.25">
      <c r="D287" s="36"/>
      <c r="E287" s="33"/>
      <c r="BN287" s="38"/>
      <c r="BQ287" s="38"/>
    </row>
    <row r="288" spans="4:69" ht="14.5" x14ac:dyDescent="0.25">
      <c r="D288" s="36"/>
      <c r="E288" s="33"/>
      <c r="BN288" s="38"/>
      <c r="BQ288" s="38"/>
    </row>
    <row r="289" spans="4:69" ht="14.5" x14ac:dyDescent="0.25">
      <c r="D289" s="36"/>
      <c r="E289" s="33"/>
      <c r="BN289" s="38"/>
      <c r="BQ289" s="38"/>
    </row>
    <row r="290" spans="4:69" ht="14.5" x14ac:dyDescent="0.25">
      <c r="D290" s="36"/>
      <c r="E290" s="33"/>
      <c r="BN290" s="38"/>
      <c r="BQ290" s="38"/>
    </row>
    <row r="291" spans="4:69" ht="14.5" x14ac:dyDescent="0.25">
      <c r="D291" s="36"/>
      <c r="E291" s="33"/>
      <c r="BN291" s="38"/>
      <c r="BQ291" s="38"/>
    </row>
    <row r="292" spans="4:69" ht="14.5" x14ac:dyDescent="0.25">
      <c r="D292" s="36"/>
      <c r="E292" s="33"/>
      <c r="BN292" s="38"/>
      <c r="BQ292" s="38"/>
    </row>
    <row r="293" spans="4:69" ht="14.5" x14ac:dyDescent="0.25">
      <c r="D293" s="36"/>
      <c r="E293" s="33"/>
      <c r="BN293" s="38"/>
      <c r="BQ293" s="38"/>
    </row>
    <row r="294" spans="4:69" ht="14.5" x14ac:dyDescent="0.25">
      <c r="D294" s="36"/>
      <c r="E294" s="33"/>
      <c r="BN294" s="38"/>
      <c r="BQ294" s="38"/>
    </row>
    <row r="295" spans="4:69" ht="14.5" x14ac:dyDescent="0.25">
      <c r="D295" s="36"/>
      <c r="E295" s="33"/>
      <c r="BN295" s="38"/>
      <c r="BQ295" s="38"/>
    </row>
    <row r="296" spans="4:69" ht="14.5" x14ac:dyDescent="0.25">
      <c r="D296" s="36"/>
      <c r="E296" s="33"/>
      <c r="BN296" s="38"/>
      <c r="BQ296" s="38"/>
    </row>
    <row r="297" spans="4:69" ht="14.5" x14ac:dyDescent="0.25">
      <c r="D297" s="36"/>
      <c r="E297" s="33"/>
      <c r="BN297" s="38"/>
      <c r="BQ297" s="38"/>
    </row>
    <row r="298" spans="4:69" ht="14.5" x14ac:dyDescent="0.25">
      <c r="D298" s="36"/>
      <c r="E298" s="33"/>
      <c r="BN298" s="38"/>
      <c r="BQ298" s="38"/>
    </row>
    <row r="299" spans="4:69" ht="14.5" x14ac:dyDescent="0.25">
      <c r="D299" s="36"/>
      <c r="E299" s="33"/>
      <c r="BN299" s="38"/>
      <c r="BQ299" s="38"/>
    </row>
    <row r="300" spans="4:69" ht="14.5" x14ac:dyDescent="0.25">
      <c r="D300" s="36"/>
      <c r="E300" s="33"/>
      <c r="BN300" s="38"/>
      <c r="BQ300" s="38"/>
    </row>
    <row r="301" spans="4:69" ht="14.5" x14ac:dyDescent="0.25">
      <c r="D301" s="36"/>
      <c r="E301" s="33"/>
      <c r="BN301" s="38"/>
      <c r="BQ301" s="38"/>
    </row>
    <row r="302" spans="4:69" ht="14.5" x14ac:dyDescent="0.25">
      <c r="D302" s="36"/>
      <c r="E302" s="33"/>
      <c r="BN302" s="38"/>
      <c r="BQ302" s="38"/>
    </row>
    <row r="303" spans="4:69" ht="14.5" x14ac:dyDescent="0.25">
      <c r="D303" s="36"/>
      <c r="E303" s="33"/>
      <c r="BN303" s="38"/>
      <c r="BQ303" s="38"/>
    </row>
    <row r="304" spans="4:69" ht="14.5" x14ac:dyDescent="0.25">
      <c r="D304" s="36"/>
      <c r="E304" s="33"/>
      <c r="BN304" s="38"/>
      <c r="BQ304" s="38"/>
    </row>
    <row r="305" spans="4:69" ht="14.5" x14ac:dyDescent="0.25">
      <c r="D305" s="36"/>
      <c r="E305" s="33"/>
      <c r="BN305" s="38"/>
      <c r="BQ305" s="38"/>
    </row>
    <row r="306" spans="4:69" ht="14.5" x14ac:dyDescent="0.25">
      <c r="D306" s="36"/>
      <c r="E306" s="33"/>
      <c r="BN306" s="38"/>
      <c r="BQ306" s="38"/>
    </row>
    <row r="307" spans="4:69" ht="14.5" x14ac:dyDescent="0.25">
      <c r="D307" s="36"/>
      <c r="E307" s="33"/>
      <c r="BN307" s="38"/>
      <c r="BQ307" s="38"/>
    </row>
    <row r="308" spans="4:69" ht="14.5" x14ac:dyDescent="0.25">
      <c r="D308" s="36"/>
      <c r="E308" s="33"/>
      <c r="BN308" s="38"/>
      <c r="BQ308" s="38"/>
    </row>
    <row r="309" spans="4:69" ht="14.5" x14ac:dyDescent="0.25">
      <c r="D309" s="36"/>
      <c r="E309" s="33"/>
      <c r="BN309" s="38"/>
      <c r="BQ309" s="38"/>
    </row>
    <row r="310" spans="4:69" ht="14.5" x14ac:dyDescent="0.25">
      <c r="D310" s="36"/>
      <c r="E310" s="33"/>
      <c r="BN310" s="38"/>
      <c r="BQ310" s="38"/>
    </row>
    <row r="311" spans="4:69" ht="14.5" x14ac:dyDescent="0.25">
      <c r="D311" s="36"/>
      <c r="E311" s="33"/>
      <c r="BN311" s="38"/>
      <c r="BQ311" s="38"/>
    </row>
    <row r="312" spans="4:69" ht="14.5" x14ac:dyDescent="0.25">
      <c r="D312" s="36"/>
      <c r="E312" s="33"/>
      <c r="BN312" s="38"/>
      <c r="BQ312" s="38"/>
    </row>
    <row r="313" spans="4:69" ht="14.5" x14ac:dyDescent="0.25">
      <c r="D313" s="36"/>
      <c r="E313" s="33"/>
      <c r="BN313" s="38"/>
      <c r="BQ313" s="38"/>
    </row>
    <row r="314" spans="4:69" ht="14.5" x14ac:dyDescent="0.25">
      <c r="D314" s="36"/>
      <c r="E314" s="33"/>
      <c r="BN314" s="38"/>
      <c r="BQ314" s="38"/>
    </row>
    <row r="315" spans="4:69" ht="14.5" x14ac:dyDescent="0.25">
      <c r="D315" s="36"/>
      <c r="E315" s="33"/>
      <c r="BN315" s="38"/>
      <c r="BQ315" s="38"/>
    </row>
    <row r="316" spans="4:69" ht="14.5" x14ac:dyDescent="0.25">
      <c r="D316" s="36"/>
      <c r="E316" s="33"/>
      <c r="BN316" s="38"/>
      <c r="BQ316" s="38"/>
    </row>
    <row r="317" spans="4:69" ht="14.5" x14ac:dyDescent="0.25">
      <c r="D317" s="36"/>
      <c r="E317" s="33"/>
      <c r="BN317" s="38"/>
      <c r="BQ317" s="38"/>
    </row>
    <row r="318" spans="4:69" ht="14.5" x14ac:dyDescent="0.25">
      <c r="D318" s="36"/>
      <c r="E318" s="33"/>
      <c r="BN318" s="38"/>
      <c r="BQ318" s="38"/>
    </row>
    <row r="319" spans="4:69" ht="14.5" x14ac:dyDescent="0.25">
      <c r="D319" s="36"/>
      <c r="E319" s="33"/>
      <c r="BN319" s="38"/>
      <c r="BQ319" s="38"/>
    </row>
    <row r="320" spans="4:69" ht="14.5" x14ac:dyDescent="0.25">
      <c r="D320" s="36"/>
      <c r="E320" s="33"/>
      <c r="BN320" s="38"/>
      <c r="BQ320" s="38"/>
    </row>
    <row r="321" spans="4:69" ht="14.5" x14ac:dyDescent="0.25">
      <c r="D321" s="36"/>
      <c r="E321" s="33"/>
      <c r="BQ321" s="38"/>
    </row>
    <row r="322" spans="4:69" ht="14.5" x14ac:dyDescent="0.25">
      <c r="D322" s="36"/>
      <c r="E322" s="33"/>
      <c r="BQ322" s="38"/>
    </row>
    <row r="323" spans="4:69" ht="14.5" x14ac:dyDescent="0.25">
      <c r="D323" s="36"/>
      <c r="E323" s="33"/>
      <c r="BQ323" s="38"/>
    </row>
    <row r="324" spans="4:69" ht="14.5" x14ac:dyDescent="0.25">
      <c r="D324" s="36"/>
      <c r="E324" s="33"/>
      <c r="BN324" s="38"/>
      <c r="BQ324" s="38"/>
    </row>
    <row r="325" spans="4:69" ht="14.5" x14ac:dyDescent="0.25">
      <c r="D325" s="36"/>
      <c r="E325" s="33"/>
      <c r="BN325" s="38"/>
      <c r="BQ325" s="38"/>
    </row>
    <row r="326" spans="4:69" ht="14.5" x14ac:dyDescent="0.25">
      <c r="D326" s="36"/>
      <c r="E326" s="33"/>
      <c r="BN326" s="38"/>
      <c r="BQ326" s="38"/>
    </row>
    <row r="327" spans="4:69" ht="14.5" x14ac:dyDescent="0.25">
      <c r="D327" s="36"/>
      <c r="E327" s="33"/>
      <c r="BN327" s="38"/>
      <c r="BQ327" s="38"/>
    </row>
    <row r="328" spans="4:69" ht="14.5" x14ac:dyDescent="0.25">
      <c r="D328" s="36"/>
      <c r="E328" s="33"/>
      <c r="BN328" s="38"/>
      <c r="BQ328" s="38"/>
    </row>
    <row r="329" spans="4:69" ht="14.5" x14ac:dyDescent="0.25">
      <c r="D329" s="36"/>
      <c r="E329" s="33"/>
      <c r="BN329" s="38"/>
      <c r="BQ329" s="38"/>
    </row>
    <row r="330" spans="4:69" ht="14.5" x14ac:dyDescent="0.25">
      <c r="D330" s="36"/>
      <c r="E330" s="33"/>
      <c r="BN330" s="38"/>
      <c r="BQ330" s="38"/>
    </row>
    <row r="331" spans="4:69" ht="14.5" x14ac:dyDescent="0.25">
      <c r="D331" s="36"/>
      <c r="E331" s="33"/>
      <c r="BN331" s="38"/>
      <c r="BQ331" s="38"/>
    </row>
    <row r="332" spans="4:69" ht="14.5" x14ac:dyDescent="0.25">
      <c r="D332" s="36"/>
      <c r="E332" s="33"/>
      <c r="BN332" s="38"/>
      <c r="BQ332" s="38"/>
    </row>
    <row r="333" spans="4:69" ht="14.5" x14ac:dyDescent="0.25">
      <c r="D333" s="36"/>
      <c r="E333" s="33"/>
      <c r="BN333" s="38"/>
      <c r="BQ333" s="38"/>
    </row>
    <row r="334" spans="4:69" ht="14.5" x14ac:dyDescent="0.25">
      <c r="D334" s="36"/>
      <c r="E334" s="33"/>
      <c r="BN334" s="38"/>
      <c r="BQ334" s="38"/>
    </row>
    <row r="335" spans="4:69" ht="14.5" x14ac:dyDescent="0.25">
      <c r="D335" s="36"/>
      <c r="E335" s="33"/>
      <c r="BN335" s="38"/>
      <c r="BQ335" s="38"/>
    </row>
    <row r="336" spans="4:69" ht="14.5" x14ac:dyDescent="0.25">
      <c r="D336" s="36"/>
      <c r="E336" s="33"/>
      <c r="BN336" s="38"/>
      <c r="BQ336" s="38"/>
    </row>
    <row r="337" spans="4:69" ht="14.5" x14ac:dyDescent="0.25">
      <c r="D337" s="36"/>
      <c r="E337" s="33"/>
      <c r="BN337" s="38"/>
      <c r="BQ337" s="38"/>
    </row>
    <row r="338" spans="4:69" ht="14.5" x14ac:dyDescent="0.25">
      <c r="D338" s="36"/>
      <c r="E338" s="33"/>
      <c r="BN338" s="38"/>
      <c r="BQ338" s="38"/>
    </row>
    <row r="339" spans="4:69" ht="14.5" x14ac:dyDescent="0.25">
      <c r="D339" s="36"/>
      <c r="E339" s="33"/>
      <c r="BN339" s="38"/>
      <c r="BQ339" s="38"/>
    </row>
    <row r="340" spans="4:69" ht="14.5" x14ac:dyDescent="0.25">
      <c r="D340" s="36"/>
      <c r="E340" s="33"/>
      <c r="BN340" s="38"/>
      <c r="BQ340" s="38"/>
    </row>
    <row r="341" spans="4:69" ht="14.5" x14ac:dyDescent="0.25">
      <c r="D341" s="36"/>
      <c r="E341" s="33"/>
      <c r="BN341" s="38"/>
      <c r="BQ341" s="38"/>
    </row>
    <row r="342" spans="4:69" ht="14.5" x14ac:dyDescent="0.25">
      <c r="D342" s="36"/>
      <c r="E342" s="33"/>
      <c r="BN342" s="38"/>
      <c r="BQ342" s="38"/>
    </row>
    <row r="343" spans="4:69" ht="14.5" x14ac:dyDescent="0.25">
      <c r="D343" s="36"/>
      <c r="E343" s="33"/>
      <c r="BN343" s="38"/>
      <c r="BQ343" s="38"/>
    </row>
    <row r="344" spans="4:69" ht="14.5" x14ac:dyDescent="0.25">
      <c r="D344" s="36"/>
      <c r="E344" s="33"/>
      <c r="BN344" s="38"/>
      <c r="BQ344" s="38"/>
    </row>
    <row r="345" spans="4:69" ht="14.5" x14ac:dyDescent="0.25">
      <c r="D345" s="36"/>
      <c r="E345" s="33"/>
      <c r="BN345" s="38"/>
      <c r="BQ345" s="38"/>
    </row>
    <row r="346" spans="4:69" ht="14.5" x14ac:dyDescent="0.25">
      <c r="D346" s="36"/>
      <c r="E346" s="33"/>
      <c r="BN346" s="38"/>
      <c r="BQ346" s="38"/>
    </row>
    <row r="347" spans="4:69" ht="14.5" x14ac:dyDescent="0.25">
      <c r="D347" s="36"/>
      <c r="E347" s="33"/>
      <c r="BN347" s="38"/>
      <c r="BQ347" s="38"/>
    </row>
    <row r="348" spans="4:69" ht="14.5" x14ac:dyDescent="0.25">
      <c r="D348" s="36"/>
      <c r="E348" s="33"/>
      <c r="BN348" s="38"/>
      <c r="BQ348" s="38"/>
    </row>
    <row r="349" spans="4:69" ht="14.5" x14ac:dyDescent="0.25">
      <c r="D349" s="36"/>
      <c r="E349" s="33"/>
      <c r="BN349" s="38"/>
      <c r="BQ349" s="38"/>
    </row>
    <row r="350" spans="4:69" ht="14.5" x14ac:dyDescent="0.25">
      <c r="D350" s="36"/>
      <c r="E350" s="33"/>
      <c r="BN350" s="38"/>
      <c r="BQ350" s="38"/>
    </row>
    <row r="351" spans="4:69" ht="14.5" x14ac:dyDescent="0.25">
      <c r="D351" s="36"/>
      <c r="E351" s="33"/>
      <c r="BN351" s="38"/>
      <c r="BQ351" s="38"/>
    </row>
    <row r="352" spans="4:69" ht="14.5" x14ac:dyDescent="0.25">
      <c r="D352" s="36"/>
      <c r="E352" s="33"/>
      <c r="BN352" s="38"/>
      <c r="BQ352" s="38"/>
    </row>
    <row r="353" spans="4:69" ht="14.5" x14ac:dyDescent="0.25">
      <c r="D353" s="36"/>
      <c r="E353" s="33"/>
      <c r="BN353" s="38"/>
      <c r="BQ353" s="38"/>
    </row>
    <row r="354" spans="4:69" ht="14.5" x14ac:dyDescent="0.25">
      <c r="D354" s="36"/>
      <c r="E354" s="33"/>
      <c r="BN354" s="38"/>
      <c r="BQ354" s="38"/>
    </row>
    <row r="355" spans="4:69" ht="14.5" x14ac:dyDescent="0.25">
      <c r="D355" s="36"/>
      <c r="E355" s="33"/>
      <c r="BN355" s="38"/>
      <c r="BQ355" s="38"/>
    </row>
    <row r="356" spans="4:69" ht="14.5" x14ac:dyDescent="0.25">
      <c r="D356" s="36"/>
      <c r="E356" s="33"/>
      <c r="BN356" s="38"/>
      <c r="BQ356" s="38"/>
    </row>
    <row r="357" spans="4:69" ht="14.5" x14ac:dyDescent="0.25">
      <c r="D357" s="36"/>
      <c r="E357" s="33"/>
      <c r="BN357" s="38"/>
      <c r="BQ357" s="38"/>
    </row>
    <row r="358" spans="4:69" ht="14.5" x14ac:dyDescent="0.25">
      <c r="D358" s="36"/>
      <c r="E358" s="33"/>
      <c r="BQ358" s="38"/>
    </row>
    <row r="359" spans="4:69" ht="14.5" x14ac:dyDescent="0.25">
      <c r="D359" s="36"/>
      <c r="E359" s="33"/>
      <c r="BQ359" s="38"/>
    </row>
    <row r="360" spans="4:69" ht="14.5" x14ac:dyDescent="0.25">
      <c r="D360" s="36"/>
      <c r="E360" s="33"/>
      <c r="BN360" s="38"/>
      <c r="BQ360" s="38"/>
    </row>
    <row r="361" spans="4:69" ht="14.5" x14ac:dyDescent="0.25">
      <c r="D361" s="36"/>
      <c r="E361" s="33"/>
      <c r="BN361" s="38"/>
      <c r="BQ361" s="38"/>
    </row>
    <row r="362" spans="4:69" ht="14.5" x14ac:dyDescent="0.25">
      <c r="D362" s="36"/>
      <c r="E362" s="33"/>
      <c r="BN362" s="38"/>
      <c r="BQ362" s="38"/>
    </row>
    <row r="363" spans="4:69" ht="14.5" x14ac:dyDescent="0.25">
      <c r="D363" s="36"/>
      <c r="E363" s="33"/>
      <c r="BN363" s="38"/>
      <c r="BQ363" s="38"/>
    </row>
    <row r="364" spans="4:69" ht="14.5" x14ac:dyDescent="0.25">
      <c r="D364" s="36"/>
      <c r="E364" s="33"/>
      <c r="BN364" s="38"/>
      <c r="BQ364" s="38"/>
    </row>
    <row r="365" spans="4:69" ht="14.5" x14ac:dyDescent="0.25">
      <c r="D365" s="36"/>
      <c r="E365" s="33"/>
      <c r="BN365" s="38"/>
      <c r="BQ365" s="38"/>
    </row>
    <row r="366" spans="4:69" ht="14.5" x14ac:dyDescent="0.25">
      <c r="D366" s="36"/>
      <c r="E366" s="33"/>
      <c r="BN366" s="38"/>
      <c r="BQ366" s="38"/>
    </row>
    <row r="367" spans="4:69" ht="14.5" x14ac:dyDescent="0.25">
      <c r="D367" s="36"/>
      <c r="E367" s="33"/>
      <c r="BN367" s="38"/>
      <c r="BQ367" s="38"/>
    </row>
    <row r="368" spans="4:69" ht="14.5" x14ac:dyDescent="0.25">
      <c r="D368" s="36"/>
      <c r="E368" s="33"/>
      <c r="BN368" s="38"/>
      <c r="BQ368" s="38"/>
    </row>
    <row r="369" spans="4:69" ht="14.5" x14ac:dyDescent="0.25">
      <c r="D369" s="36"/>
      <c r="E369" s="33"/>
      <c r="BN369" s="38"/>
      <c r="BQ369" s="38"/>
    </row>
    <row r="370" spans="4:69" ht="14.5" x14ac:dyDescent="0.25">
      <c r="D370" s="36"/>
      <c r="E370" s="33"/>
      <c r="BN370" s="38"/>
      <c r="BQ370" s="38"/>
    </row>
    <row r="371" spans="4:69" ht="14.5" x14ac:dyDescent="0.25">
      <c r="D371" s="36"/>
      <c r="E371" s="33"/>
      <c r="BN371" s="38"/>
      <c r="BQ371" s="38"/>
    </row>
    <row r="372" spans="4:69" ht="14.5" x14ac:dyDescent="0.25">
      <c r="D372" s="36"/>
      <c r="E372" s="33"/>
      <c r="BN372" s="38"/>
      <c r="BQ372" s="38"/>
    </row>
    <row r="373" spans="4:69" ht="14.5" x14ac:dyDescent="0.25">
      <c r="D373" s="36"/>
      <c r="E373" s="33"/>
      <c r="BN373" s="38"/>
      <c r="BQ373" s="38"/>
    </row>
    <row r="374" spans="4:69" ht="14.5" x14ac:dyDescent="0.25">
      <c r="D374" s="36"/>
      <c r="E374" s="33"/>
      <c r="BN374" s="38"/>
      <c r="BQ374" s="38"/>
    </row>
    <row r="375" spans="4:69" ht="14.5" x14ac:dyDescent="0.25">
      <c r="D375" s="36"/>
      <c r="E375" s="33"/>
      <c r="BN375" s="38"/>
      <c r="BQ375" s="38"/>
    </row>
    <row r="376" spans="4:69" ht="14.5" x14ac:dyDescent="0.25">
      <c r="D376" s="36"/>
      <c r="E376" s="33"/>
      <c r="BN376" s="38"/>
      <c r="BQ376" s="38"/>
    </row>
    <row r="377" spans="4:69" ht="14.5" x14ac:dyDescent="0.25">
      <c r="D377" s="36"/>
      <c r="E377" s="33"/>
      <c r="BN377" s="38"/>
      <c r="BQ377" s="38"/>
    </row>
    <row r="378" spans="4:69" ht="14.5" x14ac:dyDescent="0.25">
      <c r="D378" s="36"/>
      <c r="E378" s="33"/>
      <c r="BN378" s="38"/>
      <c r="BQ378" s="38"/>
    </row>
    <row r="379" spans="4:69" ht="14.5" x14ac:dyDescent="0.25">
      <c r="D379" s="36"/>
      <c r="E379" s="33"/>
      <c r="BN379" s="38"/>
      <c r="BQ379" s="38"/>
    </row>
    <row r="380" spans="4:69" ht="14.5" x14ac:dyDescent="0.25">
      <c r="D380" s="36"/>
      <c r="E380" s="33"/>
      <c r="BN380" s="38"/>
      <c r="BQ380" s="38"/>
    </row>
    <row r="381" spans="4:69" ht="14.5" x14ac:dyDescent="0.25">
      <c r="D381" s="36"/>
      <c r="E381" s="33"/>
      <c r="BN381" s="38"/>
      <c r="BQ381" s="38"/>
    </row>
    <row r="382" spans="4:69" ht="14.5" x14ac:dyDescent="0.25">
      <c r="D382" s="36"/>
      <c r="E382" s="33"/>
      <c r="BN382" s="38"/>
      <c r="BQ382" s="38"/>
    </row>
    <row r="383" spans="4:69" ht="14.5" x14ac:dyDescent="0.25">
      <c r="D383" s="36"/>
      <c r="E383" s="33"/>
      <c r="BQ383" s="38"/>
    </row>
    <row r="384" spans="4:69" ht="14.5" x14ac:dyDescent="0.25">
      <c r="D384" s="36"/>
      <c r="E384" s="33"/>
      <c r="BQ384" s="38"/>
    </row>
    <row r="385" spans="4:69" ht="14.5" x14ac:dyDescent="0.25">
      <c r="D385" s="36"/>
      <c r="E385" s="33"/>
      <c r="BN385" s="38"/>
      <c r="BQ385" s="38"/>
    </row>
    <row r="386" spans="4:69" ht="14.5" x14ac:dyDescent="0.25">
      <c r="D386" s="36"/>
      <c r="E386" s="33"/>
      <c r="BN386" s="38"/>
      <c r="BQ386" s="38"/>
    </row>
    <row r="387" spans="4:69" ht="14.5" x14ac:dyDescent="0.25">
      <c r="D387" s="36"/>
      <c r="E387" s="33"/>
      <c r="BQ387" s="38"/>
    </row>
    <row r="388" spans="4:69" ht="14.5" x14ac:dyDescent="0.25">
      <c r="D388" s="36"/>
      <c r="E388" s="33"/>
      <c r="BQ388" s="38"/>
    </row>
    <row r="389" spans="4:69" ht="14.5" x14ac:dyDescent="0.25">
      <c r="D389" s="36"/>
      <c r="E389" s="33"/>
      <c r="BN389" s="38"/>
      <c r="BQ389" s="38"/>
    </row>
    <row r="390" spans="4:69" ht="14.5" x14ac:dyDescent="0.25">
      <c r="D390" s="36"/>
      <c r="E390" s="33"/>
      <c r="BN390" s="38"/>
      <c r="BQ390" s="38"/>
    </row>
    <row r="391" spans="4:69" ht="14.5" x14ac:dyDescent="0.25">
      <c r="D391" s="36"/>
      <c r="E391" s="33"/>
      <c r="BN391" s="38"/>
      <c r="BQ391" s="38"/>
    </row>
    <row r="392" spans="4:69" ht="14.5" x14ac:dyDescent="0.25">
      <c r="D392" s="36"/>
      <c r="E392" s="33"/>
      <c r="BN392" s="38"/>
      <c r="BQ392" s="38"/>
    </row>
    <row r="393" spans="4:69" ht="14.5" x14ac:dyDescent="0.25">
      <c r="D393" s="36"/>
      <c r="E393" s="33"/>
      <c r="BN393" s="38"/>
      <c r="BQ393" s="38"/>
    </row>
    <row r="394" spans="4:69" ht="14.5" x14ac:dyDescent="0.25">
      <c r="D394" s="36"/>
      <c r="E394" s="33"/>
      <c r="BN394" s="38"/>
      <c r="BQ394" s="38"/>
    </row>
    <row r="395" spans="4:69" ht="14.5" x14ac:dyDescent="0.25">
      <c r="D395" s="36"/>
      <c r="E395" s="33"/>
      <c r="BN395" s="38"/>
      <c r="BQ395" s="38"/>
    </row>
    <row r="396" spans="4:69" ht="14.5" x14ac:dyDescent="0.25">
      <c r="D396" s="36"/>
      <c r="E396" s="33"/>
      <c r="BN396" s="38"/>
      <c r="BQ396" s="38"/>
    </row>
    <row r="397" spans="4:69" ht="14.5" x14ac:dyDescent="0.25">
      <c r="D397" s="36"/>
      <c r="E397" s="33"/>
      <c r="BN397" s="38"/>
      <c r="BQ397" s="38"/>
    </row>
    <row r="398" spans="4:69" ht="14.5" x14ac:dyDescent="0.25">
      <c r="D398" s="36"/>
      <c r="E398" s="33"/>
      <c r="BN398" s="38"/>
      <c r="BQ398" s="38"/>
    </row>
    <row r="399" spans="4:69" ht="14.5" x14ac:dyDescent="0.25">
      <c r="D399" s="36"/>
      <c r="E399" s="33"/>
      <c r="BN399" s="38"/>
      <c r="BQ399" s="38"/>
    </row>
    <row r="400" spans="4:69" ht="14.5" x14ac:dyDescent="0.25">
      <c r="D400" s="36"/>
      <c r="E400" s="33"/>
      <c r="BN400" s="38"/>
      <c r="BQ400" s="38"/>
    </row>
    <row r="401" spans="4:69" ht="14.5" x14ac:dyDescent="0.25">
      <c r="D401" s="36"/>
      <c r="E401" s="33"/>
      <c r="BN401" s="38"/>
      <c r="BQ401" s="38"/>
    </row>
    <row r="402" spans="4:69" ht="14.5" x14ac:dyDescent="0.25">
      <c r="D402" s="36"/>
      <c r="E402" s="33"/>
      <c r="BN402" s="38"/>
      <c r="BQ402" s="38"/>
    </row>
    <row r="403" spans="4:69" ht="14.5" x14ac:dyDescent="0.25">
      <c r="D403" s="36"/>
      <c r="E403" s="33"/>
      <c r="BN403" s="38"/>
      <c r="BQ403" s="38"/>
    </row>
    <row r="404" spans="4:69" ht="14.5" x14ac:dyDescent="0.25">
      <c r="D404" s="36"/>
      <c r="E404" s="33"/>
      <c r="BN404" s="38"/>
      <c r="BQ404" s="38"/>
    </row>
    <row r="405" spans="4:69" ht="14.5" x14ac:dyDescent="0.25">
      <c r="D405" s="36"/>
      <c r="E405" s="33"/>
      <c r="BN405" s="38"/>
      <c r="BQ405" s="38"/>
    </row>
    <row r="406" spans="4:69" ht="14.5" x14ac:dyDescent="0.25">
      <c r="D406" s="36"/>
      <c r="E406" s="33"/>
    </row>
    <row r="407" spans="4:69" ht="14.5" x14ac:dyDescent="0.25">
      <c r="D407" s="36"/>
      <c r="E407" s="33"/>
    </row>
    <row r="408" spans="4:69" ht="14.5" x14ac:dyDescent="0.25">
      <c r="D408" s="36"/>
      <c r="E408" s="33"/>
    </row>
    <row r="409" spans="4:69" ht="14.5" x14ac:dyDescent="0.25">
      <c r="D409" s="36"/>
      <c r="E409" s="33"/>
    </row>
    <row r="410" spans="4:69" ht="14.5" x14ac:dyDescent="0.25">
      <c r="D410" s="36"/>
      <c r="E410" s="33"/>
    </row>
    <row r="411" spans="4:69" ht="14.5" x14ac:dyDescent="0.25">
      <c r="D411" s="36"/>
      <c r="E411" s="33"/>
    </row>
    <row r="412" spans="4:69" ht="14.5" x14ac:dyDescent="0.25">
      <c r="D412" s="36"/>
      <c r="E412" s="33"/>
    </row>
    <row r="413" spans="4:69" ht="14.5" x14ac:dyDescent="0.25">
      <c r="D413" s="36"/>
      <c r="E413" s="33"/>
    </row>
    <row r="414" spans="4:69" ht="14.5" x14ac:dyDescent="0.25">
      <c r="D414" s="36"/>
      <c r="E414" s="33"/>
    </row>
    <row r="415" spans="4:69" ht="14.5" x14ac:dyDescent="0.25">
      <c r="D415" s="36"/>
      <c r="E415" s="33"/>
    </row>
    <row r="416" spans="4:69" ht="14.5" x14ac:dyDescent="0.25">
      <c r="D416" s="36"/>
      <c r="E416" s="33"/>
    </row>
    <row r="417" spans="4:5" ht="14.5" x14ac:dyDescent="0.25">
      <c r="D417" s="36"/>
      <c r="E417" s="33"/>
    </row>
    <row r="418" spans="4:5" ht="14.5" x14ac:dyDescent="0.25">
      <c r="D418" s="36"/>
      <c r="E418" s="33"/>
    </row>
    <row r="419" spans="4:5" ht="14.5" x14ac:dyDescent="0.25">
      <c r="D419" s="36"/>
      <c r="E419" s="33"/>
    </row>
    <row r="420" spans="4:5" ht="14.5" x14ac:dyDescent="0.25">
      <c r="D420" s="36"/>
      <c r="E420" s="33"/>
    </row>
    <row r="421" spans="4:5" ht="14.5" x14ac:dyDescent="0.25">
      <c r="D421" s="36"/>
      <c r="E421" s="33"/>
    </row>
    <row r="422" spans="4:5" ht="14.5" x14ac:dyDescent="0.25">
      <c r="D422" s="36"/>
      <c r="E422" s="33"/>
    </row>
    <row r="423" spans="4:5" ht="14.5" x14ac:dyDescent="0.25">
      <c r="D423" s="36"/>
      <c r="E423" s="33"/>
    </row>
    <row r="424" spans="4:5" ht="14.5" x14ac:dyDescent="0.25">
      <c r="D424" s="36"/>
      <c r="E424" s="33"/>
    </row>
    <row r="425" spans="4:5" ht="14.5" x14ac:dyDescent="0.25">
      <c r="D425" s="36"/>
      <c r="E425" s="33"/>
    </row>
    <row r="426" spans="4:5" ht="14.5" x14ac:dyDescent="0.25">
      <c r="D426" s="36"/>
      <c r="E426" s="33"/>
    </row>
    <row r="427" spans="4:5" ht="14.5" x14ac:dyDescent="0.25">
      <c r="D427" s="36"/>
      <c r="E427" s="33"/>
    </row>
    <row r="428" spans="4:5" ht="14.5" x14ac:dyDescent="0.25">
      <c r="D428" s="36"/>
      <c r="E428" s="33"/>
    </row>
    <row r="429" spans="4:5" ht="14.5" x14ac:dyDescent="0.25">
      <c r="D429" s="36"/>
      <c r="E429" s="33"/>
    </row>
    <row r="430" spans="4:5" ht="14.5" x14ac:dyDescent="0.25">
      <c r="D430" s="36"/>
      <c r="E430" s="33"/>
    </row>
    <row r="431" spans="4:5" ht="14.5" x14ac:dyDescent="0.25">
      <c r="D431" s="36"/>
      <c r="E431" s="33"/>
    </row>
    <row r="432" spans="4:5" ht="14.5" x14ac:dyDescent="0.25">
      <c r="D432" s="36"/>
      <c r="E432" s="33"/>
    </row>
    <row r="433" spans="4:5" ht="14.5" x14ac:dyDescent="0.25">
      <c r="D433" s="36"/>
      <c r="E433" s="33"/>
    </row>
    <row r="434" spans="4:5" ht="14.5" x14ac:dyDescent="0.25">
      <c r="D434" s="36"/>
      <c r="E434" s="33"/>
    </row>
    <row r="435" spans="4:5" ht="14.5" x14ac:dyDescent="0.25">
      <c r="D435" s="36"/>
      <c r="E435" s="33"/>
    </row>
    <row r="436" spans="4:5" ht="14.5" x14ac:dyDescent="0.25">
      <c r="D436" s="36"/>
      <c r="E436" s="33"/>
    </row>
    <row r="437" spans="4:5" ht="14.5" x14ac:dyDescent="0.25">
      <c r="D437" s="36"/>
      <c r="E437" s="33"/>
    </row>
    <row r="438" spans="4:5" ht="14.5" x14ac:dyDescent="0.25">
      <c r="D438" s="36"/>
      <c r="E438" s="33"/>
    </row>
    <row r="439" spans="4:5" ht="14.5" x14ac:dyDescent="0.25">
      <c r="D439" s="36"/>
      <c r="E439" s="33"/>
    </row>
    <row r="440" spans="4:5" ht="14.5" x14ac:dyDescent="0.25">
      <c r="D440" s="36"/>
      <c r="E440" s="33"/>
    </row>
    <row r="441" spans="4:5" ht="14.5" x14ac:dyDescent="0.25">
      <c r="D441" s="36"/>
      <c r="E441" s="33"/>
    </row>
    <row r="442" spans="4:5" ht="14.5" x14ac:dyDescent="0.25">
      <c r="D442" s="36"/>
      <c r="E442" s="33"/>
    </row>
    <row r="443" spans="4:5" ht="14.5" x14ac:dyDescent="0.25">
      <c r="D443" s="36"/>
      <c r="E443" s="33"/>
    </row>
    <row r="444" spans="4:5" ht="14.5" x14ac:dyDescent="0.25">
      <c r="D444" s="36"/>
      <c r="E444" s="33"/>
    </row>
    <row r="445" spans="4:5" ht="14.5" x14ac:dyDescent="0.25">
      <c r="D445" s="36"/>
      <c r="E445" s="33"/>
    </row>
    <row r="446" spans="4:5" ht="14.5" x14ac:dyDescent="0.25">
      <c r="D446" s="36"/>
      <c r="E446" s="33"/>
    </row>
    <row r="447" spans="4:5" ht="14.5" x14ac:dyDescent="0.25">
      <c r="D447" s="36"/>
      <c r="E447" s="33"/>
    </row>
    <row r="448" spans="4:5" ht="14.5" x14ac:dyDescent="0.25">
      <c r="D448" s="36"/>
      <c r="E448" s="33"/>
    </row>
    <row r="449" spans="4:5" ht="14.5" x14ac:dyDescent="0.25">
      <c r="D449" s="36"/>
      <c r="E449" s="33"/>
    </row>
    <row r="450" spans="4:5" ht="14.5" x14ac:dyDescent="0.25">
      <c r="D450" s="36"/>
      <c r="E450" s="33"/>
    </row>
    <row r="451" spans="4:5" ht="14.5" x14ac:dyDescent="0.25">
      <c r="D451" s="36"/>
      <c r="E451" s="33"/>
    </row>
    <row r="452" spans="4:5" ht="14.5" x14ac:dyDescent="0.25">
      <c r="D452" s="36"/>
      <c r="E452" s="33"/>
    </row>
    <row r="453" spans="4:5" ht="14.5" x14ac:dyDescent="0.25">
      <c r="D453" s="36"/>
      <c r="E453" s="33"/>
    </row>
    <row r="454" spans="4:5" ht="14.5" x14ac:dyDescent="0.25">
      <c r="D454" s="36"/>
      <c r="E454" s="33"/>
    </row>
    <row r="455" spans="4:5" ht="14.5" x14ac:dyDescent="0.25">
      <c r="D455" s="36"/>
      <c r="E455" s="33"/>
    </row>
    <row r="456" spans="4:5" ht="14.5" x14ac:dyDescent="0.25">
      <c r="D456" s="36"/>
      <c r="E456" s="33"/>
    </row>
    <row r="457" spans="4:5" ht="14.5" x14ac:dyDescent="0.25">
      <c r="D457" s="36"/>
      <c r="E457" s="33"/>
    </row>
    <row r="458" spans="4:5" ht="14.5" x14ac:dyDescent="0.25">
      <c r="D458" s="36"/>
      <c r="E458" s="33"/>
    </row>
    <row r="459" spans="4:5" ht="14.5" x14ac:dyDescent="0.25">
      <c r="D459" s="36"/>
      <c r="E459" s="33"/>
    </row>
    <row r="460" spans="4:5" ht="14.5" x14ac:dyDescent="0.25">
      <c r="D460" s="36"/>
      <c r="E460" s="33"/>
    </row>
    <row r="461" spans="4:5" ht="14.5" x14ac:dyDescent="0.25">
      <c r="D461" s="36"/>
      <c r="E461" s="33"/>
    </row>
    <row r="462" spans="4:5" ht="14.5" x14ac:dyDescent="0.25">
      <c r="D462" s="36"/>
      <c r="E462" s="33"/>
    </row>
    <row r="463" spans="4:5" ht="14.5" x14ac:dyDescent="0.25">
      <c r="D463" s="36"/>
      <c r="E463" s="33"/>
    </row>
    <row r="464" spans="4:5" ht="14.5" x14ac:dyDescent="0.25">
      <c r="D464" s="36"/>
      <c r="E464" s="33"/>
    </row>
    <row r="465" spans="4:5" ht="14.5" x14ac:dyDescent="0.25">
      <c r="D465" s="36"/>
      <c r="E465" s="33"/>
    </row>
    <row r="466" spans="4:5" ht="14.5" x14ac:dyDescent="0.25">
      <c r="D466" s="36"/>
      <c r="E466" s="33"/>
    </row>
    <row r="467" spans="4:5" ht="14.5" x14ac:dyDescent="0.25">
      <c r="D467" s="36"/>
      <c r="E467" s="33"/>
    </row>
    <row r="468" spans="4:5" ht="14.5" x14ac:dyDescent="0.25">
      <c r="D468" s="36"/>
      <c r="E468" s="33"/>
    </row>
    <row r="469" spans="4:5" ht="14.5" x14ac:dyDescent="0.25">
      <c r="D469" s="36"/>
      <c r="E469" s="33"/>
    </row>
    <row r="470" spans="4:5" ht="14.5" x14ac:dyDescent="0.25">
      <c r="D470" s="36"/>
      <c r="E470" s="33"/>
    </row>
    <row r="471" spans="4:5" ht="14.5" x14ac:dyDescent="0.25">
      <c r="D471" s="36"/>
      <c r="E471" s="33"/>
    </row>
    <row r="472" spans="4:5" ht="14.5" x14ac:dyDescent="0.25">
      <c r="D472" s="36"/>
      <c r="E472" s="33"/>
    </row>
    <row r="473" spans="4:5" ht="14.5" x14ac:dyDescent="0.25">
      <c r="D473" s="36"/>
      <c r="E473" s="33"/>
    </row>
    <row r="474" spans="4:5" ht="14.5" x14ac:dyDescent="0.25">
      <c r="D474" s="36"/>
      <c r="E474" s="33"/>
    </row>
    <row r="475" spans="4:5" ht="14.5" x14ac:dyDescent="0.25">
      <c r="D475" s="36"/>
      <c r="E475" s="33"/>
    </row>
    <row r="476" spans="4:5" ht="14.5" x14ac:dyDescent="0.25">
      <c r="D476" s="36"/>
      <c r="E476" s="33"/>
    </row>
    <row r="477" spans="4:5" ht="14.5" x14ac:dyDescent="0.25">
      <c r="D477" s="36"/>
      <c r="E477" s="33"/>
    </row>
    <row r="478" spans="4:5" ht="14.5" x14ac:dyDescent="0.25">
      <c r="D478" s="36"/>
      <c r="E478" s="33"/>
    </row>
    <row r="479" spans="4:5" ht="14.5" x14ac:dyDescent="0.25">
      <c r="D479" s="36"/>
      <c r="E479" s="33"/>
    </row>
    <row r="480" spans="4:5" ht="14.5" x14ac:dyDescent="0.25">
      <c r="D480" s="36"/>
      <c r="E480" s="33"/>
    </row>
    <row r="481" spans="4:5" ht="14.5" x14ac:dyDescent="0.25">
      <c r="D481" s="36"/>
      <c r="E481" s="33"/>
    </row>
    <row r="482" spans="4:5" ht="14.5" x14ac:dyDescent="0.25">
      <c r="D482" s="36"/>
      <c r="E482" s="33"/>
    </row>
    <row r="483" spans="4:5" ht="14.5" x14ac:dyDescent="0.25">
      <c r="D483" s="36"/>
      <c r="E483" s="33"/>
    </row>
    <row r="484" spans="4:5" ht="14.5" x14ac:dyDescent="0.25">
      <c r="D484" s="36"/>
      <c r="E484" s="33"/>
    </row>
    <row r="485" spans="4:5" ht="14.5" x14ac:dyDescent="0.25">
      <c r="D485" s="36"/>
      <c r="E485" s="33"/>
    </row>
    <row r="553" spans="4:5" ht="14.5" x14ac:dyDescent="0.25">
      <c r="D553" s="36"/>
      <c r="E553" s="33"/>
    </row>
    <row r="554" spans="4:5" ht="14.5" x14ac:dyDescent="0.25">
      <c r="D554" s="36"/>
      <c r="E554" s="33"/>
    </row>
    <row r="555" spans="4:5" ht="14.5" x14ac:dyDescent="0.25">
      <c r="D555" s="36"/>
      <c r="E555" s="33"/>
    </row>
    <row r="556" spans="4:5" ht="14.5" x14ac:dyDescent="0.25">
      <c r="D556" s="36"/>
      <c r="E556" s="33"/>
    </row>
    <row r="557" spans="4:5" ht="14.5" x14ac:dyDescent="0.25">
      <c r="D557" s="36"/>
      <c r="E557" s="33"/>
    </row>
    <row r="558" spans="4:5" ht="14.5" x14ac:dyDescent="0.25">
      <c r="D558" s="36"/>
      <c r="E558" s="33"/>
    </row>
    <row r="559" spans="4:5" ht="14.5" x14ac:dyDescent="0.25">
      <c r="D559" s="36"/>
      <c r="E559" s="33"/>
    </row>
    <row r="560" spans="4:5" ht="14.5" x14ac:dyDescent="0.25">
      <c r="D560" s="36"/>
      <c r="E560" s="33"/>
    </row>
    <row r="561" spans="4:5" ht="14.5" x14ac:dyDescent="0.25">
      <c r="D561" s="36"/>
      <c r="E561" s="33"/>
    </row>
    <row r="562" spans="4:5" ht="14.5" x14ac:dyDescent="0.25">
      <c r="D562" s="36"/>
      <c r="E562" s="33"/>
    </row>
    <row r="563" spans="4:5" ht="14.5" x14ac:dyDescent="0.25">
      <c r="D563" s="36"/>
      <c r="E563" s="33"/>
    </row>
    <row r="564" spans="4:5" ht="14.5" x14ac:dyDescent="0.25">
      <c r="D564" s="36"/>
      <c r="E564" s="33"/>
    </row>
    <row r="565" spans="4:5" ht="14.5" x14ac:dyDescent="0.25">
      <c r="D565" s="36"/>
      <c r="E565" s="33"/>
    </row>
    <row r="566" spans="4:5" ht="14.5" x14ac:dyDescent="0.25">
      <c r="D566" s="36"/>
      <c r="E566" s="33"/>
    </row>
    <row r="567" spans="4:5" ht="14.5" x14ac:dyDescent="0.25">
      <c r="D567" s="36"/>
      <c r="E567" s="33"/>
    </row>
    <row r="568" spans="4:5" ht="14.5" x14ac:dyDescent="0.25">
      <c r="D568" s="36"/>
      <c r="E568" s="33"/>
    </row>
    <row r="569" spans="4:5" ht="14.5" x14ac:dyDescent="0.25">
      <c r="D569" s="36"/>
      <c r="E569" s="33"/>
    </row>
    <row r="570" spans="4:5" ht="14.5" x14ac:dyDescent="0.25">
      <c r="D570" s="36"/>
      <c r="E570" s="33"/>
    </row>
    <row r="571" spans="4:5" ht="14.5" x14ac:dyDescent="0.25">
      <c r="D571" s="36"/>
      <c r="E571" s="33"/>
    </row>
    <row r="572" spans="4:5" ht="14.5" x14ac:dyDescent="0.25">
      <c r="D572" s="36"/>
      <c r="E572" s="33"/>
    </row>
    <row r="573" spans="4:5" ht="14.5" x14ac:dyDescent="0.25">
      <c r="D573" s="36"/>
      <c r="E573" s="33"/>
    </row>
    <row r="574" spans="4:5" ht="14.5" x14ac:dyDescent="0.25">
      <c r="D574" s="36"/>
      <c r="E574" s="33"/>
    </row>
    <row r="575" spans="4:5" ht="14.5" x14ac:dyDescent="0.25">
      <c r="D575" s="36"/>
      <c r="E575" s="33"/>
    </row>
    <row r="576" spans="4:5" ht="14.5" x14ac:dyDescent="0.25">
      <c r="D576" s="36"/>
      <c r="E576" s="33"/>
    </row>
    <row r="577" spans="4:5" ht="14.5" x14ac:dyDescent="0.25">
      <c r="D577" s="36"/>
      <c r="E577" s="33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I805"/>
  <sheetViews>
    <sheetView workbookViewId="0">
      <pane xSplit="1" ySplit="3" topLeftCell="AK298" activePane="bottomRight" state="frozen"/>
      <selection pane="topRight"/>
      <selection pane="bottomLeft"/>
      <selection pane="bottomRight" activeCell="AT316" sqref="AT31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8" customWidth="1"/>
    <col min="14" max="14" width="11.75" style="8" customWidth="1"/>
    <col min="15" max="15" width="13.08203125" style="8" customWidth="1"/>
    <col min="16" max="16" width="11.58203125" style="8" customWidth="1"/>
    <col min="17" max="17" width="21.5" style="8" customWidth="1"/>
    <col min="18" max="18" width="19.83203125" style="8" customWidth="1"/>
    <col min="19" max="19" width="16.58203125" style="8" customWidth="1"/>
    <col min="20" max="20" width="19.08203125" style="8" customWidth="1"/>
    <col min="21" max="21" width="18.33203125" style="8" customWidth="1"/>
    <col min="22" max="22" width="17.75" style="8" customWidth="1"/>
    <col min="23" max="23" width="8.33203125" style="8" customWidth="1"/>
    <col min="24" max="24" width="18.5" style="8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9" customWidth="1"/>
    <col min="75" max="76" width="8.5" style="9" customWidth="1"/>
    <col min="77" max="78" width="7.83203125" style="9" customWidth="1"/>
    <col min="79" max="79" width="22.1640625" style="9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296</v>
      </c>
      <c r="D1" t="s">
        <v>297</v>
      </c>
      <c r="E1" t="s">
        <v>298</v>
      </c>
      <c r="F1" t="s">
        <v>299</v>
      </c>
      <c r="G1" t="s">
        <v>300</v>
      </c>
      <c r="H1" t="s">
        <v>301</v>
      </c>
      <c r="I1" t="s">
        <v>302</v>
      </c>
      <c r="J1" t="s">
        <v>303</v>
      </c>
      <c r="K1" s="8" t="s">
        <v>304</v>
      </c>
      <c r="L1" s="8" t="s">
        <v>305</v>
      </c>
      <c r="M1" s="8" t="s">
        <v>306</v>
      </c>
      <c r="N1" s="8" t="s">
        <v>307</v>
      </c>
      <c r="O1" s="8" t="s">
        <v>308</v>
      </c>
      <c r="P1" s="8" t="s">
        <v>309</v>
      </c>
      <c r="Q1" s="8" t="s">
        <v>310</v>
      </c>
      <c r="R1" s="8" t="s">
        <v>311</v>
      </c>
      <c r="S1" s="8" t="s">
        <v>312</v>
      </c>
      <c r="T1" s="8" t="s">
        <v>313</v>
      </c>
      <c r="U1" s="8" t="s">
        <v>313</v>
      </c>
      <c r="V1" s="8" t="s">
        <v>314</v>
      </c>
      <c r="W1" s="8" t="s">
        <v>315</v>
      </c>
      <c r="X1" s="8" t="s">
        <v>316</v>
      </c>
      <c r="Y1" t="s">
        <v>317</v>
      </c>
      <c r="Z1" t="s">
        <v>318</v>
      </c>
      <c r="AA1" s="8" t="s">
        <v>319</v>
      </c>
      <c r="AB1" t="s">
        <v>320</v>
      </c>
      <c r="AC1" t="s">
        <v>321</v>
      </c>
      <c r="AD1" t="s">
        <v>322</v>
      </c>
      <c r="AE1" t="s">
        <v>323</v>
      </c>
      <c r="AF1" t="s">
        <v>324</v>
      </c>
      <c r="AG1" t="s">
        <v>325</v>
      </c>
      <c r="AH1" t="s">
        <v>326</v>
      </c>
      <c r="AI1" t="s">
        <v>327</v>
      </c>
      <c r="AJ1" t="s">
        <v>328</v>
      </c>
      <c r="AK1" t="s">
        <v>329</v>
      </c>
      <c r="AL1" t="s">
        <v>330</v>
      </c>
      <c r="AM1" t="s">
        <v>331</v>
      </c>
      <c r="AN1" t="s">
        <v>332</v>
      </c>
      <c r="AO1" t="s">
        <v>333</v>
      </c>
      <c r="AP1" t="s">
        <v>334</v>
      </c>
      <c r="AQ1" t="s">
        <v>335</v>
      </c>
      <c r="AR1" t="s">
        <v>336</v>
      </c>
      <c r="AS1" t="s">
        <v>337</v>
      </c>
      <c r="AT1" t="s">
        <v>338</v>
      </c>
      <c r="AU1" t="s">
        <v>339</v>
      </c>
      <c r="AV1" t="s">
        <v>340</v>
      </c>
      <c r="AW1" t="s">
        <v>341</v>
      </c>
      <c r="AX1" t="s">
        <v>342</v>
      </c>
      <c r="AY1" t="s">
        <v>343</v>
      </c>
      <c r="AZ1" t="s">
        <v>344</v>
      </c>
      <c r="BA1" t="s">
        <v>345</v>
      </c>
      <c r="BB1" t="s">
        <v>346</v>
      </c>
      <c r="BC1" t="s">
        <v>347</v>
      </c>
      <c r="BD1" t="s">
        <v>348</v>
      </c>
      <c r="BE1" t="s">
        <v>349</v>
      </c>
      <c r="BF1" t="s">
        <v>350</v>
      </c>
      <c r="BG1" t="s">
        <v>351</v>
      </c>
      <c r="BH1" t="s">
        <v>352</v>
      </c>
      <c r="BJ1" t="s">
        <v>352</v>
      </c>
      <c r="BK1" t="s">
        <v>353</v>
      </c>
      <c r="BL1" t="s">
        <v>354</v>
      </c>
      <c r="BM1" t="s">
        <v>355</v>
      </c>
      <c r="BN1" t="s">
        <v>356</v>
      </c>
      <c r="BO1" t="s">
        <v>357</v>
      </c>
      <c r="BP1" t="s">
        <v>358</v>
      </c>
      <c r="BQ1" t="s">
        <v>359</v>
      </c>
      <c r="BR1" t="s">
        <v>360</v>
      </c>
      <c r="BS1" t="s">
        <v>361</v>
      </c>
      <c r="BT1" t="s">
        <v>362</v>
      </c>
      <c r="BU1" t="s">
        <v>363</v>
      </c>
      <c r="BV1" s="9" t="s">
        <v>364</v>
      </c>
      <c r="BW1" s="9" t="s">
        <v>365</v>
      </c>
      <c r="BX1" s="9" t="s">
        <v>366</v>
      </c>
      <c r="BY1" s="9" t="s">
        <v>367</v>
      </c>
      <c r="BZ1" s="9" t="s">
        <v>368</v>
      </c>
      <c r="CA1" s="9" t="s">
        <v>369</v>
      </c>
      <c r="CB1" t="s">
        <v>370</v>
      </c>
      <c r="CC1" s="9" t="s">
        <v>371</v>
      </c>
      <c r="CD1" t="s">
        <v>372</v>
      </c>
      <c r="CE1" t="s">
        <v>373</v>
      </c>
      <c r="CF1" t="s">
        <v>374</v>
      </c>
      <c r="CG1" t="s">
        <v>375</v>
      </c>
      <c r="CH1" t="s">
        <v>376</v>
      </c>
      <c r="CI1" t="s">
        <v>377</v>
      </c>
      <c r="CJ1" t="s">
        <v>378</v>
      </c>
      <c r="CK1" t="s">
        <v>379</v>
      </c>
      <c r="CL1" t="s">
        <v>380</v>
      </c>
      <c r="CM1" t="s">
        <v>381</v>
      </c>
      <c r="CN1" t="s">
        <v>382</v>
      </c>
      <c r="CO1" t="s">
        <v>383</v>
      </c>
      <c r="CP1" t="s">
        <v>384</v>
      </c>
      <c r="CQ1" t="s">
        <v>385</v>
      </c>
      <c r="CR1" t="s">
        <v>362</v>
      </c>
      <c r="CS1" t="s">
        <v>386</v>
      </c>
      <c r="CT1" t="s">
        <v>387</v>
      </c>
      <c r="CU1" t="s">
        <v>388</v>
      </c>
      <c r="CV1" t="s">
        <v>389</v>
      </c>
      <c r="CW1" t="s">
        <v>390</v>
      </c>
      <c r="CX1" t="s">
        <v>391</v>
      </c>
      <c r="CY1" t="s">
        <v>392</v>
      </c>
      <c r="CZ1" t="s">
        <v>391</v>
      </c>
      <c r="DA1" t="s">
        <v>393</v>
      </c>
      <c r="DB1" t="s">
        <v>394</v>
      </c>
      <c r="DC1" t="s">
        <v>395</v>
      </c>
      <c r="DD1" t="s">
        <v>396</v>
      </c>
      <c r="DE1" t="s">
        <v>397</v>
      </c>
      <c r="DF1" t="s">
        <v>398</v>
      </c>
      <c r="DG1" t="s">
        <v>399</v>
      </c>
      <c r="DH1" t="s">
        <v>400</v>
      </c>
      <c r="DI1" t="s">
        <v>401</v>
      </c>
    </row>
    <row r="2" spans="1:113" x14ac:dyDescent="0.25">
      <c r="A2" t="s">
        <v>0</v>
      </c>
      <c r="C2" t="s">
        <v>60</v>
      </c>
      <c r="D2" t="s">
        <v>89</v>
      </c>
      <c r="E2" t="s">
        <v>402</v>
      </c>
      <c r="F2" t="s">
        <v>403</v>
      </c>
      <c r="G2" t="s">
        <v>65</v>
      </c>
      <c r="H2" t="s">
        <v>404</v>
      </c>
      <c r="I2" t="s">
        <v>405</v>
      </c>
      <c r="J2" t="s">
        <v>406</v>
      </c>
      <c r="K2" s="8" t="s">
        <v>407</v>
      </c>
      <c r="L2" s="8" t="s">
        <v>408</v>
      </c>
      <c r="M2" s="8" t="s">
        <v>409</v>
      </c>
      <c r="N2" s="8" t="s">
        <v>410</v>
      </c>
      <c r="O2" s="8" t="s">
        <v>411</v>
      </c>
      <c r="P2" s="8" t="s">
        <v>412</v>
      </c>
      <c r="Q2" s="8" t="s">
        <v>413</v>
      </c>
      <c r="R2" s="8" t="s">
        <v>414</v>
      </c>
      <c r="S2" s="8" t="s">
        <v>415</v>
      </c>
      <c r="T2" s="8" t="s">
        <v>416</v>
      </c>
      <c r="U2" s="8" t="s">
        <v>417</v>
      </c>
      <c r="V2" s="8" t="s">
        <v>418</v>
      </c>
      <c r="W2" s="8" t="s">
        <v>419</v>
      </c>
      <c r="X2" s="8" t="s">
        <v>420</v>
      </c>
      <c r="Y2" t="s">
        <v>421</v>
      </c>
      <c r="Z2" t="s">
        <v>422</v>
      </c>
      <c r="AA2" s="8" t="s">
        <v>423</v>
      </c>
      <c r="AB2" t="s">
        <v>424</v>
      </c>
      <c r="AC2" t="s">
        <v>425</v>
      </c>
      <c r="AD2" t="s">
        <v>426</v>
      </c>
      <c r="AE2" t="s">
        <v>427</v>
      </c>
      <c r="AF2" t="s">
        <v>428</v>
      </c>
      <c r="AG2" t="s">
        <v>429</v>
      </c>
      <c r="AH2" t="s">
        <v>430</v>
      </c>
      <c r="AI2" t="s">
        <v>431</v>
      </c>
      <c r="AJ2" t="s">
        <v>432</v>
      </c>
      <c r="AK2" t="s">
        <v>433</v>
      </c>
      <c r="AL2" t="s">
        <v>434</v>
      </c>
      <c r="AM2" t="s">
        <v>435</v>
      </c>
      <c r="AN2" t="s">
        <v>436</v>
      </c>
      <c r="AO2" t="s">
        <v>437</v>
      </c>
      <c r="AP2" t="s">
        <v>438</v>
      </c>
      <c r="AQ2" t="s">
        <v>439</v>
      </c>
      <c r="AR2" t="s">
        <v>440</v>
      </c>
      <c r="AS2" t="s">
        <v>441</v>
      </c>
      <c r="AT2" t="s">
        <v>442</v>
      </c>
      <c r="AU2" t="s">
        <v>443</v>
      </c>
      <c r="AV2" t="s">
        <v>444</v>
      </c>
      <c r="AW2" t="s">
        <v>445</v>
      </c>
      <c r="AX2" t="s">
        <v>446</v>
      </c>
      <c r="AY2" t="s">
        <v>447</v>
      </c>
      <c r="AZ2" t="s">
        <v>448</v>
      </c>
      <c r="BA2" t="s">
        <v>449</v>
      </c>
      <c r="BB2" t="s">
        <v>450</v>
      </c>
      <c r="BC2" t="s">
        <v>451</v>
      </c>
      <c r="BD2" t="s">
        <v>452</v>
      </c>
      <c r="BE2" t="s">
        <v>453</v>
      </c>
      <c r="BF2" t="s">
        <v>454</v>
      </c>
      <c r="BG2" t="s">
        <v>455</v>
      </c>
      <c r="BH2" t="s">
        <v>456</v>
      </c>
      <c r="BI2" t="s">
        <v>457</v>
      </c>
      <c r="BJ2" t="s">
        <v>458</v>
      </c>
      <c r="BK2" t="s">
        <v>459</v>
      </c>
      <c r="BL2" t="s">
        <v>460</v>
      </c>
      <c r="BM2" t="s">
        <v>461</v>
      </c>
      <c r="BN2" t="s">
        <v>462</v>
      </c>
      <c r="BO2" t="s">
        <v>90</v>
      </c>
      <c r="BP2" t="s">
        <v>463</v>
      </c>
      <c r="BQ2" t="s">
        <v>464</v>
      </c>
      <c r="BR2" t="s">
        <v>465</v>
      </c>
      <c r="BS2" t="s">
        <v>466</v>
      </c>
      <c r="BT2" t="s">
        <v>467</v>
      </c>
      <c r="BU2" t="s">
        <v>104</v>
      </c>
      <c r="BV2" s="9" t="s">
        <v>468</v>
      </c>
      <c r="BW2" s="9" t="s">
        <v>469</v>
      </c>
      <c r="BX2" s="9" t="s">
        <v>470</v>
      </c>
      <c r="BY2" s="9" t="s">
        <v>471</v>
      </c>
      <c r="BZ2" s="9" t="s">
        <v>472</v>
      </c>
      <c r="CA2" s="9" t="s">
        <v>473</v>
      </c>
      <c r="CB2" t="s">
        <v>474</v>
      </c>
      <c r="CC2" t="s">
        <v>475</v>
      </c>
      <c r="CD2" t="s">
        <v>476</v>
      </c>
      <c r="CE2" t="s">
        <v>477</v>
      </c>
      <c r="CF2" t="s">
        <v>478</v>
      </c>
      <c r="CG2" t="s">
        <v>479</v>
      </c>
      <c r="CH2" t="s">
        <v>480</v>
      </c>
      <c r="CI2" t="s">
        <v>481</v>
      </c>
      <c r="CJ2" t="s">
        <v>482</v>
      </c>
      <c r="CK2" t="s">
        <v>483</v>
      </c>
      <c r="CL2" t="s">
        <v>484</v>
      </c>
      <c r="CM2" t="s">
        <v>485</v>
      </c>
      <c r="CN2" t="s">
        <v>486</v>
      </c>
      <c r="CO2" t="s">
        <v>487</v>
      </c>
      <c r="CP2" t="s">
        <v>488</v>
      </c>
      <c r="CQ2" t="s">
        <v>489</v>
      </c>
      <c r="CR2" t="s">
        <v>490</v>
      </c>
      <c r="CS2" t="s">
        <v>491</v>
      </c>
      <c r="CT2" t="s">
        <v>492</v>
      </c>
      <c r="CU2" t="s">
        <v>493</v>
      </c>
      <c r="CV2" t="s">
        <v>494</v>
      </c>
      <c r="CW2" t="s">
        <v>495</v>
      </c>
      <c r="CX2" t="s">
        <v>496</v>
      </c>
      <c r="CY2" t="s">
        <v>497</v>
      </c>
      <c r="CZ2" t="s">
        <v>498</v>
      </c>
      <c r="DA2" t="s">
        <v>499</v>
      </c>
      <c r="DB2" t="s">
        <v>500</v>
      </c>
      <c r="DC2" t="s">
        <v>501</v>
      </c>
      <c r="DD2" t="s">
        <v>502</v>
      </c>
      <c r="DE2" t="s">
        <v>503</v>
      </c>
      <c r="DF2" t="s">
        <v>504</v>
      </c>
      <c r="DG2" t="s">
        <v>505</v>
      </c>
      <c r="DH2" t="s">
        <v>506</v>
      </c>
      <c r="DI2" t="s">
        <v>507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125</v>
      </c>
      <c r="J3" t="s">
        <v>508</v>
      </c>
      <c r="K3" s="8" t="s">
        <v>509</v>
      </c>
      <c r="L3" s="8" t="s">
        <v>510</v>
      </c>
      <c r="M3" s="8" t="s">
        <v>127</v>
      </c>
      <c r="N3" s="8" t="s">
        <v>127</v>
      </c>
      <c r="O3" s="8" t="s">
        <v>129</v>
      </c>
      <c r="P3" s="8" t="s">
        <v>129</v>
      </c>
      <c r="Q3" s="8" t="s">
        <v>129</v>
      </c>
      <c r="R3" s="8" t="s">
        <v>129</v>
      </c>
      <c r="S3" s="8" t="s">
        <v>125</v>
      </c>
      <c r="T3" s="8" t="s">
        <v>126</v>
      </c>
      <c r="U3" s="8" t="s">
        <v>126</v>
      </c>
      <c r="V3" s="8" t="s">
        <v>126</v>
      </c>
      <c r="W3" s="8" t="s">
        <v>125</v>
      </c>
      <c r="X3" s="8" t="s">
        <v>125</v>
      </c>
      <c r="Y3" t="s">
        <v>125</v>
      </c>
      <c r="Z3" t="s">
        <v>125</v>
      </c>
      <c r="AA3" s="8" t="s">
        <v>126</v>
      </c>
      <c r="AB3" t="s">
        <v>125</v>
      </c>
      <c r="AC3" t="s">
        <v>127</v>
      </c>
      <c r="AD3" t="s">
        <v>125</v>
      </c>
      <c r="AE3" t="s">
        <v>125</v>
      </c>
      <c r="AF3" t="s">
        <v>125</v>
      </c>
      <c r="AG3" t="s">
        <v>511</v>
      </c>
      <c r="AH3" t="s">
        <v>125</v>
      </c>
      <c r="AI3" t="s">
        <v>131</v>
      </c>
      <c r="AJ3" t="s">
        <v>3</v>
      </c>
      <c r="AK3" t="s">
        <v>127</v>
      </c>
      <c r="AL3" t="s">
        <v>127</v>
      </c>
      <c r="AM3" t="s">
        <v>127</v>
      </c>
      <c r="AN3" t="s">
        <v>125</v>
      </c>
      <c r="AO3" t="s">
        <v>512</v>
      </c>
      <c r="AP3" t="s">
        <v>513</v>
      </c>
      <c r="AQ3" t="s">
        <v>2</v>
      </c>
      <c r="AR3" t="s">
        <v>2</v>
      </c>
      <c r="AS3" t="s">
        <v>2</v>
      </c>
      <c r="AT3" t="s">
        <v>514</v>
      </c>
      <c r="AU3" t="s">
        <v>125</v>
      </c>
      <c r="AV3" t="s">
        <v>126</v>
      </c>
      <c r="AW3" t="s">
        <v>125</v>
      </c>
      <c r="AX3" t="s">
        <v>515</v>
      </c>
      <c r="AY3" t="s">
        <v>125</v>
      </c>
      <c r="AZ3" t="s">
        <v>126</v>
      </c>
      <c r="BA3" t="s">
        <v>125</v>
      </c>
      <c r="BB3" t="s">
        <v>127</v>
      </c>
      <c r="BC3" t="s">
        <v>126</v>
      </c>
      <c r="BD3" t="s">
        <v>127</v>
      </c>
      <c r="BE3" t="s">
        <v>127</v>
      </c>
      <c r="BF3" t="s">
        <v>126</v>
      </c>
      <c r="BG3" t="s">
        <v>125</v>
      </c>
      <c r="BH3" t="s">
        <v>514</v>
      </c>
      <c r="BI3" t="s">
        <v>125</v>
      </c>
      <c r="BJ3" t="s">
        <v>126</v>
      </c>
      <c r="BK3" t="s">
        <v>126</v>
      </c>
      <c r="BL3" t="s">
        <v>126</v>
      </c>
      <c r="BM3" t="s">
        <v>127</v>
      </c>
      <c r="BN3" t="s">
        <v>127</v>
      </c>
      <c r="BO3" t="s">
        <v>128</v>
      </c>
      <c r="BP3" t="s">
        <v>128</v>
      </c>
      <c r="BQ3" t="s">
        <v>516</v>
      </c>
      <c r="BR3" t="s">
        <v>517</v>
      </c>
      <c r="BS3" t="s">
        <v>126</v>
      </c>
      <c r="BT3" t="s">
        <v>126</v>
      </c>
      <c r="BU3" t="s">
        <v>125</v>
      </c>
      <c r="BV3" s="9" t="s">
        <v>126</v>
      </c>
      <c r="BW3" s="9" t="s">
        <v>126</v>
      </c>
      <c r="BX3" s="9" t="s">
        <v>127</v>
      </c>
      <c r="BY3" s="9" t="s">
        <v>518</v>
      </c>
      <c r="BZ3" s="9" t="s">
        <v>125</v>
      </c>
      <c r="CA3" s="9" t="s">
        <v>518</v>
      </c>
      <c r="CB3" t="s">
        <v>133</v>
      </c>
      <c r="CC3" t="s">
        <v>519</v>
      </c>
      <c r="CD3" t="s">
        <v>133</v>
      </c>
      <c r="CE3" t="s">
        <v>133</v>
      </c>
      <c r="CF3" t="s">
        <v>133</v>
      </c>
      <c r="CG3" t="s">
        <v>520</v>
      </c>
      <c r="CH3" t="s">
        <v>521</v>
      </c>
      <c r="CI3" t="s">
        <v>2</v>
      </c>
      <c r="CJ3" t="s">
        <v>522</v>
      </c>
      <c r="CK3" t="s">
        <v>522</v>
      </c>
      <c r="CL3" t="s">
        <v>134</v>
      </c>
      <c r="CM3" t="s">
        <v>129</v>
      </c>
      <c r="CN3" t="s">
        <v>129</v>
      </c>
      <c r="CO3" t="s">
        <v>132</v>
      </c>
      <c r="CP3" t="s">
        <v>132</v>
      </c>
      <c r="CQ3" t="s">
        <v>132</v>
      </c>
      <c r="CR3" t="s">
        <v>519</v>
      </c>
      <c r="CS3" t="s">
        <v>132</v>
      </c>
      <c r="CT3" t="s">
        <v>125</v>
      </c>
      <c r="CU3" t="s">
        <v>134</v>
      </c>
      <c r="CV3" t="s">
        <v>523</v>
      </c>
      <c r="CW3" t="s">
        <v>524</v>
      </c>
      <c r="CX3" t="s">
        <v>524</v>
      </c>
      <c r="CY3" t="s">
        <v>523</v>
      </c>
      <c r="CZ3" t="s">
        <v>523</v>
      </c>
      <c r="DA3" t="s">
        <v>523</v>
      </c>
      <c r="DB3" t="s">
        <v>523</v>
      </c>
      <c r="DC3" t="s">
        <v>523</v>
      </c>
      <c r="DD3" t="s">
        <v>125</v>
      </c>
      <c r="DE3" t="s">
        <v>125</v>
      </c>
      <c r="DF3" t="s">
        <v>125</v>
      </c>
      <c r="DG3" t="s">
        <v>125</v>
      </c>
      <c r="DH3" t="s">
        <v>125</v>
      </c>
      <c r="DI3" t="s">
        <v>125</v>
      </c>
    </row>
    <row r="4" spans="1:113" s="7" customFormat="1" x14ac:dyDescent="0.25">
      <c r="A4" s="7" t="s">
        <v>525</v>
      </c>
    </row>
    <row r="5" spans="1:113" x14ac:dyDescent="0.25">
      <c r="A5" t="s">
        <v>526</v>
      </c>
      <c r="C5" t="s">
        <v>146</v>
      </c>
      <c r="M5"/>
      <c r="N5"/>
      <c r="P5"/>
      <c r="S5" s="8">
        <v>1</v>
      </c>
      <c r="Y5" s="8"/>
      <c r="Z5" s="8"/>
      <c r="AC5">
        <v>2</v>
      </c>
      <c r="AO5" t="s">
        <v>527</v>
      </c>
      <c r="AT5" t="s">
        <v>528</v>
      </c>
      <c r="AX5" t="s">
        <v>529</v>
      </c>
      <c r="AZ5">
        <v>1</v>
      </c>
      <c r="BD5">
        <v>1</v>
      </c>
      <c r="CB5" t="s">
        <v>69</v>
      </c>
      <c r="CG5" t="s">
        <v>530</v>
      </c>
      <c r="CY5" t="s">
        <v>531</v>
      </c>
    </row>
    <row r="6" spans="1:113" x14ac:dyDescent="0.25">
      <c r="A6" t="s">
        <v>532</v>
      </c>
      <c r="C6" t="s">
        <v>533</v>
      </c>
      <c r="I6">
        <v>1</v>
      </c>
      <c r="M6"/>
      <c r="N6"/>
      <c r="U6" s="8">
        <v>0.66666700000000001</v>
      </c>
      <c r="Y6" s="8"/>
      <c r="Z6" s="8"/>
      <c r="AC6">
        <v>1</v>
      </c>
      <c r="AG6" t="s">
        <v>534</v>
      </c>
      <c r="BD6">
        <v>1</v>
      </c>
      <c r="BO6" t="s">
        <v>535</v>
      </c>
      <c r="BS6">
        <v>0.1</v>
      </c>
      <c r="CN6" t="s">
        <v>536</v>
      </c>
      <c r="CR6">
        <v>0.2</v>
      </c>
    </row>
    <row r="7" spans="1:113" x14ac:dyDescent="0.25">
      <c r="A7" t="s">
        <v>537</v>
      </c>
      <c r="C7" t="s">
        <v>533</v>
      </c>
      <c r="I7">
        <v>1</v>
      </c>
      <c r="K7" s="8" t="s">
        <v>538</v>
      </c>
      <c r="L7" s="8" t="s">
        <v>539</v>
      </c>
      <c r="M7"/>
      <c r="N7"/>
      <c r="U7" s="8">
        <v>0.66666700000000001</v>
      </c>
      <c r="Y7" s="8"/>
      <c r="Z7" s="8"/>
      <c r="AC7">
        <v>1</v>
      </c>
      <c r="AG7" t="s">
        <v>534</v>
      </c>
      <c r="BD7">
        <v>1</v>
      </c>
      <c r="CN7" s="5" t="s">
        <v>540</v>
      </c>
      <c r="CR7">
        <v>4</v>
      </c>
    </row>
    <row r="8" spans="1:113" x14ac:dyDescent="0.25">
      <c r="A8" t="s">
        <v>541</v>
      </c>
      <c r="C8" t="s">
        <v>533</v>
      </c>
      <c r="I8">
        <v>1</v>
      </c>
      <c r="K8" s="8" t="s">
        <v>542</v>
      </c>
      <c r="M8"/>
      <c r="N8"/>
      <c r="P8" s="5" t="s">
        <v>540</v>
      </c>
      <c r="U8" s="8">
        <v>0.66666700000000001</v>
      </c>
      <c r="Y8" s="8"/>
      <c r="Z8" s="8"/>
      <c r="AC8">
        <v>1</v>
      </c>
      <c r="AG8" t="s">
        <v>534</v>
      </c>
      <c r="AX8" t="s">
        <v>543</v>
      </c>
      <c r="AY8" s="8">
        <v>1</v>
      </c>
      <c r="AZ8">
        <v>1.67E-2</v>
      </c>
      <c r="BA8">
        <v>1</v>
      </c>
      <c r="BB8">
        <v>1</v>
      </c>
      <c r="BD8">
        <v>1</v>
      </c>
      <c r="BS8">
        <v>0.1</v>
      </c>
      <c r="CN8" s="5" t="s">
        <v>544</v>
      </c>
      <c r="CR8">
        <v>0.2</v>
      </c>
    </row>
    <row r="9" spans="1:113" x14ac:dyDescent="0.25">
      <c r="A9" t="s">
        <v>545</v>
      </c>
      <c r="C9" t="s">
        <v>533</v>
      </c>
      <c r="I9">
        <v>1</v>
      </c>
      <c r="M9"/>
      <c r="N9"/>
      <c r="U9" s="8">
        <v>0.95333299999999999</v>
      </c>
      <c r="Y9" s="8"/>
      <c r="Z9" s="8"/>
      <c r="AC9">
        <v>1</v>
      </c>
      <c r="AG9" t="s">
        <v>534</v>
      </c>
      <c r="BD9">
        <v>1</v>
      </c>
      <c r="BO9" t="s">
        <v>546</v>
      </c>
      <c r="BS9">
        <v>0.1</v>
      </c>
      <c r="CN9" t="s">
        <v>547</v>
      </c>
      <c r="CO9" t="s">
        <v>548</v>
      </c>
      <c r="CR9">
        <v>0.2</v>
      </c>
    </row>
    <row r="10" spans="1:113" x14ac:dyDescent="0.25">
      <c r="A10" t="s">
        <v>549</v>
      </c>
      <c r="C10" t="s">
        <v>533</v>
      </c>
      <c r="I10">
        <v>1</v>
      </c>
      <c r="M10"/>
      <c r="N10"/>
      <c r="U10" s="8">
        <v>0.906667</v>
      </c>
      <c r="Y10" s="8"/>
      <c r="Z10" s="8"/>
      <c r="AC10">
        <v>1</v>
      </c>
      <c r="AG10" t="s">
        <v>534</v>
      </c>
      <c r="BD10">
        <v>1</v>
      </c>
      <c r="BS10">
        <v>0.1</v>
      </c>
      <c r="CN10" t="s">
        <v>547</v>
      </c>
      <c r="CO10" t="s">
        <v>548</v>
      </c>
      <c r="CR10">
        <v>0.2</v>
      </c>
    </row>
    <row r="11" spans="1:113" x14ac:dyDescent="0.25">
      <c r="A11" t="s">
        <v>550</v>
      </c>
      <c r="C11" t="s">
        <v>533</v>
      </c>
      <c r="I11">
        <v>1</v>
      </c>
      <c r="M11"/>
      <c r="N11"/>
      <c r="U11" s="8">
        <v>0.86</v>
      </c>
      <c r="Y11" s="8"/>
      <c r="Z11" s="8"/>
      <c r="AC11">
        <v>1</v>
      </c>
      <c r="AG11" t="s">
        <v>534</v>
      </c>
      <c r="BD11">
        <v>1</v>
      </c>
      <c r="BS11">
        <v>0.1</v>
      </c>
      <c r="CN11" t="s">
        <v>547</v>
      </c>
      <c r="CO11" t="s">
        <v>548</v>
      </c>
      <c r="CR11">
        <v>0.2</v>
      </c>
    </row>
    <row r="12" spans="1:113" x14ac:dyDescent="0.25">
      <c r="A12" t="s">
        <v>551</v>
      </c>
      <c r="C12" t="s">
        <v>533</v>
      </c>
      <c r="I12">
        <v>1</v>
      </c>
      <c r="M12"/>
      <c r="N12"/>
      <c r="U12" s="8">
        <v>0.81333299999999997</v>
      </c>
      <c r="Y12" s="8"/>
      <c r="Z12" s="8"/>
      <c r="AC12">
        <v>1</v>
      </c>
      <c r="AG12" t="s">
        <v>534</v>
      </c>
      <c r="BD12">
        <v>1</v>
      </c>
      <c r="BS12">
        <v>0.1</v>
      </c>
      <c r="CN12" t="s">
        <v>547</v>
      </c>
      <c r="CO12" t="s">
        <v>548</v>
      </c>
      <c r="CR12">
        <v>0.2</v>
      </c>
    </row>
    <row r="13" spans="1:113" x14ac:dyDescent="0.25">
      <c r="A13" t="s">
        <v>552</v>
      </c>
      <c r="C13" t="s">
        <v>533</v>
      </c>
      <c r="I13">
        <v>1</v>
      </c>
      <c r="M13"/>
      <c r="N13"/>
      <c r="U13" s="8">
        <v>0.76666699999999999</v>
      </c>
      <c r="Y13" s="8"/>
      <c r="Z13" s="8"/>
      <c r="AC13">
        <v>1</v>
      </c>
      <c r="AG13" t="s">
        <v>534</v>
      </c>
      <c r="BD13">
        <v>1</v>
      </c>
      <c r="BS13">
        <v>0.1</v>
      </c>
      <c r="CN13" t="s">
        <v>547</v>
      </c>
      <c r="CO13" t="s">
        <v>548</v>
      </c>
      <c r="CR13">
        <v>0.2</v>
      </c>
    </row>
    <row r="14" spans="1:113" x14ac:dyDescent="0.25">
      <c r="M14"/>
      <c r="N14"/>
      <c r="Y14" s="8"/>
      <c r="Z14" s="8"/>
    </row>
    <row r="15" spans="1:113" x14ac:dyDescent="0.25">
      <c r="A15" t="s">
        <v>553</v>
      </c>
      <c r="C15" t="s">
        <v>533</v>
      </c>
      <c r="D15" t="s">
        <v>554</v>
      </c>
      <c r="E15" t="s">
        <v>555</v>
      </c>
      <c r="F15" t="s">
        <v>556</v>
      </c>
      <c r="G15">
        <v>3</v>
      </c>
      <c r="I15">
        <v>1</v>
      </c>
      <c r="J15" t="s">
        <v>557</v>
      </c>
      <c r="K15" s="8" t="s">
        <v>542</v>
      </c>
      <c r="M15"/>
      <c r="N15"/>
      <c r="Y15" s="8"/>
      <c r="Z15" s="8"/>
      <c r="AC15">
        <v>1</v>
      </c>
      <c r="AG15" t="s">
        <v>534</v>
      </c>
      <c r="BD15">
        <v>1</v>
      </c>
      <c r="BO15" t="s">
        <v>558</v>
      </c>
      <c r="BT15">
        <v>9999</v>
      </c>
      <c r="BV15" s="9">
        <v>0</v>
      </c>
      <c r="BW15" s="9">
        <v>15</v>
      </c>
      <c r="BX15" s="9">
        <v>1</v>
      </c>
      <c r="BY15" s="9" t="s">
        <v>559</v>
      </c>
      <c r="CB15" s="8"/>
      <c r="CC15" s="8"/>
      <c r="CD15" s="8"/>
      <c r="CE15" s="8"/>
      <c r="CF15" s="8"/>
      <c r="CH15" s="8"/>
      <c r="CI15" s="8"/>
      <c r="CJ15" s="8"/>
      <c r="CK15" s="8"/>
      <c r="CM15" s="8"/>
      <c r="CN15" t="s">
        <v>560</v>
      </c>
      <c r="CO15" t="s">
        <v>561</v>
      </c>
      <c r="CR15">
        <v>9999</v>
      </c>
    </row>
    <row r="16" spans="1:113" x14ac:dyDescent="0.25">
      <c r="A16" t="s">
        <v>562</v>
      </c>
      <c r="C16" t="s">
        <v>146</v>
      </c>
      <c r="I16">
        <v>1</v>
      </c>
      <c r="M16"/>
      <c r="N16"/>
      <c r="O16" t="s">
        <v>560</v>
      </c>
      <c r="Y16" s="8"/>
      <c r="Z16" s="8"/>
      <c r="AC16">
        <v>2</v>
      </c>
      <c r="AO16" t="s">
        <v>527</v>
      </c>
      <c r="AT16" t="s">
        <v>528</v>
      </c>
      <c r="AX16" t="s">
        <v>563</v>
      </c>
      <c r="AZ16">
        <v>1</v>
      </c>
      <c r="BD16">
        <v>1</v>
      </c>
      <c r="CB16" t="s">
        <v>69</v>
      </c>
      <c r="CG16" t="s">
        <v>530</v>
      </c>
      <c r="CY16" t="s">
        <v>564</v>
      </c>
    </row>
    <row r="17" spans="1:112" x14ac:dyDescent="0.25">
      <c r="A17" t="s">
        <v>565</v>
      </c>
      <c r="C17" t="s">
        <v>533</v>
      </c>
      <c r="I17">
        <v>1</v>
      </c>
      <c r="K17" s="8" t="s">
        <v>538</v>
      </c>
      <c r="L17" s="8" t="s">
        <v>539</v>
      </c>
      <c r="M17"/>
      <c r="N17"/>
      <c r="O17" t="s">
        <v>560</v>
      </c>
      <c r="Y17" s="8"/>
      <c r="Z17" s="8"/>
      <c r="AC17">
        <v>2</v>
      </c>
      <c r="AD17">
        <v>1</v>
      </c>
      <c r="AE17">
        <v>1</v>
      </c>
      <c r="AX17" t="s">
        <v>563</v>
      </c>
      <c r="AZ17">
        <v>1.75</v>
      </c>
      <c r="BD17">
        <v>1</v>
      </c>
      <c r="CY17" t="s">
        <v>564</v>
      </c>
      <c r="DD17">
        <v>1</v>
      </c>
      <c r="DH17">
        <v>1</v>
      </c>
    </row>
    <row r="18" spans="1:112" x14ac:dyDescent="0.25">
      <c r="M18"/>
      <c r="N18"/>
      <c r="Y18" s="8"/>
      <c r="Z18" s="8"/>
      <c r="CB18" s="8"/>
      <c r="CC18" s="8"/>
      <c r="CD18" s="8"/>
      <c r="CE18" s="8"/>
      <c r="CF18" s="8"/>
      <c r="CH18" s="8"/>
      <c r="CI18" s="8"/>
      <c r="CJ18" s="8"/>
      <c r="CK18" s="8"/>
      <c r="CM18" s="8"/>
    </row>
    <row r="19" spans="1:112" x14ac:dyDescent="0.25">
      <c r="A19" t="s">
        <v>566</v>
      </c>
      <c r="C19" t="s">
        <v>533</v>
      </c>
      <c r="D19" t="s">
        <v>567</v>
      </c>
      <c r="E19" t="s">
        <v>568</v>
      </c>
      <c r="F19" t="s">
        <v>569</v>
      </c>
      <c r="G19">
        <v>3</v>
      </c>
      <c r="I19">
        <v>1</v>
      </c>
      <c r="J19" t="s">
        <v>557</v>
      </c>
      <c r="K19" s="8" t="s">
        <v>570</v>
      </c>
      <c r="M19"/>
      <c r="N19"/>
      <c r="Y19" s="8"/>
      <c r="Z19" s="8"/>
      <c r="AC19">
        <v>1</v>
      </c>
      <c r="AG19" t="s">
        <v>534</v>
      </c>
      <c r="AT19" t="s">
        <v>571</v>
      </c>
      <c r="BD19">
        <v>1</v>
      </c>
      <c r="BO19" t="s">
        <v>572</v>
      </c>
      <c r="BP19" t="s">
        <v>573</v>
      </c>
      <c r="BT19">
        <v>32</v>
      </c>
      <c r="BU19">
        <v>1</v>
      </c>
      <c r="BV19" s="9">
        <v>37</v>
      </c>
      <c r="BW19" s="9">
        <v>45</v>
      </c>
      <c r="BX19" s="9">
        <v>1</v>
      </c>
      <c r="BY19" s="9" t="s">
        <v>542</v>
      </c>
      <c r="CB19" s="8"/>
      <c r="CC19" s="8"/>
      <c r="CD19" s="8"/>
      <c r="CE19" s="8"/>
      <c r="CF19" s="8"/>
      <c r="CH19" s="8"/>
      <c r="CI19" s="8"/>
      <c r="CJ19" s="8"/>
      <c r="CK19" s="8"/>
      <c r="CM19" s="8"/>
      <c r="CN19" t="s">
        <v>574</v>
      </c>
      <c r="CO19" t="s">
        <v>575</v>
      </c>
      <c r="CR19">
        <v>32</v>
      </c>
      <c r="CU19" t="s">
        <v>576</v>
      </c>
    </row>
    <row r="20" spans="1:112" x14ac:dyDescent="0.25">
      <c r="A20" t="s">
        <v>577</v>
      </c>
      <c r="C20" t="s">
        <v>146</v>
      </c>
      <c r="I20">
        <v>1</v>
      </c>
      <c r="M20"/>
      <c r="N20"/>
      <c r="O20" t="s">
        <v>578</v>
      </c>
      <c r="Y20" s="8"/>
      <c r="Z20" s="8"/>
      <c r="AC20">
        <v>2</v>
      </c>
      <c r="AD20">
        <v>1</v>
      </c>
      <c r="AO20" t="s">
        <v>527</v>
      </c>
      <c r="AT20" t="s">
        <v>571</v>
      </c>
      <c r="AX20" t="s">
        <v>563</v>
      </c>
      <c r="AZ20">
        <v>1</v>
      </c>
      <c r="BD20">
        <v>3</v>
      </c>
      <c r="BE20">
        <v>1</v>
      </c>
      <c r="BF20">
        <v>0.1</v>
      </c>
      <c r="CB20" t="s">
        <v>579</v>
      </c>
      <c r="CG20" t="s">
        <v>530</v>
      </c>
      <c r="CY20" t="s">
        <v>564</v>
      </c>
    </row>
    <row r="21" spans="1:112" x14ac:dyDescent="0.25">
      <c r="A21" t="s">
        <v>580</v>
      </c>
      <c r="C21" t="s">
        <v>533</v>
      </c>
      <c r="I21">
        <v>1</v>
      </c>
      <c r="K21" s="8" t="s">
        <v>538</v>
      </c>
      <c r="L21" s="8" t="s">
        <v>581</v>
      </c>
      <c r="M21"/>
      <c r="N21"/>
      <c r="O21"/>
      <c r="Y21" s="8"/>
      <c r="Z21" s="8"/>
      <c r="AC21">
        <v>1</v>
      </c>
      <c r="AG21" t="s">
        <v>534</v>
      </c>
      <c r="BD21">
        <v>1</v>
      </c>
      <c r="BS21">
        <v>0.4</v>
      </c>
      <c r="CM21" t="s">
        <v>578</v>
      </c>
      <c r="DD21">
        <v>1</v>
      </c>
      <c r="DG21">
        <v>1</v>
      </c>
      <c r="DH21">
        <v>1</v>
      </c>
    </row>
    <row r="22" spans="1:112" x14ac:dyDescent="0.25">
      <c r="A22" t="s">
        <v>582</v>
      </c>
      <c r="C22" t="s">
        <v>533</v>
      </c>
      <c r="I22">
        <v>1</v>
      </c>
      <c r="M22"/>
      <c r="N22"/>
      <c r="O22" t="s">
        <v>583</v>
      </c>
      <c r="P22" t="s">
        <v>578</v>
      </c>
      <c r="Y22" s="8"/>
      <c r="Z22" s="8"/>
      <c r="AC22">
        <v>1</v>
      </c>
      <c r="AG22" t="s">
        <v>534</v>
      </c>
      <c r="AT22" t="s">
        <v>571</v>
      </c>
      <c r="BD22">
        <v>1</v>
      </c>
      <c r="BO22" t="s">
        <v>584</v>
      </c>
      <c r="CB22" s="8"/>
      <c r="CC22" s="8"/>
      <c r="CD22" s="8"/>
      <c r="CE22" s="8"/>
      <c r="CF22" s="8"/>
      <c r="CH22" s="8"/>
      <c r="CI22" s="8"/>
      <c r="CJ22" s="8"/>
      <c r="CK22" s="8"/>
      <c r="CM22" s="8"/>
      <c r="CN22" t="s">
        <v>585</v>
      </c>
      <c r="CO22" t="s">
        <v>575</v>
      </c>
      <c r="CP22">
        <v>-1</v>
      </c>
      <c r="CR22">
        <v>11</v>
      </c>
      <c r="CU22" t="s">
        <v>586</v>
      </c>
    </row>
    <row r="23" spans="1:112" x14ac:dyDescent="0.25">
      <c r="A23" t="s">
        <v>587</v>
      </c>
      <c r="C23" t="s">
        <v>146</v>
      </c>
      <c r="I23">
        <v>1</v>
      </c>
      <c r="M23"/>
      <c r="N23"/>
      <c r="O23" t="s">
        <v>588</v>
      </c>
      <c r="Y23" s="8"/>
      <c r="Z23" s="8"/>
      <c r="AC23">
        <v>2</v>
      </c>
      <c r="AD23">
        <v>1</v>
      </c>
      <c r="AO23" t="s">
        <v>527</v>
      </c>
      <c r="AT23" t="s">
        <v>571</v>
      </c>
      <c r="AX23" t="s">
        <v>563</v>
      </c>
      <c r="AZ23">
        <v>1</v>
      </c>
      <c r="BD23">
        <v>3</v>
      </c>
      <c r="BE23">
        <v>3</v>
      </c>
      <c r="BF23">
        <v>0.1</v>
      </c>
      <c r="CB23" t="s">
        <v>579</v>
      </c>
      <c r="CG23" t="s">
        <v>530</v>
      </c>
      <c r="CY23" t="s">
        <v>564</v>
      </c>
      <c r="CZ23" t="s">
        <v>589</v>
      </c>
    </row>
    <row r="24" spans="1:112" x14ac:dyDescent="0.25">
      <c r="A24" t="s">
        <v>590</v>
      </c>
      <c r="C24" t="s">
        <v>533</v>
      </c>
      <c r="I24">
        <v>1</v>
      </c>
      <c r="M24"/>
      <c r="N24"/>
      <c r="O24" t="s">
        <v>588</v>
      </c>
      <c r="R24" s="5"/>
      <c r="Y24" s="8"/>
      <c r="Z24" s="8"/>
      <c r="AC24">
        <v>1</v>
      </c>
      <c r="AT24" t="s">
        <v>571</v>
      </c>
      <c r="AW24">
        <v>1</v>
      </c>
      <c r="BD24">
        <v>99</v>
      </c>
      <c r="BS24">
        <v>0.1</v>
      </c>
      <c r="CN24" t="s">
        <v>591</v>
      </c>
      <c r="CR24">
        <v>0.2</v>
      </c>
      <c r="DD24">
        <v>1</v>
      </c>
      <c r="DG24">
        <v>1</v>
      </c>
      <c r="DH24">
        <v>1</v>
      </c>
    </row>
    <row r="25" spans="1:112" x14ac:dyDescent="0.25">
      <c r="A25" t="s">
        <v>592</v>
      </c>
      <c r="C25" t="s">
        <v>533</v>
      </c>
      <c r="I25">
        <v>1</v>
      </c>
      <c r="M25"/>
      <c r="N25"/>
      <c r="O25" t="s">
        <v>588</v>
      </c>
      <c r="R25"/>
      <c r="Y25" s="8"/>
      <c r="Z25" s="8"/>
      <c r="AC25">
        <v>1</v>
      </c>
      <c r="AG25" t="s">
        <v>593</v>
      </c>
      <c r="AT25" t="s">
        <v>571</v>
      </c>
      <c r="AW25">
        <v>1</v>
      </c>
      <c r="BD25">
        <v>99</v>
      </c>
      <c r="BS25">
        <v>0.1</v>
      </c>
      <c r="CN25" t="s">
        <v>592</v>
      </c>
      <c r="CR25">
        <v>0.2</v>
      </c>
      <c r="DD25">
        <v>1</v>
      </c>
      <c r="DG25">
        <v>1</v>
      </c>
      <c r="DH25">
        <v>1</v>
      </c>
    </row>
    <row r="26" spans="1:112" x14ac:dyDescent="0.25">
      <c r="A26" t="s">
        <v>594</v>
      </c>
      <c r="C26" t="s">
        <v>533</v>
      </c>
      <c r="I26">
        <v>1</v>
      </c>
      <c r="M26"/>
      <c r="N26"/>
      <c r="O26" t="s">
        <v>588</v>
      </c>
      <c r="R26"/>
      <c r="Y26" s="8"/>
      <c r="Z26" s="8"/>
      <c r="AC26">
        <v>1</v>
      </c>
      <c r="AG26" t="s">
        <v>534</v>
      </c>
      <c r="AW26">
        <v>1</v>
      </c>
      <c r="BD26">
        <v>99</v>
      </c>
      <c r="BS26">
        <v>0.1</v>
      </c>
      <c r="CN26" t="s">
        <v>594</v>
      </c>
      <c r="CR26">
        <v>0.2</v>
      </c>
      <c r="DD26">
        <v>1</v>
      </c>
      <c r="DG26">
        <v>1</v>
      </c>
      <c r="DH26">
        <v>1</v>
      </c>
    </row>
    <row r="27" spans="1:112" x14ac:dyDescent="0.25">
      <c r="A27" t="s">
        <v>595</v>
      </c>
      <c r="C27" t="s">
        <v>596</v>
      </c>
      <c r="I27">
        <v>1</v>
      </c>
      <c r="M27"/>
      <c r="N27"/>
      <c r="O27" t="s">
        <v>588</v>
      </c>
      <c r="Y27" s="8"/>
      <c r="Z27" s="8"/>
      <c r="AC27">
        <v>1</v>
      </c>
      <c r="AG27" t="s">
        <v>534</v>
      </c>
      <c r="BD27">
        <v>1</v>
      </c>
      <c r="CU27" t="s">
        <v>597</v>
      </c>
    </row>
    <row r="28" spans="1:112" x14ac:dyDescent="0.25">
      <c r="A28" t="s">
        <v>573</v>
      </c>
      <c r="C28" t="s">
        <v>533</v>
      </c>
      <c r="I28">
        <v>1</v>
      </c>
      <c r="K28" s="8" t="s">
        <v>538</v>
      </c>
      <c r="M28"/>
      <c r="N28"/>
      <c r="O28"/>
      <c r="AC28">
        <v>1</v>
      </c>
      <c r="AG28" t="s">
        <v>534</v>
      </c>
      <c r="BD28">
        <v>1</v>
      </c>
      <c r="BS28">
        <v>0.33300000000000002</v>
      </c>
      <c r="CB28" t="s">
        <v>598</v>
      </c>
      <c r="CG28" t="s">
        <v>530</v>
      </c>
      <c r="DD28">
        <v>1</v>
      </c>
      <c r="DG28">
        <v>1</v>
      </c>
      <c r="DH28">
        <v>1</v>
      </c>
    </row>
    <row r="29" spans="1:112" x14ac:dyDescent="0.25">
      <c r="A29" t="s">
        <v>599</v>
      </c>
      <c r="C29" t="s">
        <v>533</v>
      </c>
      <c r="I29">
        <v>1</v>
      </c>
      <c r="K29" s="8" t="s">
        <v>538</v>
      </c>
      <c r="L29" s="8" t="s">
        <v>581</v>
      </c>
      <c r="M29"/>
      <c r="N29"/>
      <c r="O29"/>
      <c r="AC29">
        <v>1</v>
      </c>
      <c r="AG29" t="s">
        <v>534</v>
      </c>
      <c r="BD29">
        <v>1</v>
      </c>
      <c r="BS29">
        <v>0.33300000000000002</v>
      </c>
      <c r="CB29" t="s">
        <v>600</v>
      </c>
      <c r="CG29" t="s">
        <v>530</v>
      </c>
      <c r="DD29">
        <v>1</v>
      </c>
      <c r="DG29">
        <v>1</v>
      </c>
      <c r="DH29">
        <v>1</v>
      </c>
    </row>
    <row r="30" spans="1:112" s="6" customFormat="1" x14ac:dyDescent="0.25"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AR30"/>
      <c r="AS30"/>
      <c r="BV30" s="12"/>
      <c r="BW30" s="12"/>
      <c r="BX30" s="12"/>
      <c r="BY30" s="12"/>
      <c r="BZ30" s="12"/>
      <c r="CA30" s="12"/>
      <c r="CL30" s="10"/>
    </row>
    <row r="31" spans="1:112" x14ac:dyDescent="0.25">
      <c r="A31" t="s">
        <v>601</v>
      </c>
      <c r="C31" t="s">
        <v>146</v>
      </c>
      <c r="AC31">
        <v>2</v>
      </c>
      <c r="AO31" t="s">
        <v>527</v>
      </c>
      <c r="AT31" t="s">
        <v>602</v>
      </c>
      <c r="AX31" t="s">
        <v>529</v>
      </c>
      <c r="AZ31">
        <v>1</v>
      </c>
      <c r="BD31">
        <v>1</v>
      </c>
      <c r="CB31" t="s">
        <v>69</v>
      </c>
      <c r="CG31" t="s">
        <v>530</v>
      </c>
      <c r="CY31" t="s">
        <v>603</v>
      </c>
    </row>
    <row r="32" spans="1:112" x14ac:dyDescent="0.25">
      <c r="A32" t="s">
        <v>604</v>
      </c>
      <c r="C32" t="s">
        <v>533</v>
      </c>
      <c r="AC32">
        <v>1</v>
      </c>
      <c r="AG32" t="s">
        <v>534</v>
      </c>
      <c r="BD32">
        <v>1</v>
      </c>
      <c r="BO32" t="s">
        <v>605</v>
      </c>
      <c r="BS32">
        <v>0.1</v>
      </c>
      <c r="CN32" t="s">
        <v>606</v>
      </c>
      <c r="CO32" s="39" t="s">
        <v>607</v>
      </c>
      <c r="CR32">
        <v>0.2</v>
      </c>
    </row>
    <row r="33" spans="1:112" x14ac:dyDescent="0.25">
      <c r="A33" t="s">
        <v>605</v>
      </c>
      <c r="C33" t="s">
        <v>533</v>
      </c>
      <c r="AC33">
        <v>2</v>
      </c>
      <c r="AO33" t="s">
        <v>527</v>
      </c>
      <c r="AT33" t="s">
        <v>602</v>
      </c>
      <c r="BD33">
        <v>99</v>
      </c>
      <c r="BO33" t="s">
        <v>608</v>
      </c>
      <c r="BS33">
        <v>0.1</v>
      </c>
      <c r="CN33" t="s">
        <v>605</v>
      </c>
      <c r="CR33">
        <v>0.2</v>
      </c>
    </row>
    <row r="34" spans="1:112" x14ac:dyDescent="0.25">
      <c r="A34" t="s">
        <v>608</v>
      </c>
      <c r="C34" t="s">
        <v>533</v>
      </c>
      <c r="Q34" t="s">
        <v>605</v>
      </c>
      <c r="AC34">
        <v>2</v>
      </c>
      <c r="AO34" t="s">
        <v>527</v>
      </c>
      <c r="AV34">
        <v>99</v>
      </c>
      <c r="AX34" t="s">
        <v>563</v>
      </c>
      <c r="AZ34">
        <v>0.4</v>
      </c>
      <c r="BD34">
        <v>99</v>
      </c>
      <c r="BS34">
        <v>1</v>
      </c>
      <c r="CL34" t="s">
        <v>609</v>
      </c>
    </row>
    <row r="35" spans="1:112" x14ac:dyDescent="0.25">
      <c r="CL35" s="8"/>
    </row>
    <row r="36" spans="1:112" x14ac:dyDescent="0.25">
      <c r="A36" t="s">
        <v>610</v>
      </c>
      <c r="C36" t="s">
        <v>533</v>
      </c>
      <c r="D36" t="s">
        <v>611</v>
      </c>
      <c r="E36" t="s">
        <v>612</v>
      </c>
      <c r="F36" t="s">
        <v>613</v>
      </c>
      <c r="G36">
        <v>3</v>
      </c>
      <c r="J36" t="s">
        <v>557</v>
      </c>
      <c r="K36" s="8" t="s">
        <v>570</v>
      </c>
      <c r="AC36">
        <v>1</v>
      </c>
      <c r="AG36" t="s">
        <v>534</v>
      </c>
      <c r="BD36">
        <v>1</v>
      </c>
      <c r="BO36" t="s">
        <v>614</v>
      </c>
      <c r="BT36">
        <v>30</v>
      </c>
      <c r="BV36" s="9">
        <v>0</v>
      </c>
      <c r="BW36" s="9">
        <v>16</v>
      </c>
      <c r="BX36" s="9">
        <v>1</v>
      </c>
      <c r="BY36" s="9" t="s">
        <v>559</v>
      </c>
      <c r="CB36" s="13"/>
      <c r="CG36" t="s">
        <v>530</v>
      </c>
      <c r="CN36" t="s">
        <v>615</v>
      </c>
      <c r="CO36">
        <v>0.7</v>
      </c>
      <c r="CP36">
        <v>0.7</v>
      </c>
      <c r="CR36">
        <v>30</v>
      </c>
    </row>
    <row r="37" spans="1:112" x14ac:dyDescent="0.25">
      <c r="A37" t="s">
        <v>616</v>
      </c>
      <c r="C37" t="s">
        <v>533</v>
      </c>
      <c r="AC37">
        <v>1</v>
      </c>
      <c r="AG37" t="s">
        <v>534</v>
      </c>
      <c r="BD37">
        <v>1</v>
      </c>
      <c r="CB37" s="13"/>
      <c r="CN37" t="s">
        <v>617</v>
      </c>
      <c r="CO37">
        <v>1</v>
      </c>
      <c r="CR37">
        <v>9999</v>
      </c>
    </row>
    <row r="38" spans="1:112" x14ac:dyDescent="0.25">
      <c r="A38" t="s">
        <v>618</v>
      </c>
      <c r="C38" t="s">
        <v>146</v>
      </c>
      <c r="O38" s="8" t="s">
        <v>619</v>
      </c>
      <c r="AC38">
        <v>2</v>
      </c>
      <c r="AO38" t="s">
        <v>527</v>
      </c>
      <c r="AT38" t="s">
        <v>602</v>
      </c>
      <c r="AX38" t="s">
        <v>529</v>
      </c>
      <c r="AZ38">
        <v>1</v>
      </c>
      <c r="BD38">
        <v>1</v>
      </c>
      <c r="CB38" s="13" t="s">
        <v>620</v>
      </c>
      <c r="CG38" t="s">
        <v>530</v>
      </c>
      <c r="CY38" t="s">
        <v>603</v>
      </c>
    </row>
    <row r="39" spans="1:112" x14ac:dyDescent="0.25">
      <c r="A39" t="s">
        <v>621</v>
      </c>
      <c r="C39" t="s">
        <v>533</v>
      </c>
      <c r="I39">
        <v>1</v>
      </c>
      <c r="K39" s="8" t="s">
        <v>538</v>
      </c>
      <c r="L39" s="8" t="s">
        <v>539</v>
      </c>
      <c r="M39"/>
      <c r="N39"/>
      <c r="O39" s="8" t="s">
        <v>619</v>
      </c>
      <c r="Y39" s="8"/>
      <c r="Z39" s="8"/>
      <c r="AC39">
        <v>2</v>
      </c>
      <c r="AD39">
        <v>1</v>
      </c>
      <c r="AE39">
        <v>1</v>
      </c>
      <c r="BD39">
        <v>1</v>
      </c>
      <c r="CL39" t="s">
        <v>622</v>
      </c>
      <c r="CY39" t="s">
        <v>623</v>
      </c>
      <c r="DD39">
        <v>1</v>
      </c>
      <c r="DH39">
        <v>1</v>
      </c>
    </row>
    <row r="41" spans="1:112" x14ac:dyDescent="0.25">
      <c r="A41" t="s">
        <v>624</v>
      </c>
      <c r="C41" t="s">
        <v>533</v>
      </c>
      <c r="D41" t="s">
        <v>625</v>
      </c>
      <c r="E41" t="s">
        <v>626</v>
      </c>
      <c r="F41" t="s">
        <v>627</v>
      </c>
      <c r="G41">
        <v>3</v>
      </c>
      <c r="J41" t="s">
        <v>557</v>
      </c>
      <c r="K41" s="8" t="s">
        <v>570</v>
      </c>
      <c r="AC41">
        <v>1</v>
      </c>
      <c r="AG41" t="s">
        <v>534</v>
      </c>
      <c r="AT41" t="s">
        <v>628</v>
      </c>
      <c r="BD41">
        <v>1</v>
      </c>
      <c r="BO41" t="s">
        <v>629</v>
      </c>
      <c r="BP41" t="s">
        <v>630</v>
      </c>
      <c r="BT41">
        <v>20</v>
      </c>
      <c r="BV41" s="9">
        <v>20</v>
      </c>
      <c r="BW41" s="9">
        <v>26</v>
      </c>
      <c r="BX41" s="9">
        <v>1</v>
      </c>
      <c r="BY41" s="9" t="s">
        <v>542</v>
      </c>
      <c r="CB41" s="13" t="s">
        <v>631</v>
      </c>
      <c r="CG41" t="s">
        <v>530</v>
      </c>
      <c r="CN41" t="s">
        <v>632</v>
      </c>
      <c r="CO41">
        <v>1.6</v>
      </c>
      <c r="CP41">
        <v>2.9</v>
      </c>
      <c r="CQ41">
        <v>2</v>
      </c>
      <c r="CR41">
        <v>20</v>
      </c>
      <c r="CW41" t="s">
        <v>633</v>
      </c>
    </row>
    <row r="42" spans="1:112" x14ac:dyDescent="0.25">
      <c r="A42" t="s">
        <v>630</v>
      </c>
      <c r="C42" t="s">
        <v>634</v>
      </c>
      <c r="K42" s="8" t="s">
        <v>538</v>
      </c>
      <c r="AC42">
        <v>2</v>
      </c>
      <c r="AO42" t="s">
        <v>527</v>
      </c>
      <c r="AP42" t="s">
        <v>635</v>
      </c>
      <c r="AT42" t="s">
        <v>628</v>
      </c>
      <c r="AX42" t="s">
        <v>563</v>
      </c>
      <c r="AZ42">
        <v>1</v>
      </c>
      <c r="BD42">
        <v>99</v>
      </c>
      <c r="CU42" t="s">
        <v>636</v>
      </c>
    </row>
    <row r="43" spans="1:112" x14ac:dyDescent="0.25">
      <c r="A43" t="s">
        <v>629</v>
      </c>
      <c r="C43" t="s">
        <v>146</v>
      </c>
      <c r="O43" s="8" t="s">
        <v>637</v>
      </c>
      <c r="AC43">
        <v>2</v>
      </c>
      <c r="AO43" t="s">
        <v>527</v>
      </c>
      <c r="AT43" t="s">
        <v>602</v>
      </c>
      <c r="AX43" t="s">
        <v>563</v>
      </c>
      <c r="AZ43">
        <v>1</v>
      </c>
      <c r="BD43">
        <v>1</v>
      </c>
      <c r="CB43" s="13" t="s">
        <v>631</v>
      </c>
      <c r="CG43" t="s">
        <v>530</v>
      </c>
      <c r="CY43" t="s">
        <v>603</v>
      </c>
    </row>
    <row r="45" spans="1:112" x14ac:dyDescent="0.25">
      <c r="A45" t="s">
        <v>638</v>
      </c>
      <c r="C45" t="s">
        <v>533</v>
      </c>
      <c r="D45" t="s">
        <v>639</v>
      </c>
      <c r="E45" t="s">
        <v>640</v>
      </c>
      <c r="F45" t="s">
        <v>641</v>
      </c>
      <c r="G45">
        <v>3</v>
      </c>
      <c r="J45" t="s">
        <v>557</v>
      </c>
      <c r="K45" s="8" t="s">
        <v>570</v>
      </c>
      <c r="AC45">
        <v>1</v>
      </c>
      <c r="AG45" t="s">
        <v>534</v>
      </c>
      <c r="BD45">
        <v>1</v>
      </c>
      <c r="BO45" t="s">
        <v>642</v>
      </c>
      <c r="BP45" t="s">
        <v>643</v>
      </c>
      <c r="BT45">
        <v>45</v>
      </c>
      <c r="BV45" s="9">
        <v>42</v>
      </c>
      <c r="BW45" s="9">
        <v>55</v>
      </c>
      <c r="BX45" s="9">
        <v>1</v>
      </c>
      <c r="BY45" s="9" t="s">
        <v>542</v>
      </c>
      <c r="CB45" s="13"/>
      <c r="CG45" t="s">
        <v>530</v>
      </c>
      <c r="CN45" t="s">
        <v>644</v>
      </c>
      <c r="CO45">
        <v>1.1000000000000001</v>
      </c>
      <c r="CP45">
        <v>1.1000000000000001</v>
      </c>
      <c r="CQ45">
        <v>1.1000000000000001</v>
      </c>
      <c r="CR45">
        <v>45</v>
      </c>
    </row>
    <row r="46" spans="1:112" x14ac:dyDescent="0.25">
      <c r="A46" t="s">
        <v>645</v>
      </c>
      <c r="C46" t="s">
        <v>646</v>
      </c>
      <c r="K46" s="8" t="s">
        <v>538</v>
      </c>
      <c r="L46" s="8" t="s">
        <v>647</v>
      </c>
      <c r="O46" s="8" t="s">
        <v>637</v>
      </c>
      <c r="AC46">
        <v>2</v>
      </c>
      <c r="AD46">
        <v>1</v>
      </c>
      <c r="AO46" t="s">
        <v>527</v>
      </c>
      <c r="AX46" t="s">
        <v>529</v>
      </c>
      <c r="AZ46">
        <v>0</v>
      </c>
      <c r="BB46">
        <v>2</v>
      </c>
      <c r="BD46">
        <v>1</v>
      </c>
      <c r="CL46" t="s">
        <v>648</v>
      </c>
      <c r="CU46" t="s">
        <v>649</v>
      </c>
      <c r="CY46" t="s">
        <v>603</v>
      </c>
    </row>
    <row r="47" spans="1:112" x14ac:dyDescent="0.25">
      <c r="A47" t="s">
        <v>650</v>
      </c>
      <c r="C47" t="s">
        <v>146</v>
      </c>
      <c r="O47" s="8" t="s">
        <v>637</v>
      </c>
      <c r="AC47">
        <v>2</v>
      </c>
      <c r="AO47" t="s">
        <v>527</v>
      </c>
      <c r="AT47" t="s">
        <v>602</v>
      </c>
      <c r="AX47" t="s">
        <v>529</v>
      </c>
      <c r="AZ47">
        <v>1</v>
      </c>
      <c r="BD47">
        <v>1</v>
      </c>
      <c r="CB47" t="s">
        <v>651</v>
      </c>
      <c r="CG47" t="s">
        <v>530</v>
      </c>
      <c r="CY47" t="s">
        <v>603</v>
      </c>
    </row>
    <row r="48" spans="1:112" x14ac:dyDescent="0.25">
      <c r="A48" t="s">
        <v>643</v>
      </c>
      <c r="C48" t="s">
        <v>533</v>
      </c>
      <c r="I48">
        <v>1</v>
      </c>
      <c r="K48" s="8" t="s">
        <v>538</v>
      </c>
      <c r="M48"/>
      <c r="N48"/>
      <c r="O48"/>
      <c r="AC48">
        <v>1</v>
      </c>
      <c r="AG48" t="s">
        <v>534</v>
      </c>
      <c r="BD48">
        <v>1</v>
      </c>
      <c r="BS48">
        <v>1.6</v>
      </c>
      <c r="CB48" t="s">
        <v>598</v>
      </c>
      <c r="CG48" t="s">
        <v>530</v>
      </c>
      <c r="DD48">
        <v>1</v>
      </c>
      <c r="DG48">
        <v>1</v>
      </c>
      <c r="DH48">
        <v>1</v>
      </c>
    </row>
    <row r="49" spans="1:112" x14ac:dyDescent="0.25">
      <c r="A49" t="s">
        <v>652</v>
      </c>
      <c r="C49" t="s">
        <v>533</v>
      </c>
      <c r="I49">
        <v>1</v>
      </c>
      <c r="K49" s="8" t="s">
        <v>538</v>
      </c>
      <c r="L49" s="8" t="s">
        <v>581</v>
      </c>
      <c r="M49"/>
      <c r="N49"/>
      <c r="O49"/>
      <c r="AC49">
        <v>1</v>
      </c>
      <c r="AG49" t="s">
        <v>534</v>
      </c>
      <c r="BD49">
        <v>1</v>
      </c>
      <c r="BS49">
        <v>0.16669999999999999</v>
      </c>
      <c r="CB49" t="s">
        <v>600</v>
      </c>
      <c r="CG49" t="s">
        <v>530</v>
      </c>
      <c r="DD49">
        <v>1</v>
      </c>
      <c r="DG49">
        <v>1</v>
      </c>
      <c r="DH49">
        <v>1</v>
      </c>
    </row>
    <row r="50" spans="1:112" s="6" customFormat="1" x14ac:dyDescent="0.25"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AR50"/>
      <c r="AS50"/>
      <c r="BV50" s="12"/>
      <c r="BW50" s="12"/>
      <c r="BX50" s="12"/>
      <c r="BY50" s="12"/>
      <c r="BZ50" s="12"/>
      <c r="CA50" s="12"/>
      <c r="CL50" s="10"/>
    </row>
    <row r="51" spans="1:112" x14ac:dyDescent="0.25">
      <c r="A51" t="s">
        <v>653</v>
      </c>
      <c r="C51" t="s">
        <v>146</v>
      </c>
      <c r="J51" s="8"/>
      <c r="M51"/>
      <c r="N51"/>
      <c r="O51"/>
      <c r="P51"/>
      <c r="Q51"/>
      <c r="R51"/>
      <c r="Y51" s="8"/>
      <c r="Z51" s="8"/>
      <c r="AA51" s="8"/>
      <c r="AB51" s="8"/>
      <c r="AC51">
        <v>2</v>
      </c>
      <c r="AO51" t="s">
        <v>527</v>
      </c>
      <c r="AP51" t="s">
        <v>635</v>
      </c>
      <c r="AT51" t="s">
        <v>654</v>
      </c>
      <c r="AX51" t="s">
        <v>529</v>
      </c>
      <c r="AZ51">
        <v>2</v>
      </c>
      <c r="BD51">
        <v>1</v>
      </c>
      <c r="BV51"/>
      <c r="CB51" t="s">
        <v>655</v>
      </c>
      <c r="CG51" t="s">
        <v>530</v>
      </c>
      <c r="CI51" s="8"/>
      <c r="CY51" t="s">
        <v>656</v>
      </c>
    </row>
    <row r="52" spans="1:112" x14ac:dyDescent="0.25">
      <c r="A52" t="s">
        <v>657</v>
      </c>
      <c r="C52" t="s">
        <v>533</v>
      </c>
      <c r="I52">
        <v>1</v>
      </c>
      <c r="L52" s="11"/>
      <c r="M52"/>
      <c r="P52"/>
      <c r="R52"/>
      <c r="S52">
        <v>1</v>
      </c>
      <c r="Y52" s="8"/>
      <c r="Z52" s="8"/>
      <c r="AA52" s="8"/>
      <c r="AB52" s="8"/>
      <c r="AC52">
        <v>1</v>
      </c>
      <c r="AG52" t="s">
        <v>534</v>
      </c>
      <c r="BD52">
        <v>1</v>
      </c>
      <c r="BO52" t="s">
        <v>658</v>
      </c>
      <c r="BS52">
        <v>1</v>
      </c>
      <c r="BV52"/>
      <c r="CB52" s="9"/>
      <c r="CJ52" s="8"/>
      <c r="CN52" t="s">
        <v>659</v>
      </c>
      <c r="CO52">
        <v>0.1</v>
      </c>
      <c r="CR52">
        <v>99999</v>
      </c>
      <c r="DD52">
        <v>1</v>
      </c>
      <c r="DG52">
        <v>1</v>
      </c>
      <c r="DH52">
        <v>1</v>
      </c>
    </row>
    <row r="53" spans="1:112" x14ac:dyDescent="0.25">
      <c r="A53" t="s">
        <v>660</v>
      </c>
      <c r="C53" t="s">
        <v>533</v>
      </c>
      <c r="I53">
        <v>1</v>
      </c>
      <c r="L53" s="11"/>
      <c r="M53"/>
      <c r="N53" s="8">
        <v>20</v>
      </c>
      <c r="P53"/>
      <c r="R53"/>
      <c r="S53">
        <v>1</v>
      </c>
      <c r="Y53" s="8"/>
      <c r="Z53" s="8"/>
      <c r="AA53" s="8"/>
      <c r="AB53" s="8"/>
      <c r="AC53">
        <v>1</v>
      </c>
      <c r="AG53" t="s">
        <v>534</v>
      </c>
      <c r="BD53">
        <v>1</v>
      </c>
      <c r="BV53"/>
      <c r="CB53" s="9"/>
      <c r="CJ53" s="8"/>
      <c r="CN53" t="s">
        <v>659</v>
      </c>
      <c r="CO53">
        <v>0.1</v>
      </c>
      <c r="CR53">
        <v>99999</v>
      </c>
      <c r="DD53">
        <v>1</v>
      </c>
      <c r="DG53">
        <v>1</v>
      </c>
      <c r="DH53">
        <v>1</v>
      </c>
    </row>
    <row r="54" spans="1:112" x14ac:dyDescent="0.25">
      <c r="A54" t="s">
        <v>661</v>
      </c>
      <c r="C54" t="s">
        <v>533</v>
      </c>
      <c r="I54">
        <v>1</v>
      </c>
      <c r="M54"/>
      <c r="P54"/>
      <c r="R54"/>
      <c r="S54">
        <v>1</v>
      </c>
      <c r="Y54" s="8"/>
      <c r="Z54" s="8"/>
      <c r="AA54" s="8"/>
      <c r="AB54" s="8"/>
      <c r="AC54">
        <v>1</v>
      </c>
      <c r="AG54" t="s">
        <v>534</v>
      </c>
      <c r="BD54">
        <v>1</v>
      </c>
      <c r="BS54">
        <v>0.1</v>
      </c>
      <c r="BV54"/>
      <c r="CB54" s="9"/>
      <c r="CJ54" s="8"/>
      <c r="CN54" t="s">
        <v>662</v>
      </c>
      <c r="CO54">
        <v>-3</v>
      </c>
      <c r="CR54">
        <v>0.2</v>
      </c>
      <c r="DD54">
        <v>1</v>
      </c>
      <c r="DG54">
        <v>1</v>
      </c>
      <c r="DH54">
        <v>1</v>
      </c>
    </row>
    <row r="55" spans="1:112" x14ac:dyDescent="0.25">
      <c r="A55" t="s">
        <v>663</v>
      </c>
      <c r="C55" t="s">
        <v>533</v>
      </c>
      <c r="I55">
        <v>1</v>
      </c>
      <c r="M55"/>
      <c r="P55"/>
      <c r="R55"/>
      <c r="S55">
        <v>1</v>
      </c>
      <c r="Y55" s="8"/>
      <c r="Z55" s="8"/>
      <c r="AA55" s="8"/>
      <c r="AB55" s="8"/>
      <c r="AC55">
        <v>1</v>
      </c>
      <c r="AG55" t="s">
        <v>534</v>
      </c>
      <c r="BD55">
        <v>1</v>
      </c>
      <c r="BS55">
        <v>0.1</v>
      </c>
      <c r="BV55"/>
      <c r="CB55" s="9"/>
      <c r="CJ55" s="8"/>
      <c r="CR55">
        <v>0.2</v>
      </c>
      <c r="DD55">
        <v>1</v>
      </c>
      <c r="DG55">
        <v>1</v>
      </c>
      <c r="DH55">
        <v>1</v>
      </c>
    </row>
    <row r="57" spans="1:112" x14ac:dyDescent="0.25">
      <c r="A57" t="s">
        <v>159</v>
      </c>
      <c r="C57" t="s">
        <v>533</v>
      </c>
      <c r="D57" t="s">
        <v>664</v>
      </c>
      <c r="E57" t="s">
        <v>665</v>
      </c>
      <c r="F57" t="s">
        <v>666</v>
      </c>
      <c r="G57">
        <v>3</v>
      </c>
      <c r="J57" t="s">
        <v>557</v>
      </c>
      <c r="K57" s="8" t="s">
        <v>570</v>
      </c>
      <c r="M57"/>
      <c r="N57"/>
      <c r="Q57"/>
      <c r="R57"/>
      <c r="S57"/>
      <c r="Y57" s="8"/>
      <c r="Z57" s="8"/>
      <c r="AA57" s="8"/>
      <c r="AB57" s="8"/>
      <c r="AC57">
        <v>1</v>
      </c>
      <c r="AG57" t="s">
        <v>534</v>
      </c>
      <c r="AT57" t="s">
        <v>667</v>
      </c>
      <c r="BD57">
        <v>1</v>
      </c>
      <c r="BO57" t="s">
        <v>668</v>
      </c>
      <c r="BP57" t="s">
        <v>669</v>
      </c>
      <c r="BT57">
        <v>28</v>
      </c>
      <c r="BV57" s="9">
        <v>20</v>
      </c>
      <c r="BW57" s="9">
        <v>42</v>
      </c>
      <c r="BX57" s="9">
        <v>1</v>
      </c>
      <c r="BY57" s="9" t="s">
        <v>542</v>
      </c>
      <c r="CB57" s="9"/>
      <c r="CJ57" s="8"/>
      <c r="CN57" t="s">
        <v>670</v>
      </c>
      <c r="CR57">
        <v>28</v>
      </c>
      <c r="CT57">
        <v>1</v>
      </c>
      <c r="CU57" t="s">
        <v>671</v>
      </c>
    </row>
    <row r="58" spans="1:112" x14ac:dyDescent="0.25">
      <c r="A58" t="s">
        <v>672</v>
      </c>
      <c r="C58" t="s">
        <v>146</v>
      </c>
      <c r="M58"/>
      <c r="N58"/>
      <c r="O58" t="s">
        <v>670</v>
      </c>
      <c r="Q58"/>
      <c r="R58"/>
      <c r="S58"/>
      <c r="Y58" s="8"/>
      <c r="Z58" s="8"/>
      <c r="AA58" s="8"/>
      <c r="AB58" s="8"/>
      <c r="AC58">
        <v>2</v>
      </c>
      <c r="AD58">
        <v>1</v>
      </c>
      <c r="AO58" t="s">
        <v>527</v>
      </c>
      <c r="AP58" t="s">
        <v>635</v>
      </c>
      <c r="AT58" t="s">
        <v>667</v>
      </c>
      <c r="AX58" t="s">
        <v>529</v>
      </c>
      <c r="AZ58">
        <v>1.8</v>
      </c>
      <c r="BD58">
        <v>5</v>
      </c>
      <c r="BP58" t="s">
        <v>673</v>
      </c>
      <c r="BV58"/>
      <c r="CB58" t="s">
        <v>651</v>
      </c>
      <c r="CD58" t="s">
        <v>651</v>
      </c>
      <c r="CG58" t="s">
        <v>530</v>
      </c>
      <c r="CJ58" t="s">
        <v>674</v>
      </c>
      <c r="CW58" t="s">
        <v>675</v>
      </c>
      <c r="CY58" t="s">
        <v>676</v>
      </c>
    </row>
    <row r="59" spans="1:112" x14ac:dyDescent="0.25">
      <c r="A59" t="s">
        <v>673</v>
      </c>
      <c r="C59" t="s">
        <v>146</v>
      </c>
      <c r="K59" s="8" t="s">
        <v>538</v>
      </c>
      <c r="M59"/>
      <c r="N59"/>
      <c r="O59" t="s">
        <v>670</v>
      </c>
      <c r="Q59"/>
      <c r="R59"/>
      <c r="S59"/>
      <c r="Y59" s="8"/>
      <c r="Z59" s="8"/>
      <c r="AA59" s="8"/>
      <c r="AB59" s="8"/>
      <c r="AC59">
        <v>2</v>
      </c>
      <c r="AD59">
        <v>1</v>
      </c>
      <c r="AO59" t="s">
        <v>527</v>
      </c>
      <c r="AP59" t="s">
        <v>635</v>
      </c>
      <c r="AT59" t="s">
        <v>667</v>
      </c>
      <c r="AX59" t="s">
        <v>543</v>
      </c>
      <c r="AZ59">
        <v>0.12</v>
      </c>
      <c r="BD59">
        <v>5</v>
      </c>
      <c r="BV59"/>
      <c r="CY59" t="s">
        <v>676</v>
      </c>
    </row>
    <row r="60" spans="1:112" x14ac:dyDescent="0.25">
      <c r="A60" t="s">
        <v>677</v>
      </c>
      <c r="C60" t="s">
        <v>533</v>
      </c>
      <c r="I60">
        <v>1</v>
      </c>
      <c r="K60" s="8" t="s">
        <v>538</v>
      </c>
      <c r="L60" s="8" t="s">
        <v>678</v>
      </c>
      <c r="M60"/>
      <c r="N60"/>
      <c r="R60"/>
      <c r="S60"/>
      <c r="T60"/>
      <c r="U60"/>
      <c r="V60"/>
      <c r="W60"/>
      <c r="X60"/>
      <c r="AC60">
        <v>1</v>
      </c>
      <c r="AG60" t="s">
        <v>534</v>
      </c>
      <c r="BD60">
        <v>1</v>
      </c>
      <c r="BV60"/>
      <c r="CB60" s="8"/>
      <c r="CD60" s="8"/>
      <c r="CE60" s="8"/>
      <c r="CF60" s="8"/>
      <c r="CI60" s="8"/>
      <c r="CJ60" s="8"/>
      <c r="CK60" s="8"/>
      <c r="CL60" s="8"/>
      <c r="CM60" s="8"/>
    </row>
    <row r="61" spans="1:112" x14ac:dyDescent="0.25">
      <c r="A61" t="s">
        <v>669</v>
      </c>
      <c r="C61" t="s">
        <v>533</v>
      </c>
      <c r="I61">
        <v>1</v>
      </c>
      <c r="K61" s="8" t="s">
        <v>538</v>
      </c>
      <c r="M61"/>
      <c r="N61"/>
      <c r="R61"/>
      <c r="S61"/>
      <c r="T61"/>
      <c r="U61"/>
      <c r="V61"/>
      <c r="W61"/>
      <c r="X61"/>
      <c r="AC61">
        <v>1</v>
      </c>
      <c r="AG61" t="s">
        <v>534</v>
      </c>
      <c r="BD61">
        <v>1</v>
      </c>
      <c r="BS61">
        <v>0.33300000000000002</v>
      </c>
      <c r="BV61"/>
      <c r="CB61" s="8" t="s">
        <v>679</v>
      </c>
      <c r="CD61" s="8"/>
      <c r="CE61" s="8"/>
      <c r="CF61" s="8"/>
      <c r="CG61" t="s">
        <v>530</v>
      </c>
      <c r="CI61" s="8"/>
      <c r="CJ61" s="8"/>
      <c r="CK61" s="8"/>
      <c r="CL61" s="8"/>
      <c r="CM61" s="8"/>
      <c r="DD61">
        <v>1</v>
      </c>
      <c r="DG61">
        <v>1</v>
      </c>
      <c r="DH61">
        <v>1</v>
      </c>
    </row>
    <row r="62" spans="1:112" x14ac:dyDescent="0.25">
      <c r="A62" t="s">
        <v>680</v>
      </c>
      <c r="C62" t="s">
        <v>533</v>
      </c>
      <c r="I62">
        <v>1</v>
      </c>
      <c r="K62" s="8" t="s">
        <v>538</v>
      </c>
      <c r="L62" s="8" t="s">
        <v>581</v>
      </c>
      <c r="M62"/>
      <c r="N62"/>
      <c r="R62"/>
      <c r="S62"/>
      <c r="T62"/>
      <c r="U62"/>
      <c r="V62"/>
      <c r="W62"/>
      <c r="X62"/>
      <c r="AC62">
        <v>1</v>
      </c>
      <c r="AG62" t="s">
        <v>534</v>
      </c>
      <c r="BD62">
        <v>1</v>
      </c>
      <c r="BS62">
        <v>0.33300000000000002</v>
      </c>
      <c r="BV62"/>
      <c r="CB62" s="8" t="s">
        <v>600</v>
      </c>
      <c r="CD62" s="8"/>
      <c r="CE62" s="8"/>
      <c r="CF62" s="8"/>
      <c r="CG62" t="s">
        <v>530</v>
      </c>
      <c r="CI62" s="8"/>
      <c r="CJ62" s="8"/>
      <c r="CK62" s="8"/>
      <c r="CL62" s="8"/>
      <c r="CM62" s="8" t="s">
        <v>657</v>
      </c>
      <c r="DD62">
        <v>1</v>
      </c>
      <c r="DG62">
        <v>1</v>
      </c>
      <c r="DH62">
        <v>1</v>
      </c>
    </row>
    <row r="63" spans="1:112" s="6" customFormat="1" x14ac:dyDescent="0.25"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AR63"/>
      <c r="AS63"/>
      <c r="BV63" s="12"/>
      <c r="BW63" s="12"/>
      <c r="BX63" s="12"/>
      <c r="BY63" s="12"/>
      <c r="BZ63" s="12"/>
      <c r="CA63" s="12"/>
    </row>
    <row r="64" spans="1:112" x14ac:dyDescent="0.25">
      <c r="A64" t="s">
        <v>164</v>
      </c>
      <c r="C64" t="s">
        <v>533</v>
      </c>
      <c r="K64" t="s">
        <v>542</v>
      </c>
      <c r="S64" s="8">
        <v>1</v>
      </c>
      <c r="AC64">
        <v>2</v>
      </c>
      <c r="AD64">
        <v>1</v>
      </c>
      <c r="AO64" t="s">
        <v>527</v>
      </c>
      <c r="AT64" t="s">
        <v>681</v>
      </c>
      <c r="AX64" t="s">
        <v>563</v>
      </c>
      <c r="AZ64">
        <v>1</v>
      </c>
      <c r="BD64">
        <v>1</v>
      </c>
      <c r="BJ64">
        <v>1.3</v>
      </c>
      <c r="BK64">
        <v>1</v>
      </c>
      <c r="BL64">
        <v>0</v>
      </c>
      <c r="BO64" t="s">
        <v>682</v>
      </c>
      <c r="BP64" t="s">
        <v>683</v>
      </c>
      <c r="CB64" t="s">
        <v>684</v>
      </c>
      <c r="CG64" t="s">
        <v>530</v>
      </c>
      <c r="CN64" t="s">
        <v>685</v>
      </c>
      <c r="CR64">
        <v>0.1</v>
      </c>
      <c r="CY64" t="s">
        <v>686</v>
      </c>
    </row>
    <row r="65" spans="1:112" x14ac:dyDescent="0.25">
      <c r="A65" t="s">
        <v>687</v>
      </c>
      <c r="C65" t="s">
        <v>533</v>
      </c>
      <c r="K65" t="s">
        <v>538</v>
      </c>
      <c r="R65" s="8" t="s">
        <v>688</v>
      </c>
      <c r="AC65">
        <v>2</v>
      </c>
      <c r="AD65">
        <v>1</v>
      </c>
      <c r="AO65" t="s">
        <v>527</v>
      </c>
      <c r="AT65" t="s">
        <v>681</v>
      </c>
      <c r="BD65">
        <v>1</v>
      </c>
      <c r="CL65" t="s">
        <v>689</v>
      </c>
      <c r="CM65" t="s">
        <v>685</v>
      </c>
    </row>
    <row r="66" spans="1:112" x14ac:dyDescent="0.25">
      <c r="A66" t="s">
        <v>682</v>
      </c>
      <c r="C66" t="s">
        <v>533</v>
      </c>
      <c r="K66"/>
      <c r="Q66" t="s">
        <v>685</v>
      </c>
      <c r="R66" t="s">
        <v>688</v>
      </c>
      <c r="AC66">
        <v>2</v>
      </c>
      <c r="AD66">
        <v>1</v>
      </c>
      <c r="AO66" t="s">
        <v>527</v>
      </c>
      <c r="AV66">
        <v>99</v>
      </c>
      <c r="BD66">
        <v>99</v>
      </c>
      <c r="BS66">
        <v>0.1</v>
      </c>
      <c r="CL66" t="s">
        <v>690</v>
      </c>
      <c r="CM66" t="s">
        <v>685</v>
      </c>
    </row>
    <row r="68" spans="1:112" x14ac:dyDescent="0.25">
      <c r="A68" t="s">
        <v>691</v>
      </c>
      <c r="C68" t="s">
        <v>533</v>
      </c>
      <c r="D68" t="s">
        <v>692</v>
      </c>
      <c r="E68" t="s">
        <v>693</v>
      </c>
      <c r="F68" t="s">
        <v>613</v>
      </c>
      <c r="G68">
        <v>3</v>
      </c>
      <c r="J68" t="s">
        <v>557</v>
      </c>
      <c r="K68" s="8" t="s">
        <v>542</v>
      </c>
      <c r="AC68">
        <v>2</v>
      </c>
      <c r="AD68">
        <v>1</v>
      </c>
      <c r="AO68" t="s">
        <v>694</v>
      </c>
      <c r="AT68" t="s">
        <v>681</v>
      </c>
      <c r="AX68" t="s">
        <v>563</v>
      </c>
      <c r="AZ68">
        <v>1.5</v>
      </c>
      <c r="BD68">
        <v>1</v>
      </c>
      <c r="BE68">
        <v>1</v>
      </c>
      <c r="BF68">
        <v>0.1</v>
      </c>
      <c r="BJ68">
        <v>1.3</v>
      </c>
      <c r="BK68">
        <v>1</v>
      </c>
      <c r="BL68">
        <v>0</v>
      </c>
      <c r="BO68" t="s">
        <v>682</v>
      </c>
      <c r="BP68" t="s">
        <v>695</v>
      </c>
      <c r="BT68">
        <v>0.3</v>
      </c>
      <c r="BV68" s="9">
        <v>2</v>
      </c>
      <c r="BW68" s="9">
        <v>2</v>
      </c>
      <c r="BX68" s="9">
        <v>1</v>
      </c>
      <c r="BY68" s="9" t="s">
        <v>696</v>
      </c>
      <c r="CB68" t="s">
        <v>620</v>
      </c>
      <c r="CG68" t="s">
        <v>530</v>
      </c>
      <c r="CL68" s="8"/>
      <c r="CN68" t="s">
        <v>685</v>
      </c>
      <c r="CR68">
        <v>0.1</v>
      </c>
      <c r="CY68" t="s">
        <v>686</v>
      </c>
      <c r="DD68">
        <v>1</v>
      </c>
      <c r="DG68">
        <v>1</v>
      </c>
      <c r="DH68">
        <v>1</v>
      </c>
    </row>
    <row r="69" spans="1:112" x14ac:dyDescent="0.25">
      <c r="A69" t="s">
        <v>695</v>
      </c>
      <c r="C69" t="s">
        <v>533</v>
      </c>
      <c r="K69" t="s">
        <v>538</v>
      </c>
      <c r="AC69">
        <v>2</v>
      </c>
      <c r="AD69">
        <v>1</v>
      </c>
      <c r="AO69" t="s">
        <v>694</v>
      </c>
      <c r="AT69" t="s">
        <v>681</v>
      </c>
      <c r="BD69">
        <v>1</v>
      </c>
      <c r="BE69">
        <v>1</v>
      </c>
      <c r="BF69">
        <v>0.1</v>
      </c>
      <c r="CL69" t="s">
        <v>697</v>
      </c>
      <c r="CM69" t="s">
        <v>685</v>
      </c>
      <c r="CN69" t="s">
        <v>688</v>
      </c>
      <c r="CR69">
        <v>3</v>
      </c>
    </row>
    <row r="70" spans="1:112" x14ac:dyDescent="0.25">
      <c r="A70" t="s">
        <v>698</v>
      </c>
      <c r="C70" t="s">
        <v>533</v>
      </c>
      <c r="K70" t="s">
        <v>538</v>
      </c>
      <c r="Q70" s="8" t="s">
        <v>699</v>
      </c>
      <c r="AC70">
        <v>2</v>
      </c>
      <c r="AD70">
        <v>1</v>
      </c>
      <c r="AO70" t="s">
        <v>527</v>
      </c>
      <c r="AT70" t="s">
        <v>681</v>
      </c>
      <c r="BD70">
        <v>1</v>
      </c>
      <c r="BE70">
        <v>1</v>
      </c>
      <c r="BF70">
        <v>0.1</v>
      </c>
      <c r="CL70" t="s">
        <v>697</v>
      </c>
      <c r="CM70" t="s">
        <v>685</v>
      </c>
    </row>
    <row r="72" spans="1:112" x14ac:dyDescent="0.25">
      <c r="A72" t="s">
        <v>700</v>
      </c>
      <c r="C72" t="s">
        <v>701</v>
      </c>
      <c r="D72" t="s">
        <v>702</v>
      </c>
      <c r="E72" t="s">
        <v>703</v>
      </c>
      <c r="F72" t="s">
        <v>627</v>
      </c>
      <c r="G72">
        <v>3</v>
      </c>
      <c r="J72" t="s">
        <v>557</v>
      </c>
      <c r="K72" s="8" t="s">
        <v>542</v>
      </c>
      <c r="AC72">
        <v>1</v>
      </c>
      <c r="AF72">
        <v>1</v>
      </c>
      <c r="AG72" t="s">
        <v>534</v>
      </c>
      <c r="BD72">
        <v>1</v>
      </c>
      <c r="BO72" t="s">
        <v>704</v>
      </c>
      <c r="BP72" t="s">
        <v>705</v>
      </c>
      <c r="BT72">
        <v>9999</v>
      </c>
      <c r="BV72" s="9">
        <v>0</v>
      </c>
      <c r="BW72" s="9">
        <v>25</v>
      </c>
      <c r="BX72" s="9">
        <v>1</v>
      </c>
      <c r="BY72" s="9" t="s">
        <v>542</v>
      </c>
      <c r="CL72" s="8"/>
      <c r="CN72" t="s">
        <v>706</v>
      </c>
      <c r="CO72">
        <v>35</v>
      </c>
      <c r="CR72">
        <v>9999</v>
      </c>
      <c r="CU72" t="s">
        <v>707</v>
      </c>
      <c r="DD72">
        <v>1</v>
      </c>
      <c r="DG72">
        <v>1</v>
      </c>
      <c r="DH72">
        <v>1</v>
      </c>
    </row>
    <row r="73" spans="1:112" x14ac:dyDescent="0.25">
      <c r="A73" t="s">
        <v>704</v>
      </c>
      <c r="C73" t="s">
        <v>533</v>
      </c>
      <c r="K73" t="s">
        <v>542</v>
      </c>
      <c r="O73" s="8" t="s">
        <v>708</v>
      </c>
      <c r="AC73">
        <v>2</v>
      </c>
      <c r="AD73">
        <v>1</v>
      </c>
      <c r="AO73" t="s">
        <v>527</v>
      </c>
      <c r="AT73" t="s">
        <v>681</v>
      </c>
      <c r="AX73" t="s">
        <v>563</v>
      </c>
      <c r="AZ73">
        <v>1</v>
      </c>
      <c r="BD73">
        <v>1</v>
      </c>
      <c r="BJ73">
        <v>1.5</v>
      </c>
      <c r="BK73">
        <v>1</v>
      </c>
      <c r="BL73">
        <v>0</v>
      </c>
      <c r="BO73" t="s">
        <v>682</v>
      </c>
      <c r="BP73" t="s">
        <v>687</v>
      </c>
      <c r="CB73" t="s">
        <v>709</v>
      </c>
      <c r="CG73" t="s">
        <v>530</v>
      </c>
      <c r="CN73" t="s">
        <v>685</v>
      </c>
      <c r="CR73">
        <v>0.1</v>
      </c>
      <c r="CY73" t="s">
        <v>710</v>
      </c>
    </row>
    <row r="74" spans="1:112" x14ac:dyDescent="0.25">
      <c r="A74" t="s">
        <v>705</v>
      </c>
      <c r="C74" t="s">
        <v>533</v>
      </c>
      <c r="I74">
        <v>1</v>
      </c>
      <c r="K74" s="8" t="s">
        <v>538</v>
      </c>
      <c r="M74"/>
      <c r="N74"/>
      <c r="O74"/>
      <c r="Y74" s="8"/>
      <c r="Z74" s="8"/>
      <c r="AA74" s="8"/>
      <c r="AB74" s="8"/>
      <c r="AC74">
        <v>1</v>
      </c>
      <c r="AG74" t="s">
        <v>534</v>
      </c>
      <c r="BD74">
        <v>1</v>
      </c>
      <c r="BS74">
        <v>0.33300000000000002</v>
      </c>
      <c r="BZ74"/>
      <c r="CB74" t="s">
        <v>711</v>
      </c>
      <c r="CG74" t="s">
        <v>530</v>
      </c>
      <c r="DD74">
        <v>1</v>
      </c>
      <c r="DF74">
        <v>1</v>
      </c>
      <c r="DG74">
        <v>1</v>
      </c>
      <c r="DH74">
        <v>1</v>
      </c>
    </row>
    <row r="75" spans="1:112" x14ac:dyDescent="0.25">
      <c r="BV75"/>
    </row>
    <row r="76" spans="1:112" x14ac:dyDescent="0.25">
      <c r="A76" t="s">
        <v>712</v>
      </c>
      <c r="C76" t="s">
        <v>533</v>
      </c>
      <c r="D76" t="s">
        <v>713</v>
      </c>
      <c r="E76" t="s">
        <v>714</v>
      </c>
      <c r="F76" t="s">
        <v>641</v>
      </c>
      <c r="G76">
        <v>3</v>
      </c>
      <c r="J76" t="s">
        <v>557</v>
      </c>
      <c r="K76" s="8" t="s">
        <v>570</v>
      </c>
      <c r="AC76">
        <v>1</v>
      </c>
      <c r="AF76">
        <v>1</v>
      </c>
      <c r="AG76" t="s">
        <v>534</v>
      </c>
      <c r="AT76" t="s">
        <v>715</v>
      </c>
      <c r="BD76">
        <v>1</v>
      </c>
      <c r="BO76" t="s">
        <v>716</v>
      </c>
      <c r="BP76" t="s">
        <v>717</v>
      </c>
      <c r="BT76">
        <v>30</v>
      </c>
      <c r="BV76" s="9">
        <v>30</v>
      </c>
      <c r="BW76" s="9">
        <v>40</v>
      </c>
      <c r="BX76" s="9">
        <v>1</v>
      </c>
      <c r="BY76" s="9" t="s">
        <v>542</v>
      </c>
      <c r="CL76" s="8"/>
      <c r="CN76" t="s">
        <v>718</v>
      </c>
      <c r="CO76">
        <v>1.25</v>
      </c>
      <c r="CR76">
        <v>30</v>
      </c>
      <c r="CU76" t="s">
        <v>719</v>
      </c>
      <c r="DD76">
        <v>1</v>
      </c>
      <c r="DG76">
        <v>1</v>
      </c>
      <c r="DH76">
        <v>1</v>
      </c>
    </row>
    <row r="77" spans="1:112" x14ac:dyDescent="0.25">
      <c r="A77" t="s">
        <v>720</v>
      </c>
      <c r="C77" t="s">
        <v>533</v>
      </c>
      <c r="K77" t="s">
        <v>542</v>
      </c>
      <c r="O77" s="8" t="s">
        <v>637</v>
      </c>
      <c r="AC77">
        <v>2</v>
      </c>
      <c r="AD77">
        <v>1</v>
      </c>
      <c r="AO77" t="s">
        <v>694</v>
      </c>
      <c r="AT77" t="s">
        <v>715</v>
      </c>
      <c r="AX77" t="s">
        <v>563</v>
      </c>
      <c r="AZ77">
        <v>1</v>
      </c>
      <c r="BD77">
        <v>1</v>
      </c>
      <c r="BJ77">
        <v>1.5</v>
      </c>
      <c r="BK77">
        <v>1</v>
      </c>
      <c r="BL77">
        <v>0</v>
      </c>
      <c r="BO77" t="s">
        <v>682</v>
      </c>
      <c r="BP77" t="s">
        <v>687</v>
      </c>
      <c r="CG77" t="s">
        <v>530</v>
      </c>
      <c r="CN77" t="s">
        <v>721</v>
      </c>
      <c r="CR77">
        <v>9999</v>
      </c>
      <c r="CY77" t="s">
        <v>686</v>
      </c>
    </row>
    <row r="78" spans="1:112" x14ac:dyDescent="0.25">
      <c r="A78" t="s">
        <v>717</v>
      </c>
      <c r="C78" t="s">
        <v>533</v>
      </c>
      <c r="I78">
        <v>1</v>
      </c>
      <c r="K78" s="8" t="s">
        <v>538</v>
      </c>
      <c r="M78"/>
      <c r="N78"/>
      <c r="O78"/>
      <c r="Y78" s="8"/>
      <c r="Z78" s="8"/>
      <c r="AA78" s="8"/>
      <c r="AB78" s="8"/>
      <c r="AC78">
        <v>1</v>
      </c>
      <c r="AG78" t="s">
        <v>534</v>
      </c>
      <c r="BD78">
        <v>1</v>
      </c>
      <c r="BS78">
        <v>0.33300000000000002</v>
      </c>
      <c r="BZ78"/>
      <c r="CB78" t="s">
        <v>598</v>
      </c>
      <c r="CG78" t="s">
        <v>530</v>
      </c>
      <c r="DD78">
        <v>1</v>
      </c>
      <c r="DF78">
        <v>1</v>
      </c>
      <c r="DG78">
        <v>1</v>
      </c>
      <c r="DH78">
        <v>1</v>
      </c>
    </row>
    <row r="79" spans="1:112" x14ac:dyDescent="0.25">
      <c r="A79" t="s">
        <v>722</v>
      </c>
      <c r="C79" t="s">
        <v>533</v>
      </c>
      <c r="I79">
        <v>1</v>
      </c>
      <c r="K79" s="8" t="s">
        <v>538</v>
      </c>
      <c r="L79" s="8" t="s">
        <v>581</v>
      </c>
      <c r="M79"/>
      <c r="N79"/>
      <c r="O79"/>
      <c r="Y79" s="8"/>
      <c r="Z79" s="8"/>
      <c r="AA79" s="8"/>
      <c r="AB79" s="8"/>
      <c r="AC79">
        <v>1</v>
      </c>
      <c r="AG79" t="s">
        <v>534</v>
      </c>
      <c r="BD79">
        <v>1</v>
      </c>
      <c r="BS79">
        <v>0.33300000000000002</v>
      </c>
      <c r="BZ79"/>
      <c r="CB79" t="s">
        <v>600</v>
      </c>
      <c r="CG79" t="s">
        <v>530</v>
      </c>
      <c r="DD79">
        <v>1</v>
      </c>
      <c r="DF79">
        <v>1</v>
      </c>
      <c r="DG79">
        <v>1</v>
      </c>
      <c r="DH79">
        <v>1</v>
      </c>
    </row>
    <row r="80" spans="1:112" x14ac:dyDescent="0.25">
      <c r="A80" t="s">
        <v>723</v>
      </c>
      <c r="C80" t="s">
        <v>533</v>
      </c>
      <c r="K80"/>
      <c r="O80" s="8" t="s">
        <v>637</v>
      </c>
      <c r="Q80" t="s">
        <v>724</v>
      </c>
      <c r="R80"/>
      <c r="AC80">
        <v>2</v>
      </c>
      <c r="AD80">
        <v>1</v>
      </c>
      <c r="AO80" t="s">
        <v>527</v>
      </c>
      <c r="AV80">
        <v>99</v>
      </c>
      <c r="BD80">
        <v>99</v>
      </c>
      <c r="BS80">
        <v>1</v>
      </c>
      <c r="CL80" t="s">
        <v>725</v>
      </c>
    </row>
    <row r="81" spans="1:112" x14ac:dyDescent="0.25">
      <c r="A81" t="s">
        <v>726</v>
      </c>
      <c r="C81" t="s">
        <v>533</v>
      </c>
      <c r="K81" s="8" t="s">
        <v>538</v>
      </c>
      <c r="L81" s="8" t="s">
        <v>727</v>
      </c>
      <c r="O81" s="8" t="s">
        <v>637</v>
      </c>
      <c r="Q81" t="s">
        <v>724</v>
      </c>
      <c r="R81"/>
      <c r="AC81">
        <v>2</v>
      </c>
      <c r="AD81">
        <v>1</v>
      </c>
      <c r="AO81" t="s">
        <v>527</v>
      </c>
      <c r="AV81">
        <v>99</v>
      </c>
      <c r="BD81">
        <v>99</v>
      </c>
      <c r="BS81">
        <v>0.1</v>
      </c>
      <c r="CM81" t="s">
        <v>724</v>
      </c>
      <c r="CU81" t="s">
        <v>728</v>
      </c>
    </row>
    <row r="82" spans="1:112" x14ac:dyDescent="0.25">
      <c r="A82" t="s">
        <v>729</v>
      </c>
      <c r="C82" t="s">
        <v>533</v>
      </c>
      <c r="O82" s="8" t="s">
        <v>637</v>
      </c>
      <c r="Q82"/>
      <c r="R82"/>
      <c r="AC82">
        <v>2</v>
      </c>
      <c r="AD82">
        <v>1</v>
      </c>
      <c r="AO82" t="s">
        <v>527</v>
      </c>
      <c r="AT82" t="s">
        <v>715</v>
      </c>
      <c r="BD82">
        <v>99</v>
      </c>
      <c r="BS82">
        <v>0.1</v>
      </c>
      <c r="CN82" t="s">
        <v>729</v>
      </c>
      <c r="CO82">
        <v>-0.33329999999999999</v>
      </c>
      <c r="CR82">
        <v>0.2</v>
      </c>
    </row>
    <row r="83" spans="1:112" x14ac:dyDescent="0.25">
      <c r="A83" t="s">
        <v>730</v>
      </c>
      <c r="C83" t="s">
        <v>731</v>
      </c>
      <c r="K83" s="8" t="s">
        <v>538</v>
      </c>
      <c r="L83" s="8" t="s">
        <v>727</v>
      </c>
      <c r="O83" s="8" t="s">
        <v>637</v>
      </c>
      <c r="Q83"/>
      <c r="R83"/>
      <c r="AC83">
        <v>2</v>
      </c>
      <c r="AD83">
        <v>1</v>
      </c>
      <c r="AO83" t="s">
        <v>527</v>
      </c>
      <c r="AT83" t="s">
        <v>715</v>
      </c>
      <c r="BD83">
        <v>99</v>
      </c>
      <c r="BS83">
        <v>0.1</v>
      </c>
      <c r="CU83" t="s">
        <v>732</v>
      </c>
    </row>
    <row r="84" spans="1:112" x14ac:dyDescent="0.25">
      <c r="CL84" s="8"/>
    </row>
    <row r="85" spans="1:112" x14ac:dyDescent="0.25">
      <c r="A85" t="s">
        <v>174</v>
      </c>
      <c r="C85" t="s">
        <v>731</v>
      </c>
      <c r="K85" s="8" t="s">
        <v>538</v>
      </c>
      <c r="L85" s="8" t="s">
        <v>733</v>
      </c>
      <c r="AC85">
        <v>1</v>
      </c>
      <c r="AG85" t="s">
        <v>534</v>
      </c>
      <c r="BD85">
        <v>1</v>
      </c>
      <c r="BV85"/>
      <c r="CL85" s="8"/>
      <c r="CU85" t="s">
        <v>734</v>
      </c>
    </row>
    <row r="86" spans="1:112" x14ac:dyDescent="0.25">
      <c r="A86" t="s">
        <v>180</v>
      </c>
      <c r="C86" t="s">
        <v>735</v>
      </c>
      <c r="I86">
        <v>1</v>
      </c>
      <c r="K86" s="8" t="s">
        <v>538</v>
      </c>
      <c r="L86" s="8" t="s">
        <v>733</v>
      </c>
      <c r="AC86">
        <v>2</v>
      </c>
      <c r="AO86" t="s">
        <v>527</v>
      </c>
      <c r="AT86" t="s">
        <v>628</v>
      </c>
      <c r="BD86">
        <v>4</v>
      </c>
      <c r="BT86">
        <v>0.2</v>
      </c>
      <c r="CL86" s="8"/>
      <c r="CU86" t="s">
        <v>736</v>
      </c>
      <c r="CY86" t="s">
        <v>737</v>
      </c>
    </row>
    <row r="87" spans="1:112" x14ac:dyDescent="0.25">
      <c r="A87" t="s">
        <v>738</v>
      </c>
      <c r="C87" t="s">
        <v>596</v>
      </c>
      <c r="K87" s="8" t="s">
        <v>538</v>
      </c>
      <c r="L87" s="8" t="s">
        <v>733</v>
      </c>
      <c r="AC87">
        <v>1</v>
      </c>
      <c r="AG87" t="s">
        <v>534</v>
      </c>
      <c r="BD87">
        <v>1</v>
      </c>
      <c r="BV87"/>
      <c r="CL87" s="8"/>
      <c r="CU87" t="s">
        <v>739</v>
      </c>
    </row>
    <row r="88" spans="1:112" x14ac:dyDescent="0.25">
      <c r="CL88" s="8"/>
    </row>
    <row r="89" spans="1:112" x14ac:dyDescent="0.25">
      <c r="A89" t="s">
        <v>740</v>
      </c>
      <c r="C89" t="s">
        <v>533</v>
      </c>
      <c r="I89">
        <v>1</v>
      </c>
      <c r="J89" t="s">
        <v>557</v>
      </c>
      <c r="K89" s="8" t="s">
        <v>542</v>
      </c>
      <c r="AC89">
        <v>2</v>
      </c>
      <c r="AD89">
        <v>1</v>
      </c>
      <c r="AV89">
        <v>0.4</v>
      </c>
      <c r="BD89">
        <v>1</v>
      </c>
      <c r="BO89" t="s">
        <v>741</v>
      </c>
      <c r="BP89" t="s">
        <v>742</v>
      </c>
      <c r="BT89">
        <v>6</v>
      </c>
      <c r="BV89" s="9">
        <v>1</v>
      </c>
      <c r="BW89" s="9">
        <v>1</v>
      </c>
      <c r="BX89" s="9">
        <v>1</v>
      </c>
      <c r="BY89" s="9" t="s">
        <v>743</v>
      </c>
      <c r="CL89" s="8"/>
      <c r="DH89">
        <v>1</v>
      </c>
    </row>
    <row r="90" spans="1:112" x14ac:dyDescent="0.25">
      <c r="A90" t="s">
        <v>742</v>
      </c>
      <c r="C90" t="s">
        <v>533</v>
      </c>
      <c r="I90">
        <v>1</v>
      </c>
      <c r="J90" s="11"/>
      <c r="K90" s="11" t="s">
        <v>538</v>
      </c>
      <c r="L90" s="11"/>
      <c r="M90"/>
      <c r="N90"/>
      <c r="O90" s="11"/>
      <c r="P90"/>
      <c r="Q90"/>
      <c r="R90" s="11"/>
      <c r="S90" s="11"/>
      <c r="T90" s="11"/>
      <c r="U90" s="11"/>
      <c r="V90" s="11"/>
      <c r="W90" s="11"/>
      <c r="X90" s="11"/>
      <c r="Y90" s="11"/>
      <c r="AC90">
        <v>1</v>
      </c>
      <c r="AG90" t="s">
        <v>534</v>
      </c>
      <c r="AT90" t="s">
        <v>602</v>
      </c>
      <c r="AX90" t="s">
        <v>543</v>
      </c>
      <c r="AZ90">
        <v>999</v>
      </c>
      <c r="BB90">
        <v>2</v>
      </c>
      <c r="BD90">
        <v>1</v>
      </c>
      <c r="BV90" s="14"/>
      <c r="BW90" s="14"/>
      <c r="BX90" s="14"/>
      <c r="BY90" s="14"/>
      <c r="BZ90" s="14"/>
      <c r="CA90" s="14"/>
      <c r="DD90">
        <v>1</v>
      </c>
      <c r="DG90">
        <v>1</v>
      </c>
      <c r="DH90">
        <v>1</v>
      </c>
    </row>
    <row r="91" spans="1:112" x14ac:dyDescent="0.25">
      <c r="A91" t="s">
        <v>744</v>
      </c>
      <c r="C91" t="s">
        <v>731</v>
      </c>
      <c r="K91" s="8" t="s">
        <v>538</v>
      </c>
      <c r="L91" s="8" t="s">
        <v>745</v>
      </c>
      <c r="AC91">
        <v>1</v>
      </c>
      <c r="AG91" t="s">
        <v>534</v>
      </c>
      <c r="BD91">
        <v>1</v>
      </c>
      <c r="BV91"/>
      <c r="CL91" s="8"/>
      <c r="CU91" t="s">
        <v>746</v>
      </c>
    </row>
    <row r="92" spans="1:112" x14ac:dyDescent="0.25">
      <c r="A92" t="s">
        <v>747</v>
      </c>
      <c r="C92" t="s">
        <v>731</v>
      </c>
      <c r="K92" s="8" t="s">
        <v>538</v>
      </c>
      <c r="L92" s="8" t="s">
        <v>748</v>
      </c>
      <c r="AC92">
        <v>1</v>
      </c>
      <c r="AG92" t="s">
        <v>534</v>
      </c>
      <c r="BD92">
        <v>1</v>
      </c>
      <c r="BV92"/>
      <c r="CL92" s="8"/>
      <c r="CU92" t="s">
        <v>746</v>
      </c>
    </row>
    <row r="93" spans="1:112" x14ac:dyDescent="0.25">
      <c r="CL93" s="8"/>
    </row>
    <row r="94" spans="1:112" x14ac:dyDescent="0.25">
      <c r="A94" t="s">
        <v>749</v>
      </c>
      <c r="C94" t="s">
        <v>533</v>
      </c>
      <c r="I94">
        <v>1</v>
      </c>
      <c r="K94" s="8" t="s">
        <v>538</v>
      </c>
      <c r="L94" s="11" t="s">
        <v>733</v>
      </c>
      <c r="AC94">
        <v>1</v>
      </c>
      <c r="AG94" t="s">
        <v>534</v>
      </c>
      <c r="BD94">
        <v>1</v>
      </c>
      <c r="CY94" t="s">
        <v>750</v>
      </c>
    </row>
    <row r="95" spans="1:112" x14ac:dyDescent="0.25">
      <c r="A95" t="s">
        <v>751</v>
      </c>
      <c r="C95" t="s">
        <v>533</v>
      </c>
      <c r="I95">
        <v>1</v>
      </c>
      <c r="K95" s="8" t="s">
        <v>538</v>
      </c>
      <c r="L95" s="11" t="s">
        <v>733</v>
      </c>
      <c r="M95"/>
      <c r="N95"/>
      <c r="O95" s="11"/>
      <c r="P95"/>
      <c r="Q95"/>
      <c r="R95" s="11"/>
      <c r="S95" s="11"/>
      <c r="T95" s="11"/>
      <c r="U95" s="11"/>
      <c r="V95" s="11"/>
      <c r="W95" s="11"/>
      <c r="X95" s="11">
        <v>1</v>
      </c>
      <c r="Y95" s="11"/>
      <c r="AC95">
        <v>2</v>
      </c>
      <c r="AD95">
        <v>1</v>
      </c>
      <c r="AO95" t="s">
        <v>527</v>
      </c>
      <c r="AT95" t="s">
        <v>628</v>
      </c>
      <c r="AX95" t="s">
        <v>563</v>
      </c>
      <c r="AZ95">
        <v>1.5</v>
      </c>
      <c r="BD95">
        <v>99</v>
      </c>
      <c r="BE95">
        <v>11</v>
      </c>
      <c r="BF95">
        <v>0.5</v>
      </c>
      <c r="BO95" t="s">
        <v>752</v>
      </c>
      <c r="BP95" t="s">
        <v>753</v>
      </c>
      <c r="BV95" s="14"/>
      <c r="BW95" s="14"/>
      <c r="BX95" s="14"/>
      <c r="BY95" s="14"/>
      <c r="BZ95" s="14"/>
      <c r="CA95" s="14"/>
      <c r="CB95" t="s">
        <v>69</v>
      </c>
      <c r="CG95" t="s">
        <v>530</v>
      </c>
      <c r="CL95" s="8" t="s">
        <v>754</v>
      </c>
      <c r="CU95" t="s">
        <v>755</v>
      </c>
      <c r="CY95" t="s">
        <v>656</v>
      </c>
    </row>
    <row r="96" spans="1:112" x14ac:dyDescent="0.25">
      <c r="A96" t="s">
        <v>752</v>
      </c>
      <c r="C96" t="s">
        <v>533</v>
      </c>
      <c r="I96">
        <v>1</v>
      </c>
      <c r="K96" s="8" t="s">
        <v>538</v>
      </c>
      <c r="L96" s="8" t="s">
        <v>733</v>
      </c>
      <c r="X96" s="8">
        <v>1</v>
      </c>
      <c r="AC96">
        <v>2</v>
      </c>
      <c r="AD96">
        <v>1</v>
      </c>
      <c r="AO96" t="s">
        <v>527</v>
      </c>
      <c r="AT96" t="s">
        <v>628</v>
      </c>
      <c r="BD96">
        <v>99</v>
      </c>
      <c r="BV96"/>
      <c r="CL96" s="8"/>
      <c r="CN96" t="s">
        <v>756</v>
      </c>
      <c r="CO96">
        <v>-0.8</v>
      </c>
      <c r="CR96">
        <v>6</v>
      </c>
      <c r="CY96" t="s">
        <v>656</v>
      </c>
    </row>
    <row r="97" spans="1:112" x14ac:dyDescent="0.25">
      <c r="A97" t="s">
        <v>753</v>
      </c>
      <c r="C97" t="s">
        <v>533</v>
      </c>
      <c r="I97">
        <v>1</v>
      </c>
      <c r="K97" s="8" t="s">
        <v>538</v>
      </c>
      <c r="AC97">
        <v>1</v>
      </c>
      <c r="AG97" t="s">
        <v>534</v>
      </c>
      <c r="AT97" t="s">
        <v>602</v>
      </c>
      <c r="AX97" t="s">
        <v>543</v>
      </c>
      <c r="AZ97">
        <v>0.09</v>
      </c>
      <c r="BB97">
        <v>1</v>
      </c>
      <c r="BD97">
        <v>1</v>
      </c>
      <c r="BE97">
        <v>11</v>
      </c>
      <c r="BF97">
        <v>0.5</v>
      </c>
      <c r="BV97"/>
      <c r="CL97" s="8"/>
      <c r="CY97" t="s">
        <v>656</v>
      </c>
      <c r="DD97">
        <v>1</v>
      </c>
      <c r="DG97">
        <v>1</v>
      </c>
      <c r="DH97">
        <v>1</v>
      </c>
    </row>
    <row r="98" spans="1:112" s="6" customFormat="1" x14ac:dyDescent="0.25"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AR98"/>
      <c r="AS98"/>
      <c r="BV98" s="12"/>
      <c r="BW98" s="12"/>
      <c r="BX98" s="12"/>
      <c r="BY98" s="12"/>
      <c r="BZ98" s="12"/>
      <c r="CA98" s="12"/>
      <c r="CL98" s="10"/>
    </row>
    <row r="99" spans="1:112" x14ac:dyDescent="0.25">
      <c r="A99" t="s">
        <v>191</v>
      </c>
      <c r="C99" t="s">
        <v>533</v>
      </c>
      <c r="R99"/>
      <c r="AC99">
        <v>2</v>
      </c>
      <c r="AD99">
        <v>1</v>
      </c>
      <c r="AO99" t="s">
        <v>527</v>
      </c>
      <c r="AT99" t="s">
        <v>757</v>
      </c>
      <c r="AX99" t="s">
        <v>529</v>
      </c>
      <c r="AZ99">
        <v>1</v>
      </c>
      <c r="BD99">
        <v>1</v>
      </c>
      <c r="BO99" t="s">
        <v>758</v>
      </c>
      <c r="CB99" t="s">
        <v>759</v>
      </c>
      <c r="CD99" t="s">
        <v>760</v>
      </c>
      <c r="CG99" t="s">
        <v>530</v>
      </c>
      <c r="CH99" t="s">
        <v>761</v>
      </c>
      <c r="CI99" t="s">
        <v>762</v>
      </c>
      <c r="CJ99" t="s">
        <v>763</v>
      </c>
      <c r="CN99" s="15"/>
      <c r="CY99" t="s">
        <v>764</v>
      </c>
    </row>
    <row r="100" spans="1:112" x14ac:dyDescent="0.25">
      <c r="A100" t="s">
        <v>758</v>
      </c>
      <c r="C100" t="s">
        <v>533</v>
      </c>
      <c r="R100"/>
      <c r="AA100">
        <v>0.5</v>
      </c>
      <c r="AC100">
        <v>2</v>
      </c>
      <c r="AD100">
        <v>1</v>
      </c>
      <c r="AO100" t="s">
        <v>527</v>
      </c>
      <c r="AT100" t="s">
        <v>757</v>
      </c>
      <c r="AX100" t="s">
        <v>529</v>
      </c>
      <c r="AZ100">
        <v>1.8</v>
      </c>
      <c r="BD100">
        <v>1</v>
      </c>
      <c r="CB100" t="s">
        <v>759</v>
      </c>
      <c r="CD100" t="s">
        <v>760</v>
      </c>
      <c r="CG100" t="s">
        <v>530</v>
      </c>
      <c r="CH100" t="s">
        <v>761</v>
      </c>
      <c r="CI100" t="s">
        <v>762</v>
      </c>
      <c r="CN100" s="15"/>
      <c r="CY100" t="s">
        <v>764</v>
      </c>
    </row>
    <row r="101" spans="1:112" x14ac:dyDescent="0.25">
      <c r="A101" t="s">
        <v>765</v>
      </c>
      <c r="C101" t="s">
        <v>701</v>
      </c>
      <c r="D101" t="s">
        <v>766</v>
      </c>
      <c r="E101" t="s">
        <v>767</v>
      </c>
      <c r="F101" t="s">
        <v>768</v>
      </c>
      <c r="G101">
        <v>3</v>
      </c>
      <c r="J101" t="s">
        <v>557</v>
      </c>
      <c r="K101" s="8" t="s">
        <v>542</v>
      </c>
      <c r="M101"/>
      <c r="N101"/>
      <c r="S101"/>
      <c r="Y101" s="8"/>
      <c r="Z101" s="8"/>
      <c r="AA101" s="8"/>
      <c r="AB101" s="8"/>
      <c r="AC101">
        <v>1</v>
      </c>
      <c r="AG101" t="s">
        <v>534</v>
      </c>
      <c r="BD101">
        <v>1</v>
      </c>
      <c r="BO101" t="s">
        <v>769</v>
      </c>
      <c r="BV101" s="9">
        <v>0</v>
      </c>
      <c r="BW101" s="9">
        <v>18</v>
      </c>
      <c r="BX101" s="9">
        <v>1</v>
      </c>
      <c r="BY101" s="9" t="s">
        <v>542</v>
      </c>
      <c r="CU101" t="s">
        <v>770</v>
      </c>
    </row>
    <row r="102" spans="1:112" x14ac:dyDescent="0.25">
      <c r="A102" t="s">
        <v>771</v>
      </c>
      <c r="C102" t="s">
        <v>701</v>
      </c>
      <c r="I102">
        <v>1</v>
      </c>
      <c r="K102" s="11" t="s">
        <v>538</v>
      </c>
      <c r="L102" s="11" t="s">
        <v>733</v>
      </c>
      <c r="M102"/>
      <c r="N102"/>
      <c r="O102" s="11"/>
      <c r="P102"/>
      <c r="Q102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>
        <v>1</v>
      </c>
      <c r="AG102" t="s">
        <v>534</v>
      </c>
      <c r="BD102">
        <v>1</v>
      </c>
      <c r="BV102" s="14"/>
      <c r="BW102" s="14"/>
      <c r="BX102" s="14"/>
      <c r="BY102" s="14"/>
      <c r="BZ102" s="14"/>
      <c r="CA102" s="14"/>
      <c r="CU102" t="s">
        <v>772</v>
      </c>
      <c r="DD102">
        <v>1</v>
      </c>
      <c r="DF102">
        <v>1</v>
      </c>
      <c r="DG102">
        <v>1</v>
      </c>
      <c r="DH102">
        <v>1</v>
      </c>
    </row>
    <row r="103" spans="1:112" x14ac:dyDescent="0.25">
      <c r="A103" t="s">
        <v>773</v>
      </c>
      <c r="C103" t="s">
        <v>533</v>
      </c>
      <c r="I103">
        <v>1</v>
      </c>
      <c r="K103" s="11" t="s">
        <v>538</v>
      </c>
      <c r="L103" s="11" t="s">
        <v>748</v>
      </c>
      <c r="M103"/>
      <c r="N103"/>
      <c r="O103" s="11"/>
      <c r="P103"/>
      <c r="Q103"/>
      <c r="R103" s="11"/>
      <c r="S103" s="11"/>
      <c r="T103" s="11"/>
      <c r="U103" s="11"/>
      <c r="V103" s="11"/>
      <c r="W103" s="11"/>
      <c r="X103" s="11"/>
      <c r="AC103">
        <v>2</v>
      </c>
      <c r="AV103">
        <v>1.7</v>
      </c>
      <c r="BD103">
        <v>99</v>
      </c>
      <c r="BV103"/>
      <c r="BW103" s="14"/>
      <c r="BX103" s="14"/>
      <c r="BY103" s="14"/>
      <c r="BZ103" s="14"/>
      <c r="CA103" s="14"/>
      <c r="CG103" t="s">
        <v>530</v>
      </c>
      <c r="CN103" t="s">
        <v>774</v>
      </c>
      <c r="CO103">
        <v>-0.8</v>
      </c>
      <c r="CR103">
        <v>10</v>
      </c>
      <c r="CX103" t="s">
        <v>686</v>
      </c>
      <c r="DH103">
        <v>1</v>
      </c>
    </row>
    <row r="104" spans="1:112" x14ac:dyDescent="0.25">
      <c r="A104" t="s">
        <v>775</v>
      </c>
      <c r="C104" t="s">
        <v>533</v>
      </c>
      <c r="I104">
        <v>1</v>
      </c>
      <c r="K104" s="11" t="s">
        <v>538</v>
      </c>
      <c r="L104" s="11" t="s">
        <v>745</v>
      </c>
      <c r="M104"/>
      <c r="N104"/>
      <c r="O104" s="11"/>
      <c r="P104"/>
      <c r="Q104"/>
      <c r="R104" s="11"/>
      <c r="S104" s="11"/>
      <c r="T104" s="11"/>
      <c r="U104" s="11"/>
      <c r="V104" s="11"/>
      <c r="W104" s="11"/>
      <c r="X104" s="11"/>
      <c r="AC104">
        <v>2</v>
      </c>
      <c r="AV104">
        <v>1.7</v>
      </c>
      <c r="BD104">
        <v>99</v>
      </c>
      <c r="BV104"/>
      <c r="BW104" s="14"/>
      <c r="BX104" s="14"/>
      <c r="BY104" s="14"/>
      <c r="BZ104" s="14"/>
      <c r="CA104" s="14"/>
      <c r="CG104" t="s">
        <v>530</v>
      </c>
      <c r="CN104" t="s">
        <v>774</v>
      </c>
      <c r="CO104">
        <v>-0.8</v>
      </c>
      <c r="CR104">
        <v>10</v>
      </c>
      <c r="CX104" t="s">
        <v>686</v>
      </c>
      <c r="DH104">
        <v>1</v>
      </c>
    </row>
    <row r="105" spans="1:112" x14ac:dyDescent="0.25">
      <c r="R105"/>
      <c r="CN105" s="15"/>
    </row>
    <row r="106" spans="1:112" x14ac:dyDescent="0.25">
      <c r="A106" t="s">
        <v>776</v>
      </c>
      <c r="C106" t="s">
        <v>533</v>
      </c>
      <c r="D106" t="s">
        <v>777</v>
      </c>
      <c r="E106" t="s">
        <v>778</v>
      </c>
      <c r="F106" t="s">
        <v>779</v>
      </c>
      <c r="G106">
        <v>3</v>
      </c>
      <c r="J106" t="s">
        <v>557</v>
      </c>
      <c r="K106" s="8" t="s">
        <v>570</v>
      </c>
      <c r="M106"/>
      <c r="N106"/>
      <c r="P106"/>
      <c r="Y106" s="8"/>
      <c r="Z106" s="8"/>
      <c r="AA106" s="8"/>
      <c r="AB106" s="8"/>
      <c r="AC106">
        <v>1</v>
      </c>
      <c r="AG106" t="s">
        <v>534</v>
      </c>
      <c r="BD106">
        <v>1</v>
      </c>
      <c r="BO106" t="s">
        <v>780</v>
      </c>
      <c r="BP106" t="s">
        <v>781</v>
      </c>
      <c r="BT106">
        <v>20</v>
      </c>
      <c r="BV106" s="9">
        <v>12</v>
      </c>
      <c r="BW106" s="9">
        <v>16</v>
      </c>
      <c r="BX106" s="9">
        <v>1</v>
      </c>
      <c r="BY106" s="9" t="s">
        <v>696</v>
      </c>
      <c r="BZ106"/>
      <c r="CB106" s="9"/>
      <c r="CN106" t="s">
        <v>782</v>
      </c>
      <c r="CO106">
        <v>3</v>
      </c>
      <c r="CR106">
        <v>20</v>
      </c>
    </row>
    <row r="107" spans="1:112" x14ac:dyDescent="0.25">
      <c r="A107" t="s">
        <v>783</v>
      </c>
      <c r="C107" t="s">
        <v>701</v>
      </c>
      <c r="I107">
        <v>1</v>
      </c>
      <c r="K107" s="11" t="s">
        <v>538</v>
      </c>
      <c r="L107" s="11" t="s">
        <v>733</v>
      </c>
      <c r="M107"/>
      <c r="N107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>
        <v>1</v>
      </c>
      <c r="AG107" t="s">
        <v>534</v>
      </c>
      <c r="BD107">
        <v>1</v>
      </c>
      <c r="BV107" s="14"/>
      <c r="BW107" s="14"/>
      <c r="BX107" s="14"/>
      <c r="BY107" s="14"/>
      <c r="BZ107"/>
      <c r="CA107" s="14"/>
      <c r="CB107" s="14"/>
      <c r="CU107" t="s">
        <v>784</v>
      </c>
      <c r="DD107">
        <v>1</v>
      </c>
      <c r="DF107">
        <v>1</v>
      </c>
      <c r="DG107">
        <v>1</v>
      </c>
      <c r="DH107">
        <v>1</v>
      </c>
    </row>
    <row r="108" spans="1:112" x14ac:dyDescent="0.25">
      <c r="A108" t="s">
        <v>785</v>
      </c>
      <c r="C108" t="s">
        <v>533</v>
      </c>
      <c r="M108"/>
      <c r="N108"/>
      <c r="O108" t="s">
        <v>786</v>
      </c>
      <c r="Y108" s="8"/>
      <c r="Z108" s="8"/>
      <c r="AA108" s="8"/>
      <c r="AB108" s="8"/>
      <c r="AC108">
        <v>2</v>
      </c>
      <c r="AD108">
        <v>1</v>
      </c>
      <c r="AO108" t="s">
        <v>527</v>
      </c>
      <c r="AT108" t="s">
        <v>787</v>
      </c>
      <c r="AX108" t="s">
        <v>529</v>
      </c>
      <c r="AZ108">
        <v>1</v>
      </c>
      <c r="BD108">
        <v>1</v>
      </c>
      <c r="BJ108">
        <v>1.1000000000000001</v>
      </c>
      <c r="BK108">
        <v>1</v>
      </c>
      <c r="BL108">
        <v>1</v>
      </c>
      <c r="BO108" t="s">
        <v>788</v>
      </c>
      <c r="BZ108"/>
      <c r="CB108" t="s">
        <v>789</v>
      </c>
      <c r="CG108" t="s">
        <v>530</v>
      </c>
      <c r="CH108" t="s">
        <v>761</v>
      </c>
      <c r="CI108" t="s">
        <v>762</v>
      </c>
      <c r="CJ108" t="s">
        <v>790</v>
      </c>
      <c r="CY108" t="s">
        <v>791</v>
      </c>
    </row>
    <row r="109" spans="1:112" x14ac:dyDescent="0.25">
      <c r="A109" t="s">
        <v>788</v>
      </c>
      <c r="C109" t="s">
        <v>533</v>
      </c>
      <c r="M109"/>
      <c r="N109"/>
      <c r="O109" t="s">
        <v>786</v>
      </c>
      <c r="Y109" s="8"/>
      <c r="Z109" s="8"/>
      <c r="AA109" s="8">
        <v>0.5</v>
      </c>
      <c r="AB109" s="8"/>
      <c r="AC109">
        <v>2</v>
      </c>
      <c r="AD109">
        <v>1</v>
      </c>
      <c r="AO109" t="s">
        <v>527</v>
      </c>
      <c r="AT109" t="s">
        <v>787</v>
      </c>
      <c r="AX109" t="s">
        <v>529</v>
      </c>
      <c r="AZ109">
        <v>1.8</v>
      </c>
      <c r="BD109">
        <v>1</v>
      </c>
      <c r="BJ109">
        <v>1.1000000000000001</v>
      </c>
      <c r="BK109">
        <v>1</v>
      </c>
      <c r="BL109">
        <v>1</v>
      </c>
      <c r="BZ109"/>
      <c r="CB109" t="s">
        <v>789</v>
      </c>
      <c r="CG109" t="s">
        <v>530</v>
      </c>
      <c r="CH109" t="s">
        <v>761</v>
      </c>
      <c r="CI109" t="s">
        <v>762</v>
      </c>
      <c r="CJ109" t="s">
        <v>792</v>
      </c>
      <c r="CY109" t="s">
        <v>791</v>
      </c>
    </row>
    <row r="110" spans="1:112" x14ac:dyDescent="0.25">
      <c r="A110" t="s">
        <v>781</v>
      </c>
      <c r="C110" t="s">
        <v>533</v>
      </c>
      <c r="I110">
        <v>1</v>
      </c>
      <c r="K110" s="8" t="s">
        <v>538</v>
      </c>
      <c r="M110"/>
      <c r="N110"/>
      <c r="O110"/>
      <c r="Y110" s="8"/>
      <c r="Z110" s="8"/>
      <c r="AA110" s="8"/>
      <c r="AB110" s="8"/>
      <c r="AC110">
        <v>1</v>
      </c>
      <c r="AG110" t="s">
        <v>534</v>
      </c>
      <c r="BD110">
        <v>1</v>
      </c>
      <c r="BS110">
        <v>0.5</v>
      </c>
      <c r="BZ110"/>
      <c r="CB110" t="s">
        <v>711</v>
      </c>
      <c r="CG110" t="s">
        <v>530</v>
      </c>
      <c r="DD110">
        <v>1</v>
      </c>
      <c r="DF110">
        <v>1</v>
      </c>
      <c r="DG110">
        <v>1</v>
      </c>
      <c r="DH110">
        <v>1</v>
      </c>
    </row>
    <row r="111" spans="1:112" x14ac:dyDescent="0.25">
      <c r="A111" t="s">
        <v>793</v>
      </c>
      <c r="C111" t="s">
        <v>533</v>
      </c>
      <c r="I111">
        <v>1</v>
      </c>
      <c r="K111" s="8" t="s">
        <v>538</v>
      </c>
      <c r="L111" s="8" t="s">
        <v>581</v>
      </c>
      <c r="M111"/>
      <c r="N111"/>
      <c r="O111"/>
      <c r="Y111" s="8"/>
      <c r="Z111" s="8"/>
      <c r="AA111" s="8"/>
      <c r="AB111" s="8"/>
      <c r="AC111">
        <v>1</v>
      </c>
      <c r="AG111" t="s">
        <v>534</v>
      </c>
      <c r="BD111">
        <v>1</v>
      </c>
      <c r="BS111">
        <v>0.5</v>
      </c>
      <c r="BZ111"/>
      <c r="CB111" t="s">
        <v>794</v>
      </c>
      <c r="CG111" t="s">
        <v>530</v>
      </c>
      <c r="DD111">
        <v>1</v>
      </c>
      <c r="DF111">
        <v>1</v>
      </c>
      <c r="DG111">
        <v>1</v>
      </c>
      <c r="DH111">
        <v>1</v>
      </c>
    </row>
    <row r="112" spans="1:112" x14ac:dyDescent="0.25">
      <c r="A112" t="s">
        <v>795</v>
      </c>
      <c r="C112" t="s">
        <v>701</v>
      </c>
      <c r="I112">
        <v>1</v>
      </c>
      <c r="K112" s="11" t="s">
        <v>538</v>
      </c>
      <c r="L112" s="8" t="s">
        <v>581</v>
      </c>
      <c r="M112"/>
      <c r="N112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>
        <v>1</v>
      </c>
      <c r="AG112" t="s">
        <v>534</v>
      </c>
      <c r="BD112">
        <v>1</v>
      </c>
      <c r="BV112"/>
      <c r="BW112" s="14"/>
      <c r="BX112" s="14"/>
      <c r="BY112" s="14"/>
      <c r="BZ112" s="14"/>
      <c r="CA112" s="14"/>
      <c r="CB112" s="14"/>
      <c r="CU112" t="s">
        <v>796</v>
      </c>
      <c r="DD112">
        <v>1</v>
      </c>
      <c r="DF112">
        <v>1</v>
      </c>
      <c r="DG112">
        <v>1</v>
      </c>
      <c r="DH112">
        <v>1</v>
      </c>
    </row>
    <row r="113" spans="1:123" x14ac:dyDescent="0.25">
      <c r="A113" t="s">
        <v>797</v>
      </c>
      <c r="C113" t="s">
        <v>533</v>
      </c>
      <c r="I113">
        <v>1</v>
      </c>
      <c r="K113" s="11" t="s">
        <v>538</v>
      </c>
      <c r="L113" s="11" t="s">
        <v>748</v>
      </c>
      <c r="M113"/>
      <c r="N113"/>
      <c r="O113" s="11"/>
      <c r="P113"/>
      <c r="Q113"/>
      <c r="R113" s="11"/>
      <c r="S113" s="11"/>
      <c r="T113" s="11"/>
      <c r="U113" s="11"/>
      <c r="V113" s="11"/>
      <c r="W113" s="11"/>
      <c r="X113" s="11"/>
      <c r="AC113">
        <v>2</v>
      </c>
      <c r="AV113">
        <v>1.7</v>
      </c>
      <c r="BD113">
        <v>99</v>
      </c>
      <c r="BV113"/>
      <c r="BW113" s="14"/>
      <c r="BX113" s="14"/>
      <c r="BY113" s="14"/>
      <c r="BZ113" s="14"/>
      <c r="CA113" s="14"/>
      <c r="CG113" t="s">
        <v>530</v>
      </c>
      <c r="CN113" t="s">
        <v>798</v>
      </c>
      <c r="CR113">
        <v>5</v>
      </c>
      <c r="CX113" t="s">
        <v>686</v>
      </c>
      <c r="DH113">
        <v>1</v>
      </c>
    </row>
    <row r="114" spans="1:123" x14ac:dyDescent="0.25">
      <c r="A114" t="s">
        <v>799</v>
      </c>
      <c r="C114" t="s">
        <v>533</v>
      </c>
      <c r="I114">
        <v>1</v>
      </c>
      <c r="K114" s="11" t="s">
        <v>538</v>
      </c>
      <c r="L114" s="11" t="s">
        <v>745</v>
      </c>
      <c r="M114"/>
      <c r="N114"/>
      <c r="O114" s="11"/>
      <c r="P114"/>
      <c r="Q114"/>
      <c r="R114" s="11"/>
      <c r="S114" s="11"/>
      <c r="T114" s="11"/>
      <c r="U114" s="11"/>
      <c r="V114" s="11"/>
      <c r="W114" s="11"/>
      <c r="X114" s="11"/>
      <c r="AC114">
        <v>2</v>
      </c>
      <c r="AV114">
        <v>1.7</v>
      </c>
      <c r="BD114">
        <v>99</v>
      </c>
      <c r="BV114"/>
      <c r="BW114" s="14"/>
      <c r="BX114" s="14"/>
      <c r="BY114" s="14"/>
      <c r="BZ114" s="14"/>
      <c r="CA114" s="14"/>
      <c r="CG114" t="s">
        <v>530</v>
      </c>
      <c r="CN114" t="s">
        <v>798</v>
      </c>
      <c r="CR114">
        <v>5</v>
      </c>
      <c r="CX114" t="s">
        <v>686</v>
      </c>
      <c r="DH114">
        <v>1</v>
      </c>
    </row>
    <row r="115" spans="1:123" x14ac:dyDescent="0.25">
      <c r="J115" s="11"/>
      <c r="L115" s="11"/>
      <c r="M115"/>
      <c r="N115"/>
      <c r="O115" s="11"/>
      <c r="P115"/>
      <c r="Q115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J115" s="11"/>
      <c r="BV115"/>
      <c r="BW115"/>
      <c r="BX115"/>
      <c r="BY115"/>
      <c r="BZ115"/>
      <c r="CA115"/>
      <c r="CZ115" s="14"/>
      <c r="DA115" s="14"/>
      <c r="DB115" s="14"/>
      <c r="DC115" s="14"/>
      <c r="DD115" s="14"/>
      <c r="DE115" s="14"/>
    </row>
    <row r="116" spans="1:123" x14ac:dyDescent="0.25">
      <c r="A116" t="s">
        <v>800</v>
      </c>
      <c r="C116" t="s">
        <v>533</v>
      </c>
      <c r="D116" t="s">
        <v>801</v>
      </c>
      <c r="E116" t="s">
        <v>802</v>
      </c>
      <c r="F116" t="s">
        <v>803</v>
      </c>
      <c r="G116">
        <v>3</v>
      </c>
      <c r="J116" t="s">
        <v>557</v>
      </c>
      <c r="K116" s="8" t="s">
        <v>570</v>
      </c>
      <c r="M116"/>
      <c r="N116"/>
      <c r="P116"/>
      <c r="AC116">
        <v>1</v>
      </c>
      <c r="AG116" t="s">
        <v>534</v>
      </c>
      <c r="BD116">
        <v>1</v>
      </c>
      <c r="BO116" t="s">
        <v>804</v>
      </c>
      <c r="BP116" t="s">
        <v>805</v>
      </c>
      <c r="BT116">
        <v>40</v>
      </c>
      <c r="BU116">
        <v>1</v>
      </c>
      <c r="BV116" s="9">
        <v>24</v>
      </c>
      <c r="BW116" s="9">
        <v>34</v>
      </c>
      <c r="BX116" s="9">
        <v>1</v>
      </c>
      <c r="BY116" s="9" t="s">
        <v>542</v>
      </c>
      <c r="CA116" s="9" t="s">
        <v>743</v>
      </c>
      <c r="CN116" t="s">
        <v>806</v>
      </c>
      <c r="CO116" s="39" t="s">
        <v>807</v>
      </c>
      <c r="CR116">
        <v>99999</v>
      </c>
      <c r="CT116">
        <v>1</v>
      </c>
    </row>
    <row r="117" spans="1:123" x14ac:dyDescent="0.25">
      <c r="A117" t="s">
        <v>808</v>
      </c>
      <c r="C117" t="s">
        <v>701</v>
      </c>
      <c r="I117">
        <v>1</v>
      </c>
      <c r="K117" s="11" t="s">
        <v>538</v>
      </c>
      <c r="L117" s="11" t="s">
        <v>733</v>
      </c>
      <c r="M117"/>
      <c r="N117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AC117">
        <v>1</v>
      </c>
      <c r="AG117" t="s">
        <v>534</v>
      </c>
      <c r="BD117">
        <v>1</v>
      </c>
      <c r="BV117" s="14"/>
      <c r="BW117" s="14"/>
      <c r="BX117" s="14"/>
      <c r="BY117" s="14"/>
      <c r="BZ117" s="14"/>
      <c r="CA117" s="14"/>
      <c r="CU117" t="s">
        <v>809</v>
      </c>
      <c r="DD117">
        <v>1</v>
      </c>
      <c r="DG117">
        <v>1</v>
      </c>
      <c r="DH117">
        <v>1</v>
      </c>
    </row>
    <row r="118" spans="1:123" x14ac:dyDescent="0.25">
      <c r="A118" t="s">
        <v>810</v>
      </c>
      <c r="C118" t="s">
        <v>533</v>
      </c>
      <c r="M118"/>
      <c r="N118"/>
      <c r="O118" t="s">
        <v>811</v>
      </c>
      <c r="R118" t="s">
        <v>812</v>
      </c>
      <c r="AC118">
        <v>2</v>
      </c>
      <c r="AD118">
        <v>1</v>
      </c>
      <c r="AO118" t="s">
        <v>527</v>
      </c>
      <c r="AT118" t="s">
        <v>757</v>
      </c>
      <c r="AX118" t="s">
        <v>529</v>
      </c>
      <c r="AZ118">
        <v>1</v>
      </c>
      <c r="BD118">
        <v>1</v>
      </c>
      <c r="BO118" t="s">
        <v>813</v>
      </c>
      <c r="CA118" s="9" t="s">
        <v>696</v>
      </c>
      <c r="CB118" t="s">
        <v>651</v>
      </c>
      <c r="CD118" s="13" t="s">
        <v>814</v>
      </c>
      <c r="CG118" t="s">
        <v>530</v>
      </c>
      <c r="CY118" t="s">
        <v>764</v>
      </c>
    </row>
    <row r="119" spans="1:123" x14ac:dyDescent="0.25">
      <c r="A119" t="s">
        <v>813</v>
      </c>
      <c r="C119" t="s">
        <v>533</v>
      </c>
      <c r="M119"/>
      <c r="N119"/>
      <c r="O119" t="s">
        <v>811</v>
      </c>
      <c r="R119" t="s">
        <v>812</v>
      </c>
      <c r="AA119">
        <v>0.5</v>
      </c>
      <c r="AC119">
        <v>2</v>
      </c>
      <c r="AD119">
        <v>1</v>
      </c>
      <c r="AO119" t="s">
        <v>527</v>
      </c>
      <c r="AT119" t="s">
        <v>757</v>
      </c>
      <c r="AX119" t="s">
        <v>529</v>
      </c>
      <c r="AZ119">
        <v>1.8</v>
      </c>
      <c r="BD119">
        <v>1</v>
      </c>
      <c r="CA119" s="9" t="s">
        <v>696</v>
      </c>
      <c r="CB119" t="s">
        <v>651</v>
      </c>
      <c r="CD119" s="13" t="s">
        <v>814</v>
      </c>
      <c r="CG119" t="s">
        <v>530</v>
      </c>
      <c r="CY119" t="s">
        <v>764</v>
      </c>
    </row>
    <row r="120" spans="1:123" x14ac:dyDescent="0.25">
      <c r="A120" t="s">
        <v>815</v>
      </c>
      <c r="C120" t="s">
        <v>533</v>
      </c>
      <c r="M120"/>
      <c r="N120"/>
      <c r="O120" t="s">
        <v>811</v>
      </c>
      <c r="Q120" t="s">
        <v>812</v>
      </c>
      <c r="AC120">
        <v>2</v>
      </c>
      <c r="AD120">
        <v>1</v>
      </c>
      <c r="AO120" t="s">
        <v>527</v>
      </c>
      <c r="AT120" t="s">
        <v>757</v>
      </c>
      <c r="AX120" t="s">
        <v>529</v>
      </c>
      <c r="AZ120">
        <v>1.8</v>
      </c>
      <c r="BD120">
        <v>1</v>
      </c>
      <c r="CA120" s="9" t="s">
        <v>696</v>
      </c>
      <c r="CB120" t="s">
        <v>651</v>
      </c>
      <c r="CD120" s="13" t="s">
        <v>814</v>
      </c>
      <c r="CG120" t="s">
        <v>530</v>
      </c>
      <c r="CY120" t="s">
        <v>764</v>
      </c>
    </row>
    <row r="121" spans="1:123" x14ac:dyDescent="0.25">
      <c r="A121" t="s">
        <v>805</v>
      </c>
      <c r="C121" t="s">
        <v>533</v>
      </c>
      <c r="I121">
        <v>1</v>
      </c>
      <c r="K121" s="8" t="s">
        <v>538</v>
      </c>
      <c r="M121"/>
      <c r="N121"/>
      <c r="O121"/>
      <c r="AC121">
        <v>1</v>
      </c>
      <c r="AG121" t="s">
        <v>534</v>
      </c>
      <c r="BD121">
        <v>1</v>
      </c>
      <c r="BS121">
        <v>0.5</v>
      </c>
      <c r="CB121" t="s">
        <v>598</v>
      </c>
      <c r="CG121" t="s">
        <v>530</v>
      </c>
      <c r="DD121">
        <v>1</v>
      </c>
      <c r="DG121">
        <v>1</v>
      </c>
      <c r="DH121">
        <v>1</v>
      </c>
    </row>
    <row r="122" spans="1:123" x14ac:dyDescent="0.25">
      <c r="A122" t="s">
        <v>816</v>
      </c>
      <c r="C122" t="s">
        <v>533</v>
      </c>
      <c r="I122">
        <v>1</v>
      </c>
      <c r="K122" s="8" t="s">
        <v>538</v>
      </c>
      <c r="L122" s="8" t="s">
        <v>581</v>
      </c>
      <c r="M122"/>
      <c r="N122"/>
      <c r="O122"/>
      <c r="AC122">
        <v>1</v>
      </c>
      <c r="AG122" t="s">
        <v>534</v>
      </c>
      <c r="BD122">
        <v>1</v>
      </c>
      <c r="BS122">
        <v>0.5</v>
      </c>
      <c r="CB122" t="s">
        <v>600</v>
      </c>
      <c r="CG122" t="s">
        <v>530</v>
      </c>
      <c r="DD122">
        <v>1</v>
      </c>
      <c r="DG122">
        <v>1</v>
      </c>
      <c r="DH122">
        <v>1</v>
      </c>
    </row>
    <row r="123" spans="1:123" x14ac:dyDescent="0.25">
      <c r="A123" t="s">
        <v>817</v>
      </c>
      <c r="C123" t="s">
        <v>701</v>
      </c>
      <c r="I123">
        <v>1</v>
      </c>
      <c r="K123" s="11" t="s">
        <v>538</v>
      </c>
      <c r="L123" s="8" t="s">
        <v>581</v>
      </c>
      <c r="M123"/>
      <c r="N123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AC123">
        <v>1</v>
      </c>
      <c r="AG123" t="s">
        <v>534</v>
      </c>
      <c r="BD123">
        <v>1</v>
      </c>
      <c r="BV123" s="14"/>
      <c r="BW123" s="14"/>
      <c r="BX123" s="14"/>
      <c r="BY123" s="14"/>
      <c r="BZ123" s="14"/>
      <c r="CA123" s="14"/>
      <c r="CU123" t="s">
        <v>818</v>
      </c>
      <c r="DD123">
        <v>1</v>
      </c>
      <c r="DG123">
        <v>1</v>
      </c>
      <c r="DH123">
        <v>1</v>
      </c>
    </row>
    <row r="124" spans="1:123" x14ac:dyDescent="0.25">
      <c r="A124" t="s">
        <v>819</v>
      </c>
      <c r="C124" t="s">
        <v>533</v>
      </c>
      <c r="I124">
        <v>1</v>
      </c>
      <c r="K124" s="11" t="s">
        <v>538</v>
      </c>
      <c r="L124" s="11" t="s">
        <v>733</v>
      </c>
      <c r="M124"/>
      <c r="N124" s="11">
        <v>1</v>
      </c>
      <c r="P124"/>
      <c r="Q124"/>
      <c r="R124" s="11"/>
      <c r="S124" s="11"/>
      <c r="T124" s="11"/>
      <c r="U124" s="11"/>
      <c r="V124" s="11"/>
      <c r="W124" s="11"/>
      <c r="X124"/>
      <c r="AC124">
        <v>1</v>
      </c>
      <c r="AG124" t="s">
        <v>534</v>
      </c>
      <c r="BD124">
        <v>1</v>
      </c>
      <c r="BO124" t="s">
        <v>820</v>
      </c>
      <c r="BV124"/>
      <c r="BW124" s="14"/>
      <c r="BX124" s="14"/>
      <c r="BY124" s="14"/>
      <c r="BZ124" s="14"/>
      <c r="CA124" s="14"/>
      <c r="CB124" s="14"/>
      <c r="CN124" t="s">
        <v>821</v>
      </c>
      <c r="CR124">
        <v>99999</v>
      </c>
      <c r="DD124">
        <v>1</v>
      </c>
      <c r="DG124">
        <v>1</v>
      </c>
      <c r="DH124">
        <v>1</v>
      </c>
    </row>
    <row r="125" spans="1:123" x14ac:dyDescent="0.25">
      <c r="A125" t="s">
        <v>820</v>
      </c>
      <c r="C125" t="s">
        <v>533</v>
      </c>
      <c r="I125">
        <v>1</v>
      </c>
      <c r="J125" s="11"/>
      <c r="K125" s="11"/>
      <c r="L125" s="11"/>
      <c r="M125"/>
      <c r="N125"/>
      <c r="O125" s="11"/>
      <c r="P125"/>
      <c r="Q125"/>
      <c r="R125" s="11"/>
      <c r="S125" s="11"/>
      <c r="T125" s="11"/>
      <c r="U125" s="11"/>
      <c r="V125" s="11"/>
      <c r="W125" s="11"/>
      <c r="X125" s="11"/>
      <c r="AC125">
        <v>1</v>
      </c>
      <c r="AG125" t="s">
        <v>534</v>
      </c>
      <c r="AT125" t="s">
        <v>602</v>
      </c>
      <c r="BD125">
        <v>1</v>
      </c>
      <c r="BV125"/>
      <c r="BW125" s="14"/>
      <c r="BX125" s="14"/>
      <c r="BY125" s="14"/>
      <c r="BZ125" s="14"/>
      <c r="CA125" s="14"/>
      <c r="CB125" s="14"/>
      <c r="DD125">
        <v>1</v>
      </c>
      <c r="DG125">
        <v>1</v>
      </c>
      <c r="DH125">
        <v>1</v>
      </c>
      <c r="DS125">
        <v>1</v>
      </c>
    </row>
    <row r="126" spans="1:123" x14ac:dyDescent="0.25">
      <c r="A126" t="s">
        <v>822</v>
      </c>
      <c r="C126" t="s">
        <v>533</v>
      </c>
      <c r="I126">
        <v>1</v>
      </c>
      <c r="K126" s="11" t="s">
        <v>538</v>
      </c>
      <c r="L126" s="11" t="s">
        <v>748</v>
      </c>
      <c r="M126"/>
      <c r="N126"/>
      <c r="O126" s="11"/>
      <c r="P126"/>
      <c r="Q126"/>
      <c r="R126" s="11"/>
      <c r="S126" s="11"/>
      <c r="T126" s="11"/>
      <c r="U126" s="11"/>
      <c r="V126" s="11"/>
      <c r="W126" s="11"/>
      <c r="X126" s="11"/>
      <c r="AC126">
        <v>2</v>
      </c>
      <c r="AV126">
        <v>1.7</v>
      </c>
      <c r="BD126">
        <v>99</v>
      </c>
      <c r="BV126"/>
      <c r="BW126" s="14"/>
      <c r="BX126" s="14"/>
      <c r="BY126" s="14"/>
      <c r="BZ126" s="14"/>
      <c r="CA126" s="14"/>
      <c r="CG126" t="s">
        <v>530</v>
      </c>
      <c r="CN126" t="s">
        <v>823</v>
      </c>
      <c r="CO126">
        <v>-0.8</v>
      </c>
      <c r="CP126">
        <v>0.35</v>
      </c>
      <c r="CR126">
        <v>7</v>
      </c>
      <c r="CX126" t="s">
        <v>686</v>
      </c>
      <c r="DH126">
        <v>1</v>
      </c>
    </row>
    <row r="127" spans="1:123" x14ac:dyDescent="0.25">
      <c r="A127" t="s">
        <v>824</v>
      </c>
      <c r="C127" t="s">
        <v>533</v>
      </c>
      <c r="I127">
        <v>1</v>
      </c>
      <c r="K127" s="11" t="s">
        <v>538</v>
      </c>
      <c r="L127" s="11" t="s">
        <v>745</v>
      </c>
      <c r="M127"/>
      <c r="N127"/>
      <c r="O127" s="11"/>
      <c r="P127"/>
      <c r="Q127"/>
      <c r="R127" s="11"/>
      <c r="S127" s="11"/>
      <c r="T127" s="11"/>
      <c r="U127" s="11"/>
      <c r="V127" s="11"/>
      <c r="W127" s="11"/>
      <c r="X127" s="11"/>
      <c r="AC127">
        <v>2</v>
      </c>
      <c r="AV127">
        <v>1.7</v>
      </c>
      <c r="BD127">
        <v>99</v>
      </c>
      <c r="BV127"/>
      <c r="BW127" s="14"/>
      <c r="BX127" s="14"/>
      <c r="BY127" s="14"/>
      <c r="BZ127" s="14"/>
      <c r="CA127" s="14"/>
      <c r="CG127" t="s">
        <v>530</v>
      </c>
      <c r="CN127" t="s">
        <v>823</v>
      </c>
      <c r="CO127">
        <v>-0.8</v>
      </c>
      <c r="CP127">
        <v>0.35</v>
      </c>
      <c r="CR127">
        <v>7</v>
      </c>
      <c r="CX127" t="s">
        <v>686</v>
      </c>
      <c r="DH127">
        <v>1</v>
      </c>
    </row>
    <row r="130" spans="1:112" x14ac:dyDescent="0.25">
      <c r="A130" t="s">
        <v>202</v>
      </c>
      <c r="C130" t="s">
        <v>533</v>
      </c>
      <c r="D130" t="s">
        <v>766</v>
      </c>
      <c r="E130" t="s">
        <v>825</v>
      </c>
      <c r="F130" t="s">
        <v>768</v>
      </c>
      <c r="K130" s="11" t="s">
        <v>538</v>
      </c>
      <c r="L130" s="11"/>
      <c r="M130"/>
      <c r="N130"/>
      <c r="O130" s="11"/>
      <c r="P130"/>
      <c r="Q130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>
        <v>2</v>
      </c>
      <c r="AT130" t="s">
        <v>602</v>
      </c>
      <c r="BD130">
        <v>1</v>
      </c>
      <c r="BV130"/>
      <c r="BW130" s="14"/>
      <c r="BX130" s="14"/>
      <c r="BY130" s="14"/>
      <c r="BZ130" s="14"/>
      <c r="CA130" s="14"/>
    </row>
    <row r="131" spans="1:112" x14ac:dyDescent="0.25">
      <c r="A131" t="s">
        <v>826</v>
      </c>
      <c r="C131" t="s">
        <v>533</v>
      </c>
      <c r="I131">
        <v>1</v>
      </c>
      <c r="K131" s="11"/>
      <c r="L131" s="11"/>
      <c r="M131"/>
      <c r="N131"/>
      <c r="O131" s="11"/>
      <c r="P131"/>
      <c r="Q13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>
        <v>2</v>
      </c>
      <c r="AV131">
        <v>1.35</v>
      </c>
      <c r="BD131">
        <v>1</v>
      </c>
      <c r="BP131" t="s">
        <v>827</v>
      </c>
      <c r="BV131"/>
      <c r="BW131" s="14"/>
      <c r="BX131" s="14"/>
      <c r="BY131" s="14"/>
      <c r="BZ131" s="14"/>
      <c r="CA131" s="14"/>
      <c r="DH131">
        <v>1</v>
      </c>
    </row>
    <row r="132" spans="1:112" x14ac:dyDescent="0.25">
      <c r="A132" t="s">
        <v>827</v>
      </c>
      <c r="C132" t="s">
        <v>533</v>
      </c>
      <c r="I132">
        <v>1</v>
      </c>
      <c r="K132" s="11" t="s">
        <v>538</v>
      </c>
      <c r="L132" s="11"/>
      <c r="M132"/>
      <c r="N132"/>
      <c r="O132" s="11"/>
      <c r="P132"/>
      <c r="Q132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>
        <v>2</v>
      </c>
      <c r="AV132">
        <v>1.7</v>
      </c>
      <c r="BD132">
        <v>99</v>
      </c>
      <c r="BP132" t="s">
        <v>828</v>
      </c>
      <c r="BS132">
        <v>0.5</v>
      </c>
      <c r="BV132"/>
      <c r="BW132" s="14"/>
      <c r="BX132" s="14"/>
      <c r="BY132" s="14"/>
      <c r="BZ132" s="14"/>
      <c r="CA132" s="14"/>
      <c r="CB132" t="s">
        <v>69</v>
      </c>
      <c r="CG132" t="s">
        <v>530</v>
      </c>
      <c r="CN132" t="s">
        <v>774</v>
      </c>
      <c r="CO132">
        <v>-0.8</v>
      </c>
      <c r="CR132">
        <v>10</v>
      </c>
      <c r="CX132" t="s">
        <v>686</v>
      </c>
      <c r="DH132">
        <v>1</v>
      </c>
    </row>
    <row r="133" spans="1:112" x14ac:dyDescent="0.25">
      <c r="A133" t="s">
        <v>207</v>
      </c>
      <c r="C133" t="s">
        <v>533</v>
      </c>
      <c r="D133" t="s">
        <v>777</v>
      </c>
      <c r="E133" t="s">
        <v>829</v>
      </c>
      <c r="F133" t="s">
        <v>779</v>
      </c>
      <c r="K133" s="11" t="s">
        <v>538</v>
      </c>
      <c r="L133" s="11"/>
      <c r="M133"/>
      <c r="N133"/>
      <c r="O133" s="11"/>
      <c r="P133"/>
      <c r="Q133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>
        <v>2</v>
      </c>
      <c r="AT133" t="s">
        <v>602</v>
      </c>
      <c r="BD133">
        <v>1</v>
      </c>
      <c r="BV133"/>
      <c r="BW133" s="14"/>
      <c r="BX133" s="14"/>
      <c r="BY133" s="14"/>
      <c r="BZ133" s="14"/>
      <c r="CA133" s="14"/>
    </row>
    <row r="134" spans="1:112" x14ac:dyDescent="0.25">
      <c r="A134" t="s">
        <v>830</v>
      </c>
      <c r="C134" t="s">
        <v>533</v>
      </c>
      <c r="I134">
        <v>1</v>
      </c>
      <c r="K134" s="11"/>
      <c r="L134" s="11"/>
      <c r="M134"/>
      <c r="N134"/>
      <c r="O134" s="11"/>
      <c r="P134"/>
      <c r="Q134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>
        <v>2</v>
      </c>
      <c r="AV134">
        <v>1.35</v>
      </c>
      <c r="BD134">
        <v>1</v>
      </c>
      <c r="BP134" t="s">
        <v>831</v>
      </c>
      <c r="BV134"/>
      <c r="BW134" s="14"/>
      <c r="BX134" s="14"/>
      <c r="BY134" s="14"/>
      <c r="BZ134" s="14"/>
      <c r="CA134" s="14"/>
      <c r="DH134">
        <v>1</v>
      </c>
    </row>
    <row r="135" spans="1:112" x14ac:dyDescent="0.25">
      <c r="A135" t="s">
        <v>831</v>
      </c>
      <c r="C135" t="s">
        <v>533</v>
      </c>
      <c r="I135">
        <v>1</v>
      </c>
      <c r="K135" s="11" t="s">
        <v>538</v>
      </c>
      <c r="L135" s="11"/>
      <c r="M135"/>
      <c r="N135"/>
      <c r="O135" s="11"/>
      <c r="P135"/>
      <c r="Q135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>
        <v>2</v>
      </c>
      <c r="AV135">
        <v>1.7</v>
      </c>
      <c r="BD135">
        <v>99</v>
      </c>
      <c r="BP135" t="s">
        <v>828</v>
      </c>
      <c r="BS135">
        <v>0.5</v>
      </c>
      <c r="BV135"/>
      <c r="BW135" s="14"/>
      <c r="BX135" s="14"/>
      <c r="BY135" s="14"/>
      <c r="BZ135" s="14"/>
      <c r="CA135" s="14"/>
      <c r="CB135" t="s">
        <v>69</v>
      </c>
      <c r="CG135" t="s">
        <v>530</v>
      </c>
      <c r="CN135" t="s">
        <v>798</v>
      </c>
      <c r="CR135">
        <v>5</v>
      </c>
      <c r="CX135" t="s">
        <v>686</v>
      </c>
      <c r="DH135">
        <v>1</v>
      </c>
    </row>
    <row r="136" spans="1:112" x14ac:dyDescent="0.25">
      <c r="A136" t="s">
        <v>210</v>
      </c>
      <c r="C136" t="s">
        <v>533</v>
      </c>
      <c r="D136" t="s">
        <v>801</v>
      </c>
      <c r="E136" t="s">
        <v>832</v>
      </c>
      <c r="F136" t="s">
        <v>803</v>
      </c>
      <c r="K136" s="11" t="s">
        <v>538</v>
      </c>
      <c r="L136" s="11"/>
      <c r="M136"/>
      <c r="N136"/>
      <c r="O136" s="11"/>
      <c r="P136"/>
      <c r="Q136"/>
      <c r="R136" s="11"/>
      <c r="S136" s="11"/>
      <c r="T136" s="11"/>
      <c r="U136" s="11"/>
      <c r="V136" s="11"/>
      <c r="W136" s="11"/>
      <c r="X136" s="11"/>
      <c r="AC136">
        <v>2</v>
      </c>
      <c r="AT136" t="s">
        <v>602</v>
      </c>
      <c r="BD136">
        <v>1</v>
      </c>
      <c r="BV136"/>
      <c r="BW136" s="14"/>
      <c r="BX136" s="14"/>
      <c r="BY136" s="14"/>
      <c r="BZ136" s="14"/>
      <c r="CA136" s="14"/>
    </row>
    <row r="137" spans="1:112" x14ac:dyDescent="0.25">
      <c r="A137" t="s">
        <v>833</v>
      </c>
      <c r="C137" t="s">
        <v>533</v>
      </c>
      <c r="I137">
        <v>1</v>
      </c>
      <c r="K137" s="11"/>
      <c r="L137" s="11"/>
      <c r="M137"/>
      <c r="N137"/>
      <c r="O137" s="11"/>
      <c r="P137"/>
      <c r="Q137"/>
      <c r="R137" s="11"/>
      <c r="S137" s="11"/>
      <c r="T137" s="11"/>
      <c r="U137" s="11"/>
      <c r="V137" s="11"/>
      <c r="W137" s="11"/>
      <c r="X137" s="11"/>
      <c r="AC137">
        <v>2</v>
      </c>
      <c r="AV137">
        <v>1.35</v>
      </c>
      <c r="BD137">
        <v>1</v>
      </c>
      <c r="BP137" t="s">
        <v>834</v>
      </c>
      <c r="BV137"/>
      <c r="BW137" s="14"/>
      <c r="BX137" s="14"/>
      <c r="BY137" s="14"/>
      <c r="BZ137" s="14"/>
      <c r="CA137" s="14"/>
      <c r="DH137">
        <v>1</v>
      </c>
    </row>
    <row r="138" spans="1:112" x14ac:dyDescent="0.25">
      <c r="A138" t="s">
        <v>834</v>
      </c>
      <c r="C138" t="s">
        <v>533</v>
      </c>
      <c r="I138">
        <v>1</v>
      </c>
      <c r="K138" s="11" t="s">
        <v>538</v>
      </c>
      <c r="L138" s="11"/>
      <c r="M138"/>
      <c r="N138"/>
      <c r="O138" s="11"/>
      <c r="P138"/>
      <c r="Q138"/>
      <c r="R138" s="11"/>
      <c r="S138" s="11"/>
      <c r="T138" s="11"/>
      <c r="U138" s="11"/>
      <c r="V138" s="11"/>
      <c r="W138" s="11"/>
      <c r="X138" s="11"/>
      <c r="AC138">
        <v>2</v>
      </c>
      <c r="AV138">
        <v>1.7</v>
      </c>
      <c r="BD138">
        <v>99</v>
      </c>
      <c r="BP138" t="s">
        <v>828</v>
      </c>
      <c r="BS138">
        <v>0.5</v>
      </c>
      <c r="BV138"/>
      <c r="BW138" s="14"/>
      <c r="BX138" s="14"/>
      <c r="BY138" s="14"/>
      <c r="BZ138" s="14"/>
      <c r="CA138" s="14"/>
      <c r="CB138" t="s">
        <v>69</v>
      </c>
      <c r="CG138" t="s">
        <v>530</v>
      </c>
      <c r="CN138" t="s">
        <v>823</v>
      </c>
      <c r="CO138">
        <v>-0.8</v>
      </c>
      <c r="CP138">
        <v>0.35</v>
      </c>
      <c r="CR138">
        <v>7</v>
      </c>
      <c r="CX138" t="s">
        <v>686</v>
      </c>
      <c r="DH138">
        <v>1</v>
      </c>
    </row>
    <row r="139" spans="1:112" x14ac:dyDescent="0.25">
      <c r="A139" t="s">
        <v>828</v>
      </c>
      <c r="C139" t="s">
        <v>533</v>
      </c>
      <c r="I139">
        <v>1</v>
      </c>
      <c r="K139" s="11" t="s">
        <v>538</v>
      </c>
      <c r="L139" s="11"/>
      <c r="M139"/>
      <c r="N139"/>
      <c r="O139" s="11"/>
      <c r="P139"/>
      <c r="Q139"/>
      <c r="R139" s="11"/>
      <c r="S139" s="11"/>
      <c r="T139" s="11"/>
      <c r="U139" s="11"/>
      <c r="V139" s="11"/>
      <c r="W139" s="11"/>
      <c r="X139" s="11"/>
      <c r="AC139">
        <v>1</v>
      </c>
      <c r="AD139">
        <v>1</v>
      </c>
      <c r="AG139" t="s">
        <v>534</v>
      </c>
      <c r="AX139" t="s">
        <v>543</v>
      </c>
      <c r="AZ139">
        <v>1</v>
      </c>
      <c r="BB139">
        <v>1</v>
      </c>
      <c r="BD139">
        <v>1</v>
      </c>
      <c r="BV139"/>
      <c r="BW139" s="14"/>
      <c r="BX139" s="14"/>
      <c r="BY139" s="14"/>
      <c r="BZ139" s="14"/>
      <c r="CA139" s="14"/>
      <c r="DD139">
        <v>1</v>
      </c>
      <c r="DF139">
        <v>1</v>
      </c>
      <c r="DG139">
        <v>1</v>
      </c>
      <c r="DH139">
        <v>1</v>
      </c>
    </row>
    <row r="140" spans="1:112" s="6" customFormat="1" x14ac:dyDescent="0.25"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AR140"/>
      <c r="AS140"/>
      <c r="BV140" s="12"/>
      <c r="BW140" s="12"/>
      <c r="BX140" s="12"/>
      <c r="BY140" s="12"/>
      <c r="BZ140" s="12"/>
      <c r="CA140" s="12"/>
      <c r="CL140" s="10"/>
    </row>
    <row r="141" spans="1:112" x14ac:dyDescent="0.25">
      <c r="A141" t="s">
        <v>835</v>
      </c>
      <c r="C141" t="s">
        <v>533</v>
      </c>
      <c r="J141" t="s">
        <v>836</v>
      </c>
      <c r="K141" s="8" t="s">
        <v>538</v>
      </c>
      <c r="O141"/>
      <c r="AC141">
        <v>1</v>
      </c>
      <c r="AO141" t="s">
        <v>837</v>
      </c>
      <c r="AT141" t="s">
        <v>838</v>
      </c>
    </row>
    <row r="142" spans="1:112" x14ac:dyDescent="0.25">
      <c r="A142" t="s">
        <v>839</v>
      </c>
      <c r="C142" t="s">
        <v>533</v>
      </c>
      <c r="P142"/>
      <c r="S142" s="8">
        <v>1</v>
      </c>
      <c r="AC142">
        <v>1</v>
      </c>
      <c r="AO142" t="s">
        <v>840</v>
      </c>
      <c r="AT142" t="s">
        <v>681</v>
      </c>
      <c r="AY142">
        <v>1</v>
      </c>
      <c r="AZ142">
        <v>1</v>
      </c>
      <c r="BD142">
        <v>1</v>
      </c>
      <c r="BP142" t="s">
        <v>841</v>
      </c>
      <c r="CB142" t="s">
        <v>69</v>
      </c>
      <c r="CG142" t="s">
        <v>530</v>
      </c>
      <c r="CH142" t="s">
        <v>842</v>
      </c>
      <c r="CI142" t="s">
        <v>762</v>
      </c>
      <c r="CN142" t="s">
        <v>843</v>
      </c>
      <c r="CO142">
        <v>22</v>
      </c>
      <c r="CR142">
        <v>10</v>
      </c>
      <c r="CY142" t="s">
        <v>844</v>
      </c>
    </row>
    <row r="143" spans="1:112" x14ac:dyDescent="0.25">
      <c r="A143" t="s">
        <v>845</v>
      </c>
      <c r="C143" t="s">
        <v>701</v>
      </c>
      <c r="K143" s="8" t="s">
        <v>538</v>
      </c>
      <c r="L143" s="8" t="s">
        <v>733</v>
      </c>
      <c r="AC143">
        <v>1</v>
      </c>
      <c r="AF143">
        <v>1</v>
      </c>
      <c r="AG143" t="s">
        <v>534</v>
      </c>
      <c r="BD143">
        <v>1</v>
      </c>
      <c r="CL143" s="8"/>
      <c r="CU143" t="s">
        <v>846</v>
      </c>
      <c r="DD143">
        <v>1</v>
      </c>
      <c r="DG143">
        <v>1</v>
      </c>
      <c r="DH143">
        <v>1</v>
      </c>
    </row>
    <row r="144" spans="1:112" x14ac:dyDescent="0.25">
      <c r="A144" t="s">
        <v>847</v>
      </c>
      <c r="C144" t="s">
        <v>533</v>
      </c>
      <c r="I144">
        <v>1</v>
      </c>
      <c r="K144" s="11" t="s">
        <v>538</v>
      </c>
      <c r="L144" s="11" t="s">
        <v>733</v>
      </c>
      <c r="M144"/>
      <c r="N144"/>
      <c r="O144" s="11"/>
      <c r="P144"/>
      <c r="Q144"/>
      <c r="R144" s="11"/>
      <c r="S144" s="11"/>
      <c r="T144" s="11"/>
      <c r="U144" s="11"/>
      <c r="V144" s="11"/>
      <c r="W144" s="11"/>
      <c r="X144"/>
      <c r="AC144">
        <v>1</v>
      </c>
      <c r="AG144" t="s">
        <v>534</v>
      </c>
      <c r="AT144" t="s">
        <v>602</v>
      </c>
      <c r="BD144">
        <v>1</v>
      </c>
      <c r="BO144" t="s">
        <v>848</v>
      </c>
      <c r="BU144" s="14"/>
      <c r="BV144" s="14"/>
      <c r="BW144" s="14"/>
      <c r="BX144" s="14"/>
      <c r="BY144" s="14"/>
      <c r="BZ144" s="14"/>
      <c r="CA144"/>
      <c r="CN144" t="s">
        <v>849</v>
      </c>
      <c r="CO144">
        <v>8</v>
      </c>
      <c r="CR144">
        <v>9999</v>
      </c>
      <c r="DD144">
        <v>1</v>
      </c>
    </row>
    <row r="145" spans="1:112" x14ac:dyDescent="0.25">
      <c r="A145" t="s">
        <v>848</v>
      </c>
      <c r="C145" t="s">
        <v>533</v>
      </c>
      <c r="I145">
        <v>1</v>
      </c>
      <c r="K145" s="11"/>
      <c r="L145" s="11"/>
      <c r="M145"/>
      <c r="N145"/>
      <c r="O145" s="11"/>
      <c r="P145"/>
      <c r="Q145"/>
      <c r="R145" s="11"/>
      <c r="S145" s="11"/>
      <c r="T145" s="11"/>
      <c r="U145" s="11"/>
      <c r="V145" s="11"/>
      <c r="W145" s="11"/>
      <c r="X145"/>
      <c r="AC145">
        <v>1</v>
      </c>
      <c r="AT145" t="s">
        <v>850</v>
      </c>
      <c r="BD145">
        <v>99</v>
      </c>
      <c r="BS145">
        <v>0.1</v>
      </c>
      <c r="BU145" s="14"/>
      <c r="BV145" s="14"/>
      <c r="BW145" s="14"/>
      <c r="BX145" s="14"/>
      <c r="BY145" s="14"/>
      <c r="BZ145" s="14"/>
      <c r="CA145"/>
      <c r="CN145" s="5" t="s">
        <v>851</v>
      </c>
      <c r="CO145">
        <v>0.2</v>
      </c>
      <c r="CR145">
        <v>0.2</v>
      </c>
      <c r="DD145">
        <v>1</v>
      </c>
    </row>
    <row r="146" spans="1:112" x14ac:dyDescent="0.25">
      <c r="A146" t="s">
        <v>852</v>
      </c>
      <c r="C146" t="s">
        <v>533</v>
      </c>
      <c r="K146" s="8" t="s">
        <v>538</v>
      </c>
      <c r="L146" s="8" t="s">
        <v>733</v>
      </c>
      <c r="AC146">
        <v>1</v>
      </c>
      <c r="AG146" t="s">
        <v>534</v>
      </c>
      <c r="AY146" s="8"/>
      <c r="BD146">
        <v>1</v>
      </c>
      <c r="BV146"/>
      <c r="BW146"/>
      <c r="BX146"/>
      <c r="BY146"/>
      <c r="BZ146"/>
      <c r="CA146"/>
      <c r="CB146" s="8"/>
      <c r="CC146" s="8"/>
      <c r="CD146" s="8"/>
      <c r="CE146" s="8"/>
      <c r="CF146" s="8"/>
      <c r="CH146" s="8"/>
      <c r="CI146" s="8"/>
      <c r="CJ146" s="8"/>
      <c r="CK146" s="8"/>
      <c r="CL146" s="8"/>
      <c r="CM146" s="8"/>
      <c r="CN146" t="s">
        <v>853</v>
      </c>
      <c r="CR146">
        <v>99999</v>
      </c>
    </row>
    <row r="147" spans="1:112" x14ac:dyDescent="0.25">
      <c r="A147" t="s">
        <v>854</v>
      </c>
      <c r="C147" t="s">
        <v>533</v>
      </c>
      <c r="I147">
        <v>1</v>
      </c>
      <c r="AC147">
        <v>1</v>
      </c>
      <c r="AJ147" t="s">
        <v>9</v>
      </c>
      <c r="AV147">
        <v>20</v>
      </c>
      <c r="AY147" s="8"/>
      <c r="BD147">
        <v>1</v>
      </c>
      <c r="BS147">
        <v>0.1</v>
      </c>
      <c r="BV147"/>
      <c r="BW147"/>
      <c r="BX147"/>
      <c r="BY147"/>
      <c r="BZ147"/>
      <c r="CA147"/>
      <c r="CB147" s="8"/>
      <c r="CC147" s="8"/>
      <c r="CD147" s="8"/>
      <c r="CE147" s="8"/>
      <c r="CF147" s="8"/>
      <c r="CH147" s="8"/>
      <c r="CI147" s="8"/>
      <c r="CJ147" s="8"/>
      <c r="CK147" s="8"/>
      <c r="CL147" s="8"/>
      <c r="CM147" s="8"/>
      <c r="CN147" t="s">
        <v>855</v>
      </c>
      <c r="CR147">
        <v>0.2</v>
      </c>
    </row>
    <row r="148" spans="1:112" x14ac:dyDescent="0.25">
      <c r="A148" t="s">
        <v>841</v>
      </c>
      <c r="C148" t="s">
        <v>533</v>
      </c>
      <c r="I148">
        <v>1</v>
      </c>
      <c r="K148" s="8" t="s">
        <v>538</v>
      </c>
      <c r="M148"/>
      <c r="N148"/>
      <c r="P148" s="5" t="s">
        <v>856</v>
      </c>
      <c r="R148" s="5"/>
      <c r="S148"/>
      <c r="X148"/>
      <c r="AC148">
        <v>1</v>
      </c>
      <c r="AG148" t="s">
        <v>534</v>
      </c>
      <c r="AT148" t="s">
        <v>602</v>
      </c>
      <c r="BD148">
        <v>1</v>
      </c>
      <c r="BV148"/>
      <c r="CB148" s="9"/>
      <c r="CN148" t="s">
        <v>843</v>
      </c>
      <c r="CO148">
        <v>22</v>
      </c>
      <c r="CR148">
        <v>10</v>
      </c>
    </row>
    <row r="149" spans="1:112" x14ac:dyDescent="0.25">
      <c r="BV149"/>
    </row>
    <row r="150" spans="1:112" x14ac:dyDescent="0.25">
      <c r="A150" t="s">
        <v>857</v>
      </c>
      <c r="C150" t="s">
        <v>533</v>
      </c>
      <c r="D150" t="s">
        <v>858</v>
      </c>
      <c r="E150" t="s">
        <v>859</v>
      </c>
      <c r="F150" t="s">
        <v>860</v>
      </c>
      <c r="G150">
        <v>3</v>
      </c>
      <c r="J150" t="s">
        <v>557</v>
      </c>
      <c r="K150" s="8" t="s">
        <v>570</v>
      </c>
      <c r="M150"/>
      <c r="O150"/>
      <c r="AC150">
        <v>1</v>
      </c>
      <c r="AG150" t="s">
        <v>534</v>
      </c>
      <c r="BD150">
        <v>1</v>
      </c>
      <c r="BO150" t="s">
        <v>861</v>
      </c>
      <c r="BP150" t="s">
        <v>862</v>
      </c>
      <c r="BT150">
        <v>30</v>
      </c>
      <c r="BV150" s="9">
        <v>13</v>
      </c>
      <c r="BW150" s="9">
        <v>15</v>
      </c>
      <c r="BX150" s="9">
        <v>1</v>
      </c>
      <c r="BY150" s="9" t="s">
        <v>696</v>
      </c>
      <c r="CN150" s="5" t="s">
        <v>863</v>
      </c>
      <c r="CR150">
        <v>30</v>
      </c>
      <c r="DD150">
        <v>1</v>
      </c>
    </row>
    <row r="151" spans="1:112" x14ac:dyDescent="0.25">
      <c r="A151" t="s">
        <v>864</v>
      </c>
      <c r="C151" t="s">
        <v>533</v>
      </c>
      <c r="J151" s="8"/>
      <c r="M151"/>
      <c r="O151" s="5" t="s">
        <v>856</v>
      </c>
      <c r="P151"/>
      <c r="Q151"/>
      <c r="AC151">
        <v>1</v>
      </c>
      <c r="AD151">
        <v>1</v>
      </c>
      <c r="AO151" t="s">
        <v>840</v>
      </c>
      <c r="AQ151" t="s">
        <v>222</v>
      </c>
      <c r="AW151">
        <v>1</v>
      </c>
      <c r="AY151">
        <v>1</v>
      </c>
      <c r="AZ151">
        <v>1</v>
      </c>
      <c r="BD151">
        <v>1</v>
      </c>
      <c r="BP151" t="s">
        <v>865</v>
      </c>
      <c r="CB151" t="s">
        <v>789</v>
      </c>
      <c r="CG151" t="s">
        <v>530</v>
      </c>
      <c r="CH151" t="s">
        <v>842</v>
      </c>
      <c r="CI151" t="s">
        <v>762</v>
      </c>
      <c r="CN151" t="s">
        <v>866</v>
      </c>
      <c r="CO151">
        <v>22</v>
      </c>
      <c r="CP151">
        <v>39.6</v>
      </c>
      <c r="CR151">
        <v>10</v>
      </c>
      <c r="CY151" t="s">
        <v>844</v>
      </c>
    </row>
    <row r="152" spans="1:112" x14ac:dyDescent="0.25">
      <c r="A152" t="s">
        <v>867</v>
      </c>
      <c r="C152" t="s">
        <v>533</v>
      </c>
      <c r="I152">
        <v>1</v>
      </c>
      <c r="K152" s="8" t="s">
        <v>538</v>
      </c>
      <c r="M152"/>
      <c r="AC152">
        <v>1</v>
      </c>
      <c r="AD152">
        <v>1</v>
      </c>
      <c r="AJ152" t="s">
        <v>222</v>
      </c>
      <c r="AO152" t="s">
        <v>840</v>
      </c>
      <c r="AT152" t="s">
        <v>681</v>
      </c>
      <c r="BD152">
        <v>1</v>
      </c>
      <c r="CB152" s="13"/>
      <c r="CH152" t="s">
        <v>868</v>
      </c>
      <c r="CI152" t="s">
        <v>762</v>
      </c>
      <c r="CN152" s="5" t="s">
        <v>869</v>
      </c>
      <c r="CR152">
        <v>0.1</v>
      </c>
      <c r="DD152">
        <v>1</v>
      </c>
      <c r="DH152">
        <v>1</v>
      </c>
    </row>
    <row r="153" spans="1:112" x14ac:dyDescent="0.25">
      <c r="A153" t="s">
        <v>870</v>
      </c>
      <c r="C153" t="s">
        <v>533</v>
      </c>
      <c r="I153">
        <v>1</v>
      </c>
      <c r="K153" s="8" t="s">
        <v>538</v>
      </c>
      <c r="M153"/>
      <c r="O153" s="5" t="s">
        <v>856</v>
      </c>
      <c r="P153"/>
      <c r="Q153"/>
      <c r="AC153">
        <v>1</v>
      </c>
      <c r="AG153" t="s">
        <v>534</v>
      </c>
      <c r="AW153">
        <v>1</v>
      </c>
      <c r="BD153">
        <v>1</v>
      </c>
      <c r="CN153" t="s">
        <v>866</v>
      </c>
      <c r="CO153">
        <v>22</v>
      </c>
      <c r="CP153">
        <v>39.6</v>
      </c>
      <c r="CR153">
        <v>10</v>
      </c>
    </row>
    <row r="154" spans="1:112" x14ac:dyDescent="0.25">
      <c r="A154" t="s">
        <v>871</v>
      </c>
      <c r="C154" t="s">
        <v>533</v>
      </c>
      <c r="I154">
        <v>1</v>
      </c>
      <c r="K154" s="8" t="s">
        <v>538</v>
      </c>
      <c r="M154"/>
      <c r="AC154">
        <v>1</v>
      </c>
      <c r="AG154" t="s">
        <v>534</v>
      </c>
      <c r="AY154" s="8"/>
      <c r="BD154">
        <v>1</v>
      </c>
      <c r="BV154"/>
      <c r="BW154"/>
      <c r="BX154"/>
      <c r="BY154"/>
      <c r="BZ154"/>
      <c r="CA154"/>
      <c r="CB154" s="8"/>
      <c r="CC154" s="8"/>
      <c r="CD154" s="8"/>
      <c r="CE154" s="8"/>
      <c r="CF154" s="8"/>
      <c r="CH154" s="8"/>
      <c r="CI154" s="8"/>
      <c r="CJ154" s="8"/>
      <c r="CK154" s="8"/>
      <c r="CN154" s="5" t="s">
        <v>871</v>
      </c>
      <c r="CR154">
        <v>40</v>
      </c>
      <c r="DD154">
        <v>1</v>
      </c>
      <c r="DH154">
        <v>1</v>
      </c>
    </row>
    <row r="155" spans="1:112" x14ac:dyDescent="0.25">
      <c r="A155" t="s">
        <v>872</v>
      </c>
      <c r="C155" t="s">
        <v>533</v>
      </c>
      <c r="I155">
        <v>1</v>
      </c>
      <c r="M155"/>
      <c r="O155" s="5" t="s">
        <v>856</v>
      </c>
      <c r="P155" s="5" t="s">
        <v>871</v>
      </c>
      <c r="AC155">
        <v>1</v>
      </c>
      <c r="AV155">
        <v>20</v>
      </c>
      <c r="BD155">
        <v>99</v>
      </c>
      <c r="CM155" t="s">
        <v>873</v>
      </c>
    </row>
    <row r="156" spans="1:112" x14ac:dyDescent="0.25">
      <c r="A156" t="s">
        <v>874</v>
      </c>
      <c r="C156" t="s">
        <v>533</v>
      </c>
      <c r="I156">
        <v>1</v>
      </c>
      <c r="K156" s="8" t="s">
        <v>538</v>
      </c>
      <c r="M156"/>
      <c r="N156"/>
      <c r="AC156">
        <v>1</v>
      </c>
      <c r="AG156" t="s">
        <v>534</v>
      </c>
      <c r="BD156">
        <v>1</v>
      </c>
      <c r="BS156">
        <v>0.1</v>
      </c>
      <c r="BV156"/>
      <c r="CB156" t="s">
        <v>711</v>
      </c>
      <c r="CG156" t="s">
        <v>530</v>
      </c>
      <c r="CI156" s="8"/>
      <c r="CJ156" s="8"/>
      <c r="DD156">
        <v>1</v>
      </c>
      <c r="DG156">
        <v>1</v>
      </c>
      <c r="DH156">
        <v>1</v>
      </c>
    </row>
    <row r="157" spans="1:112" x14ac:dyDescent="0.25">
      <c r="A157" t="s">
        <v>875</v>
      </c>
      <c r="C157" t="s">
        <v>533</v>
      </c>
      <c r="I157">
        <v>1</v>
      </c>
      <c r="K157" s="8" t="s">
        <v>538</v>
      </c>
      <c r="L157" s="8" t="s">
        <v>581</v>
      </c>
      <c r="M157"/>
      <c r="N157"/>
      <c r="AC157">
        <v>1</v>
      </c>
      <c r="AG157" t="s">
        <v>534</v>
      </c>
      <c r="BD157">
        <v>1</v>
      </c>
      <c r="BS157">
        <v>0.2</v>
      </c>
      <c r="BV157"/>
      <c r="CB157" t="s">
        <v>794</v>
      </c>
      <c r="CG157" t="s">
        <v>530</v>
      </c>
      <c r="CJ157" s="8"/>
      <c r="DD157">
        <v>1</v>
      </c>
      <c r="DG157">
        <v>1</v>
      </c>
      <c r="DH157">
        <v>1</v>
      </c>
    </row>
    <row r="158" spans="1:112" x14ac:dyDescent="0.25">
      <c r="A158" t="s">
        <v>876</v>
      </c>
      <c r="C158" t="s">
        <v>533</v>
      </c>
      <c r="D158" t="s">
        <v>858</v>
      </c>
      <c r="E158" t="s">
        <v>859</v>
      </c>
      <c r="F158" t="s">
        <v>860</v>
      </c>
      <c r="G158">
        <v>3</v>
      </c>
      <c r="I158">
        <v>1</v>
      </c>
      <c r="M158"/>
      <c r="O158" s="5" t="s">
        <v>869</v>
      </c>
      <c r="AC158">
        <v>1</v>
      </c>
      <c r="AG158" t="s">
        <v>534</v>
      </c>
      <c r="AO158" t="s">
        <v>840</v>
      </c>
      <c r="AT158" t="s">
        <v>602</v>
      </c>
      <c r="AY158">
        <v>1</v>
      </c>
      <c r="AZ158">
        <v>1</v>
      </c>
      <c r="BD158">
        <v>1</v>
      </c>
      <c r="BS158">
        <v>0.1</v>
      </c>
      <c r="CG158" t="s">
        <v>530</v>
      </c>
      <c r="CH158" t="s">
        <v>842</v>
      </c>
      <c r="CI158" t="s">
        <v>762</v>
      </c>
      <c r="CN158" t="s">
        <v>866</v>
      </c>
      <c r="CO158">
        <v>22</v>
      </c>
      <c r="CP158">
        <v>39.6</v>
      </c>
      <c r="CR158">
        <v>10</v>
      </c>
      <c r="CY158" t="s">
        <v>844</v>
      </c>
      <c r="DD158">
        <v>1</v>
      </c>
    </row>
    <row r="159" spans="1:112" x14ac:dyDescent="0.25">
      <c r="BU159" s="9"/>
      <c r="CA159"/>
    </row>
    <row r="160" spans="1:112" x14ac:dyDescent="0.25">
      <c r="A160" t="s">
        <v>877</v>
      </c>
      <c r="C160" t="s">
        <v>533</v>
      </c>
      <c r="D160" t="s">
        <v>878</v>
      </c>
      <c r="E160" t="s">
        <v>879</v>
      </c>
      <c r="F160" t="s">
        <v>880</v>
      </c>
      <c r="G160">
        <v>3</v>
      </c>
      <c r="J160" t="s">
        <v>557</v>
      </c>
      <c r="K160" s="8" t="s">
        <v>570</v>
      </c>
      <c r="O160" t="s">
        <v>855</v>
      </c>
      <c r="W160"/>
      <c r="X160"/>
      <c r="AC160">
        <v>1</v>
      </c>
      <c r="AG160" t="s">
        <v>534</v>
      </c>
      <c r="BD160">
        <v>1</v>
      </c>
      <c r="BO160" t="s">
        <v>881</v>
      </c>
      <c r="BP160" t="s">
        <v>882</v>
      </c>
      <c r="BT160">
        <v>1</v>
      </c>
      <c r="BV160" s="9">
        <v>11</v>
      </c>
      <c r="BW160" s="9">
        <v>15</v>
      </c>
      <c r="BX160" s="9">
        <v>1</v>
      </c>
      <c r="BY160" s="9" t="s">
        <v>696</v>
      </c>
      <c r="CN160" s="5" t="s">
        <v>883</v>
      </c>
      <c r="CO160" t="s">
        <v>884</v>
      </c>
      <c r="CR160">
        <v>25</v>
      </c>
    </row>
    <row r="161" spans="1:112" x14ac:dyDescent="0.25">
      <c r="A161" t="s">
        <v>881</v>
      </c>
      <c r="C161" t="s">
        <v>533</v>
      </c>
      <c r="I161">
        <v>1</v>
      </c>
      <c r="M161"/>
      <c r="O161" s="5" t="s">
        <v>885</v>
      </c>
      <c r="P161"/>
      <c r="Q161"/>
      <c r="AC161">
        <v>1</v>
      </c>
      <c r="AG161" t="s">
        <v>534</v>
      </c>
      <c r="AT161" t="s">
        <v>602</v>
      </c>
      <c r="BD161">
        <v>1</v>
      </c>
      <c r="BS161">
        <v>0.1</v>
      </c>
      <c r="CN161" s="5" t="s">
        <v>886</v>
      </c>
      <c r="CR161">
        <v>0.2</v>
      </c>
    </row>
    <row r="162" spans="1:112" x14ac:dyDescent="0.25">
      <c r="A162" t="s">
        <v>887</v>
      </c>
      <c r="C162" t="s">
        <v>731</v>
      </c>
      <c r="I162">
        <v>1</v>
      </c>
      <c r="J162" t="s">
        <v>836</v>
      </c>
      <c r="K162" s="8" t="s">
        <v>538</v>
      </c>
      <c r="AC162">
        <v>1</v>
      </c>
      <c r="AJ162" t="s">
        <v>222</v>
      </c>
      <c r="AT162" t="s">
        <v>681</v>
      </c>
      <c r="BD162">
        <v>1</v>
      </c>
      <c r="BS162">
        <v>0.1</v>
      </c>
      <c r="CL162" s="8"/>
      <c r="CU162" t="s">
        <v>888</v>
      </c>
    </row>
    <row r="163" spans="1:112" x14ac:dyDescent="0.25">
      <c r="A163" t="s">
        <v>889</v>
      </c>
      <c r="C163" t="s">
        <v>533</v>
      </c>
      <c r="I163">
        <v>1</v>
      </c>
      <c r="K163" s="8" t="s">
        <v>538</v>
      </c>
      <c r="L163" s="8" t="s">
        <v>581</v>
      </c>
      <c r="M163"/>
      <c r="N163"/>
      <c r="AC163">
        <v>1</v>
      </c>
      <c r="AG163" t="s">
        <v>534</v>
      </c>
      <c r="BD163">
        <v>1</v>
      </c>
      <c r="BS163">
        <v>1</v>
      </c>
      <c r="BV163"/>
      <c r="CB163" s="16" t="s">
        <v>890</v>
      </c>
      <c r="CG163" t="s">
        <v>530</v>
      </c>
      <c r="CJ163" s="8"/>
      <c r="DD163">
        <v>1</v>
      </c>
      <c r="DG163">
        <v>1</v>
      </c>
      <c r="DH163">
        <v>1</v>
      </c>
    </row>
    <row r="164" spans="1:112" x14ac:dyDescent="0.25">
      <c r="A164" t="s">
        <v>891</v>
      </c>
      <c r="C164" t="s">
        <v>533</v>
      </c>
      <c r="I164">
        <v>1</v>
      </c>
      <c r="K164" s="8" t="s">
        <v>538</v>
      </c>
      <c r="M164"/>
      <c r="N164"/>
      <c r="AC164">
        <v>1</v>
      </c>
      <c r="AG164" t="s">
        <v>534</v>
      </c>
      <c r="BD164">
        <v>1</v>
      </c>
      <c r="BS164">
        <v>0.66669999999999996</v>
      </c>
      <c r="BV164"/>
      <c r="CB164" s="13" t="s">
        <v>598</v>
      </c>
      <c r="CG164" t="s">
        <v>530</v>
      </c>
      <c r="CI164" s="8"/>
      <c r="CJ164" s="8"/>
      <c r="DD164">
        <v>1</v>
      </c>
      <c r="DG164">
        <v>1</v>
      </c>
      <c r="DH164">
        <v>1</v>
      </c>
    </row>
    <row r="166" spans="1:112" x14ac:dyDescent="0.25">
      <c r="A166" t="s">
        <v>228</v>
      </c>
      <c r="C166" t="s">
        <v>533</v>
      </c>
      <c r="D166" t="s">
        <v>878</v>
      </c>
      <c r="E166" t="s">
        <v>879</v>
      </c>
      <c r="F166" t="s">
        <v>880</v>
      </c>
      <c r="G166">
        <v>3</v>
      </c>
      <c r="J166" t="s">
        <v>557</v>
      </c>
      <c r="K166" s="8" t="s">
        <v>542</v>
      </c>
      <c r="O166"/>
      <c r="W166"/>
      <c r="X166"/>
      <c r="AC166">
        <v>1</v>
      </c>
      <c r="AG166" t="s">
        <v>534</v>
      </c>
      <c r="BD166">
        <v>1</v>
      </c>
      <c r="BO166" t="s">
        <v>892</v>
      </c>
      <c r="BT166">
        <v>25</v>
      </c>
      <c r="BV166" s="9">
        <v>1</v>
      </c>
      <c r="BW166" s="9">
        <v>1</v>
      </c>
      <c r="BX166" s="9">
        <v>1</v>
      </c>
      <c r="BY166" s="9" t="s">
        <v>696</v>
      </c>
      <c r="CN166" s="5" t="s">
        <v>893</v>
      </c>
      <c r="CO166" t="s">
        <v>894</v>
      </c>
      <c r="CP166">
        <v>80</v>
      </c>
      <c r="CR166">
        <v>25</v>
      </c>
    </row>
    <row r="167" spans="1:112" x14ac:dyDescent="0.25">
      <c r="A167" t="s">
        <v>895</v>
      </c>
      <c r="C167" t="s">
        <v>896</v>
      </c>
      <c r="O167" s="5" t="s">
        <v>883</v>
      </c>
      <c r="X167"/>
      <c r="AC167">
        <v>2</v>
      </c>
      <c r="AO167" t="s">
        <v>527</v>
      </c>
      <c r="AT167" t="s">
        <v>850</v>
      </c>
      <c r="AX167" t="s">
        <v>543</v>
      </c>
      <c r="AZ167">
        <v>1</v>
      </c>
      <c r="BD167">
        <v>1</v>
      </c>
      <c r="BP167" t="s">
        <v>897</v>
      </c>
      <c r="CB167" t="s">
        <v>651</v>
      </c>
      <c r="CG167" t="s">
        <v>530</v>
      </c>
      <c r="CX167" t="s">
        <v>898</v>
      </c>
      <c r="CY167" t="s">
        <v>899</v>
      </c>
    </row>
    <row r="168" spans="1:112" x14ac:dyDescent="0.25">
      <c r="A168" t="s">
        <v>897</v>
      </c>
      <c r="C168" t="s">
        <v>533</v>
      </c>
      <c r="I168">
        <v>1</v>
      </c>
      <c r="K168" s="8" t="s">
        <v>538</v>
      </c>
      <c r="O168" s="5" t="s">
        <v>883</v>
      </c>
      <c r="P168"/>
      <c r="Q168"/>
      <c r="X168"/>
      <c r="AC168">
        <v>1</v>
      </c>
      <c r="AG168" t="s">
        <v>534</v>
      </c>
      <c r="AH168">
        <v>1</v>
      </c>
      <c r="AO168" t="s">
        <v>840</v>
      </c>
      <c r="AV168">
        <v>1</v>
      </c>
      <c r="AY168">
        <v>1</v>
      </c>
      <c r="AZ168">
        <v>0.5</v>
      </c>
      <c r="BD168">
        <v>1</v>
      </c>
      <c r="CH168" t="s">
        <v>842</v>
      </c>
      <c r="CI168" t="s">
        <v>762</v>
      </c>
      <c r="CN168" t="s">
        <v>843</v>
      </c>
      <c r="CO168">
        <v>22</v>
      </c>
      <c r="CR168">
        <v>10</v>
      </c>
    </row>
    <row r="169" spans="1:112" x14ac:dyDescent="0.25">
      <c r="A169" t="s">
        <v>900</v>
      </c>
      <c r="C169" t="s">
        <v>596</v>
      </c>
      <c r="K169" s="8" t="s">
        <v>538</v>
      </c>
      <c r="L169" s="8" t="s">
        <v>733</v>
      </c>
      <c r="AC169">
        <v>1</v>
      </c>
      <c r="AG169" t="s">
        <v>534</v>
      </c>
      <c r="BD169">
        <v>1</v>
      </c>
      <c r="CU169" t="s">
        <v>901</v>
      </c>
    </row>
    <row r="170" spans="1:112" x14ac:dyDescent="0.25">
      <c r="A170" t="s">
        <v>902</v>
      </c>
      <c r="C170" t="s">
        <v>533</v>
      </c>
      <c r="I170">
        <v>1</v>
      </c>
      <c r="K170" s="8" t="s">
        <v>538</v>
      </c>
      <c r="L170" s="8" t="s">
        <v>733</v>
      </c>
      <c r="AC170">
        <v>1</v>
      </c>
      <c r="AG170" t="s">
        <v>534</v>
      </c>
      <c r="BD170">
        <v>1</v>
      </c>
      <c r="CN170" t="s">
        <v>886</v>
      </c>
      <c r="CR170">
        <v>0.5</v>
      </c>
    </row>
    <row r="171" spans="1:112" x14ac:dyDescent="0.25">
      <c r="A171" t="s">
        <v>903</v>
      </c>
      <c r="C171" t="s">
        <v>533</v>
      </c>
      <c r="I171">
        <v>1</v>
      </c>
      <c r="AC171">
        <v>1</v>
      </c>
      <c r="AJ171" t="s">
        <v>9</v>
      </c>
      <c r="AV171">
        <v>20</v>
      </c>
      <c r="BD171">
        <v>1</v>
      </c>
      <c r="BS171">
        <v>0.1</v>
      </c>
      <c r="CN171" s="5" t="s">
        <v>885</v>
      </c>
      <c r="CR171">
        <v>0.5</v>
      </c>
    </row>
    <row r="172" spans="1:112" s="6" customFormat="1" x14ac:dyDescent="0.25"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AR172"/>
      <c r="AS172"/>
      <c r="BV172" s="12"/>
      <c r="BW172" s="12"/>
      <c r="BX172" s="12"/>
      <c r="BY172" s="12"/>
      <c r="BZ172" s="12"/>
      <c r="CA172" s="12"/>
    </row>
    <row r="173" spans="1:112" x14ac:dyDescent="0.25">
      <c r="A173" t="s">
        <v>904</v>
      </c>
      <c r="C173" t="s">
        <v>533</v>
      </c>
      <c r="J173" s="8"/>
      <c r="M173"/>
      <c r="N173"/>
      <c r="S173" s="8">
        <v>1</v>
      </c>
      <c r="Y173" s="8"/>
      <c r="Z173" s="8"/>
      <c r="AA173" s="8"/>
      <c r="AB173" s="8"/>
      <c r="AC173">
        <v>2</v>
      </c>
      <c r="AD173">
        <v>1</v>
      </c>
      <c r="AO173" t="s">
        <v>527</v>
      </c>
      <c r="AT173" t="s">
        <v>905</v>
      </c>
      <c r="AX173" t="s">
        <v>563</v>
      </c>
      <c r="AZ173">
        <v>1</v>
      </c>
      <c r="BD173">
        <v>1</v>
      </c>
      <c r="BP173" t="s">
        <v>906</v>
      </c>
      <c r="BV173"/>
      <c r="CB173" t="s">
        <v>684</v>
      </c>
      <c r="CG173" t="s">
        <v>530</v>
      </c>
      <c r="CH173" t="s">
        <v>907</v>
      </c>
      <c r="CI173" t="s">
        <v>762</v>
      </c>
      <c r="CL173" t="s">
        <v>908</v>
      </c>
      <c r="CN173" t="s">
        <v>909</v>
      </c>
      <c r="CO173">
        <v>-10</v>
      </c>
      <c r="CP173">
        <v>0.1</v>
      </c>
      <c r="CR173">
        <v>5</v>
      </c>
      <c r="CY173" t="s">
        <v>910</v>
      </c>
    </row>
    <row r="174" spans="1:112" x14ac:dyDescent="0.25">
      <c r="A174" t="s">
        <v>906</v>
      </c>
      <c r="C174" t="s">
        <v>533</v>
      </c>
      <c r="I174">
        <v>1</v>
      </c>
      <c r="K174" s="8" t="s">
        <v>538</v>
      </c>
      <c r="M174"/>
      <c r="N174"/>
      <c r="Y174" s="8"/>
      <c r="Z174" s="8"/>
      <c r="AA174" s="8"/>
      <c r="AB174" s="8"/>
      <c r="AC174">
        <v>2</v>
      </c>
      <c r="AD174">
        <v>1</v>
      </c>
      <c r="AO174" t="s">
        <v>911</v>
      </c>
      <c r="AW174">
        <v>1</v>
      </c>
      <c r="BD174">
        <v>1</v>
      </c>
      <c r="BV174"/>
      <c r="CN174" t="s">
        <v>906</v>
      </c>
      <c r="CR174">
        <v>9999</v>
      </c>
      <c r="CS174">
        <v>0.6</v>
      </c>
    </row>
    <row r="175" spans="1:112" x14ac:dyDescent="0.25">
      <c r="A175" t="s">
        <v>912</v>
      </c>
      <c r="C175" t="s">
        <v>533</v>
      </c>
      <c r="I175">
        <v>1</v>
      </c>
      <c r="J175" s="8"/>
      <c r="M175"/>
      <c r="N175"/>
      <c r="P175"/>
      <c r="Q175" t="s">
        <v>906</v>
      </c>
      <c r="Y175" s="8"/>
      <c r="Z175" s="8"/>
      <c r="AA175" s="8"/>
      <c r="AB175" s="8"/>
      <c r="AC175">
        <v>2</v>
      </c>
      <c r="AD175">
        <v>1</v>
      </c>
      <c r="AO175" t="s">
        <v>527</v>
      </c>
      <c r="AW175">
        <v>1</v>
      </c>
      <c r="AX175" t="s">
        <v>563</v>
      </c>
      <c r="AZ175">
        <v>0.65</v>
      </c>
      <c r="BD175">
        <v>99</v>
      </c>
      <c r="BO175" t="s">
        <v>913</v>
      </c>
      <c r="BP175" t="s">
        <v>914</v>
      </c>
      <c r="BS175">
        <v>0.1</v>
      </c>
      <c r="BV175"/>
      <c r="CH175" t="s">
        <v>915</v>
      </c>
      <c r="CI175" t="s">
        <v>762</v>
      </c>
      <c r="CL175" t="s">
        <v>908</v>
      </c>
      <c r="CM175" t="s">
        <v>906</v>
      </c>
      <c r="CN175" s="17" t="s">
        <v>756</v>
      </c>
      <c r="CO175" s="8">
        <v>-0.8</v>
      </c>
      <c r="CP175" s="8"/>
      <c r="CQ175" s="8"/>
      <c r="CR175" s="8">
        <v>0.8</v>
      </c>
      <c r="CY175" t="s">
        <v>916</v>
      </c>
    </row>
    <row r="176" spans="1:112" x14ac:dyDescent="0.25">
      <c r="A176" t="s">
        <v>913</v>
      </c>
      <c r="C176" t="s">
        <v>533</v>
      </c>
      <c r="I176">
        <v>1</v>
      </c>
      <c r="J176" s="8"/>
      <c r="M176"/>
      <c r="N176"/>
      <c r="P176"/>
      <c r="Q176" t="s">
        <v>906</v>
      </c>
      <c r="Y176" s="8"/>
      <c r="Z176" s="8"/>
      <c r="AA176" s="8"/>
      <c r="AB176" s="8"/>
      <c r="AC176">
        <v>2</v>
      </c>
      <c r="AD176">
        <v>1</v>
      </c>
      <c r="AO176" t="s">
        <v>527</v>
      </c>
      <c r="AW176">
        <v>1</v>
      </c>
      <c r="BD176">
        <v>99</v>
      </c>
      <c r="BV176"/>
      <c r="CN176" t="s">
        <v>909</v>
      </c>
      <c r="CO176">
        <v>-10</v>
      </c>
      <c r="CP176">
        <v>0.1</v>
      </c>
      <c r="CR176">
        <v>5</v>
      </c>
    </row>
    <row r="177" spans="1:112" x14ac:dyDescent="0.25">
      <c r="A177" t="s">
        <v>914</v>
      </c>
      <c r="C177" t="s">
        <v>533</v>
      </c>
      <c r="I177">
        <v>1</v>
      </c>
      <c r="J177" s="8"/>
      <c r="K177" s="8" t="s">
        <v>538</v>
      </c>
      <c r="M177"/>
      <c r="N177"/>
      <c r="P177"/>
      <c r="Q177" s="15" t="s">
        <v>917</v>
      </c>
      <c r="Y177" s="8"/>
      <c r="Z177" s="8"/>
      <c r="AA177" s="8"/>
      <c r="AB177" s="8"/>
      <c r="AC177">
        <v>2</v>
      </c>
      <c r="AD177">
        <v>1</v>
      </c>
      <c r="AO177" t="s">
        <v>527</v>
      </c>
      <c r="AW177">
        <v>1</v>
      </c>
      <c r="AX177" t="s">
        <v>918</v>
      </c>
      <c r="AZ177">
        <v>0.6</v>
      </c>
      <c r="BD177">
        <v>99</v>
      </c>
      <c r="BV177"/>
      <c r="CN177" s="17"/>
      <c r="CO177" s="8"/>
      <c r="CP177" s="8"/>
      <c r="CQ177" s="8"/>
      <c r="CR177" s="8"/>
      <c r="CY177" t="s">
        <v>919</v>
      </c>
    </row>
    <row r="178" spans="1:112" x14ac:dyDescent="0.25">
      <c r="J178" s="8"/>
      <c r="M178"/>
      <c r="N178"/>
      <c r="P178"/>
      <c r="Q178" s="15"/>
      <c r="Y178" s="8"/>
      <c r="Z178" s="8"/>
      <c r="AA178" s="8"/>
      <c r="AB178" s="8"/>
      <c r="BV178"/>
      <c r="CN178" s="17"/>
      <c r="CO178" s="8"/>
      <c r="CP178" s="8"/>
      <c r="CQ178" s="8"/>
      <c r="CR178" s="8"/>
    </row>
    <row r="179" spans="1:112" x14ac:dyDescent="0.25">
      <c r="A179" t="s">
        <v>920</v>
      </c>
      <c r="C179" t="s">
        <v>533</v>
      </c>
      <c r="D179" t="s">
        <v>921</v>
      </c>
      <c r="E179" t="s">
        <v>922</v>
      </c>
      <c r="F179" t="s">
        <v>923</v>
      </c>
      <c r="G179">
        <v>3</v>
      </c>
      <c r="J179" t="s">
        <v>557</v>
      </c>
      <c r="K179" s="8" t="s">
        <v>542</v>
      </c>
      <c r="M179"/>
      <c r="N179"/>
      <c r="Y179" s="8"/>
      <c r="Z179" s="8"/>
      <c r="AA179" s="8"/>
      <c r="AB179" s="8"/>
      <c r="AC179">
        <v>1</v>
      </c>
      <c r="AG179" t="s">
        <v>534</v>
      </c>
      <c r="AT179" t="s">
        <v>757</v>
      </c>
      <c r="BD179">
        <v>1</v>
      </c>
      <c r="BO179" t="s">
        <v>924</v>
      </c>
      <c r="BP179" t="s">
        <v>925</v>
      </c>
      <c r="BT179">
        <v>99999</v>
      </c>
      <c r="BV179" s="9">
        <v>0</v>
      </c>
      <c r="BW179" s="9">
        <v>60</v>
      </c>
      <c r="BX179" s="9">
        <v>1</v>
      </c>
      <c r="BY179" s="9" t="s">
        <v>542</v>
      </c>
      <c r="BZ179"/>
      <c r="CA179"/>
      <c r="CB179" s="8"/>
      <c r="CC179" s="8"/>
      <c r="CD179" s="8"/>
      <c r="CE179" s="8"/>
      <c r="CF179" s="8"/>
      <c r="CK179" s="8"/>
      <c r="CL179" s="8"/>
      <c r="CN179" t="s">
        <v>926</v>
      </c>
      <c r="CO179">
        <v>1</v>
      </c>
      <c r="CR179">
        <v>99999</v>
      </c>
      <c r="CU179" t="s">
        <v>927</v>
      </c>
    </row>
    <row r="180" spans="1:112" x14ac:dyDescent="0.25">
      <c r="A180" t="s">
        <v>928</v>
      </c>
      <c r="C180" t="s">
        <v>533</v>
      </c>
      <c r="J180" s="8"/>
      <c r="M180"/>
      <c r="N180"/>
      <c r="O180" t="s">
        <v>929</v>
      </c>
      <c r="Y180" s="8"/>
      <c r="Z180" s="8"/>
      <c r="AA180" s="8"/>
      <c r="AB180" s="8"/>
      <c r="AC180">
        <v>2</v>
      </c>
      <c r="AD180">
        <v>1</v>
      </c>
      <c r="AO180" t="s">
        <v>527</v>
      </c>
      <c r="AT180" t="s">
        <v>757</v>
      </c>
      <c r="AX180" t="s">
        <v>563</v>
      </c>
      <c r="AZ180">
        <v>1</v>
      </c>
      <c r="BD180">
        <v>1</v>
      </c>
      <c r="BP180" t="s">
        <v>906</v>
      </c>
      <c r="BV180"/>
      <c r="CB180" t="s">
        <v>930</v>
      </c>
      <c r="CG180" t="s">
        <v>530</v>
      </c>
      <c r="CH180" t="s">
        <v>907</v>
      </c>
      <c r="CI180" t="s">
        <v>762</v>
      </c>
      <c r="CL180" t="s">
        <v>908</v>
      </c>
      <c r="CN180" t="s">
        <v>909</v>
      </c>
      <c r="CO180">
        <v>-10</v>
      </c>
      <c r="CP180">
        <v>0.1</v>
      </c>
      <c r="CR180">
        <v>5</v>
      </c>
      <c r="CY180" t="s">
        <v>910</v>
      </c>
    </row>
    <row r="181" spans="1:112" x14ac:dyDescent="0.25">
      <c r="A181" t="s">
        <v>931</v>
      </c>
      <c r="C181" t="s">
        <v>533</v>
      </c>
      <c r="H181" t="s">
        <v>932</v>
      </c>
      <c r="M181"/>
      <c r="N181"/>
      <c r="O181" t="s">
        <v>929</v>
      </c>
      <c r="Y181" s="8"/>
      <c r="Z181" s="8"/>
      <c r="AA181" s="8"/>
      <c r="AB181" s="8"/>
      <c r="AC181">
        <v>2</v>
      </c>
      <c r="AD181">
        <v>1</v>
      </c>
      <c r="AO181" t="s">
        <v>911</v>
      </c>
      <c r="AW181">
        <v>1</v>
      </c>
      <c r="AX181" t="s">
        <v>563</v>
      </c>
      <c r="AZ181">
        <v>1</v>
      </c>
      <c r="BD181">
        <v>1</v>
      </c>
      <c r="BP181" t="s">
        <v>906</v>
      </c>
      <c r="CB181" s="8"/>
      <c r="CC181" s="8"/>
      <c r="CD181" s="8"/>
      <c r="CE181" s="8"/>
      <c r="CF181" s="8"/>
      <c r="CJ181" s="8"/>
      <c r="CK181" s="8"/>
      <c r="CL181" t="s">
        <v>908</v>
      </c>
      <c r="CN181" t="s">
        <v>933</v>
      </c>
      <c r="CR181">
        <v>1</v>
      </c>
    </row>
    <row r="182" spans="1:112" x14ac:dyDescent="0.25">
      <c r="A182" t="s">
        <v>925</v>
      </c>
      <c r="C182" t="s">
        <v>533</v>
      </c>
      <c r="I182">
        <v>1</v>
      </c>
      <c r="K182" s="8" t="s">
        <v>538</v>
      </c>
      <c r="M182"/>
      <c r="N182"/>
      <c r="Y182" s="8"/>
      <c r="Z182" s="8"/>
      <c r="AA182" s="8"/>
      <c r="AB182" s="8"/>
      <c r="AC182">
        <v>1</v>
      </c>
      <c r="AG182" t="s">
        <v>534</v>
      </c>
      <c r="BD182">
        <v>1</v>
      </c>
      <c r="BS182">
        <v>0.33300000000000002</v>
      </c>
      <c r="CB182" s="8" t="s">
        <v>934</v>
      </c>
      <c r="CC182" s="8"/>
      <c r="CD182" s="8"/>
      <c r="CE182" s="8"/>
      <c r="CF182" s="8"/>
      <c r="CG182" t="s">
        <v>530</v>
      </c>
      <c r="CH182" s="8"/>
      <c r="CI182" s="8"/>
      <c r="CJ182" s="8"/>
      <c r="CK182" s="8"/>
      <c r="CL182" s="8"/>
      <c r="DD182">
        <v>1</v>
      </c>
      <c r="DF182">
        <v>1</v>
      </c>
      <c r="DG182">
        <v>1</v>
      </c>
      <c r="DH182">
        <v>1</v>
      </c>
    </row>
    <row r="183" spans="1:112" x14ac:dyDescent="0.25">
      <c r="BO183" s="9"/>
      <c r="BP183" s="9"/>
      <c r="BQ183" s="9"/>
      <c r="BR183" s="9"/>
      <c r="BS183" s="9"/>
      <c r="BV183"/>
      <c r="BW183"/>
      <c r="BX183"/>
      <c r="BY183"/>
      <c r="BZ183"/>
      <c r="CA183"/>
    </row>
    <row r="184" spans="1:112" x14ac:dyDescent="0.25">
      <c r="A184" t="s">
        <v>935</v>
      </c>
      <c r="C184" t="s">
        <v>533</v>
      </c>
      <c r="D184" t="s">
        <v>936</v>
      </c>
      <c r="E184" t="s">
        <v>937</v>
      </c>
      <c r="F184" t="s">
        <v>938</v>
      </c>
      <c r="G184">
        <v>3</v>
      </c>
      <c r="J184" t="s">
        <v>557</v>
      </c>
      <c r="K184" s="8" t="s">
        <v>570</v>
      </c>
      <c r="M184"/>
      <c r="N184"/>
      <c r="Y184" s="8"/>
      <c r="Z184" s="8"/>
      <c r="AA184" s="8"/>
      <c r="AB184" s="8"/>
      <c r="AC184">
        <v>1</v>
      </c>
      <c r="AG184" t="s">
        <v>534</v>
      </c>
      <c r="AZ184" s="8"/>
      <c r="BD184">
        <v>1</v>
      </c>
      <c r="BO184" t="s">
        <v>939</v>
      </c>
      <c r="BP184" t="s">
        <v>940</v>
      </c>
      <c r="BT184">
        <v>20</v>
      </c>
      <c r="BV184" s="9">
        <v>20</v>
      </c>
      <c r="BW184" s="9">
        <v>30</v>
      </c>
      <c r="BX184" s="9">
        <v>1</v>
      </c>
      <c r="BY184" s="9" t="s">
        <v>542</v>
      </c>
      <c r="BZ184"/>
      <c r="CA184"/>
      <c r="CB184" s="8"/>
      <c r="CC184" s="8"/>
      <c r="CD184" s="8"/>
      <c r="CE184" s="8"/>
      <c r="CF184" s="8"/>
      <c r="CK184" s="8"/>
      <c r="CL184" s="8"/>
      <c r="CN184" t="s">
        <v>941</v>
      </c>
      <c r="CO184">
        <v>70</v>
      </c>
      <c r="CR184">
        <v>20</v>
      </c>
      <c r="DC184" t="s">
        <v>942</v>
      </c>
    </row>
    <row r="185" spans="1:112" x14ac:dyDescent="0.25">
      <c r="A185" t="s">
        <v>943</v>
      </c>
      <c r="C185" t="s">
        <v>533</v>
      </c>
      <c r="M185"/>
      <c r="N185"/>
      <c r="O185" t="s">
        <v>944</v>
      </c>
      <c r="Y185" s="8"/>
      <c r="Z185" s="8"/>
      <c r="AA185" s="8"/>
      <c r="AB185" s="8"/>
      <c r="AC185">
        <v>2</v>
      </c>
      <c r="AD185">
        <v>1</v>
      </c>
      <c r="AO185" t="s">
        <v>527</v>
      </c>
      <c r="AT185" t="s">
        <v>905</v>
      </c>
      <c r="AX185" t="s">
        <v>563</v>
      </c>
      <c r="AZ185">
        <v>0.75</v>
      </c>
      <c r="BD185">
        <v>1</v>
      </c>
      <c r="BP185" t="s">
        <v>945</v>
      </c>
      <c r="BS185">
        <v>0.5</v>
      </c>
      <c r="CB185" t="s">
        <v>789</v>
      </c>
      <c r="CE185" t="s">
        <v>789</v>
      </c>
      <c r="CH185" t="s">
        <v>907</v>
      </c>
      <c r="CI185" t="s">
        <v>762</v>
      </c>
      <c r="CJ185" t="s">
        <v>946</v>
      </c>
      <c r="CL185" t="s">
        <v>908</v>
      </c>
      <c r="CN185" t="s">
        <v>947</v>
      </c>
      <c r="CO185">
        <v>-0.04</v>
      </c>
      <c r="CR185">
        <v>0.6</v>
      </c>
      <c r="CY185" t="s">
        <v>910</v>
      </c>
    </row>
    <row r="186" spans="1:112" x14ac:dyDescent="0.25">
      <c r="A186" t="s">
        <v>945</v>
      </c>
      <c r="C186" t="s">
        <v>533</v>
      </c>
      <c r="I186">
        <v>1</v>
      </c>
      <c r="K186" s="8" t="s">
        <v>538</v>
      </c>
      <c r="M186"/>
      <c r="N186"/>
      <c r="Q186" s="8" t="s">
        <v>948</v>
      </c>
      <c r="Y186" s="8"/>
      <c r="Z186" s="8"/>
      <c r="AA186" s="8"/>
      <c r="AB186" s="8"/>
      <c r="AC186">
        <v>2</v>
      </c>
      <c r="AD186">
        <v>1</v>
      </c>
      <c r="AO186" t="s">
        <v>527</v>
      </c>
      <c r="AW186">
        <v>1</v>
      </c>
      <c r="BD186">
        <v>1</v>
      </c>
      <c r="BV186"/>
      <c r="CN186" t="s">
        <v>906</v>
      </c>
      <c r="CR186">
        <v>9999</v>
      </c>
      <c r="CS186">
        <v>0.6</v>
      </c>
    </row>
    <row r="187" spans="1:112" x14ac:dyDescent="0.25">
      <c r="A187" t="s">
        <v>940</v>
      </c>
      <c r="C187" t="s">
        <v>533</v>
      </c>
      <c r="I187">
        <v>1</v>
      </c>
      <c r="K187" s="8" t="s">
        <v>538</v>
      </c>
      <c r="M187"/>
      <c r="N187"/>
      <c r="Y187" s="8"/>
      <c r="Z187" s="8"/>
      <c r="AA187" s="8"/>
      <c r="AB187" s="8"/>
      <c r="AC187">
        <v>1</v>
      </c>
      <c r="AG187" t="s">
        <v>534</v>
      </c>
      <c r="AZ187" s="8"/>
      <c r="BD187">
        <v>1</v>
      </c>
      <c r="BS187">
        <v>0.16700000000000001</v>
      </c>
      <c r="CB187" s="8" t="s">
        <v>711</v>
      </c>
      <c r="CC187" s="8"/>
      <c r="CD187" s="8"/>
      <c r="CE187" s="8"/>
      <c r="CF187" s="8"/>
      <c r="CG187" t="s">
        <v>530</v>
      </c>
      <c r="CH187" s="8"/>
      <c r="CI187" s="8"/>
      <c r="CJ187" s="8"/>
      <c r="CK187" s="8"/>
      <c r="CL187" s="8"/>
      <c r="CN187" t="s">
        <v>949</v>
      </c>
      <c r="CR187">
        <v>19.7</v>
      </c>
      <c r="DD187">
        <v>1</v>
      </c>
      <c r="DF187">
        <v>1</v>
      </c>
      <c r="DG187">
        <v>1</v>
      </c>
      <c r="DH187">
        <v>1</v>
      </c>
    </row>
    <row r="188" spans="1:112" x14ac:dyDescent="0.25">
      <c r="A188" t="s">
        <v>950</v>
      </c>
      <c r="C188" t="s">
        <v>533</v>
      </c>
      <c r="I188">
        <v>1</v>
      </c>
      <c r="M188"/>
      <c r="N188"/>
      <c r="O188" t="s">
        <v>944</v>
      </c>
      <c r="P188" t="s">
        <v>949</v>
      </c>
      <c r="Y188" s="8"/>
      <c r="Z188" s="8"/>
      <c r="AA188" s="8"/>
      <c r="AB188" s="8"/>
      <c r="AC188">
        <v>1</v>
      </c>
      <c r="AG188" t="s">
        <v>534</v>
      </c>
      <c r="AZ188" s="8"/>
      <c r="BD188">
        <v>1</v>
      </c>
      <c r="BS188">
        <v>0.26700000000000002</v>
      </c>
      <c r="CB188" s="8" t="s">
        <v>794</v>
      </c>
      <c r="CC188" s="8"/>
      <c r="CD188" s="8"/>
      <c r="CE188" s="8"/>
      <c r="CF188" s="8"/>
      <c r="CG188" t="s">
        <v>530</v>
      </c>
      <c r="CH188" s="8"/>
      <c r="CI188" s="8"/>
      <c r="CJ188" s="8"/>
      <c r="CK188" s="8"/>
      <c r="CL188" s="8"/>
      <c r="DD188">
        <v>1</v>
      </c>
      <c r="DF188">
        <v>1</v>
      </c>
      <c r="DG188">
        <v>1</v>
      </c>
      <c r="DH188">
        <v>1</v>
      </c>
    </row>
    <row r="189" spans="1:112" x14ac:dyDescent="0.25">
      <c r="V189"/>
      <c r="W189"/>
      <c r="X189"/>
      <c r="BS189" s="9"/>
      <c r="BT189" s="9"/>
      <c r="BU189" s="9"/>
      <c r="BY189"/>
      <c r="BZ189"/>
      <c r="CA189"/>
    </row>
    <row r="190" spans="1:112" x14ac:dyDescent="0.25">
      <c r="A190" t="s">
        <v>951</v>
      </c>
      <c r="C190" t="s">
        <v>533</v>
      </c>
      <c r="D190" t="s">
        <v>952</v>
      </c>
      <c r="E190" t="s">
        <v>953</v>
      </c>
      <c r="F190" t="s">
        <v>954</v>
      </c>
      <c r="G190">
        <v>3</v>
      </c>
      <c r="J190" t="s">
        <v>557</v>
      </c>
      <c r="K190" s="8" t="s">
        <v>570</v>
      </c>
      <c r="M190"/>
      <c r="N190"/>
      <c r="Y190" s="8"/>
      <c r="Z190" s="8"/>
      <c r="AA190" s="8"/>
      <c r="AB190" s="8"/>
      <c r="AC190">
        <v>1</v>
      </c>
      <c r="AG190" t="s">
        <v>534</v>
      </c>
      <c r="AT190" t="s">
        <v>955</v>
      </c>
      <c r="BD190">
        <v>1</v>
      </c>
      <c r="BO190" t="s">
        <v>956</v>
      </c>
      <c r="BP190" t="s">
        <v>957</v>
      </c>
      <c r="BT190">
        <v>30</v>
      </c>
      <c r="BV190" s="9">
        <v>30</v>
      </c>
      <c r="BW190" s="9">
        <v>45</v>
      </c>
      <c r="BX190" s="9">
        <v>1</v>
      </c>
      <c r="BY190" s="9" t="s">
        <v>542</v>
      </c>
      <c r="BZ190"/>
      <c r="CA190"/>
      <c r="CB190" s="8"/>
      <c r="CC190" s="8"/>
      <c r="CD190" s="8"/>
      <c r="CE190" s="8"/>
      <c r="CF190" s="8"/>
      <c r="CK190" s="8"/>
      <c r="CL190" s="8"/>
      <c r="CN190" t="s">
        <v>958</v>
      </c>
      <c r="CO190">
        <v>3</v>
      </c>
      <c r="CR190">
        <v>30</v>
      </c>
      <c r="CU190" t="s">
        <v>927</v>
      </c>
      <c r="DB190" t="s">
        <v>959</v>
      </c>
      <c r="DC190" t="s">
        <v>960</v>
      </c>
    </row>
    <row r="191" spans="1:112" x14ac:dyDescent="0.25">
      <c r="A191" t="s">
        <v>961</v>
      </c>
      <c r="C191" t="s">
        <v>533</v>
      </c>
      <c r="M191"/>
      <c r="N191"/>
      <c r="O191" t="s">
        <v>962</v>
      </c>
      <c r="Y191" s="8"/>
      <c r="Z191" s="8"/>
      <c r="AA191" s="8"/>
      <c r="AB191" s="8"/>
      <c r="AC191">
        <v>2</v>
      </c>
      <c r="AD191">
        <v>1</v>
      </c>
      <c r="AO191" t="s">
        <v>527</v>
      </c>
      <c r="AT191" t="s">
        <v>955</v>
      </c>
      <c r="AX191" t="s">
        <v>563</v>
      </c>
      <c r="AZ191">
        <v>1</v>
      </c>
      <c r="BD191">
        <v>4</v>
      </c>
      <c r="BP191" t="s">
        <v>963</v>
      </c>
      <c r="CB191" s="8" t="s">
        <v>964</v>
      </c>
      <c r="CG191" t="s">
        <v>530</v>
      </c>
      <c r="CH191" t="s">
        <v>907</v>
      </c>
      <c r="CI191" t="s">
        <v>762</v>
      </c>
      <c r="CL191" t="s">
        <v>908</v>
      </c>
      <c r="CN191" t="s">
        <v>909</v>
      </c>
      <c r="CO191">
        <v>-10</v>
      </c>
      <c r="CP191">
        <v>0.1</v>
      </c>
      <c r="CR191">
        <v>5</v>
      </c>
      <c r="CY191" t="s">
        <v>899</v>
      </c>
    </row>
    <row r="192" spans="1:112" x14ac:dyDescent="0.25">
      <c r="A192" t="s">
        <v>963</v>
      </c>
      <c r="C192" t="s">
        <v>533</v>
      </c>
      <c r="I192">
        <v>1</v>
      </c>
      <c r="K192" s="8" t="s">
        <v>538</v>
      </c>
      <c r="M192"/>
      <c r="N192"/>
      <c r="Y192" s="8"/>
      <c r="Z192" s="8"/>
      <c r="AA192" s="8"/>
      <c r="AB192" s="8"/>
      <c r="AC192">
        <v>2</v>
      </c>
      <c r="AD192">
        <v>1</v>
      </c>
      <c r="AO192" t="s">
        <v>911</v>
      </c>
      <c r="AW192">
        <v>1</v>
      </c>
      <c r="BD192">
        <v>4</v>
      </c>
      <c r="BV192"/>
      <c r="CN192" t="s">
        <v>906</v>
      </c>
      <c r="CR192">
        <v>9999</v>
      </c>
      <c r="CS192">
        <v>0.6</v>
      </c>
    </row>
    <row r="193" spans="1:119" x14ac:dyDescent="0.25">
      <c r="A193" t="s">
        <v>957</v>
      </c>
      <c r="C193" t="s">
        <v>533</v>
      </c>
      <c r="I193">
        <v>1</v>
      </c>
      <c r="K193" s="8" t="s">
        <v>538</v>
      </c>
      <c r="M193"/>
      <c r="N193"/>
      <c r="Y193" s="8"/>
      <c r="Z193" s="8"/>
      <c r="AA193" s="8"/>
      <c r="AB193" s="8"/>
      <c r="AC193">
        <v>1</v>
      </c>
      <c r="AG193" t="s">
        <v>534</v>
      </c>
      <c r="BD193">
        <v>1</v>
      </c>
      <c r="BS193">
        <v>0.16700000000000001</v>
      </c>
      <c r="CB193" s="8" t="s">
        <v>598</v>
      </c>
      <c r="CC193" s="8"/>
      <c r="CD193" s="8"/>
      <c r="CE193" s="8"/>
      <c r="CF193" s="8"/>
      <c r="CG193" t="s">
        <v>530</v>
      </c>
      <c r="CH193" s="8"/>
      <c r="CI193" s="8"/>
      <c r="CJ193" s="8"/>
      <c r="CK193" s="8"/>
      <c r="CL193" s="8"/>
      <c r="DD193">
        <v>1</v>
      </c>
      <c r="DF193">
        <v>1</v>
      </c>
      <c r="DG193">
        <v>1</v>
      </c>
      <c r="DH193">
        <v>1</v>
      </c>
    </row>
    <row r="194" spans="1:119" x14ac:dyDescent="0.25">
      <c r="A194" t="s">
        <v>965</v>
      </c>
      <c r="C194" t="s">
        <v>533</v>
      </c>
      <c r="I194">
        <v>1</v>
      </c>
      <c r="K194" s="8" t="s">
        <v>538</v>
      </c>
      <c r="L194" s="8" t="s">
        <v>581</v>
      </c>
      <c r="M194"/>
      <c r="N194"/>
      <c r="O194"/>
      <c r="P194"/>
      <c r="Y194" s="8"/>
      <c r="Z194" s="8"/>
      <c r="AA194" s="8"/>
      <c r="AB194" s="8"/>
      <c r="AC194">
        <v>1</v>
      </c>
      <c r="AG194" t="s">
        <v>534</v>
      </c>
      <c r="BD194">
        <v>1</v>
      </c>
      <c r="BS194">
        <v>0.5</v>
      </c>
      <c r="CB194" s="8" t="s">
        <v>600</v>
      </c>
      <c r="CC194" s="8"/>
      <c r="CD194" s="8"/>
      <c r="CE194" s="8"/>
      <c r="CF194" s="8"/>
      <c r="CG194" t="s">
        <v>530</v>
      </c>
      <c r="CH194" s="8"/>
      <c r="CI194" s="8"/>
      <c r="CJ194" s="8"/>
      <c r="CK194" s="8"/>
      <c r="CL194" s="8"/>
      <c r="DD194">
        <v>1</v>
      </c>
      <c r="DF194">
        <v>1</v>
      </c>
      <c r="DG194">
        <v>1</v>
      </c>
      <c r="DH194">
        <v>1</v>
      </c>
    </row>
    <row r="195" spans="1:119" s="6" customFormat="1" x14ac:dyDescent="0.25"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AR195"/>
      <c r="AS195"/>
      <c r="BV195" s="12"/>
      <c r="BW195" s="12"/>
      <c r="BX195" s="12"/>
      <c r="BY195" s="12"/>
      <c r="BZ195" s="12"/>
      <c r="CA195" s="12"/>
      <c r="CL195" s="10"/>
    </row>
    <row r="196" spans="1:119" x14ac:dyDescent="0.25">
      <c r="A196" t="s">
        <v>966</v>
      </c>
      <c r="C196" t="s">
        <v>533</v>
      </c>
      <c r="J196" s="8"/>
      <c r="M196"/>
      <c r="N196"/>
      <c r="P196" t="s">
        <v>967</v>
      </c>
      <c r="S196">
        <v>1</v>
      </c>
      <c r="Y196" s="8"/>
      <c r="Z196" s="8"/>
      <c r="AA196" s="8"/>
      <c r="AB196" s="8"/>
      <c r="AC196">
        <v>2</v>
      </c>
      <c r="AD196">
        <v>1</v>
      </c>
      <c r="AO196" t="s">
        <v>527</v>
      </c>
      <c r="AT196" t="s">
        <v>905</v>
      </c>
      <c r="AX196" t="s">
        <v>563</v>
      </c>
      <c r="AZ196">
        <v>1</v>
      </c>
      <c r="BD196">
        <v>1</v>
      </c>
      <c r="BV196"/>
      <c r="CB196" t="s">
        <v>69</v>
      </c>
      <c r="CG196" t="s">
        <v>530</v>
      </c>
      <c r="CH196" t="s">
        <v>968</v>
      </c>
      <c r="CI196" t="s">
        <v>762</v>
      </c>
      <c r="CY196" t="s">
        <v>623</v>
      </c>
    </row>
    <row r="197" spans="1:119" s="7" customFormat="1" x14ac:dyDescent="0.25">
      <c r="A197" t="s">
        <v>969</v>
      </c>
      <c r="B197"/>
      <c r="C197" t="s">
        <v>970</v>
      </c>
      <c r="D197"/>
      <c r="E197"/>
      <c r="F197"/>
      <c r="G197"/>
      <c r="H197"/>
      <c r="I197">
        <v>1</v>
      </c>
      <c r="J197"/>
      <c r="K197" s="8" t="s">
        <v>538</v>
      </c>
      <c r="L197" s="8" t="s">
        <v>727</v>
      </c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>
        <v>2</v>
      </c>
      <c r="AD197">
        <v>1</v>
      </c>
      <c r="AE197"/>
      <c r="AF197">
        <v>1</v>
      </c>
      <c r="AG197" t="s">
        <v>534</v>
      </c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 s="19"/>
      <c r="AX197"/>
      <c r="AY197"/>
      <c r="AZ197" s="20"/>
      <c r="BA197"/>
      <c r="BB197"/>
      <c r="BC197"/>
      <c r="BD197">
        <v>1</v>
      </c>
      <c r="BE197"/>
      <c r="BF197"/>
      <c r="BG197"/>
      <c r="BH197"/>
      <c r="BI197"/>
      <c r="BJ197"/>
      <c r="BK197"/>
      <c r="BL197"/>
      <c r="BM197"/>
      <c r="BN197"/>
      <c r="BO197" s="22"/>
      <c r="BP197" s="22"/>
      <c r="BQ197"/>
      <c r="BR197"/>
      <c r="BS197">
        <v>10</v>
      </c>
      <c r="BT197"/>
      <c r="BU197"/>
      <c r="BV197"/>
      <c r="BW197"/>
      <c r="BX197"/>
      <c r="BY197" s="9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 s="15" t="s">
        <v>971</v>
      </c>
      <c r="CO197"/>
      <c r="CP197"/>
      <c r="CQ197"/>
      <c r="CR197">
        <v>10</v>
      </c>
      <c r="CS197"/>
      <c r="CT197"/>
      <c r="CU197" t="s">
        <v>972</v>
      </c>
      <c r="CV197"/>
      <c r="CW197"/>
      <c r="CX197"/>
      <c r="CY197" s="25"/>
      <c r="CZ197"/>
      <c r="DA197"/>
      <c r="DB197"/>
      <c r="DC197"/>
      <c r="DD197"/>
      <c r="DE197"/>
      <c r="DF197"/>
      <c r="DG197"/>
      <c r="DH197"/>
      <c r="DI197"/>
    </row>
    <row r="198" spans="1:119" x14ac:dyDescent="0.25">
      <c r="A198" t="s">
        <v>973</v>
      </c>
      <c r="C198" t="s">
        <v>533</v>
      </c>
      <c r="I198">
        <v>1</v>
      </c>
      <c r="Q198" t="s">
        <v>971</v>
      </c>
      <c r="AC198">
        <v>2</v>
      </c>
      <c r="AD198">
        <v>1</v>
      </c>
      <c r="AO198" t="s">
        <v>527</v>
      </c>
      <c r="AV198">
        <v>99</v>
      </c>
      <c r="AX198" t="s">
        <v>918</v>
      </c>
      <c r="AZ198">
        <v>4.5</v>
      </c>
      <c r="BD198">
        <v>1</v>
      </c>
      <c r="BP198" t="s">
        <v>974</v>
      </c>
      <c r="CJ198" t="s">
        <v>975</v>
      </c>
      <c r="CL198" s="8"/>
      <c r="CM198" s="15" t="s">
        <v>971</v>
      </c>
      <c r="CY198" t="s">
        <v>623</v>
      </c>
    </row>
    <row r="199" spans="1:119" x14ac:dyDescent="0.25">
      <c r="A199" t="s">
        <v>974</v>
      </c>
      <c r="C199" t="s">
        <v>533</v>
      </c>
      <c r="I199">
        <v>1</v>
      </c>
      <c r="K199" s="8" t="s">
        <v>538</v>
      </c>
      <c r="AC199">
        <v>1</v>
      </c>
      <c r="AG199" t="s">
        <v>534</v>
      </c>
      <c r="AY199">
        <v>1</v>
      </c>
      <c r="AZ199">
        <v>0.18</v>
      </c>
      <c r="BB199">
        <v>1</v>
      </c>
      <c r="BD199">
        <v>1</v>
      </c>
      <c r="CN199" t="s">
        <v>637</v>
      </c>
      <c r="CO199">
        <v>0.1</v>
      </c>
      <c r="CR199">
        <v>10</v>
      </c>
    </row>
    <row r="200" spans="1:119" x14ac:dyDescent="0.25">
      <c r="A200" t="s">
        <v>976</v>
      </c>
      <c r="C200" t="s">
        <v>977</v>
      </c>
      <c r="I200">
        <v>1</v>
      </c>
      <c r="K200" s="8" t="s">
        <v>538</v>
      </c>
      <c r="L200" s="8" t="s">
        <v>978</v>
      </c>
      <c r="M200"/>
      <c r="N200"/>
      <c r="P200" t="s">
        <v>967</v>
      </c>
      <c r="Y200" s="8"/>
      <c r="Z200" s="8"/>
      <c r="AA200" s="8"/>
      <c r="AB200" s="8">
        <v>1</v>
      </c>
      <c r="AC200">
        <v>1</v>
      </c>
      <c r="AG200" t="s">
        <v>534</v>
      </c>
      <c r="BD200">
        <v>1</v>
      </c>
      <c r="BO200" t="s">
        <v>979</v>
      </c>
      <c r="BV200"/>
      <c r="BW200"/>
      <c r="BX200"/>
      <c r="BY200"/>
      <c r="BZ200"/>
      <c r="CA200"/>
      <c r="CC200" s="8"/>
      <c r="CD200" s="8"/>
      <c r="CE200" s="8"/>
      <c r="CF200" s="8"/>
      <c r="CG200" s="8"/>
      <c r="CI200" s="8"/>
      <c r="CJ200" s="8"/>
      <c r="CK200" s="8"/>
      <c r="CL200" s="8"/>
      <c r="CM200" t="s">
        <v>980</v>
      </c>
      <c r="CN200" t="s">
        <v>981</v>
      </c>
      <c r="CO200">
        <v>3.5000000000000003E-2</v>
      </c>
      <c r="CP200">
        <v>6000</v>
      </c>
      <c r="CR200">
        <v>999</v>
      </c>
      <c r="CU200" t="s">
        <v>982</v>
      </c>
      <c r="DD200">
        <v>1</v>
      </c>
      <c r="DG200">
        <v>1</v>
      </c>
      <c r="DH200">
        <v>1</v>
      </c>
    </row>
    <row r="201" spans="1:119" x14ac:dyDescent="0.25">
      <c r="A201" t="s">
        <v>983</v>
      </c>
      <c r="C201" t="s">
        <v>533</v>
      </c>
      <c r="I201">
        <v>1</v>
      </c>
      <c r="M201"/>
      <c r="N201"/>
      <c r="O201" t="s">
        <v>967</v>
      </c>
      <c r="P201"/>
      <c r="T201" s="8">
        <v>1</v>
      </c>
      <c r="Y201" s="8"/>
      <c r="Z201" s="8"/>
      <c r="AA201" s="8"/>
      <c r="AB201" s="8"/>
      <c r="AC201">
        <v>1</v>
      </c>
      <c r="AG201" t="s">
        <v>534</v>
      </c>
      <c r="BD201">
        <v>1</v>
      </c>
      <c r="BS201">
        <v>0.1</v>
      </c>
      <c r="BV201"/>
      <c r="BW201"/>
      <c r="BX201"/>
      <c r="BY201"/>
      <c r="BZ201"/>
      <c r="CA201"/>
      <c r="CB201" s="8"/>
      <c r="CC201" s="8"/>
      <c r="CD201" s="8"/>
      <c r="CE201" s="8"/>
      <c r="CF201" s="8"/>
      <c r="CH201" s="8"/>
      <c r="CI201" s="8"/>
      <c r="CJ201" s="8"/>
      <c r="CK201" s="8"/>
      <c r="CM201" t="s">
        <v>980</v>
      </c>
      <c r="CN201" t="s">
        <v>984</v>
      </c>
      <c r="CO201">
        <v>-1</v>
      </c>
      <c r="CR201">
        <v>0.2</v>
      </c>
    </row>
    <row r="202" spans="1:119" x14ac:dyDescent="0.25">
      <c r="A202" t="s">
        <v>985</v>
      </c>
      <c r="C202" t="s">
        <v>533</v>
      </c>
      <c r="I202">
        <v>1</v>
      </c>
      <c r="M202"/>
      <c r="N202"/>
      <c r="O202" t="s">
        <v>967</v>
      </c>
      <c r="P202"/>
      <c r="V202" s="8">
        <v>1</v>
      </c>
      <c r="Y202" s="8"/>
      <c r="Z202" s="8"/>
      <c r="AA202" s="8"/>
      <c r="AB202" s="8"/>
      <c r="AC202">
        <v>1</v>
      </c>
      <c r="AG202" t="s">
        <v>534</v>
      </c>
      <c r="BD202">
        <v>1</v>
      </c>
      <c r="BO202" t="s">
        <v>986</v>
      </c>
      <c r="BV202"/>
      <c r="BW202"/>
      <c r="BX202"/>
      <c r="BY202"/>
      <c r="BZ202"/>
      <c r="CA202"/>
      <c r="CB202" s="8"/>
      <c r="CC202" s="8"/>
      <c r="CD202" s="8"/>
      <c r="CE202" s="8"/>
      <c r="CF202" s="8"/>
      <c r="CH202" s="8"/>
      <c r="CI202" s="8"/>
      <c r="CJ202" s="8"/>
      <c r="CK202" s="8"/>
      <c r="CM202" t="s">
        <v>980</v>
      </c>
      <c r="CN202" t="s">
        <v>987</v>
      </c>
      <c r="CR202">
        <v>1</v>
      </c>
      <c r="DD202">
        <v>1</v>
      </c>
      <c r="DG202">
        <v>1</v>
      </c>
      <c r="DH202">
        <v>1</v>
      </c>
      <c r="DO202">
        <v>1</v>
      </c>
    </row>
    <row r="203" spans="1:119" x14ac:dyDescent="0.25">
      <c r="A203" t="s">
        <v>986</v>
      </c>
      <c r="C203" t="s">
        <v>533</v>
      </c>
      <c r="I203">
        <v>1</v>
      </c>
      <c r="M203"/>
      <c r="N203"/>
      <c r="O203" t="s">
        <v>987</v>
      </c>
      <c r="P203"/>
      <c r="Y203" s="8"/>
      <c r="Z203" s="8"/>
      <c r="AA203" s="8"/>
      <c r="AB203" s="8"/>
      <c r="AC203">
        <v>1</v>
      </c>
      <c r="AG203" t="s">
        <v>534</v>
      </c>
      <c r="BD203">
        <v>1</v>
      </c>
      <c r="BP203" t="s">
        <v>988</v>
      </c>
      <c r="BS203">
        <v>0.8</v>
      </c>
      <c r="BV203"/>
      <c r="BW203"/>
      <c r="BX203"/>
      <c r="BY203"/>
      <c r="BZ203"/>
      <c r="CA203"/>
      <c r="CB203" s="8" t="s">
        <v>989</v>
      </c>
      <c r="CC203" s="8"/>
      <c r="CD203" s="8"/>
      <c r="CE203" s="8"/>
      <c r="CF203" s="8"/>
      <c r="CG203" t="s">
        <v>530</v>
      </c>
      <c r="CH203" s="8"/>
      <c r="CI203" s="8"/>
      <c r="CJ203" s="8"/>
      <c r="CK203" s="8"/>
      <c r="CM203" t="s">
        <v>990</v>
      </c>
      <c r="CN203" t="s">
        <v>886</v>
      </c>
      <c r="CR203">
        <v>0.8</v>
      </c>
      <c r="DD203">
        <v>1</v>
      </c>
      <c r="DG203">
        <v>1</v>
      </c>
      <c r="DH203">
        <v>1</v>
      </c>
      <c r="DO203">
        <v>1</v>
      </c>
    </row>
    <row r="204" spans="1:119" x14ac:dyDescent="0.25">
      <c r="A204" t="s">
        <v>988</v>
      </c>
      <c r="C204" t="s">
        <v>533</v>
      </c>
      <c r="I204">
        <v>1</v>
      </c>
      <c r="K204" s="8" t="s">
        <v>538</v>
      </c>
      <c r="M204"/>
      <c r="N204"/>
      <c r="O204"/>
      <c r="P204"/>
      <c r="X204" s="8">
        <v>1</v>
      </c>
      <c r="Y204" s="8"/>
      <c r="Z204" s="8"/>
      <c r="AA204" s="8"/>
      <c r="AB204" s="8"/>
      <c r="AC204">
        <v>2</v>
      </c>
      <c r="AD204">
        <v>1</v>
      </c>
      <c r="AV204">
        <v>1.7</v>
      </c>
      <c r="BD204">
        <v>99</v>
      </c>
      <c r="BJ204">
        <v>1.7</v>
      </c>
      <c r="BK204">
        <v>0</v>
      </c>
      <c r="BL204">
        <v>0</v>
      </c>
      <c r="BV204"/>
      <c r="BW204"/>
      <c r="BX204"/>
      <c r="BY204"/>
      <c r="BZ204"/>
      <c r="CA204"/>
      <c r="CB204" s="8"/>
      <c r="CC204" s="8"/>
      <c r="CD204" s="8"/>
      <c r="CE204" s="8"/>
      <c r="CF204" s="8"/>
      <c r="CH204" s="8"/>
      <c r="CI204" s="8"/>
      <c r="CJ204" s="8"/>
      <c r="CK204" s="8"/>
      <c r="CN204" t="s">
        <v>991</v>
      </c>
      <c r="CR204">
        <v>5</v>
      </c>
      <c r="CX204" t="s">
        <v>710</v>
      </c>
      <c r="DD204">
        <v>1</v>
      </c>
      <c r="DG204">
        <v>1</v>
      </c>
      <c r="DH204">
        <v>1</v>
      </c>
      <c r="DO204">
        <v>1</v>
      </c>
    </row>
    <row r="205" spans="1:119" x14ac:dyDescent="0.25">
      <c r="BV205"/>
    </row>
    <row r="207" spans="1:119" x14ac:dyDescent="0.25">
      <c r="A207" t="s">
        <v>992</v>
      </c>
      <c r="C207" t="s">
        <v>533</v>
      </c>
      <c r="D207" t="s">
        <v>993</v>
      </c>
      <c r="E207" t="s">
        <v>994</v>
      </c>
      <c r="F207" t="s">
        <v>995</v>
      </c>
      <c r="G207">
        <v>3</v>
      </c>
      <c r="J207" t="s">
        <v>557</v>
      </c>
      <c r="K207" s="11" t="s">
        <v>570</v>
      </c>
      <c r="L207" s="11"/>
      <c r="M207"/>
      <c r="N207"/>
      <c r="O207" s="11"/>
      <c r="P207" t="s">
        <v>967</v>
      </c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>
        <v>1</v>
      </c>
      <c r="AG207" t="s">
        <v>534</v>
      </c>
      <c r="AT207" t="s">
        <v>571</v>
      </c>
      <c r="BD207">
        <v>1</v>
      </c>
      <c r="BO207" t="s">
        <v>996</v>
      </c>
      <c r="BP207" t="s">
        <v>997</v>
      </c>
      <c r="BT207">
        <v>35</v>
      </c>
      <c r="BU207">
        <v>1</v>
      </c>
      <c r="BV207" s="14">
        <v>23</v>
      </c>
      <c r="BW207" s="14">
        <v>36</v>
      </c>
      <c r="BX207" s="14">
        <v>1</v>
      </c>
      <c r="BY207" s="9" t="s">
        <v>542</v>
      </c>
      <c r="BZ207" s="14"/>
      <c r="CA207" s="14"/>
      <c r="CC207" s="11"/>
      <c r="CD207" s="11"/>
      <c r="CE207" s="11"/>
      <c r="CF207" s="11"/>
      <c r="CH207" s="11"/>
      <c r="CI207" s="11"/>
      <c r="CK207" s="11"/>
      <c r="CL207" s="11"/>
      <c r="CN207" t="s">
        <v>998</v>
      </c>
      <c r="CO207" s="39" t="s">
        <v>999</v>
      </c>
      <c r="CR207">
        <v>35</v>
      </c>
      <c r="CT207">
        <v>1</v>
      </c>
      <c r="CU207" t="s">
        <v>1000</v>
      </c>
    </row>
    <row r="208" spans="1:119" x14ac:dyDescent="0.25">
      <c r="A208" t="s">
        <v>1001</v>
      </c>
      <c r="C208" t="s">
        <v>533</v>
      </c>
      <c r="M208"/>
      <c r="N208"/>
      <c r="O208" t="s">
        <v>1002</v>
      </c>
      <c r="P208" t="s">
        <v>967</v>
      </c>
      <c r="Y208" s="8"/>
      <c r="Z208" s="8"/>
      <c r="AA208" s="8"/>
      <c r="AB208" s="8"/>
      <c r="AC208">
        <v>2</v>
      </c>
      <c r="AD208">
        <v>1</v>
      </c>
      <c r="AO208" t="s">
        <v>527</v>
      </c>
      <c r="AP208" t="s">
        <v>635</v>
      </c>
      <c r="AT208" t="s">
        <v>571</v>
      </c>
      <c r="AX208" t="s">
        <v>563</v>
      </c>
      <c r="AZ208">
        <v>1</v>
      </c>
      <c r="BD208">
        <v>3</v>
      </c>
      <c r="BP208" t="s">
        <v>1003</v>
      </c>
      <c r="CA208" s="14"/>
      <c r="CB208" s="13" t="s">
        <v>1004</v>
      </c>
      <c r="CG208" t="s">
        <v>530</v>
      </c>
      <c r="CH208" t="s">
        <v>1005</v>
      </c>
      <c r="CI208" t="s">
        <v>762</v>
      </c>
      <c r="CJ208" t="s">
        <v>975</v>
      </c>
      <c r="CN208" t="s">
        <v>1006</v>
      </c>
      <c r="CR208">
        <v>10</v>
      </c>
      <c r="CY208" t="s">
        <v>623</v>
      </c>
    </row>
    <row r="209" spans="1:119" x14ac:dyDescent="0.25">
      <c r="A209" t="s">
        <v>997</v>
      </c>
      <c r="C209" t="s">
        <v>533</v>
      </c>
      <c r="E209" s="18"/>
      <c r="I209">
        <v>1</v>
      </c>
      <c r="K209" s="8" t="s">
        <v>538</v>
      </c>
      <c r="M209"/>
      <c r="N209"/>
      <c r="P209" t="s">
        <v>967</v>
      </c>
      <c r="Y209" s="8"/>
      <c r="Z209" s="8"/>
      <c r="AA209" s="8"/>
      <c r="AB209" s="8"/>
      <c r="AC209">
        <v>1</v>
      </c>
      <c r="AG209" t="s">
        <v>534</v>
      </c>
      <c r="BD209">
        <v>1</v>
      </c>
      <c r="BS209" s="23">
        <v>0.33300000000000002</v>
      </c>
      <c r="CB209" t="s">
        <v>711</v>
      </c>
      <c r="CG209" t="s">
        <v>530</v>
      </c>
      <c r="DD209">
        <v>1</v>
      </c>
      <c r="DF209">
        <v>1</v>
      </c>
      <c r="DG209">
        <v>1</v>
      </c>
      <c r="DH209">
        <v>1</v>
      </c>
      <c r="DO209">
        <v>1</v>
      </c>
    </row>
    <row r="210" spans="1:119" x14ac:dyDescent="0.25">
      <c r="A210" t="s">
        <v>1007</v>
      </c>
      <c r="C210" t="s">
        <v>533</v>
      </c>
      <c r="E210" s="18"/>
      <c r="I210">
        <v>1</v>
      </c>
      <c r="K210" s="8" t="s">
        <v>538</v>
      </c>
      <c r="L210" s="8" t="s">
        <v>581</v>
      </c>
      <c r="M210"/>
      <c r="N210"/>
      <c r="P210" t="s">
        <v>967</v>
      </c>
      <c r="R210"/>
      <c r="Y210" s="8"/>
      <c r="Z210" s="8"/>
      <c r="AA210" s="8"/>
      <c r="AB210" s="8"/>
      <c r="AC210">
        <v>1</v>
      </c>
      <c r="AG210" t="s">
        <v>534</v>
      </c>
      <c r="BD210">
        <v>1</v>
      </c>
      <c r="BS210" s="23">
        <v>0.33300000000000002</v>
      </c>
      <c r="CB210" t="s">
        <v>794</v>
      </c>
      <c r="CG210" t="s">
        <v>530</v>
      </c>
      <c r="DD210">
        <v>1</v>
      </c>
      <c r="DF210">
        <v>1</v>
      </c>
      <c r="DG210">
        <v>1</v>
      </c>
      <c r="DH210">
        <v>1</v>
      </c>
      <c r="DO210">
        <v>1</v>
      </c>
    </row>
    <row r="211" spans="1:119" x14ac:dyDescent="0.25">
      <c r="A211" t="s">
        <v>1003</v>
      </c>
      <c r="C211" t="s">
        <v>533</v>
      </c>
      <c r="I211">
        <v>1</v>
      </c>
      <c r="K211" s="11" t="s">
        <v>538</v>
      </c>
      <c r="L211" s="11"/>
      <c r="M211"/>
      <c r="N211"/>
      <c r="O211"/>
      <c r="P211" t="s">
        <v>967</v>
      </c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>
        <v>1</v>
      </c>
      <c r="AG211" t="s">
        <v>534</v>
      </c>
      <c r="AX211" t="s">
        <v>543</v>
      </c>
      <c r="AZ211">
        <v>0.05</v>
      </c>
      <c r="BB211">
        <v>1</v>
      </c>
      <c r="BD211">
        <v>1</v>
      </c>
      <c r="BV211" s="14"/>
      <c r="BW211" s="14"/>
      <c r="BX211" s="14"/>
      <c r="BZ211" s="14"/>
      <c r="CA211" s="14"/>
      <c r="CC211" s="11"/>
      <c r="CD211" s="11"/>
      <c r="CE211" s="11"/>
      <c r="CF211" s="11"/>
      <c r="CH211" s="11"/>
      <c r="CI211" s="11"/>
      <c r="CK211" s="11"/>
      <c r="CL211" s="11"/>
    </row>
    <row r="212" spans="1:119" x14ac:dyDescent="0.25">
      <c r="A212" t="s">
        <v>1008</v>
      </c>
      <c r="C212" t="s">
        <v>533</v>
      </c>
      <c r="I212">
        <v>1</v>
      </c>
      <c r="J212" s="8"/>
      <c r="M212"/>
      <c r="N212"/>
      <c r="O212" t="s">
        <v>1002</v>
      </c>
      <c r="P212" t="s">
        <v>967</v>
      </c>
      <c r="Q212"/>
      <c r="Y212" s="8"/>
      <c r="Z212" s="8"/>
      <c r="AA212" s="8"/>
      <c r="AB212" s="8"/>
      <c r="AC212">
        <v>2</v>
      </c>
      <c r="AD212">
        <v>1</v>
      </c>
      <c r="AO212" t="s">
        <v>527</v>
      </c>
      <c r="AW212">
        <v>1</v>
      </c>
      <c r="AX212" t="s">
        <v>563</v>
      </c>
      <c r="AZ212">
        <v>0.35</v>
      </c>
      <c r="BD212">
        <v>99</v>
      </c>
      <c r="BS212">
        <v>1</v>
      </c>
      <c r="BV212"/>
      <c r="CJ212" t="s">
        <v>975</v>
      </c>
      <c r="CL212" t="s">
        <v>1009</v>
      </c>
      <c r="CN212" s="17" t="s">
        <v>756</v>
      </c>
      <c r="CO212" s="8">
        <v>-0.5</v>
      </c>
      <c r="CP212" s="8"/>
      <c r="CQ212" s="8"/>
      <c r="CR212" s="8">
        <v>1</v>
      </c>
    </row>
    <row r="213" spans="1:119" x14ac:dyDescent="0.25">
      <c r="K213" s="11"/>
      <c r="L213" s="11"/>
      <c r="M213"/>
      <c r="N213"/>
      <c r="O213" s="11"/>
      <c r="P213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BV213" s="14"/>
      <c r="BW213" s="14"/>
      <c r="BX213" s="14"/>
      <c r="BZ213" s="14"/>
      <c r="CA213" s="14"/>
      <c r="CC213" s="11"/>
      <c r="CD213" s="11"/>
      <c r="CE213" s="11"/>
      <c r="CF213" s="11"/>
      <c r="CH213" s="11"/>
      <c r="CI213" s="11"/>
      <c r="CK213" s="11"/>
      <c r="CL213" s="11"/>
    </row>
    <row r="214" spans="1:119" x14ac:dyDescent="0.25">
      <c r="A214" t="s">
        <v>1010</v>
      </c>
      <c r="C214" t="s">
        <v>533</v>
      </c>
      <c r="D214" t="s">
        <v>1011</v>
      </c>
      <c r="E214" t="s">
        <v>1012</v>
      </c>
      <c r="F214" t="s">
        <v>1013</v>
      </c>
      <c r="G214">
        <v>3</v>
      </c>
      <c r="J214" t="s">
        <v>557</v>
      </c>
      <c r="K214" s="11" t="s">
        <v>570</v>
      </c>
      <c r="L214" s="11"/>
      <c r="M214"/>
      <c r="N214"/>
      <c r="O214" s="11"/>
      <c r="P214" t="s">
        <v>967</v>
      </c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>
        <v>1</v>
      </c>
      <c r="AG214" t="s">
        <v>534</v>
      </c>
      <c r="AT214" t="s">
        <v>1014</v>
      </c>
      <c r="BD214">
        <v>1</v>
      </c>
      <c r="BO214" t="s">
        <v>1015</v>
      </c>
      <c r="BP214" t="s">
        <v>1016</v>
      </c>
      <c r="BT214">
        <v>31</v>
      </c>
      <c r="BU214">
        <v>1</v>
      </c>
      <c r="BV214" s="14">
        <v>20</v>
      </c>
      <c r="BW214" s="14">
        <v>30</v>
      </c>
      <c r="BX214" s="14">
        <v>1</v>
      </c>
      <c r="BY214" s="9" t="s">
        <v>542</v>
      </c>
      <c r="BZ214" s="14"/>
      <c r="CA214" s="9" t="s">
        <v>743</v>
      </c>
      <c r="CC214" s="11"/>
      <c r="CD214" s="11"/>
      <c r="CE214" s="11"/>
      <c r="CF214" s="11"/>
      <c r="CH214" s="11"/>
      <c r="CI214" s="11"/>
      <c r="CK214" s="11"/>
      <c r="CL214" s="11"/>
      <c r="CN214" t="s">
        <v>1017</v>
      </c>
      <c r="CO214" s="39" t="s">
        <v>1018</v>
      </c>
      <c r="CP214">
        <v>-0.03</v>
      </c>
      <c r="CR214">
        <v>99999</v>
      </c>
      <c r="CT214">
        <v>1</v>
      </c>
      <c r="CU214" t="s">
        <v>1000</v>
      </c>
    </row>
    <row r="215" spans="1:119" x14ac:dyDescent="0.25">
      <c r="A215" t="s">
        <v>1019</v>
      </c>
      <c r="C215" t="s">
        <v>533</v>
      </c>
      <c r="K215" s="11"/>
      <c r="L215" s="11"/>
      <c r="M215"/>
      <c r="N215"/>
      <c r="O215" t="s">
        <v>1020</v>
      </c>
      <c r="P215" t="s">
        <v>967</v>
      </c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>
        <v>1</v>
      </c>
      <c r="AG215" t="s">
        <v>534</v>
      </c>
      <c r="AX215" t="s">
        <v>543</v>
      </c>
      <c r="AZ215">
        <v>0.03</v>
      </c>
      <c r="BB215">
        <v>1</v>
      </c>
      <c r="BD215">
        <v>1</v>
      </c>
      <c r="BS215">
        <v>1</v>
      </c>
      <c r="BV215" s="14"/>
      <c r="BW215" s="14"/>
      <c r="BX215" s="14"/>
      <c r="BZ215" s="14"/>
      <c r="CA215" s="14"/>
      <c r="CC215" s="11"/>
      <c r="CD215" s="11"/>
      <c r="CE215" s="11"/>
      <c r="CF215" s="11"/>
      <c r="CH215" s="11"/>
      <c r="CI215" s="11"/>
      <c r="CK215" s="11"/>
      <c r="CL215" s="11"/>
    </row>
    <row r="216" spans="1:119" x14ac:dyDescent="0.25">
      <c r="A216" t="s">
        <v>1021</v>
      </c>
      <c r="C216" t="s">
        <v>533</v>
      </c>
      <c r="M216"/>
      <c r="N216"/>
      <c r="O216" t="s">
        <v>1020</v>
      </c>
      <c r="P216" t="s">
        <v>967</v>
      </c>
      <c r="Y216" s="8"/>
      <c r="Z216" s="8"/>
      <c r="AA216" s="8"/>
      <c r="AB216" s="8"/>
      <c r="AC216">
        <v>2</v>
      </c>
      <c r="AD216">
        <v>1</v>
      </c>
      <c r="AO216" t="s">
        <v>527</v>
      </c>
      <c r="AP216" t="s">
        <v>635</v>
      </c>
      <c r="AT216" t="s">
        <v>1014</v>
      </c>
      <c r="AX216" t="s">
        <v>563</v>
      </c>
      <c r="AZ216">
        <v>1</v>
      </c>
      <c r="BD216">
        <v>1</v>
      </c>
      <c r="BJ216">
        <v>1.7</v>
      </c>
      <c r="BK216">
        <v>1</v>
      </c>
      <c r="BL216">
        <v>1</v>
      </c>
      <c r="BO216" t="s">
        <v>1022</v>
      </c>
      <c r="BP216" t="s">
        <v>1023</v>
      </c>
      <c r="CA216" s="14" t="s">
        <v>696</v>
      </c>
      <c r="CG216" t="s">
        <v>530</v>
      </c>
      <c r="CH216" t="s">
        <v>1005</v>
      </c>
      <c r="CI216" t="s">
        <v>762</v>
      </c>
      <c r="CJ216" t="s">
        <v>975</v>
      </c>
      <c r="CN216" t="s">
        <v>1024</v>
      </c>
      <c r="CR216">
        <v>0.5</v>
      </c>
      <c r="CW216" t="s">
        <v>1025</v>
      </c>
      <c r="CY216" t="s">
        <v>710</v>
      </c>
    </row>
    <row r="217" spans="1:119" x14ac:dyDescent="0.25">
      <c r="A217" t="s">
        <v>1022</v>
      </c>
      <c r="C217" t="s">
        <v>533</v>
      </c>
      <c r="I217">
        <v>1</v>
      </c>
      <c r="J217" s="8"/>
      <c r="M217"/>
      <c r="N217"/>
      <c r="P217" t="s">
        <v>967</v>
      </c>
      <c r="Q217" s="15" t="s">
        <v>1026</v>
      </c>
      <c r="Y217" s="8"/>
      <c r="Z217" s="8"/>
      <c r="AA217" s="8"/>
      <c r="AB217" s="8"/>
      <c r="AC217">
        <v>2</v>
      </c>
      <c r="AD217">
        <v>1</v>
      </c>
      <c r="AO217" t="s">
        <v>527</v>
      </c>
      <c r="AV217">
        <v>99</v>
      </c>
      <c r="BD217">
        <v>99</v>
      </c>
      <c r="BS217">
        <v>0.1</v>
      </c>
      <c r="BV217"/>
      <c r="CL217" t="s">
        <v>1027</v>
      </c>
      <c r="CM217" t="s">
        <v>1026</v>
      </c>
      <c r="CN217" s="17"/>
      <c r="CO217" s="8"/>
      <c r="CP217" s="8"/>
      <c r="CQ217" s="8"/>
      <c r="CR217" s="8"/>
    </row>
    <row r="218" spans="1:119" x14ac:dyDescent="0.25">
      <c r="A218" t="s">
        <v>1023</v>
      </c>
      <c r="C218" t="s">
        <v>533</v>
      </c>
      <c r="I218">
        <v>1</v>
      </c>
      <c r="J218" s="8"/>
      <c r="K218" s="8" t="s">
        <v>538</v>
      </c>
      <c r="M218"/>
      <c r="N218"/>
      <c r="P218" t="s">
        <v>967</v>
      </c>
      <c r="Q218" s="15" t="s">
        <v>1028</v>
      </c>
      <c r="Y218" s="8"/>
      <c r="Z218" s="8"/>
      <c r="AA218" s="8"/>
      <c r="AB218" s="8"/>
      <c r="AC218">
        <v>2</v>
      </c>
      <c r="AD218">
        <v>1</v>
      </c>
      <c r="AO218" t="s">
        <v>527</v>
      </c>
      <c r="AV218">
        <v>99</v>
      </c>
      <c r="AX218" t="s">
        <v>918</v>
      </c>
      <c r="AZ218">
        <v>0.8</v>
      </c>
      <c r="BD218">
        <v>99</v>
      </c>
      <c r="BV218"/>
      <c r="CJ218" t="s">
        <v>975</v>
      </c>
      <c r="CM218" t="s">
        <v>1029</v>
      </c>
      <c r="CN218" s="17"/>
      <c r="CO218" s="8"/>
      <c r="CP218" s="8"/>
      <c r="CQ218" s="8"/>
      <c r="CR218" s="8"/>
      <c r="CY218" t="s">
        <v>919</v>
      </c>
    </row>
    <row r="219" spans="1:119" x14ac:dyDescent="0.25">
      <c r="A219" t="s">
        <v>1016</v>
      </c>
      <c r="C219" t="s">
        <v>533</v>
      </c>
      <c r="E219" s="18"/>
      <c r="I219">
        <v>1</v>
      </c>
      <c r="K219" s="8" t="s">
        <v>538</v>
      </c>
      <c r="M219"/>
      <c r="N219"/>
      <c r="P219" t="s">
        <v>967</v>
      </c>
      <c r="Y219" s="8"/>
      <c r="Z219" s="8"/>
      <c r="AA219" s="8"/>
      <c r="AB219" s="8"/>
      <c r="AC219">
        <v>1</v>
      </c>
      <c r="AG219" t="s">
        <v>534</v>
      </c>
      <c r="BD219">
        <v>1</v>
      </c>
      <c r="BS219">
        <v>0.5</v>
      </c>
      <c r="CB219" t="s">
        <v>598</v>
      </c>
      <c r="CG219" t="s">
        <v>530</v>
      </c>
      <c r="DD219">
        <v>1</v>
      </c>
      <c r="DF219">
        <v>1</v>
      </c>
      <c r="DG219">
        <v>1</v>
      </c>
      <c r="DH219">
        <v>1</v>
      </c>
      <c r="DO219">
        <v>1</v>
      </c>
    </row>
    <row r="220" spans="1:119" x14ac:dyDescent="0.25">
      <c r="A220" t="s">
        <v>1030</v>
      </c>
      <c r="C220" t="s">
        <v>533</v>
      </c>
      <c r="E220" s="18"/>
      <c r="I220">
        <v>1</v>
      </c>
      <c r="K220" s="8" t="s">
        <v>538</v>
      </c>
      <c r="L220" s="8" t="s">
        <v>581</v>
      </c>
      <c r="M220"/>
      <c r="N220"/>
      <c r="P220" t="s">
        <v>967</v>
      </c>
      <c r="R220"/>
      <c r="Y220" s="8"/>
      <c r="Z220" s="8"/>
      <c r="AA220" s="8"/>
      <c r="AB220" s="8"/>
      <c r="AC220">
        <v>1</v>
      </c>
      <c r="AG220" t="s">
        <v>534</v>
      </c>
      <c r="BD220">
        <v>1</v>
      </c>
      <c r="BS220">
        <v>0.5</v>
      </c>
      <c r="CB220" t="s">
        <v>600</v>
      </c>
      <c r="CG220" t="s">
        <v>530</v>
      </c>
      <c r="DD220">
        <v>1</v>
      </c>
      <c r="DF220">
        <v>1</v>
      </c>
      <c r="DG220">
        <v>1</v>
      </c>
      <c r="DH220">
        <v>1</v>
      </c>
      <c r="DO220">
        <v>1</v>
      </c>
    </row>
    <row r="222" spans="1:119" s="6" customFormat="1" x14ac:dyDescent="0.25"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AR222"/>
      <c r="AS222"/>
      <c r="BV222" s="12"/>
      <c r="BW222" s="12"/>
      <c r="BX222" s="12"/>
      <c r="BY222" s="12"/>
      <c r="BZ222" s="12"/>
      <c r="CA222" s="12"/>
    </row>
    <row r="223" spans="1:119" x14ac:dyDescent="0.25">
      <c r="A223" t="s">
        <v>1031</v>
      </c>
      <c r="C223" t="s">
        <v>533</v>
      </c>
      <c r="J223" s="8"/>
      <c r="M223"/>
      <c r="N223"/>
      <c r="S223" s="8">
        <v>1</v>
      </c>
      <c r="Y223" s="8"/>
      <c r="Z223" s="8"/>
      <c r="AA223" s="8"/>
      <c r="AB223" s="8"/>
      <c r="AC223">
        <v>2</v>
      </c>
      <c r="AD223">
        <v>1</v>
      </c>
      <c r="AO223" t="s">
        <v>527</v>
      </c>
      <c r="AT223" t="s">
        <v>905</v>
      </c>
      <c r="AX223" t="s">
        <v>563</v>
      </c>
      <c r="AZ223">
        <v>1</v>
      </c>
      <c r="BD223">
        <v>1</v>
      </c>
      <c r="BV223"/>
      <c r="CB223" s="13" t="s">
        <v>1032</v>
      </c>
      <c r="CG223" t="s">
        <v>530</v>
      </c>
      <c r="CH223" t="s">
        <v>907</v>
      </c>
      <c r="CI223" t="s">
        <v>762</v>
      </c>
      <c r="CJ223" t="s">
        <v>1033</v>
      </c>
      <c r="CY223" t="s">
        <v>910</v>
      </c>
    </row>
    <row r="224" spans="1:119" s="7" customFormat="1" x14ac:dyDescent="0.25">
      <c r="A224" t="s">
        <v>1034</v>
      </c>
      <c r="B224"/>
      <c r="C224" t="s">
        <v>970</v>
      </c>
      <c r="D224"/>
      <c r="E224"/>
      <c r="F224"/>
      <c r="G224"/>
      <c r="H224"/>
      <c r="I224"/>
      <c r="J224"/>
      <c r="K224" s="8" t="s">
        <v>538</v>
      </c>
      <c r="L224" s="8" t="s">
        <v>727</v>
      </c>
      <c r="M224"/>
      <c r="N224"/>
      <c r="O224"/>
      <c r="P224"/>
      <c r="Q224" t="s">
        <v>729</v>
      </c>
      <c r="R224"/>
      <c r="S224"/>
      <c r="T224"/>
      <c r="U224"/>
      <c r="V224"/>
      <c r="W224"/>
      <c r="X224"/>
      <c r="Y224"/>
      <c r="Z224"/>
      <c r="AA224"/>
      <c r="AB224"/>
      <c r="AC224">
        <v>2</v>
      </c>
      <c r="AD224">
        <v>1</v>
      </c>
      <c r="AE224"/>
      <c r="AF224">
        <v>1</v>
      </c>
      <c r="AG224" t="s">
        <v>534</v>
      </c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 s="21"/>
      <c r="AX224"/>
      <c r="AY224"/>
      <c r="AZ224"/>
      <c r="BA224"/>
      <c r="BB224"/>
      <c r="BC224"/>
      <c r="BD224">
        <v>1</v>
      </c>
      <c r="BE224"/>
      <c r="BF224"/>
      <c r="BG224"/>
      <c r="BH224"/>
      <c r="BI224"/>
      <c r="BJ224"/>
      <c r="BK224"/>
      <c r="BL224"/>
      <c r="BM224"/>
      <c r="BN224"/>
      <c r="BO224" s="24"/>
      <c r="BP224" s="24"/>
      <c r="BQ224"/>
      <c r="BR224"/>
      <c r="BS224">
        <v>10</v>
      </c>
      <c r="BT224"/>
      <c r="BU224"/>
      <c r="BV224"/>
      <c r="BW224"/>
      <c r="BX224"/>
      <c r="BY224" s="9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 t="s">
        <v>1035</v>
      </c>
      <c r="CO224"/>
      <c r="CP224"/>
      <c r="CQ224"/>
      <c r="CR224">
        <v>6.67</v>
      </c>
      <c r="CS224"/>
      <c r="CT224"/>
      <c r="CU224" t="s">
        <v>728</v>
      </c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</row>
    <row r="225" spans="1:119" s="7" customFormat="1" x14ac:dyDescent="0.25">
      <c r="A225" t="s">
        <v>1036</v>
      </c>
      <c r="B225"/>
      <c r="C225" t="s">
        <v>970</v>
      </c>
      <c r="D225"/>
      <c r="E225"/>
      <c r="F225"/>
      <c r="G225"/>
      <c r="H225"/>
      <c r="I225"/>
      <c r="J225"/>
      <c r="K225" s="8" t="s">
        <v>538</v>
      </c>
      <c r="L225" s="8" t="s">
        <v>727</v>
      </c>
      <c r="M225"/>
      <c r="N225"/>
      <c r="O225"/>
      <c r="P225"/>
      <c r="Q225"/>
      <c r="R225" t="s">
        <v>729</v>
      </c>
      <c r="S225"/>
      <c r="T225"/>
      <c r="U225"/>
      <c r="V225"/>
      <c r="W225"/>
      <c r="X225"/>
      <c r="Y225"/>
      <c r="Z225"/>
      <c r="AA225"/>
      <c r="AB225"/>
      <c r="AC225">
        <v>2</v>
      </c>
      <c r="AD225">
        <v>1</v>
      </c>
      <c r="AE225"/>
      <c r="AF225">
        <v>1</v>
      </c>
      <c r="AG225" t="s">
        <v>534</v>
      </c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 s="21"/>
      <c r="AX225"/>
      <c r="AY225"/>
      <c r="AZ225"/>
      <c r="BA225"/>
      <c r="BB225"/>
      <c r="BC225"/>
      <c r="BD225">
        <v>1</v>
      </c>
      <c r="BE225"/>
      <c r="BF225"/>
      <c r="BG225"/>
      <c r="BH225"/>
      <c r="BI225"/>
      <c r="BJ225"/>
      <c r="BK225"/>
      <c r="BL225"/>
      <c r="BM225"/>
      <c r="BN225"/>
      <c r="BO225" s="24"/>
      <c r="BP225" s="24"/>
      <c r="BQ225"/>
      <c r="BR225"/>
      <c r="BS225">
        <v>10</v>
      </c>
      <c r="BT225"/>
      <c r="BU225"/>
      <c r="BV225"/>
      <c r="BW225"/>
      <c r="BX225"/>
      <c r="BY225" s="9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 t="s">
        <v>1035</v>
      </c>
      <c r="CO225"/>
      <c r="CP225"/>
      <c r="CQ225"/>
      <c r="CR225">
        <v>10</v>
      </c>
      <c r="CS225"/>
      <c r="CT225"/>
      <c r="CU225" t="s">
        <v>728</v>
      </c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</row>
    <row r="226" spans="1:119" x14ac:dyDescent="0.25">
      <c r="A226" t="s">
        <v>1037</v>
      </c>
      <c r="C226" t="s">
        <v>533</v>
      </c>
      <c r="I226">
        <v>1</v>
      </c>
      <c r="Q226" t="s">
        <v>1038</v>
      </c>
      <c r="R226" t="s">
        <v>1037</v>
      </c>
      <c r="AC226">
        <v>2</v>
      </c>
      <c r="AD226">
        <v>1</v>
      </c>
      <c r="AO226" t="s">
        <v>527</v>
      </c>
      <c r="AV226">
        <v>99</v>
      </c>
      <c r="BD226">
        <v>99</v>
      </c>
      <c r="BO226" t="s">
        <v>1039</v>
      </c>
      <c r="CL226" s="8"/>
      <c r="CN226" t="s">
        <v>1037</v>
      </c>
      <c r="CR226">
        <v>999</v>
      </c>
    </row>
    <row r="227" spans="1:119" x14ac:dyDescent="0.25">
      <c r="A227" t="s">
        <v>1040</v>
      </c>
      <c r="C227" t="s">
        <v>533</v>
      </c>
      <c r="I227">
        <v>1</v>
      </c>
      <c r="Q227" t="s">
        <v>1041</v>
      </c>
      <c r="R227" t="s">
        <v>1037</v>
      </c>
      <c r="AC227">
        <v>2</v>
      </c>
      <c r="AD227">
        <v>1</v>
      </c>
      <c r="AO227" t="s">
        <v>527</v>
      </c>
      <c r="AV227">
        <v>99</v>
      </c>
      <c r="BD227">
        <v>99</v>
      </c>
      <c r="CL227" s="8"/>
      <c r="CN227" t="s">
        <v>1037</v>
      </c>
      <c r="CR227">
        <v>999</v>
      </c>
    </row>
    <row r="228" spans="1:119" x14ac:dyDescent="0.25">
      <c r="A228" t="s">
        <v>1042</v>
      </c>
      <c r="C228" t="s">
        <v>533</v>
      </c>
      <c r="I228">
        <v>1</v>
      </c>
      <c r="K228" s="8" t="s">
        <v>538</v>
      </c>
      <c r="L228" s="8" t="s">
        <v>696</v>
      </c>
      <c r="Q228" t="s">
        <v>1037</v>
      </c>
      <c r="AC228">
        <v>2</v>
      </c>
      <c r="AD228">
        <v>1</v>
      </c>
      <c r="AO228" t="s">
        <v>527</v>
      </c>
      <c r="AV228">
        <v>99</v>
      </c>
      <c r="AX228" t="s">
        <v>918</v>
      </c>
      <c r="AZ228">
        <v>1.7</v>
      </c>
      <c r="BD228">
        <v>99</v>
      </c>
      <c r="BS228">
        <v>1</v>
      </c>
      <c r="CJ228" t="s">
        <v>1033</v>
      </c>
      <c r="CL228" s="8"/>
      <c r="CM228" t="s">
        <v>1037</v>
      </c>
      <c r="CN228" t="s">
        <v>1041</v>
      </c>
      <c r="CY228" t="s">
        <v>910</v>
      </c>
    </row>
    <row r="229" spans="1:119" x14ac:dyDescent="0.25">
      <c r="A229" t="s">
        <v>1043</v>
      </c>
      <c r="C229" t="s">
        <v>533</v>
      </c>
      <c r="I229">
        <v>1</v>
      </c>
      <c r="AC229">
        <v>4</v>
      </c>
      <c r="AJ229" t="s">
        <v>1044</v>
      </c>
      <c r="AN229">
        <v>1</v>
      </c>
      <c r="AO229" t="s">
        <v>1045</v>
      </c>
      <c r="AV229">
        <v>99</v>
      </c>
      <c r="BD229">
        <v>1</v>
      </c>
      <c r="BS229">
        <v>0.1</v>
      </c>
      <c r="CN229" t="s">
        <v>1043</v>
      </c>
      <c r="CR229">
        <v>0.2</v>
      </c>
    </row>
    <row r="230" spans="1:119" x14ac:dyDescent="0.25">
      <c r="A230" t="s">
        <v>1046</v>
      </c>
      <c r="C230" t="s">
        <v>533</v>
      </c>
      <c r="I230">
        <v>1</v>
      </c>
      <c r="K230" t="s">
        <v>538</v>
      </c>
      <c r="L230" t="s">
        <v>1047</v>
      </c>
      <c r="M230"/>
      <c r="N230"/>
      <c r="O230" t="s">
        <v>1043</v>
      </c>
      <c r="P230"/>
      <c r="Q230"/>
      <c r="R230" t="s">
        <v>1048</v>
      </c>
      <c r="S230"/>
      <c r="T230"/>
      <c r="U230"/>
      <c r="V230"/>
      <c r="W230"/>
      <c r="X230"/>
      <c r="AC230">
        <v>2</v>
      </c>
      <c r="AD230">
        <v>1</v>
      </c>
      <c r="AF230">
        <v>1</v>
      </c>
      <c r="AO230" t="s">
        <v>527</v>
      </c>
      <c r="AT230" t="s">
        <v>602</v>
      </c>
      <c r="BD230">
        <v>99</v>
      </c>
      <c r="BV230"/>
      <c r="BW230"/>
      <c r="BX230"/>
      <c r="BY230"/>
      <c r="BZ230"/>
      <c r="CA230"/>
      <c r="CN230" t="s">
        <v>1049</v>
      </c>
      <c r="CR230">
        <v>9999</v>
      </c>
      <c r="DD230">
        <v>1</v>
      </c>
    </row>
    <row r="231" spans="1:119" x14ac:dyDescent="0.25">
      <c r="A231" t="s">
        <v>1050</v>
      </c>
      <c r="C231" t="s">
        <v>533</v>
      </c>
      <c r="D231" t="s">
        <v>1051</v>
      </c>
      <c r="E231" t="s">
        <v>1052</v>
      </c>
      <c r="F231" t="s">
        <v>1053</v>
      </c>
      <c r="G231">
        <v>3</v>
      </c>
      <c r="J231" t="s">
        <v>557</v>
      </c>
      <c r="K231" s="8" t="s">
        <v>542</v>
      </c>
      <c r="AC231">
        <v>2</v>
      </c>
      <c r="AD231">
        <v>1</v>
      </c>
      <c r="AO231" t="s">
        <v>527</v>
      </c>
      <c r="AT231" t="s">
        <v>905</v>
      </c>
      <c r="AW231" s="19"/>
      <c r="AX231" t="s">
        <v>563</v>
      </c>
      <c r="AZ231">
        <v>3.25</v>
      </c>
      <c r="BD231">
        <v>1</v>
      </c>
      <c r="BO231" s="22"/>
      <c r="BP231" t="s">
        <v>1054</v>
      </c>
      <c r="BT231">
        <v>0.3</v>
      </c>
      <c r="BV231" s="9">
        <v>0</v>
      </c>
      <c r="BW231" s="9">
        <v>2</v>
      </c>
      <c r="BX231" s="9">
        <v>1</v>
      </c>
      <c r="BY231" s="9" t="s">
        <v>696</v>
      </c>
      <c r="CB231" s="13" t="s">
        <v>1055</v>
      </c>
      <c r="CG231" t="s">
        <v>530</v>
      </c>
      <c r="CH231" t="s">
        <v>907</v>
      </c>
      <c r="CI231" t="s">
        <v>762</v>
      </c>
      <c r="CJ231" t="s">
        <v>1033</v>
      </c>
      <c r="CL231" t="s">
        <v>1056</v>
      </c>
      <c r="CN231" s="15"/>
      <c r="CY231" t="s">
        <v>910</v>
      </c>
    </row>
    <row r="232" spans="1:119" x14ac:dyDescent="0.25">
      <c r="A232" t="s">
        <v>1054</v>
      </c>
      <c r="C232" t="s">
        <v>533</v>
      </c>
      <c r="I232">
        <v>1</v>
      </c>
      <c r="J232" s="8"/>
      <c r="K232" s="8" t="s">
        <v>538</v>
      </c>
      <c r="M232"/>
      <c r="N232"/>
      <c r="P232"/>
      <c r="Q232" t="s">
        <v>1035</v>
      </c>
      <c r="Y232" s="8"/>
      <c r="Z232" s="8"/>
      <c r="AA232" s="8"/>
      <c r="AB232" s="8"/>
      <c r="AC232">
        <v>2</v>
      </c>
      <c r="AD232">
        <v>1</v>
      </c>
      <c r="AO232" t="s">
        <v>527</v>
      </c>
      <c r="AW232">
        <v>1</v>
      </c>
      <c r="AX232" t="s">
        <v>918</v>
      </c>
      <c r="AZ232">
        <v>2</v>
      </c>
      <c r="BD232">
        <v>1</v>
      </c>
      <c r="BV232"/>
      <c r="CH232" t="s">
        <v>907</v>
      </c>
      <c r="CI232" t="s">
        <v>762</v>
      </c>
      <c r="CJ232" t="s">
        <v>1033</v>
      </c>
      <c r="CN232" s="17"/>
      <c r="CO232" s="8"/>
      <c r="CP232" s="8"/>
      <c r="CQ232" s="8"/>
      <c r="CR232" s="8"/>
      <c r="CY232" t="s">
        <v>919</v>
      </c>
    </row>
    <row r="234" spans="1:119" x14ac:dyDescent="0.25">
      <c r="A234" t="s">
        <v>1057</v>
      </c>
      <c r="C234" t="s">
        <v>533</v>
      </c>
      <c r="D234" t="s">
        <v>1058</v>
      </c>
      <c r="E234" t="s">
        <v>1059</v>
      </c>
      <c r="F234" t="s">
        <v>995</v>
      </c>
      <c r="G234">
        <v>3</v>
      </c>
      <c r="J234" t="s">
        <v>557</v>
      </c>
      <c r="K234" s="8" t="s">
        <v>570</v>
      </c>
      <c r="AB234">
        <v>1</v>
      </c>
      <c r="AC234">
        <v>1</v>
      </c>
      <c r="AG234" t="s">
        <v>534</v>
      </c>
      <c r="BD234">
        <v>1</v>
      </c>
      <c r="BO234" t="s">
        <v>1060</v>
      </c>
      <c r="BP234" t="s">
        <v>1061</v>
      </c>
      <c r="BT234">
        <v>25</v>
      </c>
      <c r="BV234" s="9">
        <v>18</v>
      </c>
      <c r="BW234" s="9">
        <v>25</v>
      </c>
      <c r="BX234" s="9">
        <v>1</v>
      </c>
      <c r="BY234" s="9" t="s">
        <v>542</v>
      </c>
      <c r="CN234" t="s">
        <v>1062</v>
      </c>
      <c r="CO234">
        <v>-0.8</v>
      </c>
      <c r="CR234">
        <v>25</v>
      </c>
    </row>
    <row r="235" spans="1:119" x14ac:dyDescent="0.25">
      <c r="A235" t="s">
        <v>1063</v>
      </c>
      <c r="C235" t="s">
        <v>533</v>
      </c>
      <c r="O235" t="s">
        <v>1064</v>
      </c>
      <c r="AC235">
        <v>2</v>
      </c>
      <c r="AD235">
        <v>1</v>
      </c>
      <c r="AO235" t="s">
        <v>527</v>
      </c>
      <c r="AW235">
        <v>1</v>
      </c>
      <c r="AX235" t="s">
        <v>563</v>
      </c>
      <c r="AZ235">
        <v>2.4</v>
      </c>
      <c r="BD235">
        <v>1</v>
      </c>
      <c r="BO235" t="s">
        <v>1065</v>
      </c>
      <c r="BP235" t="s">
        <v>1066</v>
      </c>
      <c r="CB235" s="13"/>
      <c r="CG235" t="s">
        <v>530</v>
      </c>
      <c r="CJ235" t="s">
        <v>1033</v>
      </c>
      <c r="CL235" t="s">
        <v>1067</v>
      </c>
      <c r="CM235" t="s">
        <v>1068</v>
      </c>
      <c r="CN235" t="s">
        <v>1069</v>
      </c>
      <c r="CO235" s="8"/>
      <c r="CP235" s="8"/>
      <c r="CQ235" s="8"/>
      <c r="CR235" s="8">
        <v>1.1000000000000001</v>
      </c>
      <c r="CY235" t="s">
        <v>910</v>
      </c>
    </row>
    <row r="236" spans="1:119" x14ac:dyDescent="0.25">
      <c r="A236" t="s">
        <v>1066</v>
      </c>
      <c r="C236" t="s">
        <v>533</v>
      </c>
      <c r="I236">
        <v>1</v>
      </c>
      <c r="J236" s="8"/>
      <c r="K236" s="8" t="s">
        <v>538</v>
      </c>
      <c r="M236"/>
      <c r="N236"/>
      <c r="P236"/>
      <c r="Q236"/>
      <c r="R236"/>
      <c r="Y236" s="8"/>
      <c r="Z236" s="8"/>
      <c r="AA236" s="8"/>
      <c r="AB236" s="8"/>
      <c r="AC236">
        <v>2</v>
      </c>
      <c r="AD236">
        <v>1</v>
      </c>
      <c r="AO236" t="s">
        <v>527</v>
      </c>
      <c r="AW236">
        <v>1</v>
      </c>
      <c r="BD236">
        <v>1</v>
      </c>
      <c r="BV236"/>
      <c r="CB236" s="13"/>
      <c r="CH236" t="s">
        <v>1070</v>
      </c>
      <c r="CI236" t="s">
        <v>762</v>
      </c>
      <c r="CN236" t="s">
        <v>1071</v>
      </c>
      <c r="CR236">
        <v>1.1000000000000001</v>
      </c>
    </row>
    <row r="237" spans="1:119" x14ac:dyDescent="0.25">
      <c r="A237" t="s">
        <v>1072</v>
      </c>
      <c r="C237" t="s">
        <v>533</v>
      </c>
      <c r="I237">
        <v>1</v>
      </c>
      <c r="J237" s="8"/>
      <c r="M237"/>
      <c r="N237"/>
      <c r="O237"/>
      <c r="P237"/>
      <c r="Q237" t="s">
        <v>1068</v>
      </c>
      <c r="R237" t="s">
        <v>1069</v>
      </c>
      <c r="Y237" s="8"/>
      <c r="Z237" s="8"/>
      <c r="AA237" s="8"/>
      <c r="AB237" s="8"/>
      <c r="AC237">
        <v>2</v>
      </c>
      <c r="AD237">
        <v>1</v>
      </c>
      <c r="AO237" t="s">
        <v>527</v>
      </c>
      <c r="AV237">
        <v>99</v>
      </c>
      <c r="AX237" t="s">
        <v>563</v>
      </c>
      <c r="AZ237">
        <v>1.2</v>
      </c>
      <c r="BD237">
        <v>99</v>
      </c>
      <c r="BV237"/>
      <c r="CJ237" t="s">
        <v>1033</v>
      </c>
      <c r="CL237" t="s">
        <v>1073</v>
      </c>
      <c r="CM237" t="s">
        <v>1068</v>
      </c>
      <c r="CO237" s="8"/>
      <c r="CP237" s="8"/>
      <c r="CQ237" s="8"/>
      <c r="CR237" s="8"/>
      <c r="CY237" t="s">
        <v>910</v>
      </c>
    </row>
    <row r="238" spans="1:119" x14ac:dyDescent="0.25">
      <c r="A238" t="s">
        <v>1065</v>
      </c>
      <c r="C238" t="s">
        <v>533</v>
      </c>
      <c r="I238">
        <v>1</v>
      </c>
      <c r="J238" s="8"/>
      <c r="M238"/>
      <c r="N238"/>
      <c r="P238"/>
      <c r="Q238" t="s">
        <v>1074</v>
      </c>
      <c r="Y238" s="8"/>
      <c r="Z238" s="8"/>
      <c r="AA238" s="8"/>
      <c r="AB238" s="8"/>
      <c r="AC238">
        <v>2</v>
      </c>
      <c r="AD238">
        <v>1</v>
      </c>
      <c r="AO238" t="s">
        <v>527</v>
      </c>
      <c r="AV238">
        <v>99</v>
      </c>
      <c r="AX238" t="s">
        <v>918</v>
      </c>
      <c r="AZ238">
        <v>0.25</v>
      </c>
      <c r="BD238">
        <v>99</v>
      </c>
      <c r="BV238"/>
      <c r="CJ238" t="s">
        <v>1033</v>
      </c>
      <c r="CM238" t="s">
        <v>1065</v>
      </c>
      <c r="CN238" s="17"/>
      <c r="CO238" s="8"/>
      <c r="CP238" s="8"/>
      <c r="CQ238" s="8"/>
      <c r="CR238" s="8"/>
      <c r="CY238" t="s">
        <v>919</v>
      </c>
    </row>
    <row r="239" spans="1:119" x14ac:dyDescent="0.25">
      <c r="A239" t="s">
        <v>1075</v>
      </c>
      <c r="C239" t="s">
        <v>533</v>
      </c>
      <c r="J239" t="s">
        <v>836</v>
      </c>
      <c r="K239" s="8" t="s">
        <v>538</v>
      </c>
      <c r="O239"/>
      <c r="AC239">
        <v>2</v>
      </c>
      <c r="AD239">
        <v>1</v>
      </c>
      <c r="AO239" t="s">
        <v>1045</v>
      </c>
      <c r="AV239">
        <v>2</v>
      </c>
    </row>
    <row r="240" spans="1:119" x14ac:dyDescent="0.25">
      <c r="A240" t="s">
        <v>1061</v>
      </c>
      <c r="C240" t="s">
        <v>533</v>
      </c>
      <c r="E240" s="18"/>
      <c r="I240">
        <v>1</v>
      </c>
      <c r="K240" s="8" t="s">
        <v>538</v>
      </c>
      <c r="M240"/>
      <c r="N240"/>
      <c r="P240"/>
      <c r="Y240" s="8"/>
      <c r="Z240" s="8"/>
      <c r="AA240" s="8"/>
      <c r="AB240" s="8"/>
      <c r="AC240">
        <v>1</v>
      </c>
      <c r="AG240" t="s">
        <v>534</v>
      </c>
      <c r="BD240">
        <v>1</v>
      </c>
      <c r="BS240">
        <v>0.26600000000000001</v>
      </c>
      <c r="CB240" t="s">
        <v>711</v>
      </c>
      <c r="CG240" t="s">
        <v>530</v>
      </c>
      <c r="DD240">
        <v>1</v>
      </c>
      <c r="DF240">
        <v>1</v>
      </c>
      <c r="DG240">
        <v>1</v>
      </c>
      <c r="DH240">
        <v>1</v>
      </c>
      <c r="DO240">
        <v>1</v>
      </c>
    </row>
    <row r="241" spans="1:119" x14ac:dyDescent="0.25">
      <c r="A241" t="s">
        <v>1076</v>
      </c>
      <c r="C241" t="s">
        <v>533</v>
      </c>
      <c r="E241" s="18"/>
      <c r="I241">
        <v>1</v>
      </c>
      <c r="K241" s="8" t="s">
        <v>538</v>
      </c>
      <c r="L241" s="8" t="s">
        <v>581</v>
      </c>
      <c r="M241"/>
      <c r="N241"/>
      <c r="P241"/>
      <c r="R241"/>
      <c r="Y241" s="8"/>
      <c r="Z241" s="8"/>
      <c r="AA241" s="8"/>
      <c r="AB241" s="8"/>
      <c r="AC241">
        <v>1</v>
      </c>
      <c r="AG241" t="s">
        <v>534</v>
      </c>
      <c r="BD241">
        <v>1</v>
      </c>
      <c r="BS241">
        <v>0.33300000000000002</v>
      </c>
      <c r="CB241" t="s">
        <v>794</v>
      </c>
      <c r="CG241" t="s">
        <v>530</v>
      </c>
      <c r="DD241">
        <v>1</v>
      </c>
      <c r="DF241">
        <v>1</v>
      </c>
      <c r="DG241">
        <v>1</v>
      </c>
      <c r="DH241">
        <v>1</v>
      </c>
      <c r="DO241">
        <v>1</v>
      </c>
    </row>
    <row r="243" spans="1:119" x14ac:dyDescent="0.25">
      <c r="A243" t="s">
        <v>1077</v>
      </c>
      <c r="C243" t="s">
        <v>533</v>
      </c>
      <c r="D243" t="s">
        <v>1078</v>
      </c>
      <c r="E243" t="s">
        <v>1079</v>
      </c>
      <c r="F243" t="s">
        <v>1013</v>
      </c>
      <c r="G243">
        <v>3</v>
      </c>
      <c r="J243" t="s">
        <v>557</v>
      </c>
      <c r="K243" s="8" t="s">
        <v>570</v>
      </c>
      <c r="AB243">
        <v>1</v>
      </c>
      <c r="AC243">
        <v>1</v>
      </c>
      <c r="AG243" t="s">
        <v>534</v>
      </c>
      <c r="AT243" t="s">
        <v>1080</v>
      </c>
      <c r="BD243">
        <v>1</v>
      </c>
      <c r="BO243" t="s">
        <v>1081</v>
      </c>
      <c r="BT243">
        <v>40</v>
      </c>
      <c r="BV243" s="9">
        <v>31</v>
      </c>
      <c r="BW243" s="9">
        <v>40</v>
      </c>
      <c r="BX243" s="9">
        <v>1</v>
      </c>
      <c r="BY243" s="9" t="s">
        <v>542</v>
      </c>
      <c r="CN243" t="s">
        <v>1082</v>
      </c>
      <c r="CO243">
        <v>2.75</v>
      </c>
      <c r="CR243">
        <v>40</v>
      </c>
      <c r="CU243" t="s">
        <v>1083</v>
      </c>
    </row>
    <row r="244" spans="1:119" x14ac:dyDescent="0.25">
      <c r="A244" t="s">
        <v>1084</v>
      </c>
      <c r="C244" t="s">
        <v>533</v>
      </c>
      <c r="O244" t="s">
        <v>1085</v>
      </c>
      <c r="AC244">
        <v>2</v>
      </c>
      <c r="AD244">
        <v>1</v>
      </c>
      <c r="AO244" t="s">
        <v>527</v>
      </c>
      <c r="AT244" t="s">
        <v>1080</v>
      </c>
      <c r="AX244" t="s">
        <v>563</v>
      </c>
      <c r="AZ244">
        <v>1</v>
      </c>
      <c r="BD244">
        <v>2</v>
      </c>
      <c r="CB244" s="13" t="s">
        <v>1086</v>
      </c>
      <c r="CG244" t="s">
        <v>530</v>
      </c>
      <c r="CH244" t="s">
        <v>907</v>
      </c>
      <c r="CI244" t="s">
        <v>762</v>
      </c>
      <c r="CJ244" t="s">
        <v>1033</v>
      </c>
      <c r="CO244" s="8"/>
      <c r="CP244" s="8"/>
      <c r="CQ244" s="8"/>
      <c r="CR244" s="8"/>
      <c r="CY244" t="s">
        <v>910</v>
      </c>
    </row>
    <row r="245" spans="1:119" x14ac:dyDescent="0.25">
      <c r="A245" t="s">
        <v>1087</v>
      </c>
      <c r="C245" t="s">
        <v>533</v>
      </c>
      <c r="O245" t="s">
        <v>1085</v>
      </c>
      <c r="P245"/>
      <c r="Q245"/>
      <c r="R245"/>
      <c r="S245"/>
      <c r="T245"/>
      <c r="AC245">
        <v>2</v>
      </c>
      <c r="AD245">
        <v>1</v>
      </c>
      <c r="AO245" t="s">
        <v>527</v>
      </c>
      <c r="AW245" s="21">
        <v>1</v>
      </c>
      <c r="BD245">
        <v>99</v>
      </c>
      <c r="BO245" s="24"/>
      <c r="BP245" s="24"/>
      <c r="BS245">
        <v>0.1</v>
      </c>
      <c r="CN245" s="4" t="s">
        <v>396</v>
      </c>
      <c r="CR245">
        <v>0.2</v>
      </c>
      <c r="DD245">
        <v>1</v>
      </c>
    </row>
    <row r="246" spans="1:119" x14ac:dyDescent="0.25">
      <c r="A246" t="s">
        <v>1088</v>
      </c>
      <c r="C246" t="s">
        <v>533</v>
      </c>
      <c r="K246" s="8" t="s">
        <v>538</v>
      </c>
      <c r="L246" s="8" t="s">
        <v>1089</v>
      </c>
      <c r="O246"/>
      <c r="AC246">
        <v>2</v>
      </c>
      <c r="AD246">
        <v>1</v>
      </c>
      <c r="AO246" t="s">
        <v>527</v>
      </c>
      <c r="AW246" s="21">
        <v>1</v>
      </c>
      <c r="BD246">
        <v>99</v>
      </c>
      <c r="CN246" t="s">
        <v>1090</v>
      </c>
      <c r="DD246">
        <v>1</v>
      </c>
    </row>
    <row r="247" spans="1:119" x14ac:dyDescent="0.25">
      <c r="A247" t="s">
        <v>1091</v>
      </c>
      <c r="C247" t="s">
        <v>533</v>
      </c>
      <c r="K247" s="8" t="s">
        <v>538</v>
      </c>
      <c r="L247" s="8" t="s">
        <v>696</v>
      </c>
      <c r="O247" t="s">
        <v>1085</v>
      </c>
      <c r="Q247" t="s">
        <v>1090</v>
      </c>
      <c r="AC247">
        <v>2</v>
      </c>
      <c r="AD247">
        <v>1</v>
      </c>
      <c r="AF247">
        <v>1</v>
      </c>
      <c r="AO247" t="s">
        <v>527</v>
      </c>
      <c r="AW247" s="21">
        <v>99</v>
      </c>
      <c r="AX247" t="s">
        <v>918</v>
      </c>
      <c r="AZ247">
        <v>1.85</v>
      </c>
      <c r="BD247">
        <v>1</v>
      </c>
      <c r="BS247">
        <v>1</v>
      </c>
      <c r="CH247" t="s">
        <v>1092</v>
      </c>
      <c r="CI247" t="s">
        <v>762</v>
      </c>
      <c r="CY247" t="s">
        <v>919</v>
      </c>
    </row>
    <row r="248" spans="1:119" x14ac:dyDescent="0.25">
      <c r="A248" t="s">
        <v>1093</v>
      </c>
      <c r="C248" t="s">
        <v>533</v>
      </c>
      <c r="E248" s="18"/>
      <c r="I248">
        <v>1</v>
      </c>
      <c r="K248" s="8" t="s">
        <v>538</v>
      </c>
      <c r="M248"/>
      <c r="N248"/>
      <c r="P248"/>
      <c r="Y248" s="8"/>
      <c r="Z248" s="8"/>
      <c r="AA248" s="8"/>
      <c r="AB248" s="8"/>
      <c r="AC248">
        <v>1</v>
      </c>
      <c r="AG248" t="s">
        <v>534</v>
      </c>
      <c r="BD248">
        <v>1</v>
      </c>
      <c r="BS248">
        <v>0.33300000000000002</v>
      </c>
      <c r="CB248" t="s">
        <v>598</v>
      </c>
      <c r="CG248" t="s">
        <v>530</v>
      </c>
      <c r="DD248">
        <v>1</v>
      </c>
      <c r="DF248">
        <v>1</v>
      </c>
      <c r="DG248">
        <v>1</v>
      </c>
      <c r="DH248">
        <v>1</v>
      </c>
      <c r="DO248">
        <v>1</v>
      </c>
    </row>
    <row r="249" spans="1:119" x14ac:dyDescent="0.25">
      <c r="A249" t="s">
        <v>1094</v>
      </c>
      <c r="C249" t="s">
        <v>533</v>
      </c>
      <c r="E249" s="18"/>
      <c r="I249">
        <v>1</v>
      </c>
      <c r="K249" s="8" t="s">
        <v>538</v>
      </c>
      <c r="L249" s="8" t="s">
        <v>581</v>
      </c>
      <c r="M249"/>
      <c r="N249"/>
      <c r="P249"/>
      <c r="R249"/>
      <c r="Y249" s="8"/>
      <c r="Z249" s="8"/>
      <c r="AA249" s="8"/>
      <c r="AB249" s="8"/>
      <c r="AC249">
        <v>1</v>
      </c>
      <c r="AG249" t="s">
        <v>534</v>
      </c>
      <c r="BD249">
        <v>1</v>
      </c>
      <c r="BS249">
        <v>0.33300000000000002</v>
      </c>
      <c r="CB249" t="s">
        <v>600</v>
      </c>
      <c r="CG249" t="s">
        <v>530</v>
      </c>
      <c r="DD249">
        <v>1</v>
      </c>
      <c r="DF249">
        <v>1</v>
      </c>
      <c r="DG249">
        <v>1</v>
      </c>
      <c r="DH249">
        <v>1</v>
      </c>
      <c r="DO249">
        <v>1</v>
      </c>
    </row>
    <row r="250" spans="1:119" s="6" customFormat="1" x14ac:dyDescent="0.25"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AR250"/>
      <c r="AS250"/>
      <c r="BV250" s="12"/>
      <c r="BW250" s="12"/>
      <c r="BX250" s="12"/>
      <c r="BY250" s="12"/>
      <c r="BZ250" s="12"/>
      <c r="CA250" s="12"/>
    </row>
    <row r="251" spans="1:119" x14ac:dyDescent="0.25">
      <c r="A251" t="s">
        <v>1095</v>
      </c>
      <c r="C251" t="s">
        <v>896</v>
      </c>
      <c r="J251" s="8"/>
      <c r="M251"/>
      <c r="N251"/>
      <c r="S251"/>
      <c r="Y251" s="8"/>
      <c r="Z251" s="8"/>
      <c r="AA251" s="8"/>
      <c r="AB251" s="8"/>
      <c r="AC251">
        <v>2</v>
      </c>
      <c r="AO251" t="s">
        <v>527</v>
      </c>
      <c r="AP251" t="s">
        <v>635</v>
      </c>
      <c r="AT251" t="s">
        <v>528</v>
      </c>
      <c r="AX251" t="s">
        <v>529</v>
      </c>
      <c r="AZ251">
        <v>1</v>
      </c>
      <c r="BD251">
        <v>1</v>
      </c>
      <c r="BV251"/>
      <c r="CB251" t="s">
        <v>69</v>
      </c>
      <c r="CG251" t="s">
        <v>530</v>
      </c>
      <c r="CY251" t="s">
        <v>1096</v>
      </c>
    </row>
    <row r="252" spans="1:119" x14ac:dyDescent="0.25">
      <c r="A252" t="s">
        <v>1097</v>
      </c>
      <c r="C252" t="s">
        <v>533</v>
      </c>
      <c r="I252">
        <v>1</v>
      </c>
      <c r="K252" s="8" t="s">
        <v>538</v>
      </c>
      <c r="L252" s="8" t="s">
        <v>678</v>
      </c>
      <c r="AC252">
        <v>1</v>
      </c>
      <c r="AG252" t="s">
        <v>534</v>
      </c>
      <c r="BD252">
        <v>1</v>
      </c>
      <c r="CL252" s="8"/>
      <c r="CN252" t="s">
        <v>1097</v>
      </c>
      <c r="CO252" t="s">
        <v>1098</v>
      </c>
      <c r="CR252">
        <v>9999</v>
      </c>
    </row>
    <row r="253" spans="1:119" x14ac:dyDescent="0.25">
      <c r="CL253" s="8"/>
    </row>
    <row r="254" spans="1:119" x14ac:dyDescent="0.25">
      <c r="A254" t="s">
        <v>1099</v>
      </c>
      <c r="C254" t="s">
        <v>533</v>
      </c>
      <c r="D254" t="s">
        <v>1100</v>
      </c>
      <c r="E254" t="s">
        <v>1101</v>
      </c>
      <c r="F254" t="s">
        <v>1102</v>
      </c>
      <c r="G254">
        <v>3</v>
      </c>
      <c r="J254" t="s">
        <v>557</v>
      </c>
      <c r="K254" s="8" t="s">
        <v>542</v>
      </c>
      <c r="M254"/>
      <c r="N254"/>
      <c r="Y254" s="8"/>
      <c r="Z254" s="8"/>
      <c r="AA254" s="8"/>
      <c r="AB254" s="8"/>
      <c r="AC254">
        <v>1</v>
      </c>
      <c r="AG254" t="s">
        <v>534</v>
      </c>
      <c r="BD254">
        <v>1</v>
      </c>
      <c r="BO254" t="s">
        <v>1103</v>
      </c>
      <c r="BP254" t="s">
        <v>1104</v>
      </c>
      <c r="BT254">
        <v>99999</v>
      </c>
      <c r="BV254" s="9">
        <v>0</v>
      </c>
      <c r="BW254" s="9">
        <v>70</v>
      </c>
      <c r="BX254" s="9">
        <v>1</v>
      </c>
      <c r="BY254" s="9" t="s">
        <v>542</v>
      </c>
      <c r="CN254" t="s">
        <v>1105</v>
      </c>
      <c r="CO254" s="39" t="s">
        <v>1106</v>
      </c>
      <c r="CR254">
        <v>99999</v>
      </c>
    </row>
    <row r="255" spans="1:119" x14ac:dyDescent="0.25">
      <c r="A255" t="s">
        <v>1103</v>
      </c>
      <c r="C255" t="s">
        <v>896</v>
      </c>
      <c r="M255"/>
      <c r="N255"/>
      <c r="O255" t="s">
        <v>1107</v>
      </c>
      <c r="P255"/>
      <c r="Y255" s="8"/>
      <c r="Z255" s="8"/>
      <c r="AA255" s="8"/>
      <c r="AB255" s="8"/>
      <c r="AC255">
        <v>2</v>
      </c>
      <c r="AO255" t="s">
        <v>527</v>
      </c>
      <c r="AP255" t="s">
        <v>635</v>
      </c>
      <c r="AT255" t="s">
        <v>528</v>
      </c>
      <c r="AX255" t="s">
        <v>529</v>
      </c>
      <c r="AZ255">
        <v>1</v>
      </c>
      <c r="BD255">
        <v>1</v>
      </c>
      <c r="CB255" t="s">
        <v>789</v>
      </c>
      <c r="CG255" t="s">
        <v>530</v>
      </c>
      <c r="CY255" t="s">
        <v>1096</v>
      </c>
    </row>
    <row r="256" spans="1:119" x14ac:dyDescent="0.25">
      <c r="A256" t="s">
        <v>1104</v>
      </c>
      <c r="C256" t="s">
        <v>533</v>
      </c>
      <c r="I256">
        <v>1</v>
      </c>
      <c r="K256" s="8" t="s">
        <v>538</v>
      </c>
      <c r="M256"/>
      <c r="N256"/>
      <c r="O256"/>
      <c r="Y256" s="8"/>
      <c r="Z256" s="8"/>
      <c r="AA256" s="8"/>
      <c r="AB256" s="8"/>
      <c r="AC256">
        <v>1</v>
      </c>
      <c r="AG256" t="s">
        <v>534</v>
      </c>
      <c r="BD256">
        <v>1</v>
      </c>
      <c r="BS256">
        <v>0.16700000000000001</v>
      </c>
      <c r="CB256" t="s">
        <v>711</v>
      </c>
      <c r="CG256" t="s">
        <v>530</v>
      </c>
      <c r="DD256">
        <v>1</v>
      </c>
      <c r="DF256">
        <v>1</v>
      </c>
      <c r="DG256">
        <v>1</v>
      </c>
      <c r="DH256">
        <v>1</v>
      </c>
      <c r="DO256">
        <v>1</v>
      </c>
    </row>
    <row r="257" spans="1:119" x14ac:dyDescent="0.25">
      <c r="V257"/>
      <c r="W257"/>
      <c r="X257"/>
      <c r="BT257" s="9"/>
      <c r="BU257" s="9"/>
      <c r="BY257"/>
      <c r="BZ257"/>
      <c r="CA257"/>
    </row>
    <row r="258" spans="1:119" x14ac:dyDescent="0.25">
      <c r="A258" t="s">
        <v>1108</v>
      </c>
      <c r="C258" t="s">
        <v>533</v>
      </c>
      <c r="D258" t="s">
        <v>1109</v>
      </c>
      <c r="E258" t="s">
        <v>1110</v>
      </c>
      <c r="F258" t="s">
        <v>1111</v>
      </c>
      <c r="G258">
        <v>3</v>
      </c>
      <c r="J258" t="s">
        <v>557</v>
      </c>
      <c r="K258" s="8" t="s">
        <v>570</v>
      </c>
      <c r="M258"/>
      <c r="N258"/>
      <c r="Y258" s="8"/>
      <c r="Z258" s="8"/>
      <c r="AA258" s="8"/>
      <c r="AB258" s="8"/>
      <c r="AC258">
        <v>1</v>
      </c>
      <c r="AG258" t="s">
        <v>534</v>
      </c>
      <c r="BD258">
        <v>1</v>
      </c>
      <c r="BO258" t="s">
        <v>1112</v>
      </c>
      <c r="BP258" t="s">
        <v>1113</v>
      </c>
      <c r="BT258">
        <v>25</v>
      </c>
      <c r="BU258">
        <v>1</v>
      </c>
      <c r="BV258" s="9">
        <v>20</v>
      </c>
      <c r="BW258" s="9">
        <v>25</v>
      </c>
      <c r="BX258" s="9">
        <v>1</v>
      </c>
      <c r="BY258" s="9" t="s">
        <v>542</v>
      </c>
      <c r="CN258" t="s">
        <v>1114</v>
      </c>
      <c r="CO258" s="39" t="s">
        <v>1115</v>
      </c>
      <c r="CR258">
        <v>25</v>
      </c>
      <c r="CT258">
        <v>1</v>
      </c>
    </row>
    <row r="259" spans="1:119" x14ac:dyDescent="0.3">
      <c r="A259" t="s">
        <v>1116</v>
      </c>
      <c r="C259" t="s">
        <v>533</v>
      </c>
      <c r="K259" s="8" t="s">
        <v>538</v>
      </c>
      <c r="O259" t="s">
        <v>1117</v>
      </c>
      <c r="X259" s="8">
        <v>1</v>
      </c>
      <c r="AC259">
        <v>2</v>
      </c>
      <c r="AD259">
        <v>1</v>
      </c>
      <c r="AO259" t="s">
        <v>1045</v>
      </c>
      <c r="AT259" t="s">
        <v>1118</v>
      </c>
      <c r="AX259" t="s">
        <v>529</v>
      </c>
      <c r="AZ259">
        <v>1.6</v>
      </c>
      <c r="BD259">
        <v>1</v>
      </c>
      <c r="BJ259">
        <v>1.8</v>
      </c>
      <c r="BK259">
        <v>1</v>
      </c>
      <c r="BL259">
        <v>1</v>
      </c>
      <c r="BV259"/>
      <c r="CB259" s="27"/>
      <c r="CH259" t="s">
        <v>761</v>
      </c>
      <c r="CI259" t="s">
        <v>762</v>
      </c>
      <c r="CN259" t="s">
        <v>991</v>
      </c>
      <c r="CR259">
        <v>6</v>
      </c>
      <c r="CY259" t="s">
        <v>750</v>
      </c>
    </row>
    <row r="260" spans="1:119" x14ac:dyDescent="0.25">
      <c r="A260" t="s">
        <v>1119</v>
      </c>
      <c r="C260" t="s">
        <v>896</v>
      </c>
      <c r="M260"/>
      <c r="N260"/>
      <c r="O260" t="s">
        <v>1117</v>
      </c>
      <c r="P260"/>
      <c r="Y260" s="8"/>
      <c r="Z260" s="8"/>
      <c r="AA260" s="8"/>
      <c r="AB260" s="8"/>
      <c r="AC260">
        <v>2</v>
      </c>
      <c r="AO260" t="s">
        <v>527</v>
      </c>
      <c r="AP260" t="s">
        <v>635</v>
      </c>
      <c r="AT260" t="s">
        <v>528</v>
      </c>
      <c r="AX260" t="s">
        <v>529</v>
      </c>
      <c r="AZ260">
        <v>1</v>
      </c>
      <c r="BD260">
        <v>1</v>
      </c>
      <c r="CB260" t="s">
        <v>651</v>
      </c>
      <c r="CG260" t="s">
        <v>530</v>
      </c>
      <c r="CY260" t="s">
        <v>1096</v>
      </c>
    </row>
    <row r="261" spans="1:119" x14ac:dyDescent="0.25">
      <c r="A261" t="s">
        <v>1113</v>
      </c>
      <c r="C261" t="s">
        <v>533</v>
      </c>
      <c r="E261" s="18"/>
      <c r="I261">
        <v>1</v>
      </c>
      <c r="K261" s="8" t="s">
        <v>538</v>
      </c>
      <c r="M261"/>
      <c r="N261"/>
      <c r="P261"/>
      <c r="Y261" s="8"/>
      <c r="Z261" s="8"/>
      <c r="AA261" s="8"/>
      <c r="AB261" s="8"/>
      <c r="AC261">
        <v>1</v>
      </c>
      <c r="AG261" t="s">
        <v>534</v>
      </c>
      <c r="BD261">
        <v>1</v>
      </c>
      <c r="BP261" t="s">
        <v>1116</v>
      </c>
      <c r="BS261">
        <v>1</v>
      </c>
      <c r="CB261" t="s">
        <v>598</v>
      </c>
      <c r="CD261" s="13" t="s">
        <v>1120</v>
      </c>
      <c r="CG261" t="s">
        <v>530</v>
      </c>
      <c r="DD261">
        <v>1</v>
      </c>
      <c r="DF261">
        <v>1</v>
      </c>
      <c r="DG261">
        <v>1</v>
      </c>
      <c r="DH261">
        <v>1</v>
      </c>
      <c r="DO261">
        <v>1</v>
      </c>
    </row>
    <row r="262" spans="1:119" x14ac:dyDescent="0.25">
      <c r="A262" t="s">
        <v>1121</v>
      </c>
      <c r="C262" t="s">
        <v>533</v>
      </c>
      <c r="E262" s="18"/>
      <c r="I262">
        <v>1</v>
      </c>
      <c r="K262" s="8" t="s">
        <v>538</v>
      </c>
      <c r="L262" s="8" t="s">
        <v>581</v>
      </c>
      <c r="M262"/>
      <c r="N262"/>
      <c r="P262"/>
      <c r="R262"/>
      <c r="Y262" s="8"/>
      <c r="Z262" s="8"/>
      <c r="AA262" s="8"/>
      <c r="AB262" s="8"/>
      <c r="AC262">
        <v>1</v>
      </c>
      <c r="AG262" t="s">
        <v>534</v>
      </c>
      <c r="BD262">
        <v>1</v>
      </c>
      <c r="BS262">
        <v>0.33300000000000002</v>
      </c>
      <c r="CB262" t="s">
        <v>600</v>
      </c>
      <c r="CG262" t="s">
        <v>530</v>
      </c>
      <c r="DD262">
        <v>1</v>
      </c>
      <c r="DF262">
        <v>1</v>
      </c>
      <c r="DG262">
        <v>1</v>
      </c>
      <c r="DH262">
        <v>1</v>
      </c>
      <c r="DO262">
        <v>1</v>
      </c>
    </row>
    <row r="263" spans="1:119" x14ac:dyDescent="0.25">
      <c r="CL263" s="8"/>
    </row>
    <row r="264" spans="1:119" x14ac:dyDescent="0.25">
      <c r="A264" t="s">
        <v>1122</v>
      </c>
      <c r="C264" t="s">
        <v>533</v>
      </c>
      <c r="J264" s="8"/>
      <c r="M264"/>
      <c r="N264"/>
      <c r="S264" s="8">
        <v>1</v>
      </c>
      <c r="T264"/>
      <c r="Y264" s="8"/>
      <c r="Z264" s="8"/>
      <c r="AA264" s="8"/>
      <c r="AB264" s="8"/>
      <c r="AC264">
        <v>2</v>
      </c>
      <c r="AD264">
        <v>1</v>
      </c>
      <c r="AO264" t="s">
        <v>527</v>
      </c>
      <c r="AT264" t="s">
        <v>1123</v>
      </c>
      <c r="AX264" t="s">
        <v>529</v>
      </c>
      <c r="AZ264">
        <v>1</v>
      </c>
      <c r="BD264">
        <v>99</v>
      </c>
      <c r="BV264"/>
      <c r="CB264" t="s">
        <v>69</v>
      </c>
      <c r="CD264" t="s">
        <v>1124</v>
      </c>
      <c r="CG264" t="s">
        <v>530</v>
      </c>
      <c r="CJ264" t="s">
        <v>1125</v>
      </c>
      <c r="CW264" t="s">
        <v>1126</v>
      </c>
      <c r="CY264" t="s">
        <v>1127</v>
      </c>
    </row>
    <row r="265" spans="1:119" x14ac:dyDescent="0.25">
      <c r="A265" t="s">
        <v>1125</v>
      </c>
      <c r="C265" t="s">
        <v>533</v>
      </c>
      <c r="J265" s="8"/>
      <c r="M265"/>
      <c r="N265"/>
      <c r="T265"/>
      <c r="Y265" s="8"/>
      <c r="Z265" s="8"/>
      <c r="AA265" s="8"/>
      <c r="AB265" s="8"/>
      <c r="AC265" s="8">
        <v>2</v>
      </c>
      <c r="AD265" s="8">
        <v>1</v>
      </c>
      <c r="AE265" s="8"/>
      <c r="AF265" s="8"/>
      <c r="AG265" s="8"/>
      <c r="AH265" s="8"/>
      <c r="AI265" s="8"/>
      <c r="AJ265" s="8"/>
      <c r="AO265" t="s">
        <v>527</v>
      </c>
      <c r="AT265" t="s">
        <v>1128</v>
      </c>
      <c r="BD265">
        <v>99</v>
      </c>
      <c r="BS265">
        <v>0.01</v>
      </c>
      <c r="BV265"/>
      <c r="BW265"/>
      <c r="BX265"/>
      <c r="BY265"/>
      <c r="BZ265"/>
      <c r="CA265"/>
      <c r="CN265" t="s">
        <v>1125</v>
      </c>
      <c r="CR265">
        <v>0.2</v>
      </c>
      <c r="CZ265" s="9"/>
      <c r="DA265" s="9"/>
      <c r="DB265" s="9"/>
      <c r="DC265" s="9"/>
      <c r="DD265" s="9"/>
      <c r="DE265" s="9"/>
    </row>
    <row r="266" spans="1:119" s="5" customFormat="1" x14ac:dyDescent="0.25">
      <c r="A266" s="5" t="s">
        <v>1129</v>
      </c>
      <c r="C266" s="5" t="s">
        <v>533</v>
      </c>
      <c r="D266"/>
      <c r="F266"/>
      <c r="K266" s="8" t="s">
        <v>538</v>
      </c>
      <c r="L266" s="8" t="s">
        <v>1047</v>
      </c>
      <c r="O266" s="11"/>
      <c r="P266" s="8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5">
        <v>1</v>
      </c>
      <c r="AG266" s="5" t="s">
        <v>534</v>
      </c>
      <c r="AH266" s="5">
        <v>1</v>
      </c>
      <c r="AR266"/>
      <c r="AS266"/>
      <c r="BD266" s="5">
        <v>1</v>
      </c>
      <c r="BS266"/>
      <c r="BV266" s="14"/>
      <c r="BW266" s="14"/>
      <c r="BX266" s="14"/>
      <c r="BY266" s="14"/>
      <c r="BZ266" s="14"/>
      <c r="CA266" s="14"/>
      <c r="CN266" t="s">
        <v>1130</v>
      </c>
      <c r="CO266" s="5">
        <v>-8</v>
      </c>
      <c r="CP266" s="5" t="s">
        <v>1131</v>
      </c>
      <c r="CR266" s="5">
        <v>9999</v>
      </c>
      <c r="DF266"/>
      <c r="DG266"/>
      <c r="DH266"/>
    </row>
    <row r="267" spans="1:119" s="5" customFormat="1" x14ac:dyDescent="0.25">
      <c r="A267" s="5" t="s">
        <v>1132</v>
      </c>
      <c r="C267" s="5" t="s">
        <v>533</v>
      </c>
      <c r="D267" t="s">
        <v>1133</v>
      </c>
      <c r="E267" s="5" t="s">
        <v>1134</v>
      </c>
      <c r="F267" t="s">
        <v>1135</v>
      </c>
      <c r="G267" s="5">
        <v>3</v>
      </c>
      <c r="I267" s="5">
        <v>1</v>
      </c>
      <c r="J267" s="5" t="s">
        <v>557</v>
      </c>
      <c r="K267" s="11" t="s">
        <v>542</v>
      </c>
      <c r="L267" s="11"/>
      <c r="O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5">
        <v>1</v>
      </c>
      <c r="AG267" s="5" t="s">
        <v>534</v>
      </c>
      <c r="AR267"/>
      <c r="AS267"/>
      <c r="BD267" s="5">
        <v>1</v>
      </c>
      <c r="BO267" t="s">
        <v>1136</v>
      </c>
      <c r="BP267" s="5" t="s">
        <v>1137</v>
      </c>
      <c r="BT267" s="5">
        <v>4</v>
      </c>
      <c r="BU267" s="5">
        <v>1</v>
      </c>
      <c r="BV267" s="14">
        <v>0</v>
      </c>
      <c r="BW267" s="14">
        <v>5</v>
      </c>
      <c r="BX267" s="14">
        <v>1</v>
      </c>
      <c r="BY267" s="14" t="s">
        <v>696</v>
      </c>
      <c r="BZ267" s="14"/>
      <c r="CA267" s="9" t="s">
        <v>743</v>
      </c>
      <c r="CN267" s="5" t="s">
        <v>1138</v>
      </c>
      <c r="CO267" s="5">
        <v>1</v>
      </c>
      <c r="CR267" s="5">
        <v>99999</v>
      </c>
      <c r="CT267" s="5">
        <v>1</v>
      </c>
      <c r="DD267" s="5">
        <v>1</v>
      </c>
      <c r="DF267">
        <v>1</v>
      </c>
      <c r="DG267">
        <v>1</v>
      </c>
      <c r="DH267">
        <v>1</v>
      </c>
    </row>
    <row r="268" spans="1:119" x14ac:dyDescent="0.25">
      <c r="A268" t="s">
        <v>1139</v>
      </c>
      <c r="C268" s="5" t="s">
        <v>533</v>
      </c>
      <c r="M268"/>
      <c r="N268"/>
      <c r="O268" s="8" t="s">
        <v>1140</v>
      </c>
      <c r="P268"/>
      <c r="Q268"/>
      <c r="Y268" s="8"/>
      <c r="Z268" s="8"/>
      <c r="AA268" s="8"/>
      <c r="AB268" s="8"/>
      <c r="AC268">
        <v>2</v>
      </c>
      <c r="AD268">
        <v>1</v>
      </c>
      <c r="AO268" t="s">
        <v>527</v>
      </c>
      <c r="AT268" t="s">
        <v>1123</v>
      </c>
      <c r="AX268" t="s">
        <v>529</v>
      </c>
      <c r="AZ268">
        <v>1.5</v>
      </c>
      <c r="BD268">
        <v>99</v>
      </c>
      <c r="BO268" t="s">
        <v>1141</v>
      </c>
      <c r="BQ268" s="26"/>
      <c r="CA268" s="14" t="s">
        <v>696</v>
      </c>
      <c r="CB268" t="s">
        <v>1142</v>
      </c>
      <c r="CD268" t="s">
        <v>1143</v>
      </c>
      <c r="CG268" t="s">
        <v>530</v>
      </c>
      <c r="CX268" t="s">
        <v>1144</v>
      </c>
      <c r="CY268" t="s">
        <v>1145</v>
      </c>
    </row>
    <row r="269" spans="1:119" x14ac:dyDescent="0.25">
      <c r="A269" t="s">
        <v>1141</v>
      </c>
      <c r="C269" s="5" t="s">
        <v>533</v>
      </c>
      <c r="K269" s="11"/>
      <c r="M269"/>
      <c r="N269"/>
      <c r="O269" s="8" t="s">
        <v>1140</v>
      </c>
      <c r="P269"/>
      <c r="Q269"/>
      <c r="Y269" s="8"/>
      <c r="Z269" s="8"/>
      <c r="AA269" s="8">
        <v>0.2</v>
      </c>
      <c r="AB269" s="8"/>
      <c r="AC269">
        <v>2</v>
      </c>
      <c r="AD269">
        <v>1</v>
      </c>
      <c r="AO269" t="s">
        <v>527</v>
      </c>
      <c r="AT269" t="s">
        <v>1123</v>
      </c>
      <c r="AX269" t="s">
        <v>529</v>
      </c>
      <c r="AZ269">
        <v>1.5</v>
      </c>
      <c r="BD269">
        <v>99</v>
      </c>
      <c r="CA269" s="14"/>
      <c r="CB269" t="s">
        <v>1142</v>
      </c>
      <c r="CD269" t="s">
        <v>1143</v>
      </c>
      <c r="CG269" t="s">
        <v>530</v>
      </c>
      <c r="CX269" t="s">
        <v>1146</v>
      </c>
      <c r="CY269" t="s">
        <v>1145</v>
      </c>
    </row>
    <row r="270" spans="1:119" s="5" customFormat="1" x14ac:dyDescent="0.25">
      <c r="A270" s="5" t="s">
        <v>1137</v>
      </c>
      <c r="C270" s="5" t="s">
        <v>533</v>
      </c>
      <c r="I270" s="5">
        <v>1</v>
      </c>
      <c r="K270" s="11" t="s">
        <v>538</v>
      </c>
      <c r="L270" s="11"/>
      <c r="O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5">
        <v>1</v>
      </c>
      <c r="AG270" s="5" t="s">
        <v>534</v>
      </c>
      <c r="AR270"/>
      <c r="AS270"/>
      <c r="BD270" s="5">
        <v>1</v>
      </c>
      <c r="BS270" s="5">
        <v>0.1</v>
      </c>
      <c r="BV270" s="14"/>
      <c r="BW270" s="14"/>
      <c r="BX270" s="14"/>
      <c r="BY270" s="14"/>
      <c r="BZ270" s="14"/>
      <c r="CA270" s="14"/>
      <c r="CB270" s="11" t="s">
        <v>1147</v>
      </c>
      <c r="CG270" s="5" t="s">
        <v>530</v>
      </c>
      <c r="DD270" s="5">
        <v>1</v>
      </c>
      <c r="DF270">
        <v>1</v>
      </c>
      <c r="DG270">
        <v>1</v>
      </c>
      <c r="DH270">
        <v>1</v>
      </c>
      <c r="DO270" s="5">
        <v>1</v>
      </c>
    </row>
    <row r="271" spans="1:119" s="5" customFormat="1" x14ac:dyDescent="0.25">
      <c r="A271" s="5" t="s">
        <v>1148</v>
      </c>
      <c r="C271" s="5" t="s">
        <v>533</v>
      </c>
      <c r="I271" s="5">
        <v>1</v>
      </c>
      <c r="K271" s="11" t="s">
        <v>538</v>
      </c>
      <c r="L271" s="11" t="s">
        <v>581</v>
      </c>
      <c r="O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5">
        <v>1</v>
      </c>
      <c r="AG271" s="5" t="s">
        <v>534</v>
      </c>
      <c r="AR271"/>
      <c r="AS271"/>
      <c r="BD271" s="5">
        <v>1</v>
      </c>
      <c r="BS271" s="5">
        <v>0.1</v>
      </c>
      <c r="BV271" s="14"/>
      <c r="BW271" s="14"/>
      <c r="BX271" s="14"/>
      <c r="BY271" s="14"/>
      <c r="BZ271" s="14"/>
      <c r="CA271" s="14"/>
      <c r="CB271" s="11" t="s">
        <v>1149</v>
      </c>
      <c r="CG271" s="5" t="s">
        <v>530</v>
      </c>
      <c r="DD271" s="5">
        <v>1</v>
      </c>
      <c r="DF271">
        <v>1</v>
      </c>
      <c r="DG271">
        <v>1</v>
      </c>
      <c r="DH271">
        <v>1</v>
      </c>
      <c r="DO271" s="5">
        <v>1</v>
      </c>
    </row>
    <row r="272" spans="1:119" x14ac:dyDescent="0.25">
      <c r="J272" s="8"/>
      <c r="M272"/>
      <c r="N272"/>
      <c r="T272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BV272"/>
      <c r="BW272"/>
      <c r="BX272"/>
      <c r="BY272"/>
      <c r="BZ272"/>
      <c r="CA272"/>
      <c r="CU272" s="9"/>
      <c r="CV272" s="9"/>
      <c r="CW272" s="9"/>
      <c r="CX272" s="9"/>
      <c r="CY272" s="9"/>
      <c r="CZ272" s="9"/>
    </row>
    <row r="273" spans="1:139" s="5" customFormat="1" x14ac:dyDescent="0.25">
      <c r="A273" s="5" t="s">
        <v>1150</v>
      </c>
      <c r="C273" s="5" t="s">
        <v>533</v>
      </c>
      <c r="D273" t="s">
        <v>1151</v>
      </c>
      <c r="E273" s="5" t="s">
        <v>1152</v>
      </c>
      <c r="F273" t="s">
        <v>1153</v>
      </c>
      <c r="G273" s="5">
        <v>3</v>
      </c>
      <c r="I273" s="5">
        <v>1</v>
      </c>
      <c r="J273" s="5" t="s">
        <v>557</v>
      </c>
      <c r="K273" s="11" t="s">
        <v>570</v>
      </c>
      <c r="L273" s="11"/>
      <c r="O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5">
        <v>1</v>
      </c>
      <c r="AG273" s="5" t="s">
        <v>534</v>
      </c>
      <c r="AR273"/>
      <c r="AS273"/>
      <c r="AT273" t="s">
        <v>1123</v>
      </c>
      <c r="BD273" s="5">
        <v>1</v>
      </c>
      <c r="BO273" t="s">
        <v>1154</v>
      </c>
      <c r="BP273" s="5" t="s">
        <v>1155</v>
      </c>
      <c r="BT273" s="5">
        <v>20</v>
      </c>
      <c r="BU273" s="5">
        <v>1</v>
      </c>
      <c r="BV273" s="14">
        <v>12</v>
      </c>
      <c r="BW273" s="14">
        <v>20</v>
      </c>
      <c r="BX273" s="14">
        <v>1</v>
      </c>
      <c r="BY273" s="14" t="s">
        <v>542</v>
      </c>
      <c r="BZ273" s="14"/>
      <c r="CA273" s="9" t="s">
        <v>743</v>
      </c>
      <c r="CN273" s="5" t="s">
        <v>1156</v>
      </c>
      <c r="CO273" s="5">
        <v>0.8</v>
      </c>
      <c r="CR273" s="5">
        <v>99999</v>
      </c>
      <c r="CT273" s="5">
        <v>1</v>
      </c>
      <c r="CU273" t="s">
        <v>576</v>
      </c>
      <c r="DD273" s="5">
        <v>1</v>
      </c>
      <c r="DF273">
        <v>1</v>
      </c>
      <c r="DG273">
        <v>1</v>
      </c>
      <c r="DH273">
        <v>1</v>
      </c>
    </row>
    <row r="274" spans="1:139" x14ac:dyDescent="0.25">
      <c r="A274" t="s">
        <v>1157</v>
      </c>
      <c r="C274" t="s">
        <v>533</v>
      </c>
      <c r="J274" s="8"/>
      <c r="M274"/>
      <c r="N274"/>
      <c r="O274" s="8" t="s">
        <v>1140</v>
      </c>
      <c r="S274"/>
      <c r="T274"/>
      <c r="Y274" s="8"/>
      <c r="Z274" s="8"/>
      <c r="AA274" s="8"/>
      <c r="AB274" s="8"/>
      <c r="AC274" s="8">
        <v>2</v>
      </c>
      <c r="AD274" s="8">
        <v>1</v>
      </c>
      <c r="AE274" s="8"/>
      <c r="AF274" s="8"/>
      <c r="AG274" s="8"/>
      <c r="AH274" s="8"/>
      <c r="AI274" s="8"/>
      <c r="AJ274" s="8"/>
      <c r="AO274" t="s">
        <v>527</v>
      </c>
      <c r="AT274" t="s">
        <v>1123</v>
      </c>
      <c r="AX274" t="s">
        <v>529</v>
      </c>
      <c r="AZ274">
        <v>1</v>
      </c>
      <c r="BD274">
        <v>99</v>
      </c>
      <c r="BO274" t="s">
        <v>1158</v>
      </c>
      <c r="BP274" t="s">
        <v>1159</v>
      </c>
      <c r="BV274"/>
      <c r="BW274"/>
      <c r="BX274"/>
      <c r="BY274"/>
      <c r="BZ274"/>
      <c r="CA274" s="14" t="s">
        <v>696</v>
      </c>
      <c r="CB274" t="s">
        <v>655</v>
      </c>
      <c r="CD274" t="s">
        <v>1160</v>
      </c>
      <c r="CG274" t="s">
        <v>530</v>
      </c>
      <c r="CJ274" t="s">
        <v>1125</v>
      </c>
      <c r="CX274" t="s">
        <v>1144</v>
      </c>
      <c r="CY274" t="s">
        <v>1145</v>
      </c>
      <c r="CZ274" s="9"/>
      <c r="DA274" s="9"/>
      <c r="DB274" s="9"/>
      <c r="DC274" s="9"/>
      <c r="DD274" s="9"/>
      <c r="DE274" s="9"/>
    </row>
    <row r="275" spans="1:139" x14ac:dyDescent="0.25">
      <c r="A275" t="s">
        <v>1158</v>
      </c>
      <c r="C275" s="5" t="s">
        <v>533</v>
      </c>
      <c r="H275" s="5"/>
      <c r="J275" s="8"/>
      <c r="M275"/>
      <c r="N275"/>
      <c r="O275" s="8" t="s">
        <v>1140</v>
      </c>
      <c r="S275"/>
      <c r="T275"/>
      <c r="Y275" s="8"/>
      <c r="Z275" s="8"/>
      <c r="AA275" s="8">
        <v>0.2</v>
      </c>
      <c r="AB275" s="8"/>
      <c r="AC275" s="8">
        <v>2</v>
      </c>
      <c r="AD275" s="8">
        <v>1</v>
      </c>
      <c r="AE275" s="8"/>
      <c r="AF275" s="8"/>
      <c r="AG275" s="8"/>
      <c r="AH275" s="8"/>
      <c r="AI275" s="8"/>
      <c r="AJ275" s="8"/>
      <c r="AO275" t="s">
        <v>527</v>
      </c>
      <c r="AT275" t="s">
        <v>1123</v>
      </c>
      <c r="AX275" t="s">
        <v>529</v>
      </c>
      <c r="AZ275">
        <v>1</v>
      </c>
      <c r="BD275">
        <v>99</v>
      </c>
      <c r="BP275" t="s">
        <v>1159</v>
      </c>
      <c r="BV275"/>
      <c r="BW275"/>
      <c r="BX275"/>
      <c r="BY275"/>
      <c r="BZ275"/>
      <c r="CA275"/>
      <c r="CB275" t="s">
        <v>655</v>
      </c>
      <c r="CD275" t="s">
        <v>1160</v>
      </c>
      <c r="CG275" t="s">
        <v>530</v>
      </c>
      <c r="CJ275" t="s">
        <v>1125</v>
      </c>
      <c r="CX275" t="s">
        <v>1146</v>
      </c>
      <c r="CY275" t="s">
        <v>1145</v>
      </c>
      <c r="CZ275" s="9"/>
      <c r="DA275" s="9"/>
      <c r="DB275" s="9"/>
      <c r="DC275" s="9"/>
      <c r="DD275" s="9"/>
      <c r="DE275" s="9"/>
      <c r="EG275" s="5"/>
      <c r="EH275" s="5"/>
      <c r="EI275" s="5"/>
    </row>
    <row r="276" spans="1:139" x14ac:dyDescent="0.25">
      <c r="A276" t="s">
        <v>1159</v>
      </c>
      <c r="C276" s="5" t="s">
        <v>533</v>
      </c>
      <c r="H276" s="5"/>
      <c r="J276" s="8"/>
      <c r="K276" s="8" t="s">
        <v>538</v>
      </c>
      <c r="M276"/>
      <c r="N276"/>
      <c r="S276"/>
      <c r="T276"/>
      <c r="Y276" s="8"/>
      <c r="Z276" s="8"/>
      <c r="AA276" s="8"/>
      <c r="AB276" s="8"/>
      <c r="AC276" s="8">
        <v>1</v>
      </c>
      <c r="AD276" s="8"/>
      <c r="AE276" s="8"/>
      <c r="AF276" s="8"/>
      <c r="AG276" s="8" t="s">
        <v>534</v>
      </c>
      <c r="AH276" s="8"/>
      <c r="AI276" s="8"/>
      <c r="AJ276" s="8"/>
      <c r="BD276">
        <v>1</v>
      </c>
      <c r="BV276"/>
      <c r="BW276"/>
      <c r="BX276"/>
      <c r="BY276"/>
      <c r="BZ276"/>
      <c r="CA276"/>
      <c r="CN276" t="s">
        <v>1159</v>
      </c>
      <c r="CR276">
        <v>5</v>
      </c>
      <c r="CX276" t="s">
        <v>1161</v>
      </c>
      <c r="CZ276" s="9"/>
      <c r="DA276" s="9"/>
      <c r="DB276" s="9"/>
      <c r="DC276" s="9"/>
      <c r="DD276" s="9"/>
      <c r="DE276" s="9"/>
      <c r="EG276" s="5"/>
      <c r="EH276" s="5"/>
      <c r="EI276" s="5"/>
    </row>
    <row r="277" spans="1:139" x14ac:dyDescent="0.25">
      <c r="A277" t="s">
        <v>1162</v>
      </c>
      <c r="C277" s="5" t="s">
        <v>533</v>
      </c>
      <c r="H277" s="5"/>
      <c r="I277">
        <v>1</v>
      </c>
      <c r="J277" s="8"/>
      <c r="M277"/>
      <c r="N277"/>
      <c r="O277" s="8" t="s">
        <v>1159</v>
      </c>
      <c r="S277"/>
      <c r="T277"/>
      <c r="Y277" s="8"/>
      <c r="Z277" s="8"/>
      <c r="AA277" s="8"/>
      <c r="AB277" s="8"/>
      <c r="AC277" s="8">
        <v>2</v>
      </c>
      <c r="AD277" s="8"/>
      <c r="AE277" s="8"/>
      <c r="AF277" s="8"/>
      <c r="AG277" s="8"/>
      <c r="AH277" s="8"/>
      <c r="AI277" s="8"/>
      <c r="AJ277" s="8"/>
      <c r="AO277" t="s">
        <v>527</v>
      </c>
      <c r="AT277" t="s">
        <v>1123</v>
      </c>
      <c r="BD277">
        <v>99</v>
      </c>
      <c r="BS277">
        <v>0.1</v>
      </c>
      <c r="BV277"/>
      <c r="BW277"/>
      <c r="BX277"/>
      <c r="BY277"/>
      <c r="BZ277"/>
      <c r="CA277"/>
      <c r="CN277" t="s">
        <v>1163</v>
      </c>
      <c r="CO277">
        <v>-170</v>
      </c>
      <c r="CP277">
        <v>-0.35</v>
      </c>
      <c r="CR277">
        <v>0.2</v>
      </c>
      <c r="CZ277" s="9"/>
      <c r="DA277" s="9"/>
      <c r="DB277" s="9"/>
      <c r="DC277" s="9"/>
      <c r="DD277" s="9">
        <v>1</v>
      </c>
      <c r="DE277" s="9"/>
      <c r="DF277">
        <v>1</v>
      </c>
      <c r="DG277">
        <v>1</v>
      </c>
      <c r="DH277">
        <v>1</v>
      </c>
      <c r="EG277" s="5"/>
      <c r="EH277" s="5"/>
      <c r="EI277" s="5"/>
    </row>
    <row r="278" spans="1:139" s="5" customFormat="1" x14ac:dyDescent="0.25">
      <c r="A278" s="5" t="s">
        <v>1155</v>
      </c>
      <c r="C278" s="5" t="s">
        <v>533</v>
      </c>
      <c r="I278" s="5">
        <v>1</v>
      </c>
      <c r="K278" s="11" t="s">
        <v>538</v>
      </c>
      <c r="L278" s="11"/>
      <c r="O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5">
        <v>1</v>
      </c>
      <c r="AG278" s="5" t="s">
        <v>534</v>
      </c>
      <c r="AR278"/>
      <c r="AS278"/>
      <c r="BD278" s="5">
        <v>1</v>
      </c>
      <c r="BS278" s="5">
        <v>0.1</v>
      </c>
      <c r="BV278" s="14"/>
      <c r="BW278" s="14"/>
      <c r="BX278" s="14"/>
      <c r="BY278" s="14"/>
      <c r="BZ278" s="14"/>
      <c r="CA278" s="14"/>
      <c r="CB278" s="11" t="s">
        <v>934</v>
      </c>
      <c r="CG278" s="5" t="s">
        <v>530</v>
      </c>
      <c r="DD278" s="5">
        <v>1</v>
      </c>
      <c r="DF278">
        <v>1</v>
      </c>
      <c r="DG278">
        <v>1</v>
      </c>
      <c r="DH278">
        <v>1</v>
      </c>
      <c r="DO278" s="5">
        <v>1</v>
      </c>
    </row>
    <row r="279" spans="1:139" s="5" customFormat="1" x14ac:dyDescent="0.25">
      <c r="A279" s="5" t="s">
        <v>1164</v>
      </c>
      <c r="C279" s="5" t="s">
        <v>533</v>
      </c>
      <c r="I279" s="5">
        <v>1</v>
      </c>
      <c r="K279" s="11" t="s">
        <v>538</v>
      </c>
      <c r="L279" s="11" t="s">
        <v>581</v>
      </c>
      <c r="O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5">
        <v>1</v>
      </c>
      <c r="AG279" s="5" t="s">
        <v>534</v>
      </c>
      <c r="AR279"/>
      <c r="AS279"/>
      <c r="BD279" s="5">
        <v>1</v>
      </c>
      <c r="BS279" s="5">
        <v>0.1</v>
      </c>
      <c r="BV279" s="14"/>
      <c r="BW279" s="14"/>
      <c r="BX279" s="14"/>
      <c r="BY279" s="14"/>
      <c r="BZ279" s="14"/>
      <c r="CA279" s="14"/>
      <c r="CB279" s="11" t="s">
        <v>1165</v>
      </c>
      <c r="CG279" s="5" t="s">
        <v>530</v>
      </c>
      <c r="DD279" s="5">
        <v>1</v>
      </c>
      <c r="DF279">
        <v>1</v>
      </c>
      <c r="DG279">
        <v>1</v>
      </c>
      <c r="DH279">
        <v>1</v>
      </c>
      <c r="DO279" s="5">
        <v>1</v>
      </c>
    </row>
    <row r="280" spans="1:139" x14ac:dyDescent="0.25">
      <c r="J280" s="8"/>
      <c r="M280"/>
      <c r="N280"/>
      <c r="T280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BV280"/>
      <c r="BW280"/>
      <c r="BX280"/>
      <c r="BY280"/>
      <c r="BZ280"/>
      <c r="CA280"/>
      <c r="CU280" s="9"/>
      <c r="CV280" s="9"/>
      <c r="CW280" s="9"/>
      <c r="CX280" s="9"/>
      <c r="CY280" s="9"/>
      <c r="CZ280" s="9"/>
    </row>
    <row r="281" spans="1:139" s="5" customFormat="1" x14ac:dyDescent="0.25">
      <c r="A281" s="5" t="s">
        <v>1161</v>
      </c>
      <c r="C281" s="5" t="s">
        <v>533</v>
      </c>
      <c r="D281" t="s">
        <v>1166</v>
      </c>
      <c r="E281" s="5" t="s">
        <v>1167</v>
      </c>
      <c r="F281" t="s">
        <v>1168</v>
      </c>
      <c r="G281" s="5">
        <v>3</v>
      </c>
      <c r="I281" s="5">
        <v>1</v>
      </c>
      <c r="J281" s="5" t="s">
        <v>557</v>
      </c>
      <c r="K281" s="11" t="s">
        <v>570</v>
      </c>
      <c r="L281" s="11"/>
      <c r="O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5">
        <v>1</v>
      </c>
      <c r="AG281" s="5" t="s">
        <v>534</v>
      </c>
      <c r="AR281"/>
      <c r="AS281"/>
      <c r="AT281" t="s">
        <v>1169</v>
      </c>
      <c r="BD281" s="5">
        <v>1</v>
      </c>
      <c r="BO281" t="s">
        <v>1170</v>
      </c>
      <c r="BP281" s="5" t="s">
        <v>1171</v>
      </c>
      <c r="BT281" s="5">
        <v>16</v>
      </c>
      <c r="BU281" s="5">
        <v>1</v>
      </c>
      <c r="BV281" s="14">
        <v>40</v>
      </c>
      <c r="BW281" s="14">
        <v>55</v>
      </c>
      <c r="BX281" s="14">
        <v>1</v>
      </c>
      <c r="BY281" s="14" t="s">
        <v>542</v>
      </c>
      <c r="BZ281" s="14"/>
      <c r="CA281" s="9" t="s">
        <v>743</v>
      </c>
      <c r="CN281" s="5" t="s">
        <v>1172</v>
      </c>
      <c r="CO281" s="5">
        <v>1</v>
      </c>
      <c r="CR281" s="5">
        <v>99999</v>
      </c>
      <c r="CT281" s="5">
        <v>1</v>
      </c>
      <c r="CU281" t="s">
        <v>576</v>
      </c>
      <c r="DD281" s="5">
        <v>1</v>
      </c>
      <c r="DF281">
        <v>1</v>
      </c>
      <c r="DG281">
        <v>1</v>
      </c>
      <c r="DH281">
        <v>1</v>
      </c>
    </row>
    <row r="282" spans="1:139" x14ac:dyDescent="0.25">
      <c r="A282" t="s">
        <v>1173</v>
      </c>
      <c r="C282" s="5" t="s">
        <v>533</v>
      </c>
      <c r="M282"/>
      <c r="N282"/>
      <c r="O282" s="8" t="s">
        <v>1140</v>
      </c>
      <c r="P282"/>
      <c r="Q282"/>
      <c r="Y282" s="8"/>
      <c r="Z282" s="8"/>
      <c r="AA282" s="8"/>
      <c r="AB282" s="8"/>
      <c r="AC282">
        <v>2</v>
      </c>
      <c r="AD282">
        <v>1</v>
      </c>
      <c r="AO282" t="s">
        <v>527</v>
      </c>
      <c r="AT282" t="s">
        <v>1169</v>
      </c>
      <c r="AX282" t="s">
        <v>529</v>
      </c>
      <c r="AZ282">
        <v>1.5</v>
      </c>
      <c r="BD282">
        <v>99</v>
      </c>
      <c r="BE282">
        <v>1</v>
      </c>
      <c r="BF282">
        <v>0.1</v>
      </c>
      <c r="BO282" t="s">
        <v>1174</v>
      </c>
      <c r="BP282" t="s">
        <v>1159</v>
      </c>
      <c r="BQ282" s="26"/>
      <c r="CA282" s="14" t="s">
        <v>696</v>
      </c>
      <c r="CB282" t="s">
        <v>789</v>
      </c>
      <c r="CD282" t="s">
        <v>1175</v>
      </c>
      <c r="CG282" t="s">
        <v>530</v>
      </c>
      <c r="CX282" t="s">
        <v>1144</v>
      </c>
      <c r="CY282" t="s">
        <v>1145</v>
      </c>
    </row>
    <row r="283" spans="1:139" x14ac:dyDescent="0.25">
      <c r="A283" t="s">
        <v>1174</v>
      </c>
      <c r="C283" s="5" t="s">
        <v>533</v>
      </c>
      <c r="K283" s="11"/>
      <c r="M283"/>
      <c r="N283"/>
      <c r="O283" s="8" t="s">
        <v>1140</v>
      </c>
      <c r="P283"/>
      <c r="Q283"/>
      <c r="Y283" s="8"/>
      <c r="Z283" s="8"/>
      <c r="AA283" s="8">
        <v>0.2</v>
      </c>
      <c r="AB283" s="8"/>
      <c r="AC283">
        <v>2</v>
      </c>
      <c r="AD283">
        <v>1</v>
      </c>
      <c r="AO283" t="s">
        <v>527</v>
      </c>
      <c r="AT283" t="s">
        <v>1169</v>
      </c>
      <c r="AX283" t="s">
        <v>529</v>
      </c>
      <c r="AZ283">
        <v>1.5</v>
      </c>
      <c r="BD283">
        <v>99</v>
      </c>
      <c r="BE283">
        <v>1</v>
      </c>
      <c r="BF283">
        <v>0.1</v>
      </c>
      <c r="BP283" t="s">
        <v>1159</v>
      </c>
      <c r="CA283" s="14"/>
      <c r="CB283" t="s">
        <v>789</v>
      </c>
      <c r="CD283" t="s">
        <v>1175</v>
      </c>
      <c r="CG283" t="s">
        <v>530</v>
      </c>
      <c r="CX283" t="s">
        <v>1146</v>
      </c>
      <c r="CY283" t="s">
        <v>1145</v>
      </c>
    </row>
    <row r="284" spans="1:139" x14ac:dyDescent="0.25">
      <c r="A284" t="s">
        <v>1176</v>
      </c>
      <c r="C284" s="5" t="s">
        <v>533</v>
      </c>
      <c r="I284" s="5">
        <v>1</v>
      </c>
      <c r="M284"/>
      <c r="N284"/>
      <c r="O284" t="s">
        <v>1159</v>
      </c>
      <c r="P284"/>
      <c r="Q284"/>
      <c r="Y284" s="8"/>
      <c r="Z284" s="8"/>
      <c r="AA284" s="8"/>
      <c r="AB284" s="8"/>
      <c r="AC284">
        <v>2</v>
      </c>
      <c r="AO284" t="s">
        <v>527</v>
      </c>
      <c r="AT284" t="s">
        <v>1169</v>
      </c>
      <c r="BD284">
        <v>99</v>
      </c>
      <c r="BS284">
        <v>0.1</v>
      </c>
      <c r="CN284" t="s">
        <v>1163</v>
      </c>
      <c r="CO284">
        <v>-220</v>
      </c>
      <c r="CP284">
        <v>-0.45</v>
      </c>
      <c r="CR284">
        <v>0.2</v>
      </c>
      <c r="DD284" s="5">
        <v>1</v>
      </c>
      <c r="DE284" s="5"/>
      <c r="DF284">
        <v>1</v>
      </c>
      <c r="DG284">
        <v>1</v>
      </c>
      <c r="DH284">
        <v>1</v>
      </c>
    </row>
    <row r="285" spans="1:139" s="5" customFormat="1" x14ac:dyDescent="0.25">
      <c r="A285" s="5" t="s">
        <v>1171</v>
      </c>
      <c r="C285" s="5" t="s">
        <v>533</v>
      </c>
      <c r="I285" s="5">
        <v>1</v>
      </c>
      <c r="K285" s="11" t="s">
        <v>538</v>
      </c>
      <c r="L285" s="11"/>
      <c r="O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5">
        <v>1</v>
      </c>
      <c r="AG285" s="5" t="s">
        <v>534</v>
      </c>
      <c r="AR285"/>
      <c r="AS285"/>
      <c r="BD285" s="5">
        <v>1</v>
      </c>
      <c r="BS285" s="5">
        <v>0.1</v>
      </c>
      <c r="BV285" s="14"/>
      <c r="BW285" s="14"/>
      <c r="BX285" s="14"/>
      <c r="BY285" s="14"/>
      <c r="BZ285" s="14"/>
      <c r="CA285" s="14"/>
      <c r="CB285" s="11" t="s">
        <v>711</v>
      </c>
      <c r="CG285" s="5" t="s">
        <v>530</v>
      </c>
      <c r="DD285" s="5">
        <v>1</v>
      </c>
      <c r="DF285">
        <v>1</v>
      </c>
      <c r="DG285">
        <v>1</v>
      </c>
      <c r="DH285">
        <v>1</v>
      </c>
      <c r="DO285" s="5">
        <v>1</v>
      </c>
    </row>
    <row r="286" spans="1:139" s="5" customFormat="1" x14ac:dyDescent="0.25">
      <c r="A286" s="5" t="s">
        <v>1177</v>
      </c>
      <c r="C286" s="5" t="s">
        <v>533</v>
      </c>
      <c r="I286" s="5">
        <v>1</v>
      </c>
      <c r="K286" s="11" t="s">
        <v>538</v>
      </c>
      <c r="L286" s="11" t="s">
        <v>581</v>
      </c>
      <c r="O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5">
        <v>1</v>
      </c>
      <c r="AG286" s="5" t="s">
        <v>534</v>
      </c>
      <c r="AR286"/>
      <c r="AS286"/>
      <c r="BD286" s="5">
        <v>1</v>
      </c>
      <c r="BS286" s="5">
        <v>0.1</v>
      </c>
      <c r="BV286" s="14"/>
      <c r="BW286" s="14"/>
      <c r="BX286" s="14"/>
      <c r="BY286" s="14"/>
      <c r="BZ286" s="14"/>
      <c r="CA286" s="14"/>
      <c r="CB286" s="11" t="s">
        <v>794</v>
      </c>
      <c r="CG286" s="5" t="s">
        <v>530</v>
      </c>
      <c r="DD286" s="5">
        <v>1</v>
      </c>
      <c r="DF286">
        <v>1</v>
      </c>
      <c r="DG286">
        <v>1</v>
      </c>
      <c r="DH286">
        <v>1</v>
      </c>
      <c r="DO286" s="5">
        <v>1</v>
      </c>
    </row>
    <row r="287" spans="1:139" s="5" customFormat="1" x14ac:dyDescent="0.25">
      <c r="A287" s="5" t="s">
        <v>1178</v>
      </c>
      <c r="C287" s="5" t="s">
        <v>533</v>
      </c>
      <c r="D287" t="s">
        <v>1179</v>
      </c>
      <c r="E287" s="5" t="s">
        <v>1180</v>
      </c>
      <c r="F287" t="s">
        <v>1168</v>
      </c>
      <c r="G287" s="5">
        <v>3</v>
      </c>
      <c r="I287" s="5">
        <v>1</v>
      </c>
      <c r="J287" s="5" t="s">
        <v>557</v>
      </c>
      <c r="K287" s="11" t="s">
        <v>570</v>
      </c>
      <c r="L287" s="11"/>
      <c r="O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5">
        <v>1</v>
      </c>
      <c r="AG287" s="5" t="s">
        <v>534</v>
      </c>
      <c r="AR287"/>
      <c r="AS287"/>
      <c r="AT287" t="s">
        <v>1169</v>
      </c>
      <c r="BD287" s="5">
        <v>1</v>
      </c>
      <c r="BO287" t="s">
        <v>1181</v>
      </c>
      <c r="BP287" s="5" t="s">
        <v>1171</v>
      </c>
      <c r="BT287" s="5">
        <v>16</v>
      </c>
      <c r="BU287" s="5">
        <v>1</v>
      </c>
      <c r="BV287" s="14">
        <v>40</v>
      </c>
      <c r="BW287" s="14">
        <v>45</v>
      </c>
      <c r="BX287" s="14">
        <v>1</v>
      </c>
      <c r="BY287" s="14" t="s">
        <v>542</v>
      </c>
      <c r="BZ287" s="14"/>
      <c r="CA287" s="9" t="s">
        <v>743</v>
      </c>
      <c r="CN287" s="5" t="s">
        <v>1172</v>
      </c>
      <c r="CO287" s="5">
        <v>1</v>
      </c>
      <c r="CR287" s="5">
        <v>99999</v>
      </c>
      <c r="CT287" s="5">
        <v>1</v>
      </c>
      <c r="CU287" t="s">
        <v>576</v>
      </c>
      <c r="DD287" s="5">
        <v>1</v>
      </c>
      <c r="DF287">
        <v>1</v>
      </c>
      <c r="DG287">
        <v>1</v>
      </c>
      <c r="DH287">
        <v>1</v>
      </c>
    </row>
    <row r="288" spans="1:139" x14ac:dyDescent="0.25">
      <c r="A288" t="s">
        <v>1182</v>
      </c>
      <c r="C288" s="5" t="s">
        <v>533</v>
      </c>
      <c r="M288"/>
      <c r="N288"/>
      <c r="O288" s="8" t="s">
        <v>1140</v>
      </c>
      <c r="P288"/>
      <c r="Q288"/>
      <c r="Y288" s="8"/>
      <c r="Z288" s="8"/>
      <c r="AA288" s="8"/>
      <c r="AB288" s="8"/>
      <c r="AC288">
        <v>2</v>
      </c>
      <c r="AD288">
        <v>1</v>
      </c>
      <c r="AO288" t="s">
        <v>527</v>
      </c>
      <c r="AT288" t="s">
        <v>1169</v>
      </c>
      <c r="AX288" t="s">
        <v>529</v>
      </c>
      <c r="AZ288">
        <v>2.25</v>
      </c>
      <c r="BD288">
        <v>99</v>
      </c>
      <c r="BE288">
        <v>1</v>
      </c>
      <c r="BF288">
        <v>0.1</v>
      </c>
      <c r="BO288" t="s">
        <v>1183</v>
      </c>
      <c r="BP288" t="s">
        <v>1159</v>
      </c>
      <c r="BQ288" s="26"/>
      <c r="CA288" s="14" t="s">
        <v>696</v>
      </c>
      <c r="CB288" t="s">
        <v>789</v>
      </c>
      <c r="CD288" t="s">
        <v>1175</v>
      </c>
      <c r="CG288" t="s">
        <v>530</v>
      </c>
      <c r="CX288" t="s">
        <v>1144</v>
      </c>
      <c r="CY288" t="s">
        <v>1145</v>
      </c>
    </row>
    <row r="289" spans="1:112" x14ac:dyDescent="0.25">
      <c r="A289" t="s">
        <v>1183</v>
      </c>
      <c r="C289" s="5" t="s">
        <v>533</v>
      </c>
      <c r="K289" s="11"/>
      <c r="M289"/>
      <c r="N289"/>
      <c r="O289" s="8" t="s">
        <v>1140</v>
      </c>
      <c r="P289"/>
      <c r="Q289"/>
      <c r="Y289" s="8"/>
      <c r="Z289" s="8"/>
      <c r="AA289" s="8">
        <v>0.2</v>
      </c>
      <c r="AB289" s="8"/>
      <c r="AC289">
        <v>2</v>
      </c>
      <c r="AD289">
        <v>1</v>
      </c>
      <c r="AO289" t="s">
        <v>527</v>
      </c>
      <c r="AT289" t="s">
        <v>1169</v>
      </c>
      <c r="AX289" t="s">
        <v>529</v>
      </c>
      <c r="AZ289">
        <v>2.25</v>
      </c>
      <c r="BD289">
        <v>99</v>
      </c>
      <c r="BE289">
        <v>1</v>
      </c>
      <c r="BF289">
        <v>0.1</v>
      </c>
      <c r="BP289" t="s">
        <v>1159</v>
      </c>
      <c r="CA289" s="14"/>
      <c r="CB289" t="s">
        <v>789</v>
      </c>
      <c r="CD289" t="s">
        <v>1175</v>
      </c>
      <c r="CG289" t="s">
        <v>530</v>
      </c>
      <c r="CX289" t="s">
        <v>1146</v>
      </c>
      <c r="CY289" t="s">
        <v>1145</v>
      </c>
    </row>
    <row r="290" spans="1:112" x14ac:dyDescent="0.25">
      <c r="J290" s="8"/>
      <c r="M290"/>
      <c r="N290"/>
      <c r="T290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BV290"/>
      <c r="BW290"/>
      <c r="BX290"/>
      <c r="BY290"/>
      <c r="BZ290"/>
      <c r="CA290"/>
      <c r="CZ290" s="9"/>
      <c r="DA290" s="9"/>
      <c r="DB290" s="9"/>
      <c r="DC290" s="9"/>
      <c r="DD290" s="9"/>
      <c r="DE290" s="9"/>
    </row>
    <row r="291" spans="1:112" x14ac:dyDescent="0.25">
      <c r="A291" t="s">
        <v>1184</v>
      </c>
      <c r="C291" t="s">
        <v>533</v>
      </c>
      <c r="J291" s="8"/>
      <c r="M291"/>
      <c r="N291"/>
      <c r="R291" s="5" t="s">
        <v>1185</v>
      </c>
      <c r="S291" s="5">
        <v>1</v>
      </c>
      <c r="Y291" s="8"/>
      <c r="Z291" s="8"/>
      <c r="AA291" s="8"/>
      <c r="AB291" s="8"/>
      <c r="AC291">
        <v>2</v>
      </c>
      <c r="AD291">
        <v>1</v>
      </c>
      <c r="AO291" t="s">
        <v>1186</v>
      </c>
      <c r="AT291" t="s">
        <v>1187</v>
      </c>
      <c r="AX291" t="s">
        <v>529</v>
      </c>
      <c r="AZ291">
        <v>1</v>
      </c>
      <c r="BD291">
        <v>1</v>
      </c>
      <c r="BO291" t="s">
        <v>1188</v>
      </c>
      <c r="BV291"/>
      <c r="CB291" t="s">
        <v>759</v>
      </c>
      <c r="CD291" t="s">
        <v>1189</v>
      </c>
      <c r="CG291" t="s">
        <v>530</v>
      </c>
      <c r="CJ291" t="s">
        <v>1190</v>
      </c>
      <c r="CY291" t="s">
        <v>764</v>
      </c>
    </row>
    <row r="292" spans="1:112" x14ac:dyDescent="0.25">
      <c r="A292" t="s">
        <v>1188</v>
      </c>
      <c r="C292" t="s">
        <v>533</v>
      </c>
      <c r="J292" s="8"/>
      <c r="M292"/>
      <c r="N292"/>
      <c r="Q292" s="5" t="s">
        <v>1185</v>
      </c>
      <c r="S292" s="5">
        <v>1</v>
      </c>
      <c r="Y292" s="8"/>
      <c r="Z292" s="8"/>
      <c r="AA292" s="8"/>
      <c r="AB292" s="8"/>
      <c r="AC292">
        <v>2</v>
      </c>
      <c r="AD292">
        <v>1</v>
      </c>
      <c r="AO292" t="s">
        <v>1186</v>
      </c>
      <c r="AV292">
        <v>99</v>
      </c>
      <c r="AX292" t="s">
        <v>529</v>
      </c>
      <c r="AZ292">
        <v>1</v>
      </c>
      <c r="BD292">
        <v>1</v>
      </c>
      <c r="BV292"/>
      <c r="CB292" t="s">
        <v>759</v>
      </c>
      <c r="CD292" t="s">
        <v>1189</v>
      </c>
      <c r="CG292" t="s">
        <v>530</v>
      </c>
      <c r="CJ292" t="s">
        <v>1190</v>
      </c>
      <c r="CY292" t="s">
        <v>764</v>
      </c>
    </row>
    <row r="293" spans="1:112" x14ac:dyDescent="0.25">
      <c r="A293" t="s">
        <v>1191</v>
      </c>
      <c r="C293" t="s">
        <v>1192</v>
      </c>
      <c r="K293" s="8" t="s">
        <v>538</v>
      </c>
      <c r="L293" s="8" t="s">
        <v>696</v>
      </c>
      <c r="AC293">
        <v>1</v>
      </c>
      <c r="AG293" t="s">
        <v>534</v>
      </c>
      <c r="AW293" s="21"/>
      <c r="BD293">
        <v>1</v>
      </c>
      <c r="BO293" s="24"/>
      <c r="BP293" s="24"/>
      <c r="CN293" s="4"/>
      <c r="CU293" t="s">
        <v>1193</v>
      </c>
    </row>
    <row r="294" spans="1:112" x14ac:dyDescent="0.25">
      <c r="A294" t="s">
        <v>1190</v>
      </c>
      <c r="C294" t="s">
        <v>533</v>
      </c>
      <c r="K294" s="11" t="s">
        <v>538</v>
      </c>
      <c r="L294" s="11" t="s">
        <v>1194</v>
      </c>
      <c r="M294"/>
      <c r="N294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>
        <v>1</v>
      </c>
      <c r="AG294" t="s">
        <v>534</v>
      </c>
      <c r="BD294">
        <v>1</v>
      </c>
      <c r="BO294" t="s">
        <v>1195</v>
      </c>
      <c r="BV294" s="14"/>
      <c r="BW294" s="14"/>
      <c r="BX294" s="14"/>
      <c r="BZ294" s="14"/>
      <c r="CA294" s="14"/>
      <c r="CC294" s="11"/>
      <c r="CD294" s="11"/>
      <c r="CE294" s="11"/>
      <c r="CF294" s="11"/>
      <c r="CH294" s="11"/>
      <c r="CI294" s="11"/>
      <c r="CK294" s="11"/>
      <c r="CL294" s="11"/>
      <c r="CN294" t="s">
        <v>1190</v>
      </c>
      <c r="CR294">
        <v>9999</v>
      </c>
    </row>
    <row r="295" spans="1:112" x14ac:dyDescent="0.25">
      <c r="A295" t="s">
        <v>1195</v>
      </c>
      <c r="C295" t="s">
        <v>533</v>
      </c>
      <c r="K295" s="11"/>
      <c r="L295" s="11"/>
      <c r="M295"/>
      <c r="N295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>
        <v>1</v>
      </c>
      <c r="AG295" t="s">
        <v>534</v>
      </c>
      <c r="BD295">
        <v>1</v>
      </c>
      <c r="BS295">
        <v>15</v>
      </c>
      <c r="BV295" s="14"/>
      <c r="BW295" s="14"/>
      <c r="BX295" s="14"/>
      <c r="BZ295" s="14"/>
      <c r="CA295" s="14"/>
      <c r="CC295" s="11"/>
      <c r="CD295" s="11"/>
      <c r="CE295" s="11"/>
      <c r="CF295" s="11"/>
      <c r="CH295" s="11"/>
      <c r="CI295" s="11"/>
      <c r="CK295" s="11"/>
      <c r="CL295" s="11"/>
      <c r="CN295" t="s">
        <v>637</v>
      </c>
      <c r="CO295">
        <v>0.18</v>
      </c>
      <c r="CR295">
        <v>9999</v>
      </c>
    </row>
    <row r="296" spans="1:112" s="5" customFormat="1" x14ac:dyDescent="0.25">
      <c r="K296" s="11"/>
      <c r="L296" s="11"/>
      <c r="O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R296"/>
      <c r="AS296"/>
      <c r="BV296" s="14"/>
      <c r="BW296" s="14"/>
      <c r="BX296" s="14"/>
      <c r="BY296" s="14"/>
      <c r="BZ296" s="14"/>
      <c r="CA296" s="14"/>
      <c r="CB296" s="11"/>
      <c r="DF296"/>
      <c r="DG296"/>
      <c r="DH296"/>
    </row>
    <row r="297" spans="1:112" x14ac:dyDescent="0.25">
      <c r="A297" t="s">
        <v>1196</v>
      </c>
      <c r="C297" t="s">
        <v>533</v>
      </c>
      <c r="D297" t="s">
        <v>1197</v>
      </c>
      <c r="E297" t="s">
        <v>1198</v>
      </c>
      <c r="F297" t="s">
        <v>1199</v>
      </c>
      <c r="G297">
        <v>3</v>
      </c>
      <c r="J297" t="s">
        <v>557</v>
      </c>
      <c r="K297" s="11" t="s">
        <v>570</v>
      </c>
      <c r="L297" s="11"/>
      <c r="M297"/>
      <c r="N297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>
        <v>1</v>
      </c>
      <c r="AG297" t="s">
        <v>534</v>
      </c>
      <c r="BD297">
        <v>1</v>
      </c>
      <c r="BO297" t="s">
        <v>1200</v>
      </c>
      <c r="BT297">
        <v>9</v>
      </c>
      <c r="BU297">
        <v>1</v>
      </c>
      <c r="BV297" s="14">
        <v>15</v>
      </c>
      <c r="BW297" s="14">
        <v>30</v>
      </c>
      <c r="BX297" s="14">
        <v>1</v>
      </c>
      <c r="BY297" s="9" t="s">
        <v>542</v>
      </c>
      <c r="BZ297" s="14"/>
      <c r="CA297" s="9" t="s">
        <v>743</v>
      </c>
      <c r="CC297" s="11"/>
      <c r="CD297" s="11"/>
      <c r="CE297" s="11"/>
      <c r="CF297" s="11"/>
      <c r="CH297" s="11"/>
      <c r="CI297" s="11"/>
      <c r="CK297" s="11"/>
      <c r="CL297" s="11"/>
      <c r="CN297" s="5" t="s">
        <v>1201</v>
      </c>
      <c r="CO297" t="s">
        <v>1202</v>
      </c>
      <c r="CR297">
        <v>99999</v>
      </c>
      <c r="CT297">
        <v>1</v>
      </c>
    </row>
    <row r="298" spans="1:112" x14ac:dyDescent="0.25">
      <c r="A298" t="s">
        <v>1203</v>
      </c>
      <c r="C298" t="s">
        <v>533</v>
      </c>
      <c r="E298" s="23"/>
      <c r="M298"/>
      <c r="N298"/>
      <c r="O298" s="5" t="s">
        <v>1204</v>
      </c>
      <c r="P298" t="s">
        <v>1205</v>
      </c>
      <c r="Q298"/>
      <c r="R298" s="5" t="s">
        <v>1185</v>
      </c>
      <c r="Y298" s="8"/>
      <c r="Z298" s="8"/>
      <c r="AA298" s="8"/>
      <c r="AB298" s="8"/>
      <c r="AC298">
        <v>2</v>
      </c>
      <c r="AD298">
        <v>1</v>
      </c>
      <c r="AO298" t="s">
        <v>1186</v>
      </c>
      <c r="AW298">
        <v>1</v>
      </c>
      <c r="AX298" t="s">
        <v>529</v>
      </c>
      <c r="AZ298">
        <v>1</v>
      </c>
      <c r="BD298">
        <v>1</v>
      </c>
      <c r="CA298" s="14"/>
      <c r="CB298" t="s">
        <v>759</v>
      </c>
      <c r="CD298" t="s">
        <v>1189</v>
      </c>
      <c r="CG298" s="5" t="s">
        <v>530</v>
      </c>
      <c r="CJ298" t="s">
        <v>1190</v>
      </c>
      <c r="CM298" s="5"/>
      <c r="CY298" t="s">
        <v>764</v>
      </c>
    </row>
    <row r="299" spans="1:112" x14ac:dyDescent="0.25">
      <c r="A299" t="s">
        <v>1206</v>
      </c>
      <c r="C299" t="s">
        <v>533</v>
      </c>
      <c r="E299" s="23"/>
      <c r="H299" t="s">
        <v>1207</v>
      </c>
      <c r="M299"/>
      <c r="N299"/>
      <c r="O299" s="5" t="s">
        <v>1208</v>
      </c>
      <c r="P299"/>
      <c r="Q299" s="5" t="s">
        <v>1185</v>
      </c>
      <c r="R299" s="5"/>
      <c r="Y299" s="8"/>
      <c r="Z299" s="8"/>
      <c r="AA299" s="8"/>
      <c r="AB299" s="8"/>
      <c r="AC299">
        <v>2</v>
      </c>
      <c r="AD299">
        <v>1</v>
      </c>
      <c r="AO299" t="s">
        <v>1186</v>
      </c>
      <c r="AV299">
        <v>99</v>
      </c>
      <c r="BD299">
        <v>1</v>
      </c>
      <c r="BP299" t="s">
        <v>1209</v>
      </c>
      <c r="BS299">
        <v>0.25</v>
      </c>
      <c r="CA299" s="14"/>
      <c r="CB299" s="11"/>
      <c r="CG299" s="5"/>
      <c r="CN299" t="s">
        <v>1210</v>
      </c>
      <c r="CR299">
        <v>3.5</v>
      </c>
    </row>
    <row r="300" spans="1:112" x14ac:dyDescent="0.25">
      <c r="A300" t="s">
        <v>1209</v>
      </c>
      <c r="C300" t="s">
        <v>533</v>
      </c>
      <c r="E300" s="23"/>
      <c r="K300" s="8" t="s">
        <v>538</v>
      </c>
      <c r="M300"/>
      <c r="N300"/>
      <c r="O300" s="5" t="s">
        <v>1208</v>
      </c>
      <c r="P300"/>
      <c r="Q300" s="5"/>
      <c r="R300" s="5"/>
      <c r="Y300" s="8"/>
      <c r="Z300" s="8"/>
      <c r="AA300" s="8"/>
      <c r="AB300" s="8"/>
      <c r="AC300">
        <v>1</v>
      </c>
      <c r="AG300" t="s">
        <v>534</v>
      </c>
      <c r="BD300">
        <v>1</v>
      </c>
      <c r="CA300" s="14"/>
      <c r="CM300" t="s">
        <v>1196</v>
      </c>
      <c r="CN300" t="s">
        <v>1203</v>
      </c>
      <c r="CR300">
        <v>1.2</v>
      </c>
    </row>
    <row r="301" spans="1:112" x14ac:dyDescent="0.25">
      <c r="A301" t="s">
        <v>1211</v>
      </c>
      <c r="C301" t="s">
        <v>533</v>
      </c>
      <c r="E301" s="23"/>
      <c r="M301"/>
      <c r="N301"/>
      <c r="O301" s="5" t="s">
        <v>1204</v>
      </c>
      <c r="P301" t="s">
        <v>1196</v>
      </c>
      <c r="Q301" s="5" t="s">
        <v>1185</v>
      </c>
      <c r="R301" s="5"/>
      <c r="Y301" s="8"/>
      <c r="Z301" s="8"/>
      <c r="AA301" s="8"/>
      <c r="AB301" s="8"/>
      <c r="AC301">
        <v>2</v>
      </c>
      <c r="AD301">
        <v>1</v>
      </c>
      <c r="AO301" t="s">
        <v>1186</v>
      </c>
      <c r="AV301">
        <v>99</v>
      </c>
      <c r="BD301">
        <v>1</v>
      </c>
      <c r="BP301" t="s">
        <v>1212</v>
      </c>
      <c r="BS301">
        <v>0.25</v>
      </c>
      <c r="CA301" s="14"/>
      <c r="CB301" s="11"/>
      <c r="CG301" s="5"/>
      <c r="CM301" s="5"/>
      <c r="CN301" t="s">
        <v>1210</v>
      </c>
      <c r="CR301">
        <v>3.5</v>
      </c>
    </row>
    <row r="302" spans="1:112" x14ac:dyDescent="0.25">
      <c r="A302" t="s">
        <v>1212</v>
      </c>
      <c r="C302" t="s">
        <v>533</v>
      </c>
      <c r="E302" s="23"/>
      <c r="K302" s="8" t="s">
        <v>538</v>
      </c>
      <c r="M302"/>
      <c r="N302"/>
      <c r="O302" s="5" t="s">
        <v>1204</v>
      </c>
      <c r="P302"/>
      <c r="Q302" s="5"/>
      <c r="R302" s="5"/>
      <c r="Y302" s="8"/>
      <c r="Z302" s="8"/>
      <c r="AA302" s="8"/>
      <c r="AB302" s="8"/>
      <c r="AC302">
        <v>1</v>
      </c>
      <c r="AG302" t="s">
        <v>534</v>
      </c>
      <c r="BD302">
        <v>1</v>
      </c>
      <c r="BP302" s="5"/>
      <c r="CA302" s="14"/>
      <c r="CM302" s="5"/>
      <c r="CN302" t="s">
        <v>1196</v>
      </c>
      <c r="CR302">
        <v>3.5</v>
      </c>
    </row>
    <row r="303" spans="1:112" x14ac:dyDescent="0.25">
      <c r="A303" t="s">
        <v>1213</v>
      </c>
      <c r="C303" t="s">
        <v>533</v>
      </c>
      <c r="E303" s="23"/>
      <c r="M303"/>
      <c r="N303"/>
      <c r="O303" s="5" t="s">
        <v>1204</v>
      </c>
      <c r="P303" t="s">
        <v>1196</v>
      </c>
      <c r="Q303" s="5" t="s">
        <v>1185</v>
      </c>
      <c r="R303" s="5"/>
      <c r="Y303" s="8"/>
      <c r="Z303" s="8"/>
      <c r="AA303" s="8"/>
      <c r="AB303" s="8"/>
      <c r="AC303">
        <v>2</v>
      </c>
      <c r="AD303">
        <v>1</v>
      </c>
      <c r="AO303" t="s">
        <v>1186</v>
      </c>
      <c r="AV303">
        <v>99</v>
      </c>
      <c r="AX303" t="s">
        <v>529</v>
      </c>
      <c r="AZ303">
        <v>4.25</v>
      </c>
      <c r="BD303">
        <v>1</v>
      </c>
      <c r="BO303" s="5"/>
      <c r="CA303" s="14" t="s">
        <v>696</v>
      </c>
      <c r="CB303" s="11" t="s">
        <v>794</v>
      </c>
      <c r="CE303" s="13"/>
      <c r="CG303" s="5" t="s">
        <v>530</v>
      </c>
      <c r="CJ303" t="s">
        <v>1190</v>
      </c>
      <c r="CM303" t="s">
        <v>1210</v>
      </c>
      <c r="CX303" t="s">
        <v>1214</v>
      </c>
      <c r="CY303" t="s">
        <v>1127</v>
      </c>
      <c r="CZ303" t="s">
        <v>1215</v>
      </c>
    </row>
    <row r="305" spans="1:112" x14ac:dyDescent="0.25">
      <c r="A305" t="s">
        <v>1216</v>
      </c>
      <c r="C305" t="s">
        <v>533</v>
      </c>
      <c r="D305" t="s">
        <v>1217</v>
      </c>
      <c r="E305" t="s">
        <v>1218</v>
      </c>
      <c r="F305" t="s">
        <v>1219</v>
      </c>
      <c r="G305">
        <v>3</v>
      </c>
      <c r="J305" t="s">
        <v>557</v>
      </c>
      <c r="K305" s="11" t="s">
        <v>570</v>
      </c>
      <c r="L305" s="11"/>
      <c r="M305"/>
      <c r="N305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>
        <v>1</v>
      </c>
      <c r="AG305" t="s">
        <v>534</v>
      </c>
      <c r="BD305">
        <v>1</v>
      </c>
      <c r="BO305" s="5" t="s">
        <v>1220</v>
      </c>
      <c r="BP305" s="5" t="s">
        <v>1221</v>
      </c>
      <c r="BT305">
        <v>7</v>
      </c>
      <c r="BU305">
        <v>1</v>
      </c>
      <c r="BV305" s="14">
        <v>32</v>
      </c>
      <c r="BW305" s="14">
        <v>38</v>
      </c>
      <c r="BX305" s="14">
        <v>1</v>
      </c>
      <c r="BY305" s="9" t="s">
        <v>542</v>
      </c>
      <c r="BZ305" s="14"/>
      <c r="CA305" s="9" t="s">
        <v>743</v>
      </c>
      <c r="CC305" s="11"/>
      <c r="CD305" s="11"/>
      <c r="CE305" s="11"/>
      <c r="CF305" s="11"/>
      <c r="CH305" s="11"/>
      <c r="CI305" s="11"/>
      <c r="CK305" s="11"/>
      <c r="CL305" s="11"/>
      <c r="CN305" s="5" t="s">
        <v>1222</v>
      </c>
      <c r="CR305">
        <v>99999</v>
      </c>
      <c r="CT305">
        <v>1</v>
      </c>
    </row>
    <row r="306" spans="1:112" x14ac:dyDescent="0.25">
      <c r="A306" t="s">
        <v>1223</v>
      </c>
      <c r="C306" t="s">
        <v>533</v>
      </c>
      <c r="J306" s="8"/>
      <c r="M306"/>
      <c r="N306"/>
      <c r="O306" t="s">
        <v>1222</v>
      </c>
      <c r="Q306"/>
      <c r="R306" s="5" t="s">
        <v>1185</v>
      </c>
      <c r="S306" s="5"/>
      <c r="Y306" s="8"/>
      <c r="Z306" s="8"/>
      <c r="AA306" s="8"/>
      <c r="AB306" s="8"/>
      <c r="AC306">
        <v>2</v>
      </c>
      <c r="AD306">
        <v>1</v>
      </c>
      <c r="AO306" t="s">
        <v>911</v>
      </c>
      <c r="AT306" t="s">
        <v>1187</v>
      </c>
      <c r="AX306" t="s">
        <v>529</v>
      </c>
      <c r="AZ306">
        <v>1</v>
      </c>
      <c r="BD306">
        <v>1</v>
      </c>
      <c r="BE306" s="5"/>
      <c r="BF306" s="5"/>
      <c r="BG306" s="5"/>
      <c r="BH306" s="5"/>
      <c r="BI306" s="5"/>
      <c r="BJ306" s="5">
        <v>1.5</v>
      </c>
      <c r="BK306" s="5">
        <v>4.5</v>
      </c>
      <c r="BL306" s="5">
        <v>3</v>
      </c>
      <c r="BO306" t="s">
        <v>1224</v>
      </c>
      <c r="BS306">
        <v>0.5</v>
      </c>
      <c r="BV306"/>
      <c r="CA306" s="14" t="s">
        <v>696</v>
      </c>
      <c r="CG306" t="s">
        <v>530</v>
      </c>
      <c r="CJ306" t="s">
        <v>1190</v>
      </c>
      <c r="CY306" t="s">
        <v>1225</v>
      </c>
    </row>
    <row r="307" spans="1:112" x14ac:dyDescent="0.25">
      <c r="A307" t="s">
        <v>1224</v>
      </c>
      <c r="C307" t="s">
        <v>533</v>
      </c>
      <c r="J307" s="8"/>
      <c r="M307"/>
      <c r="N307"/>
      <c r="O307" t="s">
        <v>1222</v>
      </c>
      <c r="Q307" s="5" t="s">
        <v>1185</v>
      </c>
      <c r="R307" s="5"/>
      <c r="S307" s="5"/>
      <c r="Y307" s="8"/>
      <c r="Z307" s="8"/>
      <c r="AA307" s="8"/>
      <c r="AB307" s="8"/>
      <c r="AC307">
        <v>2</v>
      </c>
      <c r="AD307">
        <v>1</v>
      </c>
      <c r="AO307" t="s">
        <v>911</v>
      </c>
      <c r="AV307">
        <v>99</v>
      </c>
      <c r="AX307" t="s">
        <v>529</v>
      </c>
      <c r="AZ307">
        <v>1</v>
      </c>
      <c r="BD307">
        <v>1</v>
      </c>
      <c r="BE307" s="5"/>
      <c r="BF307" s="5"/>
      <c r="BG307" s="5"/>
      <c r="BH307" s="5"/>
      <c r="BI307" s="5"/>
      <c r="BJ307" s="5">
        <v>1.5</v>
      </c>
      <c r="BK307" s="5">
        <v>4.5</v>
      </c>
      <c r="BL307" s="5">
        <v>3</v>
      </c>
      <c r="BS307">
        <v>0.5</v>
      </c>
      <c r="BV307"/>
      <c r="CA307" s="14" t="s">
        <v>696</v>
      </c>
      <c r="CG307" t="s">
        <v>530</v>
      </c>
      <c r="CJ307" t="s">
        <v>1190</v>
      </c>
      <c r="CY307" t="s">
        <v>1225</v>
      </c>
    </row>
    <row r="308" spans="1:112" s="5" customFormat="1" x14ac:dyDescent="0.25">
      <c r="A308" s="5" t="s">
        <v>1221</v>
      </c>
      <c r="C308" s="5" t="s">
        <v>533</v>
      </c>
      <c r="I308" s="5">
        <v>1</v>
      </c>
      <c r="K308" s="11" t="s">
        <v>538</v>
      </c>
      <c r="L308" s="11"/>
      <c r="O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5">
        <v>1</v>
      </c>
      <c r="AG308" s="5" t="s">
        <v>534</v>
      </c>
      <c r="AR308"/>
      <c r="AS308"/>
      <c r="BD308" s="5">
        <v>1</v>
      </c>
      <c r="BS308" s="5">
        <v>0.26600000000000001</v>
      </c>
      <c r="BV308" s="14"/>
      <c r="BW308" s="14"/>
      <c r="BX308" s="14"/>
      <c r="BY308" s="14"/>
      <c r="BZ308" s="14"/>
      <c r="CA308" s="14"/>
      <c r="CB308" s="11" t="s">
        <v>598</v>
      </c>
      <c r="CG308" s="5" t="s">
        <v>530</v>
      </c>
      <c r="DD308" s="5">
        <v>1</v>
      </c>
      <c r="DF308">
        <v>1</v>
      </c>
      <c r="DG308">
        <v>1</v>
      </c>
      <c r="DH308">
        <v>1</v>
      </c>
    </row>
    <row r="309" spans="1:112" s="5" customFormat="1" x14ac:dyDescent="0.25">
      <c r="A309" s="5" t="s">
        <v>1226</v>
      </c>
      <c r="C309" s="5" t="s">
        <v>533</v>
      </c>
      <c r="I309" s="5">
        <v>1</v>
      </c>
      <c r="K309" s="11" t="s">
        <v>538</v>
      </c>
      <c r="L309" s="11" t="s">
        <v>581</v>
      </c>
      <c r="O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5">
        <v>1</v>
      </c>
      <c r="AG309" s="5" t="s">
        <v>534</v>
      </c>
      <c r="AR309"/>
      <c r="AS309"/>
      <c r="BD309" s="5">
        <v>1</v>
      </c>
      <c r="BS309" s="5">
        <v>2</v>
      </c>
      <c r="BV309" s="14"/>
      <c r="BW309" s="14"/>
      <c r="BX309" s="14"/>
      <c r="BY309" s="14"/>
      <c r="BZ309" s="14"/>
      <c r="CA309" s="14"/>
      <c r="CB309" s="11" t="s">
        <v>600</v>
      </c>
      <c r="CG309" s="5" t="s">
        <v>530</v>
      </c>
      <c r="DD309" s="5">
        <v>1</v>
      </c>
      <c r="DF309">
        <v>1</v>
      </c>
      <c r="DG309">
        <v>1</v>
      </c>
      <c r="DH309">
        <v>1</v>
      </c>
    </row>
    <row r="310" spans="1:112" x14ac:dyDescent="0.25">
      <c r="J310" s="8"/>
      <c r="M310"/>
      <c r="N310"/>
      <c r="T310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BV310"/>
      <c r="BW310"/>
      <c r="BX310"/>
      <c r="BY310"/>
      <c r="BZ310"/>
      <c r="CA310"/>
      <c r="CZ310" s="9"/>
      <c r="DA310" s="9"/>
      <c r="DB310" s="9"/>
      <c r="DC310" s="9"/>
      <c r="DD310" s="9"/>
      <c r="DE310" s="9"/>
    </row>
    <row r="311" spans="1:112" x14ac:dyDescent="0.25">
      <c r="A311" t="s">
        <v>1227</v>
      </c>
      <c r="C311" t="s">
        <v>533</v>
      </c>
      <c r="M311"/>
      <c r="N311"/>
      <c r="S311" s="8">
        <v>1</v>
      </c>
      <c r="Y311" s="8"/>
      <c r="Z311" s="8"/>
      <c r="AA311" s="8"/>
      <c r="AB311" s="8"/>
      <c r="AC311">
        <v>2</v>
      </c>
      <c r="AO311" t="s">
        <v>527</v>
      </c>
      <c r="AP311" t="s">
        <v>635</v>
      </c>
      <c r="AT311" t="s">
        <v>1187</v>
      </c>
      <c r="AX311" t="s">
        <v>529</v>
      </c>
      <c r="AZ311">
        <v>1</v>
      </c>
      <c r="BD311">
        <v>1</v>
      </c>
      <c r="BJ311">
        <v>0.9</v>
      </c>
      <c r="BK311">
        <v>1.25</v>
      </c>
      <c r="BL311">
        <v>1</v>
      </c>
      <c r="BO311" t="s">
        <v>1228</v>
      </c>
      <c r="BP311" t="s">
        <v>1229</v>
      </c>
      <c r="BV311"/>
      <c r="CB311" t="s">
        <v>1230</v>
      </c>
      <c r="CG311" t="s">
        <v>530</v>
      </c>
      <c r="CH311" t="s">
        <v>1231</v>
      </c>
      <c r="CI311" t="s">
        <v>762</v>
      </c>
      <c r="CN311" t="s">
        <v>1232</v>
      </c>
      <c r="CX311" t="s">
        <v>1233</v>
      </c>
      <c r="CY311" t="s">
        <v>916</v>
      </c>
    </row>
    <row r="312" spans="1:112" x14ac:dyDescent="0.25">
      <c r="A312" t="s">
        <v>1229</v>
      </c>
      <c r="C312" t="s">
        <v>533</v>
      </c>
      <c r="E312" t="s">
        <v>1234</v>
      </c>
      <c r="I312">
        <v>1</v>
      </c>
      <c r="K312" s="8" t="s">
        <v>538</v>
      </c>
      <c r="M312"/>
      <c r="N312"/>
      <c r="Y312" s="8"/>
      <c r="Z312" s="8"/>
      <c r="AA312" s="8"/>
      <c r="AB312" s="8"/>
      <c r="AC312">
        <v>2</v>
      </c>
      <c r="AF312">
        <v>1</v>
      </c>
      <c r="AH312">
        <v>1</v>
      </c>
      <c r="AO312" t="s">
        <v>527</v>
      </c>
      <c r="AP312" t="s">
        <v>635</v>
      </c>
      <c r="AW312">
        <v>1</v>
      </c>
      <c r="BD312">
        <v>1</v>
      </c>
      <c r="BV312"/>
      <c r="CN312" t="s">
        <v>1235</v>
      </c>
    </row>
    <row r="313" spans="1:112" x14ac:dyDescent="0.25">
      <c r="A313" s="41" t="s">
        <v>1638</v>
      </c>
      <c r="C313" t="s">
        <v>533</v>
      </c>
      <c r="E313" t="s">
        <v>1234</v>
      </c>
      <c r="I313">
        <v>1</v>
      </c>
      <c r="K313" s="8" t="s">
        <v>538</v>
      </c>
      <c r="L313" s="8" t="s">
        <v>1236</v>
      </c>
      <c r="M313"/>
      <c r="N313"/>
      <c r="Q313" s="8" t="s">
        <v>1232</v>
      </c>
      <c r="Y313" s="8"/>
      <c r="Z313" s="8"/>
      <c r="AA313" s="8"/>
      <c r="AB313" s="8"/>
      <c r="AC313">
        <v>2</v>
      </c>
      <c r="AF313">
        <v>1</v>
      </c>
      <c r="AH313">
        <v>1</v>
      </c>
      <c r="AX313" t="s">
        <v>529</v>
      </c>
      <c r="AZ313">
        <v>0.5</v>
      </c>
      <c r="BD313">
        <v>1</v>
      </c>
      <c r="BE313">
        <v>1</v>
      </c>
      <c r="BF313">
        <v>0.02</v>
      </c>
      <c r="BI313">
        <v>1</v>
      </c>
      <c r="BJ313">
        <v>0.9</v>
      </c>
      <c r="BK313">
        <v>1.25</v>
      </c>
      <c r="BL313">
        <v>1</v>
      </c>
      <c r="BS313">
        <v>0.1</v>
      </c>
      <c r="BV313"/>
      <c r="CN313" t="s">
        <v>1237</v>
      </c>
      <c r="CR313">
        <v>0.1</v>
      </c>
      <c r="CS313">
        <v>0.15</v>
      </c>
      <c r="CY313" t="s">
        <v>1238</v>
      </c>
    </row>
    <row r="314" spans="1:112" x14ac:dyDescent="0.25">
      <c r="A314" t="s">
        <v>1239</v>
      </c>
      <c r="C314" t="s">
        <v>533</v>
      </c>
      <c r="I314">
        <v>1</v>
      </c>
      <c r="Q314" t="s">
        <v>1240</v>
      </c>
      <c r="R314"/>
      <c r="AC314">
        <v>2</v>
      </c>
      <c r="AD314">
        <v>1</v>
      </c>
      <c r="AH314">
        <v>1</v>
      </c>
      <c r="AV314">
        <v>20</v>
      </c>
      <c r="AX314" t="s">
        <v>529</v>
      </c>
      <c r="AZ314">
        <v>1.85</v>
      </c>
      <c r="BD314">
        <v>99</v>
      </c>
      <c r="BI314">
        <v>1</v>
      </c>
      <c r="BJ314">
        <v>1.1000000000000001</v>
      </c>
      <c r="BK314">
        <v>1</v>
      </c>
      <c r="BL314">
        <v>1</v>
      </c>
      <c r="BS314">
        <v>0.01</v>
      </c>
      <c r="BV314"/>
      <c r="CL314" s="8"/>
      <c r="CM314" t="s">
        <v>1240</v>
      </c>
      <c r="CN314" t="s">
        <v>991</v>
      </c>
      <c r="CR314">
        <v>1</v>
      </c>
      <c r="CY314" t="s">
        <v>686</v>
      </c>
    </row>
    <row r="315" spans="1:112" x14ac:dyDescent="0.25">
      <c r="A315" t="s">
        <v>1241</v>
      </c>
      <c r="C315" s="41" t="s">
        <v>1639</v>
      </c>
      <c r="I315">
        <v>1</v>
      </c>
      <c r="K315" s="8" t="s">
        <v>538</v>
      </c>
      <c r="L315" s="8" t="s">
        <v>733</v>
      </c>
      <c r="AC315">
        <v>1</v>
      </c>
      <c r="AT315" s="41" t="s">
        <v>1651</v>
      </c>
      <c r="BD315">
        <v>1</v>
      </c>
      <c r="BV315"/>
      <c r="CL315" s="8"/>
      <c r="CU315" s="41" t="s">
        <v>1641</v>
      </c>
    </row>
    <row r="316" spans="1:112" x14ac:dyDescent="0.25">
      <c r="A316" t="s">
        <v>1242</v>
      </c>
      <c r="C316" t="s">
        <v>533</v>
      </c>
      <c r="I316">
        <v>1</v>
      </c>
      <c r="J316" s="8"/>
      <c r="M316"/>
      <c r="N316"/>
      <c r="T316"/>
      <c r="Y316" s="8"/>
      <c r="Z316" s="8"/>
      <c r="AA316" s="8"/>
      <c r="AB316" s="8"/>
      <c r="AC316" s="8">
        <v>2</v>
      </c>
      <c r="AD316" s="8">
        <v>1</v>
      </c>
      <c r="AE316" s="8"/>
      <c r="AF316" s="8"/>
      <c r="AG316" s="8"/>
      <c r="AH316" s="8"/>
      <c r="AI316" s="8"/>
      <c r="AJ316" s="8"/>
      <c r="AW316">
        <v>1</v>
      </c>
      <c r="BD316">
        <v>99</v>
      </c>
      <c r="BS316">
        <v>0.1</v>
      </c>
      <c r="BV316"/>
      <c r="BW316"/>
      <c r="BX316"/>
      <c r="BY316"/>
      <c r="BZ316"/>
      <c r="CA316"/>
      <c r="CN316" t="s">
        <v>275</v>
      </c>
      <c r="CR316">
        <v>0.2</v>
      </c>
      <c r="CZ316" s="9"/>
      <c r="DA316" s="9"/>
      <c r="DB316" s="9"/>
      <c r="DC316" s="9"/>
      <c r="DD316" s="9"/>
      <c r="DE316" s="9"/>
    </row>
    <row r="317" spans="1:112" x14ac:dyDescent="0.25">
      <c r="A317" t="s">
        <v>276</v>
      </c>
      <c r="C317" t="s">
        <v>533</v>
      </c>
      <c r="I317">
        <v>1</v>
      </c>
      <c r="J317" s="8"/>
      <c r="M317"/>
      <c r="N317"/>
      <c r="R317" t="s">
        <v>1243</v>
      </c>
      <c r="T317"/>
      <c r="Y317" s="8"/>
      <c r="Z317" s="8"/>
      <c r="AA317" s="8"/>
      <c r="AB317" s="8"/>
      <c r="AC317" s="8">
        <v>1</v>
      </c>
      <c r="AD317" s="8">
        <v>1</v>
      </c>
      <c r="AE317" s="8"/>
      <c r="AF317" s="8"/>
      <c r="AG317" s="8"/>
      <c r="AH317" s="8"/>
      <c r="AI317" s="8"/>
      <c r="AJ317" s="8" t="s">
        <v>16</v>
      </c>
      <c r="AT317" t="s">
        <v>1244</v>
      </c>
      <c r="BD317">
        <v>1</v>
      </c>
      <c r="BS317">
        <v>0.1</v>
      </c>
      <c r="BV317"/>
      <c r="BW317"/>
      <c r="BX317"/>
      <c r="BY317"/>
      <c r="BZ317"/>
      <c r="CA317"/>
      <c r="CN317" t="s">
        <v>1243</v>
      </c>
      <c r="CR317">
        <v>0.2</v>
      </c>
      <c r="CZ317" s="9"/>
      <c r="DA317" s="9"/>
      <c r="DB317" s="9"/>
      <c r="DC317" s="9"/>
      <c r="DD317" s="9"/>
      <c r="DE317" s="9"/>
    </row>
    <row r="318" spans="1:112" x14ac:dyDescent="0.25">
      <c r="A318" t="s">
        <v>277</v>
      </c>
      <c r="C318" t="s">
        <v>533</v>
      </c>
      <c r="J318" t="s">
        <v>557</v>
      </c>
      <c r="K318" s="11" t="s">
        <v>542</v>
      </c>
      <c r="L318" s="11"/>
      <c r="M318"/>
      <c r="N318"/>
      <c r="O318" s="11"/>
      <c r="P318" s="11"/>
      <c r="Q318" t="s">
        <v>275</v>
      </c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>
        <v>2</v>
      </c>
      <c r="AO318" t="s">
        <v>911</v>
      </c>
      <c r="AV318">
        <v>20</v>
      </c>
      <c r="AX318" t="s">
        <v>563</v>
      </c>
      <c r="AZ318">
        <v>1</v>
      </c>
      <c r="BD318">
        <v>1</v>
      </c>
      <c r="BO318" t="s">
        <v>1245</v>
      </c>
      <c r="BT318">
        <v>0.1</v>
      </c>
      <c r="BV318" s="14">
        <v>0</v>
      </c>
      <c r="BW318" s="14">
        <v>5</v>
      </c>
      <c r="BX318" s="14">
        <v>1</v>
      </c>
      <c r="BY318" s="9" t="s">
        <v>542</v>
      </c>
      <c r="BZ318" s="14"/>
      <c r="CB318" t="s">
        <v>69</v>
      </c>
      <c r="CC318" s="11"/>
      <c r="CD318" s="11"/>
      <c r="CE318" s="11"/>
      <c r="CF318" s="11"/>
      <c r="CG318" t="s">
        <v>530</v>
      </c>
      <c r="CH318" t="s">
        <v>275</v>
      </c>
      <c r="CI318" t="s">
        <v>762</v>
      </c>
      <c r="CK318" s="11"/>
      <c r="CL318" s="11"/>
      <c r="CN318" t="s">
        <v>1246</v>
      </c>
      <c r="CO318">
        <v>-0.8</v>
      </c>
      <c r="CY318" t="s">
        <v>899</v>
      </c>
    </row>
    <row r="319" spans="1:112" x14ac:dyDescent="0.25">
      <c r="A319" t="s">
        <v>1245</v>
      </c>
      <c r="C319" t="s">
        <v>1192</v>
      </c>
      <c r="K319" s="8" t="s">
        <v>538</v>
      </c>
      <c r="L319" s="8" t="s">
        <v>581</v>
      </c>
      <c r="AC319">
        <v>1</v>
      </c>
      <c r="AG319" t="s">
        <v>534</v>
      </c>
      <c r="AW319" s="21"/>
      <c r="AY319" s="8"/>
      <c r="BD319">
        <v>1</v>
      </c>
      <c r="BO319" s="22"/>
      <c r="BP319" s="22"/>
      <c r="BV319"/>
      <c r="BW319"/>
      <c r="BX319"/>
      <c r="BY319"/>
      <c r="BZ319"/>
      <c r="CA319"/>
      <c r="CB319" s="8"/>
      <c r="CC319" s="8"/>
      <c r="CD319" s="8"/>
      <c r="CE319" s="8"/>
      <c r="CF319" s="8"/>
      <c r="CH319" s="8"/>
      <c r="CI319" s="8"/>
      <c r="CJ319" s="8"/>
      <c r="CK319" s="8"/>
      <c r="CL319" s="8"/>
      <c r="CM319" s="8"/>
      <c r="CN319" s="15"/>
      <c r="CU319" t="s">
        <v>1247</v>
      </c>
      <c r="DD319">
        <v>1</v>
      </c>
    </row>
    <row r="320" spans="1:112" x14ac:dyDescent="0.25">
      <c r="AW320" s="21"/>
      <c r="AY320" s="8"/>
      <c r="BO320" s="22"/>
      <c r="BP320" s="22"/>
      <c r="BV320"/>
      <c r="BW320"/>
      <c r="BX320"/>
      <c r="BY320"/>
      <c r="BZ320"/>
      <c r="CA320"/>
      <c r="CB320" s="8"/>
      <c r="CC320" s="8"/>
      <c r="CD320" s="8"/>
      <c r="CE320" s="8"/>
      <c r="CF320" s="8"/>
      <c r="CH320" s="8"/>
      <c r="CI320" s="8"/>
      <c r="CJ320" s="8"/>
      <c r="CK320" s="8"/>
      <c r="CL320" s="8"/>
      <c r="CM320" s="8"/>
      <c r="CN320" s="15"/>
    </row>
    <row r="321" spans="1:112" x14ac:dyDescent="0.25">
      <c r="A321" t="s">
        <v>1248</v>
      </c>
      <c r="C321" t="s">
        <v>533</v>
      </c>
      <c r="D321" t="s">
        <v>1249</v>
      </c>
      <c r="E321" t="s">
        <v>1250</v>
      </c>
      <c r="F321" t="s">
        <v>1251</v>
      </c>
      <c r="G321">
        <v>3</v>
      </c>
      <c r="J321" t="s">
        <v>557</v>
      </c>
      <c r="K321" s="8" t="s">
        <v>542</v>
      </c>
      <c r="M321"/>
      <c r="N321"/>
      <c r="Y321" s="8"/>
      <c r="Z321" s="8"/>
      <c r="AA321" s="8"/>
      <c r="AB321" s="8"/>
      <c r="AC321">
        <v>2</v>
      </c>
      <c r="AO321" t="s">
        <v>527</v>
      </c>
      <c r="AP321" t="s">
        <v>635</v>
      </c>
      <c r="AT321" t="s">
        <v>1187</v>
      </c>
      <c r="AX321" t="s">
        <v>529</v>
      </c>
      <c r="AZ321">
        <v>1</v>
      </c>
      <c r="BD321">
        <v>1</v>
      </c>
      <c r="BJ321">
        <v>1.1000000000000001</v>
      </c>
      <c r="BK321">
        <v>1.25</v>
      </c>
      <c r="BL321">
        <v>1</v>
      </c>
      <c r="BO321" t="s">
        <v>1252</v>
      </c>
      <c r="BP321" t="s">
        <v>1229</v>
      </c>
      <c r="BT321">
        <v>0.3</v>
      </c>
      <c r="BV321" s="9">
        <v>0</v>
      </c>
      <c r="BW321" s="9">
        <v>2</v>
      </c>
      <c r="BX321" s="9">
        <v>1</v>
      </c>
      <c r="BY321" s="9" t="s">
        <v>696</v>
      </c>
      <c r="CB321" t="s">
        <v>620</v>
      </c>
      <c r="CG321" t="s">
        <v>530</v>
      </c>
      <c r="CH321" t="s">
        <v>1231</v>
      </c>
      <c r="CI321" t="s">
        <v>762</v>
      </c>
      <c r="CN321" t="s">
        <v>1253</v>
      </c>
      <c r="CR321">
        <v>1.5</v>
      </c>
      <c r="CX321" t="s">
        <v>1144</v>
      </c>
      <c r="CY321" t="s">
        <v>916</v>
      </c>
    </row>
    <row r="322" spans="1:112" x14ac:dyDescent="0.25">
      <c r="A322" t="s">
        <v>1252</v>
      </c>
      <c r="C322" t="s">
        <v>533</v>
      </c>
      <c r="E322" t="s">
        <v>1234</v>
      </c>
      <c r="I322">
        <v>1</v>
      </c>
      <c r="K322" s="8" t="s">
        <v>538</v>
      </c>
      <c r="L322" s="8" t="s">
        <v>1236</v>
      </c>
      <c r="M322"/>
      <c r="N322"/>
      <c r="Q322" t="s">
        <v>1254</v>
      </c>
      <c r="Y322" s="8"/>
      <c r="Z322" s="8"/>
      <c r="AA322" s="8"/>
      <c r="AB322" s="8"/>
      <c r="AC322">
        <v>2</v>
      </c>
      <c r="AF322">
        <v>1</v>
      </c>
      <c r="AH322">
        <v>1</v>
      </c>
      <c r="AX322" t="s">
        <v>529</v>
      </c>
      <c r="AZ322">
        <v>1.2</v>
      </c>
      <c r="BD322">
        <v>1</v>
      </c>
      <c r="BE322">
        <v>3</v>
      </c>
      <c r="BF322">
        <v>0.02</v>
      </c>
      <c r="BI322">
        <v>1</v>
      </c>
      <c r="BJ322">
        <v>1.1000000000000001</v>
      </c>
      <c r="BK322">
        <v>1.25</v>
      </c>
      <c r="BL322">
        <v>1</v>
      </c>
      <c r="BS322">
        <v>0.1</v>
      </c>
      <c r="BV322"/>
      <c r="CN322" t="s">
        <v>1237</v>
      </c>
      <c r="CR322">
        <v>0.1</v>
      </c>
      <c r="CS322">
        <v>0.15</v>
      </c>
      <c r="CY322" t="s">
        <v>791</v>
      </c>
    </row>
    <row r="323" spans="1:112" x14ac:dyDescent="0.25">
      <c r="AW323" s="21"/>
      <c r="AY323" s="8"/>
      <c r="BO323" s="22"/>
      <c r="BP323" s="22"/>
      <c r="BV323"/>
      <c r="BW323"/>
      <c r="BX323"/>
      <c r="BY323"/>
      <c r="BZ323"/>
      <c r="CA323"/>
      <c r="CB323" s="8"/>
      <c r="CC323" s="8"/>
      <c r="CD323" s="8"/>
      <c r="CE323" s="8"/>
      <c r="CF323" s="8"/>
      <c r="CH323" s="8"/>
      <c r="CI323" s="8"/>
      <c r="CJ323" s="8"/>
      <c r="CK323" s="8"/>
      <c r="CL323" s="8"/>
      <c r="CM323" s="8"/>
      <c r="CN323" s="15"/>
    </row>
    <row r="324" spans="1:112" x14ac:dyDescent="0.25">
      <c r="A324" t="s">
        <v>1255</v>
      </c>
      <c r="C324" t="s">
        <v>533</v>
      </c>
      <c r="D324" t="s">
        <v>1256</v>
      </c>
      <c r="E324" t="s">
        <v>1257</v>
      </c>
      <c r="F324" t="s">
        <v>1258</v>
      </c>
      <c r="G324">
        <v>3</v>
      </c>
      <c r="J324" t="s">
        <v>557</v>
      </c>
      <c r="K324" s="8" t="s">
        <v>570</v>
      </c>
      <c r="M324"/>
      <c r="N324"/>
      <c r="Y324" s="8"/>
      <c r="Z324" s="8"/>
      <c r="AA324" s="8"/>
      <c r="AB324" s="8"/>
      <c r="AC324">
        <v>1</v>
      </c>
      <c r="AG324" t="s">
        <v>534</v>
      </c>
      <c r="BD324">
        <v>1</v>
      </c>
      <c r="BO324" t="s">
        <v>1259</v>
      </c>
      <c r="BP324" t="s">
        <v>1260</v>
      </c>
      <c r="BT324">
        <v>25</v>
      </c>
      <c r="BU324">
        <v>1</v>
      </c>
      <c r="BV324" s="9">
        <v>15</v>
      </c>
      <c r="BW324" s="9">
        <v>25</v>
      </c>
      <c r="BX324" s="9">
        <v>1</v>
      </c>
      <c r="BY324" s="9" t="s">
        <v>542</v>
      </c>
      <c r="CN324" t="s">
        <v>1261</v>
      </c>
      <c r="CO324" t="s">
        <v>1262</v>
      </c>
      <c r="CR324">
        <v>25</v>
      </c>
      <c r="CT324">
        <v>1</v>
      </c>
    </row>
    <row r="325" spans="1:112" x14ac:dyDescent="0.25">
      <c r="A325" t="s">
        <v>1263</v>
      </c>
      <c r="C325" t="s">
        <v>533</v>
      </c>
      <c r="K325" s="8" t="s">
        <v>538</v>
      </c>
      <c r="L325" s="8" t="s">
        <v>1089</v>
      </c>
      <c r="M325"/>
      <c r="N325"/>
      <c r="O325"/>
      <c r="Y325" s="8"/>
      <c r="Z325" s="8"/>
      <c r="AA325" s="8"/>
      <c r="AB325" s="8"/>
      <c r="AC325">
        <v>1</v>
      </c>
      <c r="AG325" t="s">
        <v>534</v>
      </c>
      <c r="BD325">
        <v>1</v>
      </c>
      <c r="BV325"/>
      <c r="CN325" t="s">
        <v>1263</v>
      </c>
      <c r="CR325">
        <v>12.5</v>
      </c>
    </row>
    <row r="326" spans="1:112" x14ac:dyDescent="0.25">
      <c r="A326" t="s">
        <v>1264</v>
      </c>
      <c r="C326" t="s">
        <v>533</v>
      </c>
      <c r="M326"/>
      <c r="N326"/>
      <c r="O326" t="s">
        <v>1263</v>
      </c>
      <c r="Y326" s="8"/>
      <c r="Z326" s="8"/>
      <c r="AA326" s="8"/>
      <c r="AB326" s="8"/>
      <c r="AC326">
        <v>2</v>
      </c>
      <c r="AO326" t="s">
        <v>527</v>
      </c>
      <c r="AP326" t="s">
        <v>635</v>
      </c>
      <c r="AT326" t="s">
        <v>1187</v>
      </c>
      <c r="AX326" t="s">
        <v>529</v>
      </c>
      <c r="AZ326">
        <v>1</v>
      </c>
      <c r="BD326">
        <v>3</v>
      </c>
      <c r="BJ326">
        <v>0.9</v>
      </c>
      <c r="BK326">
        <v>1.25</v>
      </c>
      <c r="BL326">
        <v>1</v>
      </c>
      <c r="BO326" t="s">
        <v>1265</v>
      </c>
      <c r="BP326" t="s">
        <v>1266</v>
      </c>
      <c r="BV326"/>
      <c r="CB326" t="s">
        <v>789</v>
      </c>
      <c r="CG326" t="s">
        <v>530</v>
      </c>
      <c r="CH326" t="s">
        <v>1255</v>
      </c>
      <c r="CI326" t="s">
        <v>762</v>
      </c>
      <c r="CN326" t="s">
        <v>1267</v>
      </c>
      <c r="CX326" t="s">
        <v>1268</v>
      </c>
      <c r="CY326" t="s">
        <v>1269</v>
      </c>
    </row>
    <row r="327" spans="1:112" x14ac:dyDescent="0.25">
      <c r="A327" t="s">
        <v>1266</v>
      </c>
      <c r="C327" t="s">
        <v>533</v>
      </c>
      <c r="E327" t="s">
        <v>1234</v>
      </c>
      <c r="I327">
        <v>1</v>
      </c>
      <c r="K327" s="8" t="s">
        <v>538</v>
      </c>
      <c r="M327"/>
      <c r="N327"/>
      <c r="Y327" s="8"/>
      <c r="Z327" s="8"/>
      <c r="AA327" s="8"/>
      <c r="AB327" s="8"/>
      <c r="AC327">
        <v>2</v>
      </c>
      <c r="AF327">
        <v>1</v>
      </c>
      <c r="AH327">
        <v>1</v>
      </c>
      <c r="AO327" t="s">
        <v>527</v>
      </c>
      <c r="AP327" t="s">
        <v>635</v>
      </c>
      <c r="AW327">
        <v>1</v>
      </c>
      <c r="BD327">
        <v>3</v>
      </c>
      <c r="BV327"/>
      <c r="CN327" t="s">
        <v>1235</v>
      </c>
    </row>
    <row r="328" spans="1:112" x14ac:dyDescent="0.25">
      <c r="A328" t="s">
        <v>1265</v>
      </c>
      <c r="C328" t="s">
        <v>533</v>
      </c>
      <c r="E328" t="s">
        <v>1234</v>
      </c>
      <c r="I328">
        <v>1</v>
      </c>
      <c r="K328" s="8" t="s">
        <v>538</v>
      </c>
      <c r="L328" s="8" t="s">
        <v>1236</v>
      </c>
      <c r="M328"/>
      <c r="N328"/>
      <c r="Q328" s="8" t="s">
        <v>1267</v>
      </c>
      <c r="Y328" s="8"/>
      <c r="Z328" s="8"/>
      <c r="AA328" s="8"/>
      <c r="AB328" s="8"/>
      <c r="AC328">
        <v>2</v>
      </c>
      <c r="AF328">
        <v>1</v>
      </c>
      <c r="AH328">
        <v>1</v>
      </c>
      <c r="AX328" t="s">
        <v>529</v>
      </c>
      <c r="AZ328">
        <v>0.5</v>
      </c>
      <c r="BD328">
        <v>3</v>
      </c>
      <c r="BE328">
        <v>1</v>
      </c>
      <c r="BF328">
        <v>0.01</v>
      </c>
      <c r="BI328">
        <v>1</v>
      </c>
      <c r="BJ328">
        <v>0.9</v>
      </c>
      <c r="BK328">
        <v>1.25</v>
      </c>
      <c r="BL328">
        <v>1</v>
      </c>
      <c r="BS328">
        <v>0.05</v>
      </c>
      <c r="BV328"/>
      <c r="CN328" t="s">
        <v>1237</v>
      </c>
      <c r="CR328">
        <v>0.1</v>
      </c>
      <c r="CS328">
        <v>0.15</v>
      </c>
      <c r="CY328" t="s">
        <v>1238</v>
      </c>
    </row>
    <row r="329" spans="1:112" x14ac:dyDescent="0.25">
      <c r="A329" t="s">
        <v>1270</v>
      </c>
      <c r="C329" t="s">
        <v>533</v>
      </c>
      <c r="E329" t="s">
        <v>1234</v>
      </c>
      <c r="M329"/>
      <c r="N329"/>
      <c r="O329" t="s">
        <v>1271</v>
      </c>
      <c r="Y329" s="8"/>
      <c r="Z329" s="8"/>
      <c r="AA329" s="8"/>
      <c r="AB329" s="8"/>
      <c r="AC329">
        <v>2</v>
      </c>
      <c r="AO329" t="s">
        <v>911</v>
      </c>
      <c r="AP329" t="s">
        <v>635</v>
      </c>
      <c r="AW329">
        <v>1</v>
      </c>
      <c r="BD329">
        <v>1</v>
      </c>
      <c r="BE329">
        <v>3</v>
      </c>
      <c r="BF329">
        <v>0.1</v>
      </c>
      <c r="BG329">
        <v>1</v>
      </c>
      <c r="BO329" t="s">
        <v>1272</v>
      </c>
      <c r="BV329"/>
      <c r="CB329" t="s">
        <v>1273</v>
      </c>
      <c r="CG329" t="s">
        <v>530</v>
      </c>
      <c r="CH329" t="s">
        <v>1255</v>
      </c>
      <c r="CI329" t="s">
        <v>762</v>
      </c>
      <c r="CN329" t="s">
        <v>1274</v>
      </c>
    </row>
    <row r="330" spans="1:112" x14ac:dyDescent="0.25">
      <c r="A330" t="s">
        <v>1272</v>
      </c>
      <c r="C330" t="s">
        <v>533</v>
      </c>
      <c r="I330">
        <v>1</v>
      </c>
      <c r="M330"/>
      <c r="N330"/>
      <c r="O330" t="s">
        <v>1271</v>
      </c>
      <c r="Q330" t="s">
        <v>1275</v>
      </c>
      <c r="Y330" s="8"/>
      <c r="Z330" s="8"/>
      <c r="AA330" s="8"/>
      <c r="AB330" s="8"/>
      <c r="AC330">
        <v>2</v>
      </c>
      <c r="AF330">
        <v>1</v>
      </c>
      <c r="AH330">
        <v>1</v>
      </c>
      <c r="AO330" t="s">
        <v>527</v>
      </c>
      <c r="AP330" t="s">
        <v>635</v>
      </c>
      <c r="AW330">
        <v>1</v>
      </c>
      <c r="AX330" t="s">
        <v>529</v>
      </c>
      <c r="AZ330">
        <v>1</v>
      </c>
      <c r="BD330">
        <v>1</v>
      </c>
      <c r="BJ330">
        <v>0.9</v>
      </c>
      <c r="BK330">
        <v>1.25</v>
      </c>
      <c r="BL330">
        <v>1</v>
      </c>
      <c r="BO330" t="s">
        <v>1276</v>
      </c>
      <c r="BS330">
        <v>0.1</v>
      </c>
      <c r="BV330"/>
      <c r="CM330" t="s">
        <v>1275</v>
      </c>
      <c r="CN330" t="s">
        <v>1277</v>
      </c>
      <c r="CX330" t="s">
        <v>1268</v>
      </c>
      <c r="CY330" t="s">
        <v>1269</v>
      </c>
    </row>
    <row r="331" spans="1:112" x14ac:dyDescent="0.25">
      <c r="A331" t="s">
        <v>1276</v>
      </c>
      <c r="C331" t="s">
        <v>533</v>
      </c>
      <c r="E331" t="s">
        <v>1234</v>
      </c>
      <c r="I331">
        <v>1</v>
      </c>
      <c r="K331" s="8" t="s">
        <v>538</v>
      </c>
      <c r="L331" s="8" t="s">
        <v>1236</v>
      </c>
      <c r="M331"/>
      <c r="N331"/>
      <c r="Q331" t="s">
        <v>1277</v>
      </c>
      <c r="Y331" s="8"/>
      <c r="Z331" s="8"/>
      <c r="AA331" s="8"/>
      <c r="AB331" s="8"/>
      <c r="AC331">
        <v>2</v>
      </c>
      <c r="AF331">
        <v>1</v>
      </c>
      <c r="AH331">
        <v>1</v>
      </c>
      <c r="AX331" t="s">
        <v>529</v>
      </c>
      <c r="AZ331">
        <v>0.5</v>
      </c>
      <c r="BD331">
        <v>1</v>
      </c>
      <c r="BE331">
        <v>1</v>
      </c>
      <c r="BF331">
        <v>0.02</v>
      </c>
      <c r="BI331">
        <v>1</v>
      </c>
      <c r="BJ331">
        <v>0.9</v>
      </c>
      <c r="BK331">
        <v>1.25</v>
      </c>
      <c r="BL331">
        <v>1</v>
      </c>
      <c r="BS331">
        <v>0.05</v>
      </c>
      <c r="BV331"/>
      <c r="CN331" t="s">
        <v>1237</v>
      </c>
      <c r="CR331">
        <v>0.1</v>
      </c>
      <c r="CS331">
        <v>0.15</v>
      </c>
      <c r="CY331" t="s">
        <v>1238</v>
      </c>
    </row>
    <row r="332" spans="1:112" x14ac:dyDescent="0.25">
      <c r="A332" t="s">
        <v>1260</v>
      </c>
      <c r="C332" t="s">
        <v>533</v>
      </c>
      <c r="E332" s="18"/>
      <c r="I332">
        <v>1</v>
      </c>
      <c r="K332" s="8" t="s">
        <v>538</v>
      </c>
      <c r="M332"/>
      <c r="N332"/>
      <c r="Y332" s="8"/>
      <c r="Z332" s="8"/>
      <c r="AA332" s="8"/>
      <c r="AB332" s="8"/>
      <c r="AC332">
        <v>1</v>
      </c>
      <c r="AG332" t="s">
        <v>534</v>
      </c>
      <c r="BD332">
        <v>1</v>
      </c>
      <c r="BS332">
        <v>0.33300000000000002</v>
      </c>
      <c r="CB332" t="s">
        <v>711</v>
      </c>
      <c r="CG332" t="s">
        <v>530</v>
      </c>
      <c r="DD332">
        <v>1</v>
      </c>
      <c r="DG332">
        <v>1</v>
      </c>
      <c r="DH332">
        <v>1</v>
      </c>
    </row>
    <row r="333" spans="1:112" x14ac:dyDescent="0.25">
      <c r="A333" t="s">
        <v>1278</v>
      </c>
      <c r="C333" t="s">
        <v>533</v>
      </c>
      <c r="E333" s="18"/>
      <c r="I333">
        <v>1</v>
      </c>
      <c r="M333"/>
      <c r="N333"/>
      <c r="O333" t="s">
        <v>1279</v>
      </c>
      <c r="P333" t="s">
        <v>1280</v>
      </c>
      <c r="R333"/>
      <c r="Y333" s="8"/>
      <c r="Z333" s="8"/>
      <c r="AA333" s="8"/>
      <c r="AB333" s="8"/>
      <c r="AC333">
        <v>1</v>
      </c>
      <c r="AG333" t="s">
        <v>534</v>
      </c>
      <c r="BD333">
        <v>1</v>
      </c>
      <c r="BO333" t="s">
        <v>1281</v>
      </c>
      <c r="BS333">
        <v>0.16700000000000001</v>
      </c>
      <c r="CB333" t="s">
        <v>1282</v>
      </c>
      <c r="CG333" t="s">
        <v>530</v>
      </c>
      <c r="CN333" t="s">
        <v>1271</v>
      </c>
      <c r="CR333">
        <v>12.5</v>
      </c>
      <c r="CT333">
        <v>1</v>
      </c>
      <c r="DD333">
        <v>1</v>
      </c>
      <c r="DG333">
        <v>1</v>
      </c>
      <c r="DH333">
        <v>1</v>
      </c>
    </row>
    <row r="334" spans="1:112" x14ac:dyDescent="0.25">
      <c r="A334" t="s">
        <v>1283</v>
      </c>
      <c r="C334" t="s">
        <v>533</v>
      </c>
      <c r="E334" s="18"/>
      <c r="I334">
        <v>1</v>
      </c>
      <c r="K334" s="8" t="s">
        <v>538</v>
      </c>
      <c r="L334" s="8" t="s">
        <v>581</v>
      </c>
      <c r="M334"/>
      <c r="N334"/>
      <c r="P334" t="s">
        <v>1271</v>
      </c>
      <c r="S334"/>
      <c r="U334"/>
      <c r="Y334" s="8"/>
      <c r="Z334" s="8"/>
      <c r="AA334" s="8"/>
      <c r="AB334" s="8"/>
      <c r="AC334">
        <v>1</v>
      </c>
      <c r="AG334" t="s">
        <v>534</v>
      </c>
      <c r="BD334">
        <v>1</v>
      </c>
      <c r="BS334">
        <v>0.1</v>
      </c>
      <c r="CB334" t="s">
        <v>794</v>
      </c>
      <c r="CG334" t="s">
        <v>530</v>
      </c>
      <c r="DD334">
        <v>1</v>
      </c>
      <c r="DG334">
        <v>1</v>
      </c>
      <c r="DH334">
        <v>1</v>
      </c>
    </row>
    <row r="335" spans="1:112" x14ac:dyDescent="0.25">
      <c r="A335" t="s">
        <v>1284</v>
      </c>
      <c r="C335" t="s">
        <v>533</v>
      </c>
      <c r="E335" s="18"/>
      <c r="I335">
        <v>1</v>
      </c>
      <c r="K335" s="8" t="s">
        <v>538</v>
      </c>
      <c r="L335" s="8" t="s">
        <v>581</v>
      </c>
      <c r="M335"/>
      <c r="N335"/>
      <c r="O335" t="s">
        <v>1271</v>
      </c>
      <c r="R335"/>
      <c r="Y335" s="8"/>
      <c r="Z335" s="8"/>
      <c r="AA335" s="8"/>
      <c r="AB335" s="8"/>
      <c r="AC335">
        <v>1</v>
      </c>
      <c r="AG335" t="s">
        <v>534</v>
      </c>
      <c r="BD335">
        <v>1</v>
      </c>
      <c r="BS335">
        <v>0.5</v>
      </c>
      <c r="CB335" t="s">
        <v>1285</v>
      </c>
      <c r="CG335" t="s">
        <v>530</v>
      </c>
      <c r="CM335" t="s">
        <v>1271</v>
      </c>
      <c r="DD335">
        <v>1</v>
      </c>
      <c r="DG335">
        <v>1</v>
      </c>
      <c r="DH335">
        <v>1</v>
      </c>
    </row>
    <row r="336" spans="1:112" x14ac:dyDescent="0.25">
      <c r="AW336" s="21"/>
      <c r="AY336" s="8"/>
      <c r="BO336" s="22"/>
      <c r="BP336" s="22"/>
      <c r="BV336"/>
      <c r="BW336"/>
      <c r="BX336"/>
      <c r="BY336"/>
      <c r="BZ336"/>
      <c r="CA336"/>
      <c r="CB336" s="8"/>
      <c r="CC336" s="8"/>
      <c r="CD336" s="8"/>
      <c r="CE336" s="8"/>
      <c r="CF336" s="8"/>
      <c r="CH336" s="8"/>
      <c r="CI336" s="8"/>
      <c r="CJ336" s="8"/>
      <c r="CK336" s="8"/>
      <c r="CL336" s="8"/>
      <c r="CM336" s="8"/>
      <c r="CN336" s="15"/>
    </row>
    <row r="337" spans="1:112" x14ac:dyDescent="0.25">
      <c r="A337" t="s">
        <v>1286</v>
      </c>
      <c r="C337" t="s">
        <v>533</v>
      </c>
      <c r="D337" t="s">
        <v>1287</v>
      </c>
      <c r="E337" t="s">
        <v>1288</v>
      </c>
      <c r="F337" t="s">
        <v>1289</v>
      </c>
      <c r="G337">
        <v>3</v>
      </c>
      <c r="J337" t="s">
        <v>557</v>
      </c>
      <c r="K337" s="11" t="s">
        <v>570</v>
      </c>
      <c r="L337" s="11"/>
      <c r="M337"/>
      <c r="N337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>
        <v>1</v>
      </c>
      <c r="AG337" t="s">
        <v>534</v>
      </c>
      <c r="BD337">
        <v>1</v>
      </c>
      <c r="BO337" t="s">
        <v>1290</v>
      </c>
      <c r="BP337" t="s">
        <v>1291</v>
      </c>
      <c r="BT337">
        <v>6</v>
      </c>
      <c r="BU337">
        <v>1</v>
      </c>
      <c r="BV337" s="14">
        <v>40</v>
      </c>
      <c r="BW337" s="14">
        <v>50</v>
      </c>
      <c r="BX337" s="14">
        <v>1</v>
      </c>
      <c r="BY337" s="9" t="s">
        <v>542</v>
      </c>
      <c r="BZ337" s="14"/>
      <c r="CA337" s="9" t="s">
        <v>743</v>
      </c>
      <c r="CC337" s="11"/>
      <c r="CD337" s="11"/>
      <c r="CE337" s="11"/>
      <c r="CF337" s="11"/>
      <c r="CH337" s="11"/>
      <c r="CI337" s="11"/>
      <c r="CK337" s="11"/>
      <c r="CL337" s="11"/>
      <c r="CN337" t="s">
        <v>1292</v>
      </c>
      <c r="CO337" s="39" t="s">
        <v>1293</v>
      </c>
      <c r="CR337">
        <v>99999</v>
      </c>
    </row>
    <row r="338" spans="1:112" x14ac:dyDescent="0.25">
      <c r="A338" t="s">
        <v>1294</v>
      </c>
      <c r="C338" s="41" t="s">
        <v>1639</v>
      </c>
      <c r="I338">
        <v>1</v>
      </c>
      <c r="K338" s="8" t="s">
        <v>538</v>
      </c>
      <c r="L338" s="8" t="s">
        <v>1089</v>
      </c>
      <c r="AC338">
        <v>1</v>
      </c>
      <c r="AT338" s="41" t="s">
        <v>1651</v>
      </c>
      <c r="BD338">
        <v>1</v>
      </c>
      <c r="BV338"/>
      <c r="CL338" s="8"/>
      <c r="CU338" s="41" t="s">
        <v>1642</v>
      </c>
    </row>
    <row r="339" spans="1:112" x14ac:dyDescent="0.25">
      <c r="A339" t="s">
        <v>1295</v>
      </c>
      <c r="C339" t="s">
        <v>1192</v>
      </c>
      <c r="I339">
        <v>1</v>
      </c>
      <c r="K339" s="8" t="s">
        <v>538</v>
      </c>
      <c r="L339" s="8" t="s">
        <v>1296</v>
      </c>
      <c r="M339"/>
      <c r="N339"/>
      <c r="O339" t="s">
        <v>1297</v>
      </c>
      <c r="P339" t="s">
        <v>1298</v>
      </c>
      <c r="Y339" s="8"/>
      <c r="Z339" s="8"/>
      <c r="AA339" s="8"/>
      <c r="AB339" s="8"/>
      <c r="AC339">
        <v>1</v>
      </c>
      <c r="AF339">
        <v>1</v>
      </c>
      <c r="AJ339" t="s">
        <v>275</v>
      </c>
      <c r="AV339">
        <v>20</v>
      </c>
      <c r="BD339">
        <v>1</v>
      </c>
      <c r="BP339" t="s">
        <v>1299</v>
      </c>
      <c r="CA339" s="14"/>
      <c r="CN339" s="8"/>
      <c r="CU339" t="s">
        <v>1300</v>
      </c>
    </row>
    <row r="340" spans="1:112" x14ac:dyDescent="0.25">
      <c r="A340" t="s">
        <v>1299</v>
      </c>
      <c r="C340" t="s">
        <v>533</v>
      </c>
      <c r="I340">
        <v>1</v>
      </c>
      <c r="K340" s="8" t="s">
        <v>538</v>
      </c>
      <c r="M340"/>
      <c r="N340"/>
      <c r="O340"/>
      <c r="P340"/>
      <c r="Y340" s="8"/>
      <c r="Z340" s="8"/>
      <c r="AA340" s="8"/>
      <c r="AB340" s="8"/>
      <c r="AC340">
        <v>1</v>
      </c>
      <c r="AG340" t="s">
        <v>534</v>
      </c>
      <c r="BD340">
        <v>1</v>
      </c>
      <c r="CA340" s="14"/>
      <c r="CN340" t="s">
        <v>1298</v>
      </c>
      <c r="CR340">
        <v>9999</v>
      </c>
    </row>
    <row r="341" spans="1:112" x14ac:dyDescent="0.25">
      <c r="A341" t="s">
        <v>1301</v>
      </c>
      <c r="C341" t="s">
        <v>533</v>
      </c>
      <c r="M341"/>
      <c r="N341"/>
      <c r="O341" t="s">
        <v>1297</v>
      </c>
      <c r="P341"/>
      <c r="Y341" s="8"/>
      <c r="Z341" s="8"/>
      <c r="AA341" s="8"/>
      <c r="AB341" s="8"/>
      <c r="AC341">
        <v>2</v>
      </c>
      <c r="AD341">
        <v>1</v>
      </c>
      <c r="AO341" t="s">
        <v>527</v>
      </c>
      <c r="AP341" t="s">
        <v>635</v>
      </c>
      <c r="AT341" t="s">
        <v>1187</v>
      </c>
      <c r="AX341" t="s">
        <v>529</v>
      </c>
      <c r="AZ341">
        <v>2.2000000000000002</v>
      </c>
      <c r="BD341">
        <v>1</v>
      </c>
      <c r="BJ341">
        <v>2.5</v>
      </c>
      <c r="BK341">
        <v>1.25</v>
      </c>
      <c r="BL341">
        <v>1</v>
      </c>
      <c r="BP341" t="s">
        <v>1229</v>
      </c>
      <c r="CA341" s="14" t="s">
        <v>696</v>
      </c>
      <c r="CB341" t="s">
        <v>651</v>
      </c>
      <c r="CG341" t="s">
        <v>530</v>
      </c>
      <c r="CH341" t="s">
        <v>1231</v>
      </c>
      <c r="CI341" t="s">
        <v>762</v>
      </c>
      <c r="CN341" s="8" t="s">
        <v>1302</v>
      </c>
      <c r="CW341" t="s">
        <v>1303</v>
      </c>
      <c r="CX341" t="s">
        <v>1268</v>
      </c>
      <c r="CY341" t="s">
        <v>1304</v>
      </c>
    </row>
    <row r="342" spans="1:112" x14ac:dyDescent="0.25">
      <c r="A342" t="s">
        <v>1305</v>
      </c>
      <c r="C342" t="s">
        <v>533</v>
      </c>
      <c r="E342" t="s">
        <v>1234</v>
      </c>
      <c r="I342">
        <v>1</v>
      </c>
      <c r="K342" s="8" t="s">
        <v>538</v>
      </c>
      <c r="L342" s="8" t="s">
        <v>1236</v>
      </c>
      <c r="M342"/>
      <c r="N342"/>
      <c r="O342"/>
      <c r="P342"/>
      <c r="Q342" s="8" t="s">
        <v>1302</v>
      </c>
      <c r="Y342" s="8"/>
      <c r="Z342" s="8"/>
      <c r="AA342" s="8"/>
      <c r="AB342" s="8"/>
      <c r="AC342">
        <v>2</v>
      </c>
      <c r="AD342">
        <v>1</v>
      </c>
      <c r="AF342">
        <v>1</v>
      </c>
      <c r="AH342">
        <v>1</v>
      </c>
      <c r="AX342" t="s">
        <v>529</v>
      </c>
      <c r="AZ342">
        <v>1.1000000000000001</v>
      </c>
      <c r="BD342">
        <v>1</v>
      </c>
      <c r="BE342">
        <v>1</v>
      </c>
      <c r="BF342">
        <v>0.02</v>
      </c>
      <c r="BI342">
        <v>1</v>
      </c>
      <c r="BJ342">
        <v>2.5</v>
      </c>
      <c r="BK342">
        <v>1.25</v>
      </c>
      <c r="BL342">
        <v>1</v>
      </c>
      <c r="BS342">
        <v>0.1</v>
      </c>
      <c r="CM342" s="8"/>
      <c r="CN342" t="s">
        <v>1237</v>
      </c>
      <c r="CR342">
        <v>0.1</v>
      </c>
      <c r="CY342" t="s">
        <v>750</v>
      </c>
    </row>
    <row r="343" spans="1:112" x14ac:dyDescent="0.25">
      <c r="A343" t="s">
        <v>1291</v>
      </c>
      <c r="C343" t="s">
        <v>533</v>
      </c>
      <c r="E343" s="18"/>
      <c r="I343">
        <v>1</v>
      </c>
      <c r="K343" s="8" t="s">
        <v>538</v>
      </c>
      <c r="M343"/>
      <c r="N343"/>
      <c r="Y343" s="8"/>
      <c r="Z343" s="8"/>
      <c r="AA343" s="8"/>
      <c r="AB343" s="8"/>
      <c r="AC343">
        <v>1</v>
      </c>
      <c r="AG343" t="s">
        <v>534</v>
      </c>
      <c r="BD343">
        <v>1</v>
      </c>
      <c r="BS343">
        <v>0.83299999999999996</v>
      </c>
      <c r="CB343" t="s">
        <v>598</v>
      </c>
      <c r="CG343" t="s">
        <v>530</v>
      </c>
      <c r="DD343">
        <v>1</v>
      </c>
      <c r="DF343">
        <v>1</v>
      </c>
      <c r="DG343">
        <v>1</v>
      </c>
      <c r="DH343">
        <v>1</v>
      </c>
    </row>
    <row r="344" spans="1:112" x14ac:dyDescent="0.25">
      <c r="A344" t="s">
        <v>1306</v>
      </c>
      <c r="C344" t="s">
        <v>533</v>
      </c>
      <c r="E344" s="18"/>
      <c r="I344">
        <v>1</v>
      </c>
      <c r="K344" s="8" t="s">
        <v>538</v>
      </c>
      <c r="L344" s="8" t="s">
        <v>581</v>
      </c>
      <c r="M344"/>
      <c r="N344"/>
      <c r="P344"/>
      <c r="Q344"/>
      <c r="Y344" s="8"/>
      <c r="Z344" s="8"/>
      <c r="AA344" s="8"/>
      <c r="AB344" s="8"/>
      <c r="AC344">
        <v>1</v>
      </c>
      <c r="AG344" t="s">
        <v>534</v>
      </c>
      <c r="BD344">
        <v>1</v>
      </c>
      <c r="BS344">
        <v>0.5</v>
      </c>
      <c r="CB344" t="s">
        <v>600</v>
      </c>
      <c r="CG344" t="s">
        <v>530</v>
      </c>
      <c r="CM344" t="s">
        <v>1307</v>
      </c>
      <c r="DD344">
        <v>1</v>
      </c>
      <c r="DF344">
        <v>1</v>
      </c>
      <c r="DG344">
        <v>1</v>
      </c>
      <c r="DH344">
        <v>1</v>
      </c>
    </row>
    <row r="345" spans="1:112" x14ac:dyDescent="0.25">
      <c r="J345" s="8"/>
      <c r="M345"/>
      <c r="N345"/>
      <c r="T345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BV345"/>
      <c r="BW345"/>
      <c r="BX345"/>
      <c r="BY345"/>
      <c r="BZ345"/>
      <c r="CA345"/>
      <c r="CZ345" s="9"/>
      <c r="DA345" s="9"/>
      <c r="DB345" s="9"/>
      <c r="DC345" s="9"/>
      <c r="DD345" s="9"/>
      <c r="DE345" s="9"/>
    </row>
    <row r="346" spans="1:112" x14ac:dyDescent="0.25">
      <c r="A346" t="s">
        <v>281</v>
      </c>
      <c r="C346" t="s">
        <v>146</v>
      </c>
      <c r="AC346">
        <v>2</v>
      </c>
      <c r="AO346" t="s">
        <v>527</v>
      </c>
      <c r="AT346" t="s">
        <v>528</v>
      </c>
      <c r="AX346" t="s">
        <v>529</v>
      </c>
      <c r="AZ346">
        <v>1</v>
      </c>
      <c r="BD346">
        <v>1</v>
      </c>
      <c r="BV346"/>
      <c r="CB346" t="s">
        <v>69</v>
      </c>
      <c r="CG346" t="s">
        <v>530</v>
      </c>
      <c r="CJ346" t="s">
        <v>1308</v>
      </c>
      <c r="CL346" s="8"/>
    </row>
    <row r="347" spans="1:112" s="3" customFormat="1" x14ac:dyDescent="0.25">
      <c r="A347" s="3" t="s">
        <v>1309</v>
      </c>
      <c r="C347" s="3" t="s">
        <v>533</v>
      </c>
      <c r="J347" s="28"/>
      <c r="K347" s="28"/>
      <c r="L347" s="28"/>
      <c r="M347" s="28"/>
      <c r="N347" s="28"/>
      <c r="O347" s="28"/>
      <c r="P347" s="28"/>
      <c r="Q347" s="28"/>
      <c r="R347" s="28"/>
      <c r="S347" s="3">
        <v>1</v>
      </c>
      <c r="T347" s="28"/>
      <c r="U347" s="28"/>
      <c r="V347" s="28"/>
      <c r="W347" s="28"/>
      <c r="X347" s="28"/>
      <c r="Y347" s="28"/>
      <c r="Z347" s="28"/>
      <c r="AA347" s="28"/>
      <c r="AB347" s="28"/>
      <c r="AC347" s="3">
        <v>2</v>
      </c>
      <c r="AD347" s="3">
        <v>1</v>
      </c>
      <c r="AO347" s="3" t="s">
        <v>1310</v>
      </c>
      <c r="AR347"/>
      <c r="AS347"/>
      <c r="AT347" s="3" t="s">
        <v>1311</v>
      </c>
      <c r="AX347" s="3" t="s">
        <v>529</v>
      </c>
      <c r="AZ347" s="3">
        <v>1</v>
      </c>
      <c r="BD347" s="3">
        <v>1</v>
      </c>
      <c r="BO347" s="3" t="s">
        <v>1312</v>
      </c>
      <c r="BV347" s="29"/>
      <c r="BW347" s="29"/>
      <c r="BX347" s="29"/>
      <c r="BY347" s="29"/>
      <c r="BZ347" s="29"/>
      <c r="CA347" s="29"/>
      <c r="CB347" s="3" t="s">
        <v>69</v>
      </c>
      <c r="CG347" s="3" t="s">
        <v>530</v>
      </c>
      <c r="CH347" s="3" t="s">
        <v>1313</v>
      </c>
      <c r="CI347" s="3" t="s">
        <v>762</v>
      </c>
      <c r="CJ347" s="3" t="s">
        <v>1314</v>
      </c>
      <c r="CY347" s="3" t="s">
        <v>764</v>
      </c>
    </row>
    <row r="348" spans="1:112" s="3" customFormat="1" x14ac:dyDescent="0.25">
      <c r="A348" s="3" t="s">
        <v>1312</v>
      </c>
      <c r="C348" s="3" t="s">
        <v>533</v>
      </c>
      <c r="H348" s="3" t="s">
        <v>1315</v>
      </c>
      <c r="J348" s="28"/>
      <c r="K348" s="28"/>
      <c r="L348" s="28"/>
      <c r="M348" s="28"/>
      <c r="N348" s="28"/>
      <c r="O348" s="28"/>
      <c r="P348" s="28"/>
      <c r="Q348" s="28"/>
      <c r="R348" s="28"/>
      <c r="S348" s="3">
        <v>1</v>
      </c>
      <c r="T348" s="28"/>
      <c r="U348" s="28"/>
      <c r="V348" s="28"/>
      <c r="W348" s="28"/>
      <c r="X348" s="28"/>
      <c r="Y348" s="28"/>
      <c r="Z348" s="28"/>
      <c r="AA348" s="28"/>
      <c r="AB348" s="28"/>
      <c r="AC348" s="3">
        <v>2</v>
      </c>
      <c r="AD348" s="3">
        <v>1</v>
      </c>
      <c r="AO348" s="3" t="s">
        <v>1310</v>
      </c>
      <c r="AR348"/>
      <c r="AS348"/>
      <c r="AT348" s="3" t="s">
        <v>1311</v>
      </c>
      <c r="AX348" s="3" t="s">
        <v>529</v>
      </c>
      <c r="AZ348" s="3">
        <v>1</v>
      </c>
      <c r="BD348" s="3">
        <v>1</v>
      </c>
      <c r="BV348" s="29"/>
      <c r="BW348" s="29"/>
      <c r="BX348" s="29"/>
      <c r="BY348" s="29"/>
      <c r="BZ348" s="29"/>
      <c r="CA348" s="29"/>
      <c r="CB348" s="3" t="s">
        <v>69</v>
      </c>
      <c r="CG348" s="3" t="s">
        <v>530</v>
      </c>
      <c r="CH348" s="3" t="s">
        <v>1313</v>
      </c>
      <c r="CI348" s="3" t="s">
        <v>762</v>
      </c>
      <c r="CJ348" s="3" t="s">
        <v>1316</v>
      </c>
      <c r="CY348" s="3" t="s">
        <v>764</v>
      </c>
    </row>
    <row r="349" spans="1:112" s="3" customFormat="1" x14ac:dyDescent="0.25">
      <c r="A349" s="3" t="s">
        <v>1317</v>
      </c>
      <c r="C349" s="3" t="s">
        <v>533</v>
      </c>
      <c r="K349" s="28" t="s">
        <v>538</v>
      </c>
      <c r="L349" s="28" t="s">
        <v>1047</v>
      </c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AC349" s="3">
        <v>1</v>
      </c>
      <c r="AH349" s="3">
        <v>1</v>
      </c>
      <c r="AJ349" s="3" t="s">
        <v>1318</v>
      </c>
      <c r="AR349"/>
      <c r="AS349"/>
      <c r="BD349" s="3">
        <v>99</v>
      </c>
      <c r="BV349" s="29"/>
      <c r="BW349" s="29"/>
      <c r="BX349" s="29"/>
      <c r="BY349" s="29"/>
      <c r="BZ349" s="29"/>
      <c r="CA349" s="29"/>
      <c r="CN349" s="3" t="s">
        <v>1319</v>
      </c>
      <c r="CO349" s="3">
        <v>0.18</v>
      </c>
      <c r="CR349" s="3">
        <v>9999</v>
      </c>
    </row>
    <row r="350" spans="1:112" s="3" customFormat="1" x14ac:dyDescent="0.25"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AR350"/>
      <c r="AS350"/>
      <c r="BV350" s="29"/>
      <c r="BW350" s="29"/>
      <c r="BX350" s="29"/>
      <c r="BY350" s="29"/>
      <c r="BZ350" s="29"/>
      <c r="CA350" s="29"/>
      <c r="CL350" s="28"/>
    </row>
    <row r="351" spans="1:112" s="3" customFormat="1" x14ac:dyDescent="0.25">
      <c r="A351" s="3" t="s">
        <v>1320</v>
      </c>
      <c r="C351" s="3" t="s">
        <v>533</v>
      </c>
      <c r="D351" s="3" t="s">
        <v>1321</v>
      </c>
      <c r="E351" s="3" t="s">
        <v>1322</v>
      </c>
      <c r="F351" s="3" t="s">
        <v>1323</v>
      </c>
      <c r="G351" s="3">
        <v>3</v>
      </c>
      <c r="J351" s="3" t="s">
        <v>557</v>
      </c>
      <c r="K351" s="28" t="s">
        <v>542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>
        <v>1</v>
      </c>
      <c r="AC351" s="3">
        <v>1</v>
      </c>
      <c r="AG351" s="3" t="s">
        <v>534</v>
      </c>
      <c r="AR351"/>
      <c r="AS351"/>
      <c r="BD351" s="3">
        <v>1</v>
      </c>
      <c r="BO351" s="3" t="s">
        <v>1324</v>
      </c>
      <c r="BT351" s="3">
        <v>5</v>
      </c>
      <c r="BV351" s="29">
        <v>14</v>
      </c>
      <c r="BW351" s="29">
        <v>15</v>
      </c>
      <c r="BX351" s="29">
        <v>1</v>
      </c>
      <c r="BY351" s="29" t="s">
        <v>542</v>
      </c>
      <c r="BZ351" s="29"/>
      <c r="CA351" s="29"/>
    </row>
    <row r="352" spans="1:112" s="3" customFormat="1" x14ac:dyDescent="0.25">
      <c r="A352" s="3" t="s">
        <v>1324</v>
      </c>
      <c r="C352" s="3" t="s">
        <v>533</v>
      </c>
      <c r="J352" s="28"/>
      <c r="K352" s="28" t="s">
        <v>538</v>
      </c>
      <c r="L352" s="28" t="s">
        <v>581</v>
      </c>
      <c r="M352" s="28"/>
      <c r="N352" s="28"/>
      <c r="O352" s="28"/>
      <c r="P352" s="28"/>
      <c r="Q352" s="28"/>
      <c r="R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3">
        <v>2</v>
      </c>
      <c r="AD352" s="3">
        <v>1</v>
      </c>
      <c r="AO352" s="3" t="s">
        <v>1310</v>
      </c>
      <c r="AR352"/>
      <c r="AS352"/>
      <c r="AW352" s="3">
        <v>1</v>
      </c>
      <c r="AX352" s="3" t="s">
        <v>529</v>
      </c>
      <c r="AZ352" s="3">
        <v>1.6</v>
      </c>
      <c r="BD352" s="3">
        <v>1</v>
      </c>
      <c r="BE352" s="3">
        <v>7</v>
      </c>
      <c r="BF352" s="3">
        <v>0.1</v>
      </c>
      <c r="BV352" s="29"/>
      <c r="BW352" s="29"/>
      <c r="BX352" s="29"/>
      <c r="BY352" s="29"/>
      <c r="BZ352" s="29"/>
      <c r="CA352" s="29"/>
      <c r="CB352" s="3" t="s">
        <v>69</v>
      </c>
      <c r="CG352" s="3" t="s">
        <v>530</v>
      </c>
      <c r="CH352" s="3" t="s">
        <v>1313</v>
      </c>
      <c r="CI352" s="3" t="s">
        <v>762</v>
      </c>
      <c r="CJ352" s="3" t="s">
        <v>1325</v>
      </c>
      <c r="CY352" s="3" t="s">
        <v>764</v>
      </c>
    </row>
    <row r="353" spans="1:103" s="3" customFormat="1" x14ac:dyDescent="0.25">
      <c r="A353" s="3" t="s">
        <v>1326</v>
      </c>
      <c r="C353" s="3" t="s">
        <v>533</v>
      </c>
      <c r="D353" s="3" t="s">
        <v>1327</v>
      </c>
      <c r="E353" s="3" t="s">
        <v>1328</v>
      </c>
      <c r="F353" s="3" t="s">
        <v>1329</v>
      </c>
      <c r="G353" s="3">
        <v>3</v>
      </c>
      <c r="J353" s="3" t="s">
        <v>557</v>
      </c>
      <c r="K353" s="28" t="s">
        <v>570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>
        <v>1</v>
      </c>
      <c r="AC353" s="3">
        <v>1</v>
      </c>
      <c r="AG353" s="3" t="s">
        <v>534</v>
      </c>
      <c r="AR353"/>
      <c r="AS353"/>
      <c r="BD353" s="3">
        <v>1</v>
      </c>
      <c r="BO353" s="3" t="s">
        <v>1330</v>
      </c>
      <c r="BT353" s="3">
        <v>25</v>
      </c>
      <c r="BV353" s="29">
        <v>20</v>
      </c>
      <c r="BW353" s="29">
        <v>25</v>
      </c>
      <c r="BX353" s="29">
        <v>1</v>
      </c>
      <c r="BY353" s="29" t="s">
        <v>542</v>
      </c>
      <c r="BZ353" s="29"/>
      <c r="CA353" s="29"/>
      <c r="CN353" s="3" t="s">
        <v>1331</v>
      </c>
      <c r="CO353" s="3">
        <v>-1</v>
      </c>
      <c r="CR353" s="3">
        <v>25</v>
      </c>
    </row>
    <row r="354" spans="1:103" s="3" customFormat="1" x14ac:dyDescent="0.25">
      <c r="A354" s="3" t="s">
        <v>1330</v>
      </c>
      <c r="C354" s="3" t="s">
        <v>533</v>
      </c>
      <c r="J354" s="28"/>
      <c r="K354" s="28"/>
      <c r="L354" s="28"/>
      <c r="M354" s="28"/>
      <c r="N354" s="28"/>
      <c r="O354" s="3" t="s">
        <v>1331</v>
      </c>
      <c r="P354" s="28"/>
      <c r="Q354" s="28"/>
      <c r="R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3">
        <v>2</v>
      </c>
      <c r="AD354" s="3">
        <v>1</v>
      </c>
      <c r="AO354" s="3" t="s">
        <v>1310</v>
      </c>
      <c r="AR354"/>
      <c r="AS354"/>
      <c r="AW354" s="3">
        <v>1</v>
      </c>
      <c r="AX354" s="3" t="s">
        <v>529</v>
      </c>
      <c r="AZ354" s="3">
        <v>2.5</v>
      </c>
      <c r="BD354" s="3">
        <v>1</v>
      </c>
      <c r="BE354" s="3">
        <v>1</v>
      </c>
      <c r="BF354" s="3">
        <v>0.1</v>
      </c>
      <c r="BJ354" s="3">
        <v>1.5</v>
      </c>
      <c r="BK354" s="3">
        <v>1</v>
      </c>
      <c r="BL354" s="3">
        <v>1</v>
      </c>
      <c r="BO354" s="3" t="s">
        <v>1332</v>
      </c>
      <c r="BV354" s="29"/>
      <c r="BW354" s="29"/>
      <c r="BX354" s="29"/>
      <c r="BY354" s="29"/>
      <c r="BZ354" s="29"/>
      <c r="CA354" s="29"/>
      <c r="CB354" s="3" t="s">
        <v>69</v>
      </c>
      <c r="CG354" s="3" t="s">
        <v>530</v>
      </c>
      <c r="CH354" s="3" t="s">
        <v>1313</v>
      </c>
      <c r="CI354" s="3" t="s">
        <v>762</v>
      </c>
      <c r="CJ354" s="3" t="s">
        <v>1314</v>
      </c>
      <c r="CY354" s="3" t="s">
        <v>1333</v>
      </c>
    </row>
    <row r="355" spans="1:103" s="3" customFormat="1" x14ac:dyDescent="0.25">
      <c r="A355" s="3" t="s">
        <v>1332</v>
      </c>
      <c r="C355" s="3" t="s">
        <v>533</v>
      </c>
      <c r="H355" s="3" t="s">
        <v>1315</v>
      </c>
      <c r="J355" s="28"/>
      <c r="K355" s="28"/>
      <c r="L355" s="28"/>
      <c r="M355" s="28"/>
      <c r="N355" s="28"/>
      <c r="O355" s="3" t="s">
        <v>1331</v>
      </c>
      <c r="P355" s="28"/>
      <c r="Q355" s="28"/>
      <c r="R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3">
        <v>2</v>
      </c>
      <c r="AD355" s="3">
        <v>1</v>
      </c>
      <c r="AO355" s="3" t="s">
        <v>1310</v>
      </c>
      <c r="AR355"/>
      <c r="AS355"/>
      <c r="AW355" s="3">
        <v>1</v>
      </c>
      <c r="AX355" s="3" t="s">
        <v>529</v>
      </c>
      <c r="AZ355" s="3">
        <v>2.5</v>
      </c>
      <c r="BD355" s="3">
        <v>1</v>
      </c>
      <c r="BE355" s="3">
        <v>1</v>
      </c>
      <c r="BF355" s="3">
        <v>0.1</v>
      </c>
      <c r="BJ355" s="3">
        <v>1.5</v>
      </c>
      <c r="BK355" s="3">
        <v>1</v>
      </c>
      <c r="BL355" s="3">
        <v>1</v>
      </c>
      <c r="BV355" s="29"/>
      <c r="BW355" s="29"/>
      <c r="BX355" s="29"/>
      <c r="BY355" s="29"/>
      <c r="BZ355" s="29"/>
      <c r="CA355" s="29"/>
      <c r="CB355" s="3" t="s">
        <v>69</v>
      </c>
      <c r="CG355" s="3" t="s">
        <v>530</v>
      </c>
      <c r="CH355" s="3" t="s">
        <v>1313</v>
      </c>
      <c r="CI355" s="3" t="s">
        <v>762</v>
      </c>
      <c r="CJ355" s="3" t="s">
        <v>1316</v>
      </c>
      <c r="CY355" s="3" t="s">
        <v>1333</v>
      </c>
    </row>
    <row r="356" spans="1:103" s="3" customFormat="1" x14ac:dyDescent="0.25"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R356"/>
      <c r="AS356"/>
      <c r="BV356" s="29"/>
      <c r="BW356" s="29"/>
      <c r="BX356" s="29"/>
      <c r="BY356" s="29"/>
      <c r="BZ356" s="29"/>
      <c r="CA356" s="29"/>
    </row>
    <row r="357" spans="1:103" s="3" customFormat="1" x14ac:dyDescent="0.25">
      <c r="A357" s="3" t="s">
        <v>1334</v>
      </c>
      <c r="C357" s="3" t="s">
        <v>533</v>
      </c>
      <c r="D357" s="3" t="s">
        <v>1335</v>
      </c>
      <c r="E357" s="3" t="s">
        <v>1336</v>
      </c>
      <c r="F357" s="3" t="s">
        <v>1337</v>
      </c>
      <c r="G357" s="3">
        <v>3</v>
      </c>
      <c r="J357" s="3" t="s">
        <v>557</v>
      </c>
      <c r="K357" s="28" t="s">
        <v>570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>
        <v>1</v>
      </c>
      <c r="AC357" s="3">
        <v>1</v>
      </c>
      <c r="AG357" s="3" t="s">
        <v>534</v>
      </c>
      <c r="AR357"/>
      <c r="AS357"/>
      <c r="BD357" s="3">
        <v>1</v>
      </c>
      <c r="BO357" s="3" t="s">
        <v>1338</v>
      </c>
      <c r="BT357" s="3">
        <v>16</v>
      </c>
      <c r="BV357" s="29">
        <v>32</v>
      </c>
      <c r="BW357" s="29">
        <v>40</v>
      </c>
      <c r="BX357" s="29">
        <v>1</v>
      </c>
      <c r="BY357" s="29" t="s">
        <v>542</v>
      </c>
      <c r="BZ357" s="29"/>
      <c r="CA357" s="29"/>
      <c r="CN357" s="3" t="s">
        <v>637</v>
      </c>
      <c r="CO357" s="3">
        <v>1</v>
      </c>
      <c r="CR357" s="3">
        <v>16</v>
      </c>
    </row>
    <row r="358" spans="1:103" s="3" customFormat="1" x14ac:dyDescent="0.25">
      <c r="A358" s="3" t="s">
        <v>1339</v>
      </c>
      <c r="C358" s="3" t="s">
        <v>533</v>
      </c>
      <c r="K358" s="28" t="s">
        <v>538</v>
      </c>
      <c r="L358" s="28" t="s">
        <v>1089</v>
      </c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AC358" s="3">
        <v>2</v>
      </c>
      <c r="AD358" s="3">
        <v>1</v>
      </c>
      <c r="AO358" s="3" t="s">
        <v>1310</v>
      </c>
      <c r="AR358"/>
      <c r="AS358"/>
      <c r="AV358" s="3">
        <v>99</v>
      </c>
      <c r="AX358" s="3" t="s">
        <v>529</v>
      </c>
      <c r="AZ358" s="3">
        <v>0.05</v>
      </c>
      <c r="BB358" s="3">
        <v>1</v>
      </c>
      <c r="BD358" s="3">
        <v>3</v>
      </c>
      <c r="BV358" s="29"/>
      <c r="BW358" s="29"/>
      <c r="BX358" s="29"/>
      <c r="BY358" s="29"/>
      <c r="BZ358" s="29"/>
      <c r="CA358" s="29"/>
      <c r="CJ358" s="3" t="s">
        <v>1340</v>
      </c>
      <c r="CL358" s="28"/>
      <c r="CN358" s="3" t="s">
        <v>1341</v>
      </c>
      <c r="CR358" s="3">
        <v>16</v>
      </c>
    </row>
    <row r="359" spans="1:103" s="3" customFormat="1" x14ac:dyDescent="0.25">
      <c r="A359" s="3" t="s">
        <v>1342</v>
      </c>
      <c r="C359" s="3" t="s">
        <v>533</v>
      </c>
      <c r="J359" s="28"/>
      <c r="K359" s="28"/>
      <c r="L359" s="28"/>
      <c r="M359" s="28"/>
      <c r="N359" s="28"/>
      <c r="O359" s="3" t="s">
        <v>637</v>
      </c>
      <c r="P359" s="28"/>
      <c r="Q359" s="28"/>
      <c r="R359" s="3" t="s">
        <v>1341</v>
      </c>
      <c r="T359" s="28"/>
      <c r="U359" s="28"/>
      <c r="V359" s="28"/>
      <c r="W359" s="28"/>
      <c r="X359" s="28"/>
      <c r="Y359" s="28"/>
      <c r="Z359" s="28"/>
      <c r="AA359" s="28"/>
      <c r="AB359" s="28"/>
      <c r="AC359" s="3">
        <v>2</v>
      </c>
      <c r="AD359" s="3">
        <v>1</v>
      </c>
      <c r="AO359" s="3" t="s">
        <v>1310</v>
      </c>
      <c r="AR359"/>
      <c r="AS359"/>
      <c r="AW359" s="3">
        <v>1</v>
      </c>
      <c r="AX359" s="3" t="s">
        <v>529</v>
      </c>
      <c r="AZ359" s="3">
        <v>1</v>
      </c>
      <c r="BD359" s="3">
        <v>3</v>
      </c>
      <c r="BO359" s="3" t="s">
        <v>1343</v>
      </c>
      <c r="BV359" s="29"/>
      <c r="BW359" s="29"/>
      <c r="BX359" s="29"/>
      <c r="BY359" s="29"/>
      <c r="BZ359" s="29"/>
      <c r="CA359" s="29"/>
      <c r="CB359" s="3" t="s">
        <v>69</v>
      </c>
      <c r="CG359" s="3" t="s">
        <v>530</v>
      </c>
      <c r="CH359" s="3" t="s">
        <v>1313</v>
      </c>
      <c r="CI359" s="3" t="s">
        <v>762</v>
      </c>
      <c r="CJ359" s="3" t="s">
        <v>1314</v>
      </c>
      <c r="CN359" s="3" t="s">
        <v>991</v>
      </c>
      <c r="CR359" s="3">
        <v>1.8</v>
      </c>
      <c r="CY359" s="3" t="s">
        <v>764</v>
      </c>
    </row>
    <row r="360" spans="1:103" s="3" customFormat="1" x14ac:dyDescent="0.25">
      <c r="A360" s="3" t="s">
        <v>1343</v>
      </c>
      <c r="C360" s="3" t="s">
        <v>533</v>
      </c>
      <c r="H360" s="3" t="s">
        <v>1315</v>
      </c>
      <c r="J360" s="28"/>
      <c r="K360" s="28"/>
      <c r="L360" s="28"/>
      <c r="M360" s="28"/>
      <c r="N360" s="28"/>
      <c r="O360" s="3" t="s">
        <v>637</v>
      </c>
      <c r="P360" s="28"/>
      <c r="Q360" s="28"/>
      <c r="R360" s="3" t="s">
        <v>1341</v>
      </c>
      <c r="T360" s="28"/>
      <c r="U360" s="28"/>
      <c r="V360" s="28"/>
      <c r="W360" s="28"/>
      <c r="X360" s="28"/>
      <c r="Y360" s="28"/>
      <c r="Z360" s="28"/>
      <c r="AA360" s="28"/>
      <c r="AB360" s="28"/>
      <c r="AC360" s="3">
        <v>2</v>
      </c>
      <c r="AD360" s="3">
        <v>1</v>
      </c>
      <c r="AO360" s="3" t="s">
        <v>1310</v>
      </c>
      <c r="AR360"/>
      <c r="AS360"/>
      <c r="AW360" s="3">
        <v>1</v>
      </c>
      <c r="AX360" s="3" t="s">
        <v>529</v>
      </c>
      <c r="AZ360" s="3">
        <v>1</v>
      </c>
      <c r="BD360" s="3">
        <v>3</v>
      </c>
      <c r="BV360" s="29"/>
      <c r="BW360" s="29"/>
      <c r="BX360" s="29"/>
      <c r="BY360" s="29"/>
      <c r="BZ360" s="29"/>
      <c r="CA360" s="29"/>
      <c r="CB360" s="3" t="s">
        <v>69</v>
      </c>
      <c r="CG360" s="3" t="s">
        <v>530</v>
      </c>
      <c r="CH360" s="3" t="s">
        <v>1313</v>
      </c>
      <c r="CI360" s="3" t="s">
        <v>762</v>
      </c>
      <c r="CJ360" s="3" t="s">
        <v>1316</v>
      </c>
      <c r="CY360" s="3" t="s">
        <v>764</v>
      </c>
    </row>
    <row r="361" spans="1:103" s="3" customFormat="1" x14ac:dyDescent="0.25">
      <c r="A361" s="3" t="s">
        <v>1344</v>
      </c>
      <c r="C361" s="3" t="s">
        <v>533</v>
      </c>
      <c r="J361" s="28"/>
      <c r="K361" s="28"/>
      <c r="L361" s="28"/>
      <c r="M361" s="28"/>
      <c r="N361" s="28"/>
      <c r="O361" s="3" t="s">
        <v>637</v>
      </c>
      <c r="P361" s="28"/>
      <c r="Q361" s="3" t="s">
        <v>1341</v>
      </c>
      <c r="R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3">
        <v>2</v>
      </c>
      <c r="AD361" s="3">
        <v>1</v>
      </c>
      <c r="AO361" s="3" t="s">
        <v>1310</v>
      </c>
      <c r="AR361"/>
      <c r="AS361"/>
      <c r="AV361" s="3">
        <v>99</v>
      </c>
      <c r="AX361" s="3" t="s">
        <v>529</v>
      </c>
      <c r="AZ361" s="3">
        <v>3.2</v>
      </c>
      <c r="BD361" s="3">
        <v>1</v>
      </c>
      <c r="BE361" s="3">
        <v>2</v>
      </c>
      <c r="BF361" s="3">
        <v>0.1</v>
      </c>
      <c r="BG361" s="3">
        <v>1</v>
      </c>
      <c r="BV361" s="29"/>
      <c r="BW361" s="29"/>
      <c r="BX361" s="29"/>
      <c r="BY361" s="29"/>
      <c r="BZ361" s="29"/>
      <c r="CA361" s="29"/>
      <c r="CB361" s="3" t="s">
        <v>69</v>
      </c>
      <c r="CG361" s="3" t="s">
        <v>530</v>
      </c>
      <c r="CH361" s="3" t="s">
        <v>1313</v>
      </c>
      <c r="CI361" s="3" t="s">
        <v>762</v>
      </c>
      <c r="CJ361" s="3" t="s">
        <v>1345</v>
      </c>
      <c r="CN361" s="3" t="s">
        <v>991</v>
      </c>
      <c r="CR361" s="3">
        <v>1.8</v>
      </c>
      <c r="CY361" s="3" t="s">
        <v>764</v>
      </c>
    </row>
    <row r="362" spans="1:103" s="3" customFormat="1" x14ac:dyDescent="0.25">
      <c r="A362" s="3" t="s">
        <v>1346</v>
      </c>
      <c r="C362" s="3" t="s">
        <v>533</v>
      </c>
      <c r="H362" s="3" t="s">
        <v>1315</v>
      </c>
      <c r="J362" s="28"/>
      <c r="K362" s="28"/>
      <c r="L362" s="28"/>
      <c r="M362" s="28"/>
      <c r="N362" s="28"/>
      <c r="O362" s="3" t="s">
        <v>637</v>
      </c>
      <c r="P362" s="28"/>
      <c r="Q362" s="3" t="s">
        <v>1341</v>
      </c>
      <c r="R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3">
        <v>2</v>
      </c>
      <c r="AD362" s="3">
        <v>1</v>
      </c>
      <c r="AO362" s="3" t="s">
        <v>1310</v>
      </c>
      <c r="AR362"/>
      <c r="AS362"/>
      <c r="AV362" s="3">
        <v>99</v>
      </c>
      <c r="AX362" s="3" t="s">
        <v>529</v>
      </c>
      <c r="AZ362" s="3">
        <v>3.2</v>
      </c>
      <c r="BD362" s="3">
        <v>1</v>
      </c>
      <c r="BE362" s="3">
        <v>2</v>
      </c>
      <c r="BF362" s="3">
        <v>0.1</v>
      </c>
      <c r="BG362" s="3">
        <v>1</v>
      </c>
      <c r="BV362" s="29"/>
      <c r="BW362" s="29"/>
      <c r="BX362" s="29"/>
      <c r="BY362" s="29"/>
      <c r="BZ362" s="29"/>
      <c r="CA362" s="29"/>
      <c r="CB362" s="3" t="s">
        <v>69</v>
      </c>
      <c r="CG362" s="3" t="s">
        <v>530</v>
      </c>
      <c r="CH362" s="3" t="s">
        <v>1313</v>
      </c>
      <c r="CI362" s="3" t="s">
        <v>762</v>
      </c>
      <c r="CJ362" s="3" t="s">
        <v>1347</v>
      </c>
      <c r="CN362" s="3" t="s">
        <v>991</v>
      </c>
      <c r="CR362" s="3">
        <v>1.8</v>
      </c>
      <c r="CY362" s="3" t="s">
        <v>764</v>
      </c>
    </row>
    <row r="364" spans="1:103" x14ac:dyDescent="0.25">
      <c r="CL364" s="8"/>
    </row>
    <row r="365" spans="1:103" x14ac:dyDescent="0.25">
      <c r="CL365" s="8"/>
    </row>
    <row r="366" spans="1:103" x14ac:dyDescent="0.25">
      <c r="BV366"/>
    </row>
    <row r="367" spans="1:103" x14ac:dyDescent="0.25">
      <c r="BV367"/>
      <c r="CL367" s="8"/>
    </row>
    <row r="368" spans="1:103" x14ac:dyDescent="0.25">
      <c r="BV368"/>
      <c r="CL368" s="8"/>
    </row>
    <row r="369" spans="74:90" x14ac:dyDescent="0.25">
      <c r="CL369" s="8"/>
    </row>
    <row r="370" spans="74:90" x14ac:dyDescent="0.25">
      <c r="CL370" s="8"/>
    </row>
    <row r="372" spans="74:90" x14ac:dyDescent="0.25">
      <c r="CL372" s="8"/>
    </row>
    <row r="373" spans="74:90" x14ac:dyDescent="0.25">
      <c r="CL373" s="8"/>
    </row>
    <row r="374" spans="74:90" x14ac:dyDescent="0.25">
      <c r="BV374"/>
      <c r="CL374" s="8"/>
    </row>
    <row r="375" spans="74:90" x14ac:dyDescent="0.25">
      <c r="BV375"/>
      <c r="CL375" s="8"/>
    </row>
    <row r="376" spans="74:90" x14ac:dyDescent="0.25">
      <c r="CL376" s="8"/>
    </row>
    <row r="377" spans="74:90" x14ac:dyDescent="0.25">
      <c r="CL377" s="8"/>
    </row>
    <row r="378" spans="74:90" x14ac:dyDescent="0.25">
      <c r="CL378" s="8"/>
    </row>
    <row r="380" spans="74:90" x14ac:dyDescent="0.25">
      <c r="BV380"/>
      <c r="CL380" s="8"/>
    </row>
    <row r="381" spans="74:90" x14ac:dyDescent="0.25">
      <c r="CL381" s="8"/>
    </row>
    <row r="382" spans="74:90" x14ac:dyDescent="0.25">
      <c r="CL382" s="8"/>
    </row>
    <row r="384" spans="74:90" x14ac:dyDescent="0.25">
      <c r="BV384"/>
      <c r="CL384" s="8"/>
    </row>
    <row r="385" spans="74:90" x14ac:dyDescent="0.25">
      <c r="BV385"/>
      <c r="CL385" s="8"/>
    </row>
    <row r="386" spans="74:90" x14ac:dyDescent="0.25">
      <c r="CL386" s="8"/>
    </row>
    <row r="388" spans="74:90" x14ac:dyDescent="0.25">
      <c r="CL388" s="8"/>
    </row>
    <row r="390" spans="74:90" x14ac:dyDescent="0.25">
      <c r="CL390" s="8"/>
    </row>
    <row r="393" spans="74:90" x14ac:dyDescent="0.25">
      <c r="CL393" s="8"/>
    </row>
    <row r="394" spans="74:90" x14ac:dyDescent="0.25">
      <c r="CL394" s="8"/>
    </row>
    <row r="398" spans="74:90" x14ac:dyDescent="0.25">
      <c r="BV398"/>
    </row>
    <row r="399" spans="74:90" x14ac:dyDescent="0.25">
      <c r="BV399"/>
      <c r="CL399" s="8"/>
    </row>
    <row r="400" spans="74:90" x14ac:dyDescent="0.25">
      <c r="BV400"/>
      <c r="CL400" s="8"/>
    </row>
    <row r="401" spans="74:90" x14ac:dyDescent="0.25">
      <c r="CL401" s="8"/>
    </row>
    <row r="402" spans="74:90" x14ac:dyDescent="0.25">
      <c r="CL402" s="8"/>
    </row>
    <row r="403" spans="74:90" x14ac:dyDescent="0.25">
      <c r="BV403"/>
    </row>
    <row r="404" spans="74:90" x14ac:dyDescent="0.25">
      <c r="CL404" s="8"/>
    </row>
    <row r="406" spans="74:90" x14ac:dyDescent="0.25">
      <c r="CL406" s="8"/>
    </row>
    <row r="407" spans="74:90" x14ac:dyDescent="0.25">
      <c r="CL407" s="8"/>
    </row>
    <row r="409" spans="74:90" x14ac:dyDescent="0.25">
      <c r="CL409" s="8"/>
    </row>
    <row r="410" spans="74:90" x14ac:dyDescent="0.25">
      <c r="CL410" s="8"/>
    </row>
    <row r="411" spans="74:90" x14ac:dyDescent="0.25">
      <c r="CL411" s="8"/>
    </row>
    <row r="412" spans="74:90" x14ac:dyDescent="0.25">
      <c r="CL412" s="8"/>
    </row>
    <row r="413" spans="74:90" x14ac:dyDescent="0.25">
      <c r="CL413" s="8"/>
    </row>
    <row r="414" spans="74:90" x14ac:dyDescent="0.25">
      <c r="CL414" s="8"/>
    </row>
    <row r="415" spans="74:90" x14ac:dyDescent="0.25">
      <c r="CL415" s="8"/>
    </row>
    <row r="417" spans="74:90" x14ac:dyDescent="0.25">
      <c r="BV417"/>
    </row>
    <row r="418" spans="74:90" x14ac:dyDescent="0.25">
      <c r="CL418" s="8"/>
    </row>
    <row r="419" spans="74:90" x14ac:dyDescent="0.25">
      <c r="CL419" s="8"/>
    </row>
    <row r="452" spans="8:90" x14ac:dyDescent="0.25">
      <c r="BU452" s="30"/>
      <c r="BV452" s="31"/>
    </row>
    <row r="453" spans="8:90" x14ac:dyDescent="0.25">
      <c r="H453" s="30"/>
      <c r="CL453" s="30"/>
    </row>
    <row r="459" spans="8:90" x14ac:dyDescent="0.25">
      <c r="BV459"/>
    </row>
    <row r="460" spans="8:90" x14ac:dyDescent="0.25">
      <c r="BV460"/>
      <c r="CL460" s="8"/>
    </row>
    <row r="461" spans="8:90" x14ac:dyDescent="0.25">
      <c r="BV461"/>
      <c r="CL461" s="8"/>
    </row>
    <row r="462" spans="8:90" x14ac:dyDescent="0.25">
      <c r="CL462" s="8"/>
    </row>
    <row r="479" spans="74:90" x14ac:dyDescent="0.25">
      <c r="BV479"/>
    </row>
    <row r="480" spans="74:90" x14ac:dyDescent="0.25">
      <c r="CL480" s="8"/>
    </row>
    <row r="512" spans="74:74" x14ac:dyDescent="0.25">
      <c r="BV512"/>
    </row>
    <row r="513" spans="74:90" x14ac:dyDescent="0.25">
      <c r="BV513"/>
      <c r="CL513" s="8"/>
    </row>
    <row r="514" spans="74:90" x14ac:dyDescent="0.25">
      <c r="CL514" s="8"/>
    </row>
    <row r="530" spans="74:90" x14ac:dyDescent="0.25">
      <c r="BV530"/>
    </row>
    <row r="531" spans="74:90" x14ac:dyDescent="0.25">
      <c r="CL531" s="8"/>
    </row>
    <row r="537" spans="74:90" x14ac:dyDescent="0.25">
      <c r="BV537"/>
    </row>
    <row r="538" spans="74:90" x14ac:dyDescent="0.25">
      <c r="BV538"/>
      <c r="CL538" s="8"/>
    </row>
    <row r="539" spans="74:90" x14ac:dyDescent="0.25">
      <c r="CL539" s="8"/>
    </row>
    <row r="544" spans="74:90" x14ac:dyDescent="0.25">
      <c r="BV544"/>
    </row>
    <row r="545" spans="74:90" x14ac:dyDescent="0.25">
      <c r="BV545"/>
      <c r="CL545" s="8"/>
    </row>
    <row r="546" spans="74:90" x14ac:dyDescent="0.25">
      <c r="BV546"/>
      <c r="CL546" s="8"/>
    </row>
    <row r="547" spans="74:90" x14ac:dyDescent="0.25">
      <c r="BV547"/>
      <c r="CL547" s="8"/>
    </row>
    <row r="548" spans="74:90" x14ac:dyDescent="0.25">
      <c r="BV548"/>
      <c r="CL548" s="8"/>
    </row>
    <row r="549" spans="74:90" x14ac:dyDescent="0.25">
      <c r="BV549"/>
      <c r="CL549" s="8"/>
    </row>
    <row r="550" spans="74:90" x14ac:dyDescent="0.25">
      <c r="BV550"/>
      <c r="CL550" s="8"/>
    </row>
    <row r="551" spans="74:90" x14ac:dyDescent="0.25">
      <c r="BV551"/>
      <c r="CL551" s="8"/>
    </row>
    <row r="552" spans="74:90" x14ac:dyDescent="0.25">
      <c r="BV552"/>
      <c r="CL552" s="8"/>
    </row>
    <row r="553" spans="74:90" x14ac:dyDescent="0.25">
      <c r="BV553"/>
      <c r="CL553" s="8"/>
    </row>
    <row r="554" spans="74:90" x14ac:dyDescent="0.25">
      <c r="BV554"/>
      <c r="CL554" s="8"/>
    </row>
    <row r="555" spans="74:90" x14ac:dyDescent="0.25">
      <c r="BV555"/>
      <c r="CL555" s="8"/>
    </row>
    <row r="556" spans="74:90" x14ac:dyDescent="0.25">
      <c r="BV556"/>
      <c r="CL556" s="8"/>
    </row>
    <row r="557" spans="74:90" x14ac:dyDescent="0.25">
      <c r="BV557"/>
      <c r="CL557" s="8"/>
    </row>
    <row r="558" spans="74:90" x14ac:dyDescent="0.25">
      <c r="BV558"/>
      <c r="CL558" s="8"/>
    </row>
    <row r="559" spans="74:90" x14ac:dyDescent="0.25">
      <c r="BV559"/>
      <c r="CL559" s="8"/>
    </row>
    <row r="560" spans="74:90" x14ac:dyDescent="0.25">
      <c r="CL560" s="8"/>
    </row>
    <row r="564" spans="74:90" x14ac:dyDescent="0.25">
      <c r="BV564"/>
    </row>
    <row r="565" spans="74:90" x14ac:dyDescent="0.25">
      <c r="BV565"/>
      <c r="CL565" s="8"/>
    </row>
    <row r="566" spans="74:90" x14ac:dyDescent="0.25">
      <c r="CL566" s="8"/>
    </row>
    <row r="567" spans="74:90" x14ac:dyDescent="0.25">
      <c r="BV567"/>
    </row>
    <row r="568" spans="74:90" x14ac:dyDescent="0.25">
      <c r="CL568" s="8"/>
    </row>
    <row r="571" spans="74:90" x14ac:dyDescent="0.25">
      <c r="BV571"/>
    </row>
    <row r="572" spans="74:90" x14ac:dyDescent="0.25">
      <c r="BV572"/>
      <c r="CL572" s="8"/>
    </row>
    <row r="573" spans="74:90" x14ac:dyDescent="0.25">
      <c r="CL573" s="8"/>
    </row>
    <row r="604" spans="74:90" x14ac:dyDescent="0.25">
      <c r="BV604"/>
    </row>
    <row r="605" spans="74:90" x14ac:dyDescent="0.25">
      <c r="BV605"/>
      <c r="CL605" s="8"/>
    </row>
    <row r="606" spans="74:90" x14ac:dyDescent="0.25">
      <c r="BV606"/>
      <c r="CL606" s="8"/>
    </row>
    <row r="607" spans="74:90" x14ac:dyDescent="0.25">
      <c r="BV607"/>
      <c r="CL607" s="8"/>
    </row>
    <row r="608" spans="74:90" x14ac:dyDescent="0.25">
      <c r="BV608"/>
      <c r="CL608" s="8"/>
    </row>
    <row r="609" spans="74:90" x14ac:dyDescent="0.25">
      <c r="BV609"/>
      <c r="CL609" s="8"/>
    </row>
    <row r="610" spans="74:90" x14ac:dyDescent="0.25">
      <c r="BV610"/>
      <c r="CL610" s="8"/>
    </row>
    <row r="611" spans="74:90" x14ac:dyDescent="0.25">
      <c r="BV611"/>
      <c r="CL611" s="8"/>
    </row>
    <row r="612" spans="74:90" x14ac:dyDescent="0.25">
      <c r="CL612" s="8"/>
    </row>
    <row r="614" spans="74:90" x14ac:dyDescent="0.25">
      <c r="BV614"/>
    </row>
    <row r="615" spans="74:90" x14ac:dyDescent="0.25">
      <c r="CL615" s="8"/>
    </row>
    <row r="619" spans="74:90" x14ac:dyDescent="0.25">
      <c r="BV619"/>
    </row>
    <row r="620" spans="74:90" x14ac:dyDescent="0.25">
      <c r="CL620" s="8"/>
    </row>
    <row r="623" spans="74:90" x14ac:dyDescent="0.25">
      <c r="BV623"/>
    </row>
    <row r="624" spans="74:90" x14ac:dyDescent="0.25">
      <c r="BV624"/>
      <c r="CL624" s="8"/>
    </row>
    <row r="625" spans="74:90" x14ac:dyDescent="0.25">
      <c r="BV625"/>
      <c r="CL625" s="8"/>
    </row>
    <row r="626" spans="74:90" x14ac:dyDescent="0.25">
      <c r="BV626"/>
      <c r="CL626" s="8"/>
    </row>
    <row r="627" spans="74:90" x14ac:dyDescent="0.25">
      <c r="CL627" s="8"/>
    </row>
    <row r="634" spans="74:90" x14ac:dyDescent="0.25">
      <c r="BV634"/>
    </row>
    <row r="635" spans="74:90" x14ac:dyDescent="0.25">
      <c r="CL635" s="8"/>
    </row>
    <row r="638" spans="74:90" x14ac:dyDescent="0.25">
      <c r="BV638"/>
    </row>
    <row r="639" spans="74:90" x14ac:dyDescent="0.25">
      <c r="BV639"/>
      <c r="CL639" s="8"/>
    </row>
    <row r="640" spans="74:90" x14ac:dyDescent="0.25">
      <c r="BV640"/>
      <c r="CL640" s="8"/>
    </row>
    <row r="641" spans="74:90" x14ac:dyDescent="0.25">
      <c r="BV641"/>
      <c r="CL641" s="8"/>
    </row>
    <row r="642" spans="74:90" x14ac:dyDescent="0.25">
      <c r="CL642" s="8"/>
    </row>
    <row r="644" spans="74:90" x14ac:dyDescent="0.25">
      <c r="BV644"/>
    </row>
    <row r="645" spans="74:90" x14ac:dyDescent="0.25">
      <c r="BV645"/>
      <c r="CL645" s="8"/>
    </row>
    <row r="646" spans="74:90" x14ac:dyDescent="0.25">
      <c r="CL646" s="8"/>
    </row>
    <row r="647" spans="74:90" x14ac:dyDescent="0.25">
      <c r="CL647">
        <v>0.15</v>
      </c>
    </row>
    <row r="649" spans="74:90" x14ac:dyDescent="0.25">
      <c r="CL649">
        <v>0.2</v>
      </c>
    </row>
    <row r="650" spans="74:90" x14ac:dyDescent="0.25">
      <c r="CL650">
        <v>0.1</v>
      </c>
    </row>
    <row r="652" spans="74:90" x14ac:dyDescent="0.25">
      <c r="CL652">
        <v>0.2</v>
      </c>
    </row>
    <row r="659" spans="74:90" x14ac:dyDescent="0.25">
      <c r="CL659">
        <v>1</v>
      </c>
    </row>
    <row r="661" spans="74:90" x14ac:dyDescent="0.25">
      <c r="CL661">
        <v>0.4</v>
      </c>
    </row>
    <row r="662" spans="74:90" x14ac:dyDescent="0.25">
      <c r="CL662">
        <v>0.6</v>
      </c>
    </row>
    <row r="665" spans="74:90" x14ac:dyDescent="0.25">
      <c r="CL665">
        <v>0.5</v>
      </c>
    </row>
    <row r="666" spans="74:90" x14ac:dyDescent="0.25">
      <c r="CL666">
        <v>0.66700000000000004</v>
      </c>
    </row>
    <row r="667" spans="74:90" x14ac:dyDescent="0.25">
      <c r="CL667">
        <v>0.2</v>
      </c>
    </row>
    <row r="670" spans="74:90" x14ac:dyDescent="0.25">
      <c r="BV670"/>
    </row>
    <row r="671" spans="74:90" x14ac:dyDescent="0.25">
      <c r="BV671"/>
      <c r="CL671" s="8"/>
    </row>
    <row r="672" spans="74:90" x14ac:dyDescent="0.25">
      <c r="BV672"/>
      <c r="CL672" s="8"/>
    </row>
    <row r="673" spans="74:90" x14ac:dyDescent="0.25">
      <c r="BV673"/>
      <c r="CL673" s="8"/>
    </row>
    <row r="674" spans="74:90" x14ac:dyDescent="0.25">
      <c r="BV674"/>
      <c r="CL674" s="8"/>
    </row>
    <row r="675" spans="74:90" x14ac:dyDescent="0.25">
      <c r="BV675"/>
      <c r="CL675" s="8"/>
    </row>
    <row r="676" spans="74:90" x14ac:dyDescent="0.25">
      <c r="BV676"/>
      <c r="CL676" s="8"/>
    </row>
    <row r="677" spans="74:90" x14ac:dyDescent="0.25">
      <c r="BV677"/>
      <c r="CL677" s="8"/>
    </row>
    <row r="678" spans="74:90" x14ac:dyDescent="0.25">
      <c r="BV678"/>
      <c r="CL678" s="8"/>
    </row>
    <row r="679" spans="74:90" x14ac:dyDescent="0.25">
      <c r="CL679" s="8"/>
    </row>
    <row r="680" spans="74:90" x14ac:dyDescent="0.25">
      <c r="BV680"/>
    </row>
    <row r="681" spans="74:90" x14ac:dyDescent="0.25">
      <c r="CL681" s="8"/>
    </row>
    <row r="690" spans="74:90" x14ac:dyDescent="0.25">
      <c r="BV690"/>
    </row>
    <row r="691" spans="74:90" x14ac:dyDescent="0.25">
      <c r="BV691"/>
      <c r="CL691" s="8"/>
    </row>
    <row r="692" spans="74:90" x14ac:dyDescent="0.25">
      <c r="BV692"/>
      <c r="CL692" s="8"/>
    </row>
    <row r="693" spans="74:90" x14ac:dyDescent="0.25">
      <c r="BV693"/>
      <c r="CL693" s="8"/>
    </row>
    <row r="694" spans="74:90" x14ac:dyDescent="0.25">
      <c r="BV694"/>
      <c r="CL694" s="8"/>
    </row>
    <row r="695" spans="74:90" x14ac:dyDescent="0.25">
      <c r="BV695"/>
      <c r="CL695" s="8"/>
    </row>
    <row r="696" spans="74:90" x14ac:dyDescent="0.25">
      <c r="BV696"/>
      <c r="CL696" s="8"/>
    </row>
    <row r="697" spans="74:90" x14ac:dyDescent="0.25">
      <c r="BV697"/>
      <c r="CL697" s="8"/>
    </row>
    <row r="698" spans="74:90" x14ac:dyDescent="0.25">
      <c r="CL698" s="8"/>
    </row>
    <row r="699" spans="74:90" x14ac:dyDescent="0.25">
      <c r="BV699"/>
    </row>
    <row r="700" spans="74:90" x14ac:dyDescent="0.25">
      <c r="CL700" s="8"/>
    </row>
    <row r="705" spans="74:90" x14ac:dyDescent="0.25">
      <c r="BV705"/>
    </row>
    <row r="706" spans="74:90" x14ac:dyDescent="0.25">
      <c r="BV706"/>
      <c r="CL706" s="8"/>
    </row>
    <row r="707" spans="74:90" x14ac:dyDescent="0.25">
      <c r="CL707" s="8"/>
    </row>
    <row r="708" spans="74:90" x14ac:dyDescent="0.25">
      <c r="BV708"/>
    </row>
    <row r="709" spans="74:90" x14ac:dyDescent="0.25">
      <c r="BV709"/>
      <c r="CL709" s="8"/>
    </row>
    <row r="710" spans="74:90" x14ac:dyDescent="0.25">
      <c r="CL710" s="8"/>
    </row>
    <row r="711" spans="74:90" x14ac:dyDescent="0.25">
      <c r="BV711"/>
    </row>
    <row r="712" spans="74:90" x14ac:dyDescent="0.25">
      <c r="BV712"/>
      <c r="CL712" s="8"/>
    </row>
    <row r="713" spans="74:90" x14ac:dyDescent="0.25">
      <c r="BV713"/>
      <c r="CL713" s="8"/>
    </row>
    <row r="714" spans="74:90" x14ac:dyDescent="0.25">
      <c r="BV714"/>
      <c r="CL714" s="8"/>
    </row>
    <row r="715" spans="74:90" x14ac:dyDescent="0.25">
      <c r="CL715" s="8"/>
    </row>
    <row r="719" spans="74:90" x14ac:dyDescent="0.25">
      <c r="BV719"/>
    </row>
    <row r="720" spans="74:90" x14ac:dyDescent="0.25">
      <c r="BV720"/>
      <c r="CL720" s="8"/>
    </row>
    <row r="721" spans="8:90" x14ac:dyDescent="0.25">
      <c r="BV721"/>
      <c r="CL721" s="8"/>
    </row>
    <row r="722" spans="8:90" x14ac:dyDescent="0.25">
      <c r="CL722" s="8"/>
    </row>
    <row r="723" spans="8:90" x14ac:dyDescent="0.25">
      <c r="BV723"/>
    </row>
    <row r="724" spans="8:90" x14ac:dyDescent="0.25">
      <c r="CL724" s="8"/>
    </row>
    <row r="725" spans="8:90" x14ac:dyDescent="0.25">
      <c r="BU725" s="30"/>
      <c r="BV725" s="31"/>
    </row>
    <row r="726" spans="8:90" x14ac:dyDescent="0.25">
      <c r="H726" s="30"/>
      <c r="CL726" s="30"/>
    </row>
    <row r="743" spans="8:90" x14ac:dyDescent="0.25">
      <c r="BV743"/>
    </row>
    <row r="744" spans="8:90" x14ac:dyDescent="0.25">
      <c r="BV744"/>
      <c r="CL744" s="8"/>
    </row>
    <row r="745" spans="8:90" x14ac:dyDescent="0.25">
      <c r="BV745"/>
      <c r="CL745" s="8"/>
    </row>
    <row r="746" spans="8:90" x14ac:dyDescent="0.25">
      <c r="BV746"/>
      <c r="CL746" s="8"/>
    </row>
    <row r="747" spans="8:90" x14ac:dyDescent="0.25">
      <c r="CL747" s="8"/>
    </row>
    <row r="748" spans="8:90" x14ac:dyDescent="0.25">
      <c r="BV748"/>
    </row>
    <row r="749" spans="8:90" x14ac:dyDescent="0.25">
      <c r="BV749"/>
      <c r="CL749" s="8"/>
    </row>
    <row r="750" spans="8:90" x14ac:dyDescent="0.25">
      <c r="BU750" s="30"/>
      <c r="BV750" s="31"/>
      <c r="CL750" s="8"/>
    </row>
    <row r="751" spans="8:90" x14ac:dyDescent="0.25">
      <c r="H751" s="30"/>
      <c r="CL751" s="30"/>
    </row>
    <row r="754" spans="74:90" x14ac:dyDescent="0.25">
      <c r="BV754"/>
    </row>
    <row r="755" spans="74:90" x14ac:dyDescent="0.25">
      <c r="BV755"/>
      <c r="CL755" s="8"/>
    </row>
    <row r="756" spans="74:90" x14ac:dyDescent="0.25">
      <c r="BV756"/>
      <c r="CL756" s="8"/>
    </row>
    <row r="757" spans="74:90" x14ac:dyDescent="0.25">
      <c r="BV757"/>
      <c r="CL757" s="8"/>
    </row>
    <row r="758" spans="74:90" x14ac:dyDescent="0.25">
      <c r="BV758"/>
      <c r="CL758" s="8"/>
    </row>
    <row r="759" spans="74:90" x14ac:dyDescent="0.25">
      <c r="BV759"/>
      <c r="CL759" s="8"/>
    </row>
    <row r="760" spans="74:90" x14ac:dyDescent="0.25">
      <c r="BV760"/>
      <c r="CL760" s="8"/>
    </row>
    <row r="761" spans="74:90" x14ac:dyDescent="0.25">
      <c r="BV761"/>
      <c r="CL761" s="8"/>
    </row>
    <row r="762" spans="74:90" x14ac:dyDescent="0.25">
      <c r="CL762" s="8"/>
    </row>
    <row r="764" spans="74:90" x14ac:dyDescent="0.25">
      <c r="BV764"/>
    </row>
    <row r="765" spans="74:90" x14ac:dyDescent="0.25">
      <c r="BV765"/>
      <c r="CL765" s="8"/>
    </row>
    <row r="766" spans="74:90" x14ac:dyDescent="0.25">
      <c r="BV766"/>
      <c r="CL766" s="8"/>
    </row>
    <row r="767" spans="74:90" x14ac:dyDescent="0.25">
      <c r="BV767"/>
      <c r="CL767" s="8"/>
    </row>
    <row r="768" spans="74:90" x14ac:dyDescent="0.25">
      <c r="BV768"/>
      <c r="CL768" s="8"/>
    </row>
    <row r="769" spans="74:90" x14ac:dyDescent="0.25">
      <c r="BV769"/>
      <c r="CL769" s="8"/>
    </row>
    <row r="770" spans="74:90" x14ac:dyDescent="0.25">
      <c r="CL770" s="8"/>
    </row>
    <row r="771" spans="74:90" x14ac:dyDescent="0.25">
      <c r="BV771"/>
    </row>
    <row r="772" spans="74:90" x14ac:dyDescent="0.25">
      <c r="BV772"/>
      <c r="CL772" s="8"/>
    </row>
    <row r="773" spans="74:90" x14ac:dyDescent="0.25">
      <c r="BV773"/>
      <c r="CL773" s="8"/>
    </row>
    <row r="774" spans="74:90" x14ac:dyDescent="0.25">
      <c r="BV774"/>
      <c r="CL774" s="8"/>
    </row>
    <row r="775" spans="74:90" x14ac:dyDescent="0.25">
      <c r="BV775"/>
      <c r="CL775" s="8"/>
    </row>
    <row r="776" spans="74:90" x14ac:dyDescent="0.25">
      <c r="BV776"/>
      <c r="CL776" s="8"/>
    </row>
    <row r="777" spans="74:90" x14ac:dyDescent="0.25">
      <c r="BV777"/>
      <c r="CL777" s="8"/>
    </row>
    <row r="778" spans="74:90" x14ac:dyDescent="0.25">
      <c r="BV778"/>
      <c r="CL778" s="8"/>
    </row>
    <row r="779" spans="74:90" x14ac:dyDescent="0.25">
      <c r="BV779"/>
      <c r="CL779" s="8"/>
    </row>
    <row r="780" spans="74:90" x14ac:dyDescent="0.25">
      <c r="BV780"/>
      <c r="CL780" s="8"/>
    </row>
    <row r="781" spans="74:90" x14ac:dyDescent="0.25">
      <c r="BV781"/>
      <c r="CL781" s="8"/>
    </row>
    <row r="782" spans="74:90" x14ac:dyDescent="0.25">
      <c r="BV782"/>
      <c r="CL782" s="8"/>
    </row>
    <row r="783" spans="74:90" x14ac:dyDescent="0.25">
      <c r="BV783"/>
      <c r="CL783" s="8"/>
    </row>
    <row r="784" spans="74:90" x14ac:dyDescent="0.25">
      <c r="BV784"/>
      <c r="CL784" s="8"/>
    </row>
    <row r="785" spans="74:90" x14ac:dyDescent="0.25">
      <c r="BV785"/>
      <c r="CL785" s="8"/>
    </row>
    <row r="786" spans="74:90" x14ac:dyDescent="0.25">
      <c r="BV786"/>
      <c r="CL786" s="8"/>
    </row>
    <row r="787" spans="74:90" x14ac:dyDescent="0.25">
      <c r="BV787"/>
      <c r="CL787" s="8"/>
    </row>
    <row r="788" spans="74:90" x14ac:dyDescent="0.25">
      <c r="BV788"/>
      <c r="CL788" s="8"/>
    </row>
    <row r="789" spans="74:90" x14ac:dyDescent="0.25">
      <c r="BV789"/>
      <c r="CL789" s="8"/>
    </row>
    <row r="790" spans="74:90" x14ac:dyDescent="0.25">
      <c r="BV790"/>
      <c r="CL790" s="8"/>
    </row>
    <row r="791" spans="74:90" x14ac:dyDescent="0.25">
      <c r="BV791"/>
      <c r="CL791" s="8"/>
    </row>
    <row r="792" spans="74:90" x14ac:dyDescent="0.25">
      <c r="BV792"/>
      <c r="CL792" s="8"/>
    </row>
    <row r="793" spans="74:90" x14ac:dyDescent="0.25">
      <c r="BV793"/>
      <c r="CL793" s="8"/>
    </row>
    <row r="794" spans="74:90" x14ac:dyDescent="0.25">
      <c r="BV794"/>
      <c r="CL794" s="8"/>
    </row>
    <row r="795" spans="74:90" x14ac:dyDescent="0.25">
      <c r="BV795"/>
      <c r="CL795" s="8"/>
    </row>
    <row r="796" spans="74:90" x14ac:dyDescent="0.25">
      <c r="BV796"/>
      <c r="CL796" s="8"/>
    </row>
    <row r="797" spans="74:90" x14ac:dyDescent="0.25">
      <c r="BV797"/>
      <c r="CL797" s="8"/>
    </row>
    <row r="798" spans="74:90" x14ac:dyDescent="0.25">
      <c r="BV798"/>
      <c r="CL798" s="8"/>
    </row>
    <row r="799" spans="74:90" x14ac:dyDescent="0.25">
      <c r="BV799"/>
      <c r="CL799" s="8"/>
    </row>
    <row r="800" spans="74:90" x14ac:dyDescent="0.25">
      <c r="BV800"/>
      <c r="CL800" s="8"/>
    </row>
    <row r="801" spans="74:90" x14ac:dyDescent="0.25">
      <c r="CL801" s="8"/>
    </row>
    <row r="802" spans="74:90" x14ac:dyDescent="0.25">
      <c r="BV802"/>
    </row>
    <row r="803" spans="74:90" x14ac:dyDescent="0.25">
      <c r="BV803"/>
      <c r="CL803" s="8"/>
    </row>
    <row r="804" spans="74:90" x14ac:dyDescent="0.25">
      <c r="BV804"/>
      <c r="CL804" s="8"/>
    </row>
    <row r="805" spans="74:90" x14ac:dyDescent="0.25">
      <c r="CL805" s="8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91"/>
  <sheetViews>
    <sheetView workbookViewId="0">
      <pane xSplit="1" ySplit="3" topLeftCell="B106" activePane="bottomRight" state="frozen"/>
      <selection pane="topRight"/>
      <selection pane="bottomLeft"/>
      <selection pane="bottomRight" activeCell="H140" sqref="H140"/>
    </sheetView>
  </sheetViews>
  <sheetFormatPr defaultColWidth="9" defaultRowHeight="14.05" x14ac:dyDescent="0.25"/>
  <cols>
    <col min="1" max="1" width="24.1640625" customWidth="1"/>
    <col min="2" max="2" width="5.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19</v>
      </c>
      <c r="E1" t="s">
        <v>1348</v>
      </c>
      <c r="F1" t="s">
        <v>1349</v>
      </c>
      <c r="G1" t="s">
        <v>1350</v>
      </c>
      <c r="H1" t="s">
        <v>1351</v>
      </c>
      <c r="I1" t="s">
        <v>1352</v>
      </c>
      <c r="J1" t="s">
        <v>1353</v>
      </c>
      <c r="L1" t="s">
        <v>1354</v>
      </c>
      <c r="M1" t="s">
        <v>1355</v>
      </c>
      <c r="N1" t="s">
        <v>1356</v>
      </c>
      <c r="O1" t="s">
        <v>1357</v>
      </c>
      <c r="P1" t="s">
        <v>1358</v>
      </c>
    </row>
    <row r="2" spans="1:17" x14ac:dyDescent="0.25">
      <c r="A2" t="s">
        <v>0</v>
      </c>
      <c r="C2" t="s">
        <v>60</v>
      </c>
      <c r="D2" t="s">
        <v>89</v>
      </c>
      <c r="E2" t="s">
        <v>1359</v>
      </c>
      <c r="F2" t="s">
        <v>1360</v>
      </c>
      <c r="G2" t="s">
        <v>1361</v>
      </c>
      <c r="H2" t="s">
        <v>1362</v>
      </c>
      <c r="I2" t="s">
        <v>1363</v>
      </c>
      <c r="J2" t="s">
        <v>1364</v>
      </c>
      <c r="K2" t="s">
        <v>1365</v>
      </c>
      <c r="L2" t="s">
        <v>65</v>
      </c>
      <c r="M2" t="s">
        <v>1366</v>
      </c>
      <c r="N2" t="s">
        <v>1367</v>
      </c>
      <c r="O2" t="s">
        <v>1368</v>
      </c>
      <c r="P2" t="s">
        <v>1369</v>
      </c>
      <c r="Q2" t="s">
        <v>493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125</v>
      </c>
      <c r="I3" t="s">
        <v>125</v>
      </c>
      <c r="J3" t="s">
        <v>523</v>
      </c>
      <c r="K3" t="s">
        <v>126</v>
      </c>
      <c r="L3" t="s">
        <v>487</v>
      </c>
      <c r="M3" t="s">
        <v>125</v>
      </c>
      <c r="N3" t="s">
        <v>125</v>
      </c>
      <c r="O3" t="s">
        <v>487</v>
      </c>
      <c r="P3" t="s">
        <v>125</v>
      </c>
      <c r="Q3" t="s">
        <v>134</v>
      </c>
    </row>
    <row r="4" spans="1:17" x14ac:dyDescent="0.25">
      <c r="A4" t="s">
        <v>536</v>
      </c>
      <c r="C4" t="s">
        <v>1370</v>
      </c>
      <c r="H4">
        <v>1</v>
      </c>
      <c r="N4">
        <v>1</v>
      </c>
      <c r="Q4" t="s">
        <v>1371</v>
      </c>
    </row>
    <row r="5" spans="1:17" x14ac:dyDescent="0.25">
      <c r="A5" s="5" t="s">
        <v>544</v>
      </c>
      <c r="C5" t="s">
        <v>1372</v>
      </c>
      <c r="H5">
        <v>1</v>
      </c>
      <c r="J5" t="s">
        <v>1373</v>
      </c>
      <c r="Q5" s="5"/>
    </row>
    <row r="6" spans="1:17" s="5" customFormat="1" x14ac:dyDescent="0.25">
      <c r="A6" s="5" t="s">
        <v>540</v>
      </c>
      <c r="C6" s="5" t="s">
        <v>1372</v>
      </c>
      <c r="H6" s="5">
        <v>1</v>
      </c>
      <c r="J6"/>
      <c r="P6"/>
    </row>
    <row r="7" spans="1:17" x14ac:dyDescent="0.25">
      <c r="A7" t="s">
        <v>547</v>
      </c>
      <c r="C7" t="s">
        <v>1374</v>
      </c>
      <c r="Q7" t="s">
        <v>1375</v>
      </c>
    </row>
    <row r="8" spans="1:17" x14ac:dyDescent="0.25">
      <c r="A8" t="s">
        <v>1376</v>
      </c>
      <c r="C8" t="s">
        <v>1372</v>
      </c>
    </row>
    <row r="9" spans="1:17" x14ac:dyDescent="0.25">
      <c r="A9" t="s">
        <v>560</v>
      </c>
      <c r="C9" t="s">
        <v>1374</v>
      </c>
      <c r="H9">
        <v>1</v>
      </c>
      <c r="J9" t="s">
        <v>637</v>
      </c>
      <c r="Q9" t="s">
        <v>1377</v>
      </c>
    </row>
    <row r="10" spans="1:17" x14ac:dyDescent="0.25">
      <c r="A10" t="s">
        <v>578</v>
      </c>
      <c r="C10" t="s">
        <v>1374</v>
      </c>
      <c r="H10">
        <v>1</v>
      </c>
      <c r="Q10" t="s">
        <v>1378</v>
      </c>
    </row>
    <row r="11" spans="1:17" x14ac:dyDescent="0.25">
      <c r="A11" t="s">
        <v>1379</v>
      </c>
      <c r="C11" t="s">
        <v>373</v>
      </c>
      <c r="H11">
        <v>1</v>
      </c>
      <c r="J11" t="s">
        <v>1380</v>
      </c>
      <c r="Q11" t="s">
        <v>1381</v>
      </c>
    </row>
    <row r="12" spans="1:17" x14ac:dyDescent="0.25">
      <c r="A12" t="s">
        <v>588</v>
      </c>
      <c r="C12" t="s">
        <v>1374</v>
      </c>
      <c r="H12">
        <v>1</v>
      </c>
      <c r="J12" t="s">
        <v>637</v>
      </c>
      <c r="Q12" t="s">
        <v>1378</v>
      </c>
    </row>
    <row r="13" spans="1:17" s="5" customFormat="1" x14ac:dyDescent="0.25">
      <c r="A13" s="5" t="s">
        <v>583</v>
      </c>
      <c r="C13" s="5" t="s">
        <v>1372</v>
      </c>
      <c r="H13" s="5">
        <v>1</v>
      </c>
      <c r="P13"/>
    </row>
    <row r="14" spans="1:17" x14ac:dyDescent="0.25">
      <c r="A14" t="s">
        <v>1382</v>
      </c>
      <c r="C14" t="s">
        <v>1372</v>
      </c>
      <c r="H14">
        <v>1</v>
      </c>
      <c r="J14" t="s">
        <v>583</v>
      </c>
    </row>
    <row r="15" spans="1:17" x14ac:dyDescent="0.25">
      <c r="A15" t="s">
        <v>592</v>
      </c>
      <c r="C15" t="s">
        <v>1383</v>
      </c>
      <c r="Q15" t="s">
        <v>1384</v>
      </c>
    </row>
    <row r="16" spans="1:17" x14ac:dyDescent="0.25">
      <c r="A16" t="s">
        <v>594</v>
      </c>
      <c r="C16" t="s">
        <v>1383</v>
      </c>
      <c r="Q16" t="s">
        <v>1385</v>
      </c>
    </row>
    <row r="17" spans="1:17" x14ac:dyDescent="0.25">
      <c r="A17" t="s">
        <v>591</v>
      </c>
      <c r="C17" t="s">
        <v>1386</v>
      </c>
      <c r="H17">
        <v>1</v>
      </c>
      <c r="Q17" t="s">
        <v>1387</v>
      </c>
    </row>
    <row r="18" spans="1:17" s="6" customFormat="1" x14ac:dyDescent="0.25"/>
    <row r="19" spans="1:17" x14ac:dyDescent="0.25">
      <c r="A19" t="s">
        <v>606</v>
      </c>
      <c r="C19" t="s">
        <v>1374</v>
      </c>
      <c r="F19">
        <v>1</v>
      </c>
      <c r="Q19" t="s">
        <v>1388</v>
      </c>
    </row>
    <row r="20" spans="1:17" x14ac:dyDescent="0.25">
      <c r="A20" t="s">
        <v>605</v>
      </c>
      <c r="C20" t="s">
        <v>1372</v>
      </c>
      <c r="F20">
        <v>1</v>
      </c>
    </row>
    <row r="22" spans="1:17" x14ac:dyDescent="0.25">
      <c r="A22" t="s">
        <v>617</v>
      </c>
      <c r="C22" t="s">
        <v>1374</v>
      </c>
      <c r="Q22" t="s">
        <v>1389</v>
      </c>
    </row>
    <row r="24" spans="1:17" x14ac:dyDescent="0.25">
      <c r="A24" t="s">
        <v>1390</v>
      </c>
      <c r="C24" t="s">
        <v>373</v>
      </c>
      <c r="H24">
        <v>1</v>
      </c>
      <c r="Q24" s="5" t="s">
        <v>1381</v>
      </c>
    </row>
    <row r="25" spans="1:17" s="6" customFormat="1" x14ac:dyDescent="0.25"/>
    <row r="26" spans="1:17" x14ac:dyDescent="0.25">
      <c r="A26" t="s">
        <v>657</v>
      </c>
      <c r="C26" t="s">
        <v>1391</v>
      </c>
      <c r="H26">
        <v>1</v>
      </c>
      <c r="Q26" t="s">
        <v>1392</v>
      </c>
    </row>
    <row r="28" spans="1:17" x14ac:dyDescent="0.25">
      <c r="A28" t="s">
        <v>670</v>
      </c>
      <c r="C28" t="s">
        <v>373</v>
      </c>
      <c r="H28">
        <v>1</v>
      </c>
      <c r="Q28" t="s">
        <v>1381</v>
      </c>
    </row>
    <row r="29" spans="1:17" s="6" customFormat="1" x14ac:dyDescent="0.25"/>
    <row r="30" spans="1:17" x14ac:dyDescent="0.25">
      <c r="A30" t="s">
        <v>685</v>
      </c>
      <c r="C30" t="s">
        <v>1372</v>
      </c>
    </row>
    <row r="31" spans="1:17" x14ac:dyDescent="0.25">
      <c r="A31" t="s">
        <v>1393</v>
      </c>
      <c r="C31" t="s">
        <v>373</v>
      </c>
      <c r="H31">
        <v>1</v>
      </c>
      <c r="Q31" s="5" t="s">
        <v>1394</v>
      </c>
    </row>
    <row r="32" spans="1:17" x14ac:dyDescent="0.25">
      <c r="A32" t="s">
        <v>724</v>
      </c>
      <c r="C32" t="s">
        <v>1372</v>
      </c>
      <c r="J32" t="s">
        <v>637</v>
      </c>
    </row>
    <row r="33" spans="1:27" x14ac:dyDescent="0.25">
      <c r="A33" t="s">
        <v>729</v>
      </c>
      <c r="C33" t="s">
        <v>1374</v>
      </c>
      <c r="Q33" t="s">
        <v>1395</v>
      </c>
    </row>
    <row r="34" spans="1:27" x14ac:dyDescent="0.25">
      <c r="A34" t="s">
        <v>1396</v>
      </c>
      <c r="C34" t="s">
        <v>373</v>
      </c>
      <c r="H34">
        <v>1</v>
      </c>
      <c r="Q34" s="5" t="s">
        <v>1397</v>
      </c>
    </row>
    <row r="35" spans="1:27" s="6" customFormat="1" x14ac:dyDescent="0.25"/>
    <row r="36" spans="1:27" x14ac:dyDescent="0.25">
      <c r="A36" t="s">
        <v>812</v>
      </c>
      <c r="C36" t="s">
        <v>1372</v>
      </c>
      <c r="H36">
        <v>1</v>
      </c>
      <c r="J36" t="s">
        <v>1398</v>
      </c>
      <c r="AA36" s="5"/>
    </row>
    <row r="37" spans="1:27" x14ac:dyDescent="0.25">
      <c r="A37" t="s">
        <v>1399</v>
      </c>
      <c r="C37" t="s">
        <v>1372</v>
      </c>
      <c r="H37">
        <v>1</v>
      </c>
      <c r="J37" t="s">
        <v>1400</v>
      </c>
      <c r="AA37" s="5"/>
    </row>
    <row r="38" spans="1:27" x14ac:dyDescent="0.25">
      <c r="A38" t="s">
        <v>1401</v>
      </c>
      <c r="C38" t="s">
        <v>1372</v>
      </c>
      <c r="H38">
        <v>1</v>
      </c>
      <c r="AA38" s="5"/>
    </row>
    <row r="39" spans="1:27" x14ac:dyDescent="0.25">
      <c r="A39" t="s">
        <v>786</v>
      </c>
      <c r="C39" t="s">
        <v>1374</v>
      </c>
      <c r="H39">
        <v>1</v>
      </c>
      <c r="J39" t="s">
        <v>1402</v>
      </c>
      <c r="Q39" s="5" t="s">
        <v>1403</v>
      </c>
    </row>
    <row r="40" spans="1:27" x14ac:dyDescent="0.25">
      <c r="A40" t="s">
        <v>1404</v>
      </c>
      <c r="C40" t="s">
        <v>373</v>
      </c>
      <c r="H40">
        <v>1</v>
      </c>
      <c r="Q40" s="5" t="s">
        <v>1394</v>
      </c>
    </row>
    <row r="41" spans="1:27" x14ac:dyDescent="0.25">
      <c r="A41" t="s">
        <v>811</v>
      </c>
      <c r="C41" t="s">
        <v>1374</v>
      </c>
      <c r="H41">
        <v>1</v>
      </c>
      <c r="J41" t="s">
        <v>1402</v>
      </c>
      <c r="Q41" s="5" t="s">
        <v>1405</v>
      </c>
    </row>
    <row r="42" spans="1:27" x14ac:dyDescent="0.25">
      <c r="A42" t="s">
        <v>1406</v>
      </c>
      <c r="C42" t="s">
        <v>373</v>
      </c>
      <c r="H42">
        <v>1</v>
      </c>
      <c r="Q42" s="5" t="s">
        <v>1381</v>
      </c>
    </row>
    <row r="43" spans="1:27" s="6" customFormat="1" x14ac:dyDescent="0.25"/>
    <row r="44" spans="1:27" x14ac:dyDescent="0.25">
      <c r="A44" t="s">
        <v>843</v>
      </c>
      <c r="C44" t="s">
        <v>1374</v>
      </c>
      <c r="H44">
        <v>1</v>
      </c>
      <c r="J44" t="s">
        <v>1407</v>
      </c>
      <c r="Q44" t="s">
        <v>1408</v>
      </c>
    </row>
    <row r="45" spans="1:27" x14ac:dyDescent="0.25">
      <c r="A45" t="s">
        <v>849</v>
      </c>
      <c r="C45" t="s">
        <v>1409</v>
      </c>
      <c r="H45">
        <v>1</v>
      </c>
      <c r="J45" t="s">
        <v>1410</v>
      </c>
      <c r="Q45" t="s">
        <v>1411</v>
      </c>
    </row>
    <row r="46" spans="1:27" x14ac:dyDescent="0.25">
      <c r="A46" t="s">
        <v>843</v>
      </c>
      <c r="C46" t="s">
        <v>1374</v>
      </c>
      <c r="H46">
        <v>1</v>
      </c>
      <c r="J46" t="s">
        <v>1407</v>
      </c>
      <c r="Q46" t="s">
        <v>1408</v>
      </c>
    </row>
    <row r="47" spans="1:27" x14ac:dyDescent="0.25">
      <c r="A47" t="s">
        <v>849</v>
      </c>
      <c r="C47" t="s">
        <v>1409</v>
      </c>
      <c r="H47">
        <v>1</v>
      </c>
      <c r="J47" t="s">
        <v>1410</v>
      </c>
      <c r="Q47" t="s">
        <v>1411</v>
      </c>
    </row>
    <row r="48" spans="1:27" s="5" customFormat="1" x14ac:dyDescent="0.25">
      <c r="A48" s="5" t="s">
        <v>851</v>
      </c>
      <c r="C48" s="5" t="s">
        <v>1374</v>
      </c>
      <c r="H48" s="5">
        <v>1</v>
      </c>
      <c r="Q48" s="5" t="s">
        <v>1412</v>
      </c>
    </row>
    <row r="49" spans="1:17" x14ac:dyDescent="0.25">
      <c r="A49" t="s">
        <v>1413</v>
      </c>
      <c r="C49" t="s">
        <v>1370</v>
      </c>
      <c r="H49">
        <v>1</v>
      </c>
      <c r="N49">
        <v>1</v>
      </c>
      <c r="Q49" t="s">
        <v>1414</v>
      </c>
    </row>
    <row r="50" spans="1:17" x14ac:dyDescent="0.25">
      <c r="A50" t="s">
        <v>1415</v>
      </c>
      <c r="C50" t="s">
        <v>1370</v>
      </c>
      <c r="H50">
        <v>1</v>
      </c>
      <c r="N50">
        <v>1</v>
      </c>
      <c r="Q50" t="s">
        <v>1416</v>
      </c>
    </row>
    <row r="51" spans="1:17" s="5" customFormat="1" x14ac:dyDescent="0.25">
      <c r="A51" s="5" t="s">
        <v>856</v>
      </c>
      <c r="C51" s="5" t="s">
        <v>1372</v>
      </c>
      <c r="H51" s="5">
        <v>1</v>
      </c>
      <c r="K51"/>
    </row>
    <row r="52" spans="1:17" x14ac:dyDescent="0.25">
      <c r="A52" t="s">
        <v>873</v>
      </c>
      <c r="C52" t="s">
        <v>1374</v>
      </c>
      <c r="H52">
        <v>1</v>
      </c>
      <c r="Q52" t="s">
        <v>1408</v>
      </c>
    </row>
    <row r="53" spans="1:17" s="5" customFormat="1" x14ac:dyDescent="0.25">
      <c r="A53" s="5" t="s">
        <v>871</v>
      </c>
      <c r="C53" s="5" t="s">
        <v>1372</v>
      </c>
      <c r="H53" s="5">
        <v>1</v>
      </c>
      <c r="K53"/>
    </row>
    <row r="54" spans="1:17" s="5" customFormat="1" x14ac:dyDescent="0.25">
      <c r="A54" s="5" t="s">
        <v>869</v>
      </c>
      <c r="C54" s="5" t="s">
        <v>1372</v>
      </c>
      <c r="H54" s="5">
        <v>1</v>
      </c>
      <c r="K54"/>
    </row>
    <row r="55" spans="1:17" x14ac:dyDescent="0.25">
      <c r="A55" t="s">
        <v>1417</v>
      </c>
      <c r="C55" t="s">
        <v>373</v>
      </c>
      <c r="Q55" t="s">
        <v>1394</v>
      </c>
    </row>
    <row r="56" spans="1:17" s="5" customFormat="1" x14ac:dyDescent="0.25">
      <c r="A56" s="5" t="s">
        <v>883</v>
      </c>
      <c r="C56" s="5" t="s">
        <v>1374</v>
      </c>
      <c r="H56" s="5">
        <v>1</v>
      </c>
      <c r="J56"/>
      <c r="Q56" s="5" t="s">
        <v>1418</v>
      </c>
    </row>
    <row r="57" spans="1:17" x14ac:dyDescent="0.25">
      <c r="A57" t="s">
        <v>1419</v>
      </c>
      <c r="C57" t="s">
        <v>1409</v>
      </c>
      <c r="H57">
        <v>1</v>
      </c>
      <c r="J57" t="s">
        <v>1410</v>
      </c>
      <c r="Q57" t="s">
        <v>1411</v>
      </c>
    </row>
    <row r="58" spans="1:17" x14ac:dyDescent="0.25">
      <c r="A58" t="s">
        <v>1420</v>
      </c>
      <c r="C58" s="5" t="s">
        <v>1372</v>
      </c>
      <c r="J58" t="s">
        <v>1421</v>
      </c>
    </row>
    <row r="59" spans="1:17" x14ac:dyDescent="0.25">
      <c r="A59" t="s">
        <v>1422</v>
      </c>
      <c r="C59" s="5" t="s">
        <v>1372</v>
      </c>
      <c r="J59" t="s">
        <v>1423</v>
      </c>
    </row>
    <row r="60" spans="1:17" x14ac:dyDescent="0.25">
      <c r="A60" t="s">
        <v>1424</v>
      </c>
      <c r="C60" s="5" t="s">
        <v>1372</v>
      </c>
      <c r="J60" t="s">
        <v>1425</v>
      </c>
    </row>
    <row r="61" spans="1:17" x14ac:dyDescent="0.25">
      <c r="A61" t="s">
        <v>1426</v>
      </c>
      <c r="C61" s="5" t="s">
        <v>1372</v>
      </c>
      <c r="J61" t="s">
        <v>1427</v>
      </c>
    </row>
    <row r="62" spans="1:17" s="5" customFormat="1" x14ac:dyDescent="0.25">
      <c r="A62" s="5" t="s">
        <v>885</v>
      </c>
      <c r="C62" s="5" t="s">
        <v>1372</v>
      </c>
      <c r="H62" s="5">
        <v>1</v>
      </c>
      <c r="J62" t="s">
        <v>1428</v>
      </c>
    </row>
    <row r="63" spans="1:17" x14ac:dyDescent="0.25">
      <c r="A63" t="s">
        <v>1429</v>
      </c>
      <c r="C63" t="s">
        <v>373</v>
      </c>
      <c r="Q63" t="s">
        <v>1381</v>
      </c>
    </row>
    <row r="64" spans="1:17" x14ac:dyDescent="0.25">
      <c r="A64" t="s">
        <v>855</v>
      </c>
      <c r="C64" t="s">
        <v>1372</v>
      </c>
      <c r="H64">
        <v>1</v>
      </c>
    </row>
    <row r="65" spans="1:17" s="6" customFormat="1" x14ac:dyDescent="0.25"/>
    <row r="66" spans="1:17" x14ac:dyDescent="0.25">
      <c r="A66" t="s">
        <v>906</v>
      </c>
      <c r="C66" t="s">
        <v>1372</v>
      </c>
      <c r="H66">
        <v>1</v>
      </c>
    </row>
    <row r="67" spans="1:17" x14ac:dyDescent="0.25">
      <c r="A67" t="s">
        <v>1430</v>
      </c>
      <c r="C67" t="s">
        <v>1374</v>
      </c>
      <c r="H67">
        <v>1</v>
      </c>
      <c r="J67" t="s">
        <v>1431</v>
      </c>
      <c r="Q67" t="s">
        <v>1432</v>
      </c>
    </row>
    <row r="70" spans="1:17" x14ac:dyDescent="0.25">
      <c r="A70" t="s">
        <v>929</v>
      </c>
      <c r="C70" t="s">
        <v>1374</v>
      </c>
      <c r="H70">
        <v>1</v>
      </c>
      <c r="J70" t="s">
        <v>1433</v>
      </c>
      <c r="Q70" t="s">
        <v>1412</v>
      </c>
    </row>
    <row r="71" spans="1:17" x14ac:dyDescent="0.25">
      <c r="A71" t="s">
        <v>1434</v>
      </c>
      <c r="C71" t="s">
        <v>373</v>
      </c>
      <c r="H71">
        <v>1</v>
      </c>
      <c r="Q71" t="s">
        <v>1435</v>
      </c>
    </row>
    <row r="72" spans="1:17" x14ac:dyDescent="0.25">
      <c r="A72" t="s">
        <v>1436</v>
      </c>
      <c r="C72" t="s">
        <v>1374</v>
      </c>
      <c r="H72">
        <v>1</v>
      </c>
      <c r="J72" t="s">
        <v>1437</v>
      </c>
      <c r="Q72" t="s">
        <v>1432</v>
      </c>
    </row>
    <row r="73" spans="1:17" x14ac:dyDescent="0.25">
      <c r="A73" t="s">
        <v>944</v>
      </c>
      <c r="C73" t="s">
        <v>373</v>
      </c>
      <c r="H73">
        <v>1</v>
      </c>
      <c r="J73" t="s">
        <v>1402</v>
      </c>
      <c r="Q73" t="s">
        <v>1438</v>
      </c>
    </row>
    <row r="74" spans="1:17" x14ac:dyDescent="0.25">
      <c r="A74" t="s">
        <v>948</v>
      </c>
      <c r="C74" t="s">
        <v>1372</v>
      </c>
      <c r="H74">
        <v>1</v>
      </c>
    </row>
    <row r="75" spans="1:17" x14ac:dyDescent="0.25">
      <c r="A75" t="s">
        <v>1439</v>
      </c>
      <c r="C75" t="s">
        <v>1391</v>
      </c>
      <c r="K75">
        <v>0.3</v>
      </c>
      <c r="Q75" t="s">
        <v>1440</v>
      </c>
    </row>
    <row r="76" spans="1:17" x14ac:dyDescent="0.25">
      <c r="A76" t="s">
        <v>1441</v>
      </c>
      <c r="C76" t="s">
        <v>1391</v>
      </c>
      <c r="H76">
        <v>1</v>
      </c>
      <c r="Q76" t="s">
        <v>1442</v>
      </c>
    </row>
    <row r="77" spans="1:17" x14ac:dyDescent="0.25">
      <c r="A77" t="s">
        <v>949</v>
      </c>
      <c r="C77" t="s">
        <v>1372</v>
      </c>
      <c r="H77">
        <v>1</v>
      </c>
    </row>
    <row r="78" spans="1:17" x14ac:dyDescent="0.25">
      <c r="A78" t="s">
        <v>1443</v>
      </c>
      <c r="C78" t="s">
        <v>1374</v>
      </c>
      <c r="H78">
        <v>1</v>
      </c>
      <c r="J78" t="s">
        <v>1407</v>
      </c>
      <c r="Q78" t="s">
        <v>1412</v>
      </c>
    </row>
    <row r="79" spans="1:17" x14ac:dyDescent="0.25">
      <c r="A79" t="s">
        <v>962</v>
      </c>
      <c r="C79" t="s">
        <v>373</v>
      </c>
      <c r="H79">
        <v>1</v>
      </c>
      <c r="Q79" t="s">
        <v>1381</v>
      </c>
    </row>
    <row r="81" spans="1:17" x14ac:dyDescent="0.25">
      <c r="A81" t="s">
        <v>971</v>
      </c>
      <c r="C81" t="s">
        <v>1372</v>
      </c>
      <c r="H81">
        <v>1</v>
      </c>
      <c r="Q81" t="s">
        <v>1444</v>
      </c>
    </row>
    <row r="82" spans="1:17" x14ac:dyDescent="0.25">
      <c r="A82" t="s">
        <v>1445</v>
      </c>
      <c r="C82" t="s">
        <v>1446</v>
      </c>
      <c r="H82">
        <v>1</v>
      </c>
      <c r="Q82" t="s">
        <v>1447</v>
      </c>
    </row>
    <row r="83" spans="1:17" x14ac:dyDescent="0.25">
      <c r="A83" t="s">
        <v>1448</v>
      </c>
      <c r="C83" t="s">
        <v>373</v>
      </c>
      <c r="H83">
        <v>1</v>
      </c>
      <c r="Q83" t="s">
        <v>1449</v>
      </c>
    </row>
    <row r="84" spans="1:17" x14ac:dyDescent="0.25">
      <c r="A84" t="s">
        <v>1450</v>
      </c>
      <c r="C84" t="s">
        <v>1370</v>
      </c>
      <c r="H84">
        <v>1</v>
      </c>
      <c r="Q84" t="s">
        <v>1451</v>
      </c>
    </row>
    <row r="85" spans="1:17" x14ac:dyDescent="0.25">
      <c r="A85" t="s">
        <v>1452</v>
      </c>
      <c r="C85" t="s">
        <v>1453</v>
      </c>
      <c r="H85">
        <v>1</v>
      </c>
      <c r="J85" t="s">
        <v>1454</v>
      </c>
      <c r="Q85" t="s">
        <v>1455</v>
      </c>
    </row>
    <row r="86" spans="1:17" x14ac:dyDescent="0.25">
      <c r="A86" t="s">
        <v>967</v>
      </c>
      <c r="C86" t="s">
        <v>1446</v>
      </c>
      <c r="H86">
        <v>1</v>
      </c>
      <c r="Q86" t="s">
        <v>1447</v>
      </c>
    </row>
    <row r="87" spans="1:17" x14ac:dyDescent="0.25">
      <c r="A87" t="s">
        <v>987</v>
      </c>
      <c r="C87" t="s">
        <v>1372</v>
      </c>
      <c r="H87">
        <v>1</v>
      </c>
    </row>
    <row r="89" spans="1:17" x14ac:dyDescent="0.25">
      <c r="A89" t="s">
        <v>1002</v>
      </c>
      <c r="C89" t="s">
        <v>1374</v>
      </c>
      <c r="H89">
        <v>1</v>
      </c>
      <c r="J89" t="s">
        <v>1402</v>
      </c>
      <c r="Q89" t="s">
        <v>1456</v>
      </c>
    </row>
    <row r="90" spans="1:17" x14ac:dyDescent="0.25">
      <c r="A90" t="s">
        <v>1457</v>
      </c>
      <c r="C90" t="s">
        <v>373</v>
      </c>
      <c r="H90">
        <v>1</v>
      </c>
      <c r="Q90" t="s">
        <v>1394</v>
      </c>
    </row>
    <row r="91" spans="1:17" x14ac:dyDescent="0.25">
      <c r="A91" t="s">
        <v>1006</v>
      </c>
      <c r="C91" t="s">
        <v>1372</v>
      </c>
      <c r="H91">
        <v>1</v>
      </c>
    </row>
    <row r="92" spans="1:17" x14ac:dyDescent="0.25">
      <c r="A92" t="s">
        <v>1458</v>
      </c>
      <c r="C92" t="s">
        <v>373</v>
      </c>
      <c r="H92">
        <v>1</v>
      </c>
      <c r="Q92" t="s">
        <v>1397</v>
      </c>
    </row>
    <row r="93" spans="1:17" x14ac:dyDescent="0.25">
      <c r="A93" t="s">
        <v>1020</v>
      </c>
      <c r="C93" t="s">
        <v>1374</v>
      </c>
      <c r="H93">
        <v>1</v>
      </c>
      <c r="J93" t="s">
        <v>1402</v>
      </c>
      <c r="Q93" t="s">
        <v>1456</v>
      </c>
    </row>
    <row r="94" spans="1:17" x14ac:dyDescent="0.25">
      <c r="A94" t="s">
        <v>1026</v>
      </c>
      <c r="C94" t="s">
        <v>1372</v>
      </c>
      <c r="H94">
        <v>1</v>
      </c>
    </row>
    <row r="95" spans="1:17" x14ac:dyDescent="0.25">
      <c r="A95" t="s">
        <v>1029</v>
      </c>
      <c r="C95" t="s">
        <v>1372</v>
      </c>
      <c r="H95">
        <v>1</v>
      </c>
    </row>
    <row r="97" spans="1:17" x14ac:dyDescent="0.25">
      <c r="A97" t="s">
        <v>1037</v>
      </c>
      <c r="C97" t="s">
        <v>1372</v>
      </c>
      <c r="H97">
        <v>1</v>
      </c>
    </row>
    <row r="98" spans="1:17" x14ac:dyDescent="0.25">
      <c r="A98" t="s">
        <v>1043</v>
      </c>
      <c r="C98" t="s">
        <v>1372</v>
      </c>
      <c r="H98">
        <v>1</v>
      </c>
      <c r="J98" t="s">
        <v>1459</v>
      </c>
    </row>
    <row r="99" spans="1:17" x14ac:dyDescent="0.25">
      <c r="A99" t="s">
        <v>1048</v>
      </c>
      <c r="C99" t="s">
        <v>1372</v>
      </c>
      <c r="H99">
        <v>1</v>
      </c>
    </row>
    <row r="100" spans="1:17" x14ac:dyDescent="0.25">
      <c r="A100" t="s">
        <v>1041</v>
      </c>
      <c r="C100" t="s">
        <v>1460</v>
      </c>
      <c r="J100" t="s">
        <v>1461</v>
      </c>
      <c r="K100">
        <v>9999</v>
      </c>
      <c r="Q100" t="s">
        <v>1462</v>
      </c>
    </row>
    <row r="101" spans="1:17" x14ac:dyDescent="0.25">
      <c r="A101" t="s">
        <v>1035</v>
      </c>
      <c r="C101" t="s">
        <v>1372</v>
      </c>
      <c r="H101">
        <v>1</v>
      </c>
    </row>
    <row r="102" spans="1:17" x14ac:dyDescent="0.25">
      <c r="A102" t="s">
        <v>1064</v>
      </c>
      <c r="C102" t="s">
        <v>1374</v>
      </c>
      <c r="H102">
        <v>1</v>
      </c>
      <c r="J102" t="s">
        <v>1463</v>
      </c>
      <c r="Q102" t="s">
        <v>1464</v>
      </c>
    </row>
    <row r="103" spans="1:17" x14ac:dyDescent="0.25">
      <c r="A103" t="s">
        <v>1069</v>
      </c>
      <c r="C103" t="s">
        <v>1372</v>
      </c>
      <c r="H103">
        <v>1</v>
      </c>
    </row>
    <row r="104" spans="1:17" x14ac:dyDescent="0.25">
      <c r="A104" t="s">
        <v>1068</v>
      </c>
      <c r="C104" t="s">
        <v>1372</v>
      </c>
      <c r="H104">
        <v>1</v>
      </c>
    </row>
    <row r="105" spans="1:17" x14ac:dyDescent="0.25">
      <c r="A105" t="s">
        <v>1065</v>
      </c>
      <c r="C105" t="s">
        <v>1372</v>
      </c>
      <c r="H105">
        <v>1</v>
      </c>
    </row>
    <row r="106" spans="1:17" x14ac:dyDescent="0.25">
      <c r="A106" t="s">
        <v>1465</v>
      </c>
      <c r="C106" t="s">
        <v>373</v>
      </c>
      <c r="H106">
        <v>1</v>
      </c>
      <c r="J106" t="s">
        <v>1466</v>
      </c>
      <c r="Q106" t="s">
        <v>1438</v>
      </c>
    </row>
    <row r="107" spans="1:17" x14ac:dyDescent="0.25">
      <c r="A107" t="s">
        <v>1085</v>
      </c>
      <c r="C107" t="s">
        <v>1374</v>
      </c>
      <c r="H107">
        <v>1</v>
      </c>
      <c r="J107" t="s">
        <v>1407</v>
      </c>
      <c r="Q107" t="s">
        <v>1412</v>
      </c>
    </row>
    <row r="108" spans="1:17" x14ac:dyDescent="0.25">
      <c r="A108" t="s">
        <v>1090</v>
      </c>
      <c r="C108" t="s">
        <v>1460</v>
      </c>
      <c r="J108" t="s">
        <v>1461</v>
      </c>
      <c r="K108">
        <v>9999</v>
      </c>
      <c r="Q108" t="s">
        <v>1467</v>
      </c>
    </row>
    <row r="109" spans="1:17" x14ac:dyDescent="0.25">
      <c r="A109" t="s">
        <v>1468</v>
      </c>
      <c r="C109" t="s">
        <v>373</v>
      </c>
      <c r="H109">
        <v>1</v>
      </c>
      <c r="J109" t="s">
        <v>1469</v>
      </c>
      <c r="Q109" t="s">
        <v>1381</v>
      </c>
    </row>
    <row r="110" spans="1:17" x14ac:dyDescent="0.25">
      <c r="A110" t="s">
        <v>1470</v>
      </c>
      <c r="C110" t="s">
        <v>1372</v>
      </c>
      <c r="H110">
        <v>1</v>
      </c>
      <c r="J110" t="s">
        <v>1402</v>
      </c>
    </row>
    <row r="112" spans="1:17" x14ac:dyDescent="0.25">
      <c r="A112" t="s">
        <v>1097</v>
      </c>
      <c r="C112" t="s">
        <v>1391</v>
      </c>
      <c r="H112">
        <v>1</v>
      </c>
      <c r="Q112" t="s">
        <v>1471</v>
      </c>
    </row>
    <row r="113" spans="1:17" x14ac:dyDescent="0.25">
      <c r="A113" t="s">
        <v>1107</v>
      </c>
      <c r="C113" t="s">
        <v>373</v>
      </c>
      <c r="H113">
        <v>1</v>
      </c>
      <c r="Q113" s="5" t="s">
        <v>1472</v>
      </c>
    </row>
    <row r="114" spans="1:17" x14ac:dyDescent="0.25">
      <c r="A114" t="s">
        <v>1473</v>
      </c>
      <c r="C114" t="s">
        <v>1374</v>
      </c>
      <c r="H114">
        <v>1</v>
      </c>
      <c r="Q114" s="5" t="s">
        <v>1474</v>
      </c>
    </row>
    <row r="115" spans="1:17" x14ac:dyDescent="0.25">
      <c r="A115" t="s">
        <v>1117</v>
      </c>
      <c r="C115" t="s">
        <v>373</v>
      </c>
      <c r="H115">
        <v>1</v>
      </c>
      <c r="Q115" s="5" t="s">
        <v>1381</v>
      </c>
    </row>
    <row r="117" spans="1:17" x14ac:dyDescent="0.25">
      <c r="A117" t="s">
        <v>1125</v>
      </c>
      <c r="C117" t="s">
        <v>1372</v>
      </c>
      <c r="H117">
        <v>1</v>
      </c>
    </row>
    <row r="118" spans="1:17" x14ac:dyDescent="0.25">
      <c r="A118" t="s">
        <v>1140</v>
      </c>
      <c r="C118" t="s">
        <v>1374</v>
      </c>
      <c r="H118">
        <v>1</v>
      </c>
      <c r="J118" t="s">
        <v>1475</v>
      </c>
      <c r="Q118" t="s">
        <v>1412</v>
      </c>
    </row>
    <row r="119" spans="1:17" x14ac:dyDescent="0.25">
      <c r="A119" t="s">
        <v>1476</v>
      </c>
      <c r="C119" t="s">
        <v>373</v>
      </c>
      <c r="H119">
        <v>1</v>
      </c>
      <c r="Q119" t="s">
        <v>1477</v>
      </c>
    </row>
    <row r="120" spans="1:17" x14ac:dyDescent="0.25">
      <c r="A120" t="s">
        <v>1159</v>
      </c>
      <c r="C120" t="s">
        <v>1372</v>
      </c>
      <c r="H120">
        <v>1</v>
      </c>
    </row>
    <row r="121" spans="1:17" x14ac:dyDescent="0.25">
      <c r="A121" t="s">
        <v>1478</v>
      </c>
      <c r="C121" t="s">
        <v>373</v>
      </c>
      <c r="H121">
        <v>1</v>
      </c>
      <c r="Q121" t="s">
        <v>1479</v>
      </c>
    </row>
    <row r="122" spans="1:17" x14ac:dyDescent="0.25">
      <c r="A122" t="s">
        <v>1480</v>
      </c>
      <c r="C122" t="s">
        <v>373</v>
      </c>
      <c r="H122">
        <v>1</v>
      </c>
      <c r="J122" t="s">
        <v>1459</v>
      </c>
      <c r="Q122" t="s">
        <v>1481</v>
      </c>
    </row>
    <row r="123" spans="1:17" x14ac:dyDescent="0.25">
      <c r="A123" t="s">
        <v>1482</v>
      </c>
      <c r="C123" t="s">
        <v>1374</v>
      </c>
      <c r="H123">
        <v>1</v>
      </c>
      <c r="J123" t="s">
        <v>1483</v>
      </c>
      <c r="Q123" t="s">
        <v>1484</v>
      </c>
    </row>
    <row r="124" spans="1:17" x14ac:dyDescent="0.25">
      <c r="A124" t="s">
        <v>1485</v>
      </c>
      <c r="C124" s="5" t="s">
        <v>1486</v>
      </c>
      <c r="H124">
        <v>1</v>
      </c>
      <c r="Q124" t="s">
        <v>1487</v>
      </c>
    </row>
    <row r="125" spans="1:17" x14ac:dyDescent="0.25">
      <c r="A125" t="s">
        <v>1129</v>
      </c>
      <c r="C125" t="s">
        <v>1374</v>
      </c>
      <c r="H125">
        <v>1</v>
      </c>
      <c r="Q125" t="s">
        <v>1488</v>
      </c>
    </row>
    <row r="126" spans="1:17" ht="13.7" customHeight="1" x14ac:dyDescent="0.25">
      <c r="A126" t="s">
        <v>1190</v>
      </c>
      <c r="C126" t="s">
        <v>1489</v>
      </c>
      <c r="H126">
        <v>1</v>
      </c>
      <c r="Q126" t="s">
        <v>1490</v>
      </c>
    </row>
    <row r="127" spans="1:17" s="5" customFormat="1" x14ac:dyDescent="0.25">
      <c r="A127" s="5" t="s">
        <v>1185</v>
      </c>
      <c r="C127" s="5" t="s">
        <v>1372</v>
      </c>
      <c r="H127" s="5">
        <v>1</v>
      </c>
      <c r="J127" t="s">
        <v>1491</v>
      </c>
      <c r="K127"/>
      <c r="Q127"/>
    </row>
    <row r="128" spans="1:17" s="5" customFormat="1" x14ac:dyDescent="0.25">
      <c r="A128" s="5" t="s">
        <v>1204</v>
      </c>
      <c r="C128" s="5" t="s">
        <v>1374</v>
      </c>
      <c r="H128" s="5">
        <v>1</v>
      </c>
      <c r="J128" t="s">
        <v>1492</v>
      </c>
      <c r="K128"/>
      <c r="Q128" t="s">
        <v>1493</v>
      </c>
    </row>
    <row r="129" spans="1:19" x14ac:dyDescent="0.25">
      <c r="A129" t="s">
        <v>1494</v>
      </c>
      <c r="C129" t="s">
        <v>373</v>
      </c>
      <c r="H129">
        <v>1</v>
      </c>
      <c r="J129" t="s">
        <v>1495</v>
      </c>
      <c r="Q129" t="s">
        <v>1496</v>
      </c>
    </row>
    <row r="130" spans="1:19" x14ac:dyDescent="0.25">
      <c r="A130" t="s">
        <v>1196</v>
      </c>
      <c r="C130" t="s">
        <v>1372</v>
      </c>
      <c r="H130">
        <v>1</v>
      </c>
    </row>
    <row r="131" spans="1:19" x14ac:dyDescent="0.25">
      <c r="A131" t="s">
        <v>1203</v>
      </c>
      <c r="C131" t="s">
        <v>1372</v>
      </c>
      <c r="H131">
        <v>1</v>
      </c>
    </row>
    <row r="132" spans="1:19" x14ac:dyDescent="0.25">
      <c r="A132" t="s">
        <v>1210</v>
      </c>
      <c r="C132" t="s">
        <v>1372</v>
      </c>
      <c r="H132">
        <v>1</v>
      </c>
      <c r="J132" t="s">
        <v>1497</v>
      </c>
    </row>
    <row r="133" spans="1:19" x14ac:dyDescent="0.25">
      <c r="A133" t="s">
        <v>1222</v>
      </c>
      <c r="C133" t="s">
        <v>373</v>
      </c>
      <c r="H133">
        <v>1</v>
      </c>
      <c r="J133" t="s">
        <v>1498</v>
      </c>
      <c r="Q133" t="s">
        <v>1381</v>
      </c>
    </row>
    <row r="135" spans="1:19" x14ac:dyDescent="0.25">
      <c r="A135" t="s">
        <v>1232</v>
      </c>
      <c r="C135" t="s">
        <v>1372</v>
      </c>
      <c r="H135">
        <v>1</v>
      </c>
      <c r="K135">
        <v>1</v>
      </c>
    </row>
    <row r="136" spans="1:19" x14ac:dyDescent="0.25">
      <c r="A136" t="s">
        <v>1235</v>
      </c>
      <c r="C136" t="s">
        <v>1372</v>
      </c>
      <c r="H136">
        <v>1</v>
      </c>
      <c r="J136" t="s">
        <v>1469</v>
      </c>
      <c r="K136">
        <v>9999</v>
      </c>
      <c r="S136" t="s">
        <v>1499</v>
      </c>
    </row>
    <row r="137" spans="1:19" x14ac:dyDescent="0.25">
      <c r="A137" t="s">
        <v>1237</v>
      </c>
      <c r="C137" t="s">
        <v>1372</v>
      </c>
      <c r="H137">
        <v>1</v>
      </c>
      <c r="S137" t="s">
        <v>1499</v>
      </c>
    </row>
    <row r="138" spans="1:19" x14ac:dyDescent="0.25">
      <c r="A138" t="s">
        <v>275</v>
      </c>
      <c r="C138" t="s">
        <v>1372</v>
      </c>
      <c r="H138">
        <v>1</v>
      </c>
    </row>
    <row r="139" spans="1:19" x14ac:dyDescent="0.25">
      <c r="A139" t="s">
        <v>1500</v>
      </c>
      <c r="C139" t="s">
        <v>1374</v>
      </c>
      <c r="J139" t="s">
        <v>1460</v>
      </c>
      <c r="K139">
        <v>1</v>
      </c>
      <c r="Q139" t="s">
        <v>1501</v>
      </c>
    </row>
    <row r="140" spans="1:19" x14ac:dyDescent="0.25">
      <c r="A140" t="s">
        <v>1254</v>
      </c>
      <c r="C140" t="s">
        <v>1372</v>
      </c>
      <c r="H140">
        <v>1</v>
      </c>
      <c r="K140">
        <v>0.1</v>
      </c>
    </row>
    <row r="141" spans="1:19" x14ac:dyDescent="0.25">
      <c r="A141" t="s">
        <v>1279</v>
      </c>
      <c r="C141" t="s">
        <v>1374</v>
      </c>
      <c r="H141">
        <v>1</v>
      </c>
      <c r="J141" t="s">
        <v>1402</v>
      </c>
      <c r="Q141" t="s">
        <v>1456</v>
      </c>
    </row>
    <row r="142" spans="1:19" x14ac:dyDescent="0.25">
      <c r="A142" t="s">
        <v>1502</v>
      </c>
      <c r="C142" t="s">
        <v>373</v>
      </c>
      <c r="H142">
        <v>1</v>
      </c>
      <c r="Q142" t="s">
        <v>1394</v>
      </c>
    </row>
    <row r="143" spans="1:19" x14ac:dyDescent="0.25">
      <c r="A143" t="s">
        <v>1263</v>
      </c>
      <c r="C143" t="s">
        <v>1372</v>
      </c>
      <c r="H143">
        <v>1</v>
      </c>
      <c r="J143" t="s">
        <v>1407</v>
      </c>
    </row>
    <row r="144" spans="1:19" x14ac:dyDescent="0.25">
      <c r="A144" t="s">
        <v>1267</v>
      </c>
      <c r="C144" t="s">
        <v>1372</v>
      </c>
      <c r="H144">
        <v>1</v>
      </c>
      <c r="K144">
        <v>0.05</v>
      </c>
    </row>
    <row r="145" spans="1:17" x14ac:dyDescent="0.25">
      <c r="A145" t="s">
        <v>1271</v>
      </c>
      <c r="C145" t="s">
        <v>373</v>
      </c>
      <c r="H145">
        <v>1</v>
      </c>
      <c r="J145" t="s">
        <v>1459</v>
      </c>
      <c r="Q145" t="s">
        <v>1503</v>
      </c>
    </row>
    <row r="146" spans="1:17" x14ac:dyDescent="0.25">
      <c r="A146" t="s">
        <v>1277</v>
      </c>
      <c r="C146" t="s">
        <v>1372</v>
      </c>
      <c r="H146">
        <v>1</v>
      </c>
      <c r="K146">
        <v>0.05</v>
      </c>
    </row>
    <row r="147" spans="1:17" x14ac:dyDescent="0.25">
      <c r="A147" t="s">
        <v>1275</v>
      </c>
      <c r="C147" t="s">
        <v>1372</v>
      </c>
      <c r="H147">
        <v>1</v>
      </c>
      <c r="K147">
        <v>0.1</v>
      </c>
    </row>
    <row r="148" spans="1:17" x14ac:dyDescent="0.25">
      <c r="A148" t="s">
        <v>1297</v>
      </c>
      <c r="C148" t="s">
        <v>1374</v>
      </c>
      <c r="H148">
        <v>1</v>
      </c>
      <c r="J148" t="s">
        <v>1504</v>
      </c>
      <c r="Q148" t="s">
        <v>1456</v>
      </c>
    </row>
    <row r="149" spans="1:17" x14ac:dyDescent="0.25">
      <c r="A149" t="s">
        <v>1505</v>
      </c>
      <c r="C149" t="s">
        <v>373</v>
      </c>
      <c r="H149">
        <v>1</v>
      </c>
      <c r="J149" t="s">
        <v>737</v>
      </c>
      <c r="Q149" t="s">
        <v>1381</v>
      </c>
    </row>
    <row r="150" spans="1:17" x14ac:dyDescent="0.25">
      <c r="A150" t="s">
        <v>1302</v>
      </c>
      <c r="C150" t="s">
        <v>1372</v>
      </c>
      <c r="H150">
        <v>1</v>
      </c>
      <c r="K150">
        <v>0.1</v>
      </c>
    </row>
    <row r="151" spans="1:17" x14ac:dyDescent="0.25">
      <c r="A151" t="s">
        <v>1298</v>
      </c>
      <c r="C151" t="s">
        <v>1372</v>
      </c>
      <c r="H151">
        <v>1</v>
      </c>
    </row>
    <row r="156" spans="1:17" s="3" customFormat="1" x14ac:dyDescent="0.25">
      <c r="A156" s="3" t="s">
        <v>1341</v>
      </c>
      <c r="C156" s="3" t="s">
        <v>1372</v>
      </c>
      <c r="H156" s="3">
        <v>1</v>
      </c>
      <c r="J156" s="3" t="s">
        <v>1431</v>
      </c>
    </row>
    <row r="290" spans="16:16" x14ac:dyDescent="0.25">
      <c r="P290">
        <v>1</v>
      </c>
    </row>
    <row r="291" spans="16:16" x14ac:dyDescent="0.25">
      <c r="P291">
        <v>1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>
      <selection activeCell="G23" sqref="G23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1506</v>
      </c>
    </row>
    <row r="2" spans="1:4" x14ac:dyDescent="0.25">
      <c r="A2" t="s">
        <v>0</v>
      </c>
      <c r="B2" t="s">
        <v>60</v>
      </c>
      <c r="C2" t="s">
        <v>1507</v>
      </c>
      <c r="D2" t="s">
        <v>493</v>
      </c>
    </row>
    <row r="3" spans="1:4" x14ac:dyDescent="0.25">
      <c r="A3" t="s">
        <v>2</v>
      </c>
      <c r="B3" t="s">
        <v>2</v>
      </c>
      <c r="C3" t="s">
        <v>487</v>
      </c>
      <c r="D3" t="s">
        <v>134</v>
      </c>
    </row>
    <row r="4" spans="1:4" x14ac:dyDescent="0.25">
      <c r="A4" t="s">
        <v>674</v>
      </c>
      <c r="B4" t="s">
        <v>1508</v>
      </c>
      <c r="D4" t="s">
        <v>1509</v>
      </c>
    </row>
    <row r="5" spans="1:4" x14ac:dyDescent="0.25">
      <c r="A5" t="s">
        <v>763</v>
      </c>
      <c r="B5" t="s">
        <v>1510</v>
      </c>
      <c r="C5" t="s">
        <v>812</v>
      </c>
      <c r="D5" t="s">
        <v>1511</v>
      </c>
    </row>
    <row r="6" spans="1:4" x14ac:dyDescent="0.25">
      <c r="A6" t="s">
        <v>792</v>
      </c>
      <c r="B6" t="s">
        <v>1512</v>
      </c>
      <c r="D6" t="s">
        <v>1513</v>
      </c>
    </row>
    <row r="7" spans="1:4" x14ac:dyDescent="0.25">
      <c r="A7" t="s">
        <v>946</v>
      </c>
      <c r="B7" t="s">
        <v>1510</v>
      </c>
      <c r="C7" t="s">
        <v>948</v>
      </c>
      <c r="D7" t="s">
        <v>1514</v>
      </c>
    </row>
    <row r="9" spans="1:4" x14ac:dyDescent="0.25">
      <c r="A9" t="s">
        <v>975</v>
      </c>
      <c r="B9" t="s">
        <v>1510</v>
      </c>
      <c r="C9" s="4" t="s">
        <v>1515</v>
      </c>
      <c r="D9" t="s">
        <v>1516</v>
      </c>
    </row>
    <row r="10" spans="1:4" x14ac:dyDescent="0.25">
      <c r="A10" t="s">
        <v>1033</v>
      </c>
      <c r="B10" t="s">
        <v>1510</v>
      </c>
      <c r="C10" t="s">
        <v>1035</v>
      </c>
      <c r="D10" t="s">
        <v>1516</v>
      </c>
    </row>
    <row r="11" spans="1:4" x14ac:dyDescent="0.25">
      <c r="A11" t="s">
        <v>1125</v>
      </c>
      <c r="B11" t="s">
        <v>1510</v>
      </c>
      <c r="C11" t="s">
        <v>1125</v>
      </c>
      <c r="D11" t="s">
        <v>1517</v>
      </c>
    </row>
    <row r="12" spans="1:4" x14ac:dyDescent="0.25">
      <c r="A12" t="s">
        <v>1190</v>
      </c>
      <c r="B12" t="s">
        <v>1510</v>
      </c>
      <c r="C12" s="5" t="s">
        <v>1185</v>
      </c>
      <c r="D12" t="s">
        <v>1518</v>
      </c>
    </row>
    <row r="13" spans="1:4" x14ac:dyDescent="0.25">
      <c r="A13" t="s">
        <v>1211</v>
      </c>
      <c r="B13" t="s">
        <v>1519</v>
      </c>
      <c r="D13" t="s">
        <v>1520</v>
      </c>
    </row>
    <row r="14" spans="1:4" s="3" customFormat="1" x14ac:dyDescent="0.25">
      <c r="A14" s="3" t="s">
        <v>1314</v>
      </c>
      <c r="B14" s="3" t="s">
        <v>1512</v>
      </c>
      <c r="D14" s="3" t="s">
        <v>1521</v>
      </c>
    </row>
    <row r="15" spans="1:4" s="3" customFormat="1" x14ac:dyDescent="0.25">
      <c r="A15" s="3" t="s">
        <v>1316</v>
      </c>
      <c r="B15" s="3" t="s">
        <v>1512</v>
      </c>
      <c r="D15" s="3" t="s">
        <v>1522</v>
      </c>
    </row>
    <row r="16" spans="1:4" s="3" customFormat="1" x14ac:dyDescent="0.25">
      <c r="A16" s="3" t="s">
        <v>1325</v>
      </c>
      <c r="B16" s="3" t="s">
        <v>1512</v>
      </c>
      <c r="D16" s="3" t="s">
        <v>1523</v>
      </c>
    </row>
    <row r="17" spans="1:4" s="3" customFormat="1" x14ac:dyDescent="0.25">
      <c r="A17" s="3" t="s">
        <v>1524</v>
      </c>
      <c r="B17" s="3" t="s">
        <v>1510</v>
      </c>
      <c r="C17" s="3" t="s">
        <v>1341</v>
      </c>
      <c r="D17" s="3" t="s">
        <v>1525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15"/>
  <sheetViews>
    <sheetView workbookViewId="0">
      <selection activeCell="I19" sqref="I19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60</v>
      </c>
      <c r="C2" t="s">
        <v>62</v>
      </c>
      <c r="D2" t="s">
        <v>1526</v>
      </c>
      <c r="E2" t="s">
        <v>84</v>
      </c>
      <c r="F2" t="s">
        <v>1527</v>
      </c>
      <c r="G2" t="s">
        <v>1528</v>
      </c>
      <c r="H2" t="s">
        <v>1529</v>
      </c>
      <c r="I2" t="s">
        <v>493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127</v>
      </c>
      <c r="H3" t="s">
        <v>127</v>
      </c>
      <c r="I3" t="s">
        <v>134</v>
      </c>
    </row>
    <row r="4" spans="1:9" x14ac:dyDescent="0.25">
      <c r="A4" t="s">
        <v>761</v>
      </c>
      <c r="B4" t="s">
        <v>376</v>
      </c>
      <c r="C4" t="s">
        <v>1530</v>
      </c>
      <c r="E4">
        <v>200</v>
      </c>
      <c r="F4">
        <v>2</v>
      </c>
    </row>
    <row r="5" spans="1:9" x14ac:dyDescent="0.25">
      <c r="A5" t="s">
        <v>1531</v>
      </c>
      <c r="B5" t="s">
        <v>1532</v>
      </c>
      <c r="C5" t="s">
        <v>1533</v>
      </c>
      <c r="E5">
        <v>2</v>
      </c>
    </row>
    <row r="6" spans="1:9" x14ac:dyDescent="0.25">
      <c r="A6" t="s">
        <v>842</v>
      </c>
      <c r="B6" t="s">
        <v>1534</v>
      </c>
      <c r="C6" t="s">
        <v>1535</v>
      </c>
      <c r="E6">
        <v>5</v>
      </c>
      <c r="H6">
        <v>1</v>
      </c>
      <c r="I6" t="s">
        <v>1536</v>
      </c>
    </row>
    <row r="7" spans="1:9" x14ac:dyDescent="0.25">
      <c r="A7" t="s">
        <v>915</v>
      </c>
      <c r="B7" t="s">
        <v>376</v>
      </c>
      <c r="C7" t="s">
        <v>1537</v>
      </c>
      <c r="E7">
        <v>50</v>
      </c>
      <c r="F7">
        <v>2</v>
      </c>
    </row>
    <row r="9" spans="1:9" x14ac:dyDescent="0.25">
      <c r="A9" t="s">
        <v>1005</v>
      </c>
      <c r="B9" t="s">
        <v>376</v>
      </c>
      <c r="C9" t="s">
        <v>1538</v>
      </c>
      <c r="E9">
        <v>50</v>
      </c>
      <c r="F9">
        <v>2</v>
      </c>
    </row>
    <row r="11" spans="1:9" x14ac:dyDescent="0.25">
      <c r="A11" t="s">
        <v>1070</v>
      </c>
      <c r="B11" t="s">
        <v>1534</v>
      </c>
      <c r="C11" t="s">
        <v>1537</v>
      </c>
      <c r="E11">
        <v>10</v>
      </c>
      <c r="H11">
        <v>1</v>
      </c>
      <c r="I11" t="s">
        <v>1539</v>
      </c>
    </row>
    <row r="12" spans="1:9" x14ac:dyDescent="0.25">
      <c r="A12" t="s">
        <v>1092</v>
      </c>
      <c r="B12" t="s">
        <v>1534</v>
      </c>
      <c r="C12" t="s">
        <v>1537</v>
      </c>
      <c r="E12">
        <v>10</v>
      </c>
      <c r="H12">
        <v>1</v>
      </c>
      <c r="I12" t="s">
        <v>1540</v>
      </c>
    </row>
    <row r="14" spans="1:9" x14ac:dyDescent="0.25">
      <c r="A14" t="s">
        <v>275</v>
      </c>
      <c r="B14" t="s">
        <v>376</v>
      </c>
      <c r="C14" t="s">
        <v>1541</v>
      </c>
      <c r="E14">
        <v>20</v>
      </c>
      <c r="F14">
        <v>2</v>
      </c>
    </row>
    <row r="15" spans="1:9" x14ac:dyDescent="0.25">
      <c r="A15" t="s">
        <v>1255</v>
      </c>
      <c r="B15" t="s">
        <v>376</v>
      </c>
      <c r="C15" t="s">
        <v>1541</v>
      </c>
      <c r="E15">
        <v>10</v>
      </c>
      <c r="F15">
        <v>2</v>
      </c>
      <c r="I15" t="s">
        <v>1542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4" sqref="A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1543</v>
      </c>
      <c r="C1" t="s">
        <v>1544</v>
      </c>
      <c r="D1" t="s">
        <v>1545</v>
      </c>
      <c r="E1" t="s">
        <v>1546</v>
      </c>
      <c r="F1" t="s">
        <v>1547</v>
      </c>
      <c r="H1" t="s">
        <v>1548</v>
      </c>
      <c r="I1" t="s">
        <v>1549</v>
      </c>
      <c r="J1" t="s">
        <v>1550</v>
      </c>
      <c r="K1" t="s">
        <v>1551</v>
      </c>
      <c r="L1" t="s">
        <v>1552</v>
      </c>
    </row>
    <row r="2" spans="1:12" x14ac:dyDescent="0.25">
      <c r="A2" t="s">
        <v>0</v>
      </c>
      <c r="B2" t="s">
        <v>1553</v>
      </c>
      <c r="C2" t="s">
        <v>1554</v>
      </c>
      <c r="D2" t="s">
        <v>1555</v>
      </c>
      <c r="E2" t="s">
        <v>1556</v>
      </c>
      <c r="F2" t="s">
        <v>1557</v>
      </c>
      <c r="G2" t="s">
        <v>1558</v>
      </c>
      <c r="H2" t="s">
        <v>1559</v>
      </c>
      <c r="I2" t="s">
        <v>1560</v>
      </c>
      <c r="J2" t="s">
        <v>1561</v>
      </c>
      <c r="K2" t="s">
        <v>1527</v>
      </c>
      <c r="L2" t="s">
        <v>106</v>
      </c>
    </row>
    <row r="3" spans="1:12" x14ac:dyDescent="0.25">
      <c r="A3" t="s">
        <v>2</v>
      </c>
      <c r="B3" t="s">
        <v>2</v>
      </c>
      <c r="C3" t="s">
        <v>127</v>
      </c>
      <c r="D3" t="s">
        <v>1562</v>
      </c>
      <c r="E3" t="s">
        <v>2</v>
      </c>
      <c r="F3" t="s">
        <v>125</v>
      </c>
      <c r="G3" t="s">
        <v>125</v>
      </c>
      <c r="H3" t="s">
        <v>127</v>
      </c>
      <c r="I3" t="s">
        <v>127</v>
      </c>
      <c r="J3" t="s">
        <v>127</v>
      </c>
      <c r="K3" t="s">
        <v>126</v>
      </c>
      <c r="L3" t="s">
        <v>126</v>
      </c>
    </row>
    <row r="4" spans="1:12" x14ac:dyDescent="0.25">
      <c r="A4" t="s">
        <v>1400</v>
      </c>
      <c r="B4" t="s">
        <v>1563</v>
      </c>
      <c r="I4">
        <v>1</v>
      </c>
      <c r="K4">
        <v>90</v>
      </c>
      <c r="L4">
        <v>999</v>
      </c>
    </row>
    <row r="5" spans="1:12" x14ac:dyDescent="0.25">
      <c r="A5" t="s">
        <v>1421</v>
      </c>
      <c r="B5" t="s">
        <v>1564</v>
      </c>
      <c r="E5" t="s">
        <v>1565</v>
      </c>
      <c r="F5">
        <v>1</v>
      </c>
      <c r="H5">
        <v>2</v>
      </c>
      <c r="I5">
        <v>1</v>
      </c>
    </row>
    <row r="6" spans="1:12" x14ac:dyDescent="0.25">
      <c r="A6" t="s">
        <v>1423</v>
      </c>
      <c r="B6" t="s">
        <v>1564</v>
      </c>
      <c r="E6" t="s">
        <v>1566</v>
      </c>
      <c r="F6">
        <v>1</v>
      </c>
      <c r="H6">
        <v>2</v>
      </c>
      <c r="I6">
        <v>1</v>
      </c>
    </row>
    <row r="7" spans="1:12" x14ac:dyDescent="0.25">
      <c r="A7" t="s">
        <v>1425</v>
      </c>
      <c r="B7" t="s">
        <v>1567</v>
      </c>
      <c r="E7" t="s">
        <v>1568</v>
      </c>
      <c r="F7">
        <v>1</v>
      </c>
      <c r="H7">
        <v>1</v>
      </c>
      <c r="I7">
        <v>1</v>
      </c>
    </row>
    <row r="8" spans="1:12" x14ac:dyDescent="0.25">
      <c r="A8" t="s">
        <v>1427</v>
      </c>
      <c r="B8" t="s">
        <v>1567</v>
      </c>
      <c r="E8" t="s">
        <v>1569</v>
      </c>
      <c r="F8">
        <v>1</v>
      </c>
      <c r="H8">
        <v>1</v>
      </c>
      <c r="I8">
        <v>1</v>
      </c>
    </row>
    <row r="9" spans="1:12" x14ac:dyDescent="0.25">
      <c r="A9" t="s">
        <v>898</v>
      </c>
      <c r="B9" t="s">
        <v>1570</v>
      </c>
      <c r="I9">
        <v>2</v>
      </c>
      <c r="K9">
        <v>60</v>
      </c>
      <c r="L9">
        <v>1</v>
      </c>
    </row>
    <row r="10" spans="1:12" x14ac:dyDescent="0.25">
      <c r="A10" t="s">
        <v>1433</v>
      </c>
      <c r="B10" t="s">
        <v>1571</v>
      </c>
      <c r="D10" t="s">
        <v>1572</v>
      </c>
      <c r="I10">
        <v>1</v>
      </c>
      <c r="K10">
        <v>60</v>
      </c>
    </row>
    <row r="11" spans="1:12" x14ac:dyDescent="0.25">
      <c r="A11" t="s">
        <v>1161</v>
      </c>
      <c r="B11" t="s">
        <v>1563</v>
      </c>
      <c r="J11">
        <v>2</v>
      </c>
      <c r="L11">
        <v>5</v>
      </c>
    </row>
    <row r="13" spans="1:12" x14ac:dyDescent="0.25">
      <c r="A13" t="s">
        <v>1216</v>
      </c>
      <c r="B13" t="s">
        <v>1573</v>
      </c>
      <c r="E13" t="s">
        <v>762</v>
      </c>
      <c r="F13">
        <v>1</v>
      </c>
      <c r="I13">
        <v>2</v>
      </c>
      <c r="K13">
        <v>60</v>
      </c>
      <c r="L13">
        <v>25</v>
      </c>
    </row>
    <row r="14" spans="1:12" x14ac:dyDescent="0.25">
      <c r="A14" t="s">
        <v>1574</v>
      </c>
      <c r="B14" t="s">
        <v>1575</v>
      </c>
      <c r="D14" t="s">
        <v>1576</v>
      </c>
      <c r="H14">
        <v>2</v>
      </c>
      <c r="I14">
        <v>1</v>
      </c>
      <c r="K14">
        <v>60</v>
      </c>
      <c r="L14">
        <v>5</v>
      </c>
    </row>
  </sheetData>
  <phoneticPr fontId="2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403</v>
      </c>
      <c r="C2" t="s">
        <v>89</v>
      </c>
      <c r="D2" t="s">
        <v>1577</v>
      </c>
      <c r="E2" t="s">
        <v>1578</v>
      </c>
      <c r="F2" t="s">
        <v>90</v>
      </c>
      <c r="G2" t="s">
        <v>1579</v>
      </c>
      <c r="H2" t="s">
        <v>431</v>
      </c>
      <c r="I2" t="s">
        <v>1580</v>
      </c>
      <c r="J2" t="s">
        <v>66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127</v>
      </c>
      <c r="F3" t="s">
        <v>128</v>
      </c>
      <c r="G3" t="s">
        <v>127</v>
      </c>
      <c r="H3" t="s">
        <v>1581</v>
      </c>
      <c r="I3" t="s">
        <v>127</v>
      </c>
      <c r="J3" t="s">
        <v>127</v>
      </c>
    </row>
  </sheetData>
  <phoneticPr fontId="2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3"/>
  <sheetViews>
    <sheetView workbookViewId="0">
      <selection activeCell="A4" sqref="A4:XFD4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1582</v>
      </c>
      <c r="C1" s="1" t="s">
        <v>1583</v>
      </c>
      <c r="D1" s="1" t="s">
        <v>1584</v>
      </c>
      <c r="E1" s="1" t="s">
        <v>1585</v>
      </c>
      <c r="F1" s="1" t="s">
        <v>1586</v>
      </c>
      <c r="G1" s="1" t="s">
        <v>1587</v>
      </c>
      <c r="H1" s="1" t="s">
        <v>1588</v>
      </c>
      <c r="I1" s="1" t="s">
        <v>1589</v>
      </c>
    </row>
    <row r="2" spans="1:9" s="1" customFormat="1" x14ac:dyDescent="0.25">
      <c r="A2" s="1" t="s">
        <v>0</v>
      </c>
      <c r="B2" s="1" t="s">
        <v>1590</v>
      </c>
      <c r="C2" s="1" t="s">
        <v>1591</v>
      </c>
      <c r="D2" s="1" t="s">
        <v>1592</v>
      </c>
      <c r="E2" s="1" t="s">
        <v>1593</v>
      </c>
      <c r="F2" s="1" t="s">
        <v>1594</v>
      </c>
      <c r="G2" s="1" t="s">
        <v>1595</v>
      </c>
      <c r="H2" s="1" t="s">
        <v>1596</v>
      </c>
      <c r="I2" s="1" t="s">
        <v>1597</v>
      </c>
    </row>
    <row r="3" spans="1:9" s="1" customFormat="1" x14ac:dyDescent="0.25">
      <c r="A3" s="1" t="s">
        <v>2</v>
      </c>
      <c r="B3" s="1" t="s">
        <v>125</v>
      </c>
      <c r="C3" s="1" t="s">
        <v>125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/>
    <row r="5" spans="1:9" s="1" customFormat="1" x14ac:dyDescent="0.25"/>
    <row r="6" spans="1:9" s="1" customFormat="1" x14ac:dyDescent="0.25"/>
    <row r="7" spans="1:9" s="1" customFormat="1" x14ac:dyDescent="0.25">
      <c r="A7" s="1" t="s">
        <v>11</v>
      </c>
      <c r="C7" s="1">
        <v>1</v>
      </c>
      <c r="D7" s="1" t="s">
        <v>1598</v>
      </c>
      <c r="E7" s="1" t="s">
        <v>1599</v>
      </c>
      <c r="F7" s="1" t="s">
        <v>1600</v>
      </c>
      <c r="G7" s="1" t="s">
        <v>1601</v>
      </c>
      <c r="H7" s="1" t="s">
        <v>1602</v>
      </c>
      <c r="I7" s="1" t="s">
        <v>1603</v>
      </c>
    </row>
    <row r="8" spans="1:9" s="1" customFormat="1" x14ac:dyDescent="0.25">
      <c r="A8" s="1" t="s">
        <v>12</v>
      </c>
      <c r="C8" s="1">
        <v>1</v>
      </c>
      <c r="D8" s="1" t="s">
        <v>1604</v>
      </c>
      <c r="E8" s="1" t="s">
        <v>1605</v>
      </c>
      <c r="F8" s="1" t="s">
        <v>1606</v>
      </c>
      <c r="G8" s="1" t="s">
        <v>1607</v>
      </c>
      <c r="H8" s="1" t="s">
        <v>1608</v>
      </c>
      <c r="I8" s="1" t="s">
        <v>1609</v>
      </c>
    </row>
    <row r="9" spans="1:9" s="1" customFormat="1" x14ac:dyDescent="0.25">
      <c r="A9" s="1" t="s">
        <v>256</v>
      </c>
      <c r="C9" s="1">
        <v>1</v>
      </c>
      <c r="D9" s="1" t="s">
        <v>1610</v>
      </c>
      <c r="E9" s="1" t="s">
        <v>1611</v>
      </c>
      <c r="F9" s="1" t="s">
        <v>1612</v>
      </c>
      <c r="G9" s="1" t="s">
        <v>1613</v>
      </c>
      <c r="H9" s="1" t="s">
        <v>1614</v>
      </c>
      <c r="I9" s="1" t="s">
        <v>1615</v>
      </c>
    </row>
    <row r="10" spans="1:9" s="1" customFormat="1" x14ac:dyDescent="0.25">
      <c r="A10" s="1" t="s">
        <v>15</v>
      </c>
      <c r="C10" s="1">
        <v>1</v>
      </c>
      <c r="D10" s="1" t="s">
        <v>1616</v>
      </c>
      <c r="E10" s="1" t="s">
        <v>1617</v>
      </c>
      <c r="F10" s="1" t="s">
        <v>1618</v>
      </c>
      <c r="G10" s="1" t="s">
        <v>1619</v>
      </c>
      <c r="H10" s="1" t="s">
        <v>1620</v>
      </c>
      <c r="I10" s="1" t="s">
        <v>1621</v>
      </c>
    </row>
    <row r="11" spans="1:9" s="1" customFormat="1" x14ac:dyDescent="0.25">
      <c r="A11" s="1" t="s">
        <v>16</v>
      </c>
      <c r="C11" s="1">
        <v>1</v>
      </c>
      <c r="D11" s="1" t="s">
        <v>1622</v>
      </c>
      <c r="E11" s="1" t="s">
        <v>1623</v>
      </c>
      <c r="F11" s="1" t="s">
        <v>1624</v>
      </c>
      <c r="G11" s="1" t="s">
        <v>1625</v>
      </c>
      <c r="H11" s="1" t="s">
        <v>1626</v>
      </c>
      <c r="I11" s="1" t="s">
        <v>1627</v>
      </c>
    </row>
    <row r="12" spans="1:9" s="1" customFormat="1" x14ac:dyDescent="0.25">
      <c r="A12" s="1" t="s">
        <v>275</v>
      </c>
      <c r="B12" s="1">
        <v>1</v>
      </c>
      <c r="C12" s="1">
        <v>1</v>
      </c>
      <c r="D12" s="1" t="s">
        <v>1628</v>
      </c>
      <c r="E12" s="1" t="s">
        <v>1629</v>
      </c>
      <c r="F12" s="1" t="s">
        <v>1630</v>
      </c>
    </row>
    <row r="13" spans="1:9" s="2" customFormat="1" x14ac:dyDescent="0.25">
      <c r="A13" s="2" t="s">
        <v>18</v>
      </c>
      <c r="C13" s="2">
        <v>1</v>
      </c>
      <c r="D13" s="2" t="s">
        <v>1631</v>
      </c>
      <c r="E13" s="2" t="s">
        <v>1632</v>
      </c>
      <c r="F13" s="2" t="s">
        <v>1633</v>
      </c>
      <c r="G13" s="2" t="s">
        <v>1634</v>
      </c>
      <c r="H13" s="2" t="s">
        <v>1635</v>
      </c>
      <c r="I13" s="2" t="s">
        <v>1636</v>
      </c>
    </row>
  </sheetData>
  <phoneticPr fontId="2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2026-01-10T17:58:22Z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