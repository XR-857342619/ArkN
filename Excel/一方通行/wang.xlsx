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48A7A805-168C-4631-8540-6C91B693D3D3}" xr6:coauthVersionLast="47" xr6:coauthVersionMax="47" xr10:uidLastSave="{00000000-0000-0000-0000-000000000000}"/>
  <bookViews>
    <workbookView xWindow="-103" yWindow="-103" windowWidth="24144" windowHeight="14447" firstSheet="1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魏杰</author>
  </authors>
  <commentList>
    <comment ref="AN1" authorId="0" shapeId="0" xr:uid="{00000000-0006-0000-0100-000001000000}">
      <text>
        <r>
          <rPr>
            <sz val="9"/>
            <rFont val="宋体"/>
            <family val="3"/>
            <charset val="134"/>
          </rPr>
          <t>小型：红橙黄绿蓝紫粉
精英 Boss
大型</t>
        </r>
      </text>
    </comment>
    <comment ref="AO1" authorId="0" shapeId="0" xr:uid="{00000000-0006-0000-0100-000002000000}">
      <text>
        <r>
          <rPr>
            <sz val="9"/>
            <rFont val="宋体"/>
            <family val="3"/>
            <charset val="134"/>
          </rPr>
          <t>小型：红橙黄绿蓝紫粉
大型</t>
        </r>
      </text>
    </comment>
    <comment ref="AQ1" authorId="0" shapeId="0" xr:uid="{00000000-0006-0000-0100-000003000000}">
      <text>
        <r>
          <rPr>
            <sz val="9"/>
            <rFont val="宋体"/>
            <family val="3"/>
            <charset val="134"/>
          </rPr>
          <t xml:space="preserve">高台位
地面位
全地形
仅无敌人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<sst xmlns="http://schemas.openxmlformats.org/spreadsheetml/2006/main" count="523" uniqueCount="523">
  <si>
    <t>Id</t>
  </si>
  <si>
    <t>units</t>
  </si>
  <si>
    <t>string</t>
  </si>
  <si>
    <t>UnitData[]</t>
  </si>
  <si>
    <t>望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</si>
  <si>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</si>
  <si>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</si>
  <si>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</si>
  <si>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</si>
  <si>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</si>
  <si>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</si>
  <si>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</si>
  <si>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</si>
  <si>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</si>
  <si>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</si>
  <si>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</si>
  <si>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</si>
  <si>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</si>
  <si>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</si>
  <si>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</si>
  <si>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</si>
  <si>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</si>
  <si>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</si>
  <si>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</si>
  <si>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</si>
  <si>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</si>
  <si>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</si>
  <si>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</si>
  <si>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</si>
  <si>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</si>
  <si>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</si>
  <si>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</si>
  <si>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</si>
  <si>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</si>
  <si>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</si>
  <si>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</si>
  <si>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</si>
  <si>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</si>
  <si>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</si>
  <si>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</si>
  <si>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</si>
  <si>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</si>
  <si>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</si>
  <si>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</si>
  <si>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</si>
  <si>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</si>
  <si>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</si>
  <si>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</si>
  <si>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</si>
  <si>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</si>
  <si>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</si>
  <si>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</si>
  <si>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</si>
  <si>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</si>
  <si>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</si>
  <si>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</si>
  <si>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</si>
  <si>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</si>
  <si>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</si>
  <si>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</si>
  <si>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</si>
  <si>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</si>
  <si>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</si>
  <si>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</si>
  <si>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</si>
  <si>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</si>
  <si>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</si>
  <si>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</si>
  <si>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</si>
  <si>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</si>
  <si>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</si>
  <si>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</si>
  <si>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</si>
  <si>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</si>
  <si>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</si>
  <si>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</si>
  <si>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</si>
  <si>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</si>
  <si>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</si>
  <si>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</si>
  <si>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</si>
  <si>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</si>
  <si>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</si>
  <si>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</si>
  <si>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</si>
  <si>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</si>
  <si>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</si>
  <si>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</si>
  <si>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</si>
  <si>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</si>
  <si>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</si>
  <si>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</si>
  <si>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</si>
  <si>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</si>
  <si>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</si>
  <si>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</si>
  <si>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</si>
  <si>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</si>
  <si>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</si>
  <si>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</si>
  <si>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</si>
  <si>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</si>
  <si>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</si>
  <si>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</si>
  <si>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</si>
  <si>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</si>
  <si>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</si>
  <si>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</si>
  <si>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</si>
  <si>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</si>
  <si>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</si>
  <si>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</si>
  <si>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</si>
  <si>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</si>
  <si>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</si>
  <si>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</si>
  <si>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</si>
  <si>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</si>
  <si>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</si>
  <si>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</si>
  <si>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</si>
  <si>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</si>
  <si>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</si>
  <si>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</si>
  <si>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</si>
  <si>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</si>
  <si>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</si>
  <si>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</si>
  <si>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</si>
  <si>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</si>
  <si>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</si>
  <si>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</si>
  <si>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</si>
  <si>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</si>
  <si>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</si>
  <si>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</si>
  <si>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wang</t>
  </si>
  <si>
    <t>2027</t>
  </si>
  <si>
    <t>Hip</t>
  </si>
  <si>
    <t>望攻击</t>
  </si>
  <si>
    <t>望3</t>
  </si>
  <si>
    <t>小型:蓝</t>
  </si>
  <si>
    <t>小型:绿</t>
  </si>
  <si>
    <t>高台位</t>
  </si>
  <si>
    <t>特种</t>
  </si>
  <si>
    <t>陷阱师</t>
  </si>
  <si>
    <t>211,81,1500,1500</t>
  </si>
  <si>
    <t>远程位</t>
  </si>
  <si>
    <t>远程,岁</t>
  </si>
  <si>
    <t>可以使用陷阱来协助作战，但陷阱无法放置于敌人已在的格子中</t>
  </si>
  <si>
    <t>Default</t>
  </si>
  <si>
    <t>Idle</t>
  </si>
  <si>
    <t>Die</t>
  </si>
  <si>
    <t>棋子3</t>
  </si>
  <si>
    <t>棋子</t>
  </si>
  <si>
    <t>棋子3攻击,棋子3召唤</t>
  </si>
  <si>
    <t>全地形,仅无敌人</t>
  </si>
  <si>
    <t>Extexture:token_10030_mlyss_wtrman.png</t>
  </si>
  <si>
    <t>half_skadi</t>
  </si>
  <si>
    <t>skadi</t>
  </si>
  <si>
    <t>近战位</t>
  </si>
  <si>
    <t>召唤物</t>
  </si>
  <si>
    <t>棋子3跟子</t>
  </si>
  <si>
    <t>棋子3攻击,棋子入场赋予望buff</t>
  </si>
  <si>
    <t>全地形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</si>
  <si>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</si>
  <si>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</si>
  <si>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</si>
  <si>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</si>
  <si>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</si>
  <si>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</si>
  <si>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</si>
  <si>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</si>
  <si>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</si>
  <si>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</si>
  <si>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</si>
  <si>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</si>
  <si>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</si>
  <si>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</si>
  <si>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</si>
  <si>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</si>
  <si>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</si>
  <si>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</si>
  <si>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</si>
  <si>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</si>
  <si>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</si>
  <si>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</si>
  <si>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</si>
  <si>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</si>
  <si>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</si>
  <si>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</si>
  <si>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</si>
  <si>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</si>
  <si>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</si>
  <si>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</si>
  <si>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</si>
  <si>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</si>
  <si>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</si>
  <si>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</si>
  <si>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</si>
  <si>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</si>
  <si>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</si>
  <si>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</si>
  <si>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</si>
  <si>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</si>
  <si>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</si>
  <si>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</si>
  <si>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</si>
  <si>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</si>
  <si>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</si>
  <si>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</si>
  <si>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</si>
  <si>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</si>
  <si>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</si>
  <si>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</si>
  <si>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</si>
  <si>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</si>
  <si>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</si>
  <si>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</si>
  <si>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</si>
  <si>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</si>
  <si>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</si>
  <si>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</si>
  <si>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</si>
  <si>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</si>
  <si>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</si>
  <si>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</si>
  <si>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</si>
  <si>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</si>
  <si>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</si>
  <si>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</si>
  <si>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</si>
  <si>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</si>
  <si>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</si>
  <si>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</si>
  <si>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</si>
  <si>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</si>
  <si>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</si>
  <si>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</si>
  <si>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</si>
  <si>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</si>
  <si>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</si>
  <si>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</si>
  <si>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</si>
  <si>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</si>
  <si>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</si>
  <si>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</si>
  <si>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</si>
  <si>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</si>
  <si>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</si>
  <si>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</si>
  <si>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</si>
  <si>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</si>
  <si>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</si>
  <si>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</si>
  <si>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</si>
  <si>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</si>
  <si>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</si>
  <si>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</si>
  <si>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</si>
  <si>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</si>
  <si>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</si>
  <si>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</si>
  <si>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</si>
  <si>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</si>
  <si>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</si>
  <si>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</si>
  <si>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</si>
  <si>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</si>
  <si>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</si>
  <si>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</si>
  <si>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</si>
  <si>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</si>
  <si>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</si>
  <si>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</si>
  <si>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</si>
  <si>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</si>
  <si>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</si>
  <si>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</si>
  <si>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</si>
  <si>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</si>
  <si>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</si>
  <si>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</si>
  <si>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</si>
  <si>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</si>
  <si>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</si>
  <si>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</si>
  <si>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</si>
  <si>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</si>
  <si>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</si>
  <si>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</si>
  <si>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</si>
  <si>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</si>
  <si>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</si>
  <si>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</si>
  <si>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</si>
  <si>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</si>
  <si>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</si>
  <si>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</si>
  <si>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</si>
  <si>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</si>
  <si>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</si>
  <si>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</si>
  <si>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</si>
  <si>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</si>
  <si>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</si>
  <si>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</si>
  <si>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</si>
  <si>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</si>
  <si>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</si>
  <si>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</si>
  <si>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</si>
  <si>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</si>
  <si>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</si>
  <si>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</si>
  <si>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</si>
  <si>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</si>
  <si>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</si>
  <si>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</si>
  <si>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</si>
  <si>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</si>
  <si>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</si>
  <si>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</si>
  <si>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</si>
  <si>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</si>
  <si>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</si>
  <si>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</si>
  <si>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</si>
  <si>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</si>
  <si>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</si>
  <si>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</si>
  <si>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</si>
  <si>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</si>
  <si>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</si>
  <si>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</si>
  <si>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</si>
  <si>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</si>
  <si>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</si>
  <si>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</si>
  <si>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</si>
  <si>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</si>
  <si>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</si>
  <si>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</si>
  <si>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</si>
  <si>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</si>
  <si>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</si>
  <si>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</si>
  <si>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</si>
  <si>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</si>
  <si>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</si>
  <si>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</si>
  <si>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</si>
  <si>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</si>
  <si>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</si>
  <si>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</si>
  <si>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</si>
  <si>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</si>
  <si>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</si>
  <si>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</si>
  <si>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</si>
  <si>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</si>
  <si>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</si>
  <si>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</si>
  <si>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</si>
  <si>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</si>
  <si>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</si>
  <si>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</si>
  <si>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</si>
  <si>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</si>
  <si>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</si>
  <si>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</si>
  <si>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</si>
  <si>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</si>
  <si>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</si>
  <si>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</si>
  <si>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</si>
  <si>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</si>
  <si>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</si>
  <si>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</si>
  <si>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</si>
  <si>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</si>
  <si>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</si>
  <si>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</si>
  <si>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</si>
  <si>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</si>
  <si>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</si>
  <si>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</si>
  <si>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</si>
  <si>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</si>
  <si>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</si>
  <si>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</si>
  <si>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</si>
  <si>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</si>
  <si>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</si>
  <si>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</si>
  <si>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</si>
  <si>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普通技能</t>
  </si>
  <si>
    <t>望3动作</t>
  </si>
  <si>
    <t>终点距离</t>
  </si>
  <si>
    <t>0,0#0,1#0,-1#1,0#2,0#1,1#1,-1#2,1#2,-1#3,0#3,1#3,-1</t>
  </si>
  <si>
    <t>Normal</t>
  </si>
  <si>
    <t>Attack_1_A,Attack_1_B</t>
  </si>
  <si>
    <t>跟随攻击</t>
  </si>
  <si>
    <t>普通法球m</t>
  </si>
  <si>
    <t>Muzzle</t>
  </si>
  <si>
    <t>塞雷娅1启动</t>
  </si>
  <si>
    <t>史都华德击中</t>
  </si>
  <si>
    <t>天下劫</t>
  </si>
  <si>
    <t>被动效果：棋子的触发和伤害范围扩大，造成相当于攻击力380%的法术伤害\n主动效果：停止攻击但攻击范围扩大；立即获得8枚棋子，然后将超出上限的棋子优先部署在范围内敌人所在位置；在攻击范围内手动部署棋子时可部署至敌人所在位置，且第一天赋额外至多部署3枚棋子并消耗等量弹药\n装有20发弹药，手动停止或棋子耗尽后技能结束，剩余的弹药返还为棋子</t>
  </si>
  <si>
    <t>skill_icon_skchr_aglina_3</t>
  </si>
  <si>
    <t>充能释放</t>
  </si>
  <si>
    <t>手动</t>
  </si>
  <si>
    <t>仅自己</t>
  </si>
  <si>
    <t>0,0#0,1#0,-1#1,0#2,0#1,1#1,-1#2,1#2,-1#3,0#3,1#3,-1#0,2#0,-2#1,2#1,-2#2,2#2,-2#3,2#3,-2#4,0#4,1#4,2#4,-1#4,-2</t>
  </si>
  <si>
    <t>获得棋子3,望3获得棋子,望3结束,望3攻击,望3范围内赋予棋子</t>
  </si>
  <si>
    <t>望3启动</t>
  </si>
  <si>
    <t>自动</t>
  </si>
  <si>
    <t>无</t>
  </si>
  <si>
    <t>{"ShowRange":1,"Color":"#FFE055","Alpha":0.75}</t>
  </si>
  <si>
    <t>获得棋子3</t>
  </si>
  <si>
    <t>获取单位</t>
  </si>
  <si>
    <t>被动</t>
  </si>
  <si>
    <t>自己入场</t>
  </si>
  <si>
    <t>{"Count":7,"UnitId":"棋子3"}</t>
  </si>
  <si>
    <t>望3获得棋子</t>
  </si>
  <si>
    <t>释放技能</t>
  </si>
  <si>
    <t>{"Count":8,"UnitId":"棋子3"}</t>
  </si>
  <si>
    <t>望3范围内赋予棋子</t>
  </si>
  <si>
    <t>望3范围内</t>
  </si>
  <si>
    <t>望3攻击</t>
  </si>
  <si>
    <t>望3动作,召唤棋子</t>
  </si>
  <si>
    <t>攻击</t>
  </si>
  <si>
    <t>Skill_3_Attack_A,Skill_3_Attack_B</t>
  </si>
  <si>
    <t>召唤棋子</t>
  </si>
  <si>
    <t>Skill_3_Begin</t>
  </si>
  <si>
    <t>望3结束</t>
  </si>
  <si>
    <t>技能结束</t>
  </si>
  <si>
    <t>Skill_3_End</t>
  </si>
  <si>
    <t>棋子自杀</t>
  </si>
  <si>
    <t>即死</t>
  </si>
  <si>
    <t>棋子3攻击</t>
  </si>
  <si>
    <t>0,0#0,1#0,-1#1,0#-1,0#2,0#1,1#1,-1#0,2#0,-2#-1,1#-1,-1#-2,0</t>
  </si>
  <si>
    <t>Magic</t>
  </si>
  <si>
    <t>德克萨斯1范围</t>
  </si>
  <si>
    <t>棋子3召唤</t>
  </si>
  <si>
    <t>ew3类部署干员</t>
  </si>
  <si>
    <t>0,1#0,-1#1,0#-1,0</t>
  </si>
  <si>
    <t>{"召唤物ID":"棋子3跟子","召唤位置":"使用自身位置","数量":1}</t>
  </si>
  <si>
    <t>棋子入场赋予望buff</t>
  </si>
  <si>
    <t>落地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</si>
  <si>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</si>
  <si>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</si>
  <si>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</si>
  <si>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</si>
  <si>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</si>
  <si>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</si>
  <si>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</si>
  <si>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</si>
  <si>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</si>
  <si>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</si>
  <si>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</si>
  <si>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</si>
  <si>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</si>
  <si>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</si>
  <si>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</si>
  <si>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</si>
  <si>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</si>
  <si>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</si>
  <si>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</si>
  <si>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</si>
  <si>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</si>
  <si>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</si>
  <si>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普通Buff</t>
  </si>
  <si>
    <t>{"IdleAnimation":["Skill_3_Idle"]}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</si>
  <si>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</si>
  <si>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</si>
  <si>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</si>
  <si>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</si>
  <si>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</si>
  <si>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</si>
  <si>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</si>
  <si>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</si>
  <si>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</si>
  <si>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</si>
  <si>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</si>
  <si>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</si>
  <si>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</si>
  <si>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</si>
  <si>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</si>
  <si>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</si>
  <si>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</si>
  <si>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</si>
  <si>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</si>
  <si>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</si>
  <si>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</si>
  <si>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</si>
  <si>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</si>
  <si>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</si>
  <si>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</si>
  <si>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</si>
  <si>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</si>
  <si>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</si>
  <si>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</si>
  <si>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</si>
  <si>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</si>
  <si>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</si>
  <si>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</si>
  <si>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</si>
  <si>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</si>
  <si>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</si>
  <si>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</si>
  <si>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</si>
  <si>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</si>
  <si>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</si>
  <si>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</si>
  <si>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</si>
  <si>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</si>
  <si>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</si>
  <si>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</si>
  <si>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</si>
  <si>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/Spine/棋子/token_10064_wang_stone1.atlas.txt</t>
  </si>
  <si>
    <t>/Spine/棋子/token_10064_wang_stone1.png</t>
  </si>
  <si>
    <t>/Spine/棋子/token_10064_wang_stone1.skel.bytes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</si>
</sst>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宋体"/>
      <scheme val="minor"/>
    </font>
    <font>
      <sz val="11"/>
      <color theme="1"/>
      <name val="宋体"/>
      <family val="3"/>
      <scheme val="minor"/>
    </font>
    <font>
      <sz val="11"/>
      <color rgb="FF9C0006"/>
      <name val="宋体"/>
      <family val="3"/>
      <scheme val="minor"/>
    </font>
    <font>
      <sz val="11"/>
      <color rgb="FF9C6500"/>
      <name val="宋体"/>
      <family val="3"/>
      <scheme val="minor"/>
    </font>
    <font>
      <sz val="11"/>
      <color theme="1"/>
      <name val="宋体"/>
      <family val="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5117038483843"/>
        <bgColor indexed="64"/>
      </patternFill>
    </fill>
  </fills>
  <borders count="1">
    <border>
      <left/>
      <right/>
      <top/>
      <bottom/>
      <diagonal/>
    </border>
  </borders>
  <cellStyleXfs count="5">
    <xf numFmtId="0" fontId="4" fillId="4" borderId="0">
      <alignment vertical="center"/>
    </xf>
    <xf numFmtId="0" fontId="2" fillId="3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3" fillId="2" borderId="0">
      <alignment vertical="center"/>
    </xf>
  </cellStyleXfs>
  <cellXfs count="8">
    <xf numFmtId="0" applyNumberFormat="1" fontId="4" applyFont="1" fillId="4" applyFill="1" borderId="0" applyBorder="1" xfId="0" applyProtection="1" applyAlignment="1">
      <alignment vertical="center"/>
    </xf>
    <xf numFmtId="0" applyNumberFormat="1" fontId="2" applyFont="1" fillId="3" applyFill="1" borderId="0" applyBorder="1" xfId="1" applyProtection="1" applyAlignment="1">
      <alignment vertical="center"/>
    </xf>
    <xf numFmtId="0" applyNumberFormat="1" fontId="0" applyFont="1" fillId="0" applyFill="1" borderId="0" applyBorder="1" xfId="2" applyProtection="1" applyAlignment="1">
      <alignment vertical="center"/>
    </xf>
    <xf numFmtId="0" applyNumberFormat="1" fontId="1" applyFont="1" fillId="0" applyFill="1" borderId="0" applyBorder="1" xfId="3" applyProtection="1" applyAlignment="1">
      <alignment vertical="center"/>
    </xf>
    <xf numFmtId="0" applyNumberFormat="1" fontId="3" applyFont="1" fillId="2" applyFill="1" borderId="0" applyBorder="1" xfId="4" applyProtection="1" applyAlignment="1">
      <alignment vertical="center"/>
    </xf>
    <xf numFmtId="0" applyNumberFormat="1" fontId="0" applyFont="1" fillId="0" applyFill="1" borderId="0" applyBorder="1" xfId="2" applyProtection="1" applyAlignment="1">
      <alignment vertical="center"/>
    </xf>
    <xf numFmtId="49" applyNumberFormat="1" fontId="0" applyFont="1" fillId="0" applyFill="1" borderId="0" applyBorder="1" xfId="2" applyProtection="1" applyAlignment="1">
      <alignment horizontal="left" vertical="center"/>
    </xf>
    <xf numFmtId="0" applyNumberFormat="1" fontId="1" applyFont="1" fillId="0" applyFill="1" borderId="0" applyBorder="1" xfId="2" applyProtection="1" applyAlignment="1">
      <alignment vertical="center"/>
    </xf>
  </cellXfs>
  <cellStyles count="5">
    <cellStyle name="20% - 着色 3" xfId="0" builtinId="38"/>
    <cellStyle name="差" xfId="1" builtinId="27"/>
    <cellStyle name="常规" xfId="2" builtinId="0"/>
    <cellStyle name="常规 2" xfId="3"/>
    <cellStyle name="适中" xfId="4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A4" sqref="A4:B4"/>
    </sheetView>
  </sheetViews>
  <sheetFormatPr defaultColWidth="9" defaultRowHeight="14.05" x14ac:dyDescent="0.25"/>
  <cols>
    <col min="1" max="2" width="9" customWidth="1" style="5"/>
  </cols>
  <sheetData>
    <row r="2">
      <c r="A2" s="5" t="s">
        <v>0</v>
      </c>
      <c r="B2" s="5" t="s">
        <v>1</v>
      </c>
    </row>
    <row r="3">
      <c r="A3" s="5" t="s">
        <v>2</v>
      </c>
      <c r="B3" s="5" t="s">
        <v>3</v>
      </c>
    </row>
    <row r="4">
      <c r="A4" s="5" t="s">
        <v>4</v>
      </c>
      <c r="B4" s="5" t="s">
        <v>4</v>
      </c>
    </row>
  </sheetData>
  <phoneticPr fontId="12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6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L6" sqref="L6"/>
    </sheetView>
  </sheetViews>
  <sheetFormatPr defaultColWidth="9" defaultRowHeight="14.05" x14ac:dyDescent="0.25"/>
  <cols>
    <col min="1" max="1" width="22.58203125" customWidth="1" style="5"/>
    <col min="2" max="3" width="9" customWidth="1" style="5"/>
    <col min="4" max="5" width="8.58203125" customWidth="1" style="5"/>
    <col min="6" max="6" width="19.58203125" customWidth="1" style="5"/>
    <col min="7" max="7" width="8.25" customWidth="1" style="5"/>
    <col min="8" max="11" width="9" customWidth="1" style="5"/>
    <col min="12" max="12" width="6" customWidth="1" style="5"/>
    <col min="13" max="13" width="5.5" customWidth="1" style="5"/>
    <col min="14" max="14" width="5.58203125" customWidth="1" style="5"/>
    <col min="15" max="15" width="4" customWidth="1" style="5"/>
    <col min="16" max="16" width="7.75" customWidth="1" style="5"/>
    <col min="17" max="17" width="10.83203125" customWidth="1" style="5"/>
    <col min="18" max="19" width="3.83203125" customWidth="1" style="5"/>
    <col min="20" max="21" width="3.58203125" customWidth="1" style="5"/>
    <col min="22" max="22" width="10.25" customWidth="1" style="5"/>
    <col min="23" max="23" width="9.58203125" customWidth="1" style="5"/>
    <col min="24" max="24" width="10.75" customWidth="1" style="5"/>
    <col min="25" max="25" width="12.83203125" customWidth="1" style="5"/>
    <col min="26" max="26" width="13.08203125" customWidth="1" style="5"/>
    <col min="27" max="27" width="10.75" customWidth="1" style="5"/>
    <col min="28" max="29" width="9" customWidth="1" style="5"/>
    <col min="30" max="30" width="8" customWidth="1" style="5"/>
    <col min="31" max="31" width="17.08203125" customWidth="1" style="5"/>
    <col min="32" max="32" width="9" customWidth="1" style="5"/>
    <col min="33" max="33" width="10.6640625" customWidth="1" style="5"/>
    <col min="34" max="34" width="9.75" customWidth="1" style="5"/>
    <col min="35" max="35" width="7.83203125" customWidth="1" style="5"/>
    <col min="36" max="36" width="15.83203125" customWidth="1" style="5"/>
    <col min="37" max="37" width="13.83203125" customWidth="1" style="5"/>
    <col min="38" max="38" width="34.5" customWidth="1" style="5"/>
    <col min="39" max="41" width="9.83203125" customWidth="1" style="5"/>
    <col min="42" max="45" width="9" customWidth="1" style="5"/>
    <col min="46" max="46" width="12.5" customWidth="1" style="5"/>
    <col min="47" max="52" width="9" customWidth="1" style="5"/>
    <col min="53" max="53" width="8.1640625" customWidth="1" style="5"/>
    <col min="54" max="54" width="9" customWidth="1" style="5"/>
    <col min="55" max="55" width="17.75" customWidth="1" style="5"/>
    <col min="56" max="56" width="7.83203125" customWidth="1" style="5"/>
    <col min="57" max="58" width="9" customWidth="1" style="5"/>
    <col min="59" max="59" width="24.25" customWidth="1" style="5"/>
    <col min="60" max="60" width="13.25" customWidth="1" style="5"/>
    <col min="61" max="61" width="16.08203125" customWidth="1" style="5"/>
    <col min="62" max="62" width="8" customWidth="1" style="5"/>
    <col min="63" max="66" width="9" customWidth="1" style="5"/>
    <col min="67" max="67" width="39.58203125" customWidth="1" style="5"/>
    <col min="68" max="68" width="9" customWidth="1" style="5"/>
    <col min="69" max="69" width="14" customWidth="1" style="5"/>
    <col min="70" max="70" width="14.83203125" customWidth="1" style="5"/>
    <col min="71" max="74" width="14" customWidth="1" style="5"/>
    <col min="75" max="75" width="9" customWidth="1" style="5"/>
    <col min="76" max="76" width="19.1640625" customWidth="1" style="5"/>
  </cols>
  <sheetData>
    <row r="1">
      <c r="D1" s="5" t="s">
        <v>5</v>
      </c>
      <c r="E1" s="5" t="s">
        <v>5</v>
      </c>
      <c r="G1" s="5" t="s">
        <v>6</v>
      </c>
      <c r="H1" s="5" t="s">
        <v>7</v>
      </c>
      <c r="J1" s="5" t="s">
        <v>8</v>
      </c>
      <c r="K1" s="5" t="s">
        <v>9</v>
      </c>
      <c r="L1" s="5" t="s">
        <v>10</v>
      </c>
      <c r="N1" s="5" t="s">
        <v>11</v>
      </c>
      <c r="P1" s="5" t="s">
        <v>12</v>
      </c>
      <c r="R1" s="5" t="s">
        <v>13</v>
      </c>
      <c r="T1" s="5" t="s">
        <v>14</v>
      </c>
      <c r="V1" s="5" t="s">
        <v>15</v>
      </c>
      <c r="W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21</v>
      </c>
      <c r="AD1" s="5" t="s">
        <v>22</v>
      </c>
      <c r="AE1" s="5" t="s">
        <v>23</v>
      </c>
      <c r="AF1" s="5" t="s">
        <v>24</v>
      </c>
      <c r="AG1" s="5" t="s">
        <v>25</v>
      </c>
      <c r="AH1" s="5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5" t="s">
        <v>33</v>
      </c>
      <c r="AR1" s="5" t="s">
        <v>34</v>
      </c>
      <c r="AS1" s="5" t="s">
        <v>35</v>
      </c>
      <c r="AT1" s="5" t="s">
        <v>36</v>
      </c>
      <c r="AV1" s="5" t="s">
        <v>37</v>
      </c>
      <c r="AW1" s="5" t="s">
        <v>38</v>
      </c>
      <c r="AX1" s="5" t="s">
        <v>39</v>
      </c>
      <c r="AY1" s="5" t="s">
        <v>40</v>
      </c>
      <c r="AZ1" s="5" t="s">
        <v>41</v>
      </c>
      <c r="BA1" s="5" t="s">
        <v>42</v>
      </c>
      <c r="BB1" s="5" t="s">
        <v>43</v>
      </c>
      <c r="BC1" s="5" t="s">
        <v>44</v>
      </c>
      <c r="BD1" s="5" t="s">
        <v>45</v>
      </c>
      <c r="BG1" s="5" t="s">
        <v>46</v>
      </c>
      <c r="BH1" s="5" t="s">
        <v>47</v>
      </c>
      <c r="BI1" s="5" t="s">
        <v>48</v>
      </c>
      <c r="BJ1" s="5" t="s">
        <v>49</v>
      </c>
      <c r="BK1" s="5" t="s">
        <v>50</v>
      </c>
    </row>
    <row r="2">
      <c r="A2" s="5" t="s">
        <v>0</v>
      </c>
      <c r="B2" s="5" t="s">
        <v>51</v>
      </c>
      <c r="C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59</v>
      </c>
      <c r="M2" s="5" t="s">
        <v>60</v>
      </c>
      <c r="N2" s="5" t="s">
        <v>61</v>
      </c>
      <c r="O2" s="5" t="s">
        <v>62</v>
      </c>
      <c r="P2" s="5" t="s">
        <v>63</v>
      </c>
      <c r="Q2" s="5" t="s">
        <v>64</v>
      </c>
      <c r="R2" s="5" t="s">
        <v>65</v>
      </c>
      <c r="S2" s="5" t="s">
        <v>66</v>
      </c>
      <c r="T2" s="5" t="s">
        <v>67</v>
      </c>
      <c r="U2" s="5" t="s">
        <v>68</v>
      </c>
      <c r="V2" s="5" t="s">
        <v>69</v>
      </c>
      <c r="W2" s="5" t="s">
        <v>70</v>
      </c>
      <c r="X2" s="5" t="s">
        <v>71</v>
      </c>
      <c r="Y2" s="5" t="s">
        <v>72</v>
      </c>
      <c r="Z2" s="5" t="s">
        <v>73</v>
      </c>
      <c r="AA2" s="5" t="s">
        <v>74</v>
      </c>
      <c r="AB2" s="5" t="s">
        <v>75</v>
      </c>
      <c r="AC2" s="5" t="s">
        <v>76</v>
      </c>
      <c r="AD2" s="5" t="s">
        <v>77</v>
      </c>
      <c r="AE2" s="5" t="s">
        <v>78</v>
      </c>
      <c r="AF2" s="5" t="s">
        <v>79</v>
      </c>
      <c r="AG2" s="5" t="s">
        <v>80</v>
      </c>
      <c r="AH2" s="5" t="s">
        <v>81</v>
      </c>
      <c r="AI2" s="5" t="s">
        <v>82</v>
      </c>
      <c r="AJ2" s="5" t="s">
        <v>83</v>
      </c>
      <c r="AK2" s="5" t="s">
        <v>84</v>
      </c>
      <c r="AL2" s="5" t="s">
        <v>85</v>
      </c>
      <c r="AM2" s="5" t="s">
        <v>86</v>
      </c>
      <c r="AN2" s="5" t="s">
        <v>87</v>
      </c>
      <c r="AO2" s="5" t="s">
        <v>88</v>
      </c>
      <c r="AP2" s="5" t="s">
        <v>89</v>
      </c>
      <c r="AQ2" s="5" t="s">
        <v>90</v>
      </c>
      <c r="AR2" s="5" t="s">
        <v>91</v>
      </c>
      <c r="AS2" s="5" t="s">
        <v>92</v>
      </c>
      <c r="AT2" s="5" t="s">
        <v>93</v>
      </c>
      <c r="AU2" s="5" t="s">
        <v>94</v>
      </c>
      <c r="AV2" s="5" t="s">
        <v>95</v>
      </c>
      <c r="AW2" s="5" t="s">
        <v>96</v>
      </c>
      <c r="AX2" s="5" t="s">
        <v>97</v>
      </c>
      <c r="AY2" s="5" t="s">
        <v>98</v>
      </c>
      <c r="AZ2" s="5" t="s">
        <v>99</v>
      </c>
      <c r="BA2" s="5" t="s">
        <v>100</v>
      </c>
      <c r="BB2" s="5" t="s">
        <v>101</v>
      </c>
      <c r="BC2" s="5" t="s">
        <v>102</v>
      </c>
      <c r="BD2" s="5" t="s">
        <v>103</v>
      </c>
      <c r="BE2" s="5" t="s">
        <v>104</v>
      </c>
      <c r="BF2" s="5" t="s">
        <v>105</v>
      </c>
      <c r="BG2" s="5" t="s">
        <v>106</v>
      </c>
      <c r="BH2" s="5" t="s">
        <v>107</v>
      </c>
      <c r="BI2" s="5" t="s">
        <v>108</v>
      </c>
      <c r="BJ2" s="5" t="s">
        <v>109</v>
      </c>
      <c r="BK2" s="5" t="s">
        <v>110</v>
      </c>
      <c r="BL2" s="5" t="s">
        <v>111</v>
      </c>
      <c r="BM2" s="5" t="s">
        <v>112</v>
      </c>
      <c r="BN2" s="5" t="s">
        <v>113</v>
      </c>
      <c r="BO2" s="5" t="s">
        <v>114</v>
      </c>
      <c r="BP2" s="5" t="s">
        <v>115</v>
      </c>
      <c r="BQ2" s="5" t="s">
        <v>116</v>
      </c>
      <c r="BR2" s="5" t="s">
        <v>117</v>
      </c>
      <c r="BS2" s="5" t="s">
        <v>118</v>
      </c>
      <c r="BT2" s="5" t="s">
        <v>119</v>
      </c>
      <c r="BU2" s="5" t="s">
        <v>120</v>
      </c>
      <c r="BV2" s="5" t="s">
        <v>121</v>
      </c>
      <c r="BW2" s="5" t="s">
        <v>122</v>
      </c>
      <c r="BX2" s="5" t="s">
        <v>123</v>
      </c>
    </row>
    <row r="3">
      <c r="A3" s="5" t="s">
        <v>2</v>
      </c>
      <c r="B3" s="5" t="s">
        <v>2</v>
      </c>
      <c r="C3" s="5" t="s">
        <v>124</v>
      </c>
      <c r="F3" s="5" t="s">
        <v>2</v>
      </c>
      <c r="G3" s="5" t="s">
        <v>125</v>
      </c>
      <c r="H3" s="5" t="s">
        <v>126</v>
      </c>
      <c r="I3" s="5" t="s">
        <v>2</v>
      </c>
      <c r="J3" s="5" t="s">
        <v>127</v>
      </c>
      <c r="K3" s="5" t="s">
        <v>127</v>
      </c>
      <c r="L3" s="5" t="s">
        <v>127</v>
      </c>
      <c r="M3" s="5" t="s">
        <v>127</v>
      </c>
      <c r="N3" s="5" t="s">
        <v>127</v>
      </c>
      <c r="O3" s="5" t="s">
        <v>127</v>
      </c>
      <c r="P3" s="5" t="s">
        <v>127</v>
      </c>
      <c r="Q3" s="5" t="s">
        <v>127</v>
      </c>
      <c r="R3" s="5" t="s">
        <v>127</v>
      </c>
      <c r="S3" s="5" t="s">
        <v>127</v>
      </c>
      <c r="T3" s="5" t="s">
        <v>127</v>
      </c>
      <c r="U3" s="5" t="s">
        <v>127</v>
      </c>
      <c r="V3" s="5" t="s">
        <v>125</v>
      </c>
      <c r="W3" s="5" t="s">
        <v>127</v>
      </c>
      <c r="X3" s="5" t="s">
        <v>127</v>
      </c>
      <c r="Y3" s="5" t="s">
        <v>125</v>
      </c>
      <c r="Z3" s="5" t="s">
        <v>125</v>
      </c>
      <c r="AA3" s="5" t="s">
        <v>125</v>
      </c>
      <c r="AB3" s="5" t="s">
        <v>127</v>
      </c>
      <c r="AC3" s="5" t="s">
        <v>125</v>
      </c>
      <c r="AD3" s="5" t="s">
        <v>127</v>
      </c>
      <c r="AE3" s="5" t="s">
        <v>124</v>
      </c>
      <c r="AF3" s="5" t="s">
        <v>2</v>
      </c>
      <c r="AG3" s="5" t="s">
        <v>127</v>
      </c>
      <c r="AH3" s="5" t="s">
        <v>127</v>
      </c>
      <c r="AI3" s="5" t="s">
        <v>127</v>
      </c>
      <c r="AJ3" s="5" t="s">
        <v>2</v>
      </c>
      <c r="AK3" s="5" t="s">
        <v>2</v>
      </c>
      <c r="AL3" s="5" t="s">
        <v>128</v>
      </c>
      <c r="AM3" s="5" t="s">
        <v>128</v>
      </c>
      <c r="AN3" s="5" t="s">
        <v>2</v>
      </c>
      <c r="AO3" s="5" t="s">
        <v>2</v>
      </c>
      <c r="AP3" s="5" t="s">
        <v>125</v>
      </c>
      <c r="AQ3" s="5" t="s">
        <v>129</v>
      </c>
      <c r="AR3" s="5" t="s">
        <v>127</v>
      </c>
      <c r="AS3" s="5" t="s">
        <v>125</v>
      </c>
      <c r="AT3" s="5" t="s">
        <v>124</v>
      </c>
      <c r="AV3" s="5" t="s">
        <v>125</v>
      </c>
      <c r="AW3" s="5" t="s">
        <v>124</v>
      </c>
      <c r="AX3" s="5" t="s">
        <v>127</v>
      </c>
      <c r="AY3" s="5" t="s">
        <v>130</v>
      </c>
      <c r="AZ3" s="5" t="s">
        <v>125</v>
      </c>
      <c r="BA3" s="5" t="s">
        <v>131</v>
      </c>
      <c r="BB3" s="5" t="s">
        <v>124</v>
      </c>
      <c r="BC3" s="5" t="s">
        <v>124</v>
      </c>
      <c r="BD3" s="5" t="s">
        <v>125</v>
      </c>
      <c r="BE3" s="5" t="s">
        <v>132</v>
      </c>
      <c r="BF3" s="5" t="s">
        <v>2</v>
      </c>
      <c r="BG3" s="5" t="s">
        <v>2</v>
      </c>
      <c r="BH3" s="5" t="s">
        <v>2</v>
      </c>
      <c r="BI3" s="5" t="s">
        <v>2</v>
      </c>
      <c r="BJ3" s="5" t="s">
        <v>133</v>
      </c>
      <c r="BK3" s="5" t="s">
        <v>127</v>
      </c>
      <c r="BL3" s="5" t="s">
        <v>2</v>
      </c>
      <c r="BM3" s="5" t="s">
        <v>129</v>
      </c>
      <c r="BN3" s="5" t="s">
        <v>2</v>
      </c>
      <c r="BO3" s="5" t="s">
        <v>134</v>
      </c>
      <c r="BP3" s="5" t="s">
        <v>129</v>
      </c>
      <c r="BQ3" s="5" t="s">
        <v>129</v>
      </c>
      <c r="BR3" s="5" t="s">
        <v>129</v>
      </c>
      <c r="BS3" s="5" t="s">
        <v>129</v>
      </c>
      <c r="BT3" s="5" t="s">
        <v>129</v>
      </c>
      <c r="BU3" s="5" t="s">
        <v>129</v>
      </c>
      <c r="BV3" s="5" t="s">
        <v>129</v>
      </c>
      <c r="BW3" s="5" t="s">
        <v>129</v>
      </c>
      <c r="BX3" s="5" t="s">
        <v>125</v>
      </c>
    </row>
    <row r="4">
      <c r="A4" s="5" t="s">
        <v>4</v>
      </c>
      <c r="B4" s="5" t="s">
        <v>135</v>
      </c>
      <c r="D4" s="5" t="s">
        <v>136</v>
      </c>
      <c r="E4" s="6" t="s">
        <v>137</v>
      </c>
      <c r="F4" s="5" t="str">
        <f>"char_"&amp;E4&amp;"_"&amp;D4</f>
        <v>char_2027_wang</v>
      </c>
      <c r="G4" s="5">
        <v>1</v>
      </c>
      <c r="J4" s="5">
        <v>2</v>
      </c>
      <c r="K4" s="5">
        <v>90</v>
      </c>
      <c r="L4" s="5">
        <v>1630</v>
      </c>
      <c r="N4" s="5">
        <v>756</v>
      </c>
      <c r="P4" s="5">
        <v>174</v>
      </c>
      <c r="R4" s="5">
        <v>0</v>
      </c>
      <c r="T4" s="5">
        <v>12</v>
      </c>
      <c r="U4" s="5">
        <v>-2</v>
      </c>
      <c r="V4" s="5">
        <v>0.5</v>
      </c>
      <c r="W4" s="5">
        <v>70</v>
      </c>
      <c r="Z4" s="5">
        <v>0.05</v>
      </c>
      <c r="AA4" s="5">
        <v>0.85</v>
      </c>
      <c r="AD4" s="5">
        <v>1</v>
      </c>
      <c r="AJ4" s="5" t="s">
        <v>4</v>
      </c>
      <c r="AK4" s="5" t="s">
        <v>138</v>
      </c>
      <c r="AL4" s="5" t="s">
        <v>139</v>
      </c>
      <c r="AM4" s="5" t="s">
        <v>140</v>
      </c>
      <c r="AN4" s="5" t="s">
        <v>141</v>
      </c>
      <c r="AO4" s="5" t="s">
        <v>142</v>
      </c>
      <c r="AQ4" s="5" t="s">
        <v>143</v>
      </c>
      <c r="AR4" s="5">
        <v>1</v>
      </c>
      <c r="AS4" s="5">
        <v>0.5</v>
      </c>
      <c r="AZ4" s="5">
        <v>0.25</v>
      </c>
      <c r="BE4" s="5" t="s">
        <v>144</v>
      </c>
      <c r="BF4" s="5" t="s">
        <v>145</v>
      </c>
      <c r="BG4" s="5" t="str">
        <f>"icon_"&amp;D4</f>
        <v>icon_wang</v>
      </c>
      <c r="BH4" s="5" t="str">
        <f>"half_"&amp;D4</f>
        <v>half_wang</v>
      </c>
      <c r="BI4" s="5" t="str">
        <f>D4</f>
        <v>wang</v>
      </c>
      <c r="BJ4" s="5" t="s">
        <v>146</v>
      </c>
      <c r="BK4" s="5">
        <v>6</v>
      </c>
      <c r="BL4" s="5" t="s">
        <v>147</v>
      </c>
      <c r="BM4" s="5" t="s">
        <v>148</v>
      </c>
      <c r="BN4" s="5" t="s">
        <v>149</v>
      </c>
      <c r="BQ4" s="5" t="s">
        <v>150</v>
      </c>
      <c r="BR4" s="5" t="s">
        <v>151</v>
      </c>
      <c r="BT4" s="5" t="s">
        <v>152</v>
      </c>
      <c r="BU4" s="5" t="s">
        <v>152</v>
      </c>
      <c r="BX4" s="5">
        <v>1</v>
      </c>
    </row>
    <row r="5">
      <c r="A5" s="5" t="s">
        <v>153</v>
      </c>
      <c r="B5" s="5" t="s">
        <v>135</v>
      </c>
      <c r="F5" s="5" t="s">
        <v>154</v>
      </c>
      <c r="G5" s="5">
        <v>1</v>
      </c>
      <c r="J5" s="5">
        <v>2</v>
      </c>
      <c r="K5" s="5">
        <v>90</v>
      </c>
      <c r="L5" s="5">
        <v>110</v>
      </c>
      <c r="N5" s="5">
        <v>0</v>
      </c>
      <c r="P5" s="5">
        <v>0</v>
      </c>
      <c r="R5" s="5">
        <v>0</v>
      </c>
      <c r="T5" s="5">
        <v>2</v>
      </c>
      <c r="W5" s="5">
        <v>2</v>
      </c>
      <c r="Z5" s="5">
        <v>0.05</v>
      </c>
      <c r="AA5" s="5">
        <v>1</v>
      </c>
      <c r="AD5" s="5">
        <v>0</v>
      </c>
      <c r="AE5" s="5">
        <v>1</v>
      </c>
      <c r="AG5" s="5">
        <v>8</v>
      </c>
      <c r="AJ5" s="5" t="s">
        <v>154</v>
      </c>
      <c r="AK5" s="5" t="s">
        <v>138</v>
      </c>
      <c r="AL5" s="5" t="s">
        <v>155</v>
      </c>
      <c r="AM5" s="3"/>
      <c r="AN5" s="3"/>
      <c r="AO5" s="3"/>
      <c r="AQ5" s="5" t="s">
        <v>156</v>
      </c>
      <c r="AR5" s="5">
        <v>0</v>
      </c>
      <c r="AS5" s="5">
        <v>0</v>
      </c>
      <c r="AZ5" s="5">
        <v>0.25</v>
      </c>
      <c r="BC5" s="5">
        <v>1</v>
      </c>
      <c r="BE5" s="5" t="s">
        <v>144</v>
      </c>
      <c r="BG5" s="7" t="s">
        <v>157</v>
      </c>
      <c r="BH5" s="5" t="s">
        <v>158</v>
      </c>
      <c r="BI5" s="5" t="s">
        <v>159</v>
      </c>
      <c r="BJ5" s="5" t="s">
        <v>146</v>
      </c>
      <c r="BK5" s="5">
        <v>6</v>
      </c>
      <c r="BL5" s="5" t="s">
        <v>160</v>
      </c>
      <c r="BM5" s="5" t="s">
        <v>161</v>
      </c>
      <c r="BQ5" s="5" t="s">
        <v>150</v>
      </c>
      <c r="BR5" s="5" t="s">
        <v>151</v>
      </c>
      <c r="BT5" s="5" t="s">
        <v>152</v>
      </c>
      <c r="BU5" s="5" t="s">
        <v>152</v>
      </c>
      <c r="BX5" s="5">
        <v>1</v>
      </c>
    </row>
    <row r="6">
      <c r="A6" s="5" t="s">
        <v>162</v>
      </c>
      <c r="B6" s="5" t="s">
        <v>135</v>
      </c>
      <c r="F6" s="5" t="s">
        <v>154</v>
      </c>
      <c r="G6" s="5">
        <v>1</v>
      </c>
      <c r="J6" s="5">
        <v>2</v>
      </c>
      <c r="K6" s="5">
        <v>90</v>
      </c>
      <c r="L6" s="5">
        <v>100</v>
      </c>
      <c r="N6" s="5">
        <v>0</v>
      </c>
      <c r="P6" s="5">
        <v>0</v>
      </c>
      <c r="R6" s="5">
        <v>0</v>
      </c>
      <c r="T6" s="5">
        <v>0</v>
      </c>
      <c r="W6" s="5">
        <v>2</v>
      </c>
      <c r="Z6" s="5">
        <v>0.05</v>
      </c>
      <c r="AA6" s="5">
        <v>1</v>
      </c>
      <c r="AD6" s="5">
        <v>0</v>
      </c>
      <c r="AE6" s="5">
        <v>1</v>
      </c>
      <c r="AG6" s="5">
        <v>10</v>
      </c>
      <c r="AJ6" s="5" t="s">
        <v>154</v>
      </c>
      <c r="AK6" s="5" t="s">
        <v>138</v>
      </c>
      <c r="AL6" s="5" t="s">
        <v>163</v>
      </c>
      <c r="AM6" s="3"/>
      <c r="AN6" s="3"/>
      <c r="AO6" s="3"/>
      <c r="AQ6" s="5" t="s">
        <v>164</v>
      </c>
      <c r="AR6" s="5">
        <v>0</v>
      </c>
      <c r="AS6" s="5">
        <v>0</v>
      </c>
      <c r="AT6" s="5">
        <v>1</v>
      </c>
      <c r="AZ6" s="5">
        <v>0.25</v>
      </c>
      <c r="BC6" s="5">
        <v>1</v>
      </c>
      <c r="BE6" s="5" t="s">
        <v>144</v>
      </c>
      <c r="BG6" s="7" t="s">
        <v>157</v>
      </c>
      <c r="BH6" s="5" t="s">
        <v>158</v>
      </c>
      <c r="BI6" s="5" t="s">
        <v>159</v>
      </c>
      <c r="BJ6" s="5" t="s">
        <v>146</v>
      </c>
      <c r="BK6" s="5">
        <v>6</v>
      </c>
      <c r="BL6" s="5" t="s">
        <v>160</v>
      </c>
      <c r="BM6" s="5" t="s">
        <v>161</v>
      </c>
      <c r="BQ6" s="5" t="s">
        <v>150</v>
      </c>
      <c r="BR6" s="5" t="s">
        <v>151</v>
      </c>
      <c r="BT6" s="5" t="s">
        <v>152</v>
      </c>
      <c r="BU6" s="5" t="s">
        <v>152</v>
      </c>
      <c r="BX6" s="5">
        <v>1</v>
      </c>
    </row>
  </sheetData>
  <phoneticPr fontId="12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497"/>
  <sheetViews>
    <sheetView workbookViewId="0">
      <pane xSplit="1" ySplit="3" topLeftCell="J4" activePane="bottomRight" state="frozen"/>
      <selection pane="topRight"/>
      <selection pane="bottomLeft"/>
      <selection pane="bottomRight" activeCell="C19" sqref="C19"/>
    </sheetView>
  </sheetViews>
  <sheetFormatPr defaultColWidth="9" defaultRowHeight="14.05" x14ac:dyDescent="0.25"/>
  <cols>
    <col min="1" max="1" width="21.08203125" customWidth="1" style="5"/>
    <col min="2" max="2" width="15.58203125" customWidth="1" style="5"/>
    <col min="3" max="3" width="7.75" customWidth="1" style="5"/>
    <col min="4" max="4" width="16.58203125" customWidth="1" style="5"/>
    <col min="5" max="5" width="16.83203125" customWidth="1" style="5"/>
    <col min="6" max="6" width="31.33203125" customWidth="1" style="5"/>
    <col min="7" max="7" width="7.33203125" customWidth="1" style="5"/>
    <col min="8" max="8" width="17.83203125" customWidth="1" style="5"/>
    <col min="9" max="9" width="7.33203125" customWidth="1" style="5"/>
    <col min="10" max="10" width="15.75" customWidth="1" style="5"/>
    <col min="11" max="11" width="8.33203125" customWidth="1" style="5"/>
    <col min="12" max="12" width="8.33203125" customWidth="1" style="5"/>
    <col min="13" max="13" width="8.33203125" customWidth="1" style="5"/>
    <col min="14" max="14" width="11.75" customWidth="1" style="5"/>
    <col min="15" max="15" width="13.08203125" customWidth="1" style="5"/>
    <col min="16" max="16" width="11.58203125" customWidth="1" style="5"/>
    <col min="17" max="17" width="21.5" customWidth="1" style="5"/>
    <col min="18" max="18" width="19.83203125" customWidth="1" style="5"/>
    <col min="19" max="19" width="16.58203125" customWidth="1" style="5"/>
    <col min="20" max="20" width="19.08203125" customWidth="1" style="5"/>
    <col min="21" max="21" width="18.33203125" customWidth="1" style="5"/>
    <col min="22" max="22" width="17.75" customWidth="1" style="5"/>
    <col min="23" max="23" width="8.33203125" customWidth="1" style="5"/>
    <col min="24" max="24" width="18.5" customWidth="1" style="5"/>
    <col min="25" max="25" width="16.58203125" customWidth="1" style="5"/>
    <col min="26" max="26" width="10.6640625" customWidth="1" style="5"/>
    <col min="27" max="27" width="8.33203125" customWidth="1" style="5"/>
    <col min="28" max="28" width="15.1640625" customWidth="1" style="5"/>
    <col min="29" max="29" width="8.58203125" customWidth="1" style="5"/>
    <col min="30" max="30" width="8.58203125" customWidth="1" style="5"/>
    <col min="31" max="31" width="13.4140625" customWidth="1" style="5"/>
    <col min="32" max="32" width="13.75" customWidth="1" style="5"/>
    <col min="33" max="33" width="14.58203125" customWidth="1" style="5"/>
    <col min="34" max="34" width="17.4140625" customWidth="1" style="5"/>
    <col min="35" max="35" width="8.58203125" customWidth="1" style="5"/>
    <col min="36" max="36" width="12.5" customWidth="1" style="5"/>
    <col min="37" max="37" width="8.58203125" customWidth="1" style="5"/>
    <col min="38" max="38" width="8.33203125" customWidth="1" style="5"/>
    <col min="39" max="39" width="8.33203125" customWidth="1" style="5"/>
    <col min="40" max="40" width="15" customWidth="1" style="5"/>
    <col min="41" max="41" width="13.25" customWidth="1" style="5"/>
    <col min="42" max="42" width="11.83203125" customWidth="1" style="5"/>
    <col min="43" max="43" width="11.83203125" customWidth="1" style="5"/>
    <col min="44" max="44" width="11.83203125" customWidth="1" style="5"/>
    <col min="45" max="45" width="11.83203125" customWidth="1" style="5"/>
    <col min="46" max="46" width="18.4140625" customWidth="1" style="5"/>
    <col min="47" max="47" width="12.25" customWidth="1" style="5"/>
    <col min="48" max="48" width="11.9140625" customWidth="1" style="5"/>
    <col min="49" max="49" width="19.58203125" customWidth="1" style="5"/>
    <col min="50" max="50" width="12.6640625" customWidth="1" style="5"/>
    <col min="51" max="51" width="9" customWidth="1" style="5"/>
    <col min="52" max="52" width="7" customWidth="1" style="5"/>
    <col min="53" max="53" width="11.75" customWidth="1" style="5"/>
    <col min="54" max="54" width="19.75" customWidth="1" style="5"/>
    <col min="55" max="55" width="5.08203125" customWidth="1" style="5"/>
    <col min="56" max="56" width="8.5" customWidth="1" style="5"/>
    <col min="57" max="57" width="13.5" customWidth="1" style="5"/>
    <col min="58" max="58" width="14.6640625" customWidth="1" style="5"/>
    <col min="59" max="59" width="10.1640625" customWidth="1" style="5"/>
    <col min="60" max="60" width="8.25" customWidth="1" style="5"/>
    <col min="61" max="61" width="8.33203125" customWidth="1" style="5"/>
    <col min="62" max="62" width="8.33203125" customWidth="1" style="5"/>
    <col min="63" max="63" width="8.33203125" customWidth="1" style="5"/>
    <col min="64" max="64" width="8.33203125" customWidth="1" style="5"/>
    <col min="65" max="65" width="8.33203125" customWidth="1" style="5"/>
    <col min="66" max="66" width="8.33203125" customWidth="1" style="5"/>
    <col min="67" max="67" width="8.33203125" customWidth="1" style="5"/>
    <col min="68" max="68" width="11.25" customWidth="1" style="5"/>
    <col min="69" max="69" width="11.25" customWidth="1" style="5"/>
    <col min="70" max="70" width="11.25" customWidth="1" style="5"/>
    <col min="71" max="71" width="6.58203125" customWidth="1" style="5"/>
    <col min="72" max="72" width="8" customWidth="1" style="5"/>
    <col min="73" max="73" width="8" customWidth="1" style="5"/>
    <col min="74" max="74" width="7.33203125" customWidth="1" style="5"/>
    <col min="75" max="75" width="8.5" customWidth="1" style="5"/>
    <col min="76" max="76" width="8.5" customWidth="1" style="5"/>
    <col min="77" max="77" width="7.83203125" customWidth="1" style="5"/>
    <col min="78" max="78" width="7.83203125" customWidth="1" style="5"/>
    <col min="79" max="79" width="22.1640625" customWidth="1" style="5"/>
    <col min="80" max="80" width="13.5" customWidth="1" style="5"/>
    <col min="81" max="81" width="9" customWidth="1" style="5"/>
    <col min="82" max="82" width="21.1640625" customWidth="1" style="5"/>
    <col min="83" max="83" width="15.75" customWidth="1" style="5"/>
    <col min="84" max="84" width="15.58203125" customWidth="1" style="5"/>
    <col min="85" max="85" width="12.83203125" customWidth="1" style="5"/>
    <col min="86" max="86" width="16.1640625" customWidth="1" style="5"/>
    <col min="87" max="87" width="9" customWidth="1" style="5"/>
    <col min="88" max="88" width="16" customWidth="1" style="5"/>
    <col min="89" max="89" width="12.83203125" customWidth="1" style="5"/>
    <col min="90" max="90" width="12.83203125" customWidth="1" style="5"/>
    <col min="91" max="91" width="23.58203125" customWidth="1" style="5"/>
    <col min="92" max="92" width="12.83203125" customWidth="1" style="5"/>
    <col min="93" max="93" width="17.08203125" customWidth="1" style="5"/>
    <col min="94" max="94" width="9.5" customWidth="1" style="5"/>
    <col min="95" max="95" width="9" customWidth="1" style="5"/>
    <col min="96" max="96" width="9" customWidth="1" style="5"/>
    <col min="97" max="97" width="9" customWidth="1" style="5"/>
    <col min="98" max="98" width="9" customWidth="1" style="5"/>
    <col min="99" max="99" width="9" customWidth="1" style="5"/>
    <col min="100" max="100" width="14" customWidth="1" style="5"/>
    <col min="101" max="101" width="8" customWidth="1" style="5"/>
    <col min="102" max="102" width="9" customWidth="1" style="5"/>
    <col min="103" max="103" width="11.08203125" customWidth="1" style="5"/>
    <col min="104" max="104" width="13.75" customWidth="1" style="5"/>
    <col min="105" max="105" width="9.5" customWidth="1" style="5"/>
    <col min="106" max="106" width="9" customWidth="1" style="5"/>
    <col min="107" max="107" width="9" customWidth="1" style="5"/>
    <col min="108" max="108" width="9.5" customWidth="1" style="5"/>
    <col min="109" max="109" width="9.5" customWidth="1" style="5"/>
    <col min="110" max="110" width="9" customWidth="1" style="5"/>
    <col min="111" max="111" width="15.5" customWidth="1" style="5"/>
    <col min="112" max="112" width="9" customWidth="1" style="5"/>
    <col min="113" max="113" width="9.5" customWidth="1" style="5"/>
    <col min="114" max="114" width="9.5" customWidth="1" style="5"/>
  </cols>
  <sheetData>
    <row r="1">
      <c r="A1" s="5"/>
      <c r="B1" s="5" t="s">
        <v>165</v>
      </c>
      <c r="C1" s="5"/>
      <c r="D1" s="5" t="s">
        <v>166</v>
      </c>
      <c r="E1" s="5" t="s">
        <v>167</v>
      </c>
      <c r="F1" s="5" t="s">
        <v>168</v>
      </c>
      <c r="G1" s="5" t="s">
        <v>169</v>
      </c>
      <c r="H1" s="5" t="s">
        <v>170</v>
      </c>
      <c r="I1" s="5" t="s">
        <v>171</v>
      </c>
      <c r="J1" s="5" t="s">
        <v>172</v>
      </c>
      <c r="K1" s="5" t="s">
        <v>173</v>
      </c>
      <c r="L1" s="5" t="s">
        <v>174</v>
      </c>
      <c r="M1" s="5" t="s">
        <v>175</v>
      </c>
      <c r="N1" s="5" t="s">
        <v>176</v>
      </c>
      <c r="O1" s="5" t="s">
        <v>177</v>
      </c>
      <c r="P1" s="5" t="s">
        <v>178</v>
      </c>
      <c r="Q1" s="5" t="s">
        <v>179</v>
      </c>
      <c r="R1" s="5" t="s">
        <v>180</v>
      </c>
      <c r="S1" s="5" t="s">
        <v>181</v>
      </c>
      <c r="T1" s="5" t="s">
        <v>182</v>
      </c>
      <c r="U1" s="5" t="s">
        <v>182</v>
      </c>
      <c r="V1" s="5" t="s">
        <v>183</v>
      </c>
      <c r="W1" s="5" t="s">
        <v>184</v>
      </c>
      <c r="X1" s="5" t="s">
        <v>185</v>
      </c>
      <c r="Y1" s="5" t="s">
        <v>186</v>
      </c>
      <c r="Z1" s="5" t="s">
        <v>187</v>
      </c>
      <c r="AA1" s="5" t="s">
        <v>188</v>
      </c>
      <c r="AB1" s="5" t="s">
        <v>189</v>
      </c>
      <c r="AC1" s="5" t="s">
        <v>190</v>
      </c>
      <c r="AD1" s="5" t="s">
        <v>191</v>
      </c>
      <c r="AE1" s="5" t="s">
        <v>192</v>
      </c>
      <c r="AF1" s="5" t="s">
        <v>193</v>
      </c>
      <c r="AG1" s="5" t="s">
        <v>194</v>
      </c>
      <c r="AH1" s="5" t="s">
        <v>195</v>
      </c>
      <c r="AI1" s="5" t="s">
        <v>196</v>
      </c>
      <c r="AJ1" s="5" t="s">
        <v>197</v>
      </c>
      <c r="AK1" s="5" t="s">
        <v>198</v>
      </c>
      <c r="AL1" s="5" t="s">
        <v>199</v>
      </c>
      <c r="AM1" s="5" t="s">
        <v>200</v>
      </c>
      <c r="AN1" s="5" t="s">
        <v>201</v>
      </c>
      <c r="AO1" s="5" t="s">
        <v>202</v>
      </c>
      <c r="AP1" s="5" t="s">
        <v>203</v>
      </c>
      <c r="AQ1" s="5" t="s">
        <v>204</v>
      </c>
      <c r="AR1" s="5" t="s">
        <v>205</v>
      </c>
      <c r="AS1" s="5" t="s">
        <v>206</v>
      </c>
      <c r="AT1" s="5" t="s">
        <v>207</v>
      </c>
      <c r="AU1" s="5" t="s">
        <v>208</v>
      </c>
      <c r="AV1" s="5" t="s">
        <v>209</v>
      </c>
      <c r="AW1" s="5" t="s">
        <v>210</v>
      </c>
      <c r="AX1" s="5" t="s">
        <v>211</v>
      </c>
      <c r="AY1" s="5" t="s">
        <v>212</v>
      </c>
      <c r="AZ1" s="5" t="s">
        <v>213</v>
      </c>
      <c r="BA1" s="5" t="s">
        <v>214</v>
      </c>
      <c r="BB1" s="5" t="s">
        <v>215</v>
      </c>
      <c r="BC1" s="5" t="s">
        <v>216</v>
      </c>
      <c r="BD1" s="5" t="s">
        <v>217</v>
      </c>
      <c r="BE1" s="5" t="s">
        <v>218</v>
      </c>
      <c r="BF1" s="5" t="s">
        <v>219</v>
      </c>
      <c r="BG1" s="5" t="s">
        <v>220</v>
      </c>
      <c r="BH1" s="5" t="s">
        <v>221</v>
      </c>
      <c r="BI1" s="5"/>
      <c r="BJ1" s="5" t="s">
        <v>221</v>
      </c>
      <c r="BK1" s="5" t="s">
        <v>222</v>
      </c>
      <c r="BL1" s="5" t="s">
        <v>223</v>
      </c>
      <c r="BM1" s="5" t="s">
        <v>224</v>
      </c>
      <c r="BN1" s="5" t="s">
        <v>225</v>
      </c>
      <c r="BO1" s="5" t="s">
        <v>226</v>
      </c>
      <c r="BP1" s="5" t="s">
        <v>227</v>
      </c>
      <c r="BQ1" s="5" t="s">
        <v>228</v>
      </c>
      <c r="BR1" s="5" t="s">
        <v>229</v>
      </c>
      <c r="BS1" s="5" t="s">
        <v>230</v>
      </c>
      <c r="BT1" s="5" t="s">
        <v>231</v>
      </c>
      <c r="BU1" s="5" t="s">
        <v>232</v>
      </c>
      <c r="BV1" s="5" t="s">
        <v>233</v>
      </c>
      <c r="BW1" s="5" t="s">
        <v>234</v>
      </c>
      <c r="BX1" s="5" t="s">
        <v>235</v>
      </c>
      <c r="BY1" s="5" t="s">
        <v>236</v>
      </c>
      <c r="BZ1" s="5" t="s">
        <v>237</v>
      </c>
      <c r="CA1" s="5" t="s">
        <v>238</v>
      </c>
      <c r="CB1" s="5" t="s">
        <v>239</v>
      </c>
      <c r="CC1" s="5" t="s">
        <v>240</v>
      </c>
      <c r="CD1" s="5" t="s">
        <v>241</v>
      </c>
      <c r="CE1" s="5" t="s">
        <v>242</v>
      </c>
      <c r="CF1" s="5" t="s">
        <v>243</v>
      </c>
      <c r="CG1" s="5" t="s">
        <v>244</v>
      </c>
      <c r="CH1" s="5" t="s">
        <v>245</v>
      </c>
      <c r="CI1" s="5" t="s">
        <v>246</v>
      </c>
      <c r="CJ1" s="5" t="s">
        <v>247</v>
      </c>
      <c r="CK1" s="5" t="s">
        <v>248</v>
      </c>
      <c r="CL1" s="5" t="s">
        <v>249</v>
      </c>
      <c r="CM1" s="5" t="s">
        <v>250</v>
      </c>
      <c r="CN1" s="5" t="s">
        <v>251</v>
      </c>
      <c r="CO1" s="5" t="s">
        <v>252</v>
      </c>
      <c r="CP1" s="5" t="s">
        <v>253</v>
      </c>
      <c r="CQ1" s="5" t="s">
        <v>254</v>
      </c>
      <c r="CR1" s="5" t="s">
        <v>255</v>
      </c>
      <c r="CS1" s="5" t="s">
        <v>231</v>
      </c>
      <c r="CT1" s="5" t="s">
        <v>256</v>
      </c>
      <c r="CU1" s="5" t="s">
        <v>257</v>
      </c>
      <c r="CV1" s="5" t="s">
        <v>258</v>
      </c>
      <c r="CW1" s="5" t="s">
        <v>259</v>
      </c>
      <c r="CX1" s="5" t="s">
        <v>260</v>
      </c>
      <c r="CY1" s="5" t="s">
        <v>261</v>
      </c>
      <c r="CZ1" s="5" t="s">
        <v>262</v>
      </c>
      <c r="DA1" s="5" t="s">
        <v>261</v>
      </c>
      <c r="DB1" s="5" t="s">
        <v>263</v>
      </c>
      <c r="DC1" s="5" t="s">
        <v>264</v>
      </c>
      <c r="DD1" s="5" t="s">
        <v>265</v>
      </c>
      <c r="DE1" s="5" t="s">
        <v>266</v>
      </c>
      <c r="DF1" s="5" t="s">
        <v>267</v>
      </c>
      <c r="DG1" s="5" t="s">
        <v>268</v>
      </c>
      <c r="DH1" s="5" t="s">
        <v>269</v>
      </c>
      <c r="DI1" s="5" t="s">
        <v>270</v>
      </c>
      <c r="DJ1" s="5" t="s">
        <v>271</v>
      </c>
    </row>
    <row r="2">
      <c r="A2" s="5" t="s">
        <v>0</v>
      </c>
      <c r="B2" s="5"/>
      <c r="C2" s="5" t="s">
        <v>51</v>
      </c>
      <c r="D2" s="5" t="s">
        <v>83</v>
      </c>
      <c r="E2" s="5" t="s">
        <v>272</v>
      </c>
      <c r="F2" s="5" t="s">
        <v>273</v>
      </c>
      <c r="G2" s="5" t="s">
        <v>57</v>
      </c>
      <c r="H2" s="5" t="s">
        <v>274</v>
      </c>
      <c r="I2" s="5" t="s">
        <v>275</v>
      </c>
      <c r="J2" s="5" t="s">
        <v>276</v>
      </c>
      <c r="K2" s="5" t="s">
        <v>277</v>
      </c>
      <c r="L2" s="5" t="s">
        <v>278</v>
      </c>
      <c r="M2" s="5" t="s">
        <v>279</v>
      </c>
      <c r="N2" s="5" t="s">
        <v>280</v>
      </c>
      <c r="O2" s="5" t="s">
        <v>281</v>
      </c>
      <c r="P2" s="5" t="s">
        <v>282</v>
      </c>
      <c r="Q2" s="5" t="s">
        <v>283</v>
      </c>
      <c r="R2" s="5" t="s">
        <v>284</v>
      </c>
      <c r="S2" s="5" t="s">
        <v>285</v>
      </c>
      <c r="T2" s="5" t="s">
        <v>286</v>
      </c>
      <c r="U2" s="5" t="s">
        <v>287</v>
      </c>
      <c r="V2" s="5" t="s">
        <v>288</v>
      </c>
      <c r="W2" s="5" t="s">
        <v>289</v>
      </c>
      <c r="X2" s="5" t="s">
        <v>290</v>
      </c>
      <c r="Y2" s="5" t="s">
        <v>291</v>
      </c>
      <c r="Z2" s="5" t="s">
        <v>292</v>
      </c>
      <c r="AA2" s="5" t="s">
        <v>293</v>
      </c>
      <c r="AB2" s="5" t="s">
        <v>294</v>
      </c>
      <c r="AC2" s="5" t="s">
        <v>295</v>
      </c>
      <c r="AD2" s="5" t="s">
        <v>296</v>
      </c>
      <c r="AE2" s="5" t="s">
        <v>297</v>
      </c>
      <c r="AF2" s="5" t="s">
        <v>298</v>
      </c>
      <c r="AG2" s="5" t="s">
        <v>299</v>
      </c>
      <c r="AH2" s="5" t="s">
        <v>300</v>
      </c>
      <c r="AI2" s="5" t="s">
        <v>301</v>
      </c>
      <c r="AJ2" s="5" t="s">
        <v>302</v>
      </c>
      <c r="AK2" s="5" t="s">
        <v>303</v>
      </c>
      <c r="AL2" s="5" t="s">
        <v>304</v>
      </c>
      <c r="AM2" s="5" t="s">
        <v>305</v>
      </c>
      <c r="AN2" s="5" t="s">
        <v>306</v>
      </c>
      <c r="AO2" s="5" t="s">
        <v>307</v>
      </c>
      <c r="AP2" s="5" t="s">
        <v>308</v>
      </c>
      <c r="AQ2" s="5" t="s">
        <v>309</v>
      </c>
      <c r="AR2" s="5" t="s">
        <v>310</v>
      </c>
      <c r="AS2" s="5" t="s">
        <v>311</v>
      </c>
      <c r="AT2" s="5" t="s">
        <v>312</v>
      </c>
      <c r="AU2" s="5" t="s">
        <v>313</v>
      </c>
      <c r="AV2" s="5" t="s">
        <v>314</v>
      </c>
      <c r="AW2" s="5" t="s">
        <v>315</v>
      </c>
      <c r="AX2" s="5" t="s">
        <v>316</v>
      </c>
      <c r="AY2" s="5" t="s">
        <v>317</v>
      </c>
      <c r="AZ2" s="5" t="s">
        <v>318</v>
      </c>
      <c r="BA2" s="5" t="s">
        <v>319</v>
      </c>
      <c r="BB2" s="5" t="s">
        <v>320</v>
      </c>
      <c r="BC2" s="5" t="s">
        <v>321</v>
      </c>
      <c r="BD2" s="5" t="s">
        <v>322</v>
      </c>
      <c r="BE2" s="5" t="s">
        <v>323</v>
      </c>
      <c r="BF2" s="5" t="s">
        <v>324</v>
      </c>
      <c r="BG2" s="5" t="s">
        <v>325</v>
      </c>
      <c r="BH2" s="5" t="s">
        <v>326</v>
      </c>
      <c r="BI2" s="5" t="s">
        <v>327</v>
      </c>
      <c r="BJ2" s="5" t="s">
        <v>328</v>
      </c>
      <c r="BK2" s="5" t="s">
        <v>329</v>
      </c>
      <c r="BL2" s="5" t="s">
        <v>330</v>
      </c>
      <c r="BM2" s="5" t="s">
        <v>331</v>
      </c>
      <c r="BN2" s="5" t="s">
        <v>332</v>
      </c>
      <c r="BO2" s="5" t="s">
        <v>85</v>
      </c>
      <c r="BP2" s="5" t="s">
        <v>333</v>
      </c>
      <c r="BQ2" s="5" t="s">
        <v>334</v>
      </c>
      <c r="BR2" s="5" t="s">
        <v>335</v>
      </c>
      <c r="BS2" s="5" t="s">
        <v>336</v>
      </c>
      <c r="BT2" s="5" t="s">
        <v>337</v>
      </c>
      <c r="BU2" s="5" t="s">
        <v>101</v>
      </c>
      <c r="BV2" s="5" t="s">
        <v>338</v>
      </c>
      <c r="BW2" s="5" t="s">
        <v>339</v>
      </c>
      <c r="BX2" s="5" t="s">
        <v>340</v>
      </c>
      <c r="BY2" s="5" t="s">
        <v>341</v>
      </c>
      <c r="BZ2" s="5" t="s">
        <v>342</v>
      </c>
      <c r="CA2" s="5" t="s">
        <v>343</v>
      </c>
      <c r="CB2" s="5" t="s">
        <v>344</v>
      </c>
      <c r="CC2" s="5" t="s">
        <v>345</v>
      </c>
      <c r="CD2" s="5" t="s">
        <v>346</v>
      </c>
      <c r="CE2" s="5" t="s">
        <v>347</v>
      </c>
      <c r="CF2" s="5" t="s">
        <v>348</v>
      </c>
      <c r="CG2" s="5" t="s">
        <v>349</v>
      </c>
      <c r="CH2" s="5" t="s">
        <v>350</v>
      </c>
      <c r="CI2" s="5" t="s">
        <v>351</v>
      </c>
      <c r="CJ2" s="5" t="s">
        <v>352</v>
      </c>
      <c r="CK2" s="5" t="s">
        <v>353</v>
      </c>
      <c r="CL2" s="5" t="s">
        <v>354</v>
      </c>
      <c r="CM2" s="5" t="s">
        <v>355</v>
      </c>
      <c r="CN2" s="5" t="s">
        <v>356</v>
      </c>
      <c r="CO2" s="5" t="s">
        <v>357</v>
      </c>
      <c r="CP2" s="5" t="s">
        <v>358</v>
      </c>
      <c r="CQ2" s="5" t="s">
        <v>359</v>
      </c>
      <c r="CR2" s="5" t="s">
        <v>360</v>
      </c>
      <c r="CS2" s="5" t="s">
        <v>361</v>
      </c>
      <c r="CT2" s="5" t="s">
        <v>362</v>
      </c>
      <c r="CU2" s="5" t="s">
        <v>363</v>
      </c>
      <c r="CV2" s="5" t="s">
        <v>364</v>
      </c>
      <c r="CW2" s="5" t="s">
        <v>365</v>
      </c>
      <c r="CX2" s="5" t="s">
        <v>366</v>
      </c>
      <c r="CY2" s="5" t="s">
        <v>367</v>
      </c>
      <c r="CZ2" s="5" t="s">
        <v>368</v>
      </c>
      <c r="DA2" s="5" t="s">
        <v>369</v>
      </c>
      <c r="DB2" s="5" t="s">
        <v>370</v>
      </c>
      <c r="DC2" s="5" t="s">
        <v>371</v>
      </c>
      <c r="DD2" s="5" t="s">
        <v>372</v>
      </c>
      <c r="DE2" s="5" t="s">
        <v>373</v>
      </c>
      <c r="DF2" s="5" t="s">
        <v>374</v>
      </c>
      <c r="DG2" s="5" t="s">
        <v>375</v>
      </c>
      <c r="DH2" s="5" t="s">
        <v>376</v>
      </c>
      <c r="DI2" s="5" t="s">
        <v>377</v>
      </c>
      <c r="DJ2" s="5" t="s">
        <v>378</v>
      </c>
    </row>
    <row r="3">
      <c r="A3" s="5" t="s">
        <v>2</v>
      </c>
      <c r="B3" s="5"/>
      <c r="C3" s="5" t="s">
        <v>2</v>
      </c>
      <c r="D3" s="5" t="s">
        <v>2</v>
      </c>
      <c r="E3" s="5" t="s">
        <v>2</v>
      </c>
      <c r="F3" s="5" t="s">
        <v>2</v>
      </c>
      <c r="G3" s="5" t="s">
        <v>127</v>
      </c>
      <c r="H3" s="5" t="s">
        <v>2</v>
      </c>
      <c r="I3" s="5" t="s">
        <v>124</v>
      </c>
      <c r="J3" s="5" t="s">
        <v>379</v>
      </c>
      <c r="K3" s="5" t="s">
        <v>380</v>
      </c>
      <c r="L3" s="5" t="s">
        <v>381</v>
      </c>
      <c r="M3" s="5" t="s">
        <v>127</v>
      </c>
      <c r="N3" s="5" t="s">
        <v>127</v>
      </c>
      <c r="O3" s="5" t="s">
        <v>130</v>
      </c>
      <c r="P3" s="5" t="s">
        <v>130</v>
      </c>
      <c r="Q3" s="5" t="s">
        <v>130</v>
      </c>
      <c r="R3" s="5" t="s">
        <v>130</v>
      </c>
      <c r="S3" s="5" t="s">
        <v>124</v>
      </c>
      <c r="T3" s="5" t="s">
        <v>125</v>
      </c>
      <c r="U3" s="5" t="s">
        <v>125</v>
      </c>
      <c r="V3" s="5" t="s">
        <v>125</v>
      </c>
      <c r="W3" s="5" t="s">
        <v>124</v>
      </c>
      <c r="X3" s="5" t="s">
        <v>124</v>
      </c>
      <c r="Y3" s="5" t="s">
        <v>124</v>
      </c>
      <c r="Z3" s="5" t="s">
        <v>124</v>
      </c>
      <c r="AA3" s="5" t="s">
        <v>125</v>
      </c>
      <c r="AB3" s="5" t="s">
        <v>124</v>
      </c>
      <c r="AC3" s="5" t="s">
        <v>127</v>
      </c>
      <c r="AD3" s="5" t="s">
        <v>124</v>
      </c>
      <c r="AE3" s="5" t="s">
        <v>124</v>
      </c>
      <c r="AF3" s="5" t="s">
        <v>124</v>
      </c>
      <c r="AG3" s="5" t="s">
        <v>382</v>
      </c>
      <c r="AH3" s="5" t="s">
        <v>124</v>
      </c>
      <c r="AI3" s="5" t="s">
        <v>132</v>
      </c>
      <c r="AJ3" s="5" t="s">
        <v>3</v>
      </c>
      <c r="AK3" s="5" t="s">
        <v>127</v>
      </c>
      <c r="AL3" s="5" t="s">
        <v>127</v>
      </c>
      <c r="AM3" s="5" t="s">
        <v>127</v>
      </c>
      <c r="AN3" s="5" t="s">
        <v>124</v>
      </c>
      <c r="AO3" s="5" t="s">
        <v>383</v>
      </c>
      <c r="AP3" s="5" t="s">
        <v>384</v>
      </c>
      <c r="AQ3" s="5" t="s">
        <v>2</v>
      </c>
      <c r="AR3" s="5" t="s">
        <v>2</v>
      </c>
      <c r="AS3" s="5" t="s">
        <v>2</v>
      </c>
      <c r="AT3" s="5" t="s">
        <v>385</v>
      </c>
      <c r="AU3" s="5" t="s">
        <v>124</v>
      </c>
      <c r="AV3" s="5" t="s">
        <v>125</v>
      </c>
      <c r="AW3" s="5" t="s">
        <v>124</v>
      </c>
      <c r="AX3" s="5" t="s">
        <v>386</v>
      </c>
      <c r="AY3" s="5" t="s">
        <v>124</v>
      </c>
      <c r="AZ3" s="5" t="s">
        <v>125</v>
      </c>
      <c r="BA3" s="5" t="s">
        <v>124</v>
      </c>
      <c r="BB3" s="5" t="s">
        <v>127</v>
      </c>
      <c r="BC3" s="5" t="s">
        <v>125</v>
      </c>
      <c r="BD3" s="5" t="s">
        <v>127</v>
      </c>
      <c r="BE3" s="5" t="s">
        <v>127</v>
      </c>
      <c r="BF3" s="5" t="s">
        <v>125</v>
      </c>
      <c r="BG3" s="5" t="s">
        <v>124</v>
      </c>
      <c r="BH3" s="5" t="s">
        <v>385</v>
      </c>
      <c r="BI3" s="5" t="s">
        <v>124</v>
      </c>
      <c r="BJ3" s="5" t="s">
        <v>125</v>
      </c>
      <c r="BK3" s="5" t="s">
        <v>125</v>
      </c>
      <c r="BL3" s="5" t="s">
        <v>125</v>
      </c>
      <c r="BM3" s="5" t="s">
        <v>127</v>
      </c>
      <c r="BN3" s="5" t="s">
        <v>127</v>
      </c>
      <c r="BO3" s="5" t="s">
        <v>128</v>
      </c>
      <c r="BP3" s="5" t="s">
        <v>128</v>
      </c>
      <c r="BQ3" s="5" t="s">
        <v>387</v>
      </c>
      <c r="BR3" s="5" t="s">
        <v>388</v>
      </c>
      <c r="BS3" s="5" t="s">
        <v>125</v>
      </c>
      <c r="BT3" s="5" t="s">
        <v>125</v>
      </c>
      <c r="BU3" s="5" t="s">
        <v>124</v>
      </c>
      <c r="BV3" s="5" t="s">
        <v>125</v>
      </c>
      <c r="BW3" s="5" t="s">
        <v>125</v>
      </c>
      <c r="BX3" s="5" t="s">
        <v>127</v>
      </c>
      <c r="BY3" s="5" t="s">
        <v>389</v>
      </c>
      <c r="BZ3" s="5" t="s">
        <v>124</v>
      </c>
      <c r="CA3" s="5" t="s">
        <v>389</v>
      </c>
      <c r="CB3" s="5" t="s">
        <v>129</v>
      </c>
      <c r="CC3" s="5" t="s">
        <v>124</v>
      </c>
      <c r="CD3" s="5" t="s">
        <v>390</v>
      </c>
      <c r="CE3" s="5" t="s">
        <v>129</v>
      </c>
      <c r="CF3" s="5" t="s">
        <v>129</v>
      </c>
      <c r="CG3" s="5" t="s">
        <v>129</v>
      </c>
      <c r="CH3" s="5" t="s">
        <v>391</v>
      </c>
      <c r="CI3" s="5" t="s">
        <v>392</v>
      </c>
      <c r="CJ3" s="5" t="s">
        <v>2</v>
      </c>
      <c r="CK3" s="5" t="s">
        <v>393</v>
      </c>
      <c r="CL3" s="5" t="s">
        <v>393</v>
      </c>
      <c r="CM3" s="5" t="s">
        <v>134</v>
      </c>
      <c r="CN3" s="5" t="s">
        <v>130</v>
      </c>
      <c r="CO3" s="5" t="s">
        <v>130</v>
      </c>
      <c r="CP3" s="5" t="s">
        <v>133</v>
      </c>
      <c r="CQ3" s="5" t="s">
        <v>133</v>
      </c>
      <c r="CR3" s="5" t="s">
        <v>133</v>
      </c>
      <c r="CS3" s="5" t="s">
        <v>390</v>
      </c>
      <c r="CT3" s="5" t="s">
        <v>133</v>
      </c>
      <c r="CU3" s="5" t="s">
        <v>124</v>
      </c>
      <c r="CV3" s="5" t="s">
        <v>134</v>
      </c>
      <c r="CW3" s="5" t="s">
        <v>394</v>
      </c>
      <c r="CX3" s="5" t="s">
        <v>395</v>
      </c>
      <c r="CY3" s="5" t="s">
        <v>395</v>
      </c>
      <c r="CZ3" s="5" t="s">
        <v>394</v>
      </c>
      <c r="DA3" s="5" t="s">
        <v>394</v>
      </c>
      <c r="DB3" s="5" t="s">
        <v>394</v>
      </c>
      <c r="DC3" s="5" t="s">
        <v>394</v>
      </c>
      <c r="DD3" s="5" t="s">
        <v>394</v>
      </c>
      <c r="DE3" s="5" t="s">
        <v>124</v>
      </c>
      <c r="DF3" s="5" t="s">
        <v>124</v>
      </c>
      <c r="DG3" s="5" t="s">
        <v>124</v>
      </c>
      <c r="DH3" s="5" t="s">
        <v>124</v>
      </c>
      <c r="DI3" s="5" t="s">
        <v>124</v>
      </c>
      <c r="DJ3" s="5" t="s">
        <v>124</v>
      </c>
    </row>
    <row r="4">
      <c r="A4" s="5" t="s">
        <v>139</v>
      </c>
      <c r="B4" s="5"/>
      <c r="C4" s="5" t="s">
        <v>396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397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>
        <v>2</v>
      </c>
      <c r="AD4" s="5">
        <v>1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 t="s">
        <v>398</v>
      </c>
      <c r="AP4" s="5"/>
      <c r="AQ4" s="5"/>
      <c r="AR4" s="5"/>
      <c r="AS4" s="5"/>
      <c r="AT4" s="5" t="s">
        <v>399</v>
      </c>
      <c r="AU4" s="5"/>
      <c r="AV4" s="5"/>
      <c r="AW4" s="5"/>
      <c r="AX4" s="5" t="s">
        <v>400</v>
      </c>
      <c r="AY4" s="5"/>
      <c r="AZ4" s="5">
        <v>1</v>
      </c>
      <c r="BA4" s="5"/>
      <c r="BB4" s="5"/>
      <c r="BC4" s="5"/>
      <c r="BD4" s="5">
        <v>1</v>
      </c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 t="s">
        <v>401</v>
      </c>
      <c r="CC4" s="5"/>
      <c r="CD4" s="5"/>
      <c r="CE4" s="5"/>
      <c r="CF4" s="5"/>
      <c r="CG4" s="5"/>
      <c r="CH4" s="5" t="s">
        <v>402</v>
      </c>
      <c r="CI4" s="5" t="s">
        <v>403</v>
      </c>
      <c r="CJ4" s="5" t="s">
        <v>404</v>
      </c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405</v>
      </c>
      <c r="CZ4" s="5" t="s">
        <v>406</v>
      </c>
      <c r="DA4" s="5"/>
      <c r="DB4" s="5"/>
      <c r="DC4" s="5"/>
      <c r="DD4" s="5"/>
      <c r="DE4" s="5"/>
      <c r="DF4" s="5"/>
      <c r="DG4" s="5"/>
      <c r="DH4" s="5"/>
      <c r="DI4" s="5"/>
      <c r="D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</row>
    <row r="9">
      <c r="A9" s="5" t="s">
        <v>140</v>
      </c>
      <c r="B9" s="5"/>
      <c r="C9" s="5" t="s">
        <v>396</v>
      </c>
      <c r="D9" s="5" t="s">
        <v>407</v>
      </c>
      <c r="E9" s="5" t="s">
        <v>408</v>
      </c>
      <c r="F9" s="5" t="s">
        <v>409</v>
      </c>
      <c r="G9" s="5">
        <v>3</v>
      </c>
      <c r="H9" s="5"/>
      <c r="I9" s="5"/>
      <c r="J9" s="5" t="s">
        <v>410</v>
      </c>
      <c r="K9" s="5" t="s">
        <v>411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</v>
      </c>
      <c r="AC9" s="5">
        <v>1</v>
      </c>
      <c r="AD9" s="5"/>
      <c r="AE9" s="5"/>
      <c r="AF9" s="5">
        <v>1</v>
      </c>
      <c r="AG9" s="5" t="s">
        <v>412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 t="s">
        <v>413</v>
      </c>
      <c r="AU9" s="5"/>
      <c r="AV9" s="5"/>
      <c r="AW9" s="5"/>
      <c r="AX9" s="5"/>
      <c r="AY9" s="5"/>
      <c r="AZ9" s="5"/>
      <c r="BA9" s="5"/>
      <c r="BB9" s="5"/>
      <c r="BC9" s="5"/>
      <c r="BD9" s="5">
        <v>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 t="s">
        <v>414</v>
      </c>
      <c r="BP9" s="5" t="s">
        <v>415</v>
      </c>
      <c r="BQ9" s="5"/>
      <c r="BR9" s="5"/>
      <c r="BS9" s="5"/>
      <c r="BT9" s="5">
        <v>20</v>
      </c>
      <c r="BU9" s="5">
        <v>1</v>
      </c>
      <c r="BV9" s="5">
        <v>38</v>
      </c>
      <c r="BW9" s="5">
        <v>50</v>
      </c>
      <c r="BX9" s="5">
        <v>1</v>
      </c>
      <c r="BY9" s="5" t="s">
        <v>416</v>
      </c>
      <c r="BZ9" s="5"/>
      <c r="CA9" s="5" t="s">
        <v>417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397</v>
      </c>
      <c r="CP9" s="5"/>
      <c r="CQ9" s="5"/>
      <c r="CR9" s="5"/>
      <c r="CS9" s="5">
        <v>9999</v>
      </c>
      <c r="CT9" s="5"/>
      <c r="CU9" s="5">
        <v>1</v>
      </c>
      <c r="CV9" s="5" t="s">
        <v>418</v>
      </c>
      <c r="CW9" s="5"/>
      <c r="CX9" s="5"/>
      <c r="CY9" s="5"/>
      <c r="CZ9" s="5"/>
      <c r="DA9" s="5"/>
      <c r="DB9" s="5"/>
      <c r="DC9" s="5"/>
      <c r="DD9" s="5"/>
      <c r="DE9" s="5">
        <v>1</v>
      </c>
      <c r="DF9" s="5"/>
      <c r="DG9" s="5"/>
      <c r="DH9" s="5">
        <v>1</v>
      </c>
      <c r="DI9" s="5">
        <v>1</v>
      </c>
      <c r="DJ9" s="5"/>
    </row>
    <row r="10">
      <c r="A10" s="5" t="s">
        <v>419</v>
      </c>
      <c r="B10" s="5"/>
      <c r="C10" s="5" t="s">
        <v>420</v>
      </c>
      <c r="D10" s="5"/>
      <c r="E10" s="5"/>
      <c r="F10" s="5"/>
      <c r="G10" s="5"/>
      <c r="H10" s="5"/>
      <c r="I10" s="5"/>
      <c r="J10" s="5"/>
      <c r="K10" s="5" t="s">
        <v>421</v>
      </c>
      <c r="L10" s="5" t="s">
        <v>422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</v>
      </c>
      <c r="AD10" s="5"/>
      <c r="AE10" s="5"/>
      <c r="AF10" s="5">
        <v>1</v>
      </c>
      <c r="AG10" s="5" t="s">
        <v>412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 t="s">
        <v>423</v>
      </c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</row>
    <row r="11">
      <c r="A11" s="5" t="s">
        <v>424</v>
      </c>
      <c r="B11" s="5"/>
      <c r="C11" s="5" t="s">
        <v>420</v>
      </c>
      <c r="D11" s="5"/>
      <c r="E11" s="5"/>
      <c r="F11" s="5"/>
      <c r="G11" s="5"/>
      <c r="H11" s="5"/>
      <c r="I11" s="5"/>
      <c r="J11" s="5"/>
      <c r="K11" s="5" t="s">
        <v>421</v>
      </c>
      <c r="L11" s="5" t="s">
        <v>425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</v>
      </c>
      <c r="AD11" s="5"/>
      <c r="AE11" s="5"/>
      <c r="AF11" s="5">
        <v>1</v>
      </c>
      <c r="AG11" s="5" t="s">
        <v>412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 t="s">
        <v>426</v>
      </c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</row>
    <row r="12">
      <c r="A12" s="5" t="s">
        <v>427</v>
      </c>
      <c r="B12" s="5"/>
      <c r="C12" s="5" t="s">
        <v>396</v>
      </c>
      <c r="D12" s="5"/>
      <c r="E12" s="5"/>
      <c r="F12" s="5"/>
      <c r="G12" s="5"/>
      <c r="H12" s="5"/>
      <c r="I12" s="5">
        <v>1</v>
      </c>
      <c r="J12" s="5"/>
      <c r="K12" s="5"/>
      <c r="L12" s="5"/>
      <c r="M12" s="5"/>
      <c r="N12" s="5"/>
      <c r="O12" s="5" t="s">
        <v>397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</v>
      </c>
      <c r="AD12" s="5"/>
      <c r="AE12" s="5"/>
      <c r="AF12" s="5"/>
      <c r="AG12" s="5"/>
      <c r="AH12" s="5"/>
      <c r="AI12" s="5"/>
      <c r="AJ12" s="5" t="s">
        <v>153</v>
      </c>
      <c r="AK12" s="5"/>
      <c r="AL12" s="5"/>
      <c r="AM12" s="5"/>
      <c r="AN12" s="5"/>
      <c r="AO12" s="5"/>
      <c r="AP12" s="5"/>
      <c r="AQ12" s="5"/>
      <c r="AR12" s="5"/>
      <c r="AS12" s="5"/>
      <c r="AT12" s="5" t="s">
        <v>413</v>
      </c>
      <c r="AU12" s="5"/>
      <c r="AV12" s="5"/>
      <c r="AW12" s="5"/>
      <c r="AX12" s="5"/>
      <c r="AY12" s="5"/>
      <c r="AZ12" s="5"/>
      <c r="BA12" s="5"/>
      <c r="BB12" s="5"/>
      <c r="BC12" s="5"/>
      <c r="BD12" s="5">
        <v>99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0.1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428</v>
      </c>
      <c r="CP12" s="5"/>
      <c r="CQ12" s="5"/>
      <c r="CR12" s="5"/>
      <c r="CS12" s="5">
        <v>0.2</v>
      </c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</row>
    <row r="13">
      <c r="A13" s="5" t="s">
        <v>429</v>
      </c>
      <c r="B13" s="5"/>
      <c r="C13" s="5" t="s">
        <v>396</v>
      </c>
      <c r="D13" s="5"/>
      <c r="E13" s="5"/>
      <c r="F13" s="5"/>
      <c r="G13" s="5"/>
      <c r="H13" s="5"/>
      <c r="I13" s="5">
        <v>1</v>
      </c>
      <c r="J13" s="5"/>
      <c r="K13" s="5"/>
      <c r="L13" s="5"/>
      <c r="M13" s="5"/>
      <c r="N13" s="5"/>
      <c r="O13" s="5" t="s">
        <v>430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</v>
      </c>
      <c r="AD13" s="5"/>
      <c r="AE13" s="5"/>
      <c r="AF13" s="5"/>
      <c r="AG13" s="5" t="s">
        <v>412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2.2</v>
      </c>
      <c r="BT13" s="5"/>
      <c r="BU13" s="5"/>
      <c r="BV13" s="5"/>
      <c r="BW13" s="5"/>
      <c r="BX13" s="5"/>
      <c r="BY13" s="5"/>
      <c r="BZ13" s="5"/>
      <c r="CA13" s="5" t="s">
        <v>431</v>
      </c>
      <c r="CB13" s="5" t="s">
        <v>432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 t="s">
        <v>433</v>
      </c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</row>
    <row r="14">
      <c r="A14" s="5" t="s">
        <v>415</v>
      </c>
      <c r="B14" s="5"/>
      <c r="C14" s="5" t="s">
        <v>396</v>
      </c>
      <c r="D14" s="5"/>
      <c r="E14" s="5"/>
      <c r="F14" s="5"/>
      <c r="G14" s="5"/>
      <c r="H14" s="5"/>
      <c r="I14" s="5">
        <v>1</v>
      </c>
      <c r="J14" s="5"/>
      <c r="K14" s="5" t="s">
        <v>421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</v>
      </c>
      <c r="AD14" s="5"/>
      <c r="AE14" s="5"/>
      <c r="AF14" s="5"/>
      <c r="AG14" s="5" t="s">
        <v>412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1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0.167</v>
      </c>
      <c r="BT14" s="5"/>
      <c r="BU14" s="5"/>
      <c r="BV14" s="5"/>
      <c r="BW14" s="5"/>
      <c r="BX14" s="5"/>
      <c r="BY14" s="5"/>
      <c r="BZ14" s="5"/>
      <c r="CA14" s="5"/>
      <c r="CB14" s="5" t="s">
        <v>434</v>
      </c>
      <c r="CC14" s="5"/>
      <c r="CD14" s="5"/>
      <c r="CE14" s="5"/>
      <c r="CF14" s="5"/>
      <c r="CG14" s="5"/>
      <c r="CH14" s="5" t="s">
        <v>402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>
        <v>1</v>
      </c>
      <c r="DF14" s="5"/>
      <c r="DG14" s="5">
        <v>1</v>
      </c>
      <c r="DH14" s="5">
        <v>1</v>
      </c>
      <c r="DI14" s="5">
        <v>1</v>
      </c>
      <c r="DJ14" s="5"/>
    </row>
    <row r="15">
      <c r="A15" s="5" t="s">
        <v>435</v>
      </c>
      <c r="B15" s="5"/>
      <c r="C15" s="5" t="s">
        <v>396</v>
      </c>
      <c r="D15" s="5"/>
      <c r="E15" s="5"/>
      <c r="F15" s="5"/>
      <c r="G15" s="5"/>
      <c r="H15" s="5"/>
      <c r="I15" s="5">
        <v>1</v>
      </c>
      <c r="J15" s="5"/>
      <c r="K15" s="5" t="s">
        <v>421</v>
      </c>
      <c r="L15" s="5" t="s">
        <v>436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</v>
      </c>
      <c r="AD15" s="5"/>
      <c r="AE15" s="5"/>
      <c r="AF15" s="5"/>
      <c r="AG15" s="5" t="s">
        <v>412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>
        <v>0.267</v>
      </c>
      <c r="BT15" s="5"/>
      <c r="BU15" s="5"/>
      <c r="BV15" s="5"/>
      <c r="BW15" s="5"/>
      <c r="BX15" s="5"/>
      <c r="BY15" s="5"/>
      <c r="BZ15" s="5"/>
      <c r="CA15" s="5"/>
      <c r="CB15" s="5" t="s">
        <v>437</v>
      </c>
      <c r="CC15" s="5"/>
      <c r="CD15" s="5"/>
      <c r="CE15" s="5"/>
      <c r="CF15" s="5"/>
      <c r="CG15" s="5"/>
      <c r="CH15" s="5" t="s">
        <v>402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>
        <v>1</v>
      </c>
      <c r="DF15" s="5"/>
      <c r="DG15" s="5">
        <v>1</v>
      </c>
      <c r="DH15" s="5">
        <v>1</v>
      </c>
      <c r="DI15" s="5">
        <v>1</v>
      </c>
      <c r="D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</row>
    <row r="17">
      <c r="A17" s="5" t="s">
        <v>438</v>
      </c>
      <c r="B17" s="5"/>
      <c r="C17" s="5" t="s">
        <v>396</v>
      </c>
      <c r="D17" s="5"/>
      <c r="E17" s="5"/>
      <c r="F17" s="5"/>
      <c r="G17" s="5"/>
      <c r="H17" s="5"/>
      <c r="I17" s="5"/>
      <c r="J17" s="5"/>
      <c r="K17" s="5" t="s">
        <v>421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</v>
      </c>
      <c r="AD17" s="5"/>
      <c r="AE17" s="5"/>
      <c r="AF17" s="5"/>
      <c r="AG17" s="5" t="s">
        <v>412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439</v>
      </c>
      <c r="CP17" s="5"/>
      <c r="CQ17" s="5"/>
      <c r="CR17" s="5"/>
      <c r="CS17" s="5">
        <v>1</v>
      </c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</row>
    <row r="18">
      <c r="A18" s="5" t="s">
        <v>440</v>
      </c>
      <c r="B18" s="5"/>
      <c r="C18" s="5" t="s">
        <v>396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</v>
      </c>
      <c r="AD18" s="5">
        <v>1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 t="s">
        <v>398</v>
      </c>
      <c r="AP18" s="5"/>
      <c r="AQ18" s="5"/>
      <c r="AR18" s="5"/>
      <c r="AS18" s="5"/>
      <c r="AT18" s="5" t="s">
        <v>441</v>
      </c>
      <c r="AU18" s="5"/>
      <c r="AV18" s="5"/>
      <c r="AW18" s="5"/>
      <c r="AX18" s="5" t="s">
        <v>442</v>
      </c>
      <c r="AY18" s="5"/>
      <c r="AZ18" s="5">
        <v>3.8</v>
      </c>
      <c r="BA18" s="5"/>
      <c r="BB18" s="5">
        <v>3</v>
      </c>
      <c r="BC18" s="5"/>
      <c r="BD18" s="5">
        <v>99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 t="s">
        <v>438</v>
      </c>
      <c r="BQ18" s="5"/>
      <c r="BR18" s="5"/>
      <c r="BS18" s="5">
        <v>1</v>
      </c>
      <c r="BT18" s="5"/>
      <c r="BU18" s="5"/>
      <c r="BV18" s="5"/>
      <c r="BW18" s="5"/>
      <c r="BX18" s="5"/>
      <c r="BY18" s="5"/>
      <c r="BZ18" s="5"/>
      <c r="CA18" s="5"/>
      <c r="CB18" s="5" t="s">
        <v>61</v>
      </c>
      <c r="CC18" s="5"/>
      <c r="CD18" s="5"/>
      <c r="CE18" s="5"/>
      <c r="CF18" s="5"/>
      <c r="CG18" s="5"/>
      <c r="CH18" s="5" t="s">
        <v>402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 t="s">
        <v>443</v>
      </c>
      <c r="CY18" s="5"/>
      <c r="CZ18" s="5" t="s">
        <v>406</v>
      </c>
      <c r="DA18" s="5"/>
      <c r="DB18" s="5"/>
      <c r="DC18" s="5"/>
      <c r="DD18" s="5"/>
      <c r="DE18" s="5"/>
      <c r="DF18" s="5"/>
      <c r="DG18" s="5"/>
      <c r="DH18" s="5"/>
      <c r="DI18" s="5"/>
      <c r="DJ18" s="5"/>
    </row>
    <row r="19">
      <c r="A19" s="5" t="s">
        <v>444</v>
      </c>
      <c r="B19" s="5"/>
      <c r="C19" s="5" t="s">
        <v>445</v>
      </c>
      <c r="D19" s="5"/>
      <c r="E19" s="5"/>
      <c r="F19" s="5"/>
      <c r="G19" s="5"/>
      <c r="H19" s="5"/>
      <c r="I19" s="5">
        <v>1</v>
      </c>
      <c r="J19" s="5"/>
      <c r="K19" s="5" t="s">
        <v>421</v>
      </c>
      <c r="L19" s="5" t="s">
        <v>422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>
        <v>1</v>
      </c>
      <c r="Y19" s="5"/>
      <c r="Z19" s="5"/>
      <c r="AA19" s="5"/>
      <c r="AB19" s="5"/>
      <c r="AC19" s="5">
        <v>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 t="s">
        <v>446</v>
      </c>
      <c r="AU19" s="5"/>
      <c r="AV19" s="5"/>
      <c r="AW19" s="5"/>
      <c r="AX19" s="5"/>
      <c r="AY19" s="5"/>
      <c r="AZ19" s="5"/>
      <c r="BA19" s="5"/>
      <c r="BB19" s="5"/>
      <c r="BC19" s="5"/>
      <c r="BD19" s="5">
        <v>1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 t="s">
        <v>447</v>
      </c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</row>
    <row r="20">
      <c r="A20" s="5" t="s">
        <v>448</v>
      </c>
      <c r="B20" s="5"/>
      <c r="C20" s="5" t="s">
        <v>396</v>
      </c>
      <c r="D20" s="5"/>
      <c r="E20" s="5"/>
      <c r="F20" s="5"/>
      <c r="G20" s="5"/>
      <c r="H20" s="5"/>
      <c r="I20" s="5">
        <v>1</v>
      </c>
      <c r="J20" s="5"/>
      <c r="K20" s="5" t="s">
        <v>421</v>
      </c>
      <c r="L20" s="5" t="s">
        <v>449</v>
      </c>
      <c r="M20" s="5"/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</v>
      </c>
      <c r="AD20" s="5"/>
      <c r="AE20" s="5"/>
      <c r="AF20" s="5"/>
      <c r="AG20" s="5"/>
      <c r="AH20" s="5"/>
      <c r="AI20" s="5"/>
      <c r="AJ20" s="5" t="s">
        <v>4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20</v>
      </c>
      <c r="AW20" s="5"/>
      <c r="AX20" s="5"/>
      <c r="AY20" s="5"/>
      <c r="AZ20" s="5"/>
      <c r="BA20" s="5"/>
      <c r="BB20" s="5"/>
      <c r="BC20" s="5"/>
      <c r="BD20" s="5">
        <v>1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433</v>
      </c>
      <c r="CP20" s="5"/>
      <c r="CQ20" s="5"/>
      <c r="CR20" s="5"/>
      <c r="CS20" s="5">
        <v>1</v>
      </c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>
        <v>0.15</v>
      </c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>
        <v>0.2</v>
      </c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>
        <v>0.1</v>
      </c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>
        <v>0.2</v>
      </c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>
        <v>1</v>
      </c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>
        <v>0.4</v>
      </c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>
        <v>0.6</v>
      </c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>
        <v>0.5</v>
      </c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>
        <v>0.667</v>
      </c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>
        <v>0.2</v>
      </c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</row>
  </sheetData>
  <phoneticPr fontId="12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1"/>
  <sheetViews>
    <sheetView workbookViewId="0">
      <pane xSplit="1" ySplit="3" topLeftCell="G4" activePane="bottomRight" state="frozen"/>
      <selection pane="topRight"/>
      <selection pane="bottomLeft"/>
      <selection pane="bottomRight" activeCell="L14" sqref="L14"/>
    </sheetView>
  </sheetViews>
  <sheetFormatPr defaultColWidth="9" defaultRowHeight="14.05" x14ac:dyDescent="0.25"/>
  <cols>
    <col min="1" max="1" width="13" customWidth="1" style="5"/>
    <col min="2" max="2" width="31.25" customWidth="1" style="5"/>
    <col min="3" max="6" width="9" customWidth="1" style="5"/>
    <col min="7" max="7" width="18.75" customWidth="1" style="5"/>
    <col min="8" max="8" width="15" customWidth="1" style="5"/>
    <col min="9" max="13" width="9" customWidth="1" style="5"/>
    <col min="14" max="14" width="16.08203125" customWidth="1" style="5"/>
    <col min="15" max="15" width="9.5" customWidth="1" style="5"/>
    <col min="16" max="16" width="22.1640625" customWidth="1" style="5"/>
    <col min="17" max="17" width="12.83203125" customWidth="1" style="5"/>
  </cols>
  <sheetData>
    <row r="1">
      <c r="A1" s="5" t="s">
        <v>0</v>
      </c>
      <c r="B1" s="5" t="s">
        <v>5</v>
      </c>
      <c r="E1" s="5" t="s">
        <v>450</v>
      </c>
      <c r="F1" s="5" t="s">
        <v>451</v>
      </c>
      <c r="G1" s="5" t="s">
        <v>452</v>
      </c>
      <c r="H1" s="5" t="s">
        <v>453</v>
      </c>
      <c r="I1" s="5" t="s">
        <v>454</v>
      </c>
      <c r="J1" s="5" t="s">
        <v>455</v>
      </c>
      <c r="L1" s="5" t="s">
        <v>456</v>
      </c>
      <c r="M1" s="5" t="s">
        <v>457</v>
      </c>
      <c r="N1" s="5" t="s">
        <v>458</v>
      </c>
      <c r="O1" s="5" t="s">
        <v>459</v>
      </c>
      <c r="P1" s="5" t="s">
        <v>460</v>
      </c>
    </row>
    <row r="2">
      <c r="A2" s="5" t="s">
        <v>0</v>
      </c>
      <c r="C2" s="5" t="s">
        <v>51</v>
      </c>
      <c r="D2" s="5" t="s">
        <v>83</v>
      </c>
      <c r="E2" s="5" t="s">
        <v>461</v>
      </c>
      <c r="F2" s="5" t="s">
        <v>462</v>
      </c>
      <c r="G2" s="5" t="s">
        <v>463</v>
      </c>
      <c r="H2" s="5" t="s">
        <v>464</v>
      </c>
      <c r="I2" s="5" t="s">
        <v>465</v>
      </c>
      <c r="J2" s="5" t="s">
        <v>466</v>
      </c>
      <c r="K2" s="5" t="s">
        <v>467</v>
      </c>
      <c r="L2" s="5" t="s">
        <v>57</v>
      </c>
      <c r="M2" s="5" t="s">
        <v>468</v>
      </c>
      <c r="N2" s="5" t="s">
        <v>469</v>
      </c>
      <c r="O2" s="5" t="s">
        <v>470</v>
      </c>
      <c r="P2" s="5" t="s">
        <v>471</v>
      </c>
      <c r="Q2" s="5" t="s">
        <v>364</v>
      </c>
    </row>
    <row r="3">
      <c r="A3" s="5" t="s">
        <v>2</v>
      </c>
      <c r="C3" s="5" t="s">
        <v>2</v>
      </c>
      <c r="D3" s="5" t="s">
        <v>2</v>
      </c>
      <c r="E3" s="5" t="s">
        <v>127</v>
      </c>
      <c r="F3" s="5" t="s">
        <v>127</v>
      </c>
      <c r="G3" s="5" t="s">
        <v>127</v>
      </c>
      <c r="H3" s="5" t="s">
        <v>124</v>
      </c>
      <c r="I3" s="5" t="s">
        <v>124</v>
      </c>
      <c r="J3" s="5" t="s">
        <v>394</v>
      </c>
      <c r="K3" s="5" t="s">
        <v>125</v>
      </c>
      <c r="L3" s="5" t="s">
        <v>358</v>
      </c>
      <c r="M3" s="5" t="s">
        <v>124</v>
      </c>
      <c r="N3" s="5" t="s">
        <v>124</v>
      </c>
      <c r="O3" s="5" t="s">
        <v>358</v>
      </c>
      <c r="P3" s="5" t="s">
        <v>124</v>
      </c>
      <c r="Q3" s="5" t="s">
        <v>134</v>
      </c>
    </row>
    <row r="4">
      <c r="A4" s="5" t="s">
        <v>433</v>
      </c>
      <c r="C4" s="5" t="s">
        <v>472</v>
      </c>
      <c r="H4" s="5">
        <v>1</v>
      </c>
    </row>
    <row r="6">
      <c r="A6" s="5" t="s">
        <v>397</v>
      </c>
      <c r="C6" s="5" t="s">
        <v>243</v>
      </c>
      <c r="H6" s="5">
        <v>1</v>
      </c>
      <c r="Q6" s="5" t="s">
        <v>473</v>
      </c>
    </row>
    <row r="7">
      <c r="A7" s="5" t="s">
        <v>428</v>
      </c>
      <c r="C7" s="5" t="s">
        <v>472</v>
      </c>
      <c r="H7" s="5">
        <v>1</v>
      </c>
    </row>
    <row r="270">
      <c r="P270" s="5">
        <v>1</v>
      </c>
    </row>
    <row r="271">
      <c r="P271" s="5">
        <v>1</v>
      </c>
    </row>
  </sheetData>
  <phoneticPr fontId="12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13" sqref="D13"/>
    </sheetView>
  </sheetViews>
  <sheetFormatPr defaultColWidth="9" defaultRowHeight="14.05" x14ac:dyDescent="0.25"/>
  <cols>
    <col min="1" max="1" width="11.33203125" customWidth="1" style="5"/>
    <col min="2" max="2" width="11.25" customWidth="1" style="5"/>
    <col min="3" max="3" width="9" customWidth="1" style="5"/>
    <col min="4" max="4" width="27.5" customWidth="1" style="5"/>
  </cols>
  <sheetData>
    <row r="1">
      <c r="A1" s="5" t="s">
        <v>0</v>
      </c>
      <c r="C1" s="5" t="s">
        <v>474</v>
      </c>
    </row>
    <row r="2">
      <c r="A2" s="5" t="s">
        <v>0</v>
      </c>
      <c r="B2" s="5" t="s">
        <v>51</v>
      </c>
      <c r="C2" s="5" t="s">
        <v>475</v>
      </c>
      <c r="D2" s="5" t="s">
        <v>364</v>
      </c>
    </row>
    <row r="3">
      <c r="A3" s="5" t="s">
        <v>2</v>
      </c>
      <c r="B3" s="5" t="s">
        <v>2</v>
      </c>
      <c r="C3" s="5" t="s">
        <v>358</v>
      </c>
      <c r="D3" s="5" t="s">
        <v>134</v>
      </c>
    </row>
  </sheetData>
  <phoneticPr fontId="12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1" sqref="I1:I1048576"/>
    </sheetView>
  </sheetViews>
  <sheetFormatPr defaultColWidth="9" defaultRowHeight="14.05" x14ac:dyDescent="0.25"/>
  <cols>
    <col min="1" max="1" width="15.25" customWidth="1" style="5"/>
    <col min="2" max="2" width="9" customWidth="1" style="5"/>
    <col min="3" max="3" width="27.25" customWidth="1" style="5"/>
    <col min="4" max="4" width="10.83203125" customWidth="1" style="5"/>
    <col min="5" max="10" width="9" customWidth="1" style="5"/>
  </cols>
  <sheetData>
    <row r="1">
      <c r="I1" s="5" t="s">
        <v>248</v>
      </c>
    </row>
    <row r="2">
      <c r="A2" s="5" t="s">
        <v>0</v>
      </c>
      <c r="B2" s="5" t="s">
        <v>51</v>
      </c>
      <c r="C2" s="5" t="s">
        <v>53</v>
      </c>
      <c r="D2" s="5" t="s">
        <v>476</v>
      </c>
      <c r="E2" s="5" t="s">
        <v>76</v>
      </c>
      <c r="F2" s="5" t="s">
        <v>477</v>
      </c>
      <c r="G2" s="5" t="s">
        <v>478</v>
      </c>
      <c r="H2" s="5" t="s">
        <v>479</v>
      </c>
      <c r="I2" s="5" t="s">
        <v>353</v>
      </c>
      <c r="J2" s="5" t="s">
        <v>364</v>
      </c>
    </row>
    <row r="3">
      <c r="A3" s="5" t="s">
        <v>2</v>
      </c>
      <c r="B3" s="5" t="s">
        <v>2</v>
      </c>
      <c r="C3" s="5" t="s">
        <v>2</v>
      </c>
      <c r="D3" s="5" t="s">
        <v>2</v>
      </c>
      <c r="E3" s="5" t="s">
        <v>125</v>
      </c>
      <c r="F3" s="5" t="s">
        <v>127</v>
      </c>
      <c r="G3" s="5" t="s">
        <v>127</v>
      </c>
      <c r="H3" s="5" t="s">
        <v>127</v>
      </c>
      <c r="I3" s="5" t="s">
        <v>393</v>
      </c>
      <c r="J3" s="5" t="s">
        <v>134</v>
      </c>
    </row>
  </sheetData>
  <phoneticPr fontId="12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D14" sqref="D14"/>
    </sheetView>
  </sheetViews>
  <sheetFormatPr defaultColWidth="9" defaultRowHeight="14.05" x14ac:dyDescent="0.25"/>
  <cols>
    <col min="1" max="1" width="15.25" customWidth="1" style="5"/>
    <col min="2" max="2" width="28" customWidth="1" style="5"/>
    <col min="3" max="4" width="10.08203125" customWidth="1" style="5"/>
    <col min="5" max="10" width="11.25" customWidth="1" style="5"/>
    <col min="11" max="11" width="6.33203125" customWidth="1" style="5"/>
    <col min="12" max="12" width="9" customWidth="1" style="5"/>
  </cols>
  <sheetData>
    <row r="1">
      <c r="A1" s="5" t="s">
        <v>0</v>
      </c>
      <c r="B1" s="5" t="s">
        <v>480</v>
      </c>
      <c r="C1" s="5" t="s">
        <v>481</v>
      </c>
      <c r="D1" s="5" t="s">
        <v>482</v>
      </c>
      <c r="E1" s="5" t="s">
        <v>483</v>
      </c>
      <c r="F1" s="5" t="s">
        <v>484</v>
      </c>
      <c r="H1" s="5" t="s">
        <v>485</v>
      </c>
      <c r="I1" s="5" t="s">
        <v>486</v>
      </c>
      <c r="J1" s="5" t="s">
        <v>487</v>
      </c>
      <c r="K1" s="5" t="s">
        <v>488</v>
      </c>
      <c r="L1" s="5" t="s">
        <v>489</v>
      </c>
    </row>
    <row r="2">
      <c r="A2" s="5" t="s">
        <v>0</v>
      </c>
      <c r="B2" s="5" t="s">
        <v>490</v>
      </c>
      <c r="C2" s="5" t="s">
        <v>491</v>
      </c>
      <c r="D2" s="5" t="s">
        <v>492</v>
      </c>
      <c r="E2" s="5" t="s">
        <v>493</v>
      </c>
      <c r="F2" s="5" t="s">
        <v>494</v>
      </c>
      <c r="G2" s="5" t="s">
        <v>495</v>
      </c>
      <c r="H2" s="5" t="s">
        <v>496</v>
      </c>
      <c r="I2" s="5" t="s">
        <v>497</v>
      </c>
      <c r="J2" s="5" t="s">
        <v>498</v>
      </c>
      <c r="K2" s="5" t="s">
        <v>477</v>
      </c>
      <c r="L2" s="5" t="s">
        <v>103</v>
      </c>
    </row>
    <row r="3">
      <c r="A3" s="5" t="s">
        <v>2</v>
      </c>
      <c r="B3" s="5" t="s">
        <v>2</v>
      </c>
      <c r="C3" s="5" t="s">
        <v>127</v>
      </c>
      <c r="D3" s="5" t="s">
        <v>126</v>
      </c>
      <c r="E3" s="5" t="s">
        <v>2</v>
      </c>
      <c r="F3" s="5" t="s">
        <v>124</v>
      </c>
      <c r="G3" s="5" t="s">
        <v>124</v>
      </c>
      <c r="H3" s="5" t="s">
        <v>127</v>
      </c>
      <c r="I3" s="5" t="s">
        <v>127</v>
      </c>
      <c r="J3" s="5" t="s">
        <v>127</v>
      </c>
      <c r="K3" s="5" t="s">
        <v>125</v>
      </c>
      <c r="L3" s="5" t="s">
        <v>125</v>
      </c>
    </row>
  </sheetData>
  <phoneticPr fontId="12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5"/>
    <col min="2" max="2" width="16.25" customWidth="1" style="5"/>
    <col min="3" max="3" width="16.33203125" customWidth="1" style="5"/>
    <col min="4" max="4" width="47.83203125" customWidth="1" style="5"/>
    <col min="5" max="5" width="10.25" customWidth="1" style="5"/>
    <col min="6" max="6" width="12.83203125" customWidth="1" style="5"/>
    <col min="7" max="9" width="9" customWidth="1" style="5"/>
    <col min="10" max="10" width="11.83203125" customWidth="1" style="5"/>
  </cols>
  <sheetData>
    <row r="2">
      <c r="A2" s="5" t="s">
        <v>0</v>
      </c>
      <c r="B2" s="5" t="s">
        <v>273</v>
      </c>
      <c r="C2" s="5" t="s">
        <v>83</v>
      </c>
      <c r="D2" s="5" t="s">
        <v>499</v>
      </c>
      <c r="E2" s="5" t="s">
        <v>500</v>
      </c>
      <c r="F2" s="5" t="s">
        <v>85</v>
      </c>
      <c r="G2" s="5" t="s">
        <v>501</v>
      </c>
      <c r="H2" s="5" t="s">
        <v>301</v>
      </c>
      <c r="I2" s="5" t="s">
        <v>502</v>
      </c>
      <c r="J2" s="5" t="s">
        <v>58</v>
      </c>
    </row>
    <row r="3" s="3" customFormat="1">
      <c r="A3" s="3" t="s">
        <v>2</v>
      </c>
      <c r="B3" s="3" t="s">
        <v>2</v>
      </c>
      <c r="C3" s="3" t="s">
        <v>2</v>
      </c>
      <c r="D3" s="3" t="s">
        <v>2</v>
      </c>
      <c r="E3" s="3" t="s">
        <v>127</v>
      </c>
      <c r="F3" s="3" t="s">
        <v>128</v>
      </c>
      <c r="G3" s="3" t="s">
        <v>127</v>
      </c>
      <c r="H3" s="3" t="s">
        <v>503</v>
      </c>
      <c r="I3" s="3" t="s">
        <v>127</v>
      </c>
      <c r="J3" s="3" t="s">
        <v>127</v>
      </c>
    </row>
  </sheetData>
  <phoneticPr fontId="12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D4" sqref="D4"/>
    </sheetView>
  </sheetViews>
  <sheetFormatPr defaultColWidth="8.75" defaultRowHeight="14.05" x14ac:dyDescent="0.25"/>
  <cols>
    <col min="1" max="1" width="7.5" customWidth="1" style="5"/>
    <col min="2" max="2" width="10.6640625" customWidth="1" style="5"/>
    <col min="3" max="3" width="21.9140625" customWidth="1" style="5"/>
    <col min="4" max="4" width="16.25" customWidth="1" style="5"/>
    <col min="5" max="5" width="14" customWidth="1" style="5"/>
    <col min="6" max="7" width="15.1640625" customWidth="1" style="5"/>
    <col min="8" max="8" width="12.9140625" customWidth="1" style="5"/>
    <col min="9" max="9" width="14" customWidth="1" style="5"/>
  </cols>
  <sheetData>
    <row r="1">
      <c r="A1" s="5" t="s">
        <v>0</v>
      </c>
      <c r="B1" s="5" t="s">
        <v>504</v>
      </c>
      <c r="C1" s="5" t="s">
        <v>505</v>
      </c>
      <c r="D1" s="5" t="s">
        <v>506</v>
      </c>
      <c r="E1" s="5" t="s">
        <v>507</v>
      </c>
      <c r="F1" s="5" t="s">
        <v>508</v>
      </c>
      <c r="G1" s="5" t="s">
        <v>509</v>
      </c>
      <c r="H1" s="5" t="s">
        <v>510</v>
      </c>
      <c r="I1" s="5" t="s">
        <v>511</v>
      </c>
    </row>
    <row r="2">
      <c r="A2" s="5" t="s">
        <v>0</v>
      </c>
      <c r="B2" s="5" t="s">
        <v>512</v>
      </c>
      <c r="C2" s="5" t="s">
        <v>513</v>
      </c>
      <c r="D2" s="5" t="s">
        <v>514</v>
      </c>
      <c r="E2" s="5" t="s">
        <v>515</v>
      </c>
      <c r="F2" s="5" t="s">
        <v>516</v>
      </c>
      <c r="G2" s="5" t="s">
        <v>517</v>
      </c>
      <c r="H2" s="5" t="s">
        <v>518</v>
      </c>
      <c r="I2" s="5" t="s">
        <v>519</v>
      </c>
    </row>
    <row r="3">
      <c r="A3" s="5" t="s">
        <v>2</v>
      </c>
      <c r="B3" s="5" t="s">
        <v>124</v>
      </c>
      <c r="C3" s="5" t="s">
        <v>124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</row>
    <row r="4" s="3" customFormat="1">
      <c r="A4" s="3" t="s">
        <v>154</v>
      </c>
      <c r="B4" s="3">
        <v>1</v>
      </c>
      <c r="C4" s="3">
        <v>1</v>
      </c>
      <c r="D4" s="3" t="s">
        <v>520</v>
      </c>
      <c r="E4" s="3" t="s">
        <v>521</v>
      </c>
      <c r="F4" s="3" t="s">
        <v>522</v>
      </c>
    </row>
  </sheetData>
  <phoneticPr fontId="12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2026-08-27T16:42:24Z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