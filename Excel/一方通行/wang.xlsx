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350" windowHeight="7590" activeTab="3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  <sheet name="SpineData" sheetId="12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魏杰</author>
  </authors>
  <commentList>
    <comment ref="AN1" authorId="0">
      <text>
        <r>
          <rPr>
            <sz val="9"/>
            <rFont val="宋体"/>
            <charset val="134"/>
          </rPr>
          <t>小型：红橙黄绿蓝紫粉
精英 Boss
大型</t>
        </r>
      </text>
    </comment>
    <comment ref="AO1" authorId="0">
      <text>
        <r>
          <rPr>
            <sz val="9"/>
            <rFont val="宋体"/>
            <charset val="134"/>
          </rPr>
          <t>小型：红橙黄绿蓝紫粉
大型</t>
        </r>
      </text>
    </comment>
    <comment ref="AQ1" authorId="0">
      <text>
        <r>
          <rPr>
            <sz val="9"/>
            <rFont val="宋体"/>
            <charset val="134"/>
          </rPr>
          <t xml:space="preserve">高台位
地面位
全地形
仅无敌人
</t>
        </r>
      </text>
    </comment>
  </commentList>
</comments>
</file>

<file path=xl/comments2.xml><?xml version="1.0" encoding="utf-8"?>
<comments xmlns="http://schemas.openxmlformats.org/spreadsheetml/2006/main">
  <authors>
    <author>PC</author>
    <author>Admin</author>
  </authors>
  <commentList>
    <comment ref="AC1" authorId="0">
      <text>
        <r>
          <rPr>
            <b/>
            <sz val="9"/>
            <rFont val="宋体"/>
            <charset val="134"/>
          </rPr>
          <t>PC:</t>
        </r>
        <r>
          <rPr>
            <sz val="9"/>
            <rFont val="宋体"/>
            <charset val="134"/>
          </rPr>
          <t xml:space="preserve">
1:玩家 2:敌人 3:双方</t>
        </r>
      </text>
    </comment>
    <comment ref="BB1" authorId="0">
      <text>
        <r>
          <rPr>
            <b/>
            <sz val="9"/>
            <rFont val="宋体"/>
            <charset val="134"/>
          </rPr>
          <t>PC:</t>
        </r>
        <r>
          <rPr>
            <sz val="9"/>
            <rFont val="宋体"/>
            <charset val="134"/>
          </rPr>
          <t xml:space="preserve">
0:基于单位攻击力
1:基于目标最大生命值
2:固定值
</t>
        </r>
      </text>
    </comment>
    <comment ref="BR1" authorId="1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技能持续结束后，将会转变为升级技能</t>
        </r>
      </text>
    </comment>
    <comment ref="CT1" authorId="1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C1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0：击中点
1：骨骼点</t>
        </r>
      </text>
    </comment>
    <comment ref="H1" authorId="0">
      <text>
        <r>
          <rPr>
            <b/>
            <sz val="9"/>
            <rFont val="宋体"/>
            <charset val="134"/>
          </rPr>
          <t>Admin:
1会实时更新x缩放</t>
        </r>
        <r>
          <rPr>
            <sz val="9"/>
            <rFont val="宋体"/>
            <charset val="134"/>
          </rPr>
          <t xml:space="preserve">
2跟随使用者
3仅跟随位置
</t>
        </r>
      </text>
    </comment>
    <comment ref="I1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0：不修改
1：跟随接收者
2：跟随施法者
</t>
        </r>
      </text>
    </comment>
    <comment ref="J1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<sst xmlns="http://schemas.openxmlformats.org/spreadsheetml/2006/main" count="852" uniqueCount="521">
  <si>
    <t>Id</t>
  </si>
  <si>
    <t>units</t>
  </si>
  <si>
    <t>string</t>
  </si>
  <si>
    <t>UnitData[]</t>
  </si>
  <si>
    <t>望</t>
  </si>
  <si>
    <t>#</t>
  </si>
  <si>
    <t>模型大小倍率</t>
  </si>
  <si>
    <t>模型偏移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</si>
  <si>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</si>
  <si>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</si>
  <si>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</si>
  <si>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</si>
  <si>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</si>
  <si>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</si>
  <si>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</si>
  <si>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</si>
  <si>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</si>
  <si>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</si>
  <si>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</si>
  <si>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</si>
  <si>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</si>
  <si>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</si>
  <si>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</si>
  <si>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</si>
  <si>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部署策略</t>
  </si>
  <si>
    <t>可部署上限</t>
  </si>
  <si>
    <t>仇恨等级</t>
  </si>
  <si>
    <t>被攻击点</t>
  </si>
  <si>
    <t>常驻技能</t>
  </si>
  <si>
    <t>可选技能</t>
  </si>
  <si>
    <t>血条</t>
  </si>
  <si>
    <t>技力条</t>
  </si>
  <si>
    <t>高度</t>
  </si>
  <si>
    <t>可部署位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</si>
  <si>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</si>
  <si>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</si>
  <si>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</si>
  <si>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</si>
  <si>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</si>
  <si>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</si>
  <si>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</si>
  <si>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</si>
  <si>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</si>
  <si>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</si>
  <si>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仅阻挡时可被攻击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</si>
  <si>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</si>
  <si>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</si>
  <si>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</si>
  <si>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</si>
  <si>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</si>
  <si>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</si>
  <si>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</si>
  <si>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</si>
  <si>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</si>
  <si>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</si>
  <si>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ModelOffset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</si>
  <si>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</si>
  <si>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</si>
  <si>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</si>
  <si>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</si>
  <si>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</si>
  <si>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</si>
  <si>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</si>
  <si>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</si>
  <si>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</si>
  <si>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</si>
  <si>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</si>
  <si>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</si>
  <si>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</si>
  <si>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</si>
  <si>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</si>
  <si>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</si>
  <si>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</si>
  <si>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</si>
  <si>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</si>
  <si>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</si>
  <si>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</si>
  <si>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</si>
  <si>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</si>
  <si>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RedeployPolicy</t>
  </si>
  <si>
    <t>BuildCountLimit</t>
  </si>
  <si>
    <t>Hatred</t>
  </si>
  <si>
    <t>Team</t>
  </si>
  <si>
    <t>Name</t>
  </si>
  <si>
    <t>HitPointName</t>
  </si>
  <si>
    <t>Skills</t>
  </si>
  <si>
    <t>MainSkill</t>
  </si>
  <si>
    <t>HpBarType</t>
  </si>
  <si>
    <t>SpBarType</t>
  </si>
  <si>
    <t>Height</t>
  </si>
  <si>
    <t>CanSetPos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</si>
  <si>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</si>
  <si>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</si>
  <si>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</si>
  <si>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</si>
  <si>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</si>
  <si>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</si>
  <si>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</si>
  <si>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</si>
  <si>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</si>
  <si>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</si>
  <si>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</si>
  <si>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StopAttackOnly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</si>
  <si>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</si>
  <si>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</si>
  <si>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</si>
  <si>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</si>
  <si>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</si>
  <si>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</si>
  <si>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</si>
  <si>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</si>
  <si>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</si>
  <si>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</si>
  <si>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</si>
  <si>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</si>
  <si>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StartAnimation</t>
  </si>
  <si>
    <t>DefaultAnimation</t>
  </si>
  <si>
    <t>IdleAnimation</t>
  </si>
  <si>
    <t>MoveAnimation</t>
  </si>
  <si>
    <t>DeadAnimation</t>
  </si>
  <si>
    <t>StunAnimation</t>
  </si>
  <si>
    <t>ForwardAnimation</t>
  </si>
  <si>
    <t>DieAnimation</t>
  </si>
  <si>
    <t>MaxAnimationScale</t>
  </si>
  <si>
    <t>bool</t>
  </si>
  <si>
    <t>float</t>
  </si>
  <si>
    <t>UnityEngine.Vector3</t>
  </si>
  <si>
    <t>int</t>
  </si>
  <si>
    <t>SkillData[]</t>
  </si>
  <si>
    <t>string[]</t>
  </si>
  <si>
    <t>BuffData[]</t>
  </si>
  <si>
    <t>UnityEngine.Vector2Int</t>
  </si>
  <si>
    <t>UnitTypeEnum</t>
  </si>
  <si>
    <t>float[]</t>
  </si>
  <si>
    <t>System.Collections.Generic.Dictionary&lt;string,object&gt;</t>
  </si>
  <si>
    <t>干员</t>
  </si>
  <si>
    <t>wang</t>
  </si>
  <si>
    <t>2027</t>
  </si>
  <si>
    <t>Hip</t>
  </si>
  <si>
    <t>望攻击</t>
  </si>
  <si>
    <t>望3</t>
  </si>
  <si>
    <t>小型:蓝</t>
  </si>
  <si>
    <t>小型:绿</t>
  </si>
  <si>
    <t>高台位</t>
  </si>
  <si>
    <t>特种</t>
  </si>
  <si>
    <t>陷阱师</t>
  </si>
  <si>
    <t>211,81,1500,1500</t>
  </si>
  <si>
    <t>远程位</t>
  </si>
  <si>
    <t>远程,岁</t>
  </si>
  <si>
    <t>可以使用陷阱来协助作战，但陷阱无法放置于敌人已在的格子中</t>
  </si>
  <si>
    <t>Default</t>
  </si>
  <si>
    <t>Idle</t>
  </si>
  <si>
    <t>Die</t>
  </si>
  <si>
    <t>棋子3</t>
  </si>
  <si>
    <t>棋子</t>
  </si>
  <si>
    <t>棋子3攻击,棋子3召唤</t>
  </si>
  <si>
    <t>全地形,仅无敌人</t>
  </si>
  <si>
    <t>icon_cuier</t>
  </si>
  <si>
    <t>half_skadi</t>
  </si>
  <si>
    <t>skadi</t>
  </si>
  <si>
    <t>近战位</t>
  </si>
  <si>
    <t>召唤物</t>
  </si>
  <si>
    <t>棋子3跟子</t>
  </si>
  <si>
    <t>棋子3攻击,棋子入场赋予望buff</t>
  </si>
  <si>
    <t>全地形</t>
  </si>
  <si>
    <t>#备注</t>
  </si>
  <si>
    <t>技能名</t>
  </si>
  <si>
    <t>描述</t>
  </si>
  <si>
    <t>图标</t>
  </si>
  <si>
    <t>专精程度</t>
  </si>
  <si>
    <t>使用条件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</si>
  <si>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</si>
  <si>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</si>
  <si>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</si>
  <si>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</si>
  <si>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</si>
  <si>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</si>
  <si>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</si>
  <si>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</si>
  <si>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</si>
  <si>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</si>
  <si>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</si>
  <si>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</si>
  <si>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</si>
  <si>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</si>
  <si>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</si>
  <si>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</si>
  <si>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</si>
  <si>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</si>
  <si>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</si>
  <si>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</si>
  <si>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</si>
  <si>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</si>
  <si>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</si>
  <si>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</si>
  <si>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</si>
  <si>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</si>
  <si>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</si>
  <si>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</si>
  <si>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</si>
  <si>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</si>
  <si>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</si>
  <si>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</si>
  <si>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</si>
  <si>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</si>
  <si>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优先Buff</t>
  </si>
  <si>
    <t>自定义优先级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</si>
  <si>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</si>
  <si>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</si>
  <si>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</si>
  <si>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</si>
  <si>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</si>
  <si>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</si>
  <si>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</si>
  <si>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</si>
  <si>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伤害基准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</si>
  <si>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</si>
  <si>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</si>
  <si>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</si>
  <si>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</si>
  <si>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</si>
  <si>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</si>
  <si>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</si>
  <si>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</si>
  <si>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</si>
  <si>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</si>
  <si>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</si>
  <si>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</si>
  <si>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</si>
  <si>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</si>
  <si>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</si>
  <si>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</si>
  <si>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可停止</t>
  </si>
  <si>
    <t>初始技力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</si>
  <si>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</si>
  <si>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</si>
  <si>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</si>
  <si>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</si>
  <si>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</si>
  <si>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</si>
  <si>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</si>
  <si>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</si>
  <si>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</si>
  <si>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</si>
  <si>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</si>
  <si>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</si>
  <si>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</si>
  <si>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</si>
  <si>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</si>
  <si>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元素损伤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</si>
  <si>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</si>
  <si>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</si>
  <si>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</si>
  <si>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</si>
  <si>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</si>
  <si>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</si>
  <si>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</si>
  <si>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</si>
  <si>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</si>
  <si>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</si>
  <si>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</si>
  <si>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</si>
  <si>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</si>
  <si>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</si>
  <si>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</si>
  <si>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</si>
  <si>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</si>
  <si>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</si>
  <si>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</si>
  <si>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</si>
  <si>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</si>
  <si>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</si>
  <si>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</si>
  <si>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SkillCondition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</si>
  <si>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</si>
  <si>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</si>
  <si>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</si>
  <si>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</si>
  <si>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</si>
  <si>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</si>
  <si>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</si>
  <si>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</si>
  <si>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</si>
  <si>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</si>
  <si>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</si>
  <si>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</si>
  <si>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</si>
  <si>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</si>
  <si>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</si>
  <si>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</si>
  <si>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</si>
  <si>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</si>
  <si>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</si>
  <si>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StopOtherSkill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</si>
  <si>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</si>
  <si>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</si>
  <si>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</si>
  <si>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</si>
  <si>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</si>
  <si>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</si>
  <si>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</si>
  <si>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</si>
  <si>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</si>
  <si>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</si>
  <si>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</si>
  <si>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</si>
  <si>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</si>
  <si>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</si>
  <si>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</si>
  <si>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OrderBuff</t>
  </si>
  <si>
    <t>OrderExpression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</si>
  <si>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</si>
  <si>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</si>
  <si>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</si>
  <si>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</si>
  <si>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</si>
  <si>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</si>
  <si>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</si>
  <si>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</si>
  <si>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</si>
  <si>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</si>
  <si>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</si>
  <si>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</si>
  <si>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</si>
  <si>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</si>
  <si>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</si>
  <si>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</si>
  <si>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</si>
  <si>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</si>
  <si>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</si>
  <si>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</si>
  <si>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</si>
  <si>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</si>
  <si>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</si>
  <si>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</si>
  <si>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</si>
  <si>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</si>
  <si>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StartPower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</si>
  <si>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</si>
  <si>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</si>
  <si>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</si>
  <si>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</si>
  <si>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</si>
  <si>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</si>
  <si>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</si>
  <si>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</si>
  <si>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</si>
  <si>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</si>
  <si>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</si>
  <si>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</si>
  <si>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</si>
  <si>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</si>
  <si>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</si>
  <si>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ElementInjure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</si>
  <si>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</si>
  <si>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</si>
  <si>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</si>
  <si>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</si>
  <si>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</si>
  <si>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</si>
  <si>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</si>
  <si>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</si>
  <si>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</si>
  <si>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</si>
  <si>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</si>
  <si>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</si>
  <si>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</si>
  <si>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</si>
  <si>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</si>
  <si>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</si>
  <si>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</si>
  <si>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</si>
  <si>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</si>
  <si>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</si>
  <si>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</si>
  <si>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</si>
  <si>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</si>
  <si>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</si>
  <si>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</si>
  <si>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TriggerEnum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</si>
  <si>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</si>
  <si>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</si>
  <si>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</si>
  <si>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</si>
  <si>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</si>
  <si>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</si>
  <si>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</si>
  <si>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</si>
  <si>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</si>
  <si>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</si>
  <si>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</si>
  <si>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</si>
  <si>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</si>
  <si>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</si>
  <si>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普通技能</t>
  </si>
  <si>
    <t>望3动作</t>
  </si>
  <si>
    <t>终点距离</t>
  </si>
  <si>
    <t>0,0#0,1#0,-1#1,0#2,0#1,1#1,-1#2,1#2,-1#3,0#3,1#3,-1</t>
  </si>
  <si>
    <t>Normal</t>
  </si>
  <si>
    <t>Attack_1_A,Attack_1_B</t>
  </si>
  <si>
    <t>跟随攻击</t>
  </si>
  <si>
    <t>普通法球m</t>
  </si>
  <si>
    <t>Muzzle</t>
  </si>
  <si>
    <t>塞雷娅1启动</t>
  </si>
  <si>
    <t>史都华德击中</t>
  </si>
  <si>
    <t>天下劫</t>
  </si>
  <si>
    <t>被动效果：棋子的触发和伤害范围扩大，造成相当于攻击力380%的法术伤害\n主动效果：停止攻击但攻击范围扩大；立即获得8枚棋子，然后将超出上限的棋子优先部署在范围内敌人所在位置；在攻击范围内手动部署棋子时可部署至敌人所在位置，且第一天赋额外至多部署3枚棋子并消耗等量弹药\n装有20发弹药，手动停止或棋子耗尽后技能结束，剩余的弹药返还为棋子</t>
  </si>
  <si>
    <t>skill_icon_skchr_aglina_3</t>
  </si>
  <si>
    <t>充能释放</t>
  </si>
  <si>
    <t>手动</t>
  </si>
  <si>
    <t>仅自己</t>
  </si>
  <si>
    <t>0,0#0,1#0,-1#1,0#2,0#1,1#1,-1#2,1#2,-1#3,0#3,1#3,-1#0,2#0,-2#1,2#1,-2#2,2#2,-2#3,2#3,-2#4,0#4,1#4,2#4,-1#4,-2</t>
  </si>
  <si>
    <t>获得棋子3,望3获得棋子,望3结束,望3攻击,望3范围内赋予棋子</t>
  </si>
  <si>
    <t>望3启动</t>
  </si>
  <si>
    <t>自动</t>
  </si>
  <si>
    <t>无</t>
  </si>
  <si>
    <t>{"ShowRange":1,"Color":"#FFE055","Alpha":0.75}</t>
  </si>
  <si>
    <t>获得棋子3</t>
  </si>
  <si>
    <t>获取单位</t>
  </si>
  <si>
    <t>被动</t>
  </si>
  <si>
    <t>自己入场</t>
  </si>
  <si>
    <t>{"Count":7,"UnitId":"棋子3"}</t>
  </si>
  <si>
    <t>望3获得棋子</t>
  </si>
  <si>
    <t>释放技能</t>
  </si>
  <si>
    <t>{"Count":8,"UnitId":"棋子3"}</t>
  </si>
  <si>
    <t>望3范围内赋予棋子</t>
  </si>
  <si>
    <t>望3范围内</t>
  </si>
  <si>
    <t>望3攻击</t>
  </si>
  <si>
    <t>望3动作,召唤棋子</t>
  </si>
  <si>
    <t>攻击</t>
  </si>
  <si>
    <t>Skill_3_Attack_A,Skill_3_Attack_B</t>
  </si>
  <si>
    <t>召唤棋子</t>
  </si>
  <si>
    <t>Skill_3_Begin</t>
  </si>
  <si>
    <t>望3结束</t>
  </si>
  <si>
    <t>技能结束</t>
  </si>
  <si>
    <t>Skill_3_End</t>
  </si>
  <si>
    <t>棋子自杀</t>
  </si>
  <si>
    <t>即死</t>
  </si>
  <si>
    <t>棋子3攻击</t>
  </si>
  <si>
    <t>0,0#0,1#0,-1#1,0#-1,0#2,0#1,1#1,-1#0,2#0,-2#-1,1#-1,-1#-2,0</t>
  </si>
  <si>
    <t>Magic</t>
  </si>
  <si>
    <t>德克萨斯1范围</t>
  </si>
  <si>
    <t>棋子3召唤</t>
  </si>
  <si>
    <t>ew3类部署装置</t>
  </si>
  <si>
    <t>0,1#0,-1#1,0#-1,0</t>
  </si>
  <si>
    <t>{"召唤物ID":"棋子3跟子","召唤位置":"使用自身位置","数量":1}</t>
  </si>
  <si>
    <t>棋子入场赋予望buff</t>
  </si>
  <si>
    <t>落地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</si>
  <si>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</si>
  <si>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</si>
  <si>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</si>
  <si>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</si>
  <si>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</si>
  <si>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</si>
  <si>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</si>
  <si>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</si>
  <si>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</si>
  <si>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</si>
  <si>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不可被抵挡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</si>
  <si>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</si>
  <si>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</si>
  <si>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</si>
  <si>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</si>
  <si>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</si>
  <si>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</si>
  <si>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</si>
  <si>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</si>
  <si>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</si>
  <si>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</si>
  <si>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NotCancelable</t>
  </si>
  <si>
    <t>普通Buff</t>
  </si>
  <si>
    <t>{"IdleAnimation":["Skill_3_Idle"]}</t>
  </si>
  <si>
    <t>相关buff</t>
  </si>
  <si>
    <t>Buff</t>
  </si>
  <si>
    <t>Line</t>
  </si>
  <si>
    <t>FaceCamera</t>
  </si>
  <si>
    <t>ScaleX</t>
  </si>
  <si>
    <t>EffectBase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</si>
  <si>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</si>
  <si>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</si>
  <si>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</si>
  <si>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</si>
  <si>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</si>
  <si>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</si>
  <si>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</si>
  <si>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</si>
  <si>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</si>
  <si>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</si>
  <si>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</si>
  <si>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</si>
  <si>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</si>
  <si>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</si>
  <si>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</si>
  <si>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</si>
  <si>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</si>
  <si>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</si>
  <si>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</si>
  <si>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Description</t>
  </si>
  <si>
    <t>Group</t>
  </si>
  <si>
    <t>TeamLimit</t>
  </si>
  <si>
    <t>MapHp</t>
  </si>
  <si>
    <t>UnitTypeEnum[]</t>
  </si>
  <si>
    <t>仅单面</t>
  </si>
  <si>
    <t>相对路径</t>
  </si>
  <si>
    <t>正面atlas</t>
  </si>
  <si>
    <t>正面png</t>
  </si>
  <si>
    <t>正面skel</t>
  </si>
  <si>
    <t>背面atlas</t>
  </si>
  <si>
    <t>背面png</t>
  </si>
  <si>
    <t>背面skel</t>
  </si>
  <si>
    <t>OnlyFront</t>
  </si>
  <si>
    <t>UseAppHotfixResPath</t>
  </si>
  <si>
    <t>FrontAtlasPath</t>
  </si>
  <si>
    <t>FrontPngPath</t>
  </si>
  <si>
    <t>FrontSkelPath</t>
  </si>
  <si>
    <t>BackAtlasPath</t>
  </si>
  <si>
    <t>BackPngPath</t>
  </si>
  <si>
    <t>BackSkelPath</t>
  </si>
  <si>
    <t>/Spine/棋子/token_10064_wang_stone1.atlas.txt</t>
  </si>
  <si>
    <t>/Spine/棋子/token_10064_wang_stone1.png</t>
  </si>
  <si>
    <t>/Spine/棋子/token_10064_wang_stone1.skel.bytes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</si>
</sst>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color rgb="FF9C5700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0.5"/>
      <color rgb="FF333639"/>
      <name val="Arial"/>
      <charset val="134"/>
    </font>
    <font>
      <sz val="11"/>
      <color rgb="FF9C0006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6" tint="0.79992065187536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5" applyNumberFormat="0" applyAlignment="0" applyProtection="0">
      <alignment vertical="center"/>
    </xf>
    <xf numFmtId="0" fontId="17" fillId="7" borderId="4" applyNumberFormat="0" applyAlignment="0" applyProtection="0">
      <alignment vertical="center"/>
    </xf>
    <xf numFmtId="0" fontId="18" fillId="8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4" borderId="0" applyNumberFormat="0" applyBorder="0" applyAlignment="0" applyProtection="0">
      <alignment vertical="center"/>
    </xf>
    <xf numFmtId="0" fontId="23" fillId="3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0" fillId="0" borderId="0">
      <alignment vertical="center"/>
    </xf>
  </cellStyleXfs>
  <cellXfs count="14">
    <xf numFmtId="0" fontId="0" fillId="0" borderId="0" xfId="0" applyNumberFormat="1" applyFont="1" applyFill="1" applyBorder="1" applyAlignment="1" applyProtection="1">
      <alignment vertical="center"/>
    </xf>
    <xf numFmtId="0" fontId="0" fillId="0" borderId="0" xfId="49" applyFont="1" applyFill="1" applyAlignment="1">
      <alignment vertical="center"/>
    </xf>
    <xf numFmtId="0" fontId="0" fillId="0" borderId="0" xfId="49" applyNumberFormat="1" applyFont="1" applyFill="1" applyBorder="1" applyAlignment="1" applyProtection="1">
      <alignment vertical="center"/>
    </xf>
    <xf numFmtId="0" fontId="0" fillId="0" borderId="0" xfId="0">
      <alignment vertical="center"/>
    </xf>
    <xf numFmtId="0" fontId="0" fillId="0" borderId="0" xfId="0" applyFont="1">
      <alignment vertical="center"/>
    </xf>
    <xf numFmtId="0" fontId="1" fillId="0" borderId="0" xfId="0" applyFont="1">
      <alignment vertical="center"/>
    </xf>
    <xf numFmtId="0" fontId="0" fillId="2" borderId="0" xfId="34" applyFont="1" applyFill="1">
      <alignment vertical="center"/>
    </xf>
    <xf numFmtId="0" fontId="2" fillId="3" borderId="0" xfId="24" applyFont="1" applyFill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4" borderId="0" xfId="23" applyFont="1" applyFill="1">
      <alignment vertical="center"/>
    </xf>
    <xf numFmtId="49" fontId="0" fillId="0" borderId="0" xfId="0" applyNumberFormat="1" applyAlignment="1">
      <alignment horizontal="left" vertical="center"/>
    </xf>
    <xf numFmtId="0" fontId="0" fillId="0" borderId="0" xfId="49">
      <alignment vertical="center"/>
    </xf>
    <xf numFmtId="0" fontId="6" fillId="0" borderId="0" xfId="49" applyFont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haredStrings" Target="sharedStrings.xml"/><Relationship Id="rId12" Type="http://schemas.openxmlformats.org/officeDocument/2006/relationships/styles" Target="styles.xml"/><Relationship Id="rId11" Type="http://schemas.openxmlformats.org/officeDocument/2006/relationships/theme" Target="theme/theme1.xml"/><Relationship Id="rId10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4"/>
  <sheetViews>
    <sheetView workbookViewId="0">
      <selection activeCell="A4" sqref="A4:B4"/>
    </sheetView>
  </sheetViews>
  <sheetFormatPr defaultColWidth="9" defaultRowHeight="14" outlineLevelRow="3" outlineLevelCol="1"/>
  <cols>
    <col min="1" max="2" width="9" customWidth="1"/>
  </cols>
  <sheetData>
    <row r="2" spans="1:2">
      <c r="A2" t="s">
        <v>0</v>
      </c>
      <c r="B2" t="s">
        <v>1</v>
      </c>
    </row>
    <row r="3" spans="1:2">
      <c r="A3" t="s">
        <v>2</v>
      </c>
      <c r="B3" t="s">
        <v>3</v>
      </c>
    </row>
    <row r="4" spans="1:2">
      <c r="A4" s="3" t="s">
        <v>4</v>
      </c>
      <c r="B4" s="3" t="s">
        <v>4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X6"/>
  <sheetViews>
    <sheetView workbookViewId="0">
      <pane xSplit="1" ySplit="3" topLeftCell="AK4" activePane="bottomRight" state="frozen"/>
      <selection/>
      <selection pane="topRight"/>
      <selection pane="bottomLeft"/>
      <selection pane="bottomRight" activeCell="AM13" sqref="AM13"/>
    </sheetView>
  </sheetViews>
  <sheetFormatPr defaultColWidth="9" defaultRowHeight="14" outlineLevelRow="5"/>
  <cols>
    <col min="1" max="1" width="22.5818181818182" customWidth="1"/>
    <col min="2" max="3" width="9" customWidth="1"/>
    <col min="4" max="5" width="8.58181818181818" customWidth="1"/>
    <col min="6" max="6" width="19.5818181818182" customWidth="1"/>
    <col min="7" max="7" width="8.25454545454545" customWidth="1"/>
    <col min="8" max="11" width="9" customWidth="1"/>
    <col min="12" max="12" width="6" customWidth="1"/>
    <col min="13" max="13" width="5.5" customWidth="1"/>
    <col min="14" max="14" width="5.58181818181818" customWidth="1"/>
    <col min="15" max="15" width="4" customWidth="1"/>
    <col min="16" max="16" width="7.75454545454545" customWidth="1"/>
    <col min="17" max="17" width="10.8363636363636" customWidth="1"/>
    <col min="18" max="19" width="3.83636363636364" customWidth="1"/>
    <col min="20" max="21" width="3.58181818181818" customWidth="1"/>
    <col min="22" max="22" width="10.2545454545455" customWidth="1"/>
    <col min="23" max="23" width="9.58181818181818" customWidth="1"/>
    <col min="24" max="24" width="10.7545454545455" customWidth="1"/>
    <col min="25" max="25" width="12.8363636363636" customWidth="1"/>
    <col min="26" max="26" width="13.0818181818182" customWidth="1"/>
    <col min="27" max="27" width="10.7545454545455" customWidth="1"/>
    <col min="28" max="29" width="9" customWidth="1"/>
    <col min="30" max="30" width="8" customWidth="1"/>
    <col min="31" max="31" width="17.0818181818182" customWidth="1"/>
    <col min="32" max="32" width="9" customWidth="1"/>
    <col min="33" max="33" width="10.6363636363636" customWidth="1"/>
    <col min="34" max="34" width="9.75454545454545" customWidth="1"/>
    <col min="35" max="35" width="7.83636363636364" customWidth="1"/>
    <col min="36" max="36" width="15.8363636363636" customWidth="1"/>
    <col min="37" max="37" width="13.8363636363636" customWidth="1"/>
    <col min="38" max="38" width="34.5" customWidth="1"/>
    <col min="39" max="41" width="9.83636363636364" customWidth="1"/>
    <col min="42" max="45" width="9" customWidth="1"/>
    <col min="46" max="46" width="12.5" customWidth="1"/>
    <col min="47" max="52" width="9" customWidth="1"/>
    <col min="53" max="53" width="8.18181818181818" customWidth="1"/>
    <col min="54" max="54" width="9" customWidth="1"/>
    <col min="55" max="55" width="17.7545454545455" customWidth="1"/>
    <col min="56" max="56" width="7.83636363636364" customWidth="1"/>
    <col min="57" max="58" width="9" customWidth="1"/>
    <col min="59" max="59" width="24.2545454545455" customWidth="1"/>
    <col min="60" max="60" width="13.2545454545455" customWidth="1"/>
    <col min="61" max="61" width="16.0818181818182" customWidth="1"/>
    <col min="62" max="62" width="8" customWidth="1"/>
    <col min="63" max="66" width="9" customWidth="1"/>
    <col min="67" max="67" width="39.5818181818182" customWidth="1"/>
    <col min="68" max="68" width="9" customWidth="1"/>
    <col min="69" max="69" width="14" customWidth="1"/>
    <col min="70" max="70" width="14.8363636363636" customWidth="1"/>
    <col min="71" max="74" width="14" customWidth="1"/>
    <col min="75" max="75" width="9" customWidth="1"/>
    <col min="76" max="76" width="19.1636363636364" customWidth="1"/>
  </cols>
  <sheetData>
    <row r="1" spans="4:63">
      <c r="D1" t="s">
        <v>5</v>
      </c>
      <c r="E1" t="s">
        <v>5</v>
      </c>
      <c r="G1" t="s">
        <v>6</v>
      </c>
      <c r="H1" t="s">
        <v>7</v>
      </c>
      <c r="J1" t="s">
        <v>8</v>
      </c>
      <c r="K1" t="s">
        <v>9</v>
      </c>
      <c r="L1" t="s">
        <v>10</v>
      </c>
      <c r="N1" t="s">
        <v>11</v>
      </c>
      <c r="P1" t="s">
        <v>12</v>
      </c>
      <c r="R1" t="s">
        <v>13</v>
      </c>
      <c r="T1" t="s">
        <v>14</v>
      </c>
      <c r="V1" t="s">
        <v>15</v>
      </c>
      <c r="W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F1" t="s">
        <v>24</v>
      </c>
      <c r="AG1" t="s">
        <v>25</v>
      </c>
      <c r="AH1" t="s">
        <v>26</v>
      </c>
      <c r="AK1" t="s">
        <v>27</v>
      </c>
      <c r="AL1" t="s">
        <v>28</v>
      </c>
      <c r="AM1" t="s">
        <v>29</v>
      </c>
      <c r="AN1" t="s">
        <v>30</v>
      </c>
      <c r="AO1" t="s">
        <v>31</v>
      </c>
      <c r="AP1" t="s">
        <v>32</v>
      </c>
      <c r="AQ1" t="s">
        <v>33</v>
      </c>
      <c r="AR1" t="s">
        <v>34</v>
      </c>
      <c r="AS1" t="s">
        <v>35</v>
      </c>
      <c r="AT1" t="s">
        <v>36</v>
      </c>
      <c r="AV1" t="s">
        <v>37</v>
      </c>
      <c r="AW1" t="s">
        <v>38</v>
      </c>
      <c r="AX1" t="s">
        <v>39</v>
      </c>
      <c r="AY1" t="s">
        <v>40</v>
      </c>
      <c r="AZ1" t="s">
        <v>41</v>
      </c>
      <c r="BA1" t="s">
        <v>42</v>
      </c>
      <c r="BB1" t="s">
        <v>43</v>
      </c>
      <c r="BC1" t="s">
        <v>44</v>
      </c>
      <c r="BD1" t="s">
        <v>45</v>
      </c>
      <c r="BG1" t="s">
        <v>46</v>
      </c>
      <c r="BH1" t="s">
        <v>47</v>
      </c>
      <c r="BI1" t="s">
        <v>48</v>
      </c>
      <c r="BJ1" t="s">
        <v>49</v>
      </c>
      <c r="BK1" t="s">
        <v>50</v>
      </c>
    </row>
    <row r="2" spans="1:76">
      <c r="A2" t="s">
        <v>0</v>
      </c>
      <c r="B2" t="s">
        <v>51</v>
      </c>
      <c r="C2" t="s">
        <v>52</v>
      </c>
      <c r="F2" t="s">
        <v>53</v>
      </c>
      <c r="G2" t="s">
        <v>54</v>
      </c>
      <c r="H2" t="s">
        <v>55</v>
      </c>
      <c r="I2" t="s">
        <v>56</v>
      </c>
      <c r="J2" t="s">
        <v>57</v>
      </c>
      <c r="K2" t="s">
        <v>58</v>
      </c>
      <c r="L2" t="s">
        <v>59</v>
      </c>
      <c r="M2" t="s">
        <v>60</v>
      </c>
      <c r="N2" t="s">
        <v>61</v>
      </c>
      <c r="O2" t="s">
        <v>62</v>
      </c>
      <c r="P2" t="s">
        <v>63</v>
      </c>
      <c r="Q2" t="s">
        <v>64</v>
      </c>
      <c r="R2" t="s">
        <v>65</v>
      </c>
      <c r="S2" t="s">
        <v>66</v>
      </c>
      <c r="T2" t="s">
        <v>67</v>
      </c>
      <c r="U2" t="s">
        <v>68</v>
      </c>
      <c r="V2" t="s">
        <v>69</v>
      </c>
      <c r="W2" t="s">
        <v>70</v>
      </c>
      <c r="X2" t="s">
        <v>71</v>
      </c>
      <c r="Y2" t="s">
        <v>72</v>
      </c>
      <c r="Z2" t="s">
        <v>73</v>
      </c>
      <c r="AA2" t="s">
        <v>74</v>
      </c>
      <c r="AB2" t="s">
        <v>75</v>
      </c>
      <c r="AC2" t="s">
        <v>76</v>
      </c>
      <c r="AD2" t="s">
        <v>77</v>
      </c>
      <c r="AE2" t="s">
        <v>78</v>
      </c>
      <c r="AF2" t="s">
        <v>79</v>
      </c>
      <c r="AG2" t="s">
        <v>80</v>
      </c>
      <c r="AH2" t="s">
        <v>81</v>
      </c>
      <c r="AI2" t="s">
        <v>82</v>
      </c>
      <c r="AJ2" t="s">
        <v>83</v>
      </c>
      <c r="AK2" t="s">
        <v>84</v>
      </c>
      <c r="AL2" t="s">
        <v>85</v>
      </c>
      <c r="AM2" t="s">
        <v>86</v>
      </c>
      <c r="AN2" t="s">
        <v>87</v>
      </c>
      <c r="AO2" t="s">
        <v>88</v>
      </c>
      <c r="AP2" t="s">
        <v>89</v>
      </c>
      <c r="AQ2" t="s">
        <v>90</v>
      </c>
      <c r="AR2" t="s">
        <v>91</v>
      </c>
      <c r="AS2" t="s">
        <v>92</v>
      </c>
      <c r="AT2" t="s">
        <v>93</v>
      </c>
      <c r="AU2" t="s">
        <v>94</v>
      </c>
      <c r="AV2" t="s">
        <v>95</v>
      </c>
      <c r="AW2" t="s">
        <v>96</v>
      </c>
      <c r="AX2" t="s">
        <v>97</v>
      </c>
      <c r="AY2" t="s">
        <v>98</v>
      </c>
      <c r="AZ2" t="s">
        <v>99</v>
      </c>
      <c r="BA2" t="s">
        <v>100</v>
      </c>
      <c r="BB2" t="s">
        <v>101</v>
      </c>
      <c r="BC2" t="s">
        <v>102</v>
      </c>
      <c r="BD2" t="s">
        <v>103</v>
      </c>
      <c r="BE2" t="s">
        <v>104</v>
      </c>
      <c r="BF2" t="s">
        <v>105</v>
      </c>
      <c r="BG2" t="s">
        <v>106</v>
      </c>
      <c r="BH2" t="s">
        <v>107</v>
      </c>
      <c r="BI2" t="s">
        <v>108</v>
      </c>
      <c r="BJ2" t="s">
        <v>109</v>
      </c>
      <c r="BK2" t="s">
        <v>110</v>
      </c>
      <c r="BL2" t="s">
        <v>111</v>
      </c>
      <c r="BM2" t="s">
        <v>112</v>
      </c>
      <c r="BN2" t="s">
        <v>113</v>
      </c>
      <c r="BO2" t="s">
        <v>114</v>
      </c>
      <c r="BP2" t="s">
        <v>115</v>
      </c>
      <c r="BQ2" t="s">
        <v>116</v>
      </c>
      <c r="BR2" t="s">
        <v>117</v>
      </c>
      <c r="BS2" t="s">
        <v>118</v>
      </c>
      <c r="BT2" t="s">
        <v>119</v>
      </c>
      <c r="BU2" t="s">
        <v>120</v>
      </c>
      <c r="BV2" t="s">
        <v>121</v>
      </c>
      <c r="BW2" t="s">
        <v>122</v>
      </c>
      <c r="BX2" t="s">
        <v>123</v>
      </c>
    </row>
    <row r="3" spans="1:76">
      <c r="A3" t="s">
        <v>2</v>
      </c>
      <c r="B3" t="s">
        <v>2</v>
      </c>
      <c r="C3" t="s">
        <v>124</v>
      </c>
      <c r="F3" t="s">
        <v>2</v>
      </c>
      <c r="G3" t="s">
        <v>125</v>
      </c>
      <c r="H3" t="s">
        <v>126</v>
      </c>
      <c r="I3" t="s">
        <v>2</v>
      </c>
      <c r="J3" t="s">
        <v>127</v>
      </c>
      <c r="K3" t="s">
        <v>127</v>
      </c>
      <c r="L3" t="s">
        <v>127</v>
      </c>
      <c r="M3" t="s">
        <v>127</v>
      </c>
      <c r="N3" t="s">
        <v>127</v>
      </c>
      <c r="O3" t="s">
        <v>127</v>
      </c>
      <c r="P3" t="s">
        <v>127</v>
      </c>
      <c r="Q3" t="s">
        <v>127</v>
      </c>
      <c r="R3" t="s">
        <v>127</v>
      </c>
      <c r="S3" t="s">
        <v>127</v>
      </c>
      <c r="T3" t="s">
        <v>127</v>
      </c>
      <c r="U3" t="s">
        <v>127</v>
      </c>
      <c r="V3" t="s">
        <v>125</v>
      </c>
      <c r="W3" t="s">
        <v>127</v>
      </c>
      <c r="X3" t="s">
        <v>127</v>
      </c>
      <c r="Y3" t="s">
        <v>125</v>
      </c>
      <c r="Z3" t="s">
        <v>125</v>
      </c>
      <c r="AA3" t="s">
        <v>125</v>
      </c>
      <c r="AB3" t="s">
        <v>127</v>
      </c>
      <c r="AC3" t="s">
        <v>125</v>
      </c>
      <c r="AD3" t="s">
        <v>127</v>
      </c>
      <c r="AE3" t="s">
        <v>124</v>
      </c>
      <c r="AF3" t="s">
        <v>2</v>
      </c>
      <c r="AG3" t="s">
        <v>127</v>
      </c>
      <c r="AH3" t="s">
        <v>127</v>
      </c>
      <c r="AI3" t="s">
        <v>127</v>
      </c>
      <c r="AJ3" t="s">
        <v>2</v>
      </c>
      <c r="AK3" t="s">
        <v>2</v>
      </c>
      <c r="AL3" t="s">
        <v>128</v>
      </c>
      <c r="AM3" t="s">
        <v>128</v>
      </c>
      <c r="AN3" t="s">
        <v>2</v>
      </c>
      <c r="AO3" t="s">
        <v>2</v>
      </c>
      <c r="AP3" t="s">
        <v>125</v>
      </c>
      <c r="AQ3" t="s">
        <v>129</v>
      </c>
      <c r="AR3" t="s">
        <v>127</v>
      </c>
      <c r="AS3" t="s">
        <v>125</v>
      </c>
      <c r="AT3" t="s">
        <v>124</v>
      </c>
      <c r="AV3" t="s">
        <v>125</v>
      </c>
      <c r="AW3" t="s">
        <v>124</v>
      </c>
      <c r="AX3" t="s">
        <v>127</v>
      </c>
      <c r="AY3" t="s">
        <v>130</v>
      </c>
      <c r="AZ3" t="s">
        <v>125</v>
      </c>
      <c r="BA3" t="s">
        <v>131</v>
      </c>
      <c r="BB3" t="s">
        <v>124</v>
      </c>
      <c r="BC3" t="s">
        <v>124</v>
      </c>
      <c r="BD3" t="s">
        <v>125</v>
      </c>
      <c r="BE3" t="s">
        <v>132</v>
      </c>
      <c r="BF3" t="s">
        <v>2</v>
      </c>
      <c r="BG3" t="s">
        <v>2</v>
      </c>
      <c r="BH3" t="s">
        <v>2</v>
      </c>
      <c r="BI3" t="s">
        <v>2</v>
      </c>
      <c r="BJ3" t="s">
        <v>133</v>
      </c>
      <c r="BK3" t="s">
        <v>127</v>
      </c>
      <c r="BL3" t="s">
        <v>2</v>
      </c>
      <c r="BM3" t="s">
        <v>129</v>
      </c>
      <c r="BN3" t="s">
        <v>2</v>
      </c>
      <c r="BO3" t="s">
        <v>134</v>
      </c>
      <c r="BP3" t="s">
        <v>129</v>
      </c>
      <c r="BQ3" t="s">
        <v>129</v>
      </c>
      <c r="BR3" t="s">
        <v>129</v>
      </c>
      <c r="BS3" t="s">
        <v>129</v>
      </c>
      <c r="BT3" t="s">
        <v>129</v>
      </c>
      <c r="BU3" t="s">
        <v>129</v>
      </c>
      <c r="BV3" t="s">
        <v>129</v>
      </c>
      <c r="BW3" t="s">
        <v>129</v>
      </c>
      <c r="BX3" t="s">
        <v>125</v>
      </c>
    </row>
    <row r="4" s="3" customFormat="1" spans="1:76">
      <c r="A4" s="3" t="s">
        <v>4</v>
      </c>
      <c r="B4" s="3" t="s">
        <v>135</v>
      </c>
      <c r="D4" s="3" t="s">
        <v>136</v>
      </c>
      <c r="E4" s="11" t="s">
        <v>137</v>
      </c>
      <c r="F4" s="3" t="str">
        <f>"char_"&amp;E4&amp;"_"&amp;D4</f>
        <v>char_2027_wang</v>
      </c>
      <c r="G4" s="3">
        <v>1</v>
      </c>
      <c r="J4" s="3">
        <v>2</v>
      </c>
      <c r="K4" s="3">
        <v>90</v>
      </c>
      <c r="L4" s="3">
        <v>1630</v>
      </c>
      <c r="N4" s="3">
        <v>756</v>
      </c>
      <c r="P4" s="3">
        <v>174</v>
      </c>
      <c r="R4" s="3">
        <v>0</v>
      </c>
      <c r="T4" s="3">
        <v>12</v>
      </c>
      <c r="U4" s="3">
        <v>-2</v>
      </c>
      <c r="V4" s="3">
        <v>0.5</v>
      </c>
      <c r="W4" s="3">
        <v>70</v>
      </c>
      <c r="Z4" s="3">
        <v>0.05</v>
      </c>
      <c r="AA4" s="3">
        <v>0.85</v>
      </c>
      <c r="AD4" s="3">
        <v>1</v>
      </c>
      <c r="AJ4" s="3" t="s">
        <v>4</v>
      </c>
      <c r="AK4" s="3" t="s">
        <v>138</v>
      </c>
      <c r="AL4" s="4" t="s">
        <v>139</v>
      </c>
      <c r="AM4" s="3" t="s">
        <v>140</v>
      </c>
      <c r="AN4" t="s">
        <v>141</v>
      </c>
      <c r="AO4" t="s">
        <v>142</v>
      </c>
      <c r="AQ4" s="3" t="s">
        <v>143</v>
      </c>
      <c r="AR4" s="3">
        <v>1</v>
      </c>
      <c r="AS4" s="3">
        <v>0.5</v>
      </c>
      <c r="AZ4" s="3">
        <v>0.25</v>
      </c>
      <c r="BE4" s="4" t="s">
        <v>144</v>
      </c>
      <c r="BF4" s="4" t="s">
        <v>145</v>
      </c>
      <c r="BG4" s="3" t="str">
        <f>"icon_"&amp;D4</f>
        <v>icon_wang</v>
      </c>
      <c r="BH4" s="3" t="str">
        <f>"half_"&amp;D4</f>
        <v>half_wang</v>
      </c>
      <c r="BI4" s="3" t="str">
        <f>D4</f>
        <v>wang</v>
      </c>
      <c r="BJ4" s="3" t="s">
        <v>146</v>
      </c>
      <c r="BK4" s="3">
        <v>6</v>
      </c>
      <c r="BL4" s="3" t="s">
        <v>147</v>
      </c>
      <c r="BM4" s="4" t="s">
        <v>148</v>
      </c>
      <c r="BN4" s="4" t="s">
        <v>149</v>
      </c>
      <c r="BO4" s="4"/>
      <c r="BP4" s="4"/>
      <c r="BQ4" s="3" t="s">
        <v>150</v>
      </c>
      <c r="BR4" s="3" t="s">
        <v>151</v>
      </c>
      <c r="BT4" s="3" t="s">
        <v>152</v>
      </c>
      <c r="BU4" s="3" t="s">
        <v>152</v>
      </c>
      <c r="BX4" s="3">
        <v>1</v>
      </c>
    </row>
    <row r="5" s="3" customFormat="1" spans="1:76">
      <c r="A5" s="3" t="s">
        <v>153</v>
      </c>
      <c r="B5" s="3" t="s">
        <v>135</v>
      </c>
      <c r="C5" s="3"/>
      <c r="D5" s="3"/>
      <c r="E5" s="3"/>
      <c r="F5" s="3" t="s">
        <v>154</v>
      </c>
      <c r="G5" s="3">
        <v>1</v>
      </c>
      <c r="J5" s="3">
        <v>2</v>
      </c>
      <c r="K5" s="3">
        <v>90</v>
      </c>
      <c r="L5" s="3">
        <v>100</v>
      </c>
      <c r="M5" s="3"/>
      <c r="N5" s="3">
        <v>0</v>
      </c>
      <c r="O5" s="3"/>
      <c r="P5" s="3">
        <v>0</v>
      </c>
      <c r="Q5" s="3"/>
      <c r="R5" s="3">
        <v>0</v>
      </c>
      <c r="S5" s="3"/>
      <c r="T5" s="3">
        <v>2</v>
      </c>
      <c r="U5" s="3"/>
      <c r="V5" s="3"/>
      <c r="W5" s="3">
        <v>2</v>
      </c>
      <c r="X5" s="3"/>
      <c r="Y5" s="3"/>
      <c r="Z5" s="3">
        <v>0.05</v>
      </c>
      <c r="AA5" s="3">
        <v>1</v>
      </c>
      <c r="AB5" s="3"/>
      <c r="AC5" s="3"/>
      <c r="AD5" s="3">
        <v>0</v>
      </c>
      <c r="AE5" s="3">
        <v>1</v>
      </c>
      <c r="AF5" s="3"/>
      <c r="AG5" s="3">
        <v>8</v>
      </c>
      <c r="AJ5" s="3" t="s">
        <v>154</v>
      </c>
      <c r="AK5" s="3" t="s">
        <v>138</v>
      </c>
      <c r="AL5" s="4" t="s">
        <v>155</v>
      </c>
      <c r="AM5" s="12"/>
      <c r="AN5" s="13"/>
      <c r="AO5" s="12"/>
      <c r="AP5" s="3"/>
      <c r="AQ5" s="3" t="s">
        <v>156</v>
      </c>
      <c r="AR5" s="3">
        <v>0</v>
      </c>
      <c r="AS5" s="3">
        <v>0</v>
      </c>
      <c r="AT5" s="3"/>
      <c r="AU5" s="3"/>
      <c r="AV5" s="3"/>
      <c r="AW5" s="3"/>
      <c r="AX5" s="3"/>
      <c r="AY5" s="3"/>
      <c r="AZ5" s="3">
        <v>0.25</v>
      </c>
      <c r="BA5" s="3"/>
      <c r="BB5" s="3"/>
      <c r="BC5" s="3">
        <v>1</v>
      </c>
      <c r="BD5" s="3"/>
      <c r="BE5" s="4" t="s">
        <v>144</v>
      </c>
      <c r="BF5" s="3"/>
      <c r="BG5" s="4" t="s">
        <v>157</v>
      </c>
      <c r="BH5" s="4" t="s">
        <v>158</v>
      </c>
      <c r="BI5" s="4" t="s">
        <v>159</v>
      </c>
      <c r="BJ5" s="3" t="s">
        <v>146</v>
      </c>
      <c r="BK5" s="3">
        <v>6</v>
      </c>
      <c r="BL5" s="3" t="s">
        <v>160</v>
      </c>
      <c r="BM5" s="3" t="s">
        <v>161</v>
      </c>
      <c r="BN5" s="3"/>
      <c r="BQ5" s="3" t="s">
        <v>150</v>
      </c>
      <c r="BR5" s="3" t="s">
        <v>151</v>
      </c>
      <c r="BS5" s="3"/>
      <c r="BT5" s="3" t="s">
        <v>152</v>
      </c>
      <c r="BU5" s="3" t="s">
        <v>152</v>
      </c>
      <c r="BX5" s="3">
        <v>1</v>
      </c>
    </row>
    <row r="6" s="3" customFormat="1" spans="1:76">
      <c r="A6" s="3" t="s">
        <v>162</v>
      </c>
      <c r="B6" s="3" t="s">
        <v>135</v>
      </c>
      <c r="C6" s="3"/>
      <c r="D6" s="3"/>
      <c r="E6" s="3"/>
      <c r="F6" s="3" t="s">
        <v>154</v>
      </c>
      <c r="G6" s="3">
        <v>1</v>
      </c>
      <c r="J6" s="3">
        <v>2</v>
      </c>
      <c r="K6" s="3">
        <v>90</v>
      </c>
      <c r="L6" s="3">
        <v>100</v>
      </c>
      <c r="M6" s="3"/>
      <c r="N6" s="3">
        <v>0</v>
      </c>
      <c r="O6" s="3"/>
      <c r="P6" s="3">
        <v>0</v>
      </c>
      <c r="Q6" s="3"/>
      <c r="R6" s="3">
        <v>0</v>
      </c>
      <c r="S6" s="3"/>
      <c r="T6" s="3">
        <v>0</v>
      </c>
      <c r="U6" s="3"/>
      <c r="V6" s="3"/>
      <c r="W6" s="3">
        <v>2</v>
      </c>
      <c r="X6" s="3"/>
      <c r="Y6" s="3"/>
      <c r="Z6" s="3">
        <v>0.05</v>
      </c>
      <c r="AA6" s="3">
        <v>1</v>
      </c>
      <c r="AB6" s="3"/>
      <c r="AC6" s="3"/>
      <c r="AD6" s="3">
        <v>0</v>
      </c>
      <c r="AE6" s="3">
        <v>1</v>
      </c>
      <c r="AF6" s="3"/>
      <c r="AG6" s="3">
        <v>10</v>
      </c>
      <c r="AJ6" s="3" t="s">
        <v>154</v>
      </c>
      <c r="AK6" s="3" t="s">
        <v>138</v>
      </c>
      <c r="AL6" s="4" t="s">
        <v>163</v>
      </c>
      <c r="AM6" s="12"/>
      <c r="AN6" s="13"/>
      <c r="AO6" s="12"/>
      <c r="AP6" s="3"/>
      <c r="AQ6" s="3" t="s">
        <v>164</v>
      </c>
      <c r="AR6" s="3">
        <v>0</v>
      </c>
      <c r="AS6" s="3">
        <v>0</v>
      </c>
      <c r="AT6" s="3"/>
      <c r="AU6" s="3"/>
      <c r="AV6" s="3"/>
      <c r="AW6" s="3"/>
      <c r="AX6" s="3"/>
      <c r="AY6" s="3"/>
      <c r="AZ6" s="3">
        <v>0.25</v>
      </c>
      <c r="BA6" s="3"/>
      <c r="BB6" s="3"/>
      <c r="BC6" s="3">
        <v>1</v>
      </c>
      <c r="BD6" s="3"/>
      <c r="BE6" s="4" t="s">
        <v>144</v>
      </c>
      <c r="BF6" s="3"/>
      <c r="BG6" s="4" t="s">
        <v>157</v>
      </c>
      <c r="BH6" s="4" t="s">
        <v>158</v>
      </c>
      <c r="BI6" s="4" t="s">
        <v>159</v>
      </c>
      <c r="BJ6" s="3" t="s">
        <v>146</v>
      </c>
      <c r="BK6" s="3">
        <v>6</v>
      </c>
      <c r="BL6" s="3" t="s">
        <v>160</v>
      </c>
      <c r="BM6" s="3" t="s">
        <v>161</v>
      </c>
      <c r="BN6" s="3"/>
      <c r="BQ6" s="3" t="s">
        <v>150</v>
      </c>
      <c r="BR6" s="3" t="s">
        <v>151</v>
      </c>
      <c r="BS6" s="3"/>
      <c r="BT6" s="3" t="s">
        <v>152</v>
      </c>
      <c r="BU6" s="3" t="s">
        <v>152</v>
      </c>
      <c r="BX6" s="3">
        <v>1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I497"/>
  <sheetViews>
    <sheetView workbookViewId="0">
      <pane xSplit="1" ySplit="3" topLeftCell="U4" activePane="bottomRight" state="frozen"/>
      <selection/>
      <selection pane="topRight"/>
      <selection pane="bottomLeft"/>
      <selection pane="bottomRight" activeCell="Y22" sqref="Y22"/>
    </sheetView>
  </sheetViews>
  <sheetFormatPr defaultColWidth="9" defaultRowHeight="14"/>
  <cols>
    <col min="1" max="1" width="21.0818181818182" customWidth="1"/>
    <col min="2" max="2" width="15.5818181818182" customWidth="1"/>
    <col min="3" max="3" width="7.75454545454545" customWidth="1"/>
    <col min="4" max="4" width="16.5818181818182" customWidth="1"/>
    <col min="5" max="5" width="16.8363636363636" customWidth="1"/>
    <col min="6" max="6" width="31.3363636363636" customWidth="1"/>
    <col min="7" max="7" width="7.33636363636364" customWidth="1"/>
    <col min="8" max="8" width="17.8363636363636" customWidth="1"/>
    <col min="9" max="9" width="7.33636363636364" customWidth="1"/>
    <col min="10" max="10" width="15.7545454545455" customWidth="1"/>
    <col min="11" max="13" width="8.33636363636364" customWidth="1"/>
    <col min="14" max="14" width="11.7545454545455" customWidth="1"/>
    <col min="15" max="15" width="13.0818181818182" customWidth="1"/>
    <col min="16" max="16" width="11.5818181818182" customWidth="1"/>
    <col min="17" max="17" width="21.5" customWidth="1"/>
    <col min="18" max="18" width="19.8363636363636" customWidth="1"/>
    <col min="19" max="19" width="16.5818181818182" customWidth="1"/>
    <col min="20" max="20" width="19.0818181818182" customWidth="1"/>
    <col min="21" max="21" width="18.3363636363636" customWidth="1"/>
    <col min="22" max="22" width="17.7545454545455" customWidth="1"/>
    <col min="23" max="23" width="8.33636363636364" customWidth="1"/>
    <col min="24" max="24" width="18.5" customWidth="1"/>
    <col min="25" max="25" width="16.5818181818182" customWidth="1"/>
    <col min="26" max="26" width="10.6636363636364" customWidth="1"/>
    <col min="27" max="27" width="8.33636363636364" customWidth="1"/>
    <col min="28" max="28" width="15.1636363636364" customWidth="1"/>
    <col min="29" max="30" width="8.58181818181818" customWidth="1"/>
    <col min="31" max="31" width="13.4181818181818" customWidth="1"/>
    <col min="32" max="32" width="13.7545454545455" customWidth="1"/>
    <col min="33" max="33" width="14.5818181818182" customWidth="1"/>
    <col min="34" max="34" width="17.4181818181818" customWidth="1"/>
    <col min="35" max="35" width="8.58181818181818" customWidth="1"/>
    <col min="36" max="36" width="12.5" customWidth="1"/>
    <col min="37" max="37" width="8.58181818181818" customWidth="1"/>
    <col min="38" max="39" width="8.33636363636364" customWidth="1"/>
    <col min="40" max="40" width="15" customWidth="1"/>
    <col min="41" max="41" width="13.2545454545455" customWidth="1"/>
    <col min="42" max="45" width="11.8363636363636" customWidth="1"/>
    <col min="46" max="46" width="18.4181818181818" customWidth="1"/>
    <col min="47" max="47" width="12.2545454545455" customWidth="1"/>
    <col min="48" max="48" width="11.9181818181818" customWidth="1"/>
    <col min="49" max="49" width="19.5818181818182" customWidth="1"/>
    <col min="50" max="50" width="12.6636363636364" customWidth="1"/>
    <col min="51" max="51" width="9" customWidth="1"/>
    <col min="52" max="52" width="7" customWidth="1"/>
    <col min="53" max="53" width="11.7545454545455" customWidth="1"/>
    <col min="54" max="54" width="19.7545454545455" customWidth="1"/>
    <col min="55" max="55" width="5.08181818181818" customWidth="1"/>
    <col min="56" max="56" width="8.5" customWidth="1"/>
    <col min="57" max="57" width="13.5" customWidth="1"/>
    <col min="58" max="58" width="14.6636363636364" customWidth="1"/>
    <col min="59" max="59" width="10.1636363636364" customWidth="1"/>
    <col min="60" max="60" width="8.25454545454545" customWidth="1"/>
    <col min="61" max="67" width="8.33636363636364" customWidth="1"/>
    <col min="68" max="70" width="11.2545454545455" customWidth="1"/>
    <col min="71" max="71" width="6.58181818181818" customWidth="1"/>
    <col min="72" max="73" width="8" customWidth="1"/>
    <col min="74" max="74" width="7.33636363636364" customWidth="1"/>
    <col min="75" max="76" width="8.5" customWidth="1"/>
    <col min="77" max="78" width="7.83636363636364" customWidth="1"/>
    <col min="79" max="79" width="22.1636363636364" customWidth="1"/>
    <col min="80" max="80" width="13.5" customWidth="1"/>
    <col min="81" max="81" width="21.1636363636364" customWidth="1"/>
    <col min="82" max="82" width="15.7545454545455" customWidth="1"/>
    <col min="83" max="83" width="15.5818181818182" customWidth="1"/>
    <col min="84" max="84" width="12.8363636363636" customWidth="1"/>
    <col min="85" max="85" width="16.1636363636364" customWidth="1"/>
    <col min="86" max="86" width="9" customWidth="1"/>
    <col min="87" max="87" width="16" customWidth="1"/>
    <col min="88" max="89" width="12.8363636363636" customWidth="1"/>
    <col min="90" max="90" width="23.5818181818182" customWidth="1"/>
    <col min="91" max="91" width="12.8363636363636" customWidth="1"/>
    <col min="92" max="92" width="17.0818181818182" customWidth="1"/>
    <col min="93" max="93" width="9.5" customWidth="1"/>
    <col min="94" max="98" width="9" customWidth="1"/>
    <col min="99" max="99" width="14" customWidth="1"/>
    <col min="100" max="100" width="8" customWidth="1"/>
    <col min="101" max="101" width="9" customWidth="1"/>
    <col min="102" max="102" width="11.0818181818182" customWidth="1"/>
    <col min="103" max="103" width="13.7545454545455" customWidth="1"/>
    <col min="104" max="104" width="9.5" customWidth="1"/>
    <col min="105" max="106" width="9" customWidth="1"/>
    <col min="107" max="108" width="9.5" customWidth="1"/>
    <col min="109" max="109" width="9" customWidth="1"/>
    <col min="110" max="110" width="15.5" customWidth="1"/>
    <col min="111" max="111" width="9" customWidth="1"/>
    <col min="112" max="113" width="9.5" customWidth="1"/>
  </cols>
  <sheetData>
    <row r="1" spans="2:113">
      <c r="B1" t="s">
        <v>165</v>
      </c>
      <c r="D1" t="s">
        <v>166</v>
      </c>
      <c r="E1" t="s">
        <v>167</v>
      </c>
      <c r="F1" t="s">
        <v>168</v>
      </c>
      <c r="G1" t="s">
        <v>169</v>
      </c>
      <c r="H1" t="s">
        <v>170</v>
      </c>
      <c r="I1" t="s">
        <v>171</v>
      </c>
      <c r="J1" t="s">
        <v>172</v>
      </c>
      <c r="K1" t="s">
        <v>173</v>
      </c>
      <c r="L1" t="s">
        <v>174</v>
      </c>
      <c r="M1" t="s">
        <v>175</v>
      </c>
      <c r="N1" t="s">
        <v>176</v>
      </c>
      <c r="O1" t="s">
        <v>177</v>
      </c>
      <c r="P1" t="s">
        <v>178</v>
      </c>
      <c r="Q1" t="s">
        <v>179</v>
      </c>
      <c r="R1" t="s">
        <v>180</v>
      </c>
      <c r="S1" t="s">
        <v>181</v>
      </c>
      <c r="T1" t="s">
        <v>182</v>
      </c>
      <c r="U1" t="s">
        <v>182</v>
      </c>
      <c r="V1" t="s">
        <v>183</v>
      </c>
      <c r="W1" t="s">
        <v>184</v>
      </c>
      <c r="X1" t="s">
        <v>185</v>
      </c>
      <c r="Y1" t="s">
        <v>186</v>
      </c>
      <c r="Z1" t="s">
        <v>187</v>
      </c>
      <c r="AA1" t="s">
        <v>188</v>
      </c>
      <c r="AB1" t="s">
        <v>189</v>
      </c>
      <c r="AC1" t="s">
        <v>190</v>
      </c>
      <c r="AD1" t="s">
        <v>191</v>
      </c>
      <c r="AE1" t="s">
        <v>192</v>
      </c>
      <c r="AF1" t="s">
        <v>193</v>
      </c>
      <c r="AG1" t="s">
        <v>194</v>
      </c>
      <c r="AH1" t="s">
        <v>195</v>
      </c>
      <c r="AI1" t="s">
        <v>196</v>
      </c>
      <c r="AJ1" t="s">
        <v>197</v>
      </c>
      <c r="AK1" t="s">
        <v>198</v>
      </c>
      <c r="AL1" t="s">
        <v>199</v>
      </c>
      <c r="AM1" t="s">
        <v>200</v>
      </c>
      <c r="AN1" t="s">
        <v>201</v>
      </c>
      <c r="AO1" t="s">
        <v>202</v>
      </c>
      <c r="AP1" t="s">
        <v>203</v>
      </c>
      <c r="AQ1" t="s">
        <v>204</v>
      </c>
      <c r="AR1" t="s">
        <v>205</v>
      </c>
      <c r="AS1" t="s">
        <v>206</v>
      </c>
      <c r="AT1" t="s">
        <v>207</v>
      </c>
      <c r="AU1" t="s">
        <v>208</v>
      </c>
      <c r="AV1" t="s">
        <v>209</v>
      </c>
      <c r="AW1" t="s">
        <v>210</v>
      </c>
      <c r="AX1" t="s">
        <v>211</v>
      </c>
      <c r="AY1" t="s">
        <v>212</v>
      </c>
      <c r="AZ1" t="s">
        <v>213</v>
      </c>
      <c r="BA1" t="s">
        <v>214</v>
      </c>
      <c r="BB1" t="s">
        <v>215</v>
      </c>
      <c r="BC1" t="s">
        <v>216</v>
      </c>
      <c r="BD1" t="s">
        <v>217</v>
      </c>
      <c r="BE1" t="s">
        <v>218</v>
      </c>
      <c r="BF1" t="s">
        <v>219</v>
      </c>
      <c r="BG1" t="s">
        <v>220</v>
      </c>
      <c r="BH1" t="s">
        <v>221</v>
      </c>
      <c r="BJ1" t="s">
        <v>221</v>
      </c>
      <c r="BK1" t="s">
        <v>222</v>
      </c>
      <c r="BL1" t="s">
        <v>223</v>
      </c>
      <c r="BM1" t="s">
        <v>224</v>
      </c>
      <c r="BN1" t="s">
        <v>225</v>
      </c>
      <c r="BO1" t="s">
        <v>226</v>
      </c>
      <c r="BP1" t="s">
        <v>227</v>
      </c>
      <c r="BQ1" t="s">
        <v>228</v>
      </c>
      <c r="BR1" t="s">
        <v>229</v>
      </c>
      <c r="BS1" t="s">
        <v>230</v>
      </c>
      <c r="BT1" t="s">
        <v>231</v>
      </c>
      <c r="BU1" t="s">
        <v>232</v>
      </c>
      <c r="BV1" t="s">
        <v>233</v>
      </c>
      <c r="BW1" t="s">
        <v>234</v>
      </c>
      <c r="BX1" t="s">
        <v>235</v>
      </c>
      <c r="BY1" t="s">
        <v>236</v>
      </c>
      <c r="BZ1" t="s">
        <v>237</v>
      </c>
      <c r="CA1" t="s">
        <v>238</v>
      </c>
      <c r="CB1" t="s">
        <v>239</v>
      </c>
      <c r="CC1" t="s">
        <v>240</v>
      </c>
      <c r="CD1" t="s">
        <v>241</v>
      </c>
      <c r="CE1" t="s">
        <v>242</v>
      </c>
      <c r="CF1" t="s">
        <v>243</v>
      </c>
      <c r="CG1" t="s">
        <v>244</v>
      </c>
      <c r="CH1" t="s">
        <v>245</v>
      </c>
      <c r="CI1" t="s">
        <v>246</v>
      </c>
      <c r="CJ1" t="s">
        <v>247</v>
      </c>
      <c r="CK1" t="s">
        <v>248</v>
      </c>
      <c r="CL1" t="s">
        <v>249</v>
      </c>
      <c r="CM1" t="s">
        <v>250</v>
      </c>
      <c r="CN1" t="s">
        <v>251</v>
      </c>
      <c r="CO1" t="s">
        <v>252</v>
      </c>
      <c r="CP1" t="s">
        <v>253</v>
      </c>
      <c r="CQ1" t="s">
        <v>254</v>
      </c>
      <c r="CR1" t="s">
        <v>231</v>
      </c>
      <c r="CS1" t="s">
        <v>255</v>
      </c>
      <c r="CT1" t="s">
        <v>256</v>
      </c>
      <c r="CU1" t="s">
        <v>257</v>
      </c>
      <c r="CV1" t="s">
        <v>258</v>
      </c>
      <c r="CW1" t="s">
        <v>259</v>
      </c>
      <c r="CX1" t="s">
        <v>260</v>
      </c>
      <c r="CY1" t="s">
        <v>261</v>
      </c>
      <c r="CZ1" t="s">
        <v>260</v>
      </c>
      <c r="DA1" t="s">
        <v>262</v>
      </c>
      <c r="DB1" t="s">
        <v>263</v>
      </c>
      <c r="DC1" t="s">
        <v>264</v>
      </c>
      <c r="DD1" t="s">
        <v>265</v>
      </c>
      <c r="DE1" t="s">
        <v>266</v>
      </c>
      <c r="DF1" t="s">
        <v>267</v>
      </c>
      <c r="DG1" t="s">
        <v>268</v>
      </c>
      <c r="DH1" t="s">
        <v>269</v>
      </c>
      <c r="DI1" t="s">
        <v>270</v>
      </c>
    </row>
    <row r="2" spans="1:113">
      <c r="A2" t="s">
        <v>0</v>
      </c>
      <c r="C2" t="s">
        <v>51</v>
      </c>
      <c r="D2" t="s">
        <v>83</v>
      </c>
      <c r="E2" t="s">
        <v>271</v>
      </c>
      <c r="F2" t="s">
        <v>272</v>
      </c>
      <c r="G2" t="s">
        <v>57</v>
      </c>
      <c r="H2" t="s">
        <v>273</v>
      </c>
      <c r="I2" t="s">
        <v>274</v>
      </c>
      <c r="J2" t="s">
        <v>275</v>
      </c>
      <c r="K2" t="s">
        <v>276</v>
      </c>
      <c r="L2" t="s">
        <v>277</v>
      </c>
      <c r="M2" t="s">
        <v>278</v>
      </c>
      <c r="N2" t="s">
        <v>279</v>
      </c>
      <c r="O2" t="s">
        <v>280</v>
      </c>
      <c r="P2" t="s">
        <v>281</v>
      </c>
      <c r="Q2" t="s">
        <v>282</v>
      </c>
      <c r="R2" t="s">
        <v>283</v>
      </c>
      <c r="S2" t="s">
        <v>284</v>
      </c>
      <c r="T2" t="s">
        <v>285</v>
      </c>
      <c r="U2" t="s">
        <v>286</v>
      </c>
      <c r="V2" t="s">
        <v>287</v>
      </c>
      <c r="W2" t="s">
        <v>288</v>
      </c>
      <c r="X2" t="s">
        <v>289</v>
      </c>
      <c r="Y2" t="s">
        <v>290</v>
      </c>
      <c r="Z2" t="s">
        <v>291</v>
      </c>
      <c r="AA2" t="s">
        <v>292</v>
      </c>
      <c r="AB2" t="s">
        <v>293</v>
      </c>
      <c r="AC2" t="s">
        <v>294</v>
      </c>
      <c r="AD2" t="s">
        <v>295</v>
      </c>
      <c r="AE2" t="s">
        <v>296</v>
      </c>
      <c r="AF2" t="s">
        <v>297</v>
      </c>
      <c r="AG2" t="s">
        <v>298</v>
      </c>
      <c r="AH2" t="s">
        <v>299</v>
      </c>
      <c r="AI2" t="s">
        <v>300</v>
      </c>
      <c r="AJ2" t="s">
        <v>301</v>
      </c>
      <c r="AK2" t="s">
        <v>302</v>
      </c>
      <c r="AL2" t="s">
        <v>303</v>
      </c>
      <c r="AM2" t="s">
        <v>304</v>
      </c>
      <c r="AN2" t="s">
        <v>305</v>
      </c>
      <c r="AO2" t="s">
        <v>306</v>
      </c>
      <c r="AP2" t="s">
        <v>307</v>
      </c>
      <c r="AQ2" t="s">
        <v>308</v>
      </c>
      <c r="AR2" t="s">
        <v>309</v>
      </c>
      <c r="AS2" t="s">
        <v>310</v>
      </c>
      <c r="AT2" t="s">
        <v>311</v>
      </c>
      <c r="AU2" t="s">
        <v>312</v>
      </c>
      <c r="AV2" t="s">
        <v>313</v>
      </c>
      <c r="AW2" t="s">
        <v>314</v>
      </c>
      <c r="AX2" t="s">
        <v>315</v>
      </c>
      <c r="AY2" t="s">
        <v>316</v>
      </c>
      <c r="AZ2" t="s">
        <v>317</v>
      </c>
      <c r="BA2" t="s">
        <v>318</v>
      </c>
      <c r="BB2" t="s">
        <v>319</v>
      </c>
      <c r="BC2" t="s">
        <v>320</v>
      </c>
      <c r="BD2" t="s">
        <v>321</v>
      </c>
      <c r="BE2" t="s">
        <v>322</v>
      </c>
      <c r="BF2" t="s">
        <v>323</v>
      </c>
      <c r="BG2" t="s">
        <v>324</v>
      </c>
      <c r="BH2" t="s">
        <v>325</v>
      </c>
      <c r="BI2" t="s">
        <v>326</v>
      </c>
      <c r="BJ2" t="s">
        <v>327</v>
      </c>
      <c r="BK2" t="s">
        <v>328</v>
      </c>
      <c r="BL2" t="s">
        <v>329</v>
      </c>
      <c r="BM2" t="s">
        <v>330</v>
      </c>
      <c r="BN2" t="s">
        <v>331</v>
      </c>
      <c r="BO2" t="s">
        <v>85</v>
      </c>
      <c r="BP2" t="s">
        <v>332</v>
      </c>
      <c r="BQ2" t="s">
        <v>333</v>
      </c>
      <c r="BR2" t="s">
        <v>334</v>
      </c>
      <c r="BS2" t="s">
        <v>335</v>
      </c>
      <c r="BT2" t="s">
        <v>336</v>
      </c>
      <c r="BU2" t="s">
        <v>101</v>
      </c>
      <c r="BV2" t="s">
        <v>337</v>
      </c>
      <c r="BW2" t="s">
        <v>338</v>
      </c>
      <c r="BX2" t="s">
        <v>339</v>
      </c>
      <c r="BY2" t="s">
        <v>340</v>
      </c>
      <c r="BZ2" t="s">
        <v>341</v>
      </c>
      <c r="CA2" t="s">
        <v>342</v>
      </c>
      <c r="CB2" t="s">
        <v>343</v>
      </c>
      <c r="CC2" t="s">
        <v>344</v>
      </c>
      <c r="CD2" t="s">
        <v>345</v>
      </c>
      <c r="CE2" t="s">
        <v>346</v>
      </c>
      <c r="CF2" t="s">
        <v>347</v>
      </c>
      <c r="CG2" t="s">
        <v>348</v>
      </c>
      <c r="CH2" t="s">
        <v>349</v>
      </c>
      <c r="CI2" t="s">
        <v>350</v>
      </c>
      <c r="CJ2" t="s">
        <v>351</v>
      </c>
      <c r="CK2" t="s">
        <v>352</v>
      </c>
      <c r="CL2" t="s">
        <v>353</v>
      </c>
      <c r="CM2" t="s">
        <v>354</v>
      </c>
      <c r="CN2" t="s">
        <v>355</v>
      </c>
      <c r="CO2" t="s">
        <v>356</v>
      </c>
      <c r="CP2" t="s">
        <v>357</v>
      </c>
      <c r="CQ2" t="s">
        <v>358</v>
      </c>
      <c r="CR2" t="s">
        <v>359</v>
      </c>
      <c r="CS2" t="s">
        <v>360</v>
      </c>
      <c r="CT2" t="s">
        <v>361</v>
      </c>
      <c r="CU2" t="s">
        <v>362</v>
      </c>
      <c r="CV2" t="s">
        <v>363</v>
      </c>
      <c r="CW2" t="s">
        <v>364</v>
      </c>
      <c r="CX2" t="s">
        <v>365</v>
      </c>
      <c r="CY2" t="s">
        <v>366</v>
      </c>
      <c r="CZ2" t="s">
        <v>367</v>
      </c>
      <c r="DA2" t="s">
        <v>368</v>
      </c>
      <c r="DB2" t="s">
        <v>369</v>
      </c>
      <c r="DC2" t="s">
        <v>370</v>
      </c>
      <c r="DD2" t="s">
        <v>371</v>
      </c>
      <c r="DE2" t="s">
        <v>372</v>
      </c>
      <c r="DF2" t="s">
        <v>373</v>
      </c>
      <c r="DG2" t="s">
        <v>374</v>
      </c>
      <c r="DH2" t="s">
        <v>375</v>
      </c>
      <c r="DI2" t="s">
        <v>376</v>
      </c>
    </row>
    <row r="3" spans="1:113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127</v>
      </c>
      <c r="H3" t="s">
        <v>2</v>
      </c>
      <c r="I3" t="s">
        <v>124</v>
      </c>
      <c r="J3" t="s">
        <v>377</v>
      </c>
      <c r="K3" t="s">
        <v>378</v>
      </c>
      <c r="L3" t="s">
        <v>379</v>
      </c>
      <c r="M3" t="s">
        <v>127</v>
      </c>
      <c r="N3" t="s">
        <v>127</v>
      </c>
      <c r="O3" t="s">
        <v>130</v>
      </c>
      <c r="P3" t="s">
        <v>130</v>
      </c>
      <c r="Q3" t="s">
        <v>130</v>
      </c>
      <c r="R3" t="s">
        <v>130</v>
      </c>
      <c r="S3" t="s">
        <v>124</v>
      </c>
      <c r="T3" t="s">
        <v>125</v>
      </c>
      <c r="U3" t="s">
        <v>125</v>
      </c>
      <c r="V3" t="s">
        <v>125</v>
      </c>
      <c r="W3" t="s">
        <v>124</v>
      </c>
      <c r="X3" t="s">
        <v>124</v>
      </c>
      <c r="Y3" t="s">
        <v>124</v>
      </c>
      <c r="Z3" t="s">
        <v>124</v>
      </c>
      <c r="AA3" t="s">
        <v>125</v>
      </c>
      <c r="AB3" t="s">
        <v>124</v>
      </c>
      <c r="AC3" t="s">
        <v>127</v>
      </c>
      <c r="AD3" t="s">
        <v>124</v>
      </c>
      <c r="AE3" t="s">
        <v>124</v>
      </c>
      <c r="AF3" t="s">
        <v>124</v>
      </c>
      <c r="AG3" t="s">
        <v>380</v>
      </c>
      <c r="AH3" t="s">
        <v>124</v>
      </c>
      <c r="AI3" t="s">
        <v>132</v>
      </c>
      <c r="AJ3" t="s">
        <v>3</v>
      </c>
      <c r="AK3" t="s">
        <v>127</v>
      </c>
      <c r="AL3" t="s">
        <v>127</v>
      </c>
      <c r="AM3" t="s">
        <v>127</v>
      </c>
      <c r="AN3" t="s">
        <v>124</v>
      </c>
      <c r="AO3" t="s">
        <v>381</v>
      </c>
      <c r="AP3" t="s">
        <v>382</v>
      </c>
      <c r="AQ3" t="s">
        <v>2</v>
      </c>
      <c r="AR3" t="s">
        <v>2</v>
      </c>
      <c r="AS3" t="s">
        <v>2</v>
      </c>
      <c r="AT3" t="s">
        <v>383</v>
      </c>
      <c r="AU3" t="s">
        <v>124</v>
      </c>
      <c r="AV3" t="s">
        <v>125</v>
      </c>
      <c r="AW3" t="s">
        <v>124</v>
      </c>
      <c r="AX3" t="s">
        <v>384</v>
      </c>
      <c r="AY3" t="s">
        <v>124</v>
      </c>
      <c r="AZ3" t="s">
        <v>125</v>
      </c>
      <c r="BA3" t="s">
        <v>124</v>
      </c>
      <c r="BB3" t="s">
        <v>127</v>
      </c>
      <c r="BC3" t="s">
        <v>125</v>
      </c>
      <c r="BD3" t="s">
        <v>127</v>
      </c>
      <c r="BE3" t="s">
        <v>127</v>
      </c>
      <c r="BF3" t="s">
        <v>125</v>
      </c>
      <c r="BG3" t="s">
        <v>124</v>
      </c>
      <c r="BH3" t="s">
        <v>383</v>
      </c>
      <c r="BI3" t="s">
        <v>124</v>
      </c>
      <c r="BJ3" t="s">
        <v>125</v>
      </c>
      <c r="BK3" t="s">
        <v>125</v>
      </c>
      <c r="BL3" t="s">
        <v>125</v>
      </c>
      <c r="BM3" t="s">
        <v>127</v>
      </c>
      <c r="BN3" t="s">
        <v>127</v>
      </c>
      <c r="BO3" t="s">
        <v>128</v>
      </c>
      <c r="BP3" t="s">
        <v>128</v>
      </c>
      <c r="BQ3" t="s">
        <v>385</v>
      </c>
      <c r="BR3" t="s">
        <v>386</v>
      </c>
      <c r="BS3" t="s">
        <v>125</v>
      </c>
      <c r="BT3" t="s">
        <v>125</v>
      </c>
      <c r="BU3" t="s">
        <v>124</v>
      </c>
      <c r="BV3" t="s">
        <v>125</v>
      </c>
      <c r="BW3" t="s">
        <v>125</v>
      </c>
      <c r="BX3" t="s">
        <v>127</v>
      </c>
      <c r="BY3" t="s">
        <v>387</v>
      </c>
      <c r="BZ3" t="s">
        <v>124</v>
      </c>
      <c r="CA3" t="s">
        <v>387</v>
      </c>
      <c r="CB3" t="s">
        <v>129</v>
      </c>
      <c r="CC3" t="s">
        <v>388</v>
      </c>
      <c r="CD3" t="s">
        <v>129</v>
      </c>
      <c r="CE3" t="s">
        <v>129</v>
      </c>
      <c r="CF3" t="s">
        <v>129</v>
      </c>
      <c r="CG3" t="s">
        <v>389</v>
      </c>
      <c r="CH3" t="s">
        <v>390</v>
      </c>
      <c r="CI3" t="s">
        <v>2</v>
      </c>
      <c r="CJ3" t="s">
        <v>391</v>
      </c>
      <c r="CK3" t="s">
        <v>391</v>
      </c>
      <c r="CL3" t="s">
        <v>134</v>
      </c>
      <c r="CM3" t="s">
        <v>130</v>
      </c>
      <c r="CN3" t="s">
        <v>130</v>
      </c>
      <c r="CO3" t="s">
        <v>133</v>
      </c>
      <c r="CP3" t="s">
        <v>133</v>
      </c>
      <c r="CQ3" t="s">
        <v>133</v>
      </c>
      <c r="CR3" t="s">
        <v>388</v>
      </c>
      <c r="CS3" t="s">
        <v>133</v>
      </c>
      <c r="CT3" t="s">
        <v>124</v>
      </c>
      <c r="CU3" t="s">
        <v>134</v>
      </c>
      <c r="CV3" t="s">
        <v>392</v>
      </c>
      <c r="CW3" t="s">
        <v>393</v>
      </c>
      <c r="CX3" t="s">
        <v>393</v>
      </c>
      <c r="CY3" t="s">
        <v>392</v>
      </c>
      <c r="CZ3" t="s">
        <v>392</v>
      </c>
      <c r="DA3" t="s">
        <v>392</v>
      </c>
      <c r="DB3" t="s">
        <v>392</v>
      </c>
      <c r="DC3" t="s">
        <v>392</v>
      </c>
      <c r="DD3" t="s">
        <v>124</v>
      </c>
      <c r="DE3" t="s">
        <v>124</v>
      </c>
      <c r="DF3" t="s">
        <v>124</v>
      </c>
      <c r="DG3" t="s">
        <v>124</v>
      </c>
      <c r="DH3" t="s">
        <v>124</v>
      </c>
      <c r="DI3" t="s">
        <v>124</v>
      </c>
    </row>
    <row r="4" s="3" customFormat="1" spans="1:103">
      <c r="A4" s="4" t="s">
        <v>139</v>
      </c>
      <c r="C4" s="3" t="s">
        <v>394</v>
      </c>
      <c r="J4" s="5"/>
      <c r="K4" s="5"/>
      <c r="L4" s="5"/>
      <c r="O4" s="5"/>
      <c r="P4" s="3" t="s">
        <v>395</v>
      </c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3">
        <v>2</v>
      </c>
      <c r="AD4" s="3">
        <v>1</v>
      </c>
      <c r="AO4" s="3" t="s">
        <v>396</v>
      </c>
      <c r="AT4" s="3" t="s">
        <v>397</v>
      </c>
      <c r="AX4" s="3" t="s">
        <v>398</v>
      </c>
      <c r="AZ4" s="3">
        <v>1</v>
      </c>
      <c r="BD4" s="3">
        <v>1</v>
      </c>
      <c r="BW4" s="8"/>
      <c r="BX4" s="8"/>
      <c r="BY4" s="8"/>
      <c r="BZ4" s="8"/>
      <c r="CA4" s="8"/>
      <c r="CB4" s="4" t="s">
        <v>399</v>
      </c>
      <c r="CG4" s="3" t="s">
        <v>400</v>
      </c>
      <c r="CH4" s="3" t="s">
        <v>401</v>
      </c>
      <c r="CI4" s="3" t="s">
        <v>402</v>
      </c>
      <c r="CX4" s="3" t="s">
        <v>403</v>
      </c>
      <c r="CY4" s="3" t="s">
        <v>404</v>
      </c>
    </row>
    <row r="9" s="3" customFormat="1" spans="1:112">
      <c r="A9" s="3" t="s">
        <v>140</v>
      </c>
      <c r="C9" s="3" t="s">
        <v>394</v>
      </c>
      <c r="D9" s="3" t="s">
        <v>405</v>
      </c>
      <c r="E9" s="3" t="s">
        <v>406</v>
      </c>
      <c r="F9" s="3" t="s">
        <v>407</v>
      </c>
      <c r="G9" s="3">
        <v>3</v>
      </c>
      <c r="J9" s="3" t="s">
        <v>408</v>
      </c>
      <c r="K9" s="5" t="s">
        <v>409</v>
      </c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AB9" s="3">
        <v>1</v>
      </c>
      <c r="AC9" s="3">
        <v>1</v>
      </c>
      <c r="AF9" s="3">
        <v>1</v>
      </c>
      <c r="AG9" s="3" t="s">
        <v>410</v>
      </c>
      <c r="AT9" s="3" t="s">
        <v>411</v>
      </c>
      <c r="BD9" s="3">
        <v>1</v>
      </c>
      <c r="BO9" s="3" t="s">
        <v>412</v>
      </c>
      <c r="BP9" s="3" t="s">
        <v>413</v>
      </c>
      <c r="BT9" s="3">
        <v>20</v>
      </c>
      <c r="BU9" s="3">
        <v>1</v>
      </c>
      <c r="BV9" s="8">
        <v>38</v>
      </c>
      <c r="BW9" s="8">
        <v>50</v>
      </c>
      <c r="BX9" s="8">
        <v>1</v>
      </c>
      <c r="BY9" s="8" t="s">
        <v>414</v>
      </c>
      <c r="BZ9" s="8"/>
      <c r="CA9" s="8" t="s">
        <v>415</v>
      </c>
      <c r="CL9" s="5"/>
      <c r="CN9" s="3" t="s">
        <v>395</v>
      </c>
      <c r="CR9" s="3">
        <v>9999</v>
      </c>
      <c r="CT9" s="3">
        <v>1</v>
      </c>
      <c r="CU9" s="3" t="s">
        <v>416</v>
      </c>
      <c r="DD9" s="3">
        <v>1</v>
      </c>
      <c r="DG9" s="3">
        <v>1</v>
      </c>
      <c r="DH9" s="3">
        <v>1</v>
      </c>
    </row>
    <row r="10" s="3" customFormat="1" spans="1:99">
      <c r="A10" s="3" t="s">
        <v>417</v>
      </c>
      <c r="C10" s="3" t="s">
        <v>418</v>
      </c>
      <c r="K10" s="5" t="s">
        <v>419</v>
      </c>
      <c r="L10" s="5" t="s">
        <v>420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AC10" s="3">
        <v>1</v>
      </c>
      <c r="AF10" s="3">
        <v>1</v>
      </c>
      <c r="AG10" s="3" t="s">
        <v>410</v>
      </c>
      <c r="AW10" s="6"/>
      <c r="BD10" s="3">
        <v>1</v>
      </c>
      <c r="BO10" s="7"/>
      <c r="BP10" s="7"/>
      <c r="BV10" s="8"/>
      <c r="BW10" s="8"/>
      <c r="BX10" s="8"/>
      <c r="BY10" s="8"/>
      <c r="BZ10" s="8"/>
      <c r="CA10" s="8"/>
      <c r="CN10" s="10"/>
      <c r="CU10" s="3" t="s">
        <v>421</v>
      </c>
    </row>
    <row r="11" s="3" customFormat="1" spans="1:99">
      <c r="A11" s="3" t="s">
        <v>422</v>
      </c>
      <c r="C11" s="3" t="s">
        <v>418</v>
      </c>
      <c r="K11" s="5" t="s">
        <v>419</v>
      </c>
      <c r="L11" s="5" t="s">
        <v>423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AC11" s="3">
        <v>1</v>
      </c>
      <c r="AF11" s="3">
        <v>1</v>
      </c>
      <c r="AG11" s="3" t="s">
        <v>410</v>
      </c>
      <c r="AW11" s="6"/>
      <c r="BD11" s="3">
        <v>1</v>
      </c>
      <c r="BO11" s="7"/>
      <c r="BP11" s="7"/>
      <c r="BV11" s="8"/>
      <c r="BW11" s="8"/>
      <c r="BX11" s="8"/>
      <c r="BY11" s="8"/>
      <c r="BZ11" s="8"/>
      <c r="CA11" s="8"/>
      <c r="CN11" s="10"/>
      <c r="CU11" s="3" t="s">
        <v>424</v>
      </c>
    </row>
    <row r="12" s="3" customFormat="1" spans="1:96">
      <c r="A12" s="3" t="s">
        <v>425</v>
      </c>
      <c r="C12" s="3" t="s">
        <v>394</v>
      </c>
      <c r="I12" s="3">
        <v>1</v>
      </c>
      <c r="K12" s="5"/>
      <c r="L12" s="5"/>
      <c r="O12" s="3" t="s">
        <v>395</v>
      </c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3">
        <v>1</v>
      </c>
      <c r="AJ12" s="3" t="s">
        <v>153</v>
      </c>
      <c r="AT12" s="3" t="s">
        <v>411</v>
      </c>
      <c r="BD12" s="3">
        <v>99</v>
      </c>
      <c r="BS12" s="3">
        <v>0.1</v>
      </c>
      <c r="BV12" s="8"/>
      <c r="BW12" s="8"/>
      <c r="BX12" s="8"/>
      <c r="BY12" s="8"/>
      <c r="BZ12" s="8"/>
      <c r="CA12" s="8"/>
      <c r="CB12" s="5"/>
      <c r="CC12" s="5"/>
      <c r="CD12" s="5"/>
      <c r="CE12" s="5"/>
      <c r="CF12" s="5"/>
      <c r="CH12" s="5"/>
      <c r="CI12" s="5"/>
      <c r="CJ12" s="5"/>
      <c r="CK12" s="5"/>
      <c r="CL12" s="5"/>
      <c r="CN12" s="3" t="s">
        <v>426</v>
      </c>
      <c r="CR12" s="3">
        <v>0.2</v>
      </c>
    </row>
    <row r="13" s="3" customFormat="1" spans="1:91">
      <c r="A13" s="3" t="s">
        <v>427</v>
      </c>
      <c r="C13" s="3" t="s">
        <v>394</v>
      </c>
      <c r="I13" s="3">
        <v>1</v>
      </c>
      <c r="K13" s="5"/>
      <c r="L13" s="5"/>
      <c r="O13" s="3" t="s">
        <v>428</v>
      </c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3">
        <v>1</v>
      </c>
      <c r="AG13" s="3" t="s">
        <v>410</v>
      </c>
      <c r="BD13" s="3">
        <v>1</v>
      </c>
      <c r="BS13" s="3">
        <v>2.2</v>
      </c>
      <c r="BV13" s="8"/>
      <c r="BW13" s="8"/>
      <c r="BX13" s="8"/>
      <c r="BY13" s="8"/>
      <c r="BZ13" s="8"/>
      <c r="CA13" s="8" t="s">
        <v>429</v>
      </c>
      <c r="CB13" s="5" t="s">
        <v>430</v>
      </c>
      <c r="CC13" s="5"/>
      <c r="CD13" s="5"/>
      <c r="CE13" s="5"/>
      <c r="CF13" s="5"/>
      <c r="CH13" s="5"/>
      <c r="CI13" s="5"/>
      <c r="CJ13" s="5"/>
      <c r="CK13" s="5"/>
      <c r="CL13" s="5"/>
      <c r="CM13" s="3" t="s">
        <v>431</v>
      </c>
    </row>
    <row r="14" s="3" customFormat="1" spans="1:112">
      <c r="A14" s="3" t="s">
        <v>413</v>
      </c>
      <c r="C14" s="3" t="s">
        <v>394</v>
      </c>
      <c r="I14" s="3">
        <v>1</v>
      </c>
      <c r="K14" s="5" t="s">
        <v>419</v>
      </c>
      <c r="L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3">
        <v>1</v>
      </c>
      <c r="AG14" s="3" t="s">
        <v>410</v>
      </c>
      <c r="BD14" s="3">
        <v>1</v>
      </c>
      <c r="BS14" s="3">
        <v>0.167</v>
      </c>
      <c r="BV14" s="8"/>
      <c r="BW14" s="8"/>
      <c r="BX14" s="8"/>
      <c r="BY14" s="8"/>
      <c r="BZ14" s="8"/>
      <c r="CA14" s="8"/>
      <c r="CB14" s="5" t="s">
        <v>432</v>
      </c>
      <c r="CC14" s="5"/>
      <c r="CD14" s="5"/>
      <c r="CE14" s="5"/>
      <c r="CF14" s="5"/>
      <c r="CG14" s="3" t="s">
        <v>400</v>
      </c>
      <c r="CH14" s="5"/>
      <c r="CI14" s="5"/>
      <c r="CJ14" s="5"/>
      <c r="CK14" s="5"/>
      <c r="CL14" s="5"/>
      <c r="DD14" s="3">
        <v>1</v>
      </c>
      <c r="DF14" s="3">
        <v>1</v>
      </c>
      <c r="DG14" s="3">
        <v>1</v>
      </c>
      <c r="DH14" s="3">
        <v>1</v>
      </c>
    </row>
    <row r="15" s="3" customFormat="1" spans="1:112">
      <c r="A15" s="3" t="s">
        <v>433</v>
      </c>
      <c r="C15" s="3" t="s">
        <v>394</v>
      </c>
      <c r="I15" s="3">
        <v>1</v>
      </c>
      <c r="K15" s="5" t="s">
        <v>419</v>
      </c>
      <c r="L15" s="5" t="s">
        <v>434</v>
      </c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3">
        <v>1</v>
      </c>
      <c r="AG15" s="3" t="s">
        <v>410</v>
      </c>
      <c r="BD15" s="3">
        <v>1</v>
      </c>
      <c r="BS15" s="3">
        <v>0.267</v>
      </c>
      <c r="BV15" s="8"/>
      <c r="BW15" s="8"/>
      <c r="BX15" s="8"/>
      <c r="BY15" s="8"/>
      <c r="BZ15" s="8"/>
      <c r="CA15" s="8"/>
      <c r="CB15" s="5" t="s">
        <v>435</v>
      </c>
      <c r="CC15" s="5"/>
      <c r="CD15" s="5"/>
      <c r="CE15" s="5"/>
      <c r="CF15" s="5"/>
      <c r="CG15" s="3" t="s">
        <v>400</v>
      </c>
      <c r="CH15" s="5"/>
      <c r="CI15" s="5"/>
      <c r="CJ15" s="5"/>
      <c r="CK15" s="5"/>
      <c r="CL15" s="5"/>
      <c r="CM15" s="3"/>
      <c r="DD15" s="3">
        <v>1</v>
      </c>
      <c r="DF15" s="3">
        <v>1</v>
      </c>
      <c r="DG15" s="3">
        <v>1</v>
      </c>
      <c r="DH15" s="3">
        <v>1</v>
      </c>
    </row>
    <row r="16" s="3" customFormat="1" spans="11:90"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8"/>
      <c r="BW16" s="8"/>
      <c r="BX16" s="8"/>
      <c r="BY16" s="8"/>
      <c r="BZ16" s="8"/>
      <c r="CA16" s="8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5"/>
    </row>
    <row r="17" s="3" customFormat="1" spans="1:99">
      <c r="A17" s="3" t="s">
        <v>436</v>
      </c>
      <c r="C17" s="4" t="s">
        <v>394</v>
      </c>
      <c r="K17" s="5" t="s">
        <v>419</v>
      </c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AC17" s="3">
        <v>1</v>
      </c>
      <c r="AG17" s="3" t="s">
        <v>410</v>
      </c>
      <c r="AT17" s="4"/>
      <c r="BD17" s="3">
        <v>1</v>
      </c>
      <c r="BW17" s="8"/>
      <c r="BX17" s="8"/>
      <c r="BY17" s="8"/>
      <c r="BZ17" s="8"/>
      <c r="CA17" s="8"/>
      <c r="CL17" s="5"/>
      <c r="CN17" s="3" t="s">
        <v>437</v>
      </c>
      <c r="CR17" s="3">
        <v>1</v>
      </c>
      <c r="CU17" s="4"/>
    </row>
    <row r="18" s="3" customFormat="1" spans="1:103">
      <c r="A18" s="4" t="s">
        <v>438</v>
      </c>
      <c r="C18" s="3" t="s">
        <v>394</v>
      </c>
      <c r="J18" s="5"/>
      <c r="K18" s="5"/>
      <c r="L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3">
        <v>2</v>
      </c>
      <c r="AD18" s="3">
        <v>1</v>
      </c>
      <c r="AO18" s="3" t="s">
        <v>396</v>
      </c>
      <c r="AT18" s="3" t="s">
        <v>439</v>
      </c>
      <c r="AX18" s="3" t="s">
        <v>440</v>
      </c>
      <c r="AZ18" s="3">
        <v>3.8</v>
      </c>
      <c r="BB18" s="3">
        <v>3</v>
      </c>
      <c r="BD18" s="3">
        <v>99</v>
      </c>
      <c r="BP18" s="3" t="s">
        <v>436</v>
      </c>
      <c r="BS18" s="3">
        <v>1</v>
      </c>
      <c r="BW18" s="8"/>
      <c r="BX18" s="8"/>
      <c r="BY18" s="8"/>
      <c r="BZ18" s="8"/>
      <c r="CA18" s="8"/>
      <c r="CB18" s="9" t="s">
        <v>61</v>
      </c>
      <c r="CC18" s="3"/>
      <c r="CG18" s="3" t="s">
        <v>400</v>
      </c>
      <c r="CW18" s="3" t="s">
        <v>441</v>
      </c>
      <c r="CX18" s="4"/>
      <c r="CY18" s="3" t="s">
        <v>404</v>
      </c>
    </row>
    <row r="19" s="3" customFormat="1" spans="1:99">
      <c r="A19" s="3" t="s">
        <v>442</v>
      </c>
      <c r="C19" s="3" t="s">
        <v>443</v>
      </c>
      <c r="I19" s="3">
        <v>1</v>
      </c>
      <c r="K19" s="5" t="s">
        <v>419</v>
      </c>
      <c r="L19" s="5" t="s">
        <v>420</v>
      </c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>
        <v>1</v>
      </c>
      <c r="AC19" s="3">
        <v>1</v>
      </c>
      <c r="AT19" s="4" t="s">
        <v>444</v>
      </c>
      <c r="BD19" s="3">
        <v>1</v>
      </c>
      <c r="BH19" s="4"/>
      <c r="BW19" s="8"/>
      <c r="BX19" s="8"/>
      <c r="BY19" s="8"/>
      <c r="BZ19" s="8"/>
      <c r="CA19" s="8"/>
      <c r="CL19" s="5"/>
      <c r="CU19" s="4" t="s">
        <v>445</v>
      </c>
    </row>
    <row r="20" s="3" customFormat="1" spans="1:96">
      <c r="A20" s="3" t="s">
        <v>446</v>
      </c>
      <c r="B20" s="3"/>
      <c r="C20" s="3" t="s">
        <v>394</v>
      </c>
      <c r="D20" s="3"/>
      <c r="E20" s="3"/>
      <c r="F20" s="3"/>
      <c r="G20" s="3"/>
      <c r="H20" s="3"/>
      <c r="I20" s="3">
        <v>1</v>
      </c>
      <c r="J20" s="3"/>
      <c r="K20" s="5" t="s">
        <v>419</v>
      </c>
      <c r="L20" s="5" t="s">
        <v>447</v>
      </c>
      <c r="M20" s="5"/>
      <c r="N20" s="5">
        <v>1</v>
      </c>
      <c r="O20" s="5"/>
      <c r="P20" s="5"/>
      <c r="Q20" s="5"/>
      <c r="R20" s="5"/>
      <c r="S20" s="5"/>
      <c r="T20" s="5"/>
      <c r="U20" s="5"/>
      <c r="V20" s="5"/>
      <c r="W20" s="5"/>
      <c r="X20" s="5"/>
      <c r="Y20" s="3"/>
      <c r="Z20" s="3"/>
      <c r="AA20" s="3"/>
      <c r="AB20" s="3"/>
      <c r="AC20" s="3">
        <v>1</v>
      </c>
      <c r="AD20" s="3"/>
      <c r="AE20" s="3"/>
      <c r="AF20" s="3"/>
      <c r="AG20" s="3"/>
      <c r="AH20" s="3"/>
      <c r="AI20" s="3"/>
      <c r="AJ20" s="3" t="s">
        <v>4</v>
      </c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>
        <v>20</v>
      </c>
      <c r="AW20" s="3"/>
      <c r="AX20" s="3"/>
      <c r="AY20" s="3"/>
      <c r="AZ20" s="3"/>
      <c r="BA20" s="3"/>
      <c r="BB20" s="3"/>
      <c r="BC20" s="3"/>
      <c r="BD20" s="3">
        <v>1</v>
      </c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8"/>
      <c r="BW20" s="8"/>
      <c r="BX20" s="8"/>
      <c r="BY20" s="8"/>
      <c r="BZ20" s="8"/>
      <c r="CA20" s="8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 t="s">
        <v>431</v>
      </c>
      <c r="CO20" s="3"/>
      <c r="CP20" s="3"/>
      <c r="CQ20" s="3"/>
      <c r="CR20" s="3">
        <v>1</v>
      </c>
    </row>
    <row r="477" spans="90:90">
      <c r="CL477">
        <v>0.15</v>
      </c>
    </row>
    <row r="479" spans="90:90">
      <c r="CL479">
        <v>0.2</v>
      </c>
    </row>
    <row r="480" spans="90:90">
      <c r="CL480">
        <v>0.1</v>
      </c>
    </row>
    <row r="482" spans="90:90">
      <c r="CL482">
        <v>0.2</v>
      </c>
    </row>
    <row r="489" spans="90:90">
      <c r="CL489">
        <v>1</v>
      </c>
    </row>
    <row r="491" spans="90:90">
      <c r="CL491">
        <v>0.4</v>
      </c>
    </row>
    <row r="492" spans="90:90">
      <c r="CL492">
        <v>0.6</v>
      </c>
    </row>
    <row r="495" spans="90:90">
      <c r="CL495">
        <v>0.5</v>
      </c>
    </row>
    <row r="496" spans="90:90">
      <c r="CL496">
        <v>0.667</v>
      </c>
    </row>
    <row r="497" spans="90:90">
      <c r="CL497">
        <v>0.2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71"/>
  <sheetViews>
    <sheetView tabSelected="1" workbookViewId="0">
      <pane xSplit="1" ySplit="3" topLeftCell="G4" activePane="bottomRight" state="frozen"/>
      <selection/>
      <selection pane="topRight"/>
      <selection pane="bottomLeft"/>
      <selection pane="bottomRight" activeCell="L14" sqref="L14"/>
    </sheetView>
  </sheetViews>
  <sheetFormatPr defaultColWidth="9" defaultRowHeight="14"/>
  <cols>
    <col min="1" max="1" width="13" customWidth="1"/>
    <col min="2" max="2" width="31.2545454545455" customWidth="1"/>
    <col min="3" max="6" width="9" customWidth="1"/>
    <col min="7" max="7" width="18.7545454545455" customWidth="1"/>
    <col min="8" max="8" width="15" customWidth="1"/>
    <col min="9" max="13" width="9" customWidth="1"/>
    <col min="14" max="14" width="16.0818181818182" customWidth="1"/>
    <col min="15" max="15" width="9.5" customWidth="1"/>
    <col min="16" max="16" width="22.1636363636364" customWidth="1"/>
    <col min="17" max="17" width="12.8363636363636" customWidth="1"/>
  </cols>
  <sheetData>
    <row r="1" spans="1:16">
      <c r="A1" t="s">
        <v>0</v>
      </c>
      <c r="B1" t="s">
        <v>5</v>
      </c>
      <c r="E1" t="s">
        <v>448</v>
      </c>
      <c r="F1" t="s">
        <v>449</v>
      </c>
      <c r="G1" t="s">
        <v>450</v>
      </c>
      <c r="H1" t="s">
        <v>451</v>
      </c>
      <c r="I1" t="s">
        <v>452</v>
      </c>
      <c r="J1" t="s">
        <v>453</v>
      </c>
      <c r="L1" t="s">
        <v>454</v>
      </c>
      <c r="M1" t="s">
        <v>455</v>
      </c>
      <c r="N1" t="s">
        <v>456</v>
      </c>
      <c r="O1" t="s">
        <v>457</v>
      </c>
      <c r="P1" t="s">
        <v>458</v>
      </c>
    </row>
    <row r="2" spans="1:17">
      <c r="A2" t="s">
        <v>0</v>
      </c>
      <c r="C2" t="s">
        <v>51</v>
      </c>
      <c r="D2" t="s">
        <v>83</v>
      </c>
      <c r="E2" t="s">
        <v>459</v>
      </c>
      <c r="F2" t="s">
        <v>460</v>
      </c>
      <c r="G2" t="s">
        <v>461</v>
      </c>
      <c r="H2" t="s">
        <v>462</v>
      </c>
      <c r="I2" t="s">
        <v>463</v>
      </c>
      <c r="J2" t="s">
        <v>464</v>
      </c>
      <c r="K2" t="s">
        <v>465</v>
      </c>
      <c r="L2" t="s">
        <v>57</v>
      </c>
      <c r="M2" t="s">
        <v>466</v>
      </c>
      <c r="N2" t="s">
        <v>467</v>
      </c>
      <c r="O2" t="s">
        <v>468</v>
      </c>
      <c r="P2" t="s">
        <v>469</v>
      </c>
      <c r="Q2" t="s">
        <v>362</v>
      </c>
    </row>
    <row r="3" spans="1:17">
      <c r="A3" t="s">
        <v>2</v>
      </c>
      <c r="C3" t="s">
        <v>2</v>
      </c>
      <c r="D3" t="s">
        <v>2</v>
      </c>
      <c r="E3" t="s">
        <v>127</v>
      </c>
      <c r="F3" t="s">
        <v>127</v>
      </c>
      <c r="G3" t="s">
        <v>127</v>
      </c>
      <c r="H3" t="s">
        <v>124</v>
      </c>
      <c r="I3" t="s">
        <v>124</v>
      </c>
      <c r="J3" t="s">
        <v>392</v>
      </c>
      <c r="K3" t="s">
        <v>125</v>
      </c>
      <c r="L3" t="s">
        <v>356</v>
      </c>
      <c r="M3" t="s">
        <v>124</v>
      </c>
      <c r="N3" t="s">
        <v>124</v>
      </c>
      <c r="O3" t="s">
        <v>356</v>
      </c>
      <c r="P3" t="s">
        <v>124</v>
      </c>
      <c r="Q3" t="s">
        <v>134</v>
      </c>
    </row>
    <row r="4" s="3" customFormat="1" spans="1:8">
      <c r="A4" s="3" t="s">
        <v>431</v>
      </c>
      <c r="B4" s="3"/>
      <c r="C4" s="3" t="s">
        <v>470</v>
      </c>
      <c r="D4" s="3"/>
      <c r="E4" s="3"/>
      <c r="F4" s="3"/>
      <c r="G4" s="3"/>
      <c r="H4" s="3">
        <v>1</v>
      </c>
    </row>
    <row r="5" s="3" customFormat="1"/>
    <row r="6" s="3" customFormat="1" spans="1:17">
      <c r="A6" s="3" t="s">
        <v>395</v>
      </c>
      <c r="C6" s="3" t="s">
        <v>242</v>
      </c>
      <c r="H6" s="3">
        <v>1</v>
      </c>
      <c r="Q6" s="3" t="s">
        <v>471</v>
      </c>
    </row>
    <row r="7" s="3" customFormat="1" spans="1:8">
      <c r="A7" s="3" t="s">
        <v>426</v>
      </c>
      <c r="B7" s="3"/>
      <c r="C7" s="3" t="s">
        <v>470</v>
      </c>
      <c r="D7" s="3"/>
      <c r="E7" s="3"/>
      <c r="F7" s="3"/>
      <c r="G7" s="3"/>
      <c r="H7" s="3">
        <v>1</v>
      </c>
    </row>
    <row r="270" spans="16:16">
      <c r="P270">
        <v>1</v>
      </c>
    </row>
    <row r="271" spans="16:16">
      <c r="P271">
        <v>1</v>
      </c>
    </row>
  </sheetData>
  <pageMargins left="0.75" right="0.75" top="1" bottom="1" header="0.5" footer="0.5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D13" sqref="D13"/>
    </sheetView>
  </sheetViews>
  <sheetFormatPr defaultColWidth="9" defaultRowHeight="14" outlineLevelRow="2" outlineLevelCol="3"/>
  <cols>
    <col min="1" max="1" width="11.3363636363636" customWidth="1"/>
    <col min="2" max="2" width="11.2545454545455" customWidth="1"/>
    <col min="3" max="3" width="9" customWidth="1"/>
    <col min="4" max="4" width="27.5" customWidth="1"/>
  </cols>
  <sheetData>
    <row r="1" spans="1:3">
      <c r="A1" t="s">
        <v>0</v>
      </c>
      <c r="C1" t="s">
        <v>472</v>
      </c>
    </row>
    <row r="2" spans="1:4">
      <c r="A2" t="s">
        <v>0</v>
      </c>
      <c r="B2" t="s">
        <v>51</v>
      </c>
      <c r="C2" t="s">
        <v>473</v>
      </c>
      <c r="D2" t="s">
        <v>362</v>
      </c>
    </row>
    <row r="3" spans="1:4">
      <c r="A3" t="s">
        <v>2</v>
      </c>
      <c r="B3" t="s">
        <v>2</v>
      </c>
      <c r="C3" t="s">
        <v>356</v>
      </c>
      <c r="D3" t="s">
        <v>134</v>
      </c>
    </row>
  </sheetData>
  <pageMargins left="0.75" right="0.75" top="1" bottom="1" header="0.5" footer="0.5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"/>
  <sheetViews>
    <sheetView workbookViewId="0">
      <selection activeCell="I1" sqref="I$1:I$1048576"/>
    </sheetView>
  </sheetViews>
  <sheetFormatPr defaultColWidth="9" defaultRowHeight="14" outlineLevelRow="2"/>
  <cols>
    <col min="1" max="1" width="15.2545454545455" customWidth="1"/>
    <col min="2" max="2" width="9" customWidth="1"/>
    <col min="3" max="3" width="27.2545454545455" customWidth="1"/>
    <col min="4" max="4" width="10.8363636363636" customWidth="1"/>
    <col min="5" max="10" width="9" customWidth="1"/>
  </cols>
  <sheetData>
    <row r="1" spans="9:9">
      <c r="I1" t="s">
        <v>247</v>
      </c>
    </row>
    <row r="2" spans="1:10">
      <c r="A2" t="s">
        <v>0</v>
      </c>
      <c r="B2" t="s">
        <v>51</v>
      </c>
      <c r="C2" t="s">
        <v>53</v>
      </c>
      <c r="D2" t="s">
        <v>474</v>
      </c>
      <c r="E2" t="s">
        <v>76</v>
      </c>
      <c r="F2" t="s">
        <v>475</v>
      </c>
      <c r="G2" t="s">
        <v>476</v>
      </c>
      <c r="H2" t="s">
        <v>477</v>
      </c>
      <c r="I2" t="s">
        <v>351</v>
      </c>
      <c r="J2" t="s">
        <v>362</v>
      </c>
    </row>
    <row r="3" spans="1:10">
      <c r="A3" t="s">
        <v>2</v>
      </c>
      <c r="B3" t="s">
        <v>2</v>
      </c>
      <c r="C3" t="s">
        <v>2</v>
      </c>
      <c r="D3" t="s">
        <v>2</v>
      </c>
      <c r="E3" t="s">
        <v>125</v>
      </c>
      <c r="F3" t="s">
        <v>127</v>
      </c>
      <c r="G3" t="s">
        <v>127</v>
      </c>
      <c r="H3" t="s">
        <v>127</v>
      </c>
      <c r="I3" t="s">
        <v>391</v>
      </c>
      <c r="J3" t="s">
        <v>134</v>
      </c>
    </row>
  </sheetData>
  <pageMargins left="0.75" right="0.75" top="1" bottom="1" header="0.5" footer="0.5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"/>
  <sheetViews>
    <sheetView workbookViewId="0">
      <pane xSplit="1" ySplit="3" topLeftCell="B4" activePane="bottomRight" state="frozen"/>
      <selection/>
      <selection pane="topRight"/>
      <selection pane="bottomLeft"/>
      <selection pane="bottomRight" activeCell="D14" sqref="D14"/>
    </sheetView>
  </sheetViews>
  <sheetFormatPr defaultColWidth="9" defaultRowHeight="14" outlineLevelRow="2"/>
  <cols>
    <col min="1" max="1" width="15.2545454545455" customWidth="1"/>
    <col min="2" max="2" width="28" customWidth="1"/>
    <col min="3" max="4" width="10.0818181818182" customWidth="1"/>
    <col min="5" max="10" width="11.2545454545455" customWidth="1"/>
    <col min="11" max="11" width="6.33636363636364" customWidth="1"/>
    <col min="12" max="12" width="9" customWidth="1"/>
  </cols>
  <sheetData>
    <row r="1" spans="1:12">
      <c r="A1" t="s">
        <v>0</v>
      </c>
      <c r="B1" t="s">
        <v>478</v>
      </c>
      <c r="C1" t="s">
        <v>479</v>
      </c>
      <c r="D1" t="s">
        <v>480</v>
      </c>
      <c r="E1" t="s">
        <v>481</v>
      </c>
      <c r="F1" t="s">
        <v>482</v>
      </c>
      <c r="H1" t="s">
        <v>483</v>
      </c>
      <c r="I1" t="s">
        <v>484</v>
      </c>
      <c r="J1" t="s">
        <v>485</v>
      </c>
      <c r="K1" t="s">
        <v>486</v>
      </c>
      <c r="L1" t="s">
        <v>487</v>
      </c>
    </row>
    <row r="2" spans="1:12">
      <c r="A2" t="s">
        <v>0</v>
      </c>
      <c r="B2" t="s">
        <v>488</v>
      </c>
      <c r="C2" t="s">
        <v>489</v>
      </c>
      <c r="D2" t="s">
        <v>490</v>
      </c>
      <c r="E2" t="s">
        <v>491</v>
      </c>
      <c r="F2" t="s">
        <v>492</v>
      </c>
      <c r="G2" t="s">
        <v>493</v>
      </c>
      <c r="H2" t="s">
        <v>494</v>
      </c>
      <c r="I2" t="s">
        <v>495</v>
      </c>
      <c r="J2" t="s">
        <v>496</v>
      </c>
      <c r="K2" t="s">
        <v>475</v>
      </c>
      <c r="L2" t="s">
        <v>103</v>
      </c>
    </row>
    <row r="3" spans="1:12">
      <c r="A3" t="s">
        <v>2</v>
      </c>
      <c r="B3" t="s">
        <v>2</v>
      </c>
      <c r="C3" t="s">
        <v>127</v>
      </c>
      <c r="D3" t="s">
        <v>126</v>
      </c>
      <c r="E3" t="s">
        <v>2</v>
      </c>
      <c r="F3" t="s">
        <v>124</v>
      </c>
      <c r="G3" t="s">
        <v>124</v>
      </c>
      <c r="H3" t="s">
        <v>127</v>
      </c>
      <c r="I3" t="s">
        <v>127</v>
      </c>
      <c r="J3" t="s">
        <v>127</v>
      </c>
      <c r="K3" t="s">
        <v>125</v>
      </c>
      <c r="L3" t="s">
        <v>125</v>
      </c>
    </row>
  </sheetData>
  <pageMargins left="0.75" right="0.75" top="1" bottom="1" header="0.5" footer="0.5"/>
  <pageSetup paperSize="9" orientation="portrait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J3"/>
  <sheetViews>
    <sheetView workbookViewId="0">
      <pane xSplit="1" ySplit="2" topLeftCell="B3" activePane="bottomRight" state="frozen"/>
      <selection/>
      <selection pane="topRight"/>
      <selection pane="bottomLeft"/>
      <selection pane="bottomRight" activeCell="A3" sqref="$A3:$XFD3"/>
    </sheetView>
  </sheetViews>
  <sheetFormatPr defaultColWidth="9" defaultRowHeight="14" outlineLevelRow="2"/>
  <cols>
    <col min="1" max="1" width="19.0818181818182" customWidth="1"/>
    <col min="2" max="2" width="16.2545454545455" customWidth="1"/>
    <col min="3" max="3" width="16.3363636363636" customWidth="1"/>
    <col min="4" max="4" width="47.8363636363636" customWidth="1"/>
    <col min="5" max="5" width="10.2545454545455" customWidth="1"/>
    <col min="6" max="6" width="12.8363636363636" customWidth="1"/>
    <col min="7" max="9" width="9" customWidth="1"/>
    <col min="10" max="10" width="11.8363636363636" customWidth="1"/>
  </cols>
  <sheetData>
    <row r="2" spans="1:10">
      <c r="A2" t="s">
        <v>0</v>
      </c>
      <c r="B2" t="s">
        <v>272</v>
      </c>
      <c r="C2" t="s">
        <v>83</v>
      </c>
      <c r="D2" t="s">
        <v>497</v>
      </c>
      <c r="E2" t="s">
        <v>498</v>
      </c>
      <c r="F2" t="s">
        <v>85</v>
      </c>
      <c r="G2" t="s">
        <v>499</v>
      </c>
      <c r="H2" t="s">
        <v>300</v>
      </c>
      <c r="I2" t="s">
        <v>500</v>
      </c>
      <c r="J2" t="s">
        <v>58</v>
      </c>
    </row>
    <row r="3" s="2" customFormat="1" spans="1:10">
      <c r="A3" s="2" t="s">
        <v>2</v>
      </c>
      <c r="B3" s="2" t="s">
        <v>2</v>
      </c>
      <c r="C3" s="2" t="s">
        <v>2</v>
      </c>
      <c r="D3" s="2" t="s">
        <v>2</v>
      </c>
      <c r="E3" s="2" t="s">
        <v>127</v>
      </c>
      <c r="F3" s="2" t="s">
        <v>128</v>
      </c>
      <c r="G3" s="2" t="s">
        <v>127</v>
      </c>
      <c r="H3" s="2" t="s">
        <v>501</v>
      </c>
      <c r="I3" s="2" t="s">
        <v>127</v>
      </c>
      <c r="J3" s="2" t="s">
        <v>127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"/>
  <sheetViews>
    <sheetView workbookViewId="0">
      <selection activeCell="F4" sqref="F4"/>
    </sheetView>
  </sheetViews>
  <sheetFormatPr defaultColWidth="8.75454545454545" defaultRowHeight="14" outlineLevelRow="3"/>
  <cols>
    <col min="1" max="1" width="7.5" customWidth="1"/>
    <col min="2" max="2" width="10.6636363636364" customWidth="1"/>
    <col min="3" max="3" width="21.9181818181818" customWidth="1"/>
    <col min="4" max="4" width="16.2545454545455" customWidth="1"/>
    <col min="5" max="5" width="14" customWidth="1"/>
    <col min="6" max="7" width="15.1636363636364" customWidth="1"/>
    <col min="8" max="8" width="12.9181818181818" customWidth="1"/>
    <col min="9" max="9" width="14" customWidth="1"/>
  </cols>
  <sheetData>
    <row r="1" spans="1:9">
      <c r="A1" t="s">
        <v>0</v>
      </c>
      <c r="B1" t="s">
        <v>502</v>
      </c>
      <c r="C1" t="s">
        <v>503</v>
      </c>
      <c r="D1" t="s">
        <v>504</v>
      </c>
      <c r="E1" t="s">
        <v>505</v>
      </c>
      <c r="F1" t="s">
        <v>506</v>
      </c>
      <c r="G1" t="s">
        <v>507</v>
      </c>
      <c r="H1" t="s">
        <v>508</v>
      </c>
      <c r="I1" t="s">
        <v>509</v>
      </c>
    </row>
    <row r="2" spans="1:9">
      <c r="A2" t="s">
        <v>0</v>
      </c>
      <c r="B2" t="s">
        <v>510</v>
      </c>
      <c r="C2" t="s">
        <v>511</v>
      </c>
      <c r="D2" t="s">
        <v>512</v>
      </c>
      <c r="E2" t="s">
        <v>513</v>
      </c>
      <c r="F2" t="s">
        <v>514</v>
      </c>
      <c r="G2" t="s">
        <v>515</v>
      </c>
      <c r="H2" t="s">
        <v>516</v>
      </c>
      <c r="I2" t="s">
        <v>517</v>
      </c>
    </row>
    <row r="3" spans="1:9">
      <c r="A3" t="s">
        <v>2</v>
      </c>
      <c r="B3" t="s">
        <v>124</v>
      </c>
      <c r="C3" t="s">
        <v>124</v>
      </c>
      <c r="D3" t="s">
        <v>2</v>
      </c>
      <c r="E3" t="s">
        <v>2</v>
      </c>
      <c r="F3" t="s">
        <v>2</v>
      </c>
      <c r="G3" t="s">
        <v>2</v>
      </c>
      <c r="H3" t="s">
        <v>2</v>
      </c>
      <c r="I3" t="s">
        <v>2</v>
      </c>
    </row>
    <row r="4" s="1" customFormat="1" spans="1:6">
      <c r="A4" s="1" t="s">
        <v>154</v>
      </c>
      <c r="B4" s="1">
        <v>1</v>
      </c>
      <c r="C4" s="1">
        <v>1</v>
      </c>
      <c r="D4" s="1" t="s">
        <v>518</v>
      </c>
      <c r="E4" s="1" t="s">
        <v>519</v>
      </c>
      <c r="F4" s="1" t="s">
        <v>520</v>
      </c>
    </row>
  </sheetData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  <vt:lpstr>SpineData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魏杰</cp:lastModifiedBy>
  <dcterms:created xsi:type="dcterms:W3CDTF">2021-01-13T06:40:00Z</dcterms:created>
  <dcterms:modified xsi:type="dcterms:W3CDTF">2026-08-26T06:48:29Z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2052-12.1.0.16120</vt:lpwstr>
  </property>
  <property fmtid="{D5CDD505-2E9C-101B-9397-08002B2CF9AE}" pid="3" name="ICV">
    <vt:lpwstr>CB94523E41B44DAE99CC12982DC882B4</vt:lpwstr>
  </property>
</Properties>
</file>