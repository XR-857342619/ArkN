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9B5BD5EE-1B36-4B3C-8D6B-A85CFBC6A6B2}" xr6:coauthVersionLast="47" xr6:coauthVersionMax="47" xr10:uidLastSave="{00000000-0000-0000-0000-000000000000}"/>
  <bookViews>
    <workbookView xWindow="-103" yWindow="-103" windowWidth="24144" windowHeight="14447" firstSheet="1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4" i="1" l="1"/>
  <c r="BH4" i="1"/>
  <c r="BG4" i="1"/>
  <c r="F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魏杰</author>
  </authors>
  <commentList>
    <comment ref="AN1" authorId="0" shapeId="0" xr:uid="{00000000-0006-0000-0100-000001000000}">
      <text>
        <r>
          <rPr>
            <sz val="9"/>
            <rFont val="宋体"/>
            <family val="3"/>
            <charset val="134"/>
          </rPr>
          <t>小型：红橙黄绿蓝紫粉
精英 Boss
大型</t>
        </r>
      </text>
    </comment>
    <comment ref="AO1" authorId="0" shapeId="0" xr:uid="{00000000-0006-0000-0100-000002000000}">
      <text>
        <r>
          <rPr>
            <sz val="9"/>
            <rFont val="宋体"/>
            <family val="3"/>
            <charset val="134"/>
          </rPr>
          <t>小型：红橙黄绿蓝紫粉
大型</t>
        </r>
      </text>
    </comment>
    <comment ref="AQ1" authorId="0" shapeId="0" xr:uid="{00000000-0006-0000-0100-000003000000}">
      <text>
        <r>
          <rPr>
            <sz val="9"/>
            <rFont val="宋体"/>
            <family val="3"/>
            <charset val="134"/>
          </rPr>
          <t xml:space="preserve">高台位
地面位
全地形
仅无敌人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<sst xmlns="http://schemas.openxmlformats.org/spreadsheetml/2006/main" count="852" uniqueCount="521">
  <si>
    <t>Id</t>
  </si>
  <si>
    <t>units</t>
  </si>
  <si>
    <t>string</t>
  </si>
  <si>
    <t>UnitData[]</t>
  </si>
  <si>
    <t>望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</si>
  <si>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</si>
  <si>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</si>
  <si>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</si>
  <si>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</si>
  <si>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</si>
  <si>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</si>
  <si>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</si>
  <si>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</si>
  <si>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</si>
  <si>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</si>
  <si>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</si>
  <si>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</si>
  <si>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</si>
  <si>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</si>
  <si>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</si>
  <si>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</si>
  <si>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</si>
  <si>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</si>
  <si>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</si>
  <si>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</si>
  <si>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</si>
  <si>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</si>
  <si>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</si>
  <si>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</si>
  <si>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</si>
  <si>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</si>
  <si>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</si>
  <si>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</si>
  <si>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</si>
  <si>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</si>
  <si>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</si>
  <si>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</si>
  <si>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</si>
  <si>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</si>
  <si>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</si>
  <si>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</si>
  <si>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</si>
  <si>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</si>
  <si>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</si>
  <si>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</si>
  <si>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</si>
  <si>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</si>
  <si>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</si>
  <si>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</si>
  <si>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</si>
  <si>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</si>
  <si>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</si>
  <si>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</si>
  <si>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</si>
  <si>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</si>
  <si>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</si>
  <si>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</si>
  <si>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</si>
  <si>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</si>
  <si>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</si>
  <si>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</si>
  <si>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</si>
  <si>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</si>
  <si>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</si>
  <si>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</si>
  <si>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</si>
  <si>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</si>
  <si>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</si>
  <si>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</si>
  <si>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</si>
  <si>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</si>
  <si>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</si>
  <si>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</si>
  <si>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</si>
  <si>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</si>
  <si>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</si>
  <si>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</si>
  <si>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</si>
  <si>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</si>
  <si>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</si>
  <si>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</si>
  <si>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</si>
  <si>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</si>
  <si>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</si>
  <si>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</si>
  <si>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</si>
  <si>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</si>
  <si>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</si>
  <si>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</si>
  <si>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</si>
  <si>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</si>
  <si>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</si>
  <si>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</si>
  <si>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</si>
  <si>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</si>
  <si>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</si>
  <si>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</si>
  <si>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</si>
  <si>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</si>
  <si>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</si>
  <si>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</si>
  <si>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</si>
  <si>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</si>
  <si>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</si>
  <si>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</si>
  <si>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</si>
  <si>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</si>
  <si>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</si>
  <si>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</si>
  <si>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</si>
  <si>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</si>
  <si>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</si>
  <si>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</si>
  <si>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</si>
  <si>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</si>
  <si>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</si>
  <si>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</si>
  <si>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</si>
  <si>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</si>
  <si>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</si>
  <si>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</si>
  <si>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</si>
  <si>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</si>
  <si>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</si>
  <si>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</si>
  <si>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</si>
  <si>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</si>
  <si>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</si>
  <si>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</si>
  <si>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</si>
  <si>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</si>
  <si>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</si>
  <si>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</si>
  <si>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</si>
  <si>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</si>
  <si>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</si>
  <si>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wang</t>
  </si>
  <si>
    <t>2027</t>
  </si>
  <si>
    <t>Hip</t>
  </si>
  <si>
    <t>望攻击</t>
  </si>
  <si>
    <t>望3</t>
  </si>
  <si>
    <t>小型:蓝</t>
  </si>
  <si>
    <t>小型:绿</t>
  </si>
  <si>
    <t>高台位</t>
  </si>
  <si>
    <t>特种</t>
  </si>
  <si>
    <t>陷阱师</t>
  </si>
  <si>
    <t>211,81,1500,1500</t>
  </si>
  <si>
    <t>远程位</t>
  </si>
  <si>
    <t>远程,岁</t>
  </si>
  <si>
    <t>可以使用陷阱来协助作战，但陷阱无法放置于敌人已在的格子中</t>
  </si>
  <si>
    <t>Default</t>
  </si>
  <si>
    <t>Idle</t>
  </si>
  <si>
    <t>Die</t>
  </si>
  <si>
    <t>棋子3</t>
  </si>
  <si>
    <t>棋子</t>
  </si>
  <si>
    <t>棋子3攻击,棋子3召唤</t>
  </si>
  <si>
    <t>全地形,仅无敌人</t>
  </si>
  <si>
    <t>half_skadi</t>
  </si>
  <si>
    <t>skadi</t>
  </si>
  <si>
    <t>近战位</t>
  </si>
  <si>
    <t>召唤物</t>
  </si>
  <si>
    <t>棋子3跟子</t>
  </si>
  <si>
    <t>棋子3攻击,棋子入场赋予望buff</t>
  </si>
  <si>
    <t>全地形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</si>
  <si>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</si>
  <si>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</si>
  <si>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</si>
  <si>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</si>
  <si>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</si>
  <si>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</si>
  <si>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</si>
  <si>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</si>
  <si>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</si>
  <si>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</si>
  <si>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</si>
  <si>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</si>
  <si>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</si>
  <si>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</si>
  <si>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</si>
  <si>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</si>
  <si>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</si>
  <si>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</si>
  <si>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</si>
  <si>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</si>
  <si>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</si>
  <si>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</si>
  <si>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</si>
  <si>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</si>
  <si>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</si>
  <si>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</si>
  <si>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</si>
  <si>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</si>
  <si>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</si>
  <si>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</si>
  <si>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</si>
  <si>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</si>
  <si>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</si>
  <si>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</si>
  <si>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</si>
  <si>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</si>
  <si>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</si>
  <si>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</si>
  <si>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</si>
  <si>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</si>
  <si>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</si>
  <si>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</si>
  <si>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</si>
  <si>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</si>
  <si>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</si>
  <si>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</si>
  <si>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</si>
  <si>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</si>
  <si>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</si>
  <si>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</si>
  <si>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</si>
  <si>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</si>
  <si>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</si>
  <si>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</si>
  <si>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</si>
  <si>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</si>
  <si>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</si>
  <si>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</si>
  <si>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</si>
  <si>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</si>
  <si>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</si>
  <si>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</si>
  <si>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</si>
  <si>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</si>
  <si>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</si>
  <si>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</si>
  <si>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</si>
  <si>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</si>
  <si>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</si>
  <si>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</si>
  <si>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</si>
  <si>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</si>
  <si>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</si>
  <si>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</si>
  <si>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</si>
  <si>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</si>
  <si>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</si>
  <si>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</si>
  <si>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</si>
  <si>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</si>
  <si>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</si>
  <si>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</si>
  <si>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</si>
  <si>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</si>
  <si>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</si>
  <si>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</si>
  <si>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</si>
  <si>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</si>
  <si>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</si>
  <si>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</si>
  <si>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</si>
  <si>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</si>
  <si>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</si>
  <si>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</si>
  <si>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</si>
  <si>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</si>
  <si>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</si>
  <si>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</si>
  <si>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</si>
  <si>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</si>
  <si>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</si>
  <si>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</si>
  <si>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</si>
  <si>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</si>
  <si>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</si>
  <si>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</si>
  <si>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</si>
  <si>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</si>
  <si>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</si>
  <si>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</si>
  <si>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</si>
  <si>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</si>
  <si>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</si>
  <si>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</si>
  <si>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</si>
  <si>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</si>
  <si>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</si>
  <si>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</si>
  <si>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</si>
  <si>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</si>
  <si>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</si>
  <si>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</si>
  <si>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</si>
  <si>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</si>
  <si>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</si>
  <si>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</si>
  <si>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</si>
  <si>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</si>
  <si>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</si>
  <si>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</si>
  <si>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</si>
  <si>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</si>
  <si>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</si>
  <si>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</si>
  <si>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</si>
  <si>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</si>
  <si>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</si>
  <si>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</si>
  <si>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</si>
  <si>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</si>
  <si>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</si>
  <si>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</si>
  <si>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</si>
  <si>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</si>
  <si>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</si>
  <si>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</si>
  <si>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</si>
  <si>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</si>
  <si>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</si>
  <si>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</si>
  <si>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</si>
  <si>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</si>
  <si>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</si>
  <si>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</si>
  <si>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</si>
  <si>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</si>
  <si>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</si>
  <si>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</si>
  <si>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</si>
  <si>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</si>
  <si>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</si>
  <si>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</si>
  <si>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</si>
  <si>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</si>
  <si>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</si>
  <si>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</si>
  <si>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</si>
  <si>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</si>
  <si>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</si>
  <si>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</si>
  <si>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</si>
  <si>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</si>
  <si>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</si>
  <si>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</si>
  <si>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</si>
  <si>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</si>
  <si>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</si>
  <si>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</si>
  <si>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</si>
  <si>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</si>
  <si>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</si>
  <si>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</si>
  <si>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</si>
  <si>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</si>
  <si>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</si>
  <si>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</si>
  <si>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</si>
  <si>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</si>
  <si>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</si>
  <si>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</si>
  <si>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</si>
  <si>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</si>
  <si>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</si>
  <si>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</si>
  <si>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</si>
  <si>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</si>
  <si>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</si>
  <si>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</si>
  <si>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</si>
  <si>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</si>
  <si>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</si>
  <si>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</si>
  <si>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</si>
  <si>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</si>
  <si>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</si>
  <si>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</si>
  <si>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</si>
  <si>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</si>
  <si>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</si>
  <si>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</si>
  <si>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</si>
  <si>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</si>
  <si>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</si>
  <si>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</si>
  <si>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</si>
  <si>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</si>
  <si>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</si>
  <si>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</si>
  <si>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</si>
  <si>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</si>
  <si>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</si>
  <si>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</si>
  <si>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</si>
  <si>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</si>
  <si>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</si>
  <si>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</si>
  <si>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</si>
  <si>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</si>
  <si>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</si>
  <si>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普通技能</t>
  </si>
  <si>
    <t>望3动作</t>
  </si>
  <si>
    <t>终点距离</t>
  </si>
  <si>
    <t>0,0#0,1#0,-1#1,0#2,0#1,1#1,-1#2,1#2,-1#3,0#3,1#3,-1</t>
  </si>
  <si>
    <t>Normal</t>
  </si>
  <si>
    <t>Attack_1_A,Attack_1_B</t>
  </si>
  <si>
    <t>跟随攻击</t>
  </si>
  <si>
    <t>普通法球m</t>
  </si>
  <si>
    <t>Muzzle</t>
  </si>
  <si>
    <t>塞雷娅1启动</t>
  </si>
  <si>
    <t>史都华德击中</t>
  </si>
  <si>
    <t>天下劫</t>
  </si>
  <si>
    <t>被动效果：棋子的触发和伤害范围扩大，造成相当于攻击力380%的法术伤害\n主动效果：停止攻击但攻击范围扩大；立即获得8枚棋子，然后将超出上限的棋子优先部署在范围内敌人所在位置；在攻击范围内手动部署棋子时可部署至敌人所在位置，且第一天赋额外至多部署3枚棋子并消耗等量弹药\n装有20发弹药，手动停止或棋子耗尽后技能结束，剩余的弹药返还为棋子</t>
  </si>
  <si>
    <t>skill_icon_skchr_aglina_3</t>
  </si>
  <si>
    <t>充能释放</t>
  </si>
  <si>
    <t>手动</t>
  </si>
  <si>
    <t>仅自己</t>
  </si>
  <si>
    <t>0,0#0,1#0,-1#1,0#2,0#1,1#1,-1#2,1#2,-1#3,0#3,1#3,-1#0,2#0,-2#1,2#1,-2#2,2#2,-2#3,2#3,-2#4,0#4,1#4,2#4,-1#4,-2</t>
  </si>
  <si>
    <t>获得棋子3,望3获得棋子,望3结束,望3攻击,望3范围内赋予棋子</t>
  </si>
  <si>
    <t>望3启动</t>
  </si>
  <si>
    <t>自动</t>
  </si>
  <si>
    <t>无</t>
  </si>
  <si>
    <t>{"ShowRange":1,"Color":"#FFE055","Alpha":0.75}</t>
  </si>
  <si>
    <t>获得棋子3</t>
  </si>
  <si>
    <t>获取单位</t>
  </si>
  <si>
    <t>被动</t>
  </si>
  <si>
    <t>自己入场</t>
  </si>
  <si>
    <t>{"Count":7,"UnitId":"棋子3"}</t>
  </si>
  <si>
    <t>望3获得棋子</t>
  </si>
  <si>
    <t>释放技能</t>
  </si>
  <si>
    <t>{"Count":8,"UnitId":"棋子3"}</t>
  </si>
  <si>
    <t>望3范围内赋予棋子</t>
  </si>
  <si>
    <t>望3范围内</t>
  </si>
  <si>
    <t>望3攻击</t>
  </si>
  <si>
    <t>望3动作,召唤棋子</t>
  </si>
  <si>
    <t>攻击</t>
  </si>
  <si>
    <t>Skill_3_Attack_A,Skill_3_Attack_B</t>
  </si>
  <si>
    <t>召唤棋子</t>
  </si>
  <si>
    <t>Skill_3_Begin</t>
  </si>
  <si>
    <t>望3结束</t>
  </si>
  <si>
    <t>技能结束</t>
  </si>
  <si>
    <t>Skill_3_End</t>
  </si>
  <si>
    <t>棋子自杀</t>
  </si>
  <si>
    <t>即死</t>
  </si>
  <si>
    <t>棋子3攻击</t>
  </si>
  <si>
    <t>0,0#0,1#0,-1#1,0#-1,0#2,0#1,1#1,-1#0,2#0,-2#-1,1#-1,-1#-2,0</t>
  </si>
  <si>
    <t>Magic</t>
  </si>
  <si>
    <t>德克萨斯1范围</t>
  </si>
  <si>
    <t>棋子3召唤</t>
  </si>
  <si>
    <t>0,1#0,-1#1,0#-1,0</t>
  </si>
  <si>
    <t>{"召唤物ID":"棋子3跟子","召唤位置":"使用自身位置","数量":1}</t>
  </si>
  <si>
    <t>棋子入场赋予望buff</t>
  </si>
  <si>
    <t>落地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</si>
  <si>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</si>
  <si>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</si>
  <si>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</si>
  <si>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</si>
  <si>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</si>
  <si>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</si>
  <si>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</si>
  <si>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</si>
  <si>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</si>
  <si>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</si>
  <si>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</si>
  <si>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</si>
  <si>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</si>
  <si>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</si>
  <si>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</si>
  <si>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</si>
  <si>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</si>
  <si>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</si>
  <si>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</si>
  <si>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</si>
  <si>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</si>
  <si>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</si>
  <si>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普通Buff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</si>
  <si>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</si>
  <si>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</si>
  <si>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</si>
  <si>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</si>
  <si>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</si>
  <si>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</si>
  <si>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</si>
  <si>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</si>
  <si>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</si>
  <si>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</si>
  <si>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</si>
  <si>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</si>
  <si>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</si>
  <si>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</si>
  <si>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</si>
  <si>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</si>
  <si>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</si>
  <si>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</si>
  <si>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</si>
  <si>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</si>
  <si>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</si>
  <si>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</si>
  <si>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</si>
  <si>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</si>
  <si>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</si>
  <si>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</si>
  <si>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</si>
  <si>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</si>
  <si>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</si>
  <si>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</si>
  <si>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</si>
  <si>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</si>
  <si>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</si>
  <si>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</si>
  <si>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</si>
  <si>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</si>
  <si>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</si>
  <si>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</si>
  <si>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</si>
  <si>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</si>
  <si>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</si>
  <si>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</si>
  <si>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</si>
  <si>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</si>
  <si>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</si>
  <si>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</si>
  <si>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</si>
  <si>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/Spine/棋子/token_10064_wang_stone1.atlas.txt</t>
  </si>
  <si>
    <t>/Spine/棋子/token_10064_wang_stone1.png</t>
  </si>
  <si>
    <t>/Spine/棋子/token_10064_wang_stone1.skel.bytes</t>
  </si>
  <si>
    <t>ew3类部署干员</t>
    <phoneticPr fontId="12" type="noConversion"/>
  </si>
  <si>
    <t>Extexture:token_10030_mlyss_wtrman.png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</si>
</sst>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宋体"/>
      <charset val="134"/>
      <scheme val="minor"/>
    </font>
    <font>
      <sz val="11"/>
      <name val="宋体"/>
      <family val="3"/>
      <charset val="134"/>
      <scheme val="minor"/>
    </font>
    <font>
      <sz val="11"/>
      <color rgb="FF9C5700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333639"/>
      <name val="Arial"/>
      <family val="2"/>
    </font>
    <font>
      <sz val="11"/>
      <color rgb="FF9C0006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8901333658864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5117038483843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7" fillId="4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6" fillId="0" borderId="0">
      <alignment vertical="center"/>
    </xf>
  </cellStyleXfs>
  <cellXfs count="11">
    <xf numFmtId="0" fontId="0" fillId="0" borderId="0" xfId="0">
      <alignment vertical="center"/>
    </xf>
    <xf numFmtId="0" fontId="6" fillId="0" borderId="0" xfId="4">
      <alignment vertical="center"/>
    </xf>
    <xf numFmtId="0" fontId="1" fillId="0" borderId="0" xfId="0" applyFont="1">
      <alignment vertical="center"/>
    </xf>
    <xf numFmtId="0" fontId="0" fillId="2" borderId="0" xfId="3" applyFont="1" applyFill="1">
      <alignment vertical="center"/>
    </xf>
    <xf numFmtId="0" fontId="2" fillId="3" borderId="0" xfId="2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0" xfId="1" applyFont="1">
      <alignment vertical="center"/>
    </xf>
    <xf numFmtId="49" fontId="0" fillId="0" borderId="0" xfId="0" applyNumberFormat="1" applyAlignment="1">
      <alignment horizontal="left" vertical="center"/>
    </xf>
    <xf numFmtId="0" fontId="13" fillId="0" borderId="0" xfId="0" applyFont="1">
      <alignment vertical="center"/>
    </xf>
    <xf numFmtId="0" fontId="6" fillId="0" borderId="0" xfId="0" applyFont="1">
      <alignment vertical="center"/>
    </xf>
  </cellXfs>
  <cellStyles count="5">
    <cellStyle name="20% - 着色 3" xfId="3" builtinId="38"/>
    <cellStyle name="差" xfId="1" builtinId="27"/>
    <cellStyle name="常规" xfId="0" builtinId="0"/>
    <cellStyle name="常规 2" xfId="4" xr:uid="{00000000-0005-0000-0000-000031000000}"/>
    <cellStyle name="适中" xfId="2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B4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6"/>
  <sheetViews>
    <sheetView tabSelected="1" workbookViewId="0">
      <pane xSplit="1" ySplit="3" topLeftCell="BF4" activePane="bottomRight" state="frozen"/>
      <selection pane="topRight"/>
      <selection pane="bottomLeft"/>
      <selection pane="bottomRight" activeCell="BO11" sqref="BO11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5.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2" width="9" customWidth="1"/>
    <col min="33" max="33" width="10.6640625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41" width="9.83203125" customWidth="1"/>
    <col min="42" max="45" width="9" customWidth="1"/>
    <col min="46" max="46" width="12.5" customWidth="1"/>
    <col min="47" max="52" width="9" customWidth="1"/>
    <col min="53" max="53" width="8.16406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 x14ac:dyDescent="0.25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4" spans="1:76" x14ac:dyDescent="0.25">
      <c r="A4" t="s">
        <v>4</v>
      </c>
      <c r="B4" t="s">
        <v>135</v>
      </c>
      <c r="D4" t="s">
        <v>136</v>
      </c>
      <c r="E4" s="8" t="s">
        <v>137</v>
      </c>
      <c r="F4" t="str">
        <f>"char_"&amp;E4&amp;"_"&amp;D4</f>
        <v>char_2027_wang</v>
      </c>
      <c r="G4">
        <v>1</v>
      </c>
      <c r="J4">
        <v>2</v>
      </c>
      <c r="K4">
        <v>90</v>
      </c>
      <c r="L4">
        <v>1630</v>
      </c>
      <c r="N4">
        <v>756</v>
      </c>
      <c r="P4">
        <v>174</v>
      </c>
      <c r="R4">
        <v>0</v>
      </c>
      <c r="T4">
        <v>12</v>
      </c>
      <c r="U4">
        <v>-2</v>
      </c>
      <c r="V4">
        <v>0.5</v>
      </c>
      <c r="W4">
        <v>70</v>
      </c>
      <c r="Z4">
        <v>0.05</v>
      </c>
      <c r="AA4">
        <v>0.85</v>
      </c>
      <c r="AD4">
        <v>1</v>
      </c>
      <c r="AJ4" t="s">
        <v>4</v>
      </c>
      <c r="AK4" t="s">
        <v>138</v>
      </c>
      <c r="AL4" t="s">
        <v>139</v>
      </c>
      <c r="AM4" t="s">
        <v>140</v>
      </c>
      <c r="AN4" t="s">
        <v>141</v>
      </c>
      <c r="AO4" t="s">
        <v>142</v>
      </c>
      <c r="AQ4" t="s">
        <v>143</v>
      </c>
      <c r="AR4">
        <v>1</v>
      </c>
      <c r="AS4">
        <v>0.5</v>
      </c>
      <c r="AZ4">
        <v>0.25</v>
      </c>
      <c r="BE4" t="s">
        <v>144</v>
      </c>
      <c r="BF4" t="s">
        <v>145</v>
      </c>
      <c r="BG4" t="str">
        <f>"icon_"&amp;D4</f>
        <v>icon_wang</v>
      </c>
      <c r="BH4" t="str">
        <f>"half_"&amp;D4</f>
        <v>half_wang</v>
      </c>
      <c r="BI4" t="str">
        <f>D4</f>
        <v>wang</v>
      </c>
      <c r="BJ4" t="s">
        <v>146</v>
      </c>
      <c r="BK4">
        <v>6</v>
      </c>
      <c r="BL4" t="s">
        <v>147</v>
      </c>
      <c r="BM4" t="s">
        <v>148</v>
      </c>
      <c r="BN4" t="s">
        <v>149</v>
      </c>
      <c r="BQ4" t="s">
        <v>150</v>
      </c>
      <c r="BR4" t="s">
        <v>151</v>
      </c>
      <c r="BT4" t="s">
        <v>152</v>
      </c>
      <c r="BU4" t="s">
        <v>152</v>
      </c>
      <c r="BX4">
        <v>1</v>
      </c>
    </row>
    <row r="5" spans="1:76" x14ac:dyDescent="0.25">
      <c r="A5" t="s">
        <v>153</v>
      </c>
      <c r="B5" t="s">
        <v>135</v>
      </c>
      <c r="F5" t="s">
        <v>154</v>
      </c>
      <c r="G5">
        <v>1</v>
      </c>
      <c r="J5">
        <v>2</v>
      </c>
      <c r="K5">
        <v>90</v>
      </c>
      <c r="L5">
        <v>100</v>
      </c>
      <c r="N5">
        <v>0</v>
      </c>
      <c r="P5">
        <v>0</v>
      </c>
      <c r="R5">
        <v>0</v>
      </c>
      <c r="T5">
        <v>2</v>
      </c>
      <c r="W5">
        <v>2</v>
      </c>
      <c r="Z5">
        <v>0.05</v>
      </c>
      <c r="AA5">
        <v>1</v>
      </c>
      <c r="AD5">
        <v>0</v>
      </c>
      <c r="AE5">
        <v>1</v>
      </c>
      <c r="AG5">
        <v>8</v>
      </c>
      <c r="AJ5" t="s">
        <v>154</v>
      </c>
      <c r="AK5" t="s">
        <v>138</v>
      </c>
      <c r="AL5" t="s">
        <v>155</v>
      </c>
      <c r="AM5" s="1"/>
      <c r="AN5" s="1"/>
      <c r="AO5" s="1"/>
      <c r="AQ5" t="s">
        <v>156</v>
      </c>
      <c r="AR5">
        <v>0</v>
      </c>
      <c r="AS5">
        <v>0</v>
      </c>
      <c r="AZ5">
        <v>0.25</v>
      </c>
      <c r="BC5">
        <v>1</v>
      </c>
      <c r="BE5" t="s">
        <v>144</v>
      </c>
      <c r="BG5" s="10" t="s">
        <v>520</v>
      </c>
      <c r="BH5" t="s">
        <v>157</v>
      </c>
      <c r="BI5" t="s">
        <v>158</v>
      </c>
      <c r="BJ5" t="s">
        <v>146</v>
      </c>
      <c r="BK5">
        <v>6</v>
      </c>
      <c r="BL5" t="s">
        <v>159</v>
      </c>
      <c r="BM5" t="s">
        <v>160</v>
      </c>
      <c r="BQ5" t="s">
        <v>150</v>
      </c>
      <c r="BR5" t="s">
        <v>151</v>
      </c>
      <c r="BT5" t="s">
        <v>152</v>
      </c>
      <c r="BU5" t="s">
        <v>152</v>
      </c>
      <c r="BX5">
        <v>1</v>
      </c>
    </row>
    <row r="6" spans="1:76" x14ac:dyDescent="0.25">
      <c r="A6" t="s">
        <v>161</v>
      </c>
      <c r="B6" t="s">
        <v>135</v>
      </c>
      <c r="F6" t="s">
        <v>154</v>
      </c>
      <c r="G6">
        <v>1</v>
      </c>
      <c r="J6">
        <v>2</v>
      </c>
      <c r="K6">
        <v>90</v>
      </c>
      <c r="L6">
        <v>100</v>
      </c>
      <c r="N6">
        <v>0</v>
      </c>
      <c r="P6">
        <v>0</v>
      </c>
      <c r="R6">
        <v>0</v>
      </c>
      <c r="T6">
        <v>0</v>
      </c>
      <c r="W6">
        <v>2</v>
      </c>
      <c r="Z6">
        <v>0.05</v>
      </c>
      <c r="AA6">
        <v>1</v>
      </c>
      <c r="AD6">
        <v>0</v>
      </c>
      <c r="AE6">
        <v>1</v>
      </c>
      <c r="AG6">
        <v>10</v>
      </c>
      <c r="AJ6" t="s">
        <v>154</v>
      </c>
      <c r="AK6" t="s">
        <v>138</v>
      </c>
      <c r="AL6" t="s">
        <v>162</v>
      </c>
      <c r="AM6" s="1"/>
      <c r="AN6" s="1"/>
      <c r="AO6" s="1"/>
      <c r="AQ6" t="s">
        <v>163</v>
      </c>
      <c r="AR6">
        <v>0</v>
      </c>
      <c r="AS6">
        <v>0</v>
      </c>
      <c r="AT6">
        <v>1</v>
      </c>
      <c r="AZ6">
        <v>0.25</v>
      </c>
      <c r="BC6">
        <v>1</v>
      </c>
      <c r="BE6" t="s">
        <v>144</v>
      </c>
      <c r="BG6" s="10" t="s">
        <v>520</v>
      </c>
      <c r="BH6" t="s">
        <v>157</v>
      </c>
      <c r="BI6" t="s">
        <v>158</v>
      </c>
      <c r="BJ6" t="s">
        <v>146</v>
      </c>
      <c r="BK6">
        <v>6</v>
      </c>
      <c r="BL6" t="s">
        <v>159</v>
      </c>
      <c r="BM6" t="s">
        <v>160</v>
      </c>
      <c r="BQ6" t="s">
        <v>150</v>
      </c>
      <c r="BR6" t="s">
        <v>151</v>
      </c>
      <c r="BT6" t="s">
        <v>152</v>
      </c>
      <c r="BU6" t="s">
        <v>152</v>
      </c>
      <c r="BX6">
        <v>1</v>
      </c>
    </row>
  </sheetData>
  <phoneticPr fontId="12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497"/>
  <sheetViews>
    <sheetView workbookViewId="0">
      <pane xSplit="1" ySplit="3" topLeftCell="B4" activePane="bottomRight" state="frozen"/>
      <selection pane="topRight"/>
      <selection pane="bottomLeft"/>
      <selection pane="bottomRight" activeCell="C19" sqref="C19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3" width="9.5" customWidth="1"/>
    <col min="94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4" width="9.5" customWidth="1"/>
    <col min="105" max="106" width="9" customWidth="1"/>
    <col min="107" max="108" width="9.5" customWidth="1"/>
    <col min="109" max="109" width="9" customWidth="1"/>
    <col min="110" max="110" width="15.5" customWidth="1"/>
    <col min="111" max="111" width="9" customWidth="1"/>
    <col min="112" max="113" width="9.5" customWidth="1"/>
  </cols>
  <sheetData>
    <row r="1" spans="1:113" x14ac:dyDescent="0.25">
      <c r="B1" t="s">
        <v>164</v>
      </c>
      <c r="D1" t="s">
        <v>165</v>
      </c>
      <c r="E1" t="s">
        <v>166</v>
      </c>
      <c r="F1" t="s">
        <v>167</v>
      </c>
      <c r="G1" t="s">
        <v>168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174</v>
      </c>
      <c r="N1" t="s">
        <v>175</v>
      </c>
      <c r="O1" t="s">
        <v>176</v>
      </c>
      <c r="P1" t="s">
        <v>177</v>
      </c>
      <c r="Q1" t="s">
        <v>178</v>
      </c>
      <c r="R1" t="s">
        <v>179</v>
      </c>
      <c r="S1" t="s">
        <v>180</v>
      </c>
      <c r="T1" t="s">
        <v>181</v>
      </c>
      <c r="U1" t="s">
        <v>181</v>
      </c>
      <c r="V1" t="s">
        <v>182</v>
      </c>
      <c r="W1" t="s">
        <v>183</v>
      </c>
      <c r="X1" t="s">
        <v>184</v>
      </c>
      <c r="Y1" t="s">
        <v>185</v>
      </c>
      <c r="Z1" t="s">
        <v>186</v>
      </c>
      <c r="AA1" t="s">
        <v>187</v>
      </c>
      <c r="AB1" t="s">
        <v>188</v>
      </c>
      <c r="AC1" t="s">
        <v>189</v>
      </c>
      <c r="AD1" t="s">
        <v>190</v>
      </c>
      <c r="AE1" t="s">
        <v>191</v>
      </c>
      <c r="AF1" t="s">
        <v>192</v>
      </c>
      <c r="AG1" t="s">
        <v>193</v>
      </c>
      <c r="AH1" t="s">
        <v>194</v>
      </c>
      <c r="AI1" t="s">
        <v>195</v>
      </c>
      <c r="AJ1" t="s">
        <v>196</v>
      </c>
      <c r="AK1" t="s">
        <v>197</v>
      </c>
      <c r="AL1" t="s">
        <v>198</v>
      </c>
      <c r="AM1" t="s">
        <v>199</v>
      </c>
      <c r="AN1" t="s">
        <v>200</v>
      </c>
      <c r="AO1" t="s">
        <v>201</v>
      </c>
      <c r="AP1" t="s">
        <v>202</v>
      </c>
      <c r="AQ1" t="s">
        <v>203</v>
      </c>
      <c r="AR1" t="s">
        <v>204</v>
      </c>
      <c r="AS1" t="s">
        <v>205</v>
      </c>
      <c r="AT1" t="s">
        <v>206</v>
      </c>
      <c r="AU1" t="s">
        <v>207</v>
      </c>
      <c r="AV1" t="s">
        <v>208</v>
      </c>
      <c r="AW1" t="s">
        <v>209</v>
      </c>
      <c r="AX1" t="s">
        <v>210</v>
      </c>
      <c r="AY1" t="s">
        <v>211</v>
      </c>
      <c r="AZ1" t="s">
        <v>212</v>
      </c>
      <c r="BA1" t="s">
        <v>213</v>
      </c>
      <c r="BB1" t="s">
        <v>214</v>
      </c>
      <c r="BC1" t="s">
        <v>215</v>
      </c>
      <c r="BD1" t="s">
        <v>216</v>
      </c>
      <c r="BE1" t="s">
        <v>217</v>
      </c>
      <c r="BF1" t="s">
        <v>218</v>
      </c>
      <c r="BG1" t="s">
        <v>219</v>
      </c>
      <c r="BH1" t="s">
        <v>220</v>
      </c>
      <c r="BJ1" t="s">
        <v>220</v>
      </c>
      <c r="BK1" t="s">
        <v>221</v>
      </c>
      <c r="BL1" t="s">
        <v>222</v>
      </c>
      <c r="BM1" t="s">
        <v>223</v>
      </c>
      <c r="BN1" t="s">
        <v>224</v>
      </c>
      <c r="BO1" t="s">
        <v>225</v>
      </c>
      <c r="BP1" t="s">
        <v>226</v>
      </c>
      <c r="BQ1" t="s">
        <v>227</v>
      </c>
      <c r="BR1" t="s">
        <v>228</v>
      </c>
      <c r="BS1" t="s">
        <v>229</v>
      </c>
      <c r="BT1" t="s">
        <v>230</v>
      </c>
      <c r="BU1" t="s">
        <v>231</v>
      </c>
      <c r="BV1" t="s">
        <v>232</v>
      </c>
      <c r="BW1" t="s">
        <v>233</v>
      </c>
      <c r="BX1" t="s">
        <v>234</v>
      </c>
      <c r="BY1" t="s">
        <v>235</v>
      </c>
      <c r="BZ1" t="s">
        <v>236</v>
      </c>
      <c r="CA1" t="s">
        <v>237</v>
      </c>
      <c r="CB1" t="s">
        <v>238</v>
      </c>
      <c r="CC1" t="s">
        <v>239</v>
      </c>
      <c r="CD1" t="s">
        <v>240</v>
      </c>
      <c r="CE1" t="s">
        <v>241</v>
      </c>
      <c r="CF1" t="s">
        <v>242</v>
      </c>
      <c r="CG1" t="s">
        <v>243</v>
      </c>
      <c r="CH1" t="s">
        <v>244</v>
      </c>
      <c r="CI1" t="s">
        <v>245</v>
      </c>
      <c r="CJ1" t="s">
        <v>246</v>
      </c>
      <c r="CK1" t="s">
        <v>247</v>
      </c>
      <c r="CL1" t="s">
        <v>248</v>
      </c>
      <c r="CM1" t="s">
        <v>249</v>
      </c>
      <c r="CN1" t="s">
        <v>250</v>
      </c>
      <c r="CO1" t="s">
        <v>251</v>
      </c>
      <c r="CP1" t="s">
        <v>252</v>
      </c>
      <c r="CQ1" t="s">
        <v>253</v>
      </c>
      <c r="CR1" t="s">
        <v>230</v>
      </c>
      <c r="CS1" t="s">
        <v>254</v>
      </c>
      <c r="CT1" t="s">
        <v>255</v>
      </c>
      <c r="CU1" t="s">
        <v>256</v>
      </c>
      <c r="CV1" t="s">
        <v>257</v>
      </c>
      <c r="CW1" t="s">
        <v>258</v>
      </c>
      <c r="CX1" t="s">
        <v>259</v>
      </c>
      <c r="CY1" t="s">
        <v>260</v>
      </c>
      <c r="CZ1" t="s">
        <v>259</v>
      </c>
      <c r="DA1" t="s">
        <v>261</v>
      </c>
      <c r="DB1" t="s">
        <v>262</v>
      </c>
      <c r="DC1" t="s">
        <v>263</v>
      </c>
      <c r="DD1" t="s">
        <v>264</v>
      </c>
      <c r="DE1" t="s">
        <v>265</v>
      </c>
      <c r="DF1" t="s">
        <v>266</v>
      </c>
      <c r="DG1" t="s">
        <v>267</v>
      </c>
      <c r="DH1" t="s">
        <v>268</v>
      </c>
      <c r="DI1" t="s">
        <v>269</v>
      </c>
    </row>
    <row r="2" spans="1:113" x14ac:dyDescent="0.25">
      <c r="A2" t="s">
        <v>0</v>
      </c>
      <c r="C2" t="s">
        <v>51</v>
      </c>
      <c r="D2" t="s">
        <v>83</v>
      </c>
      <c r="E2" t="s">
        <v>270</v>
      </c>
      <c r="F2" t="s">
        <v>271</v>
      </c>
      <c r="G2" t="s">
        <v>57</v>
      </c>
      <c r="H2" t="s">
        <v>272</v>
      </c>
      <c r="I2" t="s">
        <v>273</v>
      </c>
      <c r="J2" t="s">
        <v>274</v>
      </c>
      <c r="K2" t="s">
        <v>275</v>
      </c>
      <c r="L2" t="s">
        <v>276</v>
      </c>
      <c r="M2" t="s">
        <v>277</v>
      </c>
      <c r="N2" t="s">
        <v>278</v>
      </c>
      <c r="O2" t="s">
        <v>279</v>
      </c>
      <c r="P2" t="s">
        <v>280</v>
      </c>
      <c r="Q2" t="s">
        <v>281</v>
      </c>
      <c r="R2" t="s">
        <v>282</v>
      </c>
      <c r="S2" t="s">
        <v>283</v>
      </c>
      <c r="T2" t="s">
        <v>284</v>
      </c>
      <c r="U2" t="s">
        <v>285</v>
      </c>
      <c r="V2" t="s">
        <v>286</v>
      </c>
      <c r="W2" t="s">
        <v>287</v>
      </c>
      <c r="X2" t="s">
        <v>288</v>
      </c>
      <c r="Y2" t="s">
        <v>289</v>
      </c>
      <c r="Z2" t="s">
        <v>290</v>
      </c>
      <c r="AA2" t="s">
        <v>291</v>
      </c>
      <c r="AB2" t="s">
        <v>292</v>
      </c>
      <c r="AC2" t="s">
        <v>293</v>
      </c>
      <c r="AD2" t="s">
        <v>294</v>
      </c>
      <c r="AE2" t="s">
        <v>295</v>
      </c>
      <c r="AF2" t="s">
        <v>296</v>
      </c>
      <c r="AG2" t="s">
        <v>297</v>
      </c>
      <c r="AH2" t="s">
        <v>298</v>
      </c>
      <c r="AI2" t="s">
        <v>299</v>
      </c>
      <c r="AJ2" t="s">
        <v>300</v>
      </c>
      <c r="AK2" t="s">
        <v>301</v>
      </c>
      <c r="AL2" t="s">
        <v>302</v>
      </c>
      <c r="AM2" t="s">
        <v>303</v>
      </c>
      <c r="AN2" t="s">
        <v>304</v>
      </c>
      <c r="AO2" t="s">
        <v>305</v>
      </c>
      <c r="AP2" t="s">
        <v>306</v>
      </c>
      <c r="AQ2" t="s">
        <v>307</v>
      </c>
      <c r="AR2" t="s">
        <v>308</v>
      </c>
      <c r="AS2" t="s">
        <v>309</v>
      </c>
      <c r="AT2" t="s">
        <v>310</v>
      </c>
      <c r="AU2" t="s">
        <v>311</v>
      </c>
      <c r="AV2" t="s">
        <v>312</v>
      </c>
      <c r="AW2" t="s">
        <v>313</v>
      </c>
      <c r="AX2" t="s">
        <v>314</v>
      </c>
      <c r="AY2" t="s">
        <v>315</v>
      </c>
      <c r="AZ2" t="s">
        <v>316</v>
      </c>
      <c r="BA2" t="s">
        <v>317</v>
      </c>
      <c r="BB2" t="s">
        <v>318</v>
      </c>
      <c r="BC2" t="s">
        <v>319</v>
      </c>
      <c r="BD2" t="s">
        <v>320</v>
      </c>
      <c r="BE2" t="s">
        <v>321</v>
      </c>
      <c r="BF2" t="s">
        <v>322</v>
      </c>
      <c r="BG2" t="s">
        <v>323</v>
      </c>
      <c r="BH2" t="s">
        <v>324</v>
      </c>
      <c r="BI2" t="s">
        <v>325</v>
      </c>
      <c r="BJ2" t="s">
        <v>326</v>
      </c>
      <c r="BK2" t="s">
        <v>327</v>
      </c>
      <c r="BL2" t="s">
        <v>328</v>
      </c>
      <c r="BM2" t="s">
        <v>329</v>
      </c>
      <c r="BN2" t="s">
        <v>330</v>
      </c>
      <c r="BO2" t="s">
        <v>85</v>
      </c>
      <c r="BP2" t="s">
        <v>331</v>
      </c>
      <c r="BQ2" t="s">
        <v>332</v>
      </c>
      <c r="BR2" t="s">
        <v>333</v>
      </c>
      <c r="BS2" t="s">
        <v>334</v>
      </c>
      <c r="BT2" t="s">
        <v>335</v>
      </c>
      <c r="BU2" t="s">
        <v>101</v>
      </c>
      <c r="BV2" t="s">
        <v>336</v>
      </c>
      <c r="BW2" t="s">
        <v>337</v>
      </c>
      <c r="BX2" t="s">
        <v>338</v>
      </c>
      <c r="BY2" t="s">
        <v>339</v>
      </c>
      <c r="BZ2" t="s">
        <v>340</v>
      </c>
      <c r="CA2" t="s">
        <v>341</v>
      </c>
      <c r="CB2" t="s">
        <v>342</v>
      </c>
      <c r="CC2" t="s">
        <v>343</v>
      </c>
      <c r="CD2" t="s">
        <v>344</v>
      </c>
      <c r="CE2" t="s">
        <v>345</v>
      </c>
      <c r="CF2" t="s">
        <v>346</v>
      </c>
      <c r="CG2" t="s">
        <v>347</v>
      </c>
      <c r="CH2" t="s">
        <v>348</v>
      </c>
      <c r="CI2" t="s">
        <v>349</v>
      </c>
      <c r="CJ2" t="s">
        <v>350</v>
      </c>
      <c r="CK2" t="s">
        <v>351</v>
      </c>
      <c r="CL2" t="s">
        <v>352</v>
      </c>
      <c r="CM2" t="s">
        <v>353</v>
      </c>
      <c r="CN2" t="s">
        <v>354</v>
      </c>
      <c r="CO2" t="s">
        <v>355</v>
      </c>
      <c r="CP2" t="s">
        <v>356</v>
      </c>
      <c r="CQ2" t="s">
        <v>357</v>
      </c>
      <c r="CR2" t="s">
        <v>358</v>
      </c>
      <c r="CS2" t="s">
        <v>359</v>
      </c>
      <c r="CT2" t="s">
        <v>360</v>
      </c>
      <c r="CU2" t="s">
        <v>361</v>
      </c>
      <c r="CV2" t="s">
        <v>362</v>
      </c>
      <c r="CW2" t="s">
        <v>363</v>
      </c>
      <c r="CX2" t="s">
        <v>364</v>
      </c>
      <c r="CY2" t="s">
        <v>365</v>
      </c>
      <c r="CZ2" t="s">
        <v>366</v>
      </c>
      <c r="DA2" t="s">
        <v>367</v>
      </c>
      <c r="DB2" t="s">
        <v>368</v>
      </c>
      <c r="DC2" t="s">
        <v>369</v>
      </c>
      <c r="DD2" t="s">
        <v>370</v>
      </c>
      <c r="DE2" t="s">
        <v>371</v>
      </c>
      <c r="DF2" t="s">
        <v>372</v>
      </c>
      <c r="DG2" t="s">
        <v>373</v>
      </c>
      <c r="DH2" t="s">
        <v>374</v>
      </c>
      <c r="DI2" t="s">
        <v>375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376</v>
      </c>
      <c r="K3" t="s">
        <v>377</v>
      </c>
      <c r="L3" t="s">
        <v>378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379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380</v>
      </c>
      <c r="AP3" t="s">
        <v>381</v>
      </c>
      <c r="AQ3" t="s">
        <v>2</v>
      </c>
      <c r="AR3" t="s">
        <v>2</v>
      </c>
      <c r="AS3" t="s">
        <v>2</v>
      </c>
      <c r="AT3" t="s">
        <v>382</v>
      </c>
      <c r="AU3" t="s">
        <v>124</v>
      </c>
      <c r="AV3" t="s">
        <v>125</v>
      </c>
      <c r="AW3" t="s">
        <v>124</v>
      </c>
      <c r="AX3" t="s">
        <v>383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382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384</v>
      </c>
      <c r="BR3" t="s">
        <v>385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386</v>
      </c>
      <c r="BZ3" t="s">
        <v>124</v>
      </c>
      <c r="CA3" t="s">
        <v>386</v>
      </c>
      <c r="CB3" t="s">
        <v>129</v>
      </c>
      <c r="CC3" t="s">
        <v>387</v>
      </c>
      <c r="CD3" t="s">
        <v>129</v>
      </c>
      <c r="CE3" t="s">
        <v>129</v>
      </c>
      <c r="CF3" t="s">
        <v>129</v>
      </c>
      <c r="CG3" t="s">
        <v>388</v>
      </c>
      <c r="CH3" t="s">
        <v>389</v>
      </c>
      <c r="CI3" t="s">
        <v>2</v>
      </c>
      <c r="CJ3" t="s">
        <v>390</v>
      </c>
      <c r="CK3" t="s">
        <v>390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387</v>
      </c>
      <c r="CS3" t="s">
        <v>133</v>
      </c>
      <c r="CT3" t="s">
        <v>124</v>
      </c>
      <c r="CU3" t="s">
        <v>134</v>
      </c>
      <c r="CV3" t="s">
        <v>391</v>
      </c>
      <c r="CW3" t="s">
        <v>392</v>
      </c>
      <c r="CX3" t="s">
        <v>392</v>
      </c>
      <c r="CY3" t="s">
        <v>391</v>
      </c>
      <c r="CZ3" t="s">
        <v>391</v>
      </c>
      <c r="DA3" t="s">
        <v>391</v>
      </c>
      <c r="DB3" t="s">
        <v>391</v>
      </c>
      <c r="DC3" t="s">
        <v>391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pans="1:113" x14ac:dyDescent="0.25">
      <c r="A4" t="s">
        <v>139</v>
      </c>
      <c r="C4" t="s">
        <v>393</v>
      </c>
      <c r="J4" s="2"/>
      <c r="K4" s="2"/>
      <c r="L4" s="2"/>
      <c r="O4" s="2"/>
      <c r="P4" t="s">
        <v>394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>
        <v>2</v>
      </c>
      <c r="AD4">
        <v>1</v>
      </c>
      <c r="AO4" t="s">
        <v>395</v>
      </c>
      <c r="AT4" t="s">
        <v>396</v>
      </c>
      <c r="AX4" t="s">
        <v>397</v>
      </c>
      <c r="AZ4">
        <v>1</v>
      </c>
      <c r="BD4">
        <v>1</v>
      </c>
      <c r="BW4" s="5"/>
      <c r="BX4" s="5"/>
      <c r="BY4" s="5"/>
      <c r="BZ4" s="5"/>
      <c r="CA4" s="5"/>
      <c r="CB4" t="s">
        <v>398</v>
      </c>
      <c r="CG4" t="s">
        <v>399</v>
      </c>
      <c r="CH4" t="s">
        <v>400</v>
      </c>
      <c r="CI4" t="s">
        <v>401</v>
      </c>
      <c r="CX4" t="s">
        <v>402</v>
      </c>
      <c r="CY4" t="s">
        <v>403</v>
      </c>
    </row>
    <row r="9" spans="1:113" x14ac:dyDescent="0.25">
      <c r="A9" t="s">
        <v>140</v>
      </c>
      <c r="C9" t="s">
        <v>393</v>
      </c>
      <c r="D9" t="s">
        <v>404</v>
      </c>
      <c r="E9" t="s">
        <v>405</v>
      </c>
      <c r="F9" t="s">
        <v>406</v>
      </c>
      <c r="G9">
        <v>3</v>
      </c>
      <c r="J9" t="s">
        <v>407</v>
      </c>
      <c r="K9" s="2" t="s">
        <v>408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AB9">
        <v>1</v>
      </c>
      <c r="AC9">
        <v>1</v>
      </c>
      <c r="AF9">
        <v>1</v>
      </c>
      <c r="AG9" t="s">
        <v>409</v>
      </c>
      <c r="AT9" t="s">
        <v>410</v>
      </c>
      <c r="BD9">
        <v>1</v>
      </c>
      <c r="BO9" t="s">
        <v>411</v>
      </c>
      <c r="BP9" t="s">
        <v>412</v>
      </c>
      <c r="BT9">
        <v>20</v>
      </c>
      <c r="BU9">
        <v>1</v>
      </c>
      <c r="BV9" s="5">
        <v>38</v>
      </c>
      <c r="BW9" s="5">
        <v>50</v>
      </c>
      <c r="BX9" s="5">
        <v>1</v>
      </c>
      <c r="BY9" s="5" t="s">
        <v>413</v>
      </c>
      <c r="BZ9" s="5"/>
      <c r="CA9" s="5" t="s">
        <v>414</v>
      </c>
      <c r="CL9" s="2"/>
      <c r="CN9" t="s">
        <v>394</v>
      </c>
      <c r="CR9">
        <v>9999</v>
      </c>
      <c r="CT9">
        <v>1</v>
      </c>
      <c r="CU9" t="s">
        <v>415</v>
      </c>
      <c r="DD9">
        <v>1</v>
      </c>
      <c r="DG9">
        <v>1</v>
      </c>
      <c r="DH9">
        <v>1</v>
      </c>
    </row>
    <row r="10" spans="1:113" x14ac:dyDescent="0.25">
      <c r="A10" t="s">
        <v>416</v>
      </c>
      <c r="C10" t="s">
        <v>417</v>
      </c>
      <c r="K10" s="2" t="s">
        <v>418</v>
      </c>
      <c r="L10" s="2" t="s">
        <v>419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AC10">
        <v>1</v>
      </c>
      <c r="AF10">
        <v>1</v>
      </c>
      <c r="AG10" t="s">
        <v>409</v>
      </c>
      <c r="AW10" s="3"/>
      <c r="BD10">
        <v>1</v>
      </c>
      <c r="BO10" s="4"/>
      <c r="BP10" s="4"/>
      <c r="BV10" s="5"/>
      <c r="BW10" s="5"/>
      <c r="BX10" s="5"/>
      <c r="BY10" s="5"/>
      <c r="BZ10" s="5"/>
      <c r="CA10" s="5"/>
      <c r="CN10" s="7"/>
      <c r="CU10" t="s">
        <v>420</v>
      </c>
    </row>
    <row r="11" spans="1:113" x14ac:dyDescent="0.25">
      <c r="A11" t="s">
        <v>421</v>
      </c>
      <c r="C11" t="s">
        <v>417</v>
      </c>
      <c r="K11" s="2" t="s">
        <v>418</v>
      </c>
      <c r="L11" s="2" t="s">
        <v>422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AC11">
        <v>1</v>
      </c>
      <c r="AF11">
        <v>1</v>
      </c>
      <c r="AG11" t="s">
        <v>409</v>
      </c>
      <c r="AW11" s="3"/>
      <c r="BD11">
        <v>1</v>
      </c>
      <c r="BO11" s="4"/>
      <c r="BP11" s="4"/>
      <c r="BV11" s="5"/>
      <c r="BW11" s="5"/>
      <c r="BX11" s="5"/>
      <c r="BY11" s="5"/>
      <c r="BZ11" s="5"/>
      <c r="CA11" s="5"/>
      <c r="CN11" s="7"/>
      <c r="CU11" t="s">
        <v>423</v>
      </c>
    </row>
    <row r="12" spans="1:113" x14ac:dyDescent="0.25">
      <c r="A12" t="s">
        <v>424</v>
      </c>
      <c r="C12" t="s">
        <v>393</v>
      </c>
      <c r="I12">
        <v>1</v>
      </c>
      <c r="K12" s="2"/>
      <c r="L12" s="2"/>
      <c r="O12" t="s">
        <v>394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>
        <v>1</v>
      </c>
      <c r="AJ12" t="s">
        <v>153</v>
      </c>
      <c r="AT12" t="s">
        <v>410</v>
      </c>
      <c r="BD12">
        <v>99</v>
      </c>
      <c r="BS12">
        <v>0.1</v>
      </c>
      <c r="BV12" s="5"/>
      <c r="BW12" s="5"/>
      <c r="BX12" s="5"/>
      <c r="BY12" s="5"/>
      <c r="BZ12" s="5"/>
      <c r="CA12" s="5"/>
      <c r="CB12" s="2"/>
      <c r="CC12" s="2"/>
      <c r="CD12" s="2"/>
      <c r="CE12" s="2"/>
      <c r="CF12" s="2"/>
      <c r="CH12" s="2"/>
      <c r="CI12" s="2"/>
      <c r="CJ12" s="2"/>
      <c r="CK12" s="2"/>
      <c r="CL12" s="2"/>
      <c r="CN12" t="s">
        <v>425</v>
      </c>
      <c r="CR12">
        <v>0.2</v>
      </c>
    </row>
    <row r="13" spans="1:113" x14ac:dyDescent="0.25">
      <c r="A13" t="s">
        <v>426</v>
      </c>
      <c r="C13" t="s">
        <v>393</v>
      </c>
      <c r="I13">
        <v>1</v>
      </c>
      <c r="K13" s="2"/>
      <c r="L13" s="2"/>
      <c r="O13" t="s">
        <v>427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>
        <v>1</v>
      </c>
      <c r="AG13" t="s">
        <v>409</v>
      </c>
      <c r="BD13">
        <v>1</v>
      </c>
      <c r="BS13">
        <v>2.2000000000000002</v>
      </c>
      <c r="BV13" s="5"/>
      <c r="BW13" s="5"/>
      <c r="BX13" s="5"/>
      <c r="BY13" s="5"/>
      <c r="BZ13" s="5"/>
      <c r="CA13" s="5" t="s">
        <v>428</v>
      </c>
      <c r="CB13" s="2" t="s">
        <v>429</v>
      </c>
      <c r="CC13" s="2"/>
      <c r="CD13" s="2"/>
      <c r="CE13" s="2"/>
      <c r="CF13" s="2"/>
      <c r="CH13" s="2"/>
      <c r="CI13" s="2"/>
      <c r="CJ13" s="2"/>
      <c r="CK13" s="2"/>
      <c r="CL13" s="2"/>
      <c r="CM13" t="s">
        <v>430</v>
      </c>
    </row>
    <row r="14" spans="1:113" x14ac:dyDescent="0.25">
      <c r="A14" t="s">
        <v>412</v>
      </c>
      <c r="C14" t="s">
        <v>393</v>
      </c>
      <c r="I14">
        <v>1</v>
      </c>
      <c r="K14" s="2" t="s">
        <v>418</v>
      </c>
      <c r="L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>
        <v>1</v>
      </c>
      <c r="AG14" t="s">
        <v>409</v>
      </c>
      <c r="BD14">
        <v>1</v>
      </c>
      <c r="BS14">
        <v>0.16700000000000001</v>
      </c>
      <c r="BV14" s="5"/>
      <c r="BW14" s="5"/>
      <c r="BX14" s="5"/>
      <c r="BY14" s="5"/>
      <c r="BZ14" s="5"/>
      <c r="CA14" s="5"/>
      <c r="CB14" s="2" t="s">
        <v>431</v>
      </c>
      <c r="CC14" s="2"/>
      <c r="CD14" s="2"/>
      <c r="CE14" s="2"/>
      <c r="CF14" s="2"/>
      <c r="CG14" t="s">
        <v>399</v>
      </c>
      <c r="CH14" s="2"/>
      <c r="CI14" s="2"/>
      <c r="CJ14" s="2"/>
      <c r="CK14" s="2"/>
      <c r="CL14" s="2"/>
      <c r="DD14">
        <v>1</v>
      </c>
      <c r="DF14">
        <v>1</v>
      </c>
      <c r="DG14">
        <v>1</v>
      </c>
      <c r="DH14">
        <v>1</v>
      </c>
    </row>
    <row r="15" spans="1:113" x14ac:dyDescent="0.25">
      <c r="A15" t="s">
        <v>432</v>
      </c>
      <c r="C15" t="s">
        <v>393</v>
      </c>
      <c r="I15">
        <v>1</v>
      </c>
      <c r="K15" s="2" t="s">
        <v>418</v>
      </c>
      <c r="L15" s="2" t="s">
        <v>433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>
        <v>1</v>
      </c>
      <c r="AG15" t="s">
        <v>409</v>
      </c>
      <c r="BD15">
        <v>1</v>
      </c>
      <c r="BS15">
        <v>0.26700000000000002</v>
      </c>
      <c r="BV15" s="5"/>
      <c r="BW15" s="5"/>
      <c r="BX15" s="5"/>
      <c r="BY15" s="5"/>
      <c r="BZ15" s="5"/>
      <c r="CA15" s="5"/>
      <c r="CB15" s="2" t="s">
        <v>434</v>
      </c>
      <c r="CC15" s="2"/>
      <c r="CD15" s="2"/>
      <c r="CE15" s="2"/>
      <c r="CF15" s="2"/>
      <c r="CG15" t="s">
        <v>399</v>
      </c>
      <c r="CH15" s="2"/>
      <c r="CI15" s="2"/>
      <c r="CJ15" s="2"/>
      <c r="CK15" s="2"/>
      <c r="CL15" s="2"/>
      <c r="DD15">
        <v>1</v>
      </c>
      <c r="DF15">
        <v>1</v>
      </c>
      <c r="DG15">
        <v>1</v>
      </c>
      <c r="DH15">
        <v>1</v>
      </c>
    </row>
    <row r="16" spans="1:113" x14ac:dyDescent="0.25"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BV16" s="5"/>
      <c r="BW16" s="5"/>
      <c r="BX16" s="5"/>
      <c r="BY16" s="5"/>
      <c r="BZ16" s="5"/>
      <c r="CA16" s="5"/>
      <c r="CL16" s="2"/>
    </row>
    <row r="17" spans="1:103" x14ac:dyDescent="0.25">
      <c r="A17" t="s">
        <v>435</v>
      </c>
      <c r="C17" t="s">
        <v>393</v>
      </c>
      <c r="K17" s="2" t="s">
        <v>418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AC17">
        <v>1</v>
      </c>
      <c r="AG17" t="s">
        <v>409</v>
      </c>
      <c r="BD17">
        <v>1</v>
      </c>
      <c r="BW17" s="5"/>
      <c r="BX17" s="5"/>
      <c r="BY17" s="5"/>
      <c r="BZ17" s="5"/>
      <c r="CA17" s="5"/>
      <c r="CL17" s="2"/>
      <c r="CN17" t="s">
        <v>436</v>
      </c>
      <c r="CR17">
        <v>1</v>
      </c>
    </row>
    <row r="18" spans="1:103" x14ac:dyDescent="0.25">
      <c r="A18" t="s">
        <v>437</v>
      </c>
      <c r="C18" t="s">
        <v>393</v>
      </c>
      <c r="J18" s="2"/>
      <c r="K18" s="2"/>
      <c r="L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>
        <v>2</v>
      </c>
      <c r="AD18">
        <v>1</v>
      </c>
      <c r="AO18" t="s">
        <v>395</v>
      </c>
      <c r="AT18" t="s">
        <v>438</v>
      </c>
      <c r="AX18" t="s">
        <v>439</v>
      </c>
      <c r="AZ18">
        <v>3.8</v>
      </c>
      <c r="BB18">
        <v>3</v>
      </c>
      <c r="BD18">
        <v>99</v>
      </c>
      <c r="BP18" t="s">
        <v>435</v>
      </c>
      <c r="BS18">
        <v>1</v>
      </c>
      <c r="BW18" s="5"/>
      <c r="BX18" s="5"/>
      <c r="BY18" s="5"/>
      <c r="BZ18" s="5"/>
      <c r="CA18" s="5"/>
      <c r="CB18" s="6" t="s">
        <v>61</v>
      </c>
      <c r="CG18" t="s">
        <v>399</v>
      </c>
      <c r="CW18" t="s">
        <v>440</v>
      </c>
      <c r="CY18" t="s">
        <v>403</v>
      </c>
    </row>
    <row r="19" spans="1:103" x14ac:dyDescent="0.25">
      <c r="A19" t="s">
        <v>441</v>
      </c>
      <c r="C19" s="9" t="s">
        <v>519</v>
      </c>
      <c r="I19">
        <v>1</v>
      </c>
      <c r="K19" s="2" t="s">
        <v>418</v>
      </c>
      <c r="L19" s="2" t="s">
        <v>419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>
        <v>1</v>
      </c>
      <c r="AC19">
        <v>1</v>
      </c>
      <c r="AT19" t="s">
        <v>442</v>
      </c>
      <c r="BD19">
        <v>1</v>
      </c>
      <c r="BW19" s="5"/>
      <c r="BX19" s="5"/>
      <c r="BY19" s="5"/>
      <c r="BZ19" s="5"/>
      <c r="CA19" s="5"/>
      <c r="CL19" s="2"/>
      <c r="CU19" t="s">
        <v>443</v>
      </c>
    </row>
    <row r="20" spans="1:103" x14ac:dyDescent="0.25">
      <c r="A20" t="s">
        <v>444</v>
      </c>
      <c r="C20" t="s">
        <v>393</v>
      </c>
      <c r="I20">
        <v>1</v>
      </c>
      <c r="K20" s="2" t="s">
        <v>418</v>
      </c>
      <c r="L20" s="2" t="s">
        <v>445</v>
      </c>
      <c r="M20" s="2"/>
      <c r="N20" s="2">
        <v>1</v>
      </c>
      <c r="O20" s="2"/>
      <c r="P20" s="2"/>
      <c r="Q20" s="2"/>
      <c r="R20" s="2"/>
      <c r="S20" s="2"/>
      <c r="T20" s="2"/>
      <c r="U20" s="2"/>
      <c r="V20" s="2"/>
      <c r="W20" s="2"/>
      <c r="X20" s="2"/>
      <c r="AC20">
        <v>1</v>
      </c>
      <c r="AJ20" t="s">
        <v>4</v>
      </c>
      <c r="AV20">
        <v>20</v>
      </c>
      <c r="BD20">
        <v>1</v>
      </c>
      <c r="BV20" s="5"/>
      <c r="BW20" s="5"/>
      <c r="BX20" s="5"/>
      <c r="BY20" s="5"/>
      <c r="BZ20" s="5"/>
      <c r="CA20" s="5"/>
      <c r="CN20" t="s">
        <v>430</v>
      </c>
      <c r="CR20">
        <v>1</v>
      </c>
    </row>
    <row r="477" spans="90:90" x14ac:dyDescent="0.25">
      <c r="CL477">
        <v>0.15</v>
      </c>
    </row>
    <row r="479" spans="90:90" x14ac:dyDescent="0.25">
      <c r="CL479">
        <v>0.2</v>
      </c>
    </row>
    <row r="480" spans="90:90" x14ac:dyDescent="0.25">
      <c r="CL480">
        <v>0.1</v>
      </c>
    </row>
    <row r="482" spans="90:90" x14ac:dyDescent="0.25">
      <c r="CL482">
        <v>0.2</v>
      </c>
    </row>
    <row r="489" spans="90:90" x14ac:dyDescent="0.25">
      <c r="CL489">
        <v>1</v>
      </c>
    </row>
    <row r="491" spans="90:90" x14ac:dyDescent="0.25">
      <c r="CL491">
        <v>0.4</v>
      </c>
    </row>
    <row r="492" spans="90:90" x14ac:dyDescent="0.25">
      <c r="CL492">
        <v>0.6</v>
      </c>
    </row>
    <row r="495" spans="90:90" x14ac:dyDescent="0.25">
      <c r="CL495">
        <v>0.5</v>
      </c>
    </row>
    <row r="496" spans="90:90" x14ac:dyDescent="0.25">
      <c r="CL496">
        <v>0.66700000000000004</v>
      </c>
    </row>
    <row r="497" spans="90:90" x14ac:dyDescent="0.25">
      <c r="CL497">
        <v>0.2</v>
      </c>
    </row>
  </sheetData>
  <phoneticPr fontId="12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1"/>
  <sheetViews>
    <sheetView workbookViewId="0">
      <pane xSplit="1" ySplit="3" topLeftCell="G4" activePane="bottomRight" state="frozen"/>
      <selection pane="topRight"/>
      <selection pane="bottomLeft"/>
      <selection pane="bottomRight" activeCell="L14" sqref="L14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L1" t="s">
        <v>452</v>
      </c>
      <c r="M1" t="s">
        <v>453</v>
      </c>
      <c r="N1" t="s">
        <v>454</v>
      </c>
      <c r="O1" t="s">
        <v>455</v>
      </c>
      <c r="P1" t="s">
        <v>456</v>
      </c>
    </row>
    <row r="2" spans="1:17" x14ac:dyDescent="0.25">
      <c r="A2" t="s">
        <v>0</v>
      </c>
      <c r="C2" t="s">
        <v>51</v>
      </c>
      <c r="D2" t="s">
        <v>83</v>
      </c>
      <c r="E2" t="s">
        <v>457</v>
      </c>
      <c r="F2" t="s">
        <v>458</v>
      </c>
      <c r="G2" t="s">
        <v>459</v>
      </c>
      <c r="H2" t="s">
        <v>460</v>
      </c>
      <c r="I2" t="s">
        <v>461</v>
      </c>
      <c r="J2" t="s">
        <v>462</v>
      </c>
      <c r="K2" t="s">
        <v>463</v>
      </c>
      <c r="L2" t="s">
        <v>57</v>
      </c>
      <c r="M2" t="s">
        <v>464</v>
      </c>
      <c r="N2" t="s">
        <v>465</v>
      </c>
      <c r="O2" t="s">
        <v>466</v>
      </c>
      <c r="P2" t="s">
        <v>467</v>
      </c>
      <c r="Q2" t="s">
        <v>361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391</v>
      </c>
      <c r="K3" t="s">
        <v>125</v>
      </c>
      <c r="L3" t="s">
        <v>355</v>
      </c>
      <c r="M3" t="s">
        <v>124</v>
      </c>
      <c r="N3" t="s">
        <v>124</v>
      </c>
      <c r="O3" t="s">
        <v>355</v>
      </c>
      <c r="P3" t="s">
        <v>124</v>
      </c>
      <c r="Q3" t="s">
        <v>134</v>
      </c>
    </row>
    <row r="4" spans="1:17" x14ac:dyDescent="0.25">
      <c r="A4" t="s">
        <v>430</v>
      </c>
      <c r="C4" t="s">
        <v>468</v>
      </c>
      <c r="H4">
        <v>1</v>
      </c>
    </row>
    <row r="6" spans="1:17" x14ac:dyDescent="0.25">
      <c r="A6" t="s">
        <v>394</v>
      </c>
      <c r="C6" t="s">
        <v>241</v>
      </c>
      <c r="H6">
        <v>1</v>
      </c>
      <c r="Q6" t="s">
        <v>469</v>
      </c>
    </row>
    <row r="7" spans="1:17" x14ac:dyDescent="0.25">
      <c r="A7" t="s">
        <v>425</v>
      </c>
      <c r="C7" t="s">
        <v>468</v>
      </c>
      <c r="H7">
        <v>1</v>
      </c>
    </row>
    <row r="270" spans="16:16" x14ac:dyDescent="0.25">
      <c r="P270">
        <v>1</v>
      </c>
    </row>
    <row r="271" spans="16:16" x14ac:dyDescent="0.25">
      <c r="P271">
        <v>1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D13" sqref="D13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470</v>
      </c>
    </row>
    <row r="2" spans="1:4" x14ac:dyDescent="0.25">
      <c r="A2" t="s">
        <v>0</v>
      </c>
      <c r="B2" t="s">
        <v>51</v>
      </c>
      <c r="C2" t="s">
        <v>471</v>
      </c>
      <c r="D2" t="s">
        <v>361</v>
      </c>
    </row>
    <row r="3" spans="1:4" x14ac:dyDescent="0.25">
      <c r="A3" t="s">
        <v>2</v>
      </c>
      <c r="B3" t="s">
        <v>2</v>
      </c>
      <c r="C3" t="s">
        <v>355</v>
      </c>
      <c r="D3" t="s">
        <v>134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workbookViewId="0">
      <selection activeCell="I1" sqref="I1:I1048576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10" width="9" customWidth="1"/>
  </cols>
  <sheetData>
    <row r="1" spans="1:10" x14ac:dyDescent="0.25">
      <c r="I1" t="s">
        <v>246</v>
      </c>
    </row>
    <row r="2" spans="1:10" x14ac:dyDescent="0.25">
      <c r="A2" t="s">
        <v>0</v>
      </c>
      <c r="B2" t="s">
        <v>51</v>
      </c>
      <c r="C2" t="s">
        <v>53</v>
      </c>
      <c r="D2" t="s">
        <v>472</v>
      </c>
      <c r="E2" t="s">
        <v>76</v>
      </c>
      <c r="F2" t="s">
        <v>473</v>
      </c>
      <c r="G2" t="s">
        <v>474</v>
      </c>
      <c r="H2" t="s">
        <v>475</v>
      </c>
      <c r="I2" t="s">
        <v>350</v>
      </c>
      <c r="J2" t="s">
        <v>361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390</v>
      </c>
      <c r="J3" t="s">
        <v>134</v>
      </c>
    </row>
  </sheetData>
  <phoneticPr fontId="12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D14" sqref="D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476</v>
      </c>
      <c r="C1" t="s">
        <v>477</v>
      </c>
      <c r="D1" t="s">
        <v>478</v>
      </c>
      <c r="E1" t="s">
        <v>479</v>
      </c>
      <c r="F1" t="s">
        <v>480</v>
      </c>
      <c r="H1" t="s">
        <v>481</v>
      </c>
      <c r="I1" t="s">
        <v>482</v>
      </c>
      <c r="J1" t="s">
        <v>483</v>
      </c>
      <c r="K1" t="s">
        <v>484</v>
      </c>
      <c r="L1" t="s">
        <v>485</v>
      </c>
    </row>
    <row r="2" spans="1:12" x14ac:dyDescent="0.25">
      <c r="A2" t="s">
        <v>0</v>
      </c>
      <c r="B2" t="s">
        <v>486</v>
      </c>
      <c r="C2" t="s">
        <v>487</v>
      </c>
      <c r="D2" t="s">
        <v>488</v>
      </c>
      <c r="E2" t="s">
        <v>489</v>
      </c>
      <c r="F2" t="s">
        <v>490</v>
      </c>
      <c r="G2" t="s">
        <v>491</v>
      </c>
      <c r="H2" t="s">
        <v>492</v>
      </c>
      <c r="I2" t="s">
        <v>493</v>
      </c>
      <c r="J2" t="s">
        <v>494</v>
      </c>
      <c r="K2" t="s">
        <v>473</v>
      </c>
      <c r="L2" t="s">
        <v>103</v>
      </c>
    </row>
    <row r="3" spans="1:12" x14ac:dyDescent="0.25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</sheetData>
  <phoneticPr fontId="12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271</v>
      </c>
      <c r="C2" t="s">
        <v>83</v>
      </c>
      <c r="D2" t="s">
        <v>495</v>
      </c>
      <c r="E2" t="s">
        <v>496</v>
      </c>
      <c r="F2" t="s">
        <v>85</v>
      </c>
      <c r="G2" t="s">
        <v>497</v>
      </c>
      <c r="H2" t="s">
        <v>299</v>
      </c>
      <c r="I2" t="s">
        <v>498</v>
      </c>
      <c r="J2" t="s">
        <v>58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127</v>
      </c>
      <c r="F3" s="1" t="s">
        <v>128</v>
      </c>
      <c r="G3" s="1" t="s">
        <v>127</v>
      </c>
      <c r="H3" s="1" t="s">
        <v>499</v>
      </c>
      <c r="I3" s="1" t="s">
        <v>127</v>
      </c>
      <c r="J3" s="1" t="s">
        <v>127</v>
      </c>
    </row>
  </sheetData>
  <phoneticPr fontId="1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x14ac:dyDescent="0.25">
      <c r="A1" t="s">
        <v>0</v>
      </c>
      <c r="B1" t="s">
        <v>500</v>
      </c>
      <c r="C1" t="s">
        <v>501</v>
      </c>
      <c r="D1" t="s">
        <v>502</v>
      </c>
      <c r="E1" t="s">
        <v>503</v>
      </c>
      <c r="F1" t="s">
        <v>504</v>
      </c>
      <c r="G1" t="s">
        <v>505</v>
      </c>
      <c r="H1" t="s">
        <v>506</v>
      </c>
      <c r="I1" t="s">
        <v>507</v>
      </c>
    </row>
    <row r="2" spans="1:9" x14ac:dyDescent="0.25">
      <c r="A2" t="s">
        <v>0</v>
      </c>
      <c r="B2" t="s">
        <v>508</v>
      </c>
      <c r="C2" t="s">
        <v>509</v>
      </c>
      <c r="D2" t="s">
        <v>510</v>
      </c>
      <c r="E2" t="s">
        <v>511</v>
      </c>
      <c r="F2" t="s">
        <v>512</v>
      </c>
      <c r="G2" t="s">
        <v>513</v>
      </c>
      <c r="H2" t="s">
        <v>514</v>
      </c>
      <c r="I2" t="s">
        <v>515</v>
      </c>
    </row>
    <row r="3" spans="1:9" x14ac:dyDescent="0.25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s="1" customFormat="1" x14ac:dyDescent="0.25">
      <c r="A4" s="1" t="s">
        <v>154</v>
      </c>
      <c r="B4" s="1">
        <v>1</v>
      </c>
      <c r="C4" s="1">
        <v>1</v>
      </c>
      <c r="D4" s="1" t="s">
        <v>516</v>
      </c>
      <c r="E4" s="1" t="s">
        <v>517</v>
      </c>
      <c r="F4" s="1" t="s">
        <v>518</v>
      </c>
    </row>
  </sheetData>
  <phoneticPr fontId="12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2026-08-26T17:36:42Z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