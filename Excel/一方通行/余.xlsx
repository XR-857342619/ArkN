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7590" activeTab="2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</authors>
  <commentList>
    <comment ref="AK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>
  <authors>
    <author>PC</author>
    <author>Admin</author>
  </authors>
  <commentList>
    <comment ref="AC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1:玩家 2:敌人 3:双方</t>
        </r>
      </text>
    </comment>
    <comment ref="AZ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0:基于单位攻击力
1:基于目标最大生命值
2:固定值
</t>
        </r>
      </text>
    </comment>
    <comment ref="BP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技能持续结束后，将会转变为升级技能</t>
        </r>
      </text>
    </comment>
    <comment ref="CR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0：击中点
1：骨骼点</t>
        </r>
      </text>
    </comment>
    <comment ref="H1" authorId="0">
      <text>
        <r>
          <rPr>
            <b/>
            <sz val="9"/>
            <rFont val="宋体"/>
            <charset val="134"/>
          </rPr>
          <t>Admin:
1会实时更新x缩放</t>
        </r>
        <r>
          <rPr>
            <sz val="9"/>
            <rFont val="宋体"/>
            <charset val="134"/>
          </rPr>
          <t xml:space="preserve">
2跟随使用者
3仅跟随位置
</t>
        </r>
      </text>
    </comment>
    <comment ref="I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0：不修改
1：跟随接收者
2：跟随施法者
</t>
        </r>
      </text>
    </comment>
    <comment ref="J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<sst xmlns="http://schemas.openxmlformats.org/spreadsheetml/2006/main" count="847" uniqueCount="520">
  <si>
    <t>Id</t>
  </si>
  <si>
    <t>units</t>
  </si>
  <si>
    <t>string</t>
  </si>
  <si>
    <t>UnitData[]</t>
  </si>
  <si>
    <t>余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</si>
  <si>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</si>
  <si>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</si>
  <si>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</si>
  <si>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</si>
  <si>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</si>
  <si>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</si>
  <si>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</si>
  <si>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</si>
  <si>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</si>
  <si>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</si>
  <si>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</si>
  <si>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</si>
  <si>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</si>
  <si>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</si>
  <si>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</si>
  <si>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</si>
  <si>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</si>
  <si>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</si>
  <si>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</si>
  <si>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</si>
  <si>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</si>
  <si>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</si>
  <si>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</si>
  <si>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</si>
  <si>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</si>
  <si>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</si>
  <si>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</si>
  <si>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</si>
  <si>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</si>
  <si>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</si>
  <si>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</si>
  <si>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</si>
  <si>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</si>
  <si>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</si>
  <si>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</si>
  <si>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</si>
  <si>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</si>
  <si>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</si>
  <si>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</si>
  <si>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</si>
  <si>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</si>
  <si>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</si>
  <si>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</si>
  <si>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</si>
  <si>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</si>
  <si>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</si>
  <si>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</si>
  <si>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</si>
  <si>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</si>
  <si>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</si>
  <si>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</si>
  <si>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</si>
  <si>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</si>
  <si>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</si>
  <si>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</si>
  <si>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</si>
  <si>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</si>
  <si>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</si>
  <si>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</si>
  <si>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</si>
  <si>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</si>
  <si>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</si>
  <si>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</si>
  <si>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</si>
  <si>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</si>
  <si>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</si>
  <si>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</si>
  <si>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</si>
  <si>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</si>
  <si>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</si>
  <si>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</si>
  <si>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</si>
  <si>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</si>
  <si>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</si>
  <si>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</si>
  <si>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</si>
  <si>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</si>
  <si>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</si>
  <si>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</si>
  <si>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</si>
  <si>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</si>
  <si>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</si>
  <si>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</si>
  <si>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</si>
  <si>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</si>
  <si>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</si>
  <si>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</si>
  <si>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</si>
  <si>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</si>
  <si>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</si>
  <si>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</si>
  <si>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</si>
  <si>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</si>
  <si>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</si>
  <si>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</si>
  <si>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</si>
  <si>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</si>
  <si>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</si>
  <si>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</si>
  <si>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</si>
  <si>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</si>
  <si>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</si>
  <si>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</si>
  <si>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</si>
  <si>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</si>
  <si>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</si>
  <si>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</si>
  <si>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</si>
  <si>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</si>
  <si>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</si>
  <si>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</si>
  <si>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</si>
  <si>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</si>
  <si>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</si>
  <si>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</si>
  <si>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</si>
  <si>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</si>
  <si>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</si>
  <si>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</si>
  <si>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</si>
  <si>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</si>
  <si>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</si>
  <si>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yu</t>
  </si>
  <si>
    <t>2026</t>
  </si>
  <si>
    <t>Hip</t>
  </si>
  <si>
    <t>余攻击,余天赋一</t>
  </si>
  <si>
    <t>余1,余2,余3</t>
  </si>
  <si>
    <t>重装</t>
  </si>
  <si>
    <t>本源重装</t>
  </si>
  <si>
    <t>211,81,1500,1500</t>
  </si>
  <si>
    <t>近战位</t>
  </si>
  <si>
    <t>近战</t>
  </si>
  <si>
    <t>能够阻挡三个敌人，可以造成元素损伤</t>
  </si>
  <si>
    <t>Default</t>
  </si>
  <si>
    <t>Idle</t>
  </si>
  <si>
    <t>Die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</si>
  <si>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</si>
  <si>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</si>
  <si>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</si>
  <si>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</si>
  <si>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</si>
  <si>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</si>
  <si>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</si>
  <si>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</si>
  <si>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</si>
  <si>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</si>
  <si>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</si>
  <si>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</si>
  <si>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</si>
  <si>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</si>
  <si>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</si>
  <si>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</si>
  <si>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</si>
  <si>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</si>
  <si>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</si>
  <si>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</si>
  <si>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</si>
  <si>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</si>
  <si>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</si>
  <si>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</si>
  <si>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</si>
  <si>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</si>
  <si>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</si>
  <si>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</si>
  <si>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</si>
  <si>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</si>
  <si>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</si>
  <si>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</si>
  <si>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</si>
  <si>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</si>
  <si>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</si>
  <si>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</si>
  <si>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</si>
  <si>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</si>
  <si>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</si>
  <si>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</si>
  <si>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</si>
  <si>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</si>
  <si>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</si>
  <si>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</si>
  <si>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</si>
  <si>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</si>
  <si>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</si>
  <si>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</si>
  <si>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</si>
  <si>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</si>
  <si>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</si>
  <si>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</si>
  <si>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</si>
  <si>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</si>
  <si>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</si>
  <si>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</si>
  <si>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</si>
  <si>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</si>
  <si>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</si>
  <si>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</si>
  <si>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</si>
  <si>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</si>
  <si>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</si>
  <si>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</si>
  <si>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</si>
  <si>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</si>
  <si>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</si>
  <si>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</si>
  <si>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</si>
  <si>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</si>
  <si>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</si>
  <si>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</si>
  <si>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</si>
  <si>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</si>
  <si>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</si>
  <si>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</si>
  <si>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</si>
  <si>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</si>
  <si>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</si>
  <si>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</si>
  <si>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</si>
  <si>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</si>
  <si>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</si>
  <si>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</si>
  <si>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</si>
  <si>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</si>
  <si>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</si>
  <si>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</si>
  <si>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</si>
  <si>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</si>
  <si>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</si>
  <si>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</si>
  <si>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</si>
  <si>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</si>
  <si>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</si>
  <si>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</si>
  <si>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</si>
  <si>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</si>
  <si>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</si>
  <si>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</si>
  <si>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</si>
  <si>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</si>
  <si>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</si>
  <si>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</si>
  <si>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</si>
  <si>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</si>
  <si>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</si>
  <si>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</si>
  <si>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</si>
  <si>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</si>
  <si>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</si>
  <si>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</si>
  <si>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</si>
  <si>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</si>
  <si>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</si>
  <si>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</si>
  <si>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</si>
  <si>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</si>
  <si>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</si>
  <si>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</si>
  <si>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</si>
  <si>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</si>
  <si>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</si>
  <si>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</si>
  <si>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</si>
  <si>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</si>
  <si>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</si>
  <si>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</si>
  <si>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</si>
  <si>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</si>
  <si>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</si>
  <si>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</si>
  <si>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</si>
  <si>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</si>
  <si>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</si>
  <si>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</si>
  <si>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</si>
  <si>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</si>
  <si>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</si>
  <si>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</si>
  <si>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</si>
  <si>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</si>
  <si>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</si>
  <si>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</si>
  <si>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</si>
  <si>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</si>
  <si>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</si>
  <si>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</si>
  <si>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</si>
  <si>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</si>
  <si>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</si>
  <si>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</si>
  <si>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</si>
  <si>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</si>
  <si>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</si>
  <si>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</si>
  <si>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</si>
  <si>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</si>
  <si>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</si>
  <si>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</si>
  <si>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</si>
  <si>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</si>
  <si>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</si>
  <si>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</si>
  <si>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</si>
  <si>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</si>
  <si>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</si>
  <si>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</si>
  <si>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</si>
  <si>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</si>
  <si>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</si>
  <si>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</si>
  <si>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</si>
  <si>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</si>
  <si>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</si>
  <si>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</si>
  <si>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</si>
  <si>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</si>
  <si>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</si>
  <si>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</si>
  <si>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</si>
  <si>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</si>
  <si>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</si>
  <si>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</si>
  <si>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</si>
  <si>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</si>
  <si>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</si>
  <si>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</si>
  <si>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</si>
  <si>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</si>
  <si>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</si>
  <si>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</si>
  <si>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</si>
  <si>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</si>
  <si>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</si>
  <si>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</si>
  <si>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</si>
  <si>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</si>
  <si>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</si>
  <si>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</si>
  <si>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</si>
  <si>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</si>
  <si>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</si>
  <si>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</si>
  <si>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</si>
  <si>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</si>
  <si>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</si>
  <si>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</si>
  <si>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</si>
  <si>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</si>
  <si>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</si>
  <si>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</si>
  <si>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</si>
  <si>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</si>
  <si>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</si>
  <si>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</si>
  <si>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</si>
  <si>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</si>
  <si>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</si>
  <si>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</si>
  <si>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</si>
  <si>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</si>
  <si>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</si>
  <si>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</si>
  <si>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</si>
  <si>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</si>
  <si>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余攻击</t>
  </si>
  <si>
    <t>终点距离</t>
  </si>
  <si>
    <t>0,0</t>
  </si>
  <si>
    <t>Normal</t>
  </si>
  <si>
    <t>跟随攻击</t>
  </si>
  <si>
    <t>火神击中</t>
  </si>
  <si>
    <t>余天赋一</t>
  </si>
  <si>
    <t>普通技能</t>
  </si>
  <si>
    <t>仅自己</t>
  </si>
  <si>
    <t>余阻挡</t>
  </si>
  <si>
    <t>余庇护</t>
  </si>
  <si>
    <t>-0.3,-0.3</t>
  </si>
  <si>
    <t>余损伤</t>
  </si>
  <si>
    <t>Magic</t>
  </si>
  <si>
    <t>{"Fire":0.12}</t>
  </si>
  <si>
    <t>余1</t>
  </si>
  <si>
    <t>今日做东</t>
  </si>
  <si>
    <t>被动效果：自身更容易受到敌人攻击\n生命上限+70%，防御力+70%，每次受到攻击对目标造成相当于余攻击力50%的灼燃损伤</t>
  </si>
  <si>
    <t>skill_icon_skchr_aglina_1</t>
  </si>
  <si>
    <t>充能释放</t>
  </si>
  <si>
    <t>手动</t>
  </si>
  <si>
    <t>余1攻击,余1受击,余1嘲讽</t>
  </si>
  <si>
    <t>受击</t>
  </si>
  <si>
    <t>生命提升,防御提升</t>
  </si>
  <si>
    <t>余1嘲讽</t>
  </si>
  <si>
    <t>余仇恨</t>
  </si>
  <si>
    <t>余1攻击</t>
  </si>
  <si>
    <t>生命提升</t>
  </si>
  <si>
    <t>Skill_1</t>
  </si>
  <si>
    <t>余1受击</t>
  </si>
  <si>
    <t>被动</t>
  </si>
  <si>
    <t>被击</t>
  </si>
  <si>
    <t>{"Fire":0.5}</t>
  </si>
  <si>
    <t>羊普攻击中</t>
  </si>
  <si>
    <t>余2</t>
  </si>
  <si>
    <t>厚礼上宾</t>
  </si>
  <si>
    <t>立即对周围所有敌人造成相当于攻击力100%的法术伤害并将其中的地面可达目标传送至自身位置，阻挡数+2，生命上限+160%，攻击力+290%，普通攻击造成法术伤害</t>
  </si>
  <si>
    <t>skill_icon_skchr_aglina_2</t>
  </si>
  <si>
    <t>0,0#0,-2#-1,-1#0,-1#1,-1#-2,0#-1,0#1,0#2,0#-1,1#0,1#1,1#0,2</t>
  </si>
  <si>
    <t>余2攻击</t>
  </si>
  <si>
    <t>开技能传送</t>
  </si>
  <si>
    <t>自动</t>
  </si>
  <si>
    <r>
      <rPr>
        <sz val="10.5"/>
        <color rgb="FF333639"/>
        <rFont val="Arial"/>
        <charset val="134"/>
      </rPr>
      <t>Skill_2</t>
    </r>
  </si>
  <si>
    <t>生命提升,攻击提升,阻挡变化</t>
  </si>
  <si>
    <t>德克萨斯1范围</t>
  </si>
  <si>
    <t>传送</t>
  </si>
  <si>
    <t>近身</t>
  </si>
  <si>
    <t>{"TargetPos":"useSelfPos","UseMod":"IfCanArrvie"}</t>
  </si>
  <si>
    <t>攻击提升</t>
  </si>
  <si>
    <t>余3</t>
  </si>
  <si>
    <t>灶里乾坤</t>
  </si>
  <si>
    <t>生命上限+110%，攻击力+110%，防御力+110%，将第二天赋效果赋予全场所有干员；生成一面跨越整个战场的火墙，其他友方穿过火墙造成法术伤害时附带相当于余攻击力10%的灼燃损伤，敌方子弹穿过火墙时有20%几率被清除</t>
  </si>
  <si>
    <t>skill_icon_skchr_aglina_3</t>
  </si>
  <si>
    <t>火墙附魔,余3结束,余3攻击</t>
  </si>
  <si>
    <t>余3启动</t>
  </si>
  <si>
    <t>生命提升,攻击提升,防御提升,余3动作</t>
  </si>
  <si>
    <t>火墙附魔</t>
  </si>
  <si>
    <t>余火墙</t>
  </si>
  <si>
    <t>弹道命中</t>
  </si>
  <si>
    <t>{"Fire":0.1}</t>
  </si>
  <si>
    <t>{"DamageTypeLimit":"Magic"}</t>
  </si>
  <si>
    <t>余3攻击</t>
  </si>
  <si>
    <t>Skill_3_Loop</t>
  </si>
  <si>
    <t>Skill_3_Begin</t>
  </si>
  <si>
    <t>余3结束</t>
  </si>
  <si>
    <t>技能结束</t>
  </si>
  <si>
    <t>Skill_3_End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</si>
  <si>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</si>
  <si>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</si>
  <si>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</si>
  <si>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</si>
  <si>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</si>
  <si>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</si>
  <si>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</si>
  <si>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</si>
  <si>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</si>
  <si>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</si>
  <si>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</si>
  <si>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</si>
  <si>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</si>
  <si>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</si>
  <si>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</si>
  <si>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</si>
  <si>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</si>
  <si>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</si>
  <si>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</si>
  <si>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</si>
  <si>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</si>
  <si>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</si>
  <si>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</t>
  </si>
  <si>
    <t>{"t":["NormalDamageReceiveRate","MagicDamageReceiveRate"]}</t>
  </si>
  <si>
    <t>普通Buff</t>
  </si>
  <si>
    <t>{"t":["Hatre"]}</t>
  </si>
  <si>
    <t>余3动作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</si>
  <si>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</si>
  <si>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</si>
  <si>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</si>
  <si>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</si>
  <si>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</si>
  <si>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</si>
  <si>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</si>
  <si>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</si>
  <si>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</si>
  <si>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</si>
  <si>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</si>
  <si>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</si>
  <si>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</si>
  <si>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</si>
  <si>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</si>
  <si>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</si>
  <si>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</si>
  <si>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</si>
  <si>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</si>
  <si>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</si>
  <si>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</si>
  <si>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</si>
  <si>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</si>
  <si>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</si>
  <si>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</si>
  <si>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</si>
  <si>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</si>
  <si>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</si>
  <si>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</si>
  <si>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</si>
  <si>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</si>
  <si>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</si>
  <si>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</si>
  <si>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</si>
  <si>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</si>
  <si>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</si>
  <si>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</si>
  <si>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</si>
  <si>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</si>
  <si>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</si>
  <si>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</si>
  <si>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</si>
  <si>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</si>
  <si>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</si>
  <si>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</si>
  <si>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</si>
  <si>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</si>
  <si>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</si>
  <si>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酒神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</si>
  <si>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</si>
  <si>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</si>
  <si>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</si>
  <si>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</si>
  <si>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</si>
  <si>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</si>
  <si>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本能的召唤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</si>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</sst>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C000"/>
      <name val="宋体"/>
      <charset val="134"/>
      <scheme val="minor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333639"/>
      <name val="Arial"/>
      <charset val="134"/>
    </font>
    <font>
      <sz val="11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49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3" borderId="0" xfId="0" applyFill="1">
      <alignment vertical="center"/>
    </xf>
    <xf numFmtId="0" fontId="4" fillId="3" borderId="0" xfId="0" applyFont="1" applyFill="1">
      <alignment vertical="center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4"/>
  <sheetViews>
    <sheetView workbookViewId="0">
      <selection activeCell="F10" sqref="F10"/>
    </sheetView>
  </sheetViews>
  <sheetFormatPr defaultColWidth="9" defaultRowHeight="14" outlineLevelRow="3" outlineLevelCol="1"/>
  <cols>
    <col min="2" max="2" width="9" customWidth="1"/>
  </cols>
  <sheetData>
    <row r="2" spans="1:2">
      <c r="A2" t="s">
        <v>0</v>
      </c>
      <c r="B2" t="s">
        <v>1</v>
      </c>
    </row>
    <row r="3" spans="1:2">
      <c r="A3" t="s">
        <v>2</v>
      </c>
      <c r="B3" t="s">
        <v>3</v>
      </c>
    </row>
    <row r="4" spans="1:2">
      <c r="A4" t="s">
        <v>4</v>
      </c>
      <c r="B4" t="s">
        <v>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571"/>
  <sheetViews>
    <sheetView workbookViewId="0">
      <pane xSplit="1" ySplit="3" topLeftCell="AA4" activePane="bottomRight" state="frozen"/>
      <selection/>
      <selection pane="topRight"/>
      <selection pane="bottomLeft"/>
      <selection pane="bottomRight" activeCell="AI16" sqref="AI16"/>
    </sheetView>
  </sheetViews>
  <sheetFormatPr defaultColWidth="9" defaultRowHeight="14"/>
  <cols>
    <col min="1" max="1" width="22.5818181818182" customWidth="1"/>
    <col min="4" max="4" width="8.58181818181818" customWidth="1"/>
    <col min="5" max="5" width="5.33636363636364" customWidth="1"/>
    <col min="6" max="6" width="19.5818181818182" customWidth="1"/>
    <col min="7" max="7" width="8.25454545454545" customWidth="1"/>
    <col min="11" max="11" width="6" customWidth="1"/>
    <col min="12" max="12" width="5.54545454545455" customWidth="1"/>
    <col min="13" max="13" width="5.58181818181818" customWidth="1"/>
    <col min="14" max="14" width="4" customWidth="1"/>
    <col min="15" max="15" width="7.75454545454545" customWidth="1"/>
    <col min="16" max="16" width="10.8363636363636" customWidth="1"/>
    <col min="17" max="18" width="3.83636363636364" customWidth="1"/>
    <col min="19" max="20" width="3.58181818181818" customWidth="1"/>
    <col min="21" max="21" width="10.2545454545455" customWidth="1"/>
    <col min="22" max="22" width="9.58181818181818" customWidth="1"/>
    <col min="23" max="23" width="10.7545454545455" customWidth="1"/>
    <col min="24" max="24" width="12.8363636363636" customWidth="1"/>
    <col min="25" max="25" width="13.0818181818182" customWidth="1"/>
    <col min="26" max="26" width="10.7545454545455" customWidth="1"/>
    <col min="29" max="29" width="8" customWidth="1"/>
    <col min="30" max="30" width="17.0818181818182" customWidth="1"/>
    <col min="31" max="31" width="9.75454545454545" customWidth="1"/>
    <col min="32" max="32" width="7.83636363636364" customWidth="1"/>
    <col min="33" max="33" width="15.8363636363636" customWidth="1"/>
    <col min="34" max="34" width="13.8363636363636" customWidth="1"/>
    <col min="35" max="35" width="34.5" customWidth="1"/>
    <col min="36" max="37" width="9.83636363636364" customWidth="1"/>
    <col min="43" max="43" width="12.5" customWidth="1"/>
    <col min="50" max="50" width="24.3363636363636" customWidth="1"/>
    <col min="52" max="52" width="17.7545454545455" customWidth="1"/>
    <col min="53" max="53" width="7.83636363636364" customWidth="1"/>
    <col min="56" max="56" width="24.2545454545455" customWidth="1"/>
    <col min="57" max="57" width="13.2545454545455" customWidth="1"/>
    <col min="58" max="58" width="16.0818181818182" customWidth="1"/>
    <col min="59" max="59" width="8" customWidth="1"/>
    <col min="64" max="64" width="39.5818181818182" customWidth="1"/>
    <col min="65" max="65" width="14" customWidth="1"/>
    <col min="66" max="66" width="14.8363636363636" customWidth="1"/>
    <col min="67" max="70" width="14" customWidth="1"/>
    <col min="71" max="71" width="19.1636363636364" customWidth="1"/>
  </cols>
  <sheetData>
    <row r="1" spans="4:60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2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1">
      <c r="A4" t="s">
        <v>4</v>
      </c>
      <c r="B4" t="s">
        <v>126</v>
      </c>
      <c r="D4" t="s">
        <v>127</v>
      </c>
      <c r="E4" s="10" t="s">
        <v>128</v>
      </c>
      <c r="F4" t="str">
        <f>"char_"&amp;E4&amp;"_"&amp;D4</f>
        <v>char_2026_yu</v>
      </c>
      <c r="G4">
        <v>1</v>
      </c>
      <c r="I4">
        <v>2</v>
      </c>
      <c r="J4">
        <v>90</v>
      </c>
      <c r="K4">
        <v>3903</v>
      </c>
      <c r="M4">
        <v>715</v>
      </c>
      <c r="O4">
        <v>607</v>
      </c>
      <c r="Q4">
        <v>10</v>
      </c>
      <c r="S4">
        <v>24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129</v>
      </c>
      <c r="AI4" t="s">
        <v>130</v>
      </c>
      <c r="AJ4" t="s">
        <v>131</v>
      </c>
      <c r="AN4">
        <v>1</v>
      </c>
      <c r="AO4">
        <v>3</v>
      </c>
      <c r="AP4">
        <v>0.5</v>
      </c>
      <c r="AW4">
        <v>0.25</v>
      </c>
      <c r="BB4" t="s">
        <v>132</v>
      </c>
      <c r="BC4" t="s">
        <v>133</v>
      </c>
      <c r="BD4" t="str">
        <f>"icon_"&amp;D4</f>
        <v>icon_yu</v>
      </c>
      <c r="BE4" t="str">
        <f>"half_"&amp;D4</f>
        <v>half_yu</v>
      </c>
      <c r="BF4" t="str">
        <f>D4</f>
        <v>yu</v>
      </c>
      <c r="BG4" t="s">
        <v>134</v>
      </c>
      <c r="BH4">
        <v>6</v>
      </c>
      <c r="BI4" t="s">
        <v>135</v>
      </c>
      <c r="BJ4" t="s">
        <v>136</v>
      </c>
      <c r="BK4" t="s">
        <v>137</v>
      </c>
      <c r="BM4" t="s">
        <v>138</v>
      </c>
      <c r="BN4" t="s">
        <v>139</v>
      </c>
      <c r="BP4" t="s">
        <v>140</v>
      </c>
      <c r="BQ4" t="s">
        <v>140</v>
      </c>
      <c r="BS4">
        <v>1</v>
      </c>
    </row>
    <row r="6" spans="35:35">
      <c r="AI6" s="2"/>
    </row>
    <row r="7" spans="35:35">
      <c r="AI7" s="2"/>
    </row>
    <row r="8" spans="35:70">
      <c r="AI8" s="2"/>
      <c r="BK8" s="2"/>
      <c r="BR8" s="12"/>
    </row>
    <row r="9" spans="4:70">
      <c r="D9" s="11"/>
      <c r="E9" s="10"/>
      <c r="BO9" s="12"/>
      <c r="BR9" s="12"/>
    </row>
    <row r="10" spans="4:70">
      <c r="D10" s="11"/>
      <c r="E10" s="10"/>
      <c r="BO10" s="12"/>
      <c r="BR10" s="12"/>
    </row>
    <row r="11" spans="4:70">
      <c r="D11" s="11"/>
      <c r="E11" s="10"/>
      <c r="BO11" s="12"/>
      <c r="BR11" s="12"/>
    </row>
    <row r="12" spans="4:70">
      <c r="D12" s="11"/>
      <c r="E12" s="10"/>
      <c r="BO12" s="12"/>
      <c r="BR12" s="12"/>
    </row>
    <row r="13" spans="4:70">
      <c r="D13" s="11"/>
      <c r="E13" s="10"/>
      <c r="BO13" s="12"/>
      <c r="BR13" s="12"/>
    </row>
    <row r="14" spans="4:70">
      <c r="D14" s="11"/>
      <c r="E14" s="10"/>
      <c r="BO14" s="12"/>
      <c r="BR14" s="12"/>
    </row>
    <row r="15" spans="4:70">
      <c r="D15" s="11"/>
      <c r="E15" s="10"/>
      <c r="BO15" s="12"/>
      <c r="BR15" s="12"/>
    </row>
    <row r="16" spans="4:70">
      <c r="D16" s="11"/>
      <c r="E16" s="10"/>
      <c r="BR16" s="12"/>
    </row>
    <row r="17" spans="4:70">
      <c r="D17" s="11"/>
      <c r="E17" s="10"/>
      <c r="BR17" s="12"/>
    </row>
    <row r="18" spans="4:70">
      <c r="D18" s="11"/>
      <c r="E18" s="10"/>
      <c r="BR18" s="12"/>
    </row>
    <row r="19" spans="4:70">
      <c r="D19" s="11"/>
      <c r="E19" s="10"/>
      <c r="BO19" s="12"/>
      <c r="BR19" s="12"/>
    </row>
    <row r="20" spans="4:70">
      <c r="D20" s="11"/>
      <c r="E20" s="10"/>
      <c r="BO20" s="12"/>
      <c r="BR20" s="12"/>
    </row>
    <row r="21" spans="4:70">
      <c r="D21" s="11"/>
      <c r="E21" s="10"/>
      <c r="BO21" s="12"/>
      <c r="BR21" s="12"/>
    </row>
    <row r="22" spans="4:70">
      <c r="D22" s="11"/>
      <c r="E22" s="10"/>
      <c r="BO22" s="12"/>
      <c r="BR22" s="12"/>
    </row>
    <row r="23" spans="4:70">
      <c r="D23" s="11"/>
      <c r="E23" s="10"/>
      <c r="BO23" s="12"/>
      <c r="BR23" s="12"/>
    </row>
    <row r="24" spans="4:70">
      <c r="D24" s="11"/>
      <c r="E24" s="10"/>
      <c r="BO24" s="12"/>
      <c r="BR24" s="12"/>
    </row>
    <row r="25" spans="4:70">
      <c r="D25" s="11"/>
      <c r="E25" s="10"/>
      <c r="BO25" s="12"/>
      <c r="BR25" s="12"/>
    </row>
    <row r="26" spans="4:70">
      <c r="D26" s="11"/>
      <c r="E26" s="10"/>
      <c r="BO26" s="12"/>
      <c r="BR26" s="12"/>
    </row>
    <row r="27" spans="4:70">
      <c r="D27" s="11"/>
      <c r="E27" s="10"/>
      <c r="BO27" s="12"/>
      <c r="BR27" s="12"/>
    </row>
    <row r="28" spans="4:70">
      <c r="D28" s="11"/>
      <c r="E28" s="10"/>
      <c r="BO28" s="12"/>
      <c r="BR28" s="12"/>
    </row>
    <row r="29" spans="4:70">
      <c r="D29" s="11"/>
      <c r="E29" s="10"/>
      <c r="BO29" s="12"/>
      <c r="BR29" s="12"/>
    </row>
    <row r="30" spans="4:70">
      <c r="D30" s="11"/>
      <c r="E30" s="10"/>
      <c r="BO30" s="12"/>
      <c r="BR30" s="12"/>
    </row>
    <row r="31" spans="4:70">
      <c r="D31" s="11"/>
      <c r="E31" s="10"/>
      <c r="BO31" s="12"/>
      <c r="BR31" s="12"/>
    </row>
    <row r="32" spans="4:70">
      <c r="D32" s="11"/>
      <c r="E32" s="10"/>
      <c r="BO32" s="12"/>
      <c r="BR32" s="12"/>
    </row>
    <row r="33" spans="4:70">
      <c r="D33" s="11"/>
      <c r="E33" s="10"/>
      <c r="BO33" s="12"/>
      <c r="BR33" s="12"/>
    </row>
    <row r="34" spans="4:70">
      <c r="D34" s="11"/>
      <c r="E34" s="10"/>
      <c r="BO34" s="12"/>
      <c r="BR34" s="12"/>
    </row>
    <row r="35" spans="4:70">
      <c r="D35" s="11"/>
      <c r="E35" s="10"/>
      <c r="BO35" s="12"/>
      <c r="BR35" s="12"/>
    </row>
    <row r="36" spans="4:70">
      <c r="D36" s="11"/>
      <c r="E36" s="10"/>
      <c r="BO36" s="12"/>
      <c r="BR36" s="12"/>
    </row>
    <row r="37" spans="4:70">
      <c r="D37" s="11"/>
      <c r="E37" s="10"/>
      <c r="BO37" s="12"/>
      <c r="BR37" s="12"/>
    </row>
    <row r="38" spans="4:70">
      <c r="D38" s="11"/>
      <c r="E38" s="10"/>
      <c r="BO38" s="12"/>
      <c r="BR38" s="12"/>
    </row>
    <row r="39" spans="4:70">
      <c r="D39" s="11"/>
      <c r="E39" s="10"/>
      <c r="BO39" s="12"/>
      <c r="BR39" s="12"/>
    </row>
    <row r="40" spans="4:70">
      <c r="D40" s="11"/>
      <c r="E40" s="10"/>
      <c r="BO40" s="12"/>
      <c r="BR40" s="12"/>
    </row>
    <row r="41" spans="4:70">
      <c r="D41" s="11"/>
      <c r="E41" s="10"/>
      <c r="BO41" s="12"/>
      <c r="BR41" s="12"/>
    </row>
    <row r="42" spans="4:70">
      <c r="D42" s="11"/>
      <c r="E42" s="10"/>
      <c r="BO42" s="12"/>
      <c r="BR42" s="12"/>
    </row>
    <row r="43" spans="4:70">
      <c r="D43" s="11"/>
      <c r="E43" s="10"/>
      <c r="BO43" s="12"/>
      <c r="BR43" s="12"/>
    </row>
    <row r="44" spans="4:70">
      <c r="D44" s="11"/>
      <c r="E44" s="10"/>
      <c r="BO44" s="12"/>
      <c r="BR44" s="12"/>
    </row>
    <row r="45" spans="4:70">
      <c r="D45" s="11"/>
      <c r="E45" s="10"/>
      <c r="BO45" s="12"/>
      <c r="BR45" s="12"/>
    </row>
    <row r="46" spans="4:70">
      <c r="D46" s="11"/>
      <c r="E46" s="10"/>
      <c r="BO46" s="12"/>
      <c r="BR46" s="12"/>
    </row>
    <row r="47" spans="4:70">
      <c r="D47" s="11"/>
      <c r="E47" s="10"/>
      <c r="BO47" s="12"/>
      <c r="BR47" s="12"/>
    </row>
    <row r="48" spans="4:70">
      <c r="D48" s="11"/>
      <c r="E48" s="10"/>
      <c r="BO48" s="12"/>
      <c r="BR48" s="12"/>
    </row>
    <row r="49" spans="4:70">
      <c r="D49" s="11"/>
      <c r="E49" s="10"/>
      <c r="BO49" s="12"/>
      <c r="BR49" s="12"/>
    </row>
    <row r="50" spans="4:70">
      <c r="D50" s="11"/>
      <c r="E50" s="10"/>
      <c r="BO50" s="12"/>
      <c r="BR50" s="12"/>
    </row>
    <row r="51" spans="4:70">
      <c r="D51" s="11"/>
      <c r="E51" s="10"/>
      <c r="BO51" s="12"/>
      <c r="BR51" s="12"/>
    </row>
    <row r="52" spans="4:70">
      <c r="D52" s="11"/>
      <c r="E52" s="10"/>
      <c r="BO52" s="12"/>
      <c r="BR52" s="12"/>
    </row>
    <row r="53" spans="4:70">
      <c r="D53" s="11"/>
      <c r="E53" s="10"/>
      <c r="BO53" s="12"/>
      <c r="BR53" s="12"/>
    </row>
    <row r="54" spans="4:70">
      <c r="D54" s="11"/>
      <c r="E54" s="10"/>
      <c r="BO54" s="12"/>
      <c r="BR54" s="12"/>
    </row>
    <row r="55" spans="4:70">
      <c r="D55" s="11"/>
      <c r="E55" s="10"/>
      <c r="BO55" s="12"/>
      <c r="BR55" s="12"/>
    </row>
    <row r="56" spans="4:70">
      <c r="D56" s="11"/>
      <c r="E56" s="10"/>
      <c r="BO56" s="12"/>
      <c r="BR56" s="12"/>
    </row>
    <row r="57" spans="4:70">
      <c r="D57" s="11"/>
      <c r="E57" s="10"/>
      <c r="BO57" s="12"/>
      <c r="BR57" s="12"/>
    </row>
    <row r="58" spans="4:70">
      <c r="D58" s="11"/>
      <c r="E58" s="10"/>
      <c r="BO58" s="12"/>
      <c r="BR58" s="12"/>
    </row>
    <row r="59" spans="4:70">
      <c r="D59" s="11"/>
      <c r="E59" s="10"/>
      <c r="BO59" s="12"/>
      <c r="BR59" s="12"/>
    </row>
    <row r="60" spans="4:70">
      <c r="D60" s="11"/>
      <c r="E60" s="10"/>
      <c r="BO60" s="12"/>
      <c r="BR60" s="12"/>
    </row>
    <row r="61" spans="4:70">
      <c r="D61" s="11"/>
      <c r="E61" s="10"/>
      <c r="BO61" s="12"/>
      <c r="BR61" s="12"/>
    </row>
    <row r="62" spans="4:70">
      <c r="D62" s="11"/>
      <c r="E62" s="10"/>
      <c r="BO62" s="12"/>
      <c r="BR62" s="12"/>
    </row>
    <row r="63" spans="4:70">
      <c r="D63" s="11"/>
      <c r="E63" s="10"/>
      <c r="BO63" s="12"/>
      <c r="BR63" s="12"/>
    </row>
    <row r="64" spans="4:70">
      <c r="D64" s="11"/>
      <c r="E64" s="10"/>
      <c r="BO64" s="12"/>
      <c r="BR64" s="12"/>
    </row>
    <row r="65" spans="4:70">
      <c r="D65" s="11"/>
      <c r="E65" s="10"/>
      <c r="BO65" s="12"/>
      <c r="BR65" s="12"/>
    </row>
    <row r="66" spans="4:70">
      <c r="D66" s="11"/>
      <c r="E66" s="10"/>
      <c r="BO66" s="12"/>
      <c r="BR66" s="12"/>
    </row>
    <row r="67" spans="4:70">
      <c r="D67" s="11"/>
      <c r="E67" s="10"/>
      <c r="BO67" s="12"/>
      <c r="BR67" s="12"/>
    </row>
    <row r="68" spans="4:70">
      <c r="D68" s="11"/>
      <c r="E68" s="10"/>
      <c r="BO68" s="12"/>
      <c r="BR68" s="12"/>
    </row>
    <row r="69" spans="4:70">
      <c r="D69" s="11"/>
      <c r="E69" s="10"/>
      <c r="BO69" s="12"/>
      <c r="BR69" s="12"/>
    </row>
    <row r="70" spans="4:70">
      <c r="D70" s="11"/>
      <c r="E70" s="10"/>
      <c r="BO70" s="12"/>
      <c r="BR70" s="12"/>
    </row>
    <row r="71" spans="4:70">
      <c r="D71" s="11"/>
      <c r="E71" s="10"/>
      <c r="BO71" s="12"/>
      <c r="BR71" s="12"/>
    </row>
    <row r="72" spans="4:70">
      <c r="D72" s="11"/>
      <c r="E72" s="10"/>
      <c r="BO72" s="12"/>
      <c r="BR72" s="12"/>
    </row>
    <row r="73" spans="4:70">
      <c r="D73" s="11"/>
      <c r="E73" s="10"/>
      <c r="BO73" s="12"/>
      <c r="BR73" s="12"/>
    </row>
    <row r="74" spans="4:70">
      <c r="D74" s="11"/>
      <c r="E74" s="10"/>
      <c r="BO74" s="12"/>
      <c r="BR74" s="12"/>
    </row>
    <row r="75" spans="4:70">
      <c r="D75" s="11"/>
      <c r="E75" s="10"/>
      <c r="BO75" s="12"/>
      <c r="BR75" s="12"/>
    </row>
    <row r="76" spans="4:70">
      <c r="D76" s="11"/>
      <c r="E76" s="10"/>
      <c r="BO76" s="12"/>
      <c r="BR76" s="12"/>
    </row>
    <row r="77" spans="4:70">
      <c r="D77" s="11"/>
      <c r="E77" s="10"/>
      <c r="BO77" s="12"/>
      <c r="BR77" s="12"/>
    </row>
    <row r="78" spans="4:70">
      <c r="D78" s="11"/>
      <c r="E78" s="10"/>
      <c r="BO78" s="12"/>
      <c r="BR78" s="12"/>
    </row>
    <row r="79" spans="4:70">
      <c r="D79" s="11"/>
      <c r="E79" s="10"/>
      <c r="BO79" s="12"/>
      <c r="BR79" s="12"/>
    </row>
    <row r="80" spans="4:70">
      <c r="D80" s="11"/>
      <c r="E80" s="10"/>
      <c r="BO80" s="12"/>
      <c r="BR80" s="12"/>
    </row>
    <row r="81" spans="4:70">
      <c r="D81" s="11"/>
      <c r="E81" s="10"/>
      <c r="BO81" s="12"/>
      <c r="BR81" s="12"/>
    </row>
    <row r="82" spans="4:70">
      <c r="D82" s="11"/>
      <c r="E82" s="10"/>
      <c r="BO82" s="12"/>
      <c r="BR82" s="12"/>
    </row>
    <row r="83" spans="4:70">
      <c r="D83" s="11"/>
      <c r="E83" s="10"/>
      <c r="BO83" s="12"/>
      <c r="BR83" s="12"/>
    </row>
    <row r="84" spans="4:70">
      <c r="D84" s="11"/>
      <c r="E84" s="10"/>
      <c r="BO84" s="12"/>
      <c r="BR84" s="12"/>
    </row>
    <row r="85" spans="4:70">
      <c r="D85" s="11"/>
      <c r="E85" s="10"/>
      <c r="BO85" s="12"/>
      <c r="BR85" s="12"/>
    </row>
    <row r="86" spans="4:70">
      <c r="D86" s="11"/>
      <c r="E86" s="10"/>
      <c r="BO86" s="12"/>
      <c r="BR86" s="12"/>
    </row>
    <row r="87" spans="4:70">
      <c r="D87" s="11"/>
      <c r="E87" s="10"/>
      <c r="BO87" s="12"/>
      <c r="BR87" s="12"/>
    </row>
    <row r="88" spans="4:70">
      <c r="D88" s="11"/>
      <c r="E88" s="10"/>
      <c r="BO88" s="12"/>
      <c r="BR88" s="12"/>
    </row>
    <row r="89" spans="4:70">
      <c r="D89" s="11"/>
      <c r="E89" s="10"/>
      <c r="BO89" s="12"/>
      <c r="BR89" s="12"/>
    </row>
    <row r="90" spans="4:70">
      <c r="D90" s="11"/>
      <c r="E90" s="10"/>
      <c r="BO90" s="12"/>
      <c r="BR90" s="12"/>
    </row>
    <row r="91" spans="4:70">
      <c r="D91" s="11"/>
      <c r="E91" s="10"/>
      <c r="BO91" s="12"/>
      <c r="BR91" s="12"/>
    </row>
    <row r="92" spans="4:70">
      <c r="D92" s="11"/>
      <c r="E92" s="10"/>
      <c r="BO92" s="12"/>
      <c r="BR92" s="12"/>
    </row>
    <row r="93" spans="4:70">
      <c r="D93" s="11"/>
      <c r="E93" s="10"/>
      <c r="BO93" s="12"/>
      <c r="BR93" s="12"/>
    </row>
    <row r="94" spans="4:70">
      <c r="D94" s="11"/>
      <c r="E94" s="10"/>
      <c r="BO94" s="12"/>
      <c r="BR94" s="12"/>
    </row>
    <row r="95" spans="4:70">
      <c r="D95" s="11"/>
      <c r="E95" s="10"/>
      <c r="BO95" s="12"/>
      <c r="BR95" s="12"/>
    </row>
    <row r="96" spans="4:70">
      <c r="D96" s="11"/>
      <c r="E96" s="10"/>
      <c r="BO96" s="12"/>
      <c r="BR96" s="12"/>
    </row>
    <row r="97" spans="4:70">
      <c r="D97" s="11"/>
      <c r="E97" s="10"/>
      <c r="BO97" s="12"/>
      <c r="BR97" s="12"/>
    </row>
    <row r="98" spans="4:70">
      <c r="D98" s="11"/>
      <c r="E98" s="10"/>
      <c r="BO98" s="12"/>
      <c r="BR98" s="12"/>
    </row>
    <row r="99" spans="4:70">
      <c r="D99" s="11"/>
      <c r="E99" s="10"/>
      <c r="BO99" s="12"/>
      <c r="BR99" s="12"/>
    </row>
    <row r="100" spans="4:70">
      <c r="D100" s="11"/>
      <c r="E100" s="10"/>
      <c r="BO100" s="12"/>
      <c r="BR100" s="12"/>
    </row>
    <row r="101" spans="4:70">
      <c r="D101" s="11"/>
      <c r="E101" s="10"/>
      <c r="BO101" s="12"/>
      <c r="BR101" s="12"/>
    </row>
    <row r="102" spans="4:70">
      <c r="D102" s="11"/>
      <c r="E102" s="10"/>
      <c r="BO102" s="12"/>
      <c r="BR102" s="12"/>
    </row>
    <row r="103" spans="4:70">
      <c r="D103" s="11"/>
      <c r="E103" s="10"/>
      <c r="BO103" s="12"/>
      <c r="BR103" s="12"/>
    </row>
    <row r="104" spans="4:70">
      <c r="D104" s="11"/>
      <c r="E104" s="10"/>
      <c r="BO104" s="12"/>
      <c r="BR104" s="12"/>
    </row>
    <row r="105" spans="4:70">
      <c r="D105" s="11"/>
      <c r="E105" s="10"/>
      <c r="BO105" s="12"/>
      <c r="BR105" s="12"/>
    </row>
    <row r="106" spans="4:70">
      <c r="D106" s="11"/>
      <c r="E106" s="10"/>
      <c r="BO106" s="12"/>
      <c r="BR106" s="12"/>
    </row>
    <row r="107" spans="4:70">
      <c r="D107" s="11"/>
      <c r="E107" s="10"/>
      <c r="BO107" s="12"/>
      <c r="BR107" s="12"/>
    </row>
    <row r="108" spans="4:70">
      <c r="D108" s="11"/>
      <c r="E108" s="10"/>
      <c r="BO108" s="12"/>
      <c r="BR108" s="12"/>
    </row>
    <row r="109" spans="4:70">
      <c r="D109" s="11"/>
      <c r="E109" s="10"/>
      <c r="BO109" s="12"/>
      <c r="BR109" s="12"/>
    </row>
    <row r="110" spans="4:70">
      <c r="D110" s="11"/>
      <c r="E110" s="10"/>
      <c r="BO110" s="12"/>
      <c r="BR110" s="12"/>
    </row>
    <row r="111" spans="4:70">
      <c r="D111" s="11"/>
      <c r="E111" s="10"/>
      <c r="BO111" s="12"/>
      <c r="BR111" s="12"/>
    </row>
    <row r="112" spans="4:70">
      <c r="D112" s="11"/>
      <c r="E112" s="10"/>
      <c r="BO112" s="12"/>
      <c r="BR112" s="12"/>
    </row>
    <row r="113" spans="4:70">
      <c r="D113" s="11"/>
      <c r="E113" s="10"/>
      <c r="BO113" s="12"/>
      <c r="BR113" s="12"/>
    </row>
    <row r="114" spans="4:70">
      <c r="D114" s="11"/>
      <c r="E114" s="10"/>
      <c r="BO114" s="12"/>
      <c r="BR114" s="12"/>
    </row>
    <row r="115" spans="4:70">
      <c r="D115" s="11"/>
      <c r="E115" s="10"/>
      <c r="BO115" s="12"/>
      <c r="BR115" s="12"/>
    </row>
    <row r="116" spans="4:70">
      <c r="D116" s="11"/>
      <c r="E116" s="10"/>
      <c r="BO116" s="12"/>
      <c r="BR116" s="12"/>
    </row>
    <row r="117" spans="4:70">
      <c r="D117" s="11"/>
      <c r="E117" s="10"/>
      <c r="BO117" s="12"/>
      <c r="BR117" s="12"/>
    </row>
    <row r="118" spans="4:70">
      <c r="D118" s="11"/>
      <c r="E118" s="10"/>
      <c r="BO118" s="12"/>
      <c r="BR118" s="12"/>
    </row>
    <row r="119" spans="4:70">
      <c r="D119" s="11"/>
      <c r="E119" s="10"/>
      <c r="BO119" s="12"/>
      <c r="BR119" s="12"/>
    </row>
    <row r="120" spans="4:70">
      <c r="D120" s="11"/>
      <c r="E120" s="10"/>
      <c r="BO120" s="12"/>
      <c r="BR120" s="12"/>
    </row>
    <row r="121" spans="4:70">
      <c r="D121" s="11"/>
      <c r="E121" s="10"/>
      <c r="BO121" s="12"/>
      <c r="BR121" s="12"/>
    </row>
    <row r="122" spans="4:70">
      <c r="D122" s="11"/>
      <c r="E122" s="10"/>
      <c r="BO122" s="12"/>
      <c r="BR122" s="12"/>
    </row>
    <row r="123" spans="4:70">
      <c r="D123" s="11"/>
      <c r="E123" s="10"/>
      <c r="BO123" s="12"/>
      <c r="BR123" s="12"/>
    </row>
    <row r="124" spans="4:70">
      <c r="D124" s="11"/>
      <c r="E124" s="10"/>
      <c r="BO124" s="12"/>
      <c r="BR124" s="12"/>
    </row>
    <row r="125" spans="4:70">
      <c r="D125" s="11"/>
      <c r="E125" s="10"/>
      <c r="BO125" s="12"/>
      <c r="BR125" s="12"/>
    </row>
    <row r="126" spans="4:70">
      <c r="D126" s="11"/>
      <c r="E126" s="10"/>
      <c r="BO126" s="12"/>
      <c r="BR126" s="12"/>
    </row>
    <row r="127" spans="4:70">
      <c r="D127" s="11"/>
      <c r="E127" s="10"/>
      <c r="BO127" s="12"/>
      <c r="BR127" s="12"/>
    </row>
    <row r="128" spans="4:70">
      <c r="D128" s="11"/>
      <c r="E128" s="10"/>
      <c r="BO128" s="12"/>
      <c r="BR128" s="12"/>
    </row>
    <row r="129" spans="4:70">
      <c r="D129" s="11"/>
      <c r="E129" s="10"/>
      <c r="BO129" s="12"/>
      <c r="BR129" s="12"/>
    </row>
    <row r="130" spans="4:70">
      <c r="D130" s="11"/>
      <c r="E130" s="10"/>
      <c r="BO130" s="12"/>
      <c r="BR130" s="12"/>
    </row>
    <row r="131" spans="4:70">
      <c r="D131" s="11"/>
      <c r="E131" s="10"/>
      <c r="BO131" s="12"/>
      <c r="BR131" s="12"/>
    </row>
    <row r="132" spans="4:70">
      <c r="D132" s="11"/>
      <c r="E132" s="10"/>
      <c r="BO132" s="12"/>
      <c r="BR132" s="12"/>
    </row>
    <row r="133" spans="4:70">
      <c r="D133" s="11"/>
      <c r="E133" s="10"/>
      <c r="BO133" s="12"/>
      <c r="BR133" s="12"/>
    </row>
    <row r="134" spans="4:70">
      <c r="D134" s="11"/>
      <c r="E134" s="10"/>
      <c r="BO134" s="12"/>
      <c r="BR134" s="12"/>
    </row>
    <row r="135" spans="4:70">
      <c r="D135" s="11"/>
      <c r="E135" s="10"/>
      <c r="BO135" s="12"/>
      <c r="BR135" s="12"/>
    </row>
    <row r="136" spans="4:70">
      <c r="D136" s="11"/>
      <c r="E136" s="10"/>
      <c r="BO136" s="12"/>
      <c r="BR136" s="12"/>
    </row>
    <row r="137" spans="4:70">
      <c r="D137" s="11"/>
      <c r="E137" s="10"/>
      <c r="BO137" s="12"/>
      <c r="BR137" s="12"/>
    </row>
    <row r="138" spans="4:70">
      <c r="D138" s="11"/>
      <c r="E138" s="10"/>
      <c r="BO138" s="12"/>
      <c r="BR138" s="12"/>
    </row>
    <row r="139" spans="4:70">
      <c r="D139" s="11"/>
      <c r="E139" s="10"/>
      <c r="BO139" s="12"/>
      <c r="BR139" s="12"/>
    </row>
    <row r="140" spans="4:70">
      <c r="D140" s="11"/>
      <c r="E140" s="10"/>
      <c r="BO140" s="12"/>
      <c r="BR140" s="12"/>
    </row>
    <row r="141" spans="4:70">
      <c r="D141" s="11"/>
      <c r="E141" s="10"/>
      <c r="BO141" s="12"/>
      <c r="BR141" s="12"/>
    </row>
    <row r="142" spans="4:70">
      <c r="D142" s="11"/>
      <c r="E142" s="10"/>
      <c r="BO142" s="12"/>
      <c r="BR142" s="12"/>
    </row>
    <row r="143" spans="4:70">
      <c r="D143" s="11"/>
      <c r="E143" s="10"/>
      <c r="BO143" s="12"/>
      <c r="BR143" s="12"/>
    </row>
    <row r="144" spans="4:70">
      <c r="D144" s="11"/>
      <c r="E144" s="10"/>
      <c r="BO144" s="12"/>
      <c r="BR144" s="12"/>
    </row>
    <row r="145" spans="4:70">
      <c r="D145" s="11"/>
      <c r="E145" s="10"/>
      <c r="BO145" s="12"/>
      <c r="BR145" s="12"/>
    </row>
    <row r="146" spans="4:70">
      <c r="D146" s="11"/>
      <c r="E146" s="10"/>
      <c r="BO146" s="12"/>
      <c r="BR146" s="12"/>
    </row>
    <row r="147" spans="4:70">
      <c r="D147" s="11"/>
      <c r="E147" s="10"/>
      <c r="BO147" s="12"/>
      <c r="BR147" s="12"/>
    </row>
    <row r="148" spans="4:70">
      <c r="D148" s="11"/>
      <c r="E148" s="10"/>
      <c r="BO148" s="12"/>
      <c r="BR148" s="12"/>
    </row>
    <row r="149" spans="4:70">
      <c r="D149" s="11"/>
      <c r="E149" s="10"/>
      <c r="BO149" s="12"/>
      <c r="BR149" s="12"/>
    </row>
    <row r="150" spans="4:70">
      <c r="D150" s="11"/>
      <c r="E150" s="10"/>
      <c r="BO150" s="12"/>
      <c r="BR150" s="12"/>
    </row>
    <row r="151" spans="4:70">
      <c r="D151" s="11"/>
      <c r="E151" s="10"/>
      <c r="BO151" s="12"/>
      <c r="BR151" s="12"/>
    </row>
    <row r="152" spans="4:70">
      <c r="D152" s="11"/>
      <c r="E152" s="10"/>
      <c r="BO152" s="12"/>
      <c r="BR152" s="12"/>
    </row>
    <row r="153" spans="4:70">
      <c r="D153" s="11"/>
      <c r="E153" s="10"/>
      <c r="BO153" s="12"/>
      <c r="BR153" s="12"/>
    </row>
    <row r="154" spans="4:70">
      <c r="D154" s="11"/>
      <c r="E154" s="10"/>
      <c r="BO154" s="12"/>
      <c r="BR154" s="12"/>
    </row>
    <row r="155" spans="4:70">
      <c r="D155" s="11"/>
      <c r="E155" s="10"/>
      <c r="BO155" s="12"/>
      <c r="BR155" s="12"/>
    </row>
    <row r="156" spans="4:70">
      <c r="D156" s="11"/>
      <c r="E156" s="10"/>
      <c r="BO156" s="12"/>
      <c r="BR156" s="12"/>
    </row>
    <row r="157" spans="4:70">
      <c r="D157" s="11"/>
      <c r="E157" s="10"/>
      <c r="BO157" s="12"/>
      <c r="BR157" s="12"/>
    </row>
    <row r="158" spans="4:70">
      <c r="D158" s="11"/>
      <c r="E158" s="10"/>
      <c r="BO158" s="12"/>
      <c r="BR158" s="12"/>
    </row>
    <row r="159" spans="4:70">
      <c r="D159" s="11"/>
      <c r="E159" s="10"/>
      <c r="BO159" s="12"/>
      <c r="BR159" s="12"/>
    </row>
    <row r="160" spans="4:70">
      <c r="D160" s="11"/>
      <c r="E160" s="10"/>
      <c r="BO160" s="12"/>
      <c r="BR160" s="12"/>
    </row>
    <row r="161" spans="4:70">
      <c r="D161" s="11"/>
      <c r="E161" s="10"/>
      <c r="BO161" s="12"/>
      <c r="BR161" s="12"/>
    </row>
    <row r="162" spans="4:70">
      <c r="D162" s="11"/>
      <c r="E162" s="10"/>
      <c r="BO162" s="12"/>
      <c r="BR162" s="12"/>
    </row>
    <row r="163" spans="4:70">
      <c r="D163" s="11"/>
      <c r="E163" s="10"/>
      <c r="BO163" s="12"/>
      <c r="BR163" s="12"/>
    </row>
    <row r="164" spans="4:70">
      <c r="D164" s="11"/>
      <c r="E164" s="10"/>
      <c r="BO164" s="12"/>
      <c r="BR164" s="12"/>
    </row>
    <row r="165" spans="4:70">
      <c r="D165" s="11"/>
      <c r="E165" s="10"/>
      <c r="BO165" s="12"/>
      <c r="BR165" s="12"/>
    </row>
    <row r="166" spans="4:70">
      <c r="D166" s="11"/>
      <c r="E166" s="10"/>
      <c r="BO166" s="12"/>
      <c r="BR166" s="12"/>
    </row>
    <row r="167" spans="4:70">
      <c r="D167" s="11"/>
      <c r="E167" s="10"/>
      <c r="BO167" s="12"/>
      <c r="BR167" s="12"/>
    </row>
    <row r="168" spans="4:70">
      <c r="D168" s="11"/>
      <c r="E168" s="10"/>
      <c r="BO168" s="12"/>
      <c r="BR168" s="12"/>
    </row>
    <row r="169" spans="4:70">
      <c r="D169" s="11"/>
      <c r="E169" s="10"/>
      <c r="BO169" s="12"/>
      <c r="BR169" s="12"/>
    </row>
    <row r="170" spans="4:70">
      <c r="D170" s="11"/>
      <c r="E170" s="10"/>
      <c r="BO170" s="12"/>
      <c r="BR170" s="12"/>
    </row>
    <row r="171" spans="4:70">
      <c r="D171" s="11"/>
      <c r="E171" s="10"/>
      <c r="BO171" s="12"/>
      <c r="BR171" s="12"/>
    </row>
    <row r="172" spans="4:70">
      <c r="D172" s="11"/>
      <c r="E172" s="10"/>
      <c r="BO172" s="12"/>
      <c r="BR172" s="12"/>
    </row>
    <row r="173" spans="4:70">
      <c r="D173" s="11"/>
      <c r="E173" s="10"/>
      <c r="BO173" s="12"/>
      <c r="BR173" s="12"/>
    </row>
    <row r="174" spans="4:70">
      <c r="D174" s="11"/>
      <c r="E174" s="10"/>
      <c r="BO174" s="12"/>
      <c r="BR174" s="12"/>
    </row>
    <row r="175" spans="4:70">
      <c r="D175" s="11"/>
      <c r="E175" s="10"/>
      <c r="BO175" s="12"/>
      <c r="BR175" s="12"/>
    </row>
    <row r="176" spans="4:70">
      <c r="D176" s="11"/>
      <c r="E176" s="10"/>
      <c r="BO176" s="12"/>
      <c r="BR176" s="12"/>
    </row>
    <row r="177" spans="4:70">
      <c r="D177" s="11"/>
      <c r="E177" s="10"/>
      <c r="BO177" s="12"/>
      <c r="BR177" s="12"/>
    </row>
    <row r="178" spans="4:70">
      <c r="D178" s="11"/>
      <c r="E178" s="10"/>
      <c r="BO178" s="12"/>
      <c r="BR178" s="12"/>
    </row>
    <row r="179" spans="4:70">
      <c r="D179" s="11"/>
      <c r="E179" s="10"/>
      <c r="BO179" s="12"/>
      <c r="BR179" s="12"/>
    </row>
    <row r="180" spans="4:70">
      <c r="D180" s="11"/>
      <c r="E180" s="10"/>
      <c r="BO180" s="12"/>
      <c r="BR180" s="12"/>
    </row>
    <row r="181" spans="4:70">
      <c r="D181" s="11"/>
      <c r="E181" s="10"/>
      <c r="BO181" s="12"/>
      <c r="BR181" s="12"/>
    </row>
    <row r="182" spans="4:70">
      <c r="D182" s="11"/>
      <c r="E182" s="10"/>
      <c r="BO182" s="12"/>
      <c r="BR182" s="12"/>
    </row>
    <row r="183" spans="4:70">
      <c r="D183" s="11"/>
      <c r="E183" s="10"/>
      <c r="BO183" s="12"/>
      <c r="BR183" s="12"/>
    </row>
    <row r="184" spans="4:70">
      <c r="D184" s="11"/>
      <c r="E184" s="10"/>
      <c r="BO184" s="12"/>
      <c r="BR184" s="12"/>
    </row>
    <row r="185" spans="4:70">
      <c r="D185" s="11"/>
      <c r="E185" s="10"/>
      <c r="BO185" s="12"/>
      <c r="BR185" s="12"/>
    </row>
    <row r="186" spans="4:70">
      <c r="D186" s="11"/>
      <c r="E186" s="10"/>
      <c r="BO186" s="12"/>
      <c r="BR186" s="12"/>
    </row>
    <row r="187" spans="4:70">
      <c r="D187" s="11"/>
      <c r="E187" s="10"/>
      <c r="BO187" s="12"/>
      <c r="BR187" s="12"/>
    </row>
    <row r="188" spans="4:70">
      <c r="D188" s="11"/>
      <c r="E188" s="10"/>
      <c r="BO188" s="12"/>
      <c r="BR188" s="12"/>
    </row>
    <row r="189" spans="4:70">
      <c r="D189" s="11"/>
      <c r="E189" s="10"/>
      <c r="BO189" s="12"/>
      <c r="BR189" s="12"/>
    </row>
    <row r="190" spans="4:70">
      <c r="D190" s="11"/>
      <c r="E190" s="10"/>
      <c r="BO190" s="12"/>
      <c r="BR190" s="12"/>
    </row>
    <row r="191" spans="4:70">
      <c r="D191" s="11"/>
      <c r="E191" s="10"/>
      <c r="BO191" s="12"/>
      <c r="BR191" s="12"/>
    </row>
    <row r="192" spans="4:70">
      <c r="D192" s="11"/>
      <c r="E192" s="10"/>
      <c r="BO192" s="12"/>
      <c r="BR192" s="12"/>
    </row>
    <row r="193" spans="4:70">
      <c r="D193" s="11"/>
      <c r="E193" s="10"/>
      <c r="BO193" s="12"/>
      <c r="BR193" s="12"/>
    </row>
    <row r="194" spans="4:70">
      <c r="D194" s="11"/>
      <c r="E194" s="10"/>
      <c r="BO194" s="12"/>
      <c r="BR194" s="12"/>
    </row>
    <row r="195" spans="4:70">
      <c r="D195" s="11"/>
      <c r="E195" s="10"/>
      <c r="BO195" s="12"/>
      <c r="BR195" s="12"/>
    </row>
    <row r="196" spans="4:70">
      <c r="D196" s="11"/>
      <c r="E196" s="10"/>
      <c r="BO196" s="12"/>
      <c r="BR196" s="12"/>
    </row>
    <row r="197" spans="4:70">
      <c r="D197" s="11"/>
      <c r="E197" s="10"/>
      <c r="BO197" s="12"/>
      <c r="BR197" s="12"/>
    </row>
    <row r="198" spans="4:70">
      <c r="D198" s="11"/>
      <c r="E198" s="10"/>
      <c r="BO198" s="12"/>
      <c r="BR198" s="12"/>
    </row>
    <row r="199" spans="4:70">
      <c r="D199" s="11"/>
      <c r="E199" s="10"/>
      <c r="BO199" s="12"/>
      <c r="BR199" s="12"/>
    </row>
    <row r="200" spans="4:70">
      <c r="D200" s="11"/>
      <c r="E200" s="10"/>
      <c r="BO200" s="12"/>
      <c r="BR200" s="12"/>
    </row>
    <row r="201" spans="4:70">
      <c r="D201" s="11"/>
      <c r="E201" s="10"/>
      <c r="BO201" s="12"/>
      <c r="BR201" s="12"/>
    </row>
    <row r="202" spans="4:70">
      <c r="D202" s="11"/>
      <c r="E202" s="10"/>
      <c r="BO202" s="12"/>
      <c r="BR202" s="12"/>
    </row>
    <row r="203" spans="4:70">
      <c r="D203" s="11"/>
      <c r="E203" s="10"/>
      <c r="BO203" s="12"/>
      <c r="BR203" s="12"/>
    </row>
    <row r="204" spans="4:70">
      <c r="D204" s="11"/>
      <c r="E204" s="10"/>
      <c r="BO204" s="12"/>
      <c r="BR204" s="12"/>
    </row>
    <row r="205" spans="4:70">
      <c r="D205" s="11"/>
      <c r="E205" s="10"/>
      <c r="BO205" s="12"/>
      <c r="BR205" s="12"/>
    </row>
    <row r="206" spans="4:70">
      <c r="D206" s="11"/>
      <c r="E206" s="10"/>
      <c r="BO206" s="12"/>
      <c r="BR206" s="12"/>
    </row>
    <row r="207" spans="4:70">
      <c r="D207" s="11"/>
      <c r="E207" s="10"/>
      <c r="BO207" s="12"/>
      <c r="BR207" s="12"/>
    </row>
    <row r="208" spans="4:70">
      <c r="D208" s="11"/>
      <c r="E208" s="10"/>
      <c r="BO208" s="12"/>
      <c r="BR208" s="12"/>
    </row>
    <row r="209" spans="4:70">
      <c r="D209" s="11"/>
      <c r="E209" s="10"/>
      <c r="BO209" s="12"/>
      <c r="BR209" s="12"/>
    </row>
    <row r="210" spans="4:70">
      <c r="D210" s="11"/>
      <c r="E210" s="10"/>
      <c r="BO210" s="12"/>
      <c r="BR210" s="12"/>
    </row>
    <row r="211" spans="4:70">
      <c r="D211" s="11"/>
      <c r="E211" s="10"/>
      <c r="BO211" s="12"/>
      <c r="BR211" s="12"/>
    </row>
    <row r="212" spans="4:70">
      <c r="D212" s="11"/>
      <c r="E212" s="10"/>
      <c r="BO212" s="12"/>
      <c r="BR212" s="12"/>
    </row>
    <row r="213" spans="4:70">
      <c r="D213" s="11"/>
      <c r="E213" s="10"/>
      <c r="BO213" s="12"/>
      <c r="BR213" s="12"/>
    </row>
    <row r="214" spans="4:70">
      <c r="D214" s="11"/>
      <c r="E214" s="10"/>
      <c r="BO214" s="12"/>
      <c r="BR214" s="12"/>
    </row>
    <row r="215" spans="4:70">
      <c r="D215" s="11"/>
      <c r="E215" s="10"/>
      <c r="BO215" s="12"/>
      <c r="BR215" s="12"/>
    </row>
    <row r="216" spans="4:70">
      <c r="D216" s="11"/>
      <c r="E216" s="10"/>
      <c r="BR216" s="12"/>
    </row>
    <row r="217" spans="4:70">
      <c r="D217" s="11"/>
      <c r="E217" s="10"/>
      <c r="BO217" s="12"/>
      <c r="BR217" s="12"/>
    </row>
    <row r="218" spans="4:70">
      <c r="D218" s="11"/>
      <c r="E218" s="10"/>
      <c r="BO218" s="12"/>
      <c r="BR218" s="12"/>
    </row>
    <row r="219" spans="4:70">
      <c r="D219" s="11"/>
      <c r="E219" s="10"/>
      <c r="BO219" s="12"/>
      <c r="BR219" s="12"/>
    </row>
    <row r="220" spans="4:70">
      <c r="D220" s="11"/>
      <c r="E220" s="10"/>
      <c r="BO220" s="12"/>
      <c r="BR220" s="12"/>
    </row>
    <row r="221" spans="4:70">
      <c r="D221" s="11"/>
      <c r="E221" s="10"/>
      <c r="BO221" s="12"/>
      <c r="BR221" s="12"/>
    </row>
    <row r="222" spans="4:70">
      <c r="D222" s="11"/>
      <c r="E222" s="10"/>
      <c r="BO222" s="12"/>
      <c r="BR222" s="12"/>
    </row>
    <row r="223" spans="4:70">
      <c r="D223" s="11"/>
      <c r="E223" s="10"/>
      <c r="BO223" s="12"/>
      <c r="BR223" s="12"/>
    </row>
    <row r="224" spans="4:70">
      <c r="D224" s="11"/>
      <c r="E224" s="10"/>
      <c r="BO224" s="12"/>
      <c r="BR224" s="12"/>
    </row>
    <row r="225" spans="4:70">
      <c r="D225" s="11"/>
      <c r="E225" s="10"/>
      <c r="BO225" s="12"/>
      <c r="BR225" s="12"/>
    </row>
    <row r="226" spans="4:70">
      <c r="D226" s="11"/>
      <c r="E226" s="10"/>
      <c r="BO226" s="12"/>
      <c r="BR226" s="12"/>
    </row>
    <row r="227" spans="4:70">
      <c r="D227" s="11"/>
      <c r="E227" s="10"/>
      <c r="BO227" s="12"/>
      <c r="BR227" s="12"/>
    </row>
    <row r="228" spans="4:70">
      <c r="D228" s="11"/>
      <c r="E228" s="10"/>
      <c r="BO228" s="12"/>
      <c r="BR228" s="12"/>
    </row>
    <row r="229" spans="4:70">
      <c r="D229" s="11"/>
      <c r="E229" s="10"/>
      <c r="BO229" s="12"/>
      <c r="BR229" s="12"/>
    </row>
    <row r="230" spans="4:70">
      <c r="D230" s="11"/>
      <c r="E230" s="10"/>
      <c r="BO230" s="12"/>
      <c r="BR230" s="12"/>
    </row>
    <row r="231" spans="4:70">
      <c r="D231" s="11"/>
      <c r="E231" s="10"/>
      <c r="BO231" s="12"/>
      <c r="BR231" s="12"/>
    </row>
    <row r="232" spans="4:70">
      <c r="D232" s="11"/>
      <c r="E232" s="10"/>
      <c r="BO232" s="12"/>
      <c r="BR232" s="12"/>
    </row>
    <row r="233" spans="4:70">
      <c r="D233" s="11"/>
      <c r="E233" s="10"/>
      <c r="BO233" s="12"/>
      <c r="BR233" s="12"/>
    </row>
    <row r="234" spans="4:70">
      <c r="D234" s="11"/>
      <c r="E234" s="10"/>
      <c r="BO234" s="12"/>
      <c r="BR234" s="12"/>
    </row>
    <row r="235" spans="4:70">
      <c r="D235" s="11"/>
      <c r="E235" s="10"/>
      <c r="BO235" s="12"/>
      <c r="BR235" s="12"/>
    </row>
    <row r="236" spans="4:70">
      <c r="D236" s="11"/>
      <c r="E236" s="10"/>
      <c r="BO236" s="12"/>
      <c r="BR236" s="12"/>
    </row>
    <row r="237" spans="4:70">
      <c r="D237" s="11"/>
      <c r="E237" s="10"/>
      <c r="BO237" s="12"/>
      <c r="BR237" s="12"/>
    </row>
    <row r="238" spans="4:70">
      <c r="D238" s="11"/>
      <c r="E238" s="10"/>
      <c r="BO238" s="12"/>
      <c r="BR238" s="12"/>
    </row>
    <row r="239" spans="4:70">
      <c r="D239" s="11"/>
      <c r="E239" s="10"/>
      <c r="BO239" s="12"/>
      <c r="BR239" s="12"/>
    </row>
    <row r="240" spans="4:70">
      <c r="D240" s="11"/>
      <c r="E240" s="10"/>
      <c r="BO240" s="12"/>
      <c r="BR240" s="12"/>
    </row>
    <row r="241" spans="4:70">
      <c r="D241" s="11"/>
      <c r="E241" s="10"/>
      <c r="BO241" s="12"/>
      <c r="BR241" s="12"/>
    </row>
    <row r="242" spans="4:70">
      <c r="D242" s="11"/>
      <c r="E242" s="10"/>
      <c r="BO242" s="12"/>
      <c r="BR242" s="12"/>
    </row>
    <row r="243" spans="4:70">
      <c r="D243" s="11"/>
      <c r="E243" s="10"/>
      <c r="BO243" s="12"/>
      <c r="BR243" s="12"/>
    </row>
    <row r="244" spans="4:70">
      <c r="D244" s="11"/>
      <c r="E244" s="10"/>
      <c r="BO244" s="12"/>
      <c r="BR244" s="12"/>
    </row>
    <row r="245" spans="4:70">
      <c r="D245" s="11"/>
      <c r="E245" s="10"/>
      <c r="BO245" s="12"/>
      <c r="BR245" s="12"/>
    </row>
    <row r="246" spans="4:70">
      <c r="D246" s="11"/>
      <c r="E246" s="10"/>
      <c r="BO246" s="12"/>
      <c r="BR246" s="12"/>
    </row>
    <row r="247" spans="4:70">
      <c r="D247" s="11"/>
      <c r="E247" s="10"/>
      <c r="BO247" s="12"/>
      <c r="BR247" s="12"/>
    </row>
    <row r="248" spans="4:70">
      <c r="D248" s="11"/>
      <c r="E248" s="10"/>
      <c r="BO248" s="12"/>
      <c r="BR248" s="12"/>
    </row>
    <row r="249" spans="4:70">
      <c r="D249" s="11"/>
      <c r="E249" s="10"/>
      <c r="BO249" s="12"/>
      <c r="BR249" s="12"/>
    </row>
    <row r="250" spans="4:70">
      <c r="D250" s="11"/>
      <c r="E250" s="10"/>
      <c r="BO250" s="12"/>
      <c r="BR250" s="12"/>
    </row>
    <row r="251" spans="4:70">
      <c r="D251" s="11"/>
      <c r="E251" s="10"/>
      <c r="BO251" s="12"/>
      <c r="BR251" s="12"/>
    </row>
    <row r="252" spans="4:70">
      <c r="D252" s="11"/>
      <c r="E252" s="10"/>
      <c r="BO252" s="12"/>
      <c r="BR252" s="12"/>
    </row>
    <row r="253" spans="4:70">
      <c r="D253" s="11"/>
      <c r="E253" s="10"/>
      <c r="BO253" s="12"/>
      <c r="BR253" s="12"/>
    </row>
    <row r="254" spans="4:70">
      <c r="D254" s="11"/>
      <c r="E254" s="10"/>
      <c r="BO254" s="12"/>
      <c r="BR254" s="12"/>
    </row>
    <row r="255" spans="4:70">
      <c r="D255" s="11"/>
      <c r="E255" s="10"/>
      <c r="BO255" s="12"/>
      <c r="BR255" s="12"/>
    </row>
    <row r="256" spans="4:70">
      <c r="D256" s="11"/>
      <c r="E256" s="10"/>
      <c r="BO256" s="12"/>
      <c r="BR256" s="12"/>
    </row>
    <row r="257" spans="4:70">
      <c r="D257" s="11"/>
      <c r="E257" s="10"/>
      <c r="BO257" s="12"/>
      <c r="BR257" s="12"/>
    </row>
    <row r="258" spans="4:70">
      <c r="D258" s="11"/>
      <c r="E258" s="10"/>
      <c r="BO258" s="12"/>
      <c r="BR258" s="12"/>
    </row>
    <row r="259" spans="4:70">
      <c r="D259" s="11"/>
      <c r="E259" s="10"/>
      <c r="BR259" s="12"/>
    </row>
    <row r="260" spans="4:70">
      <c r="D260" s="11"/>
      <c r="E260" s="10"/>
      <c r="BO260" s="12"/>
      <c r="BR260" s="12"/>
    </row>
    <row r="261" spans="4:70">
      <c r="D261" s="11"/>
      <c r="E261" s="10"/>
      <c r="BO261" s="12"/>
      <c r="BR261" s="12"/>
    </row>
    <row r="262" spans="4:70">
      <c r="D262" s="11"/>
      <c r="E262" s="10"/>
      <c r="BO262" s="12"/>
      <c r="BR262" s="12"/>
    </row>
    <row r="263" spans="4:70">
      <c r="D263" s="11"/>
      <c r="E263" s="10"/>
      <c r="BO263" s="12"/>
      <c r="BR263" s="12"/>
    </row>
    <row r="264" spans="4:70">
      <c r="D264" s="11"/>
      <c r="E264" s="10"/>
      <c r="BO264" s="12"/>
      <c r="BR264" s="12"/>
    </row>
    <row r="265" spans="4:70">
      <c r="D265" s="11"/>
      <c r="E265" s="10"/>
      <c r="BO265" s="12"/>
      <c r="BR265" s="12"/>
    </row>
    <row r="266" spans="4:70">
      <c r="D266" s="11"/>
      <c r="E266" s="10"/>
      <c r="BO266" s="12"/>
      <c r="BR266" s="12"/>
    </row>
    <row r="267" spans="4:70">
      <c r="D267" s="11"/>
      <c r="E267" s="10"/>
      <c r="BO267" s="12"/>
      <c r="BR267" s="12"/>
    </row>
    <row r="268" spans="4:70">
      <c r="D268" s="11"/>
      <c r="E268" s="10"/>
      <c r="BO268" s="12"/>
      <c r="BR268" s="12"/>
    </row>
    <row r="269" spans="4:70">
      <c r="D269" s="11"/>
      <c r="E269" s="10"/>
      <c r="BO269" s="12"/>
      <c r="BR269" s="12"/>
    </row>
    <row r="270" spans="4:70">
      <c r="D270" s="11"/>
      <c r="E270" s="10"/>
      <c r="BO270" s="12"/>
      <c r="BR270" s="12"/>
    </row>
    <row r="271" spans="4:70">
      <c r="D271" s="11"/>
      <c r="E271" s="10"/>
      <c r="BO271" s="12"/>
      <c r="BR271" s="12"/>
    </row>
    <row r="272" spans="4:70">
      <c r="D272" s="11"/>
      <c r="E272" s="10"/>
      <c r="BO272" s="12"/>
      <c r="BR272" s="12"/>
    </row>
    <row r="273" spans="4:70">
      <c r="D273" s="11"/>
      <c r="E273" s="10"/>
      <c r="BO273" s="12"/>
      <c r="BR273" s="12"/>
    </row>
    <row r="274" spans="4:70">
      <c r="D274" s="11"/>
      <c r="E274" s="10"/>
      <c r="BO274" s="12"/>
      <c r="BR274" s="12"/>
    </row>
    <row r="275" spans="4:70">
      <c r="D275" s="11"/>
      <c r="E275" s="10"/>
      <c r="BO275" s="12"/>
      <c r="BR275" s="12"/>
    </row>
    <row r="276" spans="4:70">
      <c r="D276" s="11"/>
      <c r="E276" s="10"/>
      <c r="BO276" s="12"/>
      <c r="BR276" s="12"/>
    </row>
    <row r="277" spans="4:70">
      <c r="D277" s="11"/>
      <c r="E277" s="10"/>
      <c r="BO277" s="12"/>
      <c r="BR277" s="12"/>
    </row>
    <row r="278" spans="4:70">
      <c r="D278" s="11"/>
      <c r="E278" s="10"/>
      <c r="BO278" s="12"/>
      <c r="BR278" s="12"/>
    </row>
    <row r="279" spans="4:70">
      <c r="D279" s="11"/>
      <c r="E279" s="10"/>
      <c r="BO279" s="12"/>
      <c r="BR279" s="12"/>
    </row>
    <row r="280" spans="4:70">
      <c r="D280" s="11"/>
      <c r="E280" s="10"/>
      <c r="BO280" s="12"/>
      <c r="BR280" s="12"/>
    </row>
    <row r="281" spans="4:70">
      <c r="D281" s="11"/>
      <c r="E281" s="10"/>
      <c r="BO281" s="12"/>
      <c r="BR281" s="12"/>
    </row>
    <row r="282" spans="4:70">
      <c r="D282" s="11"/>
      <c r="E282" s="10"/>
      <c r="BO282" s="12"/>
      <c r="BR282" s="12"/>
    </row>
    <row r="283" spans="4:70">
      <c r="D283" s="11"/>
      <c r="E283" s="10"/>
      <c r="BO283" s="12"/>
      <c r="BR283" s="12"/>
    </row>
    <row r="284" spans="4:70">
      <c r="D284" s="11"/>
      <c r="E284" s="10"/>
      <c r="BO284" s="12"/>
      <c r="BR284" s="12"/>
    </row>
    <row r="285" spans="4:70">
      <c r="D285" s="11"/>
      <c r="E285" s="10"/>
      <c r="BO285" s="12"/>
      <c r="BR285" s="12"/>
    </row>
    <row r="286" spans="4:70">
      <c r="D286" s="11"/>
      <c r="E286" s="10"/>
      <c r="BO286" s="12"/>
      <c r="BR286" s="12"/>
    </row>
    <row r="287" spans="4:70">
      <c r="D287" s="11"/>
      <c r="E287" s="10"/>
      <c r="BO287" s="12"/>
      <c r="BR287" s="12"/>
    </row>
    <row r="288" spans="4:70">
      <c r="D288" s="11"/>
      <c r="E288" s="10"/>
      <c r="BO288" s="12"/>
      <c r="BR288" s="12"/>
    </row>
    <row r="289" spans="4:70">
      <c r="D289" s="11"/>
      <c r="E289" s="10"/>
      <c r="BO289" s="12"/>
      <c r="BR289" s="12"/>
    </row>
    <row r="290" spans="4:70">
      <c r="D290" s="11"/>
      <c r="E290" s="10"/>
      <c r="BO290" s="12"/>
      <c r="BR290" s="12"/>
    </row>
    <row r="291" spans="4:70">
      <c r="D291" s="11"/>
      <c r="E291" s="10"/>
      <c r="BO291" s="12"/>
      <c r="BR291" s="12"/>
    </row>
    <row r="292" spans="4:70">
      <c r="D292" s="11"/>
      <c r="E292" s="10"/>
      <c r="BO292" s="12"/>
      <c r="BR292" s="12"/>
    </row>
    <row r="293" spans="4:70">
      <c r="D293" s="11"/>
      <c r="E293" s="10"/>
      <c r="BO293" s="12"/>
      <c r="BR293" s="12"/>
    </row>
    <row r="294" spans="4:70">
      <c r="D294" s="11"/>
      <c r="E294" s="10"/>
      <c r="BO294" s="12"/>
      <c r="BR294" s="12"/>
    </row>
    <row r="295" spans="4:70">
      <c r="D295" s="11"/>
      <c r="E295" s="10"/>
      <c r="BO295" s="12"/>
      <c r="BR295" s="12"/>
    </row>
    <row r="296" spans="4:70">
      <c r="D296" s="11"/>
      <c r="E296" s="10"/>
      <c r="BO296" s="12"/>
      <c r="BR296" s="12"/>
    </row>
    <row r="297" spans="4:70">
      <c r="D297" s="11"/>
      <c r="E297" s="10"/>
      <c r="BO297" s="12"/>
      <c r="BR297" s="12"/>
    </row>
    <row r="298" spans="4:70">
      <c r="D298" s="11"/>
      <c r="E298" s="10"/>
      <c r="BO298" s="12"/>
      <c r="BR298" s="12"/>
    </row>
    <row r="299" spans="4:70">
      <c r="D299" s="11"/>
      <c r="E299" s="10"/>
      <c r="BO299" s="12"/>
      <c r="BR299" s="12"/>
    </row>
    <row r="300" spans="4:70">
      <c r="D300" s="11"/>
      <c r="E300" s="10"/>
      <c r="BO300" s="12"/>
      <c r="BR300" s="12"/>
    </row>
    <row r="301" spans="4:70">
      <c r="D301" s="11"/>
      <c r="E301" s="10"/>
      <c r="BO301" s="12"/>
      <c r="BR301" s="12"/>
    </row>
    <row r="302" spans="4:70">
      <c r="D302" s="11"/>
      <c r="E302" s="10"/>
      <c r="BO302" s="12"/>
      <c r="BR302" s="12"/>
    </row>
    <row r="303" spans="4:70">
      <c r="D303" s="11"/>
      <c r="E303" s="10"/>
      <c r="BO303" s="12"/>
      <c r="BR303" s="12"/>
    </row>
    <row r="304" spans="4:70">
      <c r="D304" s="11"/>
      <c r="E304" s="10"/>
      <c r="BO304" s="12"/>
      <c r="BR304" s="12"/>
    </row>
    <row r="305" spans="4:70">
      <c r="D305" s="11"/>
      <c r="E305" s="10"/>
      <c r="BO305" s="12"/>
      <c r="BR305" s="12"/>
    </row>
    <row r="306" spans="4:70">
      <c r="D306" s="11"/>
      <c r="E306" s="10"/>
      <c r="BO306" s="12"/>
      <c r="BR306" s="12"/>
    </row>
    <row r="307" spans="4:70">
      <c r="D307" s="11"/>
      <c r="E307" s="10"/>
      <c r="BO307" s="12"/>
      <c r="BR307" s="12"/>
    </row>
    <row r="308" spans="4:70">
      <c r="D308" s="11"/>
      <c r="E308" s="10"/>
      <c r="BO308" s="12"/>
      <c r="BR308" s="12"/>
    </row>
    <row r="309" spans="4:70">
      <c r="D309" s="11"/>
      <c r="E309" s="10"/>
      <c r="BO309" s="12"/>
      <c r="BR309" s="12"/>
    </row>
    <row r="310" spans="4:70">
      <c r="D310" s="11"/>
      <c r="E310" s="10"/>
      <c r="BO310" s="12"/>
      <c r="BR310" s="12"/>
    </row>
    <row r="311" spans="4:70">
      <c r="D311" s="11"/>
      <c r="E311" s="10"/>
      <c r="BO311" s="12"/>
      <c r="BR311" s="12"/>
    </row>
    <row r="312" spans="4:70">
      <c r="D312" s="11"/>
      <c r="E312" s="10"/>
      <c r="BO312" s="12"/>
      <c r="BR312" s="12"/>
    </row>
    <row r="313" spans="4:70">
      <c r="D313" s="11"/>
      <c r="E313" s="10"/>
      <c r="BO313" s="12"/>
      <c r="BR313" s="12"/>
    </row>
    <row r="314" spans="4:70">
      <c r="D314" s="11"/>
      <c r="E314" s="10"/>
      <c r="BO314" s="12"/>
      <c r="BR314" s="12"/>
    </row>
    <row r="315" spans="4:70">
      <c r="D315" s="11"/>
      <c r="E315" s="10"/>
      <c r="BR315" s="12"/>
    </row>
    <row r="316" spans="4:70">
      <c r="D316" s="11"/>
      <c r="E316" s="10"/>
      <c r="BR316" s="12"/>
    </row>
    <row r="317" spans="4:70">
      <c r="D317" s="11"/>
      <c r="E317" s="10"/>
      <c r="BR317" s="12"/>
    </row>
    <row r="318" spans="4:70">
      <c r="D318" s="11"/>
      <c r="E318" s="10"/>
      <c r="BO318" s="12"/>
      <c r="BR318" s="12"/>
    </row>
    <row r="319" spans="4:70">
      <c r="D319" s="11"/>
      <c r="E319" s="10"/>
      <c r="BO319" s="12"/>
      <c r="BR319" s="12"/>
    </row>
    <row r="320" spans="4:70">
      <c r="D320" s="11"/>
      <c r="E320" s="10"/>
      <c r="BO320" s="12"/>
      <c r="BR320" s="12"/>
    </row>
    <row r="321" spans="4:70">
      <c r="D321" s="11"/>
      <c r="E321" s="10"/>
      <c r="BO321" s="12"/>
      <c r="BR321" s="12"/>
    </row>
    <row r="322" spans="4:70">
      <c r="D322" s="11"/>
      <c r="E322" s="10"/>
      <c r="BO322" s="12"/>
      <c r="BR322" s="12"/>
    </row>
    <row r="323" spans="4:70">
      <c r="D323" s="11"/>
      <c r="E323" s="10"/>
      <c r="BO323" s="12"/>
      <c r="BR323" s="12"/>
    </row>
    <row r="324" spans="4:70">
      <c r="D324" s="11"/>
      <c r="E324" s="10"/>
      <c r="BO324" s="12"/>
      <c r="BR324" s="12"/>
    </row>
    <row r="325" spans="4:70">
      <c r="D325" s="11"/>
      <c r="E325" s="10"/>
      <c r="BO325" s="12"/>
      <c r="BR325" s="12"/>
    </row>
    <row r="326" spans="4:70">
      <c r="D326" s="11"/>
      <c r="E326" s="10"/>
      <c r="BO326" s="12"/>
      <c r="BR326" s="12"/>
    </row>
    <row r="327" spans="4:70">
      <c r="D327" s="11"/>
      <c r="E327" s="10"/>
      <c r="BO327" s="12"/>
      <c r="BR327" s="12"/>
    </row>
    <row r="328" spans="4:70">
      <c r="D328" s="11"/>
      <c r="E328" s="10"/>
      <c r="BO328" s="12"/>
      <c r="BR328" s="12"/>
    </row>
    <row r="329" spans="4:70">
      <c r="D329" s="11"/>
      <c r="E329" s="10"/>
      <c r="BO329" s="12"/>
      <c r="BR329" s="12"/>
    </row>
    <row r="330" spans="4:70">
      <c r="D330" s="11"/>
      <c r="E330" s="10"/>
      <c r="BO330" s="12"/>
      <c r="BR330" s="12"/>
    </row>
    <row r="331" spans="4:70">
      <c r="D331" s="11"/>
      <c r="E331" s="10"/>
      <c r="BO331" s="12"/>
      <c r="BR331" s="12"/>
    </row>
    <row r="332" spans="4:70">
      <c r="D332" s="11"/>
      <c r="E332" s="10"/>
      <c r="BO332" s="12"/>
      <c r="BR332" s="12"/>
    </row>
    <row r="333" spans="4:70">
      <c r="D333" s="11"/>
      <c r="E333" s="10"/>
      <c r="BO333" s="12"/>
      <c r="BR333" s="12"/>
    </row>
    <row r="334" spans="4:70">
      <c r="D334" s="11"/>
      <c r="E334" s="10"/>
      <c r="BO334" s="12"/>
      <c r="BR334" s="12"/>
    </row>
    <row r="335" spans="4:70">
      <c r="D335" s="11"/>
      <c r="E335" s="10"/>
      <c r="BO335" s="12"/>
      <c r="BR335" s="12"/>
    </row>
    <row r="336" spans="4:70">
      <c r="D336" s="11"/>
      <c r="E336" s="10"/>
      <c r="BO336" s="12"/>
      <c r="BR336" s="12"/>
    </row>
    <row r="337" spans="4:70">
      <c r="D337" s="11"/>
      <c r="E337" s="10"/>
      <c r="BO337" s="12"/>
      <c r="BR337" s="12"/>
    </row>
    <row r="338" spans="4:70">
      <c r="D338" s="11"/>
      <c r="E338" s="10"/>
      <c r="BO338" s="12"/>
      <c r="BR338" s="12"/>
    </row>
    <row r="339" spans="4:70">
      <c r="D339" s="11"/>
      <c r="E339" s="10"/>
      <c r="BO339" s="12"/>
      <c r="BR339" s="12"/>
    </row>
    <row r="340" spans="4:70">
      <c r="D340" s="11"/>
      <c r="E340" s="10"/>
      <c r="BO340" s="12"/>
      <c r="BR340" s="12"/>
    </row>
    <row r="341" spans="4:70">
      <c r="D341" s="11"/>
      <c r="E341" s="10"/>
      <c r="BO341" s="12"/>
      <c r="BR341" s="12"/>
    </row>
    <row r="342" spans="4:70">
      <c r="D342" s="11"/>
      <c r="E342" s="10"/>
      <c r="BO342" s="12"/>
      <c r="BR342" s="12"/>
    </row>
    <row r="343" spans="4:70">
      <c r="D343" s="11"/>
      <c r="E343" s="10"/>
      <c r="BO343" s="12"/>
      <c r="BR343" s="12"/>
    </row>
    <row r="344" spans="4:70">
      <c r="D344" s="11"/>
      <c r="E344" s="10"/>
      <c r="BO344" s="12"/>
      <c r="BR344" s="12"/>
    </row>
    <row r="345" spans="4:70">
      <c r="D345" s="11"/>
      <c r="E345" s="10"/>
      <c r="BO345" s="12"/>
      <c r="BR345" s="12"/>
    </row>
    <row r="346" spans="4:70">
      <c r="D346" s="11"/>
      <c r="E346" s="10"/>
      <c r="BO346" s="12"/>
      <c r="BR346" s="12"/>
    </row>
    <row r="347" spans="4:70">
      <c r="D347" s="11"/>
      <c r="E347" s="10"/>
      <c r="BO347" s="12"/>
      <c r="BR347" s="12"/>
    </row>
    <row r="348" spans="4:70">
      <c r="D348" s="11"/>
      <c r="E348" s="10"/>
      <c r="BO348" s="12"/>
      <c r="BR348" s="12"/>
    </row>
    <row r="349" spans="4:70">
      <c r="D349" s="11"/>
      <c r="E349" s="10"/>
      <c r="BO349" s="12"/>
      <c r="BR349" s="12"/>
    </row>
    <row r="350" spans="4:70">
      <c r="D350" s="11"/>
      <c r="E350" s="10"/>
      <c r="BO350" s="12"/>
      <c r="BR350" s="12"/>
    </row>
    <row r="351" spans="4:70">
      <c r="D351" s="11"/>
      <c r="E351" s="10"/>
      <c r="BO351" s="12"/>
      <c r="BR351" s="12"/>
    </row>
    <row r="352" spans="4:70">
      <c r="D352" s="11"/>
      <c r="E352" s="10"/>
      <c r="BR352" s="12"/>
    </row>
    <row r="353" spans="4:70">
      <c r="D353" s="11"/>
      <c r="E353" s="10"/>
      <c r="BR353" s="12"/>
    </row>
    <row r="354" spans="4:70">
      <c r="D354" s="11"/>
      <c r="E354" s="10"/>
      <c r="BO354" s="12"/>
      <c r="BR354" s="12"/>
    </row>
    <row r="355" spans="4:70">
      <c r="D355" s="11"/>
      <c r="E355" s="10"/>
      <c r="BO355" s="12"/>
      <c r="BR355" s="12"/>
    </row>
    <row r="356" spans="4:70">
      <c r="D356" s="11"/>
      <c r="E356" s="10"/>
      <c r="BO356" s="12"/>
      <c r="BR356" s="12"/>
    </row>
    <row r="357" spans="4:70">
      <c r="D357" s="11"/>
      <c r="E357" s="10"/>
      <c r="BO357" s="12"/>
      <c r="BR357" s="12"/>
    </row>
    <row r="358" spans="4:70">
      <c r="D358" s="11"/>
      <c r="E358" s="10"/>
      <c r="BO358" s="12"/>
      <c r="BR358" s="12"/>
    </row>
    <row r="359" spans="4:70">
      <c r="D359" s="11"/>
      <c r="E359" s="10"/>
      <c r="BO359" s="12"/>
      <c r="BR359" s="12"/>
    </row>
    <row r="360" spans="4:70">
      <c r="D360" s="11"/>
      <c r="E360" s="10"/>
      <c r="BO360" s="12"/>
      <c r="BR360" s="12"/>
    </row>
    <row r="361" spans="4:70">
      <c r="D361" s="11"/>
      <c r="E361" s="10"/>
      <c r="BO361" s="12"/>
      <c r="BR361" s="12"/>
    </row>
    <row r="362" spans="4:70">
      <c r="D362" s="11"/>
      <c r="E362" s="10"/>
      <c r="BO362" s="12"/>
      <c r="BR362" s="12"/>
    </row>
    <row r="363" spans="4:70">
      <c r="D363" s="11"/>
      <c r="E363" s="10"/>
      <c r="BO363" s="12"/>
      <c r="BR363" s="12"/>
    </row>
    <row r="364" spans="4:70">
      <c r="D364" s="11"/>
      <c r="E364" s="10"/>
      <c r="BO364" s="12"/>
      <c r="BR364" s="12"/>
    </row>
    <row r="365" spans="4:70">
      <c r="D365" s="11"/>
      <c r="E365" s="10"/>
      <c r="BO365" s="12"/>
      <c r="BR365" s="12"/>
    </row>
    <row r="366" spans="4:70">
      <c r="D366" s="11"/>
      <c r="E366" s="10"/>
      <c r="BO366" s="12"/>
      <c r="BR366" s="12"/>
    </row>
    <row r="367" spans="4:70">
      <c r="D367" s="11"/>
      <c r="E367" s="10"/>
      <c r="BO367" s="12"/>
      <c r="BR367" s="12"/>
    </row>
    <row r="368" spans="4:70">
      <c r="D368" s="11"/>
      <c r="E368" s="10"/>
      <c r="BO368" s="12"/>
      <c r="BR368" s="12"/>
    </row>
    <row r="369" spans="4:70">
      <c r="D369" s="11"/>
      <c r="E369" s="10"/>
      <c r="BO369" s="12"/>
      <c r="BR369" s="12"/>
    </row>
    <row r="370" spans="4:70">
      <c r="D370" s="11"/>
      <c r="E370" s="10"/>
      <c r="BO370" s="12"/>
      <c r="BR370" s="12"/>
    </row>
    <row r="371" spans="4:70">
      <c r="D371" s="11"/>
      <c r="E371" s="10"/>
      <c r="BO371" s="12"/>
      <c r="BR371" s="12"/>
    </row>
    <row r="372" spans="4:70">
      <c r="D372" s="11"/>
      <c r="E372" s="10"/>
      <c r="BO372" s="12"/>
      <c r="BR372" s="12"/>
    </row>
    <row r="373" spans="4:70">
      <c r="D373" s="11"/>
      <c r="E373" s="10"/>
      <c r="BO373" s="12"/>
      <c r="BR373" s="12"/>
    </row>
    <row r="374" spans="4:70">
      <c r="D374" s="11"/>
      <c r="E374" s="10"/>
      <c r="BO374" s="12"/>
      <c r="BR374" s="12"/>
    </row>
    <row r="375" spans="4:70">
      <c r="D375" s="11"/>
      <c r="E375" s="10"/>
      <c r="BO375" s="12"/>
      <c r="BR375" s="12"/>
    </row>
    <row r="376" spans="4:70">
      <c r="D376" s="11"/>
      <c r="E376" s="10"/>
      <c r="BO376" s="12"/>
      <c r="BR376" s="12"/>
    </row>
    <row r="377" spans="4:70">
      <c r="D377" s="11"/>
      <c r="E377" s="10"/>
      <c r="BR377" s="12"/>
    </row>
    <row r="378" spans="4:70">
      <c r="D378" s="11"/>
      <c r="E378" s="10"/>
      <c r="BR378" s="12"/>
    </row>
    <row r="379" spans="4:70">
      <c r="D379" s="11"/>
      <c r="E379" s="10"/>
      <c r="BO379" s="12"/>
      <c r="BR379" s="12"/>
    </row>
    <row r="380" spans="4:70">
      <c r="D380" s="11"/>
      <c r="E380" s="10"/>
      <c r="BO380" s="12"/>
      <c r="BR380" s="12"/>
    </row>
    <row r="381" spans="4:70">
      <c r="D381" s="11"/>
      <c r="E381" s="10"/>
      <c r="BR381" s="12"/>
    </row>
    <row r="382" spans="4:70">
      <c r="D382" s="11"/>
      <c r="E382" s="10"/>
      <c r="BR382" s="12"/>
    </row>
    <row r="383" spans="4:70">
      <c r="D383" s="11"/>
      <c r="E383" s="10"/>
      <c r="BO383" s="12"/>
      <c r="BR383" s="12"/>
    </row>
    <row r="384" spans="4:70">
      <c r="D384" s="11"/>
      <c r="E384" s="10"/>
      <c r="BO384" s="12"/>
      <c r="BR384" s="12"/>
    </row>
    <row r="385" spans="4:70">
      <c r="D385" s="11"/>
      <c r="E385" s="10"/>
      <c r="BO385" s="12"/>
      <c r="BR385" s="12"/>
    </row>
    <row r="386" spans="4:70">
      <c r="D386" s="11"/>
      <c r="E386" s="10"/>
      <c r="BO386" s="12"/>
      <c r="BR386" s="12"/>
    </row>
    <row r="387" spans="4:70">
      <c r="D387" s="11"/>
      <c r="E387" s="10"/>
      <c r="BO387" s="12"/>
      <c r="BR387" s="12"/>
    </row>
    <row r="388" spans="4:70">
      <c r="D388" s="11"/>
      <c r="E388" s="10"/>
      <c r="BO388" s="12"/>
      <c r="BR388" s="12"/>
    </row>
    <row r="389" spans="4:70">
      <c r="D389" s="11"/>
      <c r="E389" s="10"/>
      <c r="BO389" s="12"/>
      <c r="BR389" s="12"/>
    </row>
    <row r="390" spans="4:70">
      <c r="D390" s="11"/>
      <c r="E390" s="10"/>
      <c r="BO390" s="12"/>
      <c r="BR390" s="12"/>
    </row>
    <row r="391" spans="4:70">
      <c r="D391" s="11"/>
      <c r="E391" s="10"/>
      <c r="BO391" s="12"/>
      <c r="BR391" s="12"/>
    </row>
    <row r="392" spans="4:70">
      <c r="D392" s="11"/>
      <c r="E392" s="10"/>
      <c r="BO392" s="12"/>
      <c r="BR392" s="12"/>
    </row>
    <row r="393" spans="4:70">
      <c r="D393" s="11"/>
      <c r="E393" s="10"/>
      <c r="BO393" s="12"/>
      <c r="BR393" s="12"/>
    </row>
    <row r="394" spans="4:70">
      <c r="D394" s="11"/>
      <c r="E394" s="10"/>
      <c r="BO394" s="12"/>
      <c r="BR394" s="12"/>
    </row>
    <row r="395" spans="4:70">
      <c r="D395" s="11"/>
      <c r="E395" s="10"/>
      <c r="BO395" s="12"/>
      <c r="BR395" s="12"/>
    </row>
    <row r="396" spans="4:70">
      <c r="D396" s="11"/>
      <c r="E396" s="10"/>
      <c r="BO396" s="12"/>
      <c r="BR396" s="12"/>
    </row>
    <row r="397" spans="4:70">
      <c r="D397" s="11"/>
      <c r="E397" s="10"/>
      <c r="BO397" s="12"/>
      <c r="BR397" s="12"/>
    </row>
    <row r="398" spans="4:70">
      <c r="D398" s="11"/>
      <c r="E398" s="10"/>
      <c r="BO398" s="12"/>
      <c r="BR398" s="12"/>
    </row>
    <row r="399" spans="4:67">
      <c r="D399" s="11"/>
      <c r="E399" s="10"/>
      <c r="BO399" s="12"/>
    </row>
    <row r="400" spans="4:5">
      <c r="D400" s="11"/>
      <c r="E400" s="10"/>
    </row>
    <row r="401" spans="4:5">
      <c r="D401" s="11"/>
      <c r="E401" s="10"/>
    </row>
    <row r="402" spans="4:5">
      <c r="D402" s="11"/>
      <c r="E402" s="10"/>
    </row>
    <row r="403" spans="4:5">
      <c r="D403" s="11"/>
      <c r="E403" s="10"/>
    </row>
    <row r="404" spans="4:5">
      <c r="D404" s="11"/>
      <c r="E404" s="10"/>
    </row>
    <row r="405" spans="4:5">
      <c r="D405" s="11"/>
      <c r="E405" s="10"/>
    </row>
    <row r="406" spans="4:5">
      <c r="D406" s="11"/>
      <c r="E406" s="10"/>
    </row>
    <row r="407" spans="4:5">
      <c r="D407" s="11"/>
      <c r="E407" s="10"/>
    </row>
    <row r="408" spans="4:5">
      <c r="D408" s="11"/>
      <c r="E408" s="10"/>
    </row>
    <row r="409" spans="4:5">
      <c r="D409" s="11"/>
      <c r="E409" s="10"/>
    </row>
    <row r="410" spans="4:5">
      <c r="D410" s="11"/>
      <c r="E410" s="10"/>
    </row>
    <row r="411" spans="4:5">
      <c r="D411" s="11"/>
      <c r="E411" s="10"/>
    </row>
    <row r="412" spans="4:5">
      <c r="D412" s="11"/>
      <c r="E412" s="10"/>
    </row>
    <row r="413" spans="4:5">
      <c r="D413" s="11"/>
      <c r="E413" s="10"/>
    </row>
    <row r="414" spans="4:5">
      <c r="D414" s="11"/>
      <c r="E414" s="10"/>
    </row>
    <row r="415" spans="4:5">
      <c r="D415" s="11"/>
      <c r="E415" s="10"/>
    </row>
    <row r="416" spans="4:5">
      <c r="D416" s="11"/>
      <c r="E416" s="10"/>
    </row>
    <row r="417" spans="4:5">
      <c r="D417" s="11"/>
      <c r="E417" s="10"/>
    </row>
    <row r="418" spans="4:5">
      <c r="D418" s="11"/>
      <c r="E418" s="10"/>
    </row>
    <row r="419" spans="4:5">
      <c r="D419" s="11"/>
      <c r="E419" s="10"/>
    </row>
    <row r="420" spans="4:5">
      <c r="D420" s="11"/>
      <c r="E420" s="10"/>
    </row>
    <row r="421" spans="4:5">
      <c r="D421" s="11"/>
      <c r="E421" s="10"/>
    </row>
    <row r="422" spans="4:5">
      <c r="D422" s="11"/>
      <c r="E422" s="10"/>
    </row>
    <row r="423" spans="4:5">
      <c r="D423" s="11"/>
      <c r="E423" s="10"/>
    </row>
    <row r="424" spans="4:5">
      <c r="D424" s="11"/>
      <c r="E424" s="10"/>
    </row>
    <row r="425" spans="4:5">
      <c r="D425" s="11"/>
      <c r="E425" s="10"/>
    </row>
    <row r="426" spans="4:5">
      <c r="D426" s="11"/>
      <c r="E426" s="10"/>
    </row>
    <row r="427" spans="4:5">
      <c r="D427" s="11"/>
      <c r="E427" s="10"/>
    </row>
    <row r="428" spans="4:5">
      <c r="D428" s="11"/>
      <c r="E428" s="10"/>
    </row>
    <row r="429" spans="4:5">
      <c r="D429" s="11"/>
      <c r="E429" s="10"/>
    </row>
    <row r="430" spans="4:5">
      <c r="D430" s="11"/>
      <c r="E430" s="10"/>
    </row>
    <row r="431" spans="4:5">
      <c r="D431" s="11"/>
      <c r="E431" s="10"/>
    </row>
    <row r="432" spans="4:5">
      <c r="D432" s="11"/>
      <c r="E432" s="10"/>
    </row>
    <row r="433" spans="4:5">
      <c r="D433" s="11"/>
      <c r="E433" s="10"/>
    </row>
    <row r="434" spans="4:5">
      <c r="D434" s="11"/>
      <c r="E434" s="10"/>
    </row>
    <row r="435" spans="4:5">
      <c r="D435" s="11"/>
      <c r="E435" s="10"/>
    </row>
    <row r="436" spans="4:5">
      <c r="D436" s="11"/>
      <c r="E436" s="10"/>
    </row>
    <row r="437" spans="4:5">
      <c r="D437" s="11"/>
      <c r="E437" s="10"/>
    </row>
    <row r="438" spans="4:5">
      <c r="D438" s="11"/>
      <c r="E438" s="10"/>
    </row>
    <row r="439" spans="4:5">
      <c r="D439" s="11"/>
      <c r="E439" s="10"/>
    </row>
    <row r="440" spans="4:5">
      <c r="D440" s="11"/>
      <c r="E440" s="10"/>
    </row>
    <row r="441" spans="4:5">
      <c r="D441" s="11"/>
      <c r="E441" s="10"/>
    </row>
    <row r="442" spans="4:5">
      <c r="D442" s="11"/>
      <c r="E442" s="10"/>
    </row>
    <row r="443" spans="4:5">
      <c r="D443" s="11"/>
      <c r="E443" s="10"/>
    </row>
    <row r="444" spans="4:5">
      <c r="D444" s="11"/>
      <c r="E444" s="10"/>
    </row>
    <row r="445" spans="4:5">
      <c r="D445" s="11"/>
      <c r="E445" s="10"/>
    </row>
    <row r="446" spans="4:5">
      <c r="D446" s="11"/>
      <c r="E446" s="10"/>
    </row>
    <row r="447" spans="4:5">
      <c r="D447" s="11"/>
      <c r="E447" s="10"/>
    </row>
    <row r="448" spans="4:5">
      <c r="D448" s="11"/>
      <c r="E448" s="10"/>
    </row>
    <row r="449" spans="4:5">
      <c r="D449" s="11"/>
      <c r="E449" s="10"/>
    </row>
    <row r="450" spans="4:5">
      <c r="D450" s="11"/>
      <c r="E450" s="10"/>
    </row>
    <row r="451" spans="4:5">
      <c r="D451" s="11"/>
      <c r="E451" s="10"/>
    </row>
    <row r="452" spans="4:5">
      <c r="D452" s="11"/>
      <c r="E452" s="10"/>
    </row>
    <row r="453" spans="4:5">
      <c r="D453" s="11"/>
      <c r="E453" s="10"/>
    </row>
    <row r="454" spans="4:5">
      <c r="D454" s="11"/>
      <c r="E454" s="10"/>
    </row>
    <row r="455" spans="4:5">
      <c r="D455" s="11"/>
      <c r="E455" s="10"/>
    </row>
    <row r="456" spans="4:5">
      <c r="D456" s="11"/>
      <c r="E456" s="10"/>
    </row>
    <row r="457" spans="4:5">
      <c r="D457" s="11"/>
      <c r="E457" s="10"/>
    </row>
    <row r="458" spans="4:5">
      <c r="D458" s="11"/>
      <c r="E458" s="10"/>
    </row>
    <row r="459" spans="4:5">
      <c r="D459" s="11"/>
      <c r="E459" s="10"/>
    </row>
    <row r="460" spans="4:5">
      <c r="D460" s="11"/>
      <c r="E460" s="10"/>
    </row>
    <row r="461" spans="4:5">
      <c r="D461" s="11"/>
      <c r="E461" s="10"/>
    </row>
    <row r="462" spans="4:5">
      <c r="D462" s="11"/>
      <c r="E462" s="10"/>
    </row>
    <row r="463" spans="4:5">
      <c r="D463" s="11"/>
      <c r="E463" s="10"/>
    </row>
    <row r="464" spans="4:5">
      <c r="D464" s="11"/>
      <c r="E464" s="10"/>
    </row>
    <row r="465" spans="4:5">
      <c r="D465" s="11"/>
      <c r="E465" s="10"/>
    </row>
    <row r="466" spans="4:5">
      <c r="D466" s="11"/>
      <c r="E466" s="10"/>
    </row>
    <row r="467" spans="4:5">
      <c r="D467" s="11"/>
      <c r="E467" s="10"/>
    </row>
    <row r="468" spans="4:5">
      <c r="D468" s="11"/>
      <c r="E468" s="10"/>
    </row>
    <row r="469" spans="4:5">
      <c r="D469" s="11"/>
      <c r="E469" s="10"/>
    </row>
    <row r="470" spans="4:5">
      <c r="D470" s="11"/>
      <c r="E470" s="10"/>
    </row>
    <row r="471" spans="4:5">
      <c r="D471" s="11"/>
      <c r="E471" s="10"/>
    </row>
    <row r="472" spans="4:5">
      <c r="D472" s="11"/>
      <c r="E472" s="10"/>
    </row>
    <row r="473" spans="4:5">
      <c r="D473" s="11"/>
      <c r="E473" s="10"/>
    </row>
    <row r="474" spans="4:5">
      <c r="D474" s="11"/>
      <c r="E474" s="10"/>
    </row>
    <row r="475" spans="4:5">
      <c r="D475" s="11"/>
      <c r="E475" s="10"/>
    </row>
    <row r="476" spans="4:5">
      <c r="D476" s="11"/>
      <c r="E476" s="10"/>
    </row>
    <row r="477" spans="4:5">
      <c r="D477" s="11"/>
      <c r="E477" s="10"/>
    </row>
    <row r="478" spans="4:5">
      <c r="D478" s="11"/>
      <c r="E478" s="10"/>
    </row>
    <row r="479" spans="4:5">
      <c r="D479" s="11"/>
      <c r="E479" s="10"/>
    </row>
    <row r="547" spans="4:5">
      <c r="D547" s="11"/>
      <c r="E547" s="10"/>
    </row>
    <row r="548" spans="4:5">
      <c r="D548" s="11"/>
      <c r="E548" s="10"/>
    </row>
    <row r="549" spans="4:5">
      <c r="D549" s="11"/>
      <c r="E549" s="10"/>
    </row>
    <row r="550" spans="4:5">
      <c r="D550" s="11"/>
      <c r="E550" s="10"/>
    </row>
    <row r="551" spans="4:5">
      <c r="D551" s="11"/>
      <c r="E551" s="10"/>
    </row>
    <row r="552" spans="4:5">
      <c r="D552" s="11"/>
      <c r="E552" s="10"/>
    </row>
    <row r="553" spans="4:5">
      <c r="D553" s="11"/>
      <c r="E553" s="10"/>
    </row>
    <row r="554" spans="4:5">
      <c r="D554" s="11"/>
      <c r="E554" s="10"/>
    </row>
    <row r="555" spans="4:5">
      <c r="D555" s="11"/>
      <c r="E555" s="10"/>
    </row>
    <row r="556" spans="4:5">
      <c r="D556" s="11"/>
      <c r="E556" s="10"/>
    </row>
    <row r="557" spans="4:5">
      <c r="D557" s="11"/>
      <c r="E557" s="10"/>
    </row>
    <row r="558" spans="4:5">
      <c r="D558" s="11"/>
      <c r="E558" s="10"/>
    </row>
    <row r="559" spans="4:5">
      <c r="D559" s="11"/>
      <c r="E559" s="10"/>
    </row>
    <row r="560" spans="4:5">
      <c r="D560" s="11"/>
      <c r="E560" s="10"/>
    </row>
    <row r="561" spans="4:5">
      <c r="D561" s="11"/>
      <c r="E561" s="10"/>
    </row>
    <row r="562" spans="4:5">
      <c r="D562" s="11"/>
      <c r="E562" s="10"/>
    </row>
    <row r="563" spans="4:5">
      <c r="D563" s="11"/>
      <c r="E563" s="10"/>
    </row>
    <row r="564" spans="4:5">
      <c r="D564" s="11"/>
      <c r="E564" s="10"/>
    </row>
    <row r="565" spans="4:5">
      <c r="D565" s="11"/>
      <c r="E565" s="10"/>
    </row>
    <row r="566" spans="4:5">
      <c r="D566" s="11"/>
      <c r="E566" s="10"/>
    </row>
    <row r="567" spans="4:5">
      <c r="D567" s="11"/>
      <c r="E567" s="10"/>
    </row>
    <row r="568" spans="4:5">
      <c r="D568" s="11"/>
      <c r="E568" s="10"/>
    </row>
    <row r="569" spans="4:5">
      <c r="D569" s="11"/>
      <c r="E569" s="10"/>
    </row>
    <row r="570" spans="4:5">
      <c r="D570" s="11"/>
      <c r="E570" s="10"/>
    </row>
    <row r="571" spans="4:5">
      <c r="D571" s="11"/>
      <c r="E571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G657"/>
  <sheetViews>
    <sheetView tabSelected="1" workbookViewId="0">
      <pane xSplit="1" ySplit="3" topLeftCell="AV4" activePane="bottomRight" state="frozen"/>
      <selection/>
      <selection pane="topRight"/>
      <selection pane="bottomLeft"/>
      <selection pane="bottomRight" activeCell="BD17" sqref="BD17"/>
    </sheetView>
  </sheetViews>
  <sheetFormatPr defaultColWidth="9" defaultRowHeight="14"/>
  <cols>
    <col min="1" max="1" width="21.0818181818182" customWidth="1"/>
    <col min="2" max="2" width="15.5818181818182" customWidth="1"/>
    <col min="3" max="3" width="7.75454545454545" customWidth="1"/>
    <col min="4" max="4" width="16.5818181818182" customWidth="1"/>
    <col min="5" max="5" width="16.8363636363636" customWidth="1"/>
    <col min="6" max="6" width="31.3363636363636" customWidth="1"/>
    <col min="7" max="7" width="7.33636363636364" customWidth="1"/>
    <col min="8" max="8" width="17.8363636363636" customWidth="1"/>
    <col min="9" max="9" width="7.33636363636364" customWidth="1"/>
    <col min="10" max="10" width="15.7545454545455" customWidth="1"/>
    <col min="11" max="13" width="8.33636363636364" style="5" customWidth="1"/>
    <col min="14" max="14" width="11.7545454545455" style="5" customWidth="1"/>
    <col min="15" max="15" width="13.0818181818182" style="5" customWidth="1"/>
    <col min="16" max="16" width="11.5818181818182" style="5" customWidth="1"/>
    <col min="17" max="17" width="21.5" style="5" customWidth="1"/>
    <col min="18" max="18" width="19.8363636363636" style="5" customWidth="1"/>
    <col min="19" max="19" width="16.5818181818182" style="5" customWidth="1"/>
    <col min="20" max="20" width="19.0818181818182" style="5" customWidth="1"/>
    <col min="21" max="21" width="18.3363636363636" style="5" customWidth="1"/>
    <col min="22" max="22" width="17.7545454545455" style="5" customWidth="1"/>
    <col min="23" max="23" width="8.33636363636364" style="5" customWidth="1"/>
    <col min="24" max="24" width="18.5" style="5" customWidth="1"/>
    <col min="25" max="25" width="16.5818181818182" customWidth="1"/>
    <col min="26" max="26" width="10.6636363636364" customWidth="1"/>
    <col min="27" max="27" width="8.33636363636364" customWidth="1"/>
    <col min="28" max="28" width="15.1636363636364" customWidth="1"/>
    <col min="29" max="30" width="8.58181818181818" customWidth="1"/>
    <col min="31" max="31" width="13.4181818181818" customWidth="1"/>
    <col min="32" max="32" width="13.7545454545455" customWidth="1"/>
    <col min="33" max="33" width="14.5818181818182" customWidth="1"/>
    <col min="34" max="34" width="17.4181818181818" customWidth="1"/>
    <col min="35" max="35" width="8.58181818181818" customWidth="1"/>
    <col min="36" max="36" width="12.5" customWidth="1"/>
    <col min="37" max="37" width="8.58181818181818" customWidth="1"/>
    <col min="38" max="39" width="8.33636363636364" customWidth="1"/>
    <col min="40" max="40" width="15" customWidth="1"/>
    <col min="41" max="41" width="13.2545454545455" customWidth="1"/>
    <col min="42" max="43" width="11.8363636363636" customWidth="1"/>
    <col min="44" max="44" width="18.4181818181818" customWidth="1"/>
    <col min="45" max="45" width="12.2545454545455" customWidth="1"/>
    <col min="46" max="46" width="11.9181818181818" customWidth="1"/>
    <col min="47" max="47" width="19.5818181818182" customWidth="1"/>
    <col min="48" max="48" width="12.6636363636364" customWidth="1"/>
    <col min="50" max="50" width="7" customWidth="1"/>
    <col min="51" max="51" width="11.7545454545455" customWidth="1"/>
    <col min="52" max="52" width="19.7545454545455" customWidth="1"/>
    <col min="53" max="53" width="5.08181818181818" customWidth="1"/>
    <col min="54" max="54" width="8.5" customWidth="1"/>
    <col min="55" max="55" width="13.5" customWidth="1"/>
    <col min="56" max="56" width="14.6636363636364" customWidth="1"/>
    <col min="57" max="57" width="10.1636363636364" customWidth="1"/>
    <col min="58" max="58" width="8.25454545454545" customWidth="1"/>
    <col min="59" max="65" width="8.33636363636364" customWidth="1"/>
    <col min="66" max="68" width="11.2545454545455" customWidth="1"/>
    <col min="69" max="69" width="6.58181818181818" customWidth="1"/>
    <col min="70" max="71" width="8" customWidth="1"/>
    <col min="72" max="72" width="7.33636363636364" style="6" customWidth="1"/>
    <col min="73" max="74" width="8.5" style="6" customWidth="1"/>
    <col min="75" max="76" width="7.83636363636364" style="6" customWidth="1"/>
    <col min="77" max="77" width="22.1636363636364" style="6" customWidth="1"/>
    <col min="78" max="78" width="13.5" customWidth="1"/>
    <col min="79" max="79" width="21.1636363636364" customWidth="1"/>
    <col min="80" max="80" width="15.7545454545455" customWidth="1"/>
    <col min="81" max="81" width="15.5818181818182" customWidth="1"/>
    <col min="82" max="82" width="12.8363636363636" customWidth="1"/>
    <col min="83" max="83" width="16.1636363636364" customWidth="1"/>
    <col min="85" max="85" width="16" customWidth="1"/>
    <col min="86" max="87" width="12.8363636363636" customWidth="1"/>
    <col min="88" max="88" width="23.5818181818182" customWidth="1"/>
    <col min="89" max="89" width="12.8363636363636" customWidth="1"/>
    <col min="90" max="90" width="17.0818181818182" customWidth="1"/>
    <col min="91" max="91" width="9.54545454545454"/>
    <col min="97" max="97" width="14" customWidth="1"/>
    <col min="98" max="98" width="8" customWidth="1"/>
    <col min="100" max="100" width="11.0818181818182" customWidth="1"/>
    <col min="101" max="101" width="13.7545454545455" customWidth="1"/>
    <col min="102" max="102" width="9.54545454545454"/>
    <col min="105" max="106" width="9.54545454545454"/>
    <col min="108" max="108" width="15.5" customWidth="1"/>
    <col min="110" max="111" width="9.54545454545454"/>
    <col min="112" max="112" width="9" hidden="1" customWidth="1"/>
    <col min="117" max="117" width="9.54545454545454"/>
  </cols>
  <sheetData>
    <row r="1" spans="2:111">
      <c r="B1" t="s">
        <v>141</v>
      </c>
      <c r="D1" t="s">
        <v>142</v>
      </c>
      <c r="E1" t="s">
        <v>143</v>
      </c>
      <c r="F1" t="s">
        <v>144</v>
      </c>
      <c r="G1" t="s">
        <v>145</v>
      </c>
      <c r="H1" s="2" t="s">
        <v>146</v>
      </c>
      <c r="I1" t="s">
        <v>147</v>
      </c>
      <c r="J1" t="s">
        <v>148</v>
      </c>
      <c r="K1" s="5" t="s">
        <v>149</v>
      </c>
      <c r="L1" s="5" t="s">
        <v>150</v>
      </c>
      <c r="M1" s="5" t="s">
        <v>151</v>
      </c>
      <c r="N1" s="5" t="s">
        <v>152</v>
      </c>
      <c r="O1" s="5" t="s">
        <v>153</v>
      </c>
      <c r="P1" s="5" t="s">
        <v>154</v>
      </c>
      <c r="Q1" s="5" t="s">
        <v>155</v>
      </c>
      <c r="R1" s="5" t="s">
        <v>156</v>
      </c>
      <c r="S1" s="5" t="s">
        <v>157</v>
      </c>
      <c r="T1" s="5" t="s">
        <v>158</v>
      </c>
      <c r="U1" s="5" t="s">
        <v>158</v>
      </c>
      <c r="V1" s="5" t="s">
        <v>159</v>
      </c>
      <c r="W1" s="5" t="s">
        <v>160</v>
      </c>
      <c r="X1" s="5" t="s">
        <v>161</v>
      </c>
      <c r="Y1" t="s">
        <v>162</v>
      </c>
      <c r="Z1" t="s">
        <v>163</v>
      </c>
      <c r="AA1" s="5" t="s">
        <v>164</v>
      </c>
      <c r="AB1" t="s">
        <v>165</v>
      </c>
      <c r="AC1" t="s">
        <v>166</v>
      </c>
      <c r="AD1" t="s">
        <v>167</v>
      </c>
      <c r="AE1" t="s">
        <v>168</v>
      </c>
      <c r="AF1" t="s">
        <v>169</v>
      </c>
      <c r="AG1" t="s">
        <v>170</v>
      </c>
      <c r="AH1" t="s">
        <v>171</v>
      </c>
      <c r="AI1" t="s">
        <v>172</v>
      </c>
      <c r="AJ1" t="s">
        <v>173</v>
      </c>
      <c r="AK1" t="s">
        <v>174</v>
      </c>
      <c r="AL1" t="s">
        <v>175</v>
      </c>
      <c r="AM1" t="s">
        <v>176</v>
      </c>
      <c r="AN1" t="s">
        <v>177</v>
      </c>
      <c r="AO1" t="s">
        <v>178</v>
      </c>
      <c r="AP1" t="s">
        <v>179</v>
      </c>
      <c r="AQ1" t="s">
        <v>180</v>
      </c>
      <c r="AR1" t="s">
        <v>181</v>
      </c>
      <c r="AS1" t="s">
        <v>182</v>
      </c>
      <c r="AT1" t="s">
        <v>183</v>
      </c>
      <c r="AU1" t="s">
        <v>184</v>
      </c>
      <c r="AV1" t="s">
        <v>185</v>
      </c>
      <c r="AW1" t="s">
        <v>186</v>
      </c>
      <c r="AX1" t="s">
        <v>187</v>
      </c>
      <c r="AY1" t="s">
        <v>188</v>
      </c>
      <c r="AZ1" s="2" t="s">
        <v>189</v>
      </c>
      <c r="BA1" t="s">
        <v>190</v>
      </c>
      <c r="BB1" t="s">
        <v>191</v>
      </c>
      <c r="BC1" t="s">
        <v>192</v>
      </c>
      <c r="BD1" t="s">
        <v>193</v>
      </c>
      <c r="BE1" t="s">
        <v>194</v>
      </c>
      <c r="BF1" t="s">
        <v>195</v>
      </c>
      <c r="BH1" t="s">
        <v>195</v>
      </c>
      <c r="BI1" t="s">
        <v>196</v>
      </c>
      <c r="BJ1" t="s">
        <v>197</v>
      </c>
      <c r="BK1" t="s">
        <v>198</v>
      </c>
      <c r="BL1" t="s">
        <v>199</v>
      </c>
      <c r="BM1" t="s">
        <v>200</v>
      </c>
      <c r="BN1" t="s">
        <v>201</v>
      </c>
      <c r="BO1" t="s">
        <v>202</v>
      </c>
      <c r="BP1" t="s">
        <v>203</v>
      </c>
      <c r="BQ1" t="s">
        <v>204</v>
      </c>
      <c r="BR1" t="s">
        <v>205</v>
      </c>
      <c r="BS1" s="2" t="s">
        <v>206</v>
      </c>
      <c r="BT1" s="6" t="s">
        <v>207</v>
      </c>
      <c r="BU1" s="6" t="s">
        <v>208</v>
      </c>
      <c r="BV1" s="6" t="s">
        <v>209</v>
      </c>
      <c r="BW1" s="6" t="s">
        <v>210</v>
      </c>
      <c r="BX1" s="6" t="s">
        <v>211</v>
      </c>
      <c r="BY1" s="6" t="s">
        <v>212</v>
      </c>
      <c r="BZ1" t="s">
        <v>213</v>
      </c>
      <c r="CA1" s="6" t="s">
        <v>214</v>
      </c>
      <c r="CB1" t="s">
        <v>215</v>
      </c>
      <c r="CC1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221</v>
      </c>
      <c r="CI1" t="s">
        <v>222</v>
      </c>
      <c r="CJ1" s="2" t="s">
        <v>223</v>
      </c>
      <c r="CK1" t="s">
        <v>224</v>
      </c>
      <c r="CL1" t="s">
        <v>225</v>
      </c>
      <c r="CM1" t="s">
        <v>226</v>
      </c>
      <c r="CN1" t="s">
        <v>227</v>
      </c>
      <c r="CO1" t="s">
        <v>228</v>
      </c>
      <c r="CP1" t="s">
        <v>205</v>
      </c>
      <c r="CQ1" t="s">
        <v>229</v>
      </c>
      <c r="CR1" t="s">
        <v>230</v>
      </c>
      <c r="CS1" t="s">
        <v>231</v>
      </c>
      <c r="CT1" t="s">
        <v>232</v>
      </c>
      <c r="CU1" t="s">
        <v>233</v>
      </c>
      <c r="CV1" t="s">
        <v>234</v>
      </c>
      <c r="CW1" t="s">
        <v>235</v>
      </c>
      <c r="CX1" t="s">
        <v>234</v>
      </c>
      <c r="CY1" t="s">
        <v>236</v>
      </c>
      <c r="CZ1" t="s">
        <v>237</v>
      </c>
      <c r="DA1" t="s">
        <v>238</v>
      </c>
      <c r="DB1" t="s">
        <v>239</v>
      </c>
      <c r="DC1" t="s">
        <v>240</v>
      </c>
      <c r="DD1" t="s">
        <v>241</v>
      </c>
      <c r="DE1" t="s">
        <v>242</v>
      </c>
      <c r="DF1" t="s">
        <v>243</v>
      </c>
      <c r="DG1" t="s">
        <v>244</v>
      </c>
    </row>
    <row r="2" spans="1:111">
      <c r="A2" t="s">
        <v>0</v>
      </c>
      <c r="C2" t="s">
        <v>48</v>
      </c>
      <c r="D2" t="s">
        <v>77</v>
      </c>
      <c r="E2" t="s">
        <v>245</v>
      </c>
      <c r="F2" t="s">
        <v>246</v>
      </c>
      <c r="G2" t="s">
        <v>53</v>
      </c>
      <c r="H2" s="2" t="s">
        <v>247</v>
      </c>
      <c r="I2" t="s">
        <v>248</v>
      </c>
      <c r="J2" t="s">
        <v>249</v>
      </c>
      <c r="K2" s="5" t="s">
        <v>250</v>
      </c>
      <c r="L2" s="5" t="s">
        <v>251</v>
      </c>
      <c r="M2" s="5" t="s">
        <v>252</v>
      </c>
      <c r="N2" s="5" t="s">
        <v>253</v>
      </c>
      <c r="O2" s="5" t="s">
        <v>254</v>
      </c>
      <c r="P2" s="5" t="s">
        <v>255</v>
      </c>
      <c r="Q2" s="5" t="s">
        <v>256</v>
      </c>
      <c r="R2" s="5" t="s">
        <v>257</v>
      </c>
      <c r="S2" s="5" t="s">
        <v>258</v>
      </c>
      <c r="T2" s="5" t="s">
        <v>259</v>
      </c>
      <c r="U2" s="5" t="s">
        <v>260</v>
      </c>
      <c r="V2" s="5" t="s">
        <v>261</v>
      </c>
      <c r="W2" s="5" t="s">
        <v>262</v>
      </c>
      <c r="X2" s="5" t="s">
        <v>263</v>
      </c>
      <c r="Y2" t="s">
        <v>264</v>
      </c>
      <c r="Z2" t="s">
        <v>265</v>
      </c>
      <c r="AA2" s="5" t="s">
        <v>266</v>
      </c>
      <c r="AB2" t="s">
        <v>267</v>
      </c>
      <c r="AC2" t="s">
        <v>268</v>
      </c>
      <c r="AD2" t="s">
        <v>269</v>
      </c>
      <c r="AE2" t="s">
        <v>270</v>
      </c>
      <c r="AF2" t="s">
        <v>271</v>
      </c>
      <c r="AG2" t="s">
        <v>272</v>
      </c>
      <c r="AH2" t="s">
        <v>273</v>
      </c>
      <c r="AI2" t="s">
        <v>274</v>
      </c>
      <c r="AJ2" t="s">
        <v>275</v>
      </c>
      <c r="AK2" t="s">
        <v>276</v>
      </c>
      <c r="AL2" t="s">
        <v>277</v>
      </c>
      <c r="AM2" t="s">
        <v>278</v>
      </c>
      <c r="AN2" t="s">
        <v>279</v>
      </c>
      <c r="AO2" t="s">
        <v>280</v>
      </c>
      <c r="AP2" t="s">
        <v>281</v>
      </c>
      <c r="AQ2" t="s">
        <v>282</v>
      </c>
      <c r="AR2" t="s">
        <v>283</v>
      </c>
      <c r="AS2" t="s">
        <v>284</v>
      </c>
      <c r="AT2" t="s">
        <v>285</v>
      </c>
      <c r="AU2" t="s">
        <v>286</v>
      </c>
      <c r="AV2" t="s">
        <v>287</v>
      </c>
      <c r="AW2" t="s">
        <v>288</v>
      </c>
      <c r="AX2" t="s">
        <v>289</v>
      </c>
      <c r="AY2" t="s">
        <v>290</v>
      </c>
      <c r="AZ2" t="s">
        <v>291</v>
      </c>
      <c r="BA2" t="s">
        <v>292</v>
      </c>
      <c r="BB2" t="s">
        <v>293</v>
      </c>
      <c r="BC2" t="s">
        <v>294</v>
      </c>
      <c r="BD2" t="s">
        <v>295</v>
      </c>
      <c r="BE2" t="s">
        <v>296</v>
      </c>
      <c r="BF2" t="s">
        <v>297</v>
      </c>
      <c r="BG2" t="s">
        <v>298</v>
      </c>
      <c r="BH2" t="s">
        <v>299</v>
      </c>
      <c r="BI2" t="s">
        <v>300</v>
      </c>
      <c r="BJ2" t="s">
        <v>301</v>
      </c>
      <c r="BK2" t="s">
        <v>302</v>
      </c>
      <c r="BL2" t="s">
        <v>303</v>
      </c>
      <c r="BM2" t="s">
        <v>79</v>
      </c>
      <c r="BN2" t="s">
        <v>304</v>
      </c>
      <c r="BO2" t="s">
        <v>305</v>
      </c>
      <c r="BP2" t="s">
        <v>306</v>
      </c>
      <c r="BQ2" t="s">
        <v>307</v>
      </c>
      <c r="BR2" t="s">
        <v>308</v>
      </c>
      <c r="BS2" s="2" t="s">
        <v>95</v>
      </c>
      <c r="BT2" s="6" t="s">
        <v>309</v>
      </c>
      <c r="BU2" s="6" t="s">
        <v>310</v>
      </c>
      <c r="BV2" s="6" t="s">
        <v>311</v>
      </c>
      <c r="BW2" s="6" t="s">
        <v>312</v>
      </c>
      <c r="BX2" s="6" t="s">
        <v>313</v>
      </c>
      <c r="BY2" s="6" t="s">
        <v>314</v>
      </c>
      <c r="BZ2" t="s">
        <v>315</v>
      </c>
      <c r="CA2" t="s">
        <v>316</v>
      </c>
      <c r="CB2" t="s">
        <v>317</v>
      </c>
      <c r="CC2" t="s">
        <v>318</v>
      </c>
      <c r="CD2" t="s">
        <v>319</v>
      </c>
      <c r="CE2" t="s">
        <v>320</v>
      </c>
      <c r="CF2" t="s">
        <v>321</v>
      </c>
      <c r="CG2" t="s">
        <v>322</v>
      </c>
      <c r="CH2" t="s">
        <v>323</v>
      </c>
      <c r="CI2" t="s">
        <v>324</v>
      </c>
      <c r="CJ2" s="2" t="s">
        <v>325</v>
      </c>
      <c r="CK2" t="s">
        <v>326</v>
      </c>
      <c r="CL2" t="s">
        <v>327</v>
      </c>
      <c r="CM2" t="s">
        <v>328</v>
      </c>
      <c r="CN2" t="s">
        <v>329</v>
      </c>
      <c r="CO2" t="s">
        <v>330</v>
      </c>
      <c r="CP2" t="s">
        <v>331</v>
      </c>
      <c r="CQ2" t="s">
        <v>332</v>
      </c>
      <c r="CR2" t="s">
        <v>333</v>
      </c>
      <c r="CS2" t="s">
        <v>334</v>
      </c>
      <c r="CT2" t="s">
        <v>335</v>
      </c>
      <c r="CU2" t="s">
        <v>336</v>
      </c>
      <c r="CV2" t="s">
        <v>337</v>
      </c>
      <c r="CW2" t="s">
        <v>338</v>
      </c>
      <c r="CX2" t="s">
        <v>339</v>
      </c>
      <c r="CY2" t="s">
        <v>340</v>
      </c>
      <c r="CZ2" t="s">
        <v>341</v>
      </c>
      <c r="DA2" t="s">
        <v>342</v>
      </c>
      <c r="DB2" t="s">
        <v>343</v>
      </c>
      <c r="DC2" t="s">
        <v>344</v>
      </c>
      <c r="DD2" t="s">
        <v>345</v>
      </c>
      <c r="DE2" t="s">
        <v>346</v>
      </c>
      <c r="DF2" t="s">
        <v>347</v>
      </c>
      <c r="DG2" t="s">
        <v>348</v>
      </c>
    </row>
    <row r="3" spans="1:111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2" t="s">
        <v>2</v>
      </c>
      <c r="I3" t="s">
        <v>116</v>
      </c>
      <c r="J3" t="s">
        <v>349</v>
      </c>
      <c r="K3" s="5" t="s">
        <v>350</v>
      </c>
      <c r="L3" s="5" t="s">
        <v>351</v>
      </c>
      <c r="M3" s="5" t="s">
        <v>118</v>
      </c>
      <c r="N3" s="5" t="s">
        <v>118</v>
      </c>
      <c r="O3" s="5" t="s">
        <v>120</v>
      </c>
      <c r="P3" s="5" t="s">
        <v>120</v>
      </c>
      <c r="Q3" s="5" t="s">
        <v>120</v>
      </c>
      <c r="R3" s="5" t="s">
        <v>120</v>
      </c>
      <c r="S3" s="5" t="s">
        <v>116</v>
      </c>
      <c r="T3" s="5" t="s">
        <v>117</v>
      </c>
      <c r="U3" s="5" t="s">
        <v>117</v>
      </c>
      <c r="V3" s="5" t="s">
        <v>117</v>
      </c>
      <c r="W3" s="5" t="s">
        <v>116</v>
      </c>
      <c r="X3" s="5" t="s">
        <v>116</v>
      </c>
      <c r="Y3" t="s">
        <v>116</v>
      </c>
      <c r="Z3" t="s">
        <v>116</v>
      </c>
      <c r="AA3" s="5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352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353</v>
      </c>
      <c r="AP3" t="s">
        <v>354</v>
      </c>
      <c r="AQ3" t="s">
        <v>2</v>
      </c>
      <c r="AR3" t="s">
        <v>355</v>
      </c>
      <c r="AS3" t="s">
        <v>116</v>
      </c>
      <c r="AT3" t="s">
        <v>117</v>
      </c>
      <c r="AU3" t="s">
        <v>116</v>
      </c>
      <c r="AV3" t="s">
        <v>356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355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357</v>
      </c>
      <c r="BP3" t="s">
        <v>358</v>
      </c>
      <c r="BQ3" t="s">
        <v>117</v>
      </c>
      <c r="BR3" t="s">
        <v>117</v>
      </c>
      <c r="BS3" s="2" t="s">
        <v>116</v>
      </c>
      <c r="BT3" s="6" t="s">
        <v>117</v>
      </c>
      <c r="BU3" s="6" t="s">
        <v>117</v>
      </c>
      <c r="BV3" s="6" t="s">
        <v>118</v>
      </c>
      <c r="BW3" s="6" t="s">
        <v>359</v>
      </c>
      <c r="BX3" s="6" t="s">
        <v>116</v>
      </c>
      <c r="BY3" s="6" t="s">
        <v>359</v>
      </c>
      <c r="BZ3" t="s">
        <v>124</v>
      </c>
      <c r="CA3" t="s">
        <v>360</v>
      </c>
      <c r="CB3" t="s">
        <v>124</v>
      </c>
      <c r="CC3" t="s">
        <v>124</v>
      </c>
      <c r="CD3" t="s">
        <v>124</v>
      </c>
      <c r="CE3" t="s">
        <v>361</v>
      </c>
      <c r="CF3" t="s">
        <v>362</v>
      </c>
      <c r="CG3" t="s">
        <v>2</v>
      </c>
      <c r="CH3" t="s">
        <v>363</v>
      </c>
      <c r="CI3" t="s">
        <v>363</v>
      </c>
      <c r="CJ3" s="2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360</v>
      </c>
      <c r="CQ3" t="s">
        <v>123</v>
      </c>
      <c r="CR3" t="s">
        <v>116</v>
      </c>
      <c r="CS3" t="s">
        <v>125</v>
      </c>
      <c r="CT3" t="s">
        <v>364</v>
      </c>
      <c r="CU3" t="s">
        <v>365</v>
      </c>
      <c r="CV3" t="s">
        <v>365</v>
      </c>
      <c r="CW3" t="s">
        <v>364</v>
      </c>
      <c r="CX3" t="s">
        <v>364</v>
      </c>
      <c r="CY3" t="s">
        <v>364</v>
      </c>
      <c r="CZ3" t="s">
        <v>364</v>
      </c>
      <c r="DA3" t="s">
        <v>364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="4" customFormat="1" spans="1:1">
      <c r="A4" s="4" t="s">
        <v>366</v>
      </c>
    </row>
    <row r="5" spans="1:101">
      <c r="A5" t="s">
        <v>367</v>
      </c>
      <c r="C5" t="s">
        <v>136</v>
      </c>
      <c r="AC5">
        <v>2</v>
      </c>
      <c r="AO5" t="s">
        <v>368</v>
      </c>
      <c r="AR5" t="s">
        <v>369</v>
      </c>
      <c r="AV5" t="s">
        <v>370</v>
      </c>
      <c r="AX5">
        <v>1</v>
      </c>
      <c r="BB5">
        <v>1</v>
      </c>
      <c r="BZ5" t="s">
        <v>57</v>
      </c>
      <c r="CE5" t="s">
        <v>371</v>
      </c>
      <c r="CW5" t="s">
        <v>372</v>
      </c>
    </row>
    <row r="6" spans="1:94">
      <c r="A6" t="s">
        <v>373</v>
      </c>
      <c r="C6" t="s">
        <v>374</v>
      </c>
      <c r="AC6">
        <v>1</v>
      </c>
      <c r="AG6" t="s">
        <v>375</v>
      </c>
      <c r="BB6">
        <v>1</v>
      </c>
      <c r="BM6" t="s">
        <v>376</v>
      </c>
      <c r="BQ6">
        <v>0.1</v>
      </c>
      <c r="CL6" s="2" t="s">
        <v>377</v>
      </c>
      <c r="CM6" s="13" t="s">
        <v>378</v>
      </c>
      <c r="CP6">
        <v>0.2</v>
      </c>
    </row>
    <row r="7" customFormat="1" spans="1:94">
      <c r="A7" t="s">
        <v>376</v>
      </c>
      <c r="C7" t="s">
        <v>374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AC7">
        <v>2</v>
      </c>
      <c r="AO7" t="s">
        <v>368</v>
      </c>
      <c r="AR7" t="s">
        <v>369</v>
      </c>
      <c r="BB7">
        <v>99</v>
      </c>
      <c r="BM7" t="s">
        <v>379</v>
      </c>
      <c r="BQ7">
        <v>0.1</v>
      </c>
      <c r="BT7" s="6"/>
      <c r="BU7" s="6"/>
      <c r="BV7" s="6"/>
      <c r="BW7" s="6"/>
      <c r="BX7" s="6"/>
      <c r="BY7" s="6"/>
      <c r="CL7" s="2" t="s">
        <v>376</v>
      </c>
      <c r="CP7">
        <v>0.2</v>
      </c>
    </row>
    <row r="8" customFormat="1" spans="1:90">
      <c r="A8" t="s">
        <v>379</v>
      </c>
      <c r="C8" t="s">
        <v>374</v>
      </c>
      <c r="K8" s="5"/>
      <c r="L8" s="5"/>
      <c r="M8" s="5"/>
      <c r="N8" s="5"/>
      <c r="O8" s="5"/>
      <c r="P8" s="5"/>
      <c r="Q8" s="2" t="s">
        <v>376</v>
      </c>
      <c r="R8" s="5"/>
      <c r="S8" s="5"/>
      <c r="T8" s="5"/>
      <c r="U8" s="5"/>
      <c r="V8" s="5"/>
      <c r="W8" s="5"/>
      <c r="X8" s="5"/>
      <c r="AC8">
        <v>2</v>
      </c>
      <c r="AO8" t="s">
        <v>368</v>
      </c>
      <c r="AT8">
        <v>99</v>
      </c>
      <c r="AV8" t="s">
        <v>380</v>
      </c>
      <c r="AX8">
        <v>0.4</v>
      </c>
      <c r="BB8">
        <v>99</v>
      </c>
      <c r="BQ8">
        <v>1</v>
      </c>
      <c r="BT8" s="6"/>
      <c r="BU8" s="6"/>
      <c r="BV8" s="6"/>
      <c r="BW8" s="6"/>
      <c r="BX8" s="6"/>
      <c r="BY8" s="6"/>
      <c r="CJ8" s="2" t="s">
        <v>381</v>
      </c>
      <c r="CL8" s="2"/>
    </row>
    <row r="9" spans="88:88">
      <c r="CJ9" s="5"/>
    </row>
    <row r="10" customFormat="1" spans="1:94">
      <c r="A10" t="s">
        <v>382</v>
      </c>
      <c r="B10"/>
      <c r="C10" t="s">
        <v>374</v>
      </c>
      <c r="D10" t="s">
        <v>383</v>
      </c>
      <c r="E10" t="s">
        <v>384</v>
      </c>
      <c r="F10" t="s">
        <v>385</v>
      </c>
      <c r="G10">
        <v>3</v>
      </c>
      <c r="H10"/>
      <c r="I10"/>
      <c r="J10" t="s">
        <v>386</v>
      </c>
      <c r="K10" s="5" t="s">
        <v>387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/>
      <c r="Z10"/>
      <c r="AA10"/>
      <c r="AB10"/>
      <c r="AC10">
        <v>1</v>
      </c>
      <c r="AD10"/>
      <c r="AE10"/>
      <c r="AF10"/>
      <c r="AG10" t="s">
        <v>375</v>
      </c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>
        <v>1</v>
      </c>
      <c r="BC10"/>
      <c r="BD10"/>
      <c r="BE10"/>
      <c r="BF10"/>
      <c r="BG10"/>
      <c r="BH10"/>
      <c r="BI10"/>
      <c r="BJ10"/>
      <c r="BK10"/>
      <c r="BL10"/>
      <c r="BM10" t="s">
        <v>388</v>
      </c>
      <c r="BN10"/>
      <c r="BO10"/>
      <c r="BP10"/>
      <c r="BQ10"/>
      <c r="BR10">
        <v>30</v>
      </c>
      <c r="BS10"/>
      <c r="BT10" s="6">
        <v>0</v>
      </c>
      <c r="BU10" s="6">
        <v>16</v>
      </c>
      <c r="BV10" s="6">
        <v>1</v>
      </c>
      <c r="BW10" s="6" t="s">
        <v>389</v>
      </c>
      <c r="BX10" s="6"/>
      <c r="BY10" s="6"/>
      <c r="BZ10" s="7"/>
      <c r="CA10"/>
      <c r="CB10"/>
      <c r="CC10"/>
      <c r="CD10"/>
      <c r="CE10" t="s">
        <v>371</v>
      </c>
      <c r="CF10"/>
      <c r="CG10"/>
      <c r="CH10"/>
      <c r="CI10"/>
      <c r="CJ10"/>
      <c r="CK10"/>
      <c r="CL10" t="s">
        <v>390</v>
      </c>
      <c r="CM10">
        <v>0.7</v>
      </c>
      <c r="CN10">
        <v>0.7</v>
      </c>
      <c r="CO10"/>
      <c r="CP10">
        <v>30</v>
      </c>
    </row>
    <row r="11" customFormat="1" spans="1:94">
      <c r="A11" t="s">
        <v>391</v>
      </c>
      <c r="C11" t="s">
        <v>374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AC11">
        <v>1</v>
      </c>
      <c r="AG11" t="s">
        <v>375</v>
      </c>
      <c r="BB11">
        <v>1</v>
      </c>
      <c r="BT11" s="6"/>
      <c r="BU11" s="6"/>
      <c r="BV11" s="6"/>
      <c r="BW11" s="6"/>
      <c r="BX11" s="6"/>
      <c r="BY11" s="6"/>
      <c r="BZ11" s="7"/>
      <c r="CL11" t="s">
        <v>392</v>
      </c>
      <c r="CM11">
        <v>1</v>
      </c>
      <c r="CP11">
        <v>9999</v>
      </c>
    </row>
    <row r="12" customFormat="1" spans="1:101">
      <c r="A12" t="s">
        <v>393</v>
      </c>
      <c r="B12"/>
      <c r="C12" t="s">
        <v>136</v>
      </c>
      <c r="D12"/>
      <c r="E12"/>
      <c r="F12"/>
      <c r="G12"/>
      <c r="H12"/>
      <c r="I12"/>
      <c r="J12"/>
      <c r="K12" s="5"/>
      <c r="L12" s="5"/>
      <c r="M12" s="5"/>
      <c r="N12" s="5"/>
      <c r="O12" s="5" t="s">
        <v>394</v>
      </c>
      <c r="P12" s="5"/>
      <c r="Q12" s="5"/>
      <c r="R12" s="5"/>
      <c r="S12" s="5"/>
      <c r="T12" s="5"/>
      <c r="U12" s="5"/>
      <c r="V12" s="5"/>
      <c r="W12" s="5"/>
      <c r="X12" s="5"/>
      <c r="Y12"/>
      <c r="Z12"/>
      <c r="AA12"/>
      <c r="AB12"/>
      <c r="AC12">
        <v>2</v>
      </c>
      <c r="AD12"/>
      <c r="AE12"/>
      <c r="AF12"/>
      <c r="AG12"/>
      <c r="AH12"/>
      <c r="AI12"/>
      <c r="AJ12"/>
      <c r="AK12"/>
      <c r="AL12"/>
      <c r="AM12"/>
      <c r="AN12"/>
      <c r="AO12" t="s">
        <v>368</v>
      </c>
      <c r="AP12"/>
      <c r="AQ12"/>
      <c r="AR12" t="s">
        <v>369</v>
      </c>
      <c r="AS12"/>
      <c r="AT12"/>
      <c r="AU12"/>
      <c r="AV12" t="s">
        <v>370</v>
      </c>
      <c r="AW12"/>
      <c r="AX12">
        <v>1</v>
      </c>
      <c r="AY12"/>
      <c r="AZ12"/>
      <c r="BA12"/>
      <c r="BB12">
        <v>1</v>
      </c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 s="6"/>
      <c r="BU12" s="6"/>
      <c r="BV12" s="6"/>
      <c r="BW12" s="6"/>
      <c r="BX12" s="6"/>
      <c r="BY12" s="6"/>
      <c r="BZ12" s="7" t="s">
        <v>395</v>
      </c>
      <c r="CA12"/>
      <c r="CB12"/>
      <c r="CC12"/>
      <c r="CD12"/>
      <c r="CE12" t="s">
        <v>371</v>
      </c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t="s">
        <v>372</v>
      </c>
    </row>
    <row r="13" customFormat="1" spans="1:110">
      <c r="A13" t="s">
        <v>396</v>
      </c>
      <c r="B13"/>
      <c r="C13" t="s">
        <v>374</v>
      </c>
      <c r="D13"/>
      <c r="E13"/>
      <c r="F13"/>
      <c r="G13"/>
      <c r="H13"/>
      <c r="I13">
        <v>1</v>
      </c>
      <c r="J13"/>
      <c r="K13" s="5" t="s">
        <v>397</v>
      </c>
      <c r="L13" s="5" t="s">
        <v>398</v>
      </c>
      <c r="M13"/>
      <c r="N13"/>
      <c r="O13" s="5" t="s">
        <v>394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/>
      <c r="AB13"/>
      <c r="AC13">
        <v>2</v>
      </c>
      <c r="AD13">
        <v>1</v>
      </c>
      <c r="AE13">
        <v>1</v>
      </c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>
        <v>1</v>
      </c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 s="6"/>
      <c r="BU13" s="6"/>
      <c r="BV13" s="6"/>
      <c r="BW13" s="6"/>
      <c r="BX13" s="6"/>
      <c r="BY13" s="6"/>
      <c r="BZ13"/>
      <c r="CA13"/>
      <c r="CB13"/>
      <c r="CC13"/>
      <c r="CD13"/>
      <c r="CE13"/>
      <c r="CF13"/>
      <c r="CG13"/>
      <c r="CH13"/>
      <c r="CI13"/>
      <c r="CJ13" s="2" t="s">
        <v>399</v>
      </c>
      <c r="CK13"/>
      <c r="CL13"/>
      <c r="CM13"/>
      <c r="CN13"/>
      <c r="CO13"/>
      <c r="CP13"/>
      <c r="CQ13"/>
      <c r="CR13"/>
      <c r="CS13"/>
      <c r="CT13"/>
      <c r="CU13"/>
      <c r="CV13"/>
      <c r="CW13" t="s">
        <v>400</v>
      </c>
      <c r="CX13"/>
      <c r="CY13"/>
      <c r="CZ13"/>
      <c r="DA13"/>
      <c r="DB13">
        <v>1</v>
      </c>
      <c r="DC13"/>
      <c r="DD13"/>
      <c r="DE13"/>
      <c r="DF13">
        <v>1</v>
      </c>
    </row>
    <row r="15" spans="1:99">
      <c r="A15" t="s">
        <v>401</v>
      </c>
      <c r="C15" t="s">
        <v>374</v>
      </c>
      <c r="D15" t="s">
        <v>402</v>
      </c>
      <c r="E15" t="s">
        <v>403</v>
      </c>
      <c r="F15" t="s">
        <v>404</v>
      </c>
      <c r="G15">
        <v>3</v>
      </c>
      <c r="J15" t="s">
        <v>386</v>
      </c>
      <c r="K15" s="5" t="s">
        <v>387</v>
      </c>
      <c r="AC15">
        <v>1</v>
      </c>
      <c r="AG15" t="s">
        <v>375</v>
      </c>
      <c r="AR15" t="s">
        <v>405</v>
      </c>
      <c r="BB15">
        <v>1</v>
      </c>
      <c r="BM15" t="s">
        <v>406</v>
      </c>
      <c r="BN15" t="s">
        <v>407</v>
      </c>
      <c r="BR15">
        <v>20</v>
      </c>
      <c r="BT15" s="6">
        <v>20</v>
      </c>
      <c r="BU15" s="6">
        <v>26</v>
      </c>
      <c r="BV15" s="6">
        <v>1</v>
      </c>
      <c r="BW15" s="6" t="s">
        <v>408</v>
      </c>
      <c r="BZ15" s="7" t="s">
        <v>409</v>
      </c>
      <c r="CE15" t="s">
        <v>371</v>
      </c>
      <c r="CL15" t="s">
        <v>410</v>
      </c>
      <c r="CM15">
        <v>1.6</v>
      </c>
      <c r="CN15">
        <v>2.9</v>
      </c>
      <c r="CO15">
        <v>2</v>
      </c>
      <c r="CP15">
        <v>20</v>
      </c>
      <c r="CU15" t="s">
        <v>411</v>
      </c>
    </row>
    <row r="16" spans="1:97">
      <c r="A16" t="s">
        <v>407</v>
      </c>
      <c r="C16" t="s">
        <v>412</v>
      </c>
      <c r="K16" s="5" t="s">
        <v>397</v>
      </c>
      <c r="AC16">
        <v>2</v>
      </c>
      <c r="AO16" t="s">
        <v>368</v>
      </c>
      <c r="AP16" t="s">
        <v>413</v>
      </c>
      <c r="AR16" t="s">
        <v>405</v>
      </c>
      <c r="AV16" t="s">
        <v>380</v>
      </c>
      <c r="AX16">
        <v>1</v>
      </c>
      <c r="BB16">
        <v>99</v>
      </c>
      <c r="CS16" t="s">
        <v>414</v>
      </c>
    </row>
    <row r="17" customFormat="1" spans="1:101">
      <c r="A17" t="s">
        <v>406</v>
      </c>
      <c r="C17" t="s">
        <v>136</v>
      </c>
      <c r="K17" s="5"/>
      <c r="L17" s="5"/>
      <c r="M17" s="5"/>
      <c r="N17" s="5"/>
      <c r="O17" s="5" t="s">
        <v>415</v>
      </c>
      <c r="P17" s="5"/>
      <c r="Q17" s="5"/>
      <c r="R17" s="5"/>
      <c r="S17" s="5"/>
      <c r="T17" s="5"/>
      <c r="U17" s="5"/>
      <c r="V17" s="5"/>
      <c r="W17" s="5"/>
      <c r="X17" s="5"/>
      <c r="AC17">
        <v>2</v>
      </c>
      <c r="AO17" t="s">
        <v>368</v>
      </c>
      <c r="AR17" t="s">
        <v>369</v>
      </c>
      <c r="AV17" t="s">
        <v>380</v>
      </c>
      <c r="AX17">
        <v>1</v>
      </c>
      <c r="BB17">
        <v>1</v>
      </c>
      <c r="BT17" s="6"/>
      <c r="BU17" s="6"/>
      <c r="BV17" s="6"/>
      <c r="BW17" s="6"/>
      <c r="BX17" s="6"/>
      <c r="BY17" s="6"/>
      <c r="BZ17" s="7" t="s">
        <v>409</v>
      </c>
      <c r="CE17" t="s">
        <v>371</v>
      </c>
      <c r="CW17" t="s">
        <v>372</v>
      </c>
    </row>
    <row r="19" customFormat="1" spans="1:94">
      <c r="A19" t="s">
        <v>416</v>
      </c>
      <c r="C19" t="s">
        <v>374</v>
      </c>
      <c r="D19" t="s">
        <v>417</v>
      </c>
      <c r="E19" t="s">
        <v>418</v>
      </c>
      <c r="F19" t="s">
        <v>419</v>
      </c>
      <c r="G19">
        <v>3</v>
      </c>
      <c r="J19" t="s">
        <v>386</v>
      </c>
      <c r="K19" s="5" t="s">
        <v>387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AC19">
        <v>1</v>
      </c>
      <c r="AG19" t="s">
        <v>375</v>
      </c>
      <c r="BB19">
        <v>1</v>
      </c>
      <c r="BM19" s="2" t="s">
        <v>420</v>
      </c>
      <c r="BN19" t="s">
        <v>421</v>
      </c>
      <c r="BR19">
        <v>45</v>
      </c>
      <c r="BT19" s="6">
        <v>42</v>
      </c>
      <c r="BU19" s="6">
        <v>55</v>
      </c>
      <c r="BV19" s="6">
        <v>1</v>
      </c>
      <c r="BW19" s="6" t="s">
        <v>408</v>
      </c>
      <c r="BX19" s="6"/>
      <c r="BY19" s="6"/>
      <c r="BZ19" s="7"/>
      <c r="CE19" t="s">
        <v>371</v>
      </c>
      <c r="CL19" t="s">
        <v>422</v>
      </c>
      <c r="CM19">
        <v>1.1</v>
      </c>
      <c r="CN19">
        <v>1.1</v>
      </c>
      <c r="CO19">
        <v>1.1</v>
      </c>
      <c r="CP19">
        <v>45</v>
      </c>
    </row>
    <row r="20" customFormat="1" spans="1:101">
      <c r="A20" s="2" t="s">
        <v>423</v>
      </c>
      <c r="C20" s="2" t="s">
        <v>424</v>
      </c>
      <c r="K20" s="5" t="s">
        <v>397</v>
      </c>
      <c r="L20" s="5" t="s">
        <v>425</v>
      </c>
      <c r="M20" s="5"/>
      <c r="N20" s="5"/>
      <c r="O20" s="5" t="s">
        <v>415</v>
      </c>
      <c r="P20" s="5"/>
      <c r="Q20" s="5"/>
      <c r="R20" s="5"/>
      <c r="S20" s="5"/>
      <c r="T20" s="5"/>
      <c r="U20" s="5"/>
      <c r="V20" s="5"/>
      <c r="W20" s="5"/>
      <c r="X20" s="5"/>
      <c r="AC20">
        <v>2</v>
      </c>
      <c r="AG20" s="2"/>
      <c r="AO20" s="2" t="s">
        <v>368</v>
      </c>
      <c r="AV20" s="2" t="s">
        <v>370</v>
      </c>
      <c r="AX20">
        <v>0</v>
      </c>
      <c r="AZ20">
        <v>2</v>
      </c>
      <c r="BB20">
        <v>1</v>
      </c>
      <c r="BT20" s="6"/>
      <c r="BU20" s="6"/>
      <c r="BV20" s="6"/>
      <c r="BW20" s="6"/>
      <c r="BX20" s="6"/>
      <c r="BY20" s="6"/>
      <c r="CE20" s="2"/>
      <c r="CJ20" s="2" t="s">
        <v>426</v>
      </c>
      <c r="CL20" s="2"/>
      <c r="CM20" s="2"/>
      <c r="CS20" t="s">
        <v>427</v>
      </c>
      <c r="CW20" t="s">
        <v>372</v>
      </c>
    </row>
    <row r="21" customFormat="1" spans="1:101">
      <c r="A21" t="s">
        <v>428</v>
      </c>
      <c r="C21" t="s">
        <v>136</v>
      </c>
      <c r="K21" s="5"/>
      <c r="L21" s="5"/>
      <c r="M21" s="5"/>
      <c r="N21" s="5"/>
      <c r="O21" s="5" t="s">
        <v>415</v>
      </c>
      <c r="P21" s="5"/>
      <c r="Q21" s="5"/>
      <c r="R21" s="5"/>
      <c r="S21" s="5"/>
      <c r="T21" s="5"/>
      <c r="U21" s="5"/>
      <c r="V21" s="5"/>
      <c r="W21" s="5"/>
      <c r="X21" s="5"/>
      <c r="AC21">
        <v>2</v>
      </c>
      <c r="AO21" t="s">
        <v>368</v>
      </c>
      <c r="AR21" t="s">
        <v>369</v>
      </c>
      <c r="AV21" t="s">
        <v>370</v>
      </c>
      <c r="AX21">
        <v>1</v>
      </c>
      <c r="BB21">
        <v>1</v>
      </c>
      <c r="BT21" s="6"/>
      <c r="BU21" s="6"/>
      <c r="BV21" s="6"/>
      <c r="BW21" s="6"/>
      <c r="BX21" s="6"/>
      <c r="BY21" s="6"/>
      <c r="BZ21" t="s">
        <v>429</v>
      </c>
      <c r="CE21" t="s">
        <v>371</v>
      </c>
      <c r="CW21" t="s">
        <v>372</v>
      </c>
    </row>
    <row r="22" customFormat="1" spans="1:110">
      <c r="A22" t="s">
        <v>421</v>
      </c>
      <c r="C22" t="s">
        <v>374</v>
      </c>
      <c r="I22">
        <v>1</v>
      </c>
      <c r="K22" s="5" t="s">
        <v>397</v>
      </c>
      <c r="L22" s="5"/>
      <c r="P22" s="5"/>
      <c r="Q22" s="5"/>
      <c r="R22" s="5"/>
      <c r="S22" s="5"/>
      <c r="T22" s="5"/>
      <c r="U22" s="5"/>
      <c r="V22" s="5"/>
      <c r="W22" s="5"/>
      <c r="X22" s="5"/>
      <c r="AC22">
        <v>1</v>
      </c>
      <c r="AG22" t="s">
        <v>375</v>
      </c>
      <c r="BB22">
        <v>1</v>
      </c>
      <c r="BQ22">
        <v>1.6</v>
      </c>
      <c r="BT22" s="6"/>
      <c r="BU22" s="6"/>
      <c r="BV22" s="6"/>
      <c r="BW22" s="6"/>
      <c r="BX22" s="6"/>
      <c r="BY22" s="6"/>
      <c r="BZ22" t="s">
        <v>430</v>
      </c>
      <c r="CE22" t="s">
        <v>371</v>
      </c>
      <c r="DB22">
        <v>1</v>
      </c>
      <c r="DE22">
        <v>1</v>
      </c>
      <c r="DF22">
        <v>1</v>
      </c>
    </row>
    <row r="23" customFormat="1" spans="1:110">
      <c r="A23" t="s">
        <v>431</v>
      </c>
      <c r="C23" t="s">
        <v>374</v>
      </c>
      <c r="I23">
        <v>1</v>
      </c>
      <c r="K23" s="5" t="s">
        <v>397</v>
      </c>
      <c r="L23" s="5" t="s">
        <v>432</v>
      </c>
      <c r="P23" s="5"/>
      <c r="Q23" s="5"/>
      <c r="R23" s="5"/>
      <c r="S23" s="5"/>
      <c r="T23" s="5"/>
      <c r="U23" s="5"/>
      <c r="V23" s="5"/>
      <c r="W23" s="5"/>
      <c r="X23" s="5"/>
      <c r="AC23">
        <v>1</v>
      </c>
      <c r="AG23" t="s">
        <v>375</v>
      </c>
      <c r="BB23">
        <v>1</v>
      </c>
      <c r="BQ23">
        <v>0.1667</v>
      </c>
      <c r="BT23" s="6"/>
      <c r="BU23" s="6"/>
      <c r="BV23" s="6"/>
      <c r="BW23" s="6"/>
      <c r="BX23" s="6"/>
      <c r="BY23" s="6"/>
      <c r="BZ23" t="s">
        <v>433</v>
      </c>
      <c r="CE23" t="s">
        <v>371</v>
      </c>
      <c r="DB23">
        <v>1</v>
      </c>
      <c r="DE23">
        <v>1</v>
      </c>
      <c r="DF23">
        <v>1</v>
      </c>
    </row>
    <row r="29" spans="72:72">
      <c r="BT29"/>
    </row>
    <row r="30" spans="72:88">
      <c r="BT30"/>
      <c r="CJ30" s="5"/>
    </row>
    <row r="31" spans="88:88">
      <c r="CJ31" s="5"/>
    </row>
    <row r="32" spans="88:88">
      <c r="CJ32" s="5"/>
    </row>
    <row r="33" spans="72:72">
      <c r="BT33"/>
    </row>
    <row r="34" spans="72:88">
      <c r="BT34"/>
      <c r="CJ34" s="5"/>
    </row>
    <row r="35" spans="88:88">
      <c r="CJ35" s="5"/>
    </row>
    <row r="37" spans="72:72">
      <c r="BT37"/>
    </row>
    <row r="38" spans="72:88">
      <c r="BT38"/>
      <c r="CJ38" s="5"/>
    </row>
    <row r="39" spans="88:88">
      <c r="CJ39" s="5"/>
    </row>
    <row r="41" spans="72:72">
      <c r="BT41"/>
    </row>
    <row r="42" spans="88:88">
      <c r="CJ42" s="5"/>
    </row>
    <row r="45" spans="88:88">
      <c r="CJ45" s="5"/>
    </row>
    <row r="49" spans="88:88">
      <c r="CJ49" s="5"/>
    </row>
    <row r="51" spans="72:72">
      <c r="BT51"/>
    </row>
    <row r="52" spans="88:88">
      <c r="CJ52" s="5"/>
    </row>
    <row r="59" spans="72:72">
      <c r="BT59"/>
    </row>
    <row r="60" spans="88:88">
      <c r="CJ60" s="5"/>
    </row>
    <row r="61" spans="88:88">
      <c r="CJ61" s="5"/>
    </row>
    <row r="63" spans="72:72">
      <c r="BT63"/>
    </row>
    <row r="64" spans="72:88">
      <c r="BT64"/>
      <c r="CJ64" s="5"/>
    </row>
    <row r="65" spans="88:88">
      <c r="CJ65" s="5"/>
    </row>
    <row r="71" spans="72:72">
      <c r="BT71"/>
    </row>
    <row r="72" spans="72:88">
      <c r="BT72"/>
      <c r="CJ72" s="5"/>
    </row>
    <row r="73" spans="72:88">
      <c r="BT73"/>
      <c r="CJ73" s="5"/>
    </row>
    <row r="74" spans="88:88">
      <c r="CJ74" s="5"/>
    </row>
    <row r="79" spans="72:72">
      <c r="BT79"/>
    </row>
    <row r="80" spans="72:72">
      <c r="BT80"/>
    </row>
    <row r="84" spans="72:72">
      <c r="BT84"/>
    </row>
    <row r="85" spans="88:88">
      <c r="CJ85" s="5"/>
    </row>
    <row r="86" spans="72:72">
      <c r="BT86"/>
    </row>
    <row r="87" spans="88:88">
      <c r="CJ87" s="5"/>
    </row>
    <row r="97" spans="72:72">
      <c r="BT97"/>
    </row>
    <row r="98" spans="88:88">
      <c r="CJ98" s="5"/>
    </row>
    <row r="100" spans="72:72">
      <c r="BT100"/>
    </row>
    <row r="101" spans="88:88">
      <c r="CJ101" s="5"/>
    </row>
    <row r="109" spans="72:72">
      <c r="BT109"/>
    </row>
    <row r="110" spans="88:88">
      <c r="CJ110" s="5"/>
    </row>
    <row r="114" spans="72:72">
      <c r="BT114"/>
    </row>
    <row r="115" spans="88:88">
      <c r="CJ115" s="5"/>
    </row>
    <row r="117" spans="72:72">
      <c r="BT117"/>
    </row>
    <row r="118" spans="88:88">
      <c r="CJ118" s="5"/>
    </row>
    <row r="134" spans="72:72">
      <c r="BT134"/>
    </row>
    <row r="135" spans="72:88">
      <c r="BT135"/>
      <c r="CJ135" s="5"/>
    </row>
    <row r="136" spans="72:88">
      <c r="BT136"/>
      <c r="CJ136" s="5"/>
    </row>
    <row r="137" spans="72:88">
      <c r="BT137"/>
      <c r="CJ137" s="5"/>
    </row>
    <row r="138" spans="72:72">
      <c r="BT138"/>
    </row>
    <row r="140" spans="72:72">
      <c r="BT140"/>
    </row>
    <row r="141" spans="72:88">
      <c r="BT141"/>
      <c r="CJ141" s="5"/>
    </row>
    <row r="142" spans="72:88">
      <c r="BT142"/>
      <c r="CJ142" s="5"/>
    </row>
    <row r="143" spans="88:88">
      <c r="CJ143" s="5"/>
    </row>
    <row r="147" spans="72:72">
      <c r="BT147"/>
    </row>
    <row r="148" spans="88:88">
      <c r="CJ148" s="5"/>
    </row>
    <row r="150" spans="72:72">
      <c r="BT150"/>
    </row>
    <row r="151" spans="72:88">
      <c r="BT151"/>
      <c r="CJ151" s="5"/>
    </row>
    <row r="152" spans="72:88">
      <c r="BT152"/>
      <c r="CJ152" s="5"/>
    </row>
    <row r="153" spans="88:88">
      <c r="CJ153" s="5"/>
    </row>
    <row r="169" spans="72:72">
      <c r="BT169"/>
    </row>
    <row r="170" spans="88:88">
      <c r="CJ170" s="5"/>
    </row>
    <row r="178" spans="88:88">
      <c r="CJ178" s="5"/>
    </row>
    <row r="179" spans="88:88">
      <c r="CJ179" s="5"/>
    </row>
    <row r="180" spans="88:88">
      <c r="CJ180" s="5"/>
    </row>
    <row r="181" spans="88:88">
      <c r="CJ181" s="5"/>
    </row>
    <row r="182" spans="88:88">
      <c r="CJ182" s="5"/>
    </row>
    <row r="184" spans="72:72">
      <c r="BT184"/>
    </row>
    <row r="185" spans="88:88">
      <c r="CJ185" s="5"/>
    </row>
    <row r="186" spans="72:72">
      <c r="BT186"/>
    </row>
    <row r="187" spans="72:88">
      <c r="BT187"/>
      <c r="CJ187" s="5"/>
    </row>
    <row r="188" spans="88:88">
      <c r="CJ188" s="5"/>
    </row>
    <row r="190" spans="72:72">
      <c r="BT190"/>
    </row>
    <row r="191" spans="72:88">
      <c r="BT191"/>
      <c r="CJ191" s="5"/>
    </row>
    <row r="192" spans="72:88">
      <c r="BT192"/>
      <c r="CJ192" s="5"/>
    </row>
    <row r="193" spans="88:88">
      <c r="CJ193" s="5"/>
    </row>
    <row r="195" spans="88:88">
      <c r="CJ195" s="5"/>
    </row>
    <row r="197" spans="88:88">
      <c r="CJ197" s="5"/>
    </row>
    <row r="199" spans="88:88">
      <c r="CJ199" s="5"/>
    </row>
    <row r="202" spans="88:88">
      <c r="CJ202" s="5"/>
    </row>
    <row r="203" spans="88:88">
      <c r="CJ203" s="5"/>
    </row>
    <row r="204" spans="88:88">
      <c r="CJ204" s="5"/>
    </row>
    <row r="205" spans="88:88">
      <c r="CJ205" s="5"/>
    </row>
    <row r="206" spans="88:88">
      <c r="CJ206" s="5"/>
    </row>
    <row r="207" spans="88:88">
      <c r="CJ207" s="5"/>
    </row>
    <row r="208" spans="72:72">
      <c r="BT208"/>
    </row>
    <row r="209" spans="72:88">
      <c r="BT209"/>
      <c r="CJ209" s="5"/>
    </row>
    <row r="210" spans="72:88">
      <c r="BT210"/>
      <c r="CJ210" s="5"/>
    </row>
    <row r="211" spans="88:88">
      <c r="CJ211" s="5"/>
    </row>
    <row r="212" spans="88:88">
      <c r="CJ212" s="5"/>
    </row>
    <row r="213" spans="88:88">
      <c r="CJ213" s="5"/>
    </row>
    <row r="214" spans="88:88">
      <c r="CJ214" s="5"/>
    </row>
    <row r="216" spans="88:88">
      <c r="CJ216" s="5"/>
    </row>
    <row r="217" spans="88:88">
      <c r="CJ217" s="5"/>
    </row>
    <row r="218" spans="72:72">
      <c r="BT218"/>
    </row>
    <row r="219" spans="72:88">
      <c r="BT219"/>
      <c r="CJ219" s="5"/>
    </row>
    <row r="220" spans="72:88">
      <c r="BT220"/>
      <c r="CJ220" s="5"/>
    </row>
    <row r="221" spans="88:88">
      <c r="CJ221" s="5"/>
    </row>
    <row r="222" spans="88:88">
      <c r="CJ222" s="5"/>
    </row>
    <row r="224" spans="88:88">
      <c r="CJ224" s="5"/>
    </row>
    <row r="225" spans="88:88">
      <c r="CJ225" s="5"/>
    </row>
    <row r="226" spans="72:88">
      <c r="BT226"/>
      <c r="CJ226" s="5"/>
    </row>
    <row r="227" spans="72:88">
      <c r="BT227"/>
      <c r="CJ227" s="5"/>
    </row>
    <row r="228" spans="88:88">
      <c r="CJ228" s="5"/>
    </row>
    <row r="229" spans="88:88">
      <c r="CJ229" s="5"/>
    </row>
    <row r="230" spans="88:88">
      <c r="CJ230" s="5"/>
    </row>
    <row r="232" spans="72:88">
      <c r="BT232"/>
      <c r="CJ232" s="5"/>
    </row>
    <row r="233" spans="88:88">
      <c r="CJ233" s="5"/>
    </row>
    <row r="234" spans="88:88">
      <c r="CJ234" s="5"/>
    </row>
    <row r="236" spans="72:88">
      <c r="BT236"/>
      <c r="CJ236" s="5"/>
    </row>
    <row r="237" spans="72:88">
      <c r="BT237"/>
      <c r="CJ237" s="5"/>
    </row>
    <row r="238" spans="88:88">
      <c r="CJ238" s="5"/>
    </row>
    <row r="240" spans="88:88">
      <c r="CJ240" s="5"/>
    </row>
    <row r="242" spans="88:88">
      <c r="CJ242" s="5"/>
    </row>
    <row r="245" spans="88:88">
      <c r="CJ245" s="5"/>
    </row>
    <row r="246" spans="88:88">
      <c r="CJ246" s="5"/>
    </row>
    <row r="250" spans="72:72">
      <c r="BT250"/>
    </row>
    <row r="251" spans="72:88">
      <c r="BT251"/>
      <c r="CJ251" s="5"/>
    </row>
    <row r="252" spans="72:88">
      <c r="BT252"/>
      <c r="CJ252" s="5"/>
    </row>
    <row r="253" spans="88:88">
      <c r="CJ253" s="5"/>
    </row>
    <row r="254" spans="88:88">
      <c r="CJ254" s="5"/>
    </row>
    <row r="255" spans="72:72">
      <c r="BT255"/>
    </row>
    <row r="256" spans="88:88">
      <c r="CJ256" s="5"/>
    </row>
    <row r="258" spans="88:88">
      <c r="CJ258" s="5"/>
    </row>
    <row r="259" spans="88:88">
      <c r="CJ259" s="5"/>
    </row>
    <row r="261" spans="88:88">
      <c r="CJ261" s="5"/>
    </row>
    <row r="262" spans="88:88">
      <c r="CJ262" s="5"/>
    </row>
    <row r="263" spans="88:88">
      <c r="CJ263" s="5"/>
    </row>
    <row r="264" spans="88:88">
      <c r="CJ264" s="5"/>
    </row>
    <row r="265" spans="88:88">
      <c r="CJ265" s="5"/>
    </row>
    <row r="266" spans="88:88">
      <c r="CJ266" s="5"/>
    </row>
    <row r="267" spans="88:88">
      <c r="CJ267" s="5"/>
    </row>
    <row r="269" spans="72:72">
      <c r="BT269"/>
    </row>
    <row r="270" spans="88:88">
      <c r="CJ270" s="5"/>
    </row>
    <row r="271" spans="88:88">
      <c r="CJ271" s="5"/>
    </row>
    <row r="304" spans="71:72">
      <c r="BS304" s="8"/>
      <c r="BT304" s="9"/>
    </row>
    <row r="305" spans="8:88">
      <c r="H305" s="8"/>
      <c r="CJ305" s="8"/>
    </row>
    <row r="311" spans="72:72">
      <c r="BT311"/>
    </row>
    <row r="312" spans="72:88">
      <c r="BT312"/>
      <c r="CJ312" s="5"/>
    </row>
    <row r="313" spans="72:88">
      <c r="BT313"/>
      <c r="CJ313" s="5"/>
    </row>
    <row r="314" spans="88:88">
      <c r="CJ314" s="5"/>
    </row>
    <row r="331" spans="72:72">
      <c r="BT331"/>
    </row>
    <row r="332" spans="88:88">
      <c r="CJ332" s="5"/>
    </row>
    <row r="364" spans="72:72">
      <c r="BT364"/>
    </row>
    <row r="365" spans="72:88">
      <c r="BT365"/>
      <c r="CJ365" s="5"/>
    </row>
    <row r="366" spans="88:88">
      <c r="CJ366" s="5"/>
    </row>
    <row r="382" spans="72:72">
      <c r="BT382"/>
    </row>
    <row r="383" spans="88:88">
      <c r="CJ383" s="5"/>
    </row>
    <row r="389" spans="72:72">
      <c r="BT389"/>
    </row>
    <row r="390" spans="72:88">
      <c r="BT390"/>
      <c r="CJ390" s="5"/>
    </row>
    <row r="391" spans="88:88">
      <c r="CJ391" s="5"/>
    </row>
    <row r="396" spans="72:72">
      <c r="BT396"/>
    </row>
    <row r="397" spans="72:88">
      <c r="BT397"/>
      <c r="CJ397" s="5"/>
    </row>
    <row r="398" spans="72:88">
      <c r="BT398"/>
      <c r="CJ398" s="5"/>
    </row>
    <row r="399" spans="72:88">
      <c r="BT399"/>
      <c r="CJ399" s="5"/>
    </row>
    <row r="400" spans="72:88">
      <c r="BT400"/>
      <c r="CJ400" s="5"/>
    </row>
    <row r="401" spans="72:88">
      <c r="BT401"/>
      <c r="CJ401" s="5"/>
    </row>
    <row r="402" spans="72:88">
      <c r="BT402"/>
      <c r="CJ402" s="5"/>
    </row>
    <row r="403" spans="72:88">
      <c r="BT403"/>
      <c r="CJ403" s="5"/>
    </row>
    <row r="404" spans="72:88">
      <c r="BT404"/>
      <c r="CJ404" s="5"/>
    </row>
    <row r="405" spans="72:88">
      <c r="BT405"/>
      <c r="CJ405" s="5"/>
    </row>
    <row r="406" spans="72:88">
      <c r="BT406"/>
      <c r="CJ406" s="5"/>
    </row>
    <row r="407" spans="72:88">
      <c r="BT407"/>
      <c r="CJ407" s="5"/>
    </row>
    <row r="408" spans="72:88">
      <c r="BT408"/>
      <c r="CJ408" s="5"/>
    </row>
    <row r="409" spans="72:88">
      <c r="BT409"/>
      <c r="CJ409" s="5"/>
    </row>
    <row r="410" spans="72:88">
      <c r="BT410"/>
      <c r="CJ410" s="5"/>
    </row>
    <row r="411" spans="72:88">
      <c r="BT411"/>
      <c r="CJ411" s="5"/>
    </row>
    <row r="412" spans="88:88">
      <c r="CJ412" s="5"/>
    </row>
    <row r="416" spans="72:72">
      <c r="BT416"/>
    </row>
    <row r="417" spans="72:88">
      <c r="BT417"/>
      <c r="CJ417" s="5"/>
    </row>
    <row r="418" spans="88:88">
      <c r="CJ418" s="5"/>
    </row>
    <row r="419" spans="72:72">
      <c r="BT419"/>
    </row>
    <row r="420" spans="88:88">
      <c r="CJ420" s="5"/>
    </row>
    <row r="423" spans="72:72">
      <c r="BT423"/>
    </row>
    <row r="424" spans="72:88">
      <c r="BT424"/>
      <c r="CJ424" s="5"/>
    </row>
    <row r="425" spans="88:88">
      <c r="CJ425" s="5"/>
    </row>
    <row r="456" spans="72:72">
      <c r="BT456"/>
    </row>
    <row r="457" spans="72:88">
      <c r="BT457"/>
      <c r="CJ457" s="5"/>
    </row>
    <row r="458" spans="72:88">
      <c r="BT458"/>
      <c r="CJ458" s="5"/>
    </row>
    <row r="459" spans="72:88">
      <c r="BT459"/>
      <c r="CJ459" s="5"/>
    </row>
    <row r="460" spans="72:88">
      <c r="BT460"/>
      <c r="CJ460" s="5"/>
    </row>
    <row r="461" spans="72:88">
      <c r="BT461"/>
      <c r="CJ461" s="5"/>
    </row>
    <row r="462" spans="72:88">
      <c r="BT462"/>
      <c r="CJ462" s="5"/>
    </row>
    <row r="463" spans="72:88">
      <c r="BT463"/>
      <c r="CJ463" s="5"/>
    </row>
    <row r="464" spans="88:88">
      <c r="CJ464" s="5"/>
    </row>
    <row r="466" spans="72:72">
      <c r="BT466"/>
    </row>
    <row r="467" spans="88:88">
      <c r="CJ467" s="5"/>
    </row>
    <row r="471" spans="72:72">
      <c r="BT471"/>
    </row>
    <row r="472" spans="88:88">
      <c r="CJ472" s="5"/>
    </row>
    <row r="475" spans="72:72">
      <c r="BT475"/>
    </row>
    <row r="476" spans="72:88">
      <c r="BT476"/>
      <c r="CJ476" s="5"/>
    </row>
    <row r="477" spans="72:88">
      <c r="BT477"/>
      <c r="CJ477" s="5"/>
    </row>
    <row r="478" spans="72:88">
      <c r="BT478"/>
      <c r="CJ478" s="5"/>
    </row>
    <row r="479" spans="88:88">
      <c r="CJ479" s="5"/>
    </row>
    <row r="486" spans="72:72">
      <c r="BT486"/>
    </row>
    <row r="487" spans="88:88">
      <c r="CJ487" s="5"/>
    </row>
    <row r="490" spans="72:72">
      <c r="BT490"/>
    </row>
    <row r="491" spans="72:88">
      <c r="BT491"/>
      <c r="CJ491" s="5"/>
    </row>
    <row r="492" spans="72:88">
      <c r="BT492"/>
      <c r="CJ492" s="5"/>
    </row>
    <row r="493" spans="72:88">
      <c r="BT493"/>
      <c r="CJ493" s="5"/>
    </row>
    <row r="494" spans="88:88">
      <c r="CJ494" s="5"/>
    </row>
    <row r="496" spans="72:72">
      <c r="BT496"/>
    </row>
    <row r="497" spans="72:88">
      <c r="BT497"/>
      <c r="CJ497" s="5"/>
    </row>
    <row r="498" spans="88:88">
      <c r="CJ498" s="5"/>
    </row>
    <row r="499" spans="88:88">
      <c r="CJ499">
        <v>0.15</v>
      </c>
    </row>
    <row r="501" spans="88:88">
      <c r="CJ501">
        <v>0.2</v>
      </c>
    </row>
    <row r="502" spans="88:88">
      <c r="CJ502">
        <v>0.1</v>
      </c>
    </row>
    <row r="504" spans="88:88">
      <c r="CJ504">
        <v>0.2</v>
      </c>
    </row>
    <row r="511" spans="88:88">
      <c r="CJ511">
        <v>1</v>
      </c>
    </row>
    <row r="513" spans="88:88">
      <c r="CJ513">
        <v>0.4</v>
      </c>
    </row>
    <row r="514" spans="88:88">
      <c r="CJ514">
        <v>0.6</v>
      </c>
    </row>
    <row r="517" spans="88:88">
      <c r="CJ517">
        <v>0.5</v>
      </c>
    </row>
    <row r="518" spans="88:88">
      <c r="CJ518">
        <v>0.667</v>
      </c>
    </row>
    <row r="519" spans="88:88">
      <c r="CJ519">
        <v>0.2</v>
      </c>
    </row>
    <row r="522" spans="72:72">
      <c r="BT522"/>
    </row>
    <row r="523" spans="72:88">
      <c r="BT523"/>
      <c r="CJ523" s="5"/>
    </row>
    <row r="524" spans="72:88">
      <c r="BT524"/>
      <c r="CJ524" s="5"/>
    </row>
    <row r="525" spans="72:88">
      <c r="BT525"/>
      <c r="CJ525" s="5"/>
    </row>
    <row r="526" spans="72:88">
      <c r="BT526"/>
      <c r="CJ526" s="5"/>
    </row>
    <row r="527" spans="72:88">
      <c r="BT527"/>
      <c r="CJ527" s="5"/>
    </row>
    <row r="528" spans="72:88">
      <c r="BT528"/>
      <c r="CJ528" s="5"/>
    </row>
    <row r="529" spans="72:88">
      <c r="BT529"/>
      <c r="CJ529" s="5"/>
    </row>
    <row r="530" spans="72:88">
      <c r="BT530"/>
      <c r="CJ530" s="5"/>
    </row>
    <row r="531" spans="88:88">
      <c r="CJ531" s="5"/>
    </row>
    <row r="532" spans="72:72">
      <c r="BT532"/>
    </row>
    <row r="533" spans="88:88">
      <c r="CJ533" s="5"/>
    </row>
    <row r="542" spans="72:72">
      <c r="BT542"/>
    </row>
    <row r="543" spans="72:88">
      <c r="BT543"/>
      <c r="CJ543" s="5"/>
    </row>
    <row r="544" spans="72:88">
      <c r="BT544"/>
      <c r="CJ544" s="5"/>
    </row>
    <row r="545" spans="72:88">
      <c r="BT545"/>
      <c r="CJ545" s="5"/>
    </row>
    <row r="546" spans="72:88">
      <c r="BT546"/>
      <c r="CJ546" s="5"/>
    </row>
    <row r="547" spans="72:88">
      <c r="BT547"/>
      <c r="CJ547" s="5"/>
    </row>
    <row r="548" spans="72:88">
      <c r="BT548"/>
      <c r="CJ548" s="5"/>
    </row>
    <row r="549" spans="72:88">
      <c r="BT549"/>
      <c r="CJ549" s="5"/>
    </row>
    <row r="550" spans="88:88">
      <c r="CJ550" s="5"/>
    </row>
    <row r="551" spans="72:72">
      <c r="BT551"/>
    </row>
    <row r="552" spans="88:88">
      <c r="CJ552" s="5"/>
    </row>
    <row r="557" spans="72:72">
      <c r="BT557"/>
    </row>
    <row r="558" spans="72:88">
      <c r="BT558"/>
      <c r="CJ558" s="5"/>
    </row>
    <row r="559" spans="88:88">
      <c r="CJ559" s="5"/>
    </row>
    <row r="560" spans="72:72">
      <c r="BT560"/>
    </row>
    <row r="561" spans="72:88">
      <c r="BT561"/>
      <c r="CJ561" s="5"/>
    </row>
    <row r="562" spans="88:88">
      <c r="CJ562" s="5"/>
    </row>
    <row r="563" spans="72:72">
      <c r="BT563"/>
    </row>
    <row r="564" spans="72:88">
      <c r="BT564"/>
      <c r="CJ564" s="5"/>
    </row>
    <row r="565" spans="72:88">
      <c r="BT565"/>
      <c r="CJ565" s="5"/>
    </row>
    <row r="566" spans="72:88">
      <c r="BT566"/>
      <c r="CJ566" s="5"/>
    </row>
    <row r="567" spans="88:88">
      <c r="CJ567" s="5"/>
    </row>
    <row r="571" spans="72:72">
      <c r="BT571"/>
    </row>
    <row r="572" spans="72:88">
      <c r="BT572"/>
      <c r="CJ572" s="5"/>
    </row>
    <row r="573" spans="72:88">
      <c r="BT573"/>
      <c r="CJ573" s="5"/>
    </row>
    <row r="574" spans="88:88">
      <c r="CJ574" s="5"/>
    </row>
    <row r="575" spans="72:72">
      <c r="BT575"/>
    </row>
    <row r="576" spans="88:88">
      <c r="CJ576" s="5"/>
    </row>
    <row r="577" spans="71:72">
      <c r="BS577" s="8"/>
      <c r="BT577" s="9"/>
    </row>
    <row r="578" spans="8:88">
      <c r="H578" s="8"/>
      <c r="CJ578" s="8"/>
    </row>
    <row r="595" spans="72:72">
      <c r="BT595"/>
    </row>
    <row r="596" spans="72:88">
      <c r="BT596"/>
      <c r="CJ596" s="5"/>
    </row>
    <row r="597" spans="72:88">
      <c r="BT597"/>
      <c r="CJ597" s="5"/>
    </row>
    <row r="598" spans="72:88">
      <c r="BT598"/>
      <c r="CJ598" s="5"/>
    </row>
    <row r="599" spans="88:88">
      <c r="CJ599" s="5"/>
    </row>
    <row r="600" spans="72:72">
      <c r="BT600"/>
    </row>
    <row r="601" spans="72:88">
      <c r="BT601"/>
      <c r="CJ601" s="5"/>
    </row>
    <row r="602" spans="71:88">
      <c r="BS602" s="8"/>
      <c r="BT602" s="9"/>
      <c r="CJ602" s="5"/>
    </row>
    <row r="603" spans="8:88">
      <c r="H603" s="8"/>
      <c r="CJ603" s="8"/>
    </row>
    <row r="606" spans="72:72">
      <c r="BT606"/>
    </row>
    <row r="607" spans="72:88">
      <c r="BT607"/>
      <c r="CJ607" s="5"/>
    </row>
    <row r="608" spans="72:88">
      <c r="BT608"/>
      <c r="CJ608" s="5"/>
    </row>
    <row r="609" spans="72:88">
      <c r="BT609"/>
      <c r="CJ609" s="5"/>
    </row>
    <row r="610" spans="72:88">
      <c r="BT610"/>
      <c r="CJ610" s="5"/>
    </row>
    <row r="611" spans="72:88">
      <c r="BT611"/>
      <c r="CJ611" s="5"/>
    </row>
    <row r="612" spans="72:88">
      <c r="BT612"/>
      <c r="CJ612" s="5"/>
    </row>
    <row r="613" spans="72:88">
      <c r="BT613"/>
      <c r="CJ613" s="5"/>
    </row>
    <row r="614" spans="88:88">
      <c r="CJ614" s="5"/>
    </row>
    <row r="616" spans="72:72">
      <c r="BT616"/>
    </row>
    <row r="617" spans="72:88">
      <c r="BT617"/>
      <c r="CJ617" s="5"/>
    </row>
    <row r="618" spans="72:88">
      <c r="BT618"/>
      <c r="CJ618" s="5"/>
    </row>
    <row r="619" spans="72:88">
      <c r="BT619"/>
      <c r="CJ619" s="5"/>
    </row>
    <row r="620" spans="72:88">
      <c r="BT620"/>
      <c r="CJ620" s="5"/>
    </row>
    <row r="621" spans="72:88">
      <c r="BT621"/>
      <c r="CJ621" s="5"/>
    </row>
    <row r="622" spans="88:88">
      <c r="CJ622" s="5"/>
    </row>
    <row r="623" spans="72:72">
      <c r="BT623"/>
    </row>
    <row r="624" spans="72:88">
      <c r="BT624"/>
      <c r="CJ624" s="5"/>
    </row>
    <row r="625" spans="72:88">
      <c r="BT625"/>
      <c r="CJ625" s="5"/>
    </row>
    <row r="626" spans="72:88">
      <c r="BT626"/>
      <c r="CJ626" s="5"/>
    </row>
    <row r="627" spans="72:88">
      <c r="BT627"/>
      <c r="CJ627" s="5"/>
    </row>
    <row r="628" spans="72:88">
      <c r="BT628"/>
      <c r="CJ628" s="5"/>
    </row>
    <row r="629" spans="72:88">
      <c r="BT629"/>
      <c r="CJ629" s="5"/>
    </row>
    <row r="630" spans="72:88">
      <c r="BT630"/>
      <c r="CJ630" s="5"/>
    </row>
    <row r="631" spans="72:88">
      <c r="BT631"/>
      <c r="CJ631" s="5"/>
    </row>
    <row r="632" spans="72:88">
      <c r="BT632"/>
      <c r="CJ632" s="5"/>
    </row>
    <row r="633" spans="72:88">
      <c r="BT633"/>
      <c r="CJ633" s="5"/>
    </row>
    <row r="634" spans="72:88">
      <c r="BT634"/>
      <c r="CJ634" s="5"/>
    </row>
    <row r="635" spans="72:88">
      <c r="BT635"/>
      <c r="CJ635" s="5"/>
    </row>
    <row r="636" spans="72:88">
      <c r="BT636"/>
      <c r="CJ636" s="5"/>
    </row>
    <row r="637" spans="72:88">
      <c r="BT637"/>
      <c r="CJ637" s="5"/>
    </row>
    <row r="638" spans="72:88">
      <c r="BT638"/>
      <c r="CJ638" s="5"/>
    </row>
    <row r="639" spans="72:88">
      <c r="BT639"/>
      <c r="CJ639" s="5"/>
    </row>
    <row r="640" spans="72:88">
      <c r="BT640"/>
      <c r="CJ640" s="5"/>
    </row>
    <row r="641" spans="72:88">
      <c r="BT641"/>
      <c r="CJ641" s="5"/>
    </row>
    <row r="642" spans="72:88">
      <c r="BT642"/>
      <c r="CJ642" s="5"/>
    </row>
    <row r="643" spans="72:88">
      <c r="BT643"/>
      <c r="CJ643" s="5"/>
    </row>
    <row r="644" spans="72:88">
      <c r="BT644"/>
      <c r="CJ644" s="5"/>
    </row>
    <row r="645" spans="72:88">
      <c r="BT645"/>
      <c r="CJ645" s="5"/>
    </row>
    <row r="646" spans="72:88">
      <c r="BT646"/>
      <c r="CJ646" s="5"/>
    </row>
    <row r="647" spans="72:88">
      <c r="BT647"/>
      <c r="CJ647" s="5"/>
    </row>
    <row r="648" spans="72:88">
      <c r="BT648"/>
      <c r="CJ648" s="5"/>
    </row>
    <row r="649" spans="72:88">
      <c r="BT649"/>
      <c r="CJ649" s="5"/>
    </row>
    <row r="650" spans="72:88">
      <c r="BT650"/>
      <c r="CJ650" s="5"/>
    </row>
    <row r="651" spans="72:88">
      <c r="BT651"/>
      <c r="CJ651" s="5"/>
    </row>
    <row r="652" spans="72:88">
      <c r="BT652"/>
      <c r="CJ652" s="5"/>
    </row>
    <row r="653" spans="88:88">
      <c r="CJ653" s="5"/>
    </row>
    <row r="654" spans="72:72">
      <c r="BT654"/>
    </row>
    <row r="655" spans="72:88">
      <c r="BT655"/>
      <c r="CJ655" s="5"/>
    </row>
    <row r="656" spans="72:88">
      <c r="BT656"/>
      <c r="CJ656" s="5"/>
    </row>
    <row r="657" spans="88:88">
      <c r="CJ657" s="5"/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79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H15" sqref="H15"/>
    </sheetView>
  </sheetViews>
  <sheetFormatPr defaultColWidth="9" defaultRowHeight="14"/>
  <cols>
    <col min="1" max="1" width="13" customWidth="1"/>
    <col min="2" max="2" width="31.2545454545455" customWidth="1"/>
    <col min="7" max="7" width="18.7545454545455" customWidth="1"/>
    <col min="8" max="8" width="15" customWidth="1"/>
    <col min="14" max="14" width="16.0818181818182" customWidth="1"/>
    <col min="15" max="15" width="9.5" customWidth="1"/>
    <col min="16" max="16" width="22.1636363636364" customWidth="1"/>
    <col min="17" max="17" width="12.8363636363636" customWidth="1"/>
    <col min="20" max="20" width="9" customWidth="1"/>
  </cols>
  <sheetData>
    <row r="1" spans="1:16">
      <c r="A1" t="s">
        <v>0</v>
      </c>
      <c r="B1" t="s">
        <v>5</v>
      </c>
      <c r="E1" t="s">
        <v>434</v>
      </c>
      <c r="F1" t="s">
        <v>435</v>
      </c>
      <c r="G1" t="s">
        <v>436</v>
      </c>
      <c r="H1" t="s">
        <v>437</v>
      </c>
      <c r="I1" t="s">
        <v>438</v>
      </c>
      <c r="J1" t="s">
        <v>439</v>
      </c>
      <c r="L1" t="s">
        <v>440</v>
      </c>
      <c r="M1" t="s">
        <v>441</v>
      </c>
      <c r="N1" t="s">
        <v>442</v>
      </c>
      <c r="O1" t="s">
        <v>443</v>
      </c>
      <c r="P1" s="2" t="s">
        <v>444</v>
      </c>
    </row>
    <row r="2" spans="1:17">
      <c r="A2" t="s">
        <v>0</v>
      </c>
      <c r="C2" t="s">
        <v>48</v>
      </c>
      <c r="D2" t="s">
        <v>77</v>
      </c>
      <c r="E2" t="s">
        <v>445</v>
      </c>
      <c r="F2" t="s">
        <v>446</v>
      </c>
      <c r="G2" t="s">
        <v>447</v>
      </c>
      <c r="H2" t="s">
        <v>448</v>
      </c>
      <c r="I2" t="s">
        <v>449</v>
      </c>
      <c r="J2" t="s">
        <v>450</v>
      </c>
      <c r="K2" t="s">
        <v>451</v>
      </c>
      <c r="L2" t="s">
        <v>53</v>
      </c>
      <c r="M2" t="s">
        <v>452</v>
      </c>
      <c r="N2" t="s">
        <v>453</v>
      </c>
      <c r="O2" t="s">
        <v>454</v>
      </c>
      <c r="P2" s="2" t="s">
        <v>455</v>
      </c>
      <c r="Q2" t="s">
        <v>334</v>
      </c>
    </row>
    <row r="3" spans="1:17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364</v>
      </c>
      <c r="K3" t="s">
        <v>117</v>
      </c>
      <c r="L3" t="s">
        <v>328</v>
      </c>
      <c r="M3" t="s">
        <v>116</v>
      </c>
      <c r="N3" t="s">
        <v>116</v>
      </c>
      <c r="O3" t="s">
        <v>328</v>
      </c>
      <c r="P3" t="s">
        <v>116</v>
      </c>
      <c r="Q3" t="s">
        <v>125</v>
      </c>
    </row>
    <row r="4" customFormat="1" spans="1:17">
      <c r="A4" s="2" t="s">
        <v>377</v>
      </c>
      <c r="C4" t="s">
        <v>456</v>
      </c>
      <c r="F4">
        <v>1</v>
      </c>
      <c r="Q4" s="2" t="s">
        <v>457</v>
      </c>
    </row>
    <row r="5" customFormat="1" spans="1:17">
      <c r="A5" s="2" t="s">
        <v>376</v>
      </c>
      <c r="C5" t="s">
        <v>458</v>
      </c>
      <c r="F5">
        <v>1</v>
      </c>
      <c r="Q5" s="2"/>
    </row>
    <row r="7" customFormat="1" spans="1:17">
      <c r="A7" t="s">
        <v>392</v>
      </c>
      <c r="B7"/>
      <c r="C7" t="s">
        <v>456</v>
      </c>
      <c r="D7"/>
      <c r="E7"/>
      <c r="F7"/>
      <c r="G7"/>
      <c r="H7"/>
      <c r="I7"/>
      <c r="J7"/>
      <c r="K7"/>
      <c r="L7"/>
      <c r="M7"/>
      <c r="N7"/>
      <c r="O7"/>
      <c r="P7"/>
      <c r="Q7" t="s">
        <v>459</v>
      </c>
    </row>
    <row r="9" customFormat="1" spans="1:17">
      <c r="A9" t="s">
        <v>460</v>
      </c>
      <c r="C9" t="s">
        <v>216</v>
      </c>
      <c r="H9">
        <v>1</v>
      </c>
      <c r="Q9" s="3" t="s">
        <v>461</v>
      </c>
    </row>
    <row r="278" spans="16:16">
      <c r="P278">
        <v>1</v>
      </c>
    </row>
    <row r="279" spans="16:16">
      <c r="P279">
        <v>1</v>
      </c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D13" sqref="D13"/>
    </sheetView>
  </sheetViews>
  <sheetFormatPr defaultColWidth="9" defaultRowHeight="14" outlineLevelRow="2" outlineLevelCol="3"/>
  <cols>
    <col min="1" max="1" width="11.3363636363636" customWidth="1"/>
    <col min="2" max="2" width="11.2545454545455" customWidth="1"/>
    <col min="4" max="4" width="27.5" customWidth="1"/>
  </cols>
  <sheetData>
    <row r="1" spans="1:3">
      <c r="A1" t="s">
        <v>0</v>
      </c>
      <c r="C1" t="s">
        <v>462</v>
      </c>
    </row>
    <row r="2" spans="1:4">
      <c r="A2" t="s">
        <v>0</v>
      </c>
      <c r="B2" t="s">
        <v>48</v>
      </c>
      <c r="C2" t="s">
        <v>463</v>
      </c>
      <c r="D2" t="s">
        <v>334</v>
      </c>
    </row>
    <row r="3" spans="1:4">
      <c r="A3" t="s">
        <v>2</v>
      </c>
      <c r="B3" t="s">
        <v>2</v>
      </c>
      <c r="C3" t="s">
        <v>328</v>
      </c>
      <c r="D3" t="s">
        <v>125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3"/>
  <sheetViews>
    <sheetView workbookViewId="0">
      <selection activeCell="F16" sqref="F16"/>
    </sheetView>
  </sheetViews>
  <sheetFormatPr defaultColWidth="9" defaultRowHeight="14" outlineLevelRow="2"/>
  <cols>
    <col min="1" max="1" width="15.2545454545455" customWidth="1"/>
    <col min="3" max="3" width="27.2545454545455" customWidth="1"/>
    <col min="4" max="4" width="10.8363636363636" customWidth="1"/>
    <col min="9" max="9" width="9" customWidth="1"/>
  </cols>
  <sheetData>
    <row r="2" spans="1:9">
      <c r="A2" t="s">
        <v>0</v>
      </c>
      <c r="B2" t="s">
        <v>48</v>
      </c>
      <c r="C2" t="s">
        <v>50</v>
      </c>
      <c r="D2" t="s">
        <v>464</v>
      </c>
      <c r="E2" t="s">
        <v>72</v>
      </c>
      <c r="F2" t="s">
        <v>465</v>
      </c>
      <c r="G2" t="s">
        <v>466</v>
      </c>
      <c r="H2" t="s">
        <v>467</v>
      </c>
      <c r="I2" t="s">
        <v>334</v>
      </c>
    </row>
    <row r="3" spans="1:9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2" t="s">
        <v>125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D14" sqref="D14"/>
    </sheetView>
  </sheetViews>
  <sheetFormatPr defaultColWidth="9" defaultRowHeight="14" outlineLevelRow="2"/>
  <cols>
    <col min="1" max="1" width="15.2545454545455" customWidth="1"/>
    <col min="2" max="2" width="28" customWidth="1"/>
    <col min="3" max="4" width="10.0818181818182" customWidth="1"/>
    <col min="5" max="10" width="11.2545454545455" customWidth="1"/>
    <col min="11" max="11" width="6.33636363636364" customWidth="1"/>
  </cols>
  <sheetData>
    <row r="1" spans="1:12">
      <c r="A1" t="s">
        <v>0</v>
      </c>
      <c r="B1" t="s">
        <v>468</v>
      </c>
      <c r="C1" t="s">
        <v>469</v>
      </c>
      <c r="D1" t="s">
        <v>470</v>
      </c>
      <c r="E1" t="s">
        <v>471</v>
      </c>
      <c r="F1" t="s">
        <v>472</v>
      </c>
      <c r="H1" t="s">
        <v>473</v>
      </c>
      <c r="I1" t="s">
        <v>474</v>
      </c>
      <c r="J1" t="s">
        <v>475</v>
      </c>
      <c r="K1" t="s">
        <v>476</v>
      </c>
      <c r="L1" t="s">
        <v>477</v>
      </c>
    </row>
    <row r="2" spans="1:12">
      <c r="A2" t="s">
        <v>0</v>
      </c>
      <c r="B2" t="s">
        <v>478</v>
      </c>
      <c r="C2" t="s">
        <v>479</v>
      </c>
      <c r="D2" t="s">
        <v>480</v>
      </c>
      <c r="E2" t="s">
        <v>481</v>
      </c>
      <c r="F2" t="s">
        <v>482</v>
      </c>
      <c r="G2" t="s">
        <v>483</v>
      </c>
      <c r="H2" t="s">
        <v>484</v>
      </c>
      <c r="I2" t="s">
        <v>485</v>
      </c>
      <c r="J2" t="s">
        <v>486</v>
      </c>
      <c r="K2" t="s">
        <v>465</v>
      </c>
      <c r="L2" t="s">
        <v>97</v>
      </c>
    </row>
    <row r="3" spans="1:12">
      <c r="A3" t="s">
        <v>2</v>
      </c>
      <c r="B3" t="s">
        <v>2</v>
      </c>
      <c r="C3" t="s">
        <v>118</v>
      </c>
      <c r="D3" t="s">
        <v>487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D16" sqref="D16"/>
    </sheetView>
  </sheetViews>
  <sheetFormatPr defaultColWidth="9" defaultRowHeight="14" outlineLevelRow="2"/>
  <cols>
    <col min="1" max="1" width="19.0818181818182" customWidth="1"/>
    <col min="2" max="2" width="16.2545454545455" customWidth="1"/>
    <col min="3" max="3" width="16.3363636363636" customWidth="1"/>
    <col min="4" max="4" width="47.8363636363636" customWidth="1"/>
    <col min="5" max="5" width="10.2545454545455" customWidth="1"/>
    <col min="6" max="6" width="12.8363636363636" customWidth="1"/>
    <col min="10" max="10" width="11.8363636363636" customWidth="1"/>
  </cols>
  <sheetData>
    <row r="2" spans="1:10">
      <c r="A2" t="s">
        <v>0</v>
      </c>
      <c r="B2" t="s">
        <v>246</v>
      </c>
      <c r="C2" t="s">
        <v>77</v>
      </c>
      <c r="D2" t="s">
        <v>488</v>
      </c>
      <c r="E2" t="s">
        <v>489</v>
      </c>
      <c r="F2" t="s">
        <v>79</v>
      </c>
      <c r="G2" t="s">
        <v>490</v>
      </c>
      <c r="H2" t="s">
        <v>274</v>
      </c>
      <c r="I2" t="s">
        <v>491</v>
      </c>
      <c r="J2" t="s">
        <v>54</v>
      </c>
    </row>
    <row r="3" spans="1:10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492</v>
      </c>
      <c r="I3" t="s">
        <v>118</v>
      </c>
      <c r="J3" t="s">
        <v>118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G15" sqref="G15"/>
    </sheetView>
  </sheetViews>
  <sheetFormatPr defaultColWidth="8.72727272727273" defaultRowHeight="14" outlineLevelRow="4"/>
  <cols>
    <col min="1" max="1" width="7.54545454545455" customWidth="1"/>
    <col min="2" max="2" width="10.6363636363636" customWidth="1"/>
    <col min="3" max="3" width="21.9090909090909" customWidth="1"/>
    <col min="4" max="4" width="16.2727272727273" customWidth="1"/>
    <col min="5" max="5" width="14" customWidth="1"/>
    <col min="6" max="7" width="15.1818181818182" customWidth="1"/>
    <col min="8" max="8" width="12.9090909090909" customWidth="1"/>
    <col min="9" max="9" width="14" customWidth="1"/>
  </cols>
  <sheetData>
    <row r="1" s="1" customFormat="1" spans="1:9">
      <c r="A1" s="1" t="s">
        <v>0</v>
      </c>
      <c r="B1" s="1" t="s">
        <v>493</v>
      </c>
      <c r="C1" s="1" t="s">
        <v>494</v>
      </c>
      <c r="D1" s="1" t="s">
        <v>495</v>
      </c>
      <c r="E1" s="1" t="s">
        <v>496</v>
      </c>
      <c r="F1" s="1" t="s">
        <v>497</v>
      </c>
      <c r="G1" s="1" t="s">
        <v>498</v>
      </c>
      <c r="H1" s="1" t="s">
        <v>499</v>
      </c>
      <c r="I1" s="1" t="s">
        <v>500</v>
      </c>
    </row>
    <row r="2" s="1" customFormat="1" spans="1:9">
      <c r="A2" s="1" t="s">
        <v>0</v>
      </c>
      <c r="B2" s="1" t="s">
        <v>501</v>
      </c>
      <c r="C2" s="1" t="s">
        <v>502</v>
      </c>
      <c r="D2" s="1" t="s">
        <v>503</v>
      </c>
      <c r="E2" s="1" t="s">
        <v>504</v>
      </c>
      <c r="F2" s="1" t="s">
        <v>505</v>
      </c>
      <c r="G2" s="1" t="s">
        <v>506</v>
      </c>
      <c r="H2" s="1" t="s">
        <v>507</v>
      </c>
      <c r="I2" s="1" t="s">
        <v>508</v>
      </c>
    </row>
    <row r="3" s="1" customFormat="1" spans="1:9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="1" customFormat="1" spans="1:9">
      <c r="A4" s="1" t="s">
        <v>509</v>
      </c>
      <c r="C4" s="1">
        <v>1</v>
      </c>
      <c r="D4" s="1" t="s">
        <v>510</v>
      </c>
      <c r="E4" s="1" t="s">
        <v>511</v>
      </c>
      <c r="F4" s="1" t="s">
        <v>512</v>
      </c>
      <c r="G4" s="1" t="s">
        <v>513</v>
      </c>
      <c r="H4" s="1" t="s">
        <v>514</v>
      </c>
      <c r="I4" s="1" t="s">
        <v>515</v>
      </c>
    </row>
    <row r="5" s="1" customFormat="1" spans="1:6">
      <c r="A5" s="1" t="s">
        <v>516</v>
      </c>
      <c r="B5" s="1">
        <v>1</v>
      </c>
      <c r="C5" s="1">
        <v>1</v>
      </c>
      <c r="D5" s="1" t="s">
        <v>517</v>
      </c>
      <c r="E5" s="1" t="s">
        <v>518</v>
      </c>
      <c r="F5" s="1" t="s">
        <v>519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魏杰</cp:lastModifiedBy>
  <dcterms:created xsi:type="dcterms:W3CDTF">2021-01-13T06:40:00Z</dcterms:created>
  <dcterms:modified xsi:type="dcterms:W3CDTF">2025-10-04T09:46:16Z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