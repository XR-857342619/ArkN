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EDAA7362-A6A6-4E31-A9F0-69574671D2B9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4" i="1" l="1"/>
  <c r="BD4" i="1"/>
  <c r="BC4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<sst xmlns="http://schemas.openxmlformats.org/spreadsheetml/2006/main" count="854" uniqueCount="525">
  <si>
    <t>Id</t>
  </si>
  <si>
    <t>units</t>
  </si>
  <si>
    <t>string</t>
  </si>
  <si>
    <t>UnitData[]</t>
  </si>
  <si>
    <t>余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</si>
  <si>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</si>
  <si>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</si>
  <si>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</si>
  <si>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</si>
  <si>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</si>
  <si>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</si>
  <si>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</si>
  <si>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</si>
  <si>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</si>
  <si>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</si>
  <si>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</si>
  <si>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</si>
  <si>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</si>
  <si>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</si>
  <si>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</si>
  <si>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</si>
  <si>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</si>
  <si>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</si>
  <si>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</si>
  <si>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</si>
  <si>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</si>
  <si>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</si>
  <si>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</si>
  <si>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</si>
  <si>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</si>
  <si>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</si>
  <si>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</si>
  <si>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</si>
  <si>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</si>
  <si>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</si>
  <si>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</si>
  <si>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</si>
  <si>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</si>
  <si>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</si>
  <si>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</si>
  <si>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</si>
  <si>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</si>
  <si>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</si>
  <si>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</si>
  <si>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</si>
  <si>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</si>
  <si>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</si>
  <si>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</si>
  <si>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</si>
  <si>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</si>
  <si>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</si>
  <si>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</si>
  <si>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</si>
  <si>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</si>
  <si>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</si>
  <si>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</si>
  <si>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</si>
  <si>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</si>
  <si>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</si>
  <si>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</si>
  <si>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</si>
  <si>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</si>
  <si>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</si>
  <si>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</si>
  <si>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</si>
  <si>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</si>
  <si>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</si>
  <si>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</si>
  <si>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</si>
  <si>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</si>
  <si>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</si>
  <si>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</si>
  <si>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</si>
  <si>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</si>
  <si>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</si>
  <si>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</si>
  <si>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</si>
  <si>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</si>
  <si>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</si>
  <si>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</si>
  <si>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</si>
  <si>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</si>
  <si>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</si>
  <si>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</si>
  <si>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</si>
  <si>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</si>
  <si>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</si>
  <si>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</si>
  <si>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</si>
  <si>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</si>
  <si>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</si>
  <si>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</si>
  <si>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</si>
  <si>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</si>
  <si>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</si>
  <si>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</si>
  <si>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</si>
  <si>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</si>
  <si>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</si>
  <si>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</si>
  <si>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</si>
  <si>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</si>
  <si>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</si>
  <si>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</si>
  <si>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</si>
  <si>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</si>
  <si>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</si>
  <si>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</si>
  <si>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</si>
  <si>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</si>
  <si>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</si>
  <si>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</si>
  <si>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</si>
  <si>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</si>
  <si>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</si>
  <si>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</si>
  <si>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</si>
  <si>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</si>
  <si>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</si>
  <si>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</si>
  <si>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</si>
  <si>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</si>
  <si>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</si>
  <si>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yu</t>
  </si>
  <si>
    <t>2026</t>
  </si>
  <si>
    <t>Hip</t>
  </si>
  <si>
    <t>余攻击,余天赋一</t>
  </si>
  <si>
    <t>余1,余2,余3</t>
  </si>
  <si>
    <t>重装</t>
  </si>
  <si>
    <t>本源重装</t>
  </si>
  <si>
    <t>211,81,1500,1500</t>
  </si>
  <si>
    <t>近战位</t>
  </si>
  <si>
    <t>近战</t>
  </si>
  <si>
    <t>能够阻挡三个敌人，可以造成元素损伤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</si>
  <si>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</si>
  <si>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</si>
  <si>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</si>
  <si>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</si>
  <si>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</si>
  <si>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</si>
  <si>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</si>
  <si>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</si>
  <si>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</si>
  <si>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</si>
  <si>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</si>
  <si>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</si>
  <si>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</si>
  <si>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</si>
  <si>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</si>
  <si>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</si>
  <si>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</si>
  <si>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</si>
  <si>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</si>
  <si>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</si>
  <si>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</si>
  <si>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</si>
  <si>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</si>
  <si>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</si>
  <si>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</si>
  <si>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</si>
  <si>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</si>
  <si>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</si>
  <si>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</si>
  <si>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</si>
  <si>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</si>
  <si>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</si>
  <si>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</si>
  <si>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</si>
  <si>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</si>
  <si>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</si>
  <si>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</si>
  <si>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</si>
  <si>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</si>
  <si>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</si>
  <si>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</si>
  <si>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</si>
  <si>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</si>
  <si>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</si>
  <si>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</si>
  <si>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</si>
  <si>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</si>
  <si>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</si>
  <si>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</si>
  <si>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</si>
  <si>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</si>
  <si>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</si>
  <si>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</si>
  <si>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</si>
  <si>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</si>
  <si>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</si>
  <si>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</si>
  <si>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</si>
  <si>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</si>
  <si>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</si>
  <si>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</si>
  <si>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</si>
  <si>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</si>
  <si>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</si>
  <si>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</si>
  <si>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</si>
  <si>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</si>
  <si>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</si>
  <si>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</si>
  <si>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</si>
  <si>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</si>
  <si>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</si>
  <si>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</si>
  <si>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</si>
  <si>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</si>
  <si>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</si>
  <si>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</si>
  <si>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</si>
  <si>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</si>
  <si>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</si>
  <si>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</si>
  <si>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</si>
  <si>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</si>
  <si>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</si>
  <si>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</si>
  <si>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</si>
  <si>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</si>
  <si>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</si>
  <si>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</si>
  <si>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</si>
  <si>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</si>
  <si>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</si>
  <si>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</si>
  <si>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</si>
  <si>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</si>
  <si>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</si>
  <si>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</si>
  <si>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</si>
  <si>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</si>
  <si>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</si>
  <si>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</si>
  <si>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</si>
  <si>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</si>
  <si>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</si>
  <si>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</si>
  <si>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</si>
  <si>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</si>
  <si>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</si>
  <si>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</si>
  <si>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</si>
  <si>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</si>
  <si>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</si>
  <si>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</si>
  <si>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</si>
  <si>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</si>
  <si>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</si>
  <si>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</si>
  <si>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</si>
  <si>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</si>
  <si>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</si>
  <si>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</si>
  <si>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</si>
  <si>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</si>
  <si>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</si>
  <si>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</si>
  <si>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</si>
  <si>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</si>
  <si>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</si>
  <si>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</si>
  <si>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</si>
  <si>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</si>
  <si>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</si>
  <si>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</si>
  <si>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</si>
  <si>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</si>
  <si>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</si>
  <si>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</si>
  <si>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</si>
  <si>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</si>
  <si>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</si>
  <si>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</si>
  <si>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</si>
  <si>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</si>
  <si>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</si>
  <si>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</si>
  <si>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</si>
  <si>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</si>
  <si>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</si>
  <si>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</si>
  <si>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</si>
  <si>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</si>
  <si>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</si>
  <si>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</si>
  <si>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</si>
  <si>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</si>
  <si>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</si>
  <si>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</si>
  <si>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</si>
  <si>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</si>
  <si>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</si>
  <si>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</si>
  <si>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</si>
  <si>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</si>
  <si>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</si>
  <si>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</si>
  <si>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</si>
  <si>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</si>
  <si>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</si>
  <si>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</si>
  <si>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</si>
  <si>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</si>
  <si>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</si>
  <si>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</si>
  <si>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</si>
  <si>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</si>
  <si>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</si>
  <si>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</si>
  <si>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</si>
  <si>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</si>
  <si>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</si>
  <si>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</si>
  <si>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</si>
  <si>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</si>
  <si>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</si>
  <si>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</si>
  <si>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</si>
  <si>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</si>
  <si>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</si>
  <si>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</si>
  <si>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</si>
  <si>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</si>
  <si>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</si>
  <si>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</si>
  <si>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</si>
  <si>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</si>
  <si>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</si>
  <si>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</si>
  <si>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</si>
  <si>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</si>
  <si>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</si>
  <si>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</si>
  <si>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</si>
  <si>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</si>
  <si>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</si>
  <si>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</si>
  <si>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</si>
  <si>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</si>
  <si>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</si>
  <si>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</si>
  <si>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</si>
  <si>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</si>
  <si>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</si>
  <si>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</si>
  <si>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</si>
  <si>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</si>
  <si>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</si>
  <si>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</si>
  <si>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</si>
  <si>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</si>
  <si>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</si>
  <si>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</si>
  <si>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</si>
  <si>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</si>
  <si>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</si>
  <si>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</si>
  <si>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</si>
  <si>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</si>
  <si>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</si>
  <si>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</si>
  <si>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余攻击</t>
  </si>
  <si>
    <t>终点距离</t>
  </si>
  <si>
    <t>0,0</t>
  </si>
  <si>
    <t>Normal</t>
  </si>
  <si>
    <t>跟随攻击</t>
  </si>
  <si>
    <t>火神击中</t>
  </si>
  <si>
    <t>余天赋一</t>
  </si>
  <si>
    <t>普通技能</t>
  </si>
  <si>
    <t>仅自己</t>
  </si>
  <si>
    <t>余阻挡</t>
  </si>
  <si>
    <t>余庇护</t>
  </si>
  <si>
    <t>-0.3,-0.3</t>
  </si>
  <si>
    <t>余损伤</t>
  </si>
  <si>
    <t>Magic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</si>
  <si>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</si>
  <si>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</si>
  <si>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</si>
  <si>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</si>
  <si>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</si>
  <si>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充能释放</t>
  </si>
  <si>
    <t>手动</t>
  </si>
  <si>
    <t>余1攻击,余1受击,余1嘲讽</t>
  </si>
  <si>
    <t>受击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</si>
  <si>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</si>
  <si>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</si>
  <si>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</si>
  <si>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</si>
  <si>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</si>
  <si>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</si>
  <si>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</si>
  <si>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被动</t>
  </si>
  <si>
    <t>被击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</si>
  <si>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</si>
  <si>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</si>
  <si>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</si>
  <si>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</si>
  <si>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</si>
  <si>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</si>
  <si>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</si>
  <si>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</si>
  <si>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</si>
  <si>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t>自动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</si>
  <si>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</si>
  <si>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</si>
  <si>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</si>
  <si>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</si>
  <si>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</si>
  <si>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</si>
  <si>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</si>
  <si>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</si>
  <si>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</si>
  <si>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</si>
  <si>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</si>
  <si>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火墙附魔,余3结束,余3攻击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</si>
  <si>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</si>
  <si>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</si>
  <si>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</si>
  <si>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</si>
  <si>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</si>
  <si>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</si>
  <si>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</si>
  <si>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</si>
  <si>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</si>
  <si>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Skill_3_Begin</t>
  </si>
  <si>
    <t>余3结束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</si>
  <si>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</si>
  <si>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</si>
  <si>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</si>
  <si>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</si>
  <si>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</si>
  <si>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</si>
  <si>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</si>
  <si>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</si>
  <si>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</si>
  <si>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</si>
  <si>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</si>
  <si>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</si>
  <si>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</si>
  <si>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</si>
  <si>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</si>
  <si>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</si>
  <si>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</si>
  <si>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</si>
  <si>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</si>
  <si>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</si>
  <si>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</si>
  <si>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</si>
  <si>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</si>
  <si>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</si>
  <si>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</si>
  <si>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{"t":["NormalDamageReceiveRate","MagicDamageReceiveRate"]}</t>
  </si>
  <si>
    <t>普通Buff</t>
  </si>
  <si>
    <t>{"t":["Hatre"]}</t>
  </si>
  <si>
    <t>余3动作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</si>
  <si>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</si>
  <si>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</si>
  <si>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</si>
  <si>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</si>
  <si>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</si>
  <si>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</si>
  <si>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</si>
  <si>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</si>
  <si>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</si>
  <si>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</si>
  <si>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</si>
  <si>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</si>
  <si>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</si>
  <si>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</si>
  <si>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</si>
  <si>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</si>
  <si>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</si>
  <si>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</si>
  <si>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</si>
  <si>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</si>
  <si>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</si>
  <si>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</si>
  <si>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</si>
  <si>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</si>
  <si>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</si>
  <si>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</si>
  <si>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</si>
  <si>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</si>
  <si>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</si>
  <si>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</si>
  <si>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</si>
  <si>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</si>
  <si>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</si>
  <si>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</si>
  <si>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</si>
  <si>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</si>
  <si>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</si>
  <si>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</si>
  <si>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</si>
  <si>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</si>
  <si>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</si>
  <si>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</si>
  <si>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</si>
  <si>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</si>
  <si>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</si>
  <si>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</si>
  <si>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</si>
  <si>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</si>
  <si>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</si>
  <si>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</si>
  <si>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</si>
  <si>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</si>
  <si>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</si>
  <si>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</si>
  <si>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</si>
  <si>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</si>
  <si>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</si>
  <si>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</si>
  <si>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</si>
  <si>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优先Buff</t>
    <phoneticPr fontId="11" type="noConversion"/>
  </si>
  <si>
    <t>自定义优先级</t>
    <phoneticPr fontId="11" type="noConversion"/>
  </si>
  <si>
    <t>OrderBuff</t>
    <phoneticPr fontId="11" type="noConversion"/>
  </si>
  <si>
    <t>OrderExpression</t>
    <phoneticPr fontId="11" type="noConversion"/>
  </si>
  <si>
    <t>string</t>
    <phoneticPr fontId="11" type="noConversion"/>
  </si>
  <si>
    <t>可部署位</t>
    <phoneticPr fontId="11" type="noConversion"/>
  </si>
  <si>
    <t>CanSetPos</t>
    <phoneticPr fontId="11" type="noConversion"/>
  </si>
  <si>
    <t>string[]</t>
    <phoneticPr fontId="11" type="noConversion"/>
  </si>
  <si>
    <t>地面位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</si>
</sst>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0" fillId="0" borderId="0">
      <alignment vertical="center"/>
    </xf>
  </cellStyleXfs>
  <cellXfs count="14">
    <xf numFmtId="0" fontId="0" fillId="0" borderId="0" xfId="0">
      <alignment vertical="center"/>
    </xf>
    <xf numFmtId="0" fontId="10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7" fillId="0" borderId="0" xfId="0" applyFont="1">
      <alignment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10" sqref="F10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571"/>
  <sheetViews>
    <sheetView tabSelected="1" workbookViewId="0">
      <pane xSplit="1" ySplit="3" topLeftCell="AH4" activePane="bottomRight" state="frozen"/>
      <selection pane="topRight"/>
      <selection pane="bottomLeft"/>
      <selection pane="bottomRight" activeCell="AN1" sqref="AN1:AO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s="13" t="s">
        <v>521</v>
      </c>
      <c r="AN1" t="s">
        <v>29</v>
      </c>
      <c r="AO1" t="s">
        <v>30</v>
      </c>
      <c r="AP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</row>
    <row r="2" spans="1:70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s="13" t="s">
        <v>522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t="s">
        <v>93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t="s">
        <v>107</v>
      </c>
      <c r="BO2" t="s">
        <v>108</v>
      </c>
      <c r="BP2" t="s">
        <v>109</v>
      </c>
      <c r="BQ2" t="s">
        <v>110</v>
      </c>
      <c r="BR2" t="s">
        <v>111</v>
      </c>
    </row>
    <row r="3" spans="1:70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s="13" t="s">
        <v>523</v>
      </c>
      <c r="AN3" t="s">
        <v>114</v>
      </c>
      <c r="AO3" t="s">
        <v>113</v>
      </c>
      <c r="AP3" t="s">
        <v>112</v>
      </c>
      <c r="AR3" t="s">
        <v>113</v>
      </c>
      <c r="AS3" t="s">
        <v>112</v>
      </c>
      <c r="AT3" t="s">
        <v>114</v>
      </c>
      <c r="AU3" t="s">
        <v>116</v>
      </c>
      <c r="AV3" t="s">
        <v>113</v>
      </c>
      <c r="AW3" t="s">
        <v>117</v>
      </c>
      <c r="AX3" t="s">
        <v>112</v>
      </c>
      <c r="AY3" t="s">
        <v>112</v>
      </c>
      <c r="AZ3" t="s">
        <v>113</v>
      </c>
      <c r="BA3" t="s">
        <v>118</v>
      </c>
      <c r="BB3" t="s">
        <v>2</v>
      </c>
      <c r="BC3" t="s">
        <v>2</v>
      </c>
      <c r="BD3" t="s">
        <v>2</v>
      </c>
      <c r="BE3" t="s">
        <v>2</v>
      </c>
      <c r="BF3" t="s">
        <v>119</v>
      </c>
      <c r="BG3" t="s">
        <v>114</v>
      </c>
      <c r="BH3" t="s">
        <v>2</v>
      </c>
      <c r="BI3" t="s">
        <v>120</v>
      </c>
      <c r="BJ3" t="s">
        <v>2</v>
      </c>
      <c r="BK3" t="s">
        <v>121</v>
      </c>
      <c r="BL3" t="s">
        <v>120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113</v>
      </c>
    </row>
    <row r="4" spans="1:70" x14ac:dyDescent="0.25">
      <c r="A4" t="s">
        <v>4</v>
      </c>
      <c r="B4" t="s">
        <v>122</v>
      </c>
      <c r="D4" t="s">
        <v>123</v>
      </c>
      <c r="E4" s="9" t="s">
        <v>124</v>
      </c>
      <c r="F4" t="str">
        <f>"char_"&amp;E4&amp;"_"&amp;D4</f>
        <v>char_2026_yu</v>
      </c>
      <c r="G4">
        <v>1</v>
      </c>
      <c r="I4">
        <v>2</v>
      </c>
      <c r="J4">
        <v>90</v>
      </c>
      <c r="K4">
        <v>3903</v>
      </c>
      <c r="M4">
        <v>715</v>
      </c>
      <c r="O4">
        <v>607</v>
      </c>
      <c r="Q4">
        <v>10</v>
      </c>
      <c r="S4">
        <v>24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125</v>
      </c>
      <c r="AI4" t="s">
        <v>126</v>
      </c>
      <c r="AJ4" t="s">
        <v>127</v>
      </c>
      <c r="AM4" s="13" t="s">
        <v>524</v>
      </c>
      <c r="AN4">
        <v>3</v>
      </c>
      <c r="AO4">
        <v>0.5</v>
      </c>
      <c r="AV4">
        <v>0.25</v>
      </c>
      <c r="BA4" t="s">
        <v>128</v>
      </c>
      <c r="BB4" t="s">
        <v>129</v>
      </c>
      <c r="BC4" t="str">
        <f>"icon_"&amp;D4</f>
        <v>icon_yu</v>
      </c>
      <c r="BD4" t="str">
        <f>"half_"&amp;D4</f>
        <v>half_yu</v>
      </c>
      <c r="BE4" t="str">
        <f>D4</f>
        <v>yu</v>
      </c>
      <c r="BF4" t="s">
        <v>130</v>
      </c>
      <c r="BG4">
        <v>6</v>
      </c>
      <c r="BH4" t="s">
        <v>131</v>
      </c>
      <c r="BI4" t="s">
        <v>132</v>
      </c>
      <c r="BJ4" t="s">
        <v>133</v>
      </c>
      <c r="BL4" t="s">
        <v>134</v>
      </c>
      <c r="BM4" t="s">
        <v>135</v>
      </c>
      <c r="BO4" t="s">
        <v>136</v>
      </c>
      <c r="BP4" t="s">
        <v>136</v>
      </c>
      <c r="BR4">
        <v>1</v>
      </c>
    </row>
    <row r="5" spans="1:70" x14ac:dyDescent="0.25">
      <c r="AM5" s="13"/>
    </row>
    <row r="6" spans="1:70" x14ac:dyDescent="0.25">
      <c r="AM6" s="13"/>
    </row>
    <row r="8" spans="1:70" x14ac:dyDescent="0.25">
      <c r="BQ8" s="11"/>
    </row>
    <row r="9" spans="1:70" ht="14.5" x14ac:dyDescent="0.25">
      <c r="D9" s="10"/>
      <c r="E9" s="9"/>
      <c r="BN9" s="11"/>
      <c r="BQ9" s="11"/>
    </row>
    <row r="10" spans="1:70" ht="14.5" x14ac:dyDescent="0.25">
      <c r="D10" s="10"/>
      <c r="E10" s="9"/>
      <c r="BN10" s="11"/>
      <c r="BQ10" s="11"/>
    </row>
    <row r="11" spans="1:70" ht="14.5" x14ac:dyDescent="0.25">
      <c r="D11" s="10"/>
      <c r="E11" s="9"/>
      <c r="BN11" s="11"/>
      <c r="BQ11" s="11"/>
    </row>
    <row r="12" spans="1:70" ht="14.5" x14ac:dyDescent="0.25">
      <c r="D12" s="10"/>
      <c r="E12" s="9"/>
      <c r="BN12" s="11"/>
      <c r="BQ12" s="11"/>
    </row>
    <row r="13" spans="1:70" ht="14.5" x14ac:dyDescent="0.25">
      <c r="D13" s="10"/>
      <c r="E13" s="9"/>
      <c r="BN13" s="11"/>
      <c r="BQ13" s="11"/>
    </row>
    <row r="14" spans="1:70" ht="14.5" x14ac:dyDescent="0.25">
      <c r="D14" s="10"/>
      <c r="E14" s="9"/>
      <c r="BN14" s="11"/>
      <c r="BQ14" s="11"/>
    </row>
    <row r="15" spans="1:70" ht="14.5" x14ac:dyDescent="0.25">
      <c r="D15" s="10"/>
      <c r="E15" s="9"/>
      <c r="BN15" s="11"/>
      <c r="BQ15" s="11"/>
    </row>
    <row r="16" spans="1:70" ht="14.5" x14ac:dyDescent="0.25">
      <c r="D16" s="10"/>
      <c r="E16" s="9"/>
      <c r="BQ16" s="11"/>
    </row>
    <row r="17" spans="4:69" ht="14.5" x14ac:dyDescent="0.25">
      <c r="D17" s="10"/>
      <c r="E17" s="9"/>
      <c r="BQ17" s="11"/>
    </row>
    <row r="18" spans="4:69" ht="14.5" x14ac:dyDescent="0.25">
      <c r="D18" s="10"/>
      <c r="E18" s="9"/>
      <c r="BQ18" s="11"/>
    </row>
    <row r="19" spans="4:69" ht="14.5" x14ac:dyDescent="0.25">
      <c r="D19" s="10"/>
      <c r="E19" s="9"/>
      <c r="BN19" s="11"/>
      <c r="BQ19" s="11"/>
    </row>
    <row r="20" spans="4:69" ht="14.5" x14ac:dyDescent="0.25">
      <c r="D20" s="10"/>
      <c r="E20" s="9"/>
      <c r="BN20" s="11"/>
      <c r="BQ20" s="11"/>
    </row>
    <row r="21" spans="4:69" ht="14.5" x14ac:dyDescent="0.25">
      <c r="D21" s="10"/>
      <c r="E21" s="9"/>
      <c r="BN21" s="11"/>
      <c r="BQ21" s="11"/>
    </row>
    <row r="22" spans="4:69" ht="14.5" x14ac:dyDescent="0.25">
      <c r="D22" s="10"/>
      <c r="E22" s="9"/>
      <c r="BN22" s="11"/>
      <c r="BQ22" s="11"/>
    </row>
    <row r="23" spans="4:69" ht="14.5" x14ac:dyDescent="0.25">
      <c r="D23" s="10"/>
      <c r="E23" s="9"/>
      <c r="BN23" s="11"/>
      <c r="BQ23" s="11"/>
    </row>
    <row r="24" spans="4:69" ht="14.5" x14ac:dyDescent="0.25">
      <c r="D24" s="10"/>
      <c r="E24" s="9"/>
      <c r="BN24" s="11"/>
      <c r="BQ24" s="11"/>
    </row>
    <row r="25" spans="4:69" ht="14.5" x14ac:dyDescent="0.25">
      <c r="D25" s="10"/>
      <c r="E25" s="9"/>
      <c r="BN25" s="11"/>
      <c r="BQ25" s="11"/>
    </row>
    <row r="26" spans="4:69" ht="14.5" x14ac:dyDescent="0.25">
      <c r="D26" s="10"/>
      <c r="E26" s="9"/>
      <c r="BN26" s="11"/>
      <c r="BQ26" s="11"/>
    </row>
    <row r="27" spans="4:69" ht="14.5" x14ac:dyDescent="0.25">
      <c r="D27" s="10"/>
      <c r="E27" s="9"/>
      <c r="BN27" s="11"/>
      <c r="BQ27" s="11"/>
    </row>
    <row r="28" spans="4:69" ht="14.5" x14ac:dyDescent="0.25">
      <c r="D28" s="10"/>
      <c r="E28" s="9"/>
      <c r="BN28" s="11"/>
      <c r="BQ28" s="11"/>
    </row>
    <row r="29" spans="4:69" ht="14.5" x14ac:dyDescent="0.25">
      <c r="D29" s="10"/>
      <c r="E29" s="9"/>
      <c r="BN29" s="11"/>
      <c r="BQ29" s="11"/>
    </row>
    <row r="30" spans="4:69" ht="14.5" x14ac:dyDescent="0.25">
      <c r="D30" s="10"/>
      <c r="E30" s="9"/>
      <c r="BN30" s="11"/>
      <c r="BQ30" s="11"/>
    </row>
    <row r="31" spans="4:69" ht="14.5" x14ac:dyDescent="0.25">
      <c r="D31" s="10"/>
      <c r="E31" s="9"/>
      <c r="BN31" s="11"/>
      <c r="BQ31" s="11"/>
    </row>
    <row r="32" spans="4:69" ht="14.5" x14ac:dyDescent="0.25">
      <c r="D32" s="10"/>
      <c r="E32" s="9"/>
      <c r="BN32" s="11"/>
      <c r="BQ32" s="11"/>
    </row>
    <row r="33" spans="4:69" ht="14.5" x14ac:dyDescent="0.25">
      <c r="D33" s="10"/>
      <c r="E33" s="9"/>
      <c r="BN33" s="11"/>
      <c r="BQ33" s="11"/>
    </row>
    <row r="34" spans="4:69" ht="14.5" x14ac:dyDescent="0.25">
      <c r="D34" s="10"/>
      <c r="E34" s="9"/>
      <c r="BN34" s="11"/>
      <c r="BQ34" s="11"/>
    </row>
    <row r="35" spans="4:69" ht="14.5" x14ac:dyDescent="0.25">
      <c r="D35" s="10"/>
      <c r="E35" s="9"/>
      <c r="BN35" s="11"/>
      <c r="BQ35" s="11"/>
    </row>
    <row r="36" spans="4:69" ht="14.5" x14ac:dyDescent="0.25">
      <c r="D36" s="10"/>
      <c r="E36" s="9"/>
      <c r="BN36" s="11"/>
      <c r="BQ36" s="11"/>
    </row>
    <row r="37" spans="4:69" ht="14.5" x14ac:dyDescent="0.25">
      <c r="D37" s="10"/>
      <c r="E37" s="9"/>
      <c r="BN37" s="11"/>
      <c r="BQ37" s="11"/>
    </row>
    <row r="38" spans="4:69" ht="14.5" x14ac:dyDescent="0.25">
      <c r="D38" s="10"/>
      <c r="E38" s="9"/>
      <c r="BN38" s="11"/>
      <c r="BQ38" s="11"/>
    </row>
    <row r="39" spans="4:69" ht="14.5" x14ac:dyDescent="0.25">
      <c r="D39" s="10"/>
      <c r="E39" s="9"/>
      <c r="BN39" s="11"/>
      <c r="BQ39" s="11"/>
    </row>
    <row r="40" spans="4:69" ht="14.5" x14ac:dyDescent="0.25">
      <c r="D40" s="10"/>
      <c r="E40" s="9"/>
      <c r="BN40" s="11"/>
      <c r="BQ40" s="11"/>
    </row>
    <row r="41" spans="4:69" ht="14.5" x14ac:dyDescent="0.25">
      <c r="D41" s="10"/>
      <c r="E41" s="9"/>
      <c r="BN41" s="11"/>
      <c r="BQ41" s="11"/>
    </row>
    <row r="42" spans="4:69" ht="14.5" x14ac:dyDescent="0.25">
      <c r="D42" s="10"/>
      <c r="E42" s="9"/>
      <c r="BN42" s="11"/>
      <c r="BQ42" s="11"/>
    </row>
    <row r="43" spans="4:69" ht="14.5" x14ac:dyDescent="0.25">
      <c r="D43" s="10"/>
      <c r="E43" s="9"/>
      <c r="BN43" s="11"/>
      <c r="BQ43" s="11"/>
    </row>
    <row r="44" spans="4:69" ht="14.5" x14ac:dyDescent="0.25">
      <c r="D44" s="10"/>
      <c r="E44" s="9"/>
      <c r="BN44" s="11"/>
      <c r="BQ44" s="11"/>
    </row>
    <row r="45" spans="4:69" ht="14.5" x14ac:dyDescent="0.25">
      <c r="D45" s="10"/>
      <c r="E45" s="9"/>
      <c r="BN45" s="11"/>
      <c r="BQ45" s="11"/>
    </row>
    <row r="46" spans="4:69" ht="14.5" x14ac:dyDescent="0.25">
      <c r="D46" s="10"/>
      <c r="E46" s="9"/>
      <c r="BN46" s="11"/>
      <c r="BQ46" s="11"/>
    </row>
    <row r="47" spans="4:69" ht="14.5" x14ac:dyDescent="0.25">
      <c r="D47" s="10"/>
      <c r="E47" s="9"/>
      <c r="BN47" s="11"/>
      <c r="BQ47" s="11"/>
    </row>
    <row r="48" spans="4:69" ht="14.5" x14ac:dyDescent="0.25">
      <c r="D48" s="10"/>
      <c r="E48" s="9"/>
      <c r="BN48" s="11"/>
      <c r="BQ48" s="11"/>
    </row>
    <row r="49" spans="4:69" ht="14.5" x14ac:dyDescent="0.25">
      <c r="D49" s="10"/>
      <c r="E49" s="9"/>
      <c r="BN49" s="11"/>
      <c r="BQ49" s="11"/>
    </row>
    <row r="50" spans="4:69" ht="14.5" x14ac:dyDescent="0.25">
      <c r="D50" s="10"/>
      <c r="E50" s="9"/>
      <c r="BN50" s="11"/>
      <c r="BQ50" s="11"/>
    </row>
    <row r="51" spans="4:69" ht="14.5" x14ac:dyDescent="0.25">
      <c r="D51" s="10"/>
      <c r="E51" s="9"/>
      <c r="BN51" s="11"/>
      <c r="BQ51" s="11"/>
    </row>
    <row r="52" spans="4:69" ht="14.5" x14ac:dyDescent="0.25">
      <c r="D52" s="10"/>
      <c r="E52" s="9"/>
      <c r="BN52" s="11"/>
      <c r="BQ52" s="11"/>
    </row>
    <row r="53" spans="4:69" ht="14.5" x14ac:dyDescent="0.25">
      <c r="D53" s="10"/>
      <c r="E53" s="9"/>
      <c r="BN53" s="11"/>
      <c r="BQ53" s="11"/>
    </row>
    <row r="54" spans="4:69" ht="14.5" x14ac:dyDescent="0.25">
      <c r="D54" s="10"/>
      <c r="E54" s="9"/>
      <c r="BN54" s="11"/>
      <c r="BQ54" s="11"/>
    </row>
    <row r="55" spans="4:69" ht="14.5" x14ac:dyDescent="0.25">
      <c r="D55" s="10"/>
      <c r="E55" s="9"/>
      <c r="BN55" s="11"/>
      <c r="BQ55" s="11"/>
    </row>
    <row r="56" spans="4:69" ht="14.5" x14ac:dyDescent="0.25">
      <c r="D56" s="10"/>
      <c r="E56" s="9"/>
      <c r="BN56" s="11"/>
      <c r="BQ56" s="11"/>
    </row>
    <row r="57" spans="4:69" ht="14.5" x14ac:dyDescent="0.25">
      <c r="D57" s="10"/>
      <c r="E57" s="9"/>
      <c r="BN57" s="11"/>
      <c r="BQ57" s="11"/>
    </row>
    <row r="58" spans="4:69" ht="14.5" x14ac:dyDescent="0.25">
      <c r="D58" s="10"/>
      <c r="E58" s="9"/>
      <c r="BN58" s="11"/>
      <c r="BQ58" s="11"/>
    </row>
    <row r="59" spans="4:69" ht="14.5" x14ac:dyDescent="0.25">
      <c r="D59" s="10"/>
      <c r="E59" s="9"/>
      <c r="BN59" s="11"/>
      <c r="BQ59" s="11"/>
    </row>
    <row r="60" spans="4:69" ht="14.5" x14ac:dyDescent="0.25">
      <c r="D60" s="10"/>
      <c r="E60" s="9"/>
      <c r="BN60" s="11"/>
      <c r="BQ60" s="11"/>
    </row>
    <row r="61" spans="4:69" ht="14.5" x14ac:dyDescent="0.25">
      <c r="D61" s="10"/>
      <c r="E61" s="9"/>
      <c r="BN61" s="11"/>
      <c r="BQ61" s="11"/>
    </row>
    <row r="62" spans="4:69" ht="14.5" x14ac:dyDescent="0.25">
      <c r="D62" s="10"/>
      <c r="E62" s="9"/>
      <c r="BN62" s="11"/>
      <c r="BQ62" s="11"/>
    </row>
    <row r="63" spans="4:69" ht="14.5" x14ac:dyDescent="0.25">
      <c r="D63" s="10"/>
      <c r="E63" s="9"/>
      <c r="BN63" s="11"/>
      <c r="BQ63" s="11"/>
    </row>
    <row r="64" spans="4:69" ht="14.5" x14ac:dyDescent="0.25">
      <c r="D64" s="10"/>
      <c r="E64" s="9"/>
      <c r="BN64" s="11"/>
      <c r="BQ64" s="11"/>
    </row>
    <row r="65" spans="4:69" ht="14.5" x14ac:dyDescent="0.25">
      <c r="D65" s="10"/>
      <c r="E65" s="9"/>
      <c r="BN65" s="11"/>
      <c r="BQ65" s="11"/>
    </row>
    <row r="66" spans="4:69" ht="14.5" x14ac:dyDescent="0.25">
      <c r="D66" s="10"/>
      <c r="E66" s="9"/>
      <c r="BN66" s="11"/>
      <c r="BQ66" s="11"/>
    </row>
    <row r="67" spans="4:69" ht="14.5" x14ac:dyDescent="0.25">
      <c r="D67" s="10"/>
      <c r="E67" s="9"/>
      <c r="BN67" s="11"/>
      <c r="BQ67" s="11"/>
    </row>
    <row r="68" spans="4:69" ht="14.5" x14ac:dyDescent="0.25">
      <c r="D68" s="10"/>
      <c r="E68" s="9"/>
      <c r="BN68" s="11"/>
      <c r="BQ68" s="11"/>
    </row>
    <row r="69" spans="4:69" ht="14.5" x14ac:dyDescent="0.25">
      <c r="D69" s="10"/>
      <c r="E69" s="9"/>
      <c r="BN69" s="11"/>
      <c r="BQ69" s="11"/>
    </row>
    <row r="70" spans="4:69" ht="14.5" x14ac:dyDescent="0.25">
      <c r="D70" s="10"/>
      <c r="E70" s="9"/>
      <c r="BN70" s="11"/>
      <c r="BQ70" s="11"/>
    </row>
    <row r="71" spans="4:69" ht="14.5" x14ac:dyDescent="0.25">
      <c r="D71" s="10"/>
      <c r="E71" s="9"/>
      <c r="BN71" s="11"/>
      <c r="BQ71" s="11"/>
    </row>
    <row r="72" spans="4:69" ht="14.5" x14ac:dyDescent="0.25">
      <c r="D72" s="10"/>
      <c r="E72" s="9"/>
      <c r="BN72" s="11"/>
      <c r="BQ72" s="11"/>
    </row>
    <row r="73" spans="4:69" ht="14.5" x14ac:dyDescent="0.25">
      <c r="D73" s="10"/>
      <c r="E73" s="9"/>
      <c r="BN73" s="11"/>
      <c r="BQ73" s="11"/>
    </row>
    <row r="74" spans="4:69" ht="14.5" x14ac:dyDescent="0.25">
      <c r="D74" s="10"/>
      <c r="E74" s="9"/>
      <c r="BN74" s="11"/>
      <c r="BQ74" s="11"/>
    </row>
    <row r="75" spans="4:69" ht="14.5" x14ac:dyDescent="0.25">
      <c r="D75" s="10"/>
      <c r="E75" s="9"/>
      <c r="BN75" s="11"/>
      <c r="BQ75" s="11"/>
    </row>
    <row r="76" spans="4:69" ht="14.5" x14ac:dyDescent="0.25">
      <c r="D76" s="10"/>
      <c r="E76" s="9"/>
      <c r="BN76" s="11"/>
      <c r="BQ76" s="11"/>
    </row>
    <row r="77" spans="4:69" ht="14.5" x14ac:dyDescent="0.25">
      <c r="D77" s="10"/>
      <c r="E77" s="9"/>
      <c r="BN77" s="11"/>
      <c r="BQ77" s="11"/>
    </row>
    <row r="78" spans="4:69" ht="14.5" x14ac:dyDescent="0.25">
      <c r="D78" s="10"/>
      <c r="E78" s="9"/>
      <c r="BN78" s="11"/>
      <c r="BQ78" s="11"/>
    </row>
    <row r="79" spans="4:69" ht="14.5" x14ac:dyDescent="0.25">
      <c r="D79" s="10"/>
      <c r="E79" s="9"/>
      <c r="BN79" s="11"/>
      <c r="BQ79" s="11"/>
    </row>
    <row r="80" spans="4:69" ht="14.5" x14ac:dyDescent="0.25">
      <c r="D80" s="10"/>
      <c r="E80" s="9"/>
      <c r="BN80" s="11"/>
      <c r="BQ80" s="11"/>
    </row>
    <row r="81" spans="4:69" ht="14.5" x14ac:dyDescent="0.25">
      <c r="D81" s="10"/>
      <c r="E81" s="9"/>
      <c r="BN81" s="11"/>
      <c r="BQ81" s="11"/>
    </row>
    <row r="82" spans="4:69" ht="14.5" x14ac:dyDescent="0.25">
      <c r="D82" s="10"/>
      <c r="E82" s="9"/>
      <c r="BN82" s="11"/>
      <c r="BQ82" s="11"/>
    </row>
    <row r="83" spans="4:69" ht="14.5" x14ac:dyDescent="0.25">
      <c r="D83" s="10"/>
      <c r="E83" s="9"/>
      <c r="BN83" s="11"/>
      <c r="BQ83" s="11"/>
    </row>
    <row r="84" spans="4:69" ht="14.5" x14ac:dyDescent="0.25">
      <c r="D84" s="10"/>
      <c r="E84" s="9"/>
      <c r="BN84" s="11"/>
      <c r="BQ84" s="11"/>
    </row>
    <row r="85" spans="4:69" ht="14.5" x14ac:dyDescent="0.25">
      <c r="D85" s="10"/>
      <c r="E85" s="9"/>
      <c r="BN85" s="11"/>
      <c r="BQ85" s="11"/>
    </row>
    <row r="86" spans="4:69" ht="14.5" x14ac:dyDescent="0.25">
      <c r="D86" s="10"/>
      <c r="E86" s="9"/>
      <c r="BN86" s="11"/>
      <c r="BQ86" s="11"/>
    </row>
    <row r="87" spans="4:69" ht="14.5" x14ac:dyDescent="0.25">
      <c r="D87" s="10"/>
      <c r="E87" s="9"/>
      <c r="BN87" s="11"/>
      <c r="BQ87" s="11"/>
    </row>
    <row r="88" spans="4:69" ht="14.5" x14ac:dyDescent="0.25">
      <c r="D88" s="10"/>
      <c r="E88" s="9"/>
      <c r="BN88" s="11"/>
      <c r="BQ88" s="11"/>
    </row>
    <row r="89" spans="4:69" ht="14.5" x14ac:dyDescent="0.25">
      <c r="D89" s="10"/>
      <c r="E89" s="9"/>
      <c r="BN89" s="11"/>
      <c r="BQ89" s="11"/>
    </row>
    <row r="90" spans="4:69" ht="14.5" x14ac:dyDescent="0.25">
      <c r="D90" s="10"/>
      <c r="E90" s="9"/>
      <c r="BN90" s="11"/>
      <c r="BQ90" s="11"/>
    </row>
    <row r="91" spans="4:69" ht="14.5" x14ac:dyDescent="0.25">
      <c r="D91" s="10"/>
      <c r="E91" s="9"/>
      <c r="BN91" s="11"/>
      <c r="BQ91" s="11"/>
    </row>
    <row r="92" spans="4:69" ht="14.5" x14ac:dyDescent="0.25">
      <c r="D92" s="10"/>
      <c r="E92" s="9"/>
      <c r="BN92" s="11"/>
      <c r="BQ92" s="11"/>
    </row>
    <row r="93" spans="4:69" ht="14.5" x14ac:dyDescent="0.25">
      <c r="D93" s="10"/>
      <c r="E93" s="9"/>
      <c r="BN93" s="11"/>
      <c r="BQ93" s="11"/>
    </row>
    <row r="94" spans="4:69" ht="14.5" x14ac:dyDescent="0.25">
      <c r="D94" s="10"/>
      <c r="E94" s="9"/>
      <c r="BN94" s="11"/>
      <c r="BQ94" s="11"/>
    </row>
    <row r="95" spans="4:69" ht="14.5" x14ac:dyDescent="0.25">
      <c r="D95" s="10"/>
      <c r="E95" s="9"/>
      <c r="BN95" s="11"/>
      <c r="BQ95" s="11"/>
    </row>
    <row r="96" spans="4:69" ht="14.5" x14ac:dyDescent="0.25">
      <c r="D96" s="10"/>
      <c r="E96" s="9"/>
      <c r="BN96" s="11"/>
      <c r="BQ96" s="11"/>
    </row>
    <row r="97" spans="4:69" ht="14.5" x14ac:dyDescent="0.25">
      <c r="D97" s="10"/>
      <c r="E97" s="9"/>
      <c r="BN97" s="11"/>
      <c r="BQ97" s="11"/>
    </row>
    <row r="98" spans="4:69" ht="14.5" x14ac:dyDescent="0.25">
      <c r="D98" s="10"/>
      <c r="E98" s="9"/>
      <c r="BN98" s="11"/>
      <c r="BQ98" s="11"/>
    </row>
    <row r="99" spans="4:69" ht="14.5" x14ac:dyDescent="0.25">
      <c r="D99" s="10"/>
      <c r="E99" s="9"/>
      <c r="BN99" s="11"/>
      <c r="BQ99" s="11"/>
    </row>
    <row r="100" spans="4:69" ht="14.5" x14ac:dyDescent="0.25">
      <c r="D100" s="10"/>
      <c r="E100" s="9"/>
      <c r="BN100" s="11"/>
      <c r="BQ100" s="11"/>
    </row>
    <row r="101" spans="4:69" ht="14.5" x14ac:dyDescent="0.25">
      <c r="D101" s="10"/>
      <c r="E101" s="9"/>
      <c r="BN101" s="11"/>
      <c r="BQ101" s="11"/>
    </row>
    <row r="102" spans="4:69" ht="14.5" x14ac:dyDescent="0.25">
      <c r="D102" s="10"/>
      <c r="E102" s="9"/>
      <c r="BN102" s="11"/>
      <c r="BQ102" s="11"/>
    </row>
    <row r="103" spans="4:69" ht="14.5" x14ac:dyDescent="0.25">
      <c r="D103" s="10"/>
      <c r="E103" s="9"/>
      <c r="BN103" s="11"/>
      <c r="BQ103" s="11"/>
    </row>
    <row r="104" spans="4:69" ht="14.5" x14ac:dyDescent="0.25">
      <c r="D104" s="10"/>
      <c r="E104" s="9"/>
      <c r="BN104" s="11"/>
      <c r="BQ104" s="11"/>
    </row>
    <row r="105" spans="4:69" ht="14.5" x14ac:dyDescent="0.25">
      <c r="D105" s="10"/>
      <c r="E105" s="9"/>
      <c r="BN105" s="11"/>
      <c r="BQ105" s="11"/>
    </row>
    <row r="106" spans="4:69" ht="14.5" x14ac:dyDescent="0.25">
      <c r="D106" s="10"/>
      <c r="E106" s="9"/>
      <c r="BN106" s="11"/>
      <c r="BQ106" s="11"/>
    </row>
    <row r="107" spans="4:69" ht="14.5" x14ac:dyDescent="0.25">
      <c r="D107" s="10"/>
      <c r="E107" s="9"/>
      <c r="BN107" s="11"/>
      <c r="BQ107" s="11"/>
    </row>
    <row r="108" spans="4:69" ht="14.5" x14ac:dyDescent="0.25">
      <c r="D108" s="10"/>
      <c r="E108" s="9"/>
      <c r="BN108" s="11"/>
      <c r="BQ108" s="11"/>
    </row>
    <row r="109" spans="4:69" ht="14.5" x14ac:dyDescent="0.25">
      <c r="D109" s="10"/>
      <c r="E109" s="9"/>
      <c r="BN109" s="11"/>
      <c r="BQ109" s="11"/>
    </row>
    <row r="110" spans="4:69" ht="14.5" x14ac:dyDescent="0.25">
      <c r="D110" s="10"/>
      <c r="E110" s="9"/>
      <c r="BN110" s="11"/>
      <c r="BQ110" s="11"/>
    </row>
    <row r="111" spans="4:69" ht="14.5" x14ac:dyDescent="0.25">
      <c r="D111" s="10"/>
      <c r="E111" s="9"/>
      <c r="BN111" s="11"/>
      <c r="BQ111" s="11"/>
    </row>
    <row r="112" spans="4:69" ht="14.5" x14ac:dyDescent="0.25">
      <c r="D112" s="10"/>
      <c r="E112" s="9"/>
      <c r="BN112" s="11"/>
      <c r="BQ112" s="11"/>
    </row>
    <row r="113" spans="4:69" ht="14.5" x14ac:dyDescent="0.25">
      <c r="D113" s="10"/>
      <c r="E113" s="9"/>
      <c r="BN113" s="11"/>
      <c r="BQ113" s="11"/>
    </row>
    <row r="114" spans="4:69" ht="14.5" x14ac:dyDescent="0.25">
      <c r="D114" s="10"/>
      <c r="E114" s="9"/>
      <c r="BN114" s="11"/>
      <c r="BQ114" s="11"/>
    </row>
    <row r="115" spans="4:69" ht="14.5" x14ac:dyDescent="0.25">
      <c r="D115" s="10"/>
      <c r="E115" s="9"/>
      <c r="BN115" s="11"/>
      <c r="BQ115" s="11"/>
    </row>
    <row r="116" spans="4:69" ht="14.5" x14ac:dyDescent="0.25">
      <c r="D116" s="10"/>
      <c r="E116" s="9"/>
      <c r="BN116" s="11"/>
      <c r="BQ116" s="11"/>
    </row>
    <row r="117" spans="4:69" ht="14.5" x14ac:dyDescent="0.25">
      <c r="D117" s="10"/>
      <c r="E117" s="9"/>
      <c r="BN117" s="11"/>
      <c r="BQ117" s="11"/>
    </row>
    <row r="118" spans="4:69" ht="14.5" x14ac:dyDescent="0.25">
      <c r="D118" s="10"/>
      <c r="E118" s="9"/>
      <c r="BN118" s="11"/>
      <c r="BQ118" s="11"/>
    </row>
    <row r="119" spans="4:69" ht="14.5" x14ac:dyDescent="0.25">
      <c r="D119" s="10"/>
      <c r="E119" s="9"/>
      <c r="BN119" s="11"/>
      <c r="BQ119" s="11"/>
    </row>
    <row r="120" spans="4:69" ht="14.5" x14ac:dyDescent="0.25">
      <c r="D120" s="10"/>
      <c r="E120" s="9"/>
      <c r="BN120" s="11"/>
      <c r="BQ120" s="11"/>
    </row>
    <row r="121" spans="4:69" ht="14.5" x14ac:dyDescent="0.25">
      <c r="D121" s="10"/>
      <c r="E121" s="9"/>
      <c r="BN121" s="11"/>
      <c r="BQ121" s="11"/>
    </row>
    <row r="122" spans="4:69" ht="14.5" x14ac:dyDescent="0.25">
      <c r="D122" s="10"/>
      <c r="E122" s="9"/>
      <c r="BN122" s="11"/>
      <c r="BQ122" s="11"/>
    </row>
    <row r="123" spans="4:69" ht="14.5" x14ac:dyDescent="0.25">
      <c r="D123" s="10"/>
      <c r="E123" s="9"/>
      <c r="BN123" s="11"/>
      <c r="BQ123" s="11"/>
    </row>
    <row r="124" spans="4:69" ht="14.5" x14ac:dyDescent="0.25">
      <c r="D124" s="10"/>
      <c r="E124" s="9"/>
      <c r="BN124" s="11"/>
      <c r="BQ124" s="11"/>
    </row>
    <row r="125" spans="4:69" ht="14.5" x14ac:dyDescent="0.25">
      <c r="D125" s="10"/>
      <c r="E125" s="9"/>
      <c r="BN125" s="11"/>
      <c r="BQ125" s="11"/>
    </row>
    <row r="126" spans="4:69" ht="14.5" x14ac:dyDescent="0.25">
      <c r="D126" s="10"/>
      <c r="E126" s="9"/>
      <c r="BN126" s="11"/>
      <c r="BQ126" s="11"/>
    </row>
    <row r="127" spans="4:69" ht="14.5" x14ac:dyDescent="0.25">
      <c r="D127" s="10"/>
      <c r="E127" s="9"/>
      <c r="BN127" s="11"/>
      <c r="BQ127" s="11"/>
    </row>
    <row r="128" spans="4:69" ht="14.5" x14ac:dyDescent="0.25">
      <c r="D128" s="10"/>
      <c r="E128" s="9"/>
      <c r="BN128" s="11"/>
      <c r="BQ128" s="11"/>
    </row>
    <row r="129" spans="4:69" ht="14.5" x14ac:dyDescent="0.25">
      <c r="D129" s="10"/>
      <c r="E129" s="9"/>
      <c r="BN129" s="11"/>
      <c r="BQ129" s="11"/>
    </row>
    <row r="130" spans="4:69" ht="14.5" x14ac:dyDescent="0.25">
      <c r="D130" s="10"/>
      <c r="E130" s="9"/>
      <c r="BN130" s="11"/>
      <c r="BQ130" s="11"/>
    </row>
    <row r="131" spans="4:69" ht="14.5" x14ac:dyDescent="0.25">
      <c r="D131" s="10"/>
      <c r="E131" s="9"/>
      <c r="BN131" s="11"/>
      <c r="BQ131" s="11"/>
    </row>
    <row r="132" spans="4:69" ht="14.5" x14ac:dyDescent="0.25">
      <c r="D132" s="10"/>
      <c r="E132" s="9"/>
      <c r="BN132" s="11"/>
      <c r="BQ132" s="11"/>
    </row>
    <row r="133" spans="4:69" ht="14.5" x14ac:dyDescent="0.25">
      <c r="D133" s="10"/>
      <c r="E133" s="9"/>
      <c r="BN133" s="11"/>
      <c r="BQ133" s="11"/>
    </row>
    <row r="134" spans="4:69" ht="14.5" x14ac:dyDescent="0.25">
      <c r="D134" s="10"/>
      <c r="E134" s="9"/>
      <c r="BN134" s="11"/>
      <c r="BQ134" s="11"/>
    </row>
    <row r="135" spans="4:69" ht="14.5" x14ac:dyDescent="0.25">
      <c r="D135" s="10"/>
      <c r="E135" s="9"/>
      <c r="BN135" s="11"/>
      <c r="BQ135" s="11"/>
    </row>
    <row r="136" spans="4:69" ht="14.5" x14ac:dyDescent="0.25">
      <c r="D136" s="10"/>
      <c r="E136" s="9"/>
      <c r="BN136" s="11"/>
      <c r="BQ136" s="11"/>
    </row>
    <row r="137" spans="4:69" ht="14.5" x14ac:dyDescent="0.25">
      <c r="D137" s="10"/>
      <c r="E137" s="9"/>
      <c r="BN137" s="11"/>
      <c r="BQ137" s="11"/>
    </row>
    <row r="138" spans="4:69" ht="14.5" x14ac:dyDescent="0.25">
      <c r="D138" s="10"/>
      <c r="E138" s="9"/>
      <c r="BN138" s="11"/>
      <c r="BQ138" s="11"/>
    </row>
    <row r="139" spans="4:69" ht="14.5" x14ac:dyDescent="0.25">
      <c r="D139" s="10"/>
      <c r="E139" s="9"/>
      <c r="BN139" s="11"/>
      <c r="BQ139" s="11"/>
    </row>
    <row r="140" spans="4:69" ht="14.5" x14ac:dyDescent="0.25">
      <c r="D140" s="10"/>
      <c r="E140" s="9"/>
      <c r="BN140" s="11"/>
      <c r="BQ140" s="11"/>
    </row>
    <row r="141" spans="4:69" ht="14.5" x14ac:dyDescent="0.25">
      <c r="D141" s="10"/>
      <c r="E141" s="9"/>
      <c r="BN141" s="11"/>
      <c r="BQ141" s="11"/>
    </row>
    <row r="142" spans="4:69" ht="14.5" x14ac:dyDescent="0.25">
      <c r="D142" s="10"/>
      <c r="E142" s="9"/>
      <c r="BN142" s="11"/>
      <c r="BQ142" s="11"/>
    </row>
    <row r="143" spans="4:69" ht="14.5" x14ac:dyDescent="0.25">
      <c r="D143" s="10"/>
      <c r="E143" s="9"/>
      <c r="BN143" s="11"/>
      <c r="BQ143" s="11"/>
    </row>
    <row r="144" spans="4:69" ht="14.5" x14ac:dyDescent="0.25">
      <c r="D144" s="10"/>
      <c r="E144" s="9"/>
      <c r="BN144" s="11"/>
      <c r="BQ144" s="11"/>
    </row>
    <row r="145" spans="4:69" ht="14.5" x14ac:dyDescent="0.25">
      <c r="D145" s="10"/>
      <c r="E145" s="9"/>
      <c r="BN145" s="11"/>
      <c r="BQ145" s="11"/>
    </row>
    <row r="146" spans="4:69" ht="14.5" x14ac:dyDescent="0.25">
      <c r="D146" s="10"/>
      <c r="E146" s="9"/>
      <c r="BN146" s="11"/>
      <c r="BQ146" s="11"/>
    </row>
    <row r="147" spans="4:69" ht="14.5" x14ac:dyDescent="0.25">
      <c r="D147" s="10"/>
      <c r="E147" s="9"/>
      <c r="BN147" s="11"/>
      <c r="BQ147" s="11"/>
    </row>
    <row r="148" spans="4:69" ht="14.5" x14ac:dyDescent="0.25">
      <c r="D148" s="10"/>
      <c r="E148" s="9"/>
      <c r="BN148" s="11"/>
      <c r="BQ148" s="11"/>
    </row>
    <row r="149" spans="4:69" ht="14.5" x14ac:dyDescent="0.25">
      <c r="D149" s="10"/>
      <c r="E149" s="9"/>
      <c r="BN149" s="11"/>
      <c r="BQ149" s="11"/>
    </row>
    <row r="150" spans="4:69" ht="14.5" x14ac:dyDescent="0.25">
      <c r="D150" s="10"/>
      <c r="E150" s="9"/>
      <c r="BN150" s="11"/>
      <c r="BQ150" s="11"/>
    </row>
    <row r="151" spans="4:69" ht="14.5" x14ac:dyDescent="0.25">
      <c r="D151" s="10"/>
      <c r="E151" s="9"/>
      <c r="BN151" s="11"/>
      <c r="BQ151" s="11"/>
    </row>
    <row r="152" spans="4:69" ht="14.5" x14ac:dyDescent="0.25">
      <c r="D152" s="10"/>
      <c r="E152" s="9"/>
      <c r="BN152" s="11"/>
      <c r="BQ152" s="11"/>
    </row>
    <row r="153" spans="4:69" ht="14.5" x14ac:dyDescent="0.25">
      <c r="D153" s="10"/>
      <c r="E153" s="9"/>
      <c r="BN153" s="11"/>
      <c r="BQ153" s="11"/>
    </row>
    <row r="154" spans="4:69" ht="14.5" x14ac:dyDescent="0.25">
      <c r="D154" s="10"/>
      <c r="E154" s="9"/>
      <c r="BN154" s="11"/>
      <c r="BQ154" s="11"/>
    </row>
    <row r="155" spans="4:69" ht="14.5" x14ac:dyDescent="0.25">
      <c r="D155" s="10"/>
      <c r="E155" s="9"/>
      <c r="BN155" s="11"/>
      <c r="BQ155" s="11"/>
    </row>
    <row r="156" spans="4:69" ht="14.5" x14ac:dyDescent="0.25">
      <c r="D156" s="10"/>
      <c r="E156" s="9"/>
      <c r="BN156" s="11"/>
      <c r="BQ156" s="11"/>
    </row>
    <row r="157" spans="4:69" ht="14.5" x14ac:dyDescent="0.25">
      <c r="D157" s="10"/>
      <c r="E157" s="9"/>
      <c r="BN157" s="11"/>
      <c r="BQ157" s="11"/>
    </row>
    <row r="158" spans="4:69" ht="14.5" x14ac:dyDescent="0.25">
      <c r="D158" s="10"/>
      <c r="E158" s="9"/>
      <c r="BN158" s="11"/>
      <c r="BQ158" s="11"/>
    </row>
    <row r="159" spans="4:69" ht="14.5" x14ac:dyDescent="0.25">
      <c r="D159" s="10"/>
      <c r="E159" s="9"/>
      <c r="BN159" s="11"/>
      <c r="BQ159" s="11"/>
    </row>
    <row r="160" spans="4:69" ht="14.5" x14ac:dyDescent="0.25">
      <c r="D160" s="10"/>
      <c r="E160" s="9"/>
      <c r="BN160" s="11"/>
      <c r="BQ160" s="11"/>
    </row>
    <row r="161" spans="4:69" ht="14.5" x14ac:dyDescent="0.25">
      <c r="D161" s="10"/>
      <c r="E161" s="9"/>
      <c r="BN161" s="11"/>
      <c r="BQ161" s="11"/>
    </row>
    <row r="162" spans="4:69" ht="14.5" x14ac:dyDescent="0.25">
      <c r="D162" s="10"/>
      <c r="E162" s="9"/>
      <c r="BN162" s="11"/>
      <c r="BQ162" s="11"/>
    </row>
    <row r="163" spans="4:69" ht="14.5" x14ac:dyDescent="0.25">
      <c r="D163" s="10"/>
      <c r="E163" s="9"/>
      <c r="BN163" s="11"/>
      <c r="BQ163" s="11"/>
    </row>
    <row r="164" spans="4:69" ht="14.5" x14ac:dyDescent="0.25">
      <c r="D164" s="10"/>
      <c r="E164" s="9"/>
      <c r="BN164" s="11"/>
      <c r="BQ164" s="11"/>
    </row>
    <row r="165" spans="4:69" ht="14.5" x14ac:dyDescent="0.25">
      <c r="D165" s="10"/>
      <c r="E165" s="9"/>
      <c r="BN165" s="11"/>
      <c r="BQ165" s="11"/>
    </row>
    <row r="166" spans="4:69" ht="14.5" x14ac:dyDescent="0.25">
      <c r="D166" s="10"/>
      <c r="E166" s="9"/>
      <c r="BN166" s="11"/>
      <c r="BQ166" s="11"/>
    </row>
    <row r="167" spans="4:69" ht="14.5" x14ac:dyDescent="0.25">
      <c r="D167" s="10"/>
      <c r="E167" s="9"/>
      <c r="BN167" s="11"/>
      <c r="BQ167" s="11"/>
    </row>
    <row r="168" spans="4:69" ht="14.5" x14ac:dyDescent="0.25">
      <c r="D168" s="10"/>
      <c r="E168" s="9"/>
      <c r="BN168" s="11"/>
      <c r="BQ168" s="11"/>
    </row>
    <row r="169" spans="4:69" ht="14.5" x14ac:dyDescent="0.25">
      <c r="D169" s="10"/>
      <c r="E169" s="9"/>
      <c r="BN169" s="11"/>
      <c r="BQ169" s="11"/>
    </row>
    <row r="170" spans="4:69" ht="14.5" x14ac:dyDescent="0.25">
      <c r="D170" s="10"/>
      <c r="E170" s="9"/>
      <c r="BN170" s="11"/>
      <c r="BQ170" s="11"/>
    </row>
    <row r="171" spans="4:69" ht="14.5" x14ac:dyDescent="0.25">
      <c r="D171" s="10"/>
      <c r="E171" s="9"/>
      <c r="BN171" s="11"/>
      <c r="BQ171" s="11"/>
    </row>
    <row r="172" spans="4:69" ht="14.5" x14ac:dyDescent="0.25">
      <c r="D172" s="10"/>
      <c r="E172" s="9"/>
      <c r="BN172" s="11"/>
      <c r="BQ172" s="11"/>
    </row>
    <row r="173" spans="4:69" ht="14.5" x14ac:dyDescent="0.25">
      <c r="D173" s="10"/>
      <c r="E173" s="9"/>
      <c r="BN173" s="11"/>
      <c r="BQ173" s="11"/>
    </row>
    <row r="174" spans="4:69" ht="14.5" x14ac:dyDescent="0.25">
      <c r="D174" s="10"/>
      <c r="E174" s="9"/>
      <c r="BN174" s="11"/>
      <c r="BQ174" s="11"/>
    </row>
    <row r="175" spans="4:69" ht="14.5" x14ac:dyDescent="0.25">
      <c r="D175" s="10"/>
      <c r="E175" s="9"/>
      <c r="BN175" s="11"/>
      <c r="BQ175" s="11"/>
    </row>
    <row r="176" spans="4:69" ht="14.5" x14ac:dyDescent="0.25">
      <c r="D176" s="10"/>
      <c r="E176" s="9"/>
      <c r="BN176" s="11"/>
      <c r="BQ176" s="11"/>
    </row>
    <row r="177" spans="4:69" ht="14.5" x14ac:dyDescent="0.25">
      <c r="D177" s="10"/>
      <c r="E177" s="9"/>
      <c r="BN177" s="11"/>
      <c r="BQ177" s="11"/>
    </row>
    <row r="178" spans="4:69" ht="14.5" x14ac:dyDescent="0.25">
      <c r="D178" s="10"/>
      <c r="E178" s="9"/>
      <c r="BN178" s="11"/>
      <c r="BQ178" s="11"/>
    </row>
    <row r="179" spans="4:69" ht="14.5" x14ac:dyDescent="0.25">
      <c r="D179" s="10"/>
      <c r="E179" s="9"/>
      <c r="BN179" s="11"/>
      <c r="BQ179" s="11"/>
    </row>
    <row r="180" spans="4:69" ht="14.5" x14ac:dyDescent="0.25">
      <c r="D180" s="10"/>
      <c r="E180" s="9"/>
      <c r="BN180" s="11"/>
      <c r="BQ180" s="11"/>
    </row>
    <row r="181" spans="4:69" ht="14.5" x14ac:dyDescent="0.25">
      <c r="D181" s="10"/>
      <c r="E181" s="9"/>
      <c r="BN181" s="11"/>
      <c r="BQ181" s="11"/>
    </row>
    <row r="182" spans="4:69" ht="14.5" x14ac:dyDescent="0.25">
      <c r="D182" s="10"/>
      <c r="E182" s="9"/>
      <c r="BN182" s="11"/>
      <c r="BQ182" s="11"/>
    </row>
    <row r="183" spans="4:69" ht="14.5" x14ac:dyDescent="0.25">
      <c r="D183" s="10"/>
      <c r="E183" s="9"/>
      <c r="BN183" s="11"/>
      <c r="BQ183" s="11"/>
    </row>
    <row r="184" spans="4:69" ht="14.5" x14ac:dyDescent="0.25">
      <c r="D184" s="10"/>
      <c r="E184" s="9"/>
      <c r="BN184" s="11"/>
      <c r="BQ184" s="11"/>
    </row>
    <row r="185" spans="4:69" ht="14.5" x14ac:dyDescent="0.25">
      <c r="D185" s="10"/>
      <c r="E185" s="9"/>
      <c r="BN185" s="11"/>
      <c r="BQ185" s="11"/>
    </row>
    <row r="186" spans="4:69" ht="14.5" x14ac:dyDescent="0.25">
      <c r="D186" s="10"/>
      <c r="E186" s="9"/>
      <c r="BN186" s="11"/>
      <c r="BQ186" s="11"/>
    </row>
    <row r="187" spans="4:69" ht="14.5" x14ac:dyDescent="0.25">
      <c r="D187" s="10"/>
      <c r="E187" s="9"/>
      <c r="BN187" s="11"/>
      <c r="BQ187" s="11"/>
    </row>
    <row r="188" spans="4:69" ht="14.5" x14ac:dyDescent="0.25">
      <c r="D188" s="10"/>
      <c r="E188" s="9"/>
      <c r="BN188" s="11"/>
      <c r="BQ188" s="11"/>
    </row>
    <row r="189" spans="4:69" ht="14.5" x14ac:dyDescent="0.25">
      <c r="D189" s="10"/>
      <c r="E189" s="9"/>
      <c r="BN189" s="11"/>
      <c r="BQ189" s="11"/>
    </row>
    <row r="190" spans="4:69" ht="14.5" x14ac:dyDescent="0.25">
      <c r="D190" s="10"/>
      <c r="E190" s="9"/>
      <c r="BN190" s="11"/>
      <c r="BQ190" s="11"/>
    </row>
    <row r="191" spans="4:69" ht="14.5" x14ac:dyDescent="0.25">
      <c r="D191" s="10"/>
      <c r="E191" s="9"/>
      <c r="BN191" s="11"/>
      <c r="BQ191" s="11"/>
    </row>
    <row r="192" spans="4:69" ht="14.5" x14ac:dyDescent="0.25">
      <c r="D192" s="10"/>
      <c r="E192" s="9"/>
      <c r="BN192" s="11"/>
      <c r="BQ192" s="11"/>
    </row>
    <row r="193" spans="4:69" ht="14.5" x14ac:dyDescent="0.25">
      <c r="D193" s="10"/>
      <c r="E193" s="9"/>
      <c r="BN193" s="11"/>
      <c r="BQ193" s="11"/>
    </row>
    <row r="194" spans="4:69" ht="14.5" x14ac:dyDescent="0.25">
      <c r="D194" s="10"/>
      <c r="E194" s="9"/>
      <c r="BN194" s="11"/>
      <c r="BQ194" s="11"/>
    </row>
    <row r="195" spans="4:69" ht="14.5" x14ac:dyDescent="0.25">
      <c r="D195" s="10"/>
      <c r="E195" s="9"/>
      <c r="BN195" s="11"/>
      <c r="BQ195" s="11"/>
    </row>
    <row r="196" spans="4:69" ht="14.5" x14ac:dyDescent="0.25">
      <c r="D196" s="10"/>
      <c r="E196" s="9"/>
      <c r="BN196" s="11"/>
      <c r="BQ196" s="11"/>
    </row>
    <row r="197" spans="4:69" ht="14.5" x14ac:dyDescent="0.25">
      <c r="D197" s="10"/>
      <c r="E197" s="9"/>
      <c r="BN197" s="11"/>
      <c r="BQ197" s="11"/>
    </row>
    <row r="198" spans="4:69" ht="14.5" x14ac:dyDescent="0.25">
      <c r="D198" s="10"/>
      <c r="E198" s="9"/>
      <c r="BN198" s="11"/>
      <c r="BQ198" s="11"/>
    </row>
    <row r="199" spans="4:69" ht="14.5" x14ac:dyDescent="0.25">
      <c r="D199" s="10"/>
      <c r="E199" s="9"/>
      <c r="BN199" s="11"/>
      <c r="BQ199" s="11"/>
    </row>
    <row r="200" spans="4:69" ht="14.5" x14ac:dyDescent="0.25">
      <c r="D200" s="10"/>
      <c r="E200" s="9"/>
      <c r="BN200" s="11"/>
      <c r="BQ200" s="11"/>
    </row>
    <row r="201" spans="4:69" ht="14.5" x14ac:dyDescent="0.25">
      <c r="D201" s="10"/>
      <c r="E201" s="9"/>
      <c r="BN201" s="11"/>
      <c r="BQ201" s="11"/>
    </row>
    <row r="202" spans="4:69" ht="14.5" x14ac:dyDescent="0.25">
      <c r="D202" s="10"/>
      <c r="E202" s="9"/>
      <c r="BN202" s="11"/>
      <c r="BQ202" s="11"/>
    </row>
    <row r="203" spans="4:69" ht="14.5" x14ac:dyDescent="0.25">
      <c r="D203" s="10"/>
      <c r="E203" s="9"/>
      <c r="BN203" s="11"/>
      <c r="BQ203" s="11"/>
    </row>
    <row r="204" spans="4:69" ht="14.5" x14ac:dyDescent="0.25">
      <c r="D204" s="10"/>
      <c r="E204" s="9"/>
      <c r="BN204" s="11"/>
      <c r="BQ204" s="11"/>
    </row>
    <row r="205" spans="4:69" ht="14.5" x14ac:dyDescent="0.25">
      <c r="D205" s="10"/>
      <c r="E205" s="9"/>
      <c r="BN205" s="11"/>
      <c r="BQ205" s="11"/>
    </row>
    <row r="206" spans="4:69" ht="14.5" x14ac:dyDescent="0.25">
      <c r="D206" s="10"/>
      <c r="E206" s="9"/>
      <c r="BN206" s="11"/>
      <c r="BQ206" s="11"/>
    </row>
    <row r="207" spans="4:69" ht="14.5" x14ac:dyDescent="0.25">
      <c r="D207" s="10"/>
      <c r="E207" s="9"/>
      <c r="BN207" s="11"/>
      <c r="BQ207" s="11"/>
    </row>
    <row r="208" spans="4:69" ht="14.5" x14ac:dyDescent="0.25">
      <c r="D208" s="10"/>
      <c r="E208" s="9"/>
      <c r="BN208" s="11"/>
      <c r="BQ208" s="11"/>
    </row>
    <row r="209" spans="4:69" ht="14.5" x14ac:dyDescent="0.25">
      <c r="D209" s="10"/>
      <c r="E209" s="9"/>
      <c r="BN209" s="11"/>
      <c r="BQ209" s="11"/>
    </row>
    <row r="210" spans="4:69" ht="14.5" x14ac:dyDescent="0.25">
      <c r="D210" s="10"/>
      <c r="E210" s="9"/>
      <c r="BN210" s="11"/>
      <c r="BQ210" s="11"/>
    </row>
    <row r="211" spans="4:69" ht="14.5" x14ac:dyDescent="0.25">
      <c r="D211" s="10"/>
      <c r="E211" s="9"/>
      <c r="BN211" s="11"/>
      <c r="BQ211" s="11"/>
    </row>
    <row r="212" spans="4:69" ht="14.5" x14ac:dyDescent="0.25">
      <c r="D212" s="10"/>
      <c r="E212" s="9"/>
      <c r="BN212" s="11"/>
      <c r="BQ212" s="11"/>
    </row>
    <row r="213" spans="4:69" ht="14.5" x14ac:dyDescent="0.25">
      <c r="D213" s="10"/>
      <c r="E213" s="9"/>
      <c r="BN213" s="11"/>
      <c r="BQ213" s="11"/>
    </row>
    <row r="214" spans="4:69" ht="14.5" x14ac:dyDescent="0.25">
      <c r="D214" s="10"/>
      <c r="E214" s="9"/>
      <c r="BN214" s="11"/>
      <c r="BQ214" s="11"/>
    </row>
    <row r="215" spans="4:69" ht="14.5" x14ac:dyDescent="0.25">
      <c r="D215" s="10"/>
      <c r="E215" s="9"/>
      <c r="BN215" s="11"/>
      <c r="BQ215" s="11"/>
    </row>
    <row r="216" spans="4:69" ht="14.5" x14ac:dyDescent="0.25">
      <c r="D216" s="10"/>
      <c r="E216" s="9"/>
      <c r="BQ216" s="11"/>
    </row>
    <row r="217" spans="4:69" ht="14.5" x14ac:dyDescent="0.25">
      <c r="D217" s="10"/>
      <c r="E217" s="9"/>
      <c r="BN217" s="11"/>
      <c r="BQ217" s="11"/>
    </row>
    <row r="218" spans="4:69" ht="14.5" x14ac:dyDescent="0.25">
      <c r="D218" s="10"/>
      <c r="E218" s="9"/>
      <c r="BN218" s="11"/>
      <c r="BQ218" s="11"/>
    </row>
    <row r="219" spans="4:69" ht="14.5" x14ac:dyDescent="0.25">
      <c r="D219" s="10"/>
      <c r="E219" s="9"/>
      <c r="BN219" s="11"/>
      <c r="BQ219" s="11"/>
    </row>
    <row r="220" spans="4:69" ht="14.5" x14ac:dyDescent="0.25">
      <c r="D220" s="10"/>
      <c r="E220" s="9"/>
      <c r="BN220" s="11"/>
      <c r="BQ220" s="11"/>
    </row>
    <row r="221" spans="4:69" ht="14.5" x14ac:dyDescent="0.25">
      <c r="D221" s="10"/>
      <c r="E221" s="9"/>
      <c r="BN221" s="11"/>
      <c r="BQ221" s="11"/>
    </row>
    <row r="222" spans="4:69" ht="14.5" x14ac:dyDescent="0.25">
      <c r="D222" s="10"/>
      <c r="E222" s="9"/>
      <c r="BN222" s="11"/>
      <c r="BQ222" s="11"/>
    </row>
    <row r="223" spans="4:69" ht="14.5" x14ac:dyDescent="0.25">
      <c r="D223" s="10"/>
      <c r="E223" s="9"/>
      <c r="BN223" s="11"/>
      <c r="BQ223" s="11"/>
    </row>
    <row r="224" spans="4:69" ht="14.5" x14ac:dyDescent="0.25">
      <c r="D224" s="10"/>
      <c r="E224" s="9"/>
      <c r="BN224" s="11"/>
      <c r="BQ224" s="11"/>
    </row>
    <row r="225" spans="4:69" ht="14.5" x14ac:dyDescent="0.25">
      <c r="D225" s="10"/>
      <c r="E225" s="9"/>
      <c r="BN225" s="11"/>
      <c r="BQ225" s="11"/>
    </row>
    <row r="226" spans="4:69" ht="14.5" x14ac:dyDescent="0.25">
      <c r="D226" s="10"/>
      <c r="E226" s="9"/>
      <c r="BN226" s="11"/>
      <c r="BQ226" s="11"/>
    </row>
    <row r="227" spans="4:69" ht="14.5" x14ac:dyDescent="0.25">
      <c r="D227" s="10"/>
      <c r="E227" s="9"/>
      <c r="BN227" s="11"/>
      <c r="BQ227" s="11"/>
    </row>
    <row r="228" spans="4:69" ht="14.5" x14ac:dyDescent="0.25">
      <c r="D228" s="10"/>
      <c r="E228" s="9"/>
      <c r="BN228" s="11"/>
      <c r="BQ228" s="11"/>
    </row>
    <row r="229" spans="4:69" ht="14.5" x14ac:dyDescent="0.25">
      <c r="D229" s="10"/>
      <c r="E229" s="9"/>
      <c r="BN229" s="11"/>
      <c r="BQ229" s="11"/>
    </row>
    <row r="230" spans="4:69" ht="14.5" x14ac:dyDescent="0.25">
      <c r="D230" s="10"/>
      <c r="E230" s="9"/>
      <c r="BN230" s="11"/>
      <c r="BQ230" s="11"/>
    </row>
    <row r="231" spans="4:69" ht="14.5" x14ac:dyDescent="0.25">
      <c r="D231" s="10"/>
      <c r="E231" s="9"/>
      <c r="BN231" s="11"/>
      <c r="BQ231" s="11"/>
    </row>
    <row r="232" spans="4:69" ht="14.5" x14ac:dyDescent="0.25">
      <c r="D232" s="10"/>
      <c r="E232" s="9"/>
      <c r="BN232" s="11"/>
      <c r="BQ232" s="11"/>
    </row>
    <row r="233" spans="4:69" ht="14.5" x14ac:dyDescent="0.25">
      <c r="D233" s="10"/>
      <c r="E233" s="9"/>
      <c r="BN233" s="11"/>
      <c r="BQ233" s="11"/>
    </row>
    <row r="234" spans="4:69" ht="14.5" x14ac:dyDescent="0.25">
      <c r="D234" s="10"/>
      <c r="E234" s="9"/>
      <c r="BN234" s="11"/>
      <c r="BQ234" s="11"/>
    </row>
    <row r="235" spans="4:69" ht="14.5" x14ac:dyDescent="0.25">
      <c r="D235" s="10"/>
      <c r="E235" s="9"/>
      <c r="BN235" s="11"/>
      <c r="BQ235" s="11"/>
    </row>
    <row r="236" spans="4:69" ht="14.5" x14ac:dyDescent="0.25">
      <c r="D236" s="10"/>
      <c r="E236" s="9"/>
      <c r="BN236" s="11"/>
      <c r="BQ236" s="11"/>
    </row>
    <row r="237" spans="4:69" ht="14.5" x14ac:dyDescent="0.25">
      <c r="D237" s="10"/>
      <c r="E237" s="9"/>
      <c r="BN237" s="11"/>
      <c r="BQ237" s="11"/>
    </row>
    <row r="238" spans="4:69" ht="14.5" x14ac:dyDescent="0.25">
      <c r="D238" s="10"/>
      <c r="E238" s="9"/>
      <c r="BN238" s="11"/>
      <c r="BQ238" s="11"/>
    </row>
    <row r="239" spans="4:69" ht="14.5" x14ac:dyDescent="0.25">
      <c r="D239" s="10"/>
      <c r="E239" s="9"/>
      <c r="BN239" s="11"/>
      <c r="BQ239" s="11"/>
    </row>
    <row r="240" spans="4:69" ht="14.5" x14ac:dyDescent="0.25">
      <c r="D240" s="10"/>
      <c r="E240" s="9"/>
      <c r="BN240" s="11"/>
      <c r="BQ240" s="11"/>
    </row>
    <row r="241" spans="4:69" ht="14.5" x14ac:dyDescent="0.25">
      <c r="D241" s="10"/>
      <c r="E241" s="9"/>
      <c r="BN241" s="11"/>
      <c r="BQ241" s="11"/>
    </row>
    <row r="242" spans="4:69" ht="14.5" x14ac:dyDescent="0.25">
      <c r="D242" s="10"/>
      <c r="E242" s="9"/>
      <c r="BN242" s="11"/>
      <c r="BQ242" s="11"/>
    </row>
    <row r="243" spans="4:69" ht="14.5" x14ac:dyDescent="0.25">
      <c r="D243" s="10"/>
      <c r="E243" s="9"/>
      <c r="BN243" s="11"/>
      <c r="BQ243" s="11"/>
    </row>
    <row r="244" spans="4:69" ht="14.5" x14ac:dyDescent="0.25">
      <c r="D244" s="10"/>
      <c r="E244" s="9"/>
      <c r="BN244" s="11"/>
      <c r="BQ244" s="11"/>
    </row>
    <row r="245" spans="4:69" ht="14.5" x14ac:dyDescent="0.25">
      <c r="D245" s="10"/>
      <c r="E245" s="9"/>
      <c r="BN245" s="11"/>
      <c r="BQ245" s="11"/>
    </row>
    <row r="246" spans="4:69" ht="14.5" x14ac:dyDescent="0.25">
      <c r="D246" s="10"/>
      <c r="E246" s="9"/>
      <c r="BN246" s="11"/>
      <c r="BQ246" s="11"/>
    </row>
    <row r="247" spans="4:69" ht="14.5" x14ac:dyDescent="0.25">
      <c r="D247" s="10"/>
      <c r="E247" s="9"/>
      <c r="BN247" s="11"/>
      <c r="BQ247" s="11"/>
    </row>
    <row r="248" spans="4:69" ht="14.5" x14ac:dyDescent="0.25">
      <c r="D248" s="10"/>
      <c r="E248" s="9"/>
      <c r="BN248" s="11"/>
      <c r="BQ248" s="11"/>
    </row>
    <row r="249" spans="4:69" ht="14.5" x14ac:dyDescent="0.25">
      <c r="D249" s="10"/>
      <c r="E249" s="9"/>
      <c r="BN249" s="11"/>
      <c r="BQ249" s="11"/>
    </row>
    <row r="250" spans="4:69" ht="14.5" x14ac:dyDescent="0.25">
      <c r="D250" s="10"/>
      <c r="E250" s="9"/>
      <c r="BN250" s="11"/>
      <c r="BQ250" s="11"/>
    </row>
    <row r="251" spans="4:69" ht="14.5" x14ac:dyDescent="0.25">
      <c r="D251" s="10"/>
      <c r="E251" s="9"/>
      <c r="BN251" s="11"/>
      <c r="BQ251" s="11"/>
    </row>
    <row r="252" spans="4:69" ht="14.5" x14ac:dyDescent="0.25">
      <c r="D252" s="10"/>
      <c r="E252" s="9"/>
      <c r="BN252" s="11"/>
      <c r="BQ252" s="11"/>
    </row>
    <row r="253" spans="4:69" ht="14.5" x14ac:dyDescent="0.25">
      <c r="D253" s="10"/>
      <c r="E253" s="9"/>
      <c r="BN253" s="11"/>
      <c r="BQ253" s="11"/>
    </row>
    <row r="254" spans="4:69" ht="14.5" x14ac:dyDescent="0.25">
      <c r="D254" s="10"/>
      <c r="E254" s="9"/>
      <c r="BN254" s="11"/>
      <c r="BQ254" s="11"/>
    </row>
    <row r="255" spans="4:69" ht="14.5" x14ac:dyDescent="0.25">
      <c r="D255" s="10"/>
      <c r="E255" s="9"/>
      <c r="BN255" s="11"/>
      <c r="BQ255" s="11"/>
    </row>
    <row r="256" spans="4:69" ht="14.5" x14ac:dyDescent="0.25">
      <c r="D256" s="10"/>
      <c r="E256" s="9"/>
      <c r="BN256" s="11"/>
      <c r="BQ256" s="11"/>
    </row>
    <row r="257" spans="4:69" ht="14.5" x14ac:dyDescent="0.25">
      <c r="D257" s="10"/>
      <c r="E257" s="9"/>
      <c r="BN257" s="11"/>
      <c r="BQ257" s="11"/>
    </row>
    <row r="258" spans="4:69" ht="14.5" x14ac:dyDescent="0.25">
      <c r="D258" s="10"/>
      <c r="E258" s="9"/>
      <c r="BN258" s="11"/>
      <c r="BQ258" s="11"/>
    </row>
    <row r="259" spans="4:69" ht="14.5" x14ac:dyDescent="0.25">
      <c r="D259" s="10"/>
      <c r="E259" s="9"/>
      <c r="BQ259" s="11"/>
    </row>
    <row r="260" spans="4:69" ht="14.5" x14ac:dyDescent="0.25">
      <c r="D260" s="10"/>
      <c r="E260" s="9"/>
      <c r="BN260" s="11"/>
      <c r="BQ260" s="11"/>
    </row>
    <row r="261" spans="4:69" ht="14.5" x14ac:dyDescent="0.25">
      <c r="D261" s="10"/>
      <c r="E261" s="9"/>
      <c r="BN261" s="11"/>
      <c r="BQ261" s="11"/>
    </row>
    <row r="262" spans="4:69" ht="14.5" x14ac:dyDescent="0.25">
      <c r="D262" s="10"/>
      <c r="E262" s="9"/>
      <c r="BN262" s="11"/>
      <c r="BQ262" s="11"/>
    </row>
    <row r="263" spans="4:69" ht="14.5" x14ac:dyDescent="0.25">
      <c r="D263" s="10"/>
      <c r="E263" s="9"/>
      <c r="BN263" s="11"/>
      <c r="BQ263" s="11"/>
    </row>
    <row r="264" spans="4:69" ht="14.5" x14ac:dyDescent="0.25">
      <c r="D264" s="10"/>
      <c r="E264" s="9"/>
      <c r="BN264" s="11"/>
      <c r="BQ264" s="11"/>
    </row>
    <row r="265" spans="4:69" ht="14.5" x14ac:dyDescent="0.25">
      <c r="D265" s="10"/>
      <c r="E265" s="9"/>
      <c r="BN265" s="11"/>
      <c r="BQ265" s="11"/>
    </row>
    <row r="266" spans="4:69" ht="14.5" x14ac:dyDescent="0.25">
      <c r="D266" s="10"/>
      <c r="E266" s="9"/>
      <c r="BN266" s="11"/>
      <c r="BQ266" s="11"/>
    </row>
    <row r="267" spans="4:69" ht="14.5" x14ac:dyDescent="0.25">
      <c r="D267" s="10"/>
      <c r="E267" s="9"/>
      <c r="BN267" s="11"/>
      <c r="BQ267" s="11"/>
    </row>
    <row r="268" spans="4:69" ht="14.5" x14ac:dyDescent="0.25">
      <c r="D268" s="10"/>
      <c r="E268" s="9"/>
      <c r="BN268" s="11"/>
      <c r="BQ268" s="11"/>
    </row>
    <row r="269" spans="4:69" ht="14.5" x14ac:dyDescent="0.25">
      <c r="D269" s="10"/>
      <c r="E269" s="9"/>
      <c r="BN269" s="11"/>
      <c r="BQ269" s="11"/>
    </row>
    <row r="270" spans="4:69" ht="14.5" x14ac:dyDescent="0.25">
      <c r="D270" s="10"/>
      <c r="E270" s="9"/>
      <c r="BN270" s="11"/>
      <c r="BQ270" s="11"/>
    </row>
    <row r="271" spans="4:69" ht="14.5" x14ac:dyDescent="0.25">
      <c r="D271" s="10"/>
      <c r="E271" s="9"/>
      <c r="BN271" s="11"/>
      <c r="BQ271" s="11"/>
    </row>
    <row r="272" spans="4:69" ht="14.5" x14ac:dyDescent="0.25">
      <c r="D272" s="10"/>
      <c r="E272" s="9"/>
      <c r="BN272" s="11"/>
      <c r="BQ272" s="11"/>
    </row>
    <row r="273" spans="4:69" ht="14.5" x14ac:dyDescent="0.25">
      <c r="D273" s="10"/>
      <c r="E273" s="9"/>
      <c r="BN273" s="11"/>
      <c r="BQ273" s="11"/>
    </row>
    <row r="274" spans="4:69" ht="14.5" x14ac:dyDescent="0.25">
      <c r="D274" s="10"/>
      <c r="E274" s="9"/>
      <c r="BN274" s="11"/>
      <c r="BQ274" s="11"/>
    </row>
    <row r="275" spans="4:69" ht="14.5" x14ac:dyDescent="0.25">
      <c r="D275" s="10"/>
      <c r="E275" s="9"/>
      <c r="BN275" s="11"/>
      <c r="BQ275" s="11"/>
    </row>
    <row r="276" spans="4:69" ht="14.5" x14ac:dyDescent="0.25">
      <c r="D276" s="10"/>
      <c r="E276" s="9"/>
      <c r="BN276" s="11"/>
      <c r="BQ276" s="11"/>
    </row>
    <row r="277" spans="4:69" ht="14.5" x14ac:dyDescent="0.25">
      <c r="D277" s="10"/>
      <c r="E277" s="9"/>
      <c r="BN277" s="11"/>
      <c r="BQ277" s="11"/>
    </row>
    <row r="278" spans="4:69" ht="14.5" x14ac:dyDescent="0.25">
      <c r="D278" s="10"/>
      <c r="E278" s="9"/>
      <c r="BN278" s="11"/>
      <c r="BQ278" s="11"/>
    </row>
    <row r="279" spans="4:69" ht="14.5" x14ac:dyDescent="0.25">
      <c r="D279" s="10"/>
      <c r="E279" s="9"/>
      <c r="BN279" s="11"/>
      <c r="BQ279" s="11"/>
    </row>
    <row r="280" spans="4:69" ht="14.5" x14ac:dyDescent="0.25">
      <c r="D280" s="10"/>
      <c r="E280" s="9"/>
      <c r="BN280" s="11"/>
      <c r="BQ280" s="11"/>
    </row>
    <row r="281" spans="4:69" ht="14.5" x14ac:dyDescent="0.25">
      <c r="D281" s="10"/>
      <c r="E281" s="9"/>
      <c r="BN281" s="11"/>
      <c r="BQ281" s="11"/>
    </row>
    <row r="282" spans="4:69" ht="14.5" x14ac:dyDescent="0.25">
      <c r="D282" s="10"/>
      <c r="E282" s="9"/>
      <c r="BN282" s="11"/>
      <c r="BQ282" s="11"/>
    </row>
    <row r="283" spans="4:69" ht="14.5" x14ac:dyDescent="0.25">
      <c r="D283" s="10"/>
      <c r="E283" s="9"/>
      <c r="BN283" s="11"/>
      <c r="BQ283" s="11"/>
    </row>
    <row r="284" spans="4:69" ht="14.5" x14ac:dyDescent="0.25">
      <c r="D284" s="10"/>
      <c r="E284" s="9"/>
      <c r="BN284" s="11"/>
      <c r="BQ284" s="11"/>
    </row>
    <row r="285" spans="4:69" ht="14.5" x14ac:dyDescent="0.25">
      <c r="D285" s="10"/>
      <c r="E285" s="9"/>
      <c r="BN285" s="11"/>
      <c r="BQ285" s="11"/>
    </row>
    <row r="286" spans="4:69" ht="14.5" x14ac:dyDescent="0.25">
      <c r="D286" s="10"/>
      <c r="E286" s="9"/>
      <c r="BN286" s="11"/>
      <c r="BQ286" s="11"/>
    </row>
    <row r="287" spans="4:69" ht="14.5" x14ac:dyDescent="0.25">
      <c r="D287" s="10"/>
      <c r="E287" s="9"/>
      <c r="BN287" s="11"/>
      <c r="BQ287" s="11"/>
    </row>
    <row r="288" spans="4:69" ht="14.5" x14ac:dyDescent="0.25">
      <c r="D288" s="10"/>
      <c r="E288" s="9"/>
      <c r="BN288" s="11"/>
      <c r="BQ288" s="11"/>
    </row>
    <row r="289" spans="4:69" ht="14.5" x14ac:dyDescent="0.25">
      <c r="D289" s="10"/>
      <c r="E289" s="9"/>
      <c r="BN289" s="11"/>
      <c r="BQ289" s="11"/>
    </row>
    <row r="290" spans="4:69" ht="14.5" x14ac:dyDescent="0.25">
      <c r="D290" s="10"/>
      <c r="E290" s="9"/>
      <c r="BN290" s="11"/>
      <c r="BQ290" s="11"/>
    </row>
    <row r="291" spans="4:69" ht="14.5" x14ac:dyDescent="0.25">
      <c r="D291" s="10"/>
      <c r="E291" s="9"/>
      <c r="BN291" s="11"/>
      <c r="BQ291" s="11"/>
    </row>
    <row r="292" spans="4:69" ht="14.5" x14ac:dyDescent="0.25">
      <c r="D292" s="10"/>
      <c r="E292" s="9"/>
      <c r="BN292" s="11"/>
      <c r="BQ292" s="11"/>
    </row>
    <row r="293" spans="4:69" ht="14.5" x14ac:dyDescent="0.25">
      <c r="D293" s="10"/>
      <c r="E293" s="9"/>
      <c r="BN293" s="11"/>
      <c r="BQ293" s="11"/>
    </row>
    <row r="294" spans="4:69" ht="14.5" x14ac:dyDescent="0.25">
      <c r="D294" s="10"/>
      <c r="E294" s="9"/>
      <c r="BN294" s="11"/>
      <c r="BQ294" s="11"/>
    </row>
    <row r="295" spans="4:69" ht="14.5" x14ac:dyDescent="0.25">
      <c r="D295" s="10"/>
      <c r="E295" s="9"/>
      <c r="BN295" s="11"/>
      <c r="BQ295" s="11"/>
    </row>
    <row r="296" spans="4:69" ht="14.5" x14ac:dyDescent="0.25">
      <c r="D296" s="10"/>
      <c r="E296" s="9"/>
      <c r="BN296" s="11"/>
      <c r="BQ296" s="11"/>
    </row>
    <row r="297" spans="4:69" ht="14.5" x14ac:dyDescent="0.25">
      <c r="D297" s="10"/>
      <c r="E297" s="9"/>
      <c r="BN297" s="11"/>
      <c r="BQ297" s="11"/>
    </row>
    <row r="298" spans="4:69" ht="14.5" x14ac:dyDescent="0.25">
      <c r="D298" s="10"/>
      <c r="E298" s="9"/>
      <c r="BN298" s="11"/>
      <c r="BQ298" s="11"/>
    </row>
    <row r="299" spans="4:69" ht="14.5" x14ac:dyDescent="0.25">
      <c r="D299" s="10"/>
      <c r="E299" s="9"/>
      <c r="BN299" s="11"/>
      <c r="BQ299" s="11"/>
    </row>
    <row r="300" spans="4:69" ht="14.5" x14ac:dyDescent="0.25">
      <c r="D300" s="10"/>
      <c r="E300" s="9"/>
      <c r="BN300" s="11"/>
      <c r="BQ300" s="11"/>
    </row>
    <row r="301" spans="4:69" ht="14.5" x14ac:dyDescent="0.25">
      <c r="D301" s="10"/>
      <c r="E301" s="9"/>
      <c r="BN301" s="11"/>
      <c r="BQ301" s="11"/>
    </row>
    <row r="302" spans="4:69" ht="14.5" x14ac:dyDescent="0.25">
      <c r="D302" s="10"/>
      <c r="E302" s="9"/>
      <c r="BN302" s="11"/>
      <c r="BQ302" s="11"/>
    </row>
    <row r="303" spans="4:69" ht="14.5" x14ac:dyDescent="0.25">
      <c r="D303" s="10"/>
      <c r="E303" s="9"/>
      <c r="BN303" s="11"/>
      <c r="BQ303" s="11"/>
    </row>
    <row r="304" spans="4:69" ht="14.5" x14ac:dyDescent="0.25">
      <c r="D304" s="10"/>
      <c r="E304" s="9"/>
      <c r="BN304" s="11"/>
      <c r="BQ304" s="11"/>
    </row>
    <row r="305" spans="4:69" ht="14.5" x14ac:dyDescent="0.25">
      <c r="D305" s="10"/>
      <c r="E305" s="9"/>
      <c r="BN305" s="11"/>
      <c r="BQ305" s="11"/>
    </row>
    <row r="306" spans="4:69" ht="14.5" x14ac:dyDescent="0.25">
      <c r="D306" s="10"/>
      <c r="E306" s="9"/>
      <c r="BN306" s="11"/>
      <c r="BQ306" s="11"/>
    </row>
    <row r="307" spans="4:69" ht="14.5" x14ac:dyDescent="0.25">
      <c r="D307" s="10"/>
      <c r="E307" s="9"/>
      <c r="BN307" s="11"/>
      <c r="BQ307" s="11"/>
    </row>
    <row r="308" spans="4:69" ht="14.5" x14ac:dyDescent="0.25">
      <c r="D308" s="10"/>
      <c r="E308" s="9"/>
      <c r="BN308" s="11"/>
      <c r="BQ308" s="11"/>
    </row>
    <row r="309" spans="4:69" ht="14.5" x14ac:dyDescent="0.25">
      <c r="D309" s="10"/>
      <c r="E309" s="9"/>
      <c r="BN309" s="11"/>
      <c r="BQ309" s="11"/>
    </row>
    <row r="310" spans="4:69" ht="14.5" x14ac:dyDescent="0.25">
      <c r="D310" s="10"/>
      <c r="E310" s="9"/>
      <c r="BN310" s="11"/>
      <c r="BQ310" s="11"/>
    </row>
    <row r="311" spans="4:69" ht="14.5" x14ac:dyDescent="0.25">
      <c r="D311" s="10"/>
      <c r="E311" s="9"/>
      <c r="BN311" s="11"/>
      <c r="BQ311" s="11"/>
    </row>
    <row r="312" spans="4:69" ht="14.5" x14ac:dyDescent="0.25">
      <c r="D312" s="10"/>
      <c r="E312" s="9"/>
      <c r="BN312" s="11"/>
      <c r="BQ312" s="11"/>
    </row>
    <row r="313" spans="4:69" ht="14.5" x14ac:dyDescent="0.25">
      <c r="D313" s="10"/>
      <c r="E313" s="9"/>
      <c r="BN313" s="11"/>
      <c r="BQ313" s="11"/>
    </row>
    <row r="314" spans="4:69" ht="14.5" x14ac:dyDescent="0.25">
      <c r="D314" s="10"/>
      <c r="E314" s="9"/>
      <c r="BN314" s="11"/>
      <c r="BQ314" s="11"/>
    </row>
    <row r="315" spans="4:69" ht="14.5" x14ac:dyDescent="0.25">
      <c r="D315" s="10"/>
      <c r="E315" s="9"/>
      <c r="BQ315" s="11"/>
    </row>
    <row r="316" spans="4:69" ht="14.5" x14ac:dyDescent="0.25">
      <c r="D316" s="10"/>
      <c r="E316" s="9"/>
      <c r="BQ316" s="11"/>
    </row>
    <row r="317" spans="4:69" ht="14.5" x14ac:dyDescent="0.25">
      <c r="D317" s="10"/>
      <c r="E317" s="9"/>
      <c r="BQ317" s="11"/>
    </row>
    <row r="318" spans="4:69" ht="14.5" x14ac:dyDescent="0.25">
      <c r="D318" s="10"/>
      <c r="E318" s="9"/>
      <c r="BN318" s="11"/>
      <c r="BQ318" s="11"/>
    </row>
    <row r="319" spans="4:69" ht="14.5" x14ac:dyDescent="0.25">
      <c r="D319" s="10"/>
      <c r="E319" s="9"/>
      <c r="BN319" s="11"/>
      <c r="BQ319" s="11"/>
    </row>
    <row r="320" spans="4:69" ht="14.5" x14ac:dyDescent="0.25">
      <c r="D320" s="10"/>
      <c r="E320" s="9"/>
      <c r="BN320" s="11"/>
      <c r="BQ320" s="11"/>
    </row>
    <row r="321" spans="4:69" ht="14.5" x14ac:dyDescent="0.25">
      <c r="D321" s="10"/>
      <c r="E321" s="9"/>
      <c r="BN321" s="11"/>
      <c r="BQ321" s="11"/>
    </row>
    <row r="322" spans="4:69" ht="14.5" x14ac:dyDescent="0.25">
      <c r="D322" s="10"/>
      <c r="E322" s="9"/>
      <c r="BN322" s="11"/>
      <c r="BQ322" s="11"/>
    </row>
    <row r="323" spans="4:69" ht="14.5" x14ac:dyDescent="0.25">
      <c r="D323" s="10"/>
      <c r="E323" s="9"/>
      <c r="BN323" s="11"/>
      <c r="BQ323" s="11"/>
    </row>
    <row r="324" spans="4:69" ht="14.5" x14ac:dyDescent="0.25">
      <c r="D324" s="10"/>
      <c r="E324" s="9"/>
      <c r="BN324" s="11"/>
      <c r="BQ324" s="11"/>
    </row>
    <row r="325" spans="4:69" ht="14.5" x14ac:dyDescent="0.25">
      <c r="D325" s="10"/>
      <c r="E325" s="9"/>
      <c r="BN325" s="11"/>
      <c r="BQ325" s="11"/>
    </row>
    <row r="326" spans="4:69" ht="14.5" x14ac:dyDescent="0.25">
      <c r="D326" s="10"/>
      <c r="E326" s="9"/>
      <c r="BN326" s="11"/>
      <c r="BQ326" s="11"/>
    </row>
    <row r="327" spans="4:69" ht="14.5" x14ac:dyDescent="0.25">
      <c r="D327" s="10"/>
      <c r="E327" s="9"/>
      <c r="BN327" s="11"/>
      <c r="BQ327" s="11"/>
    </row>
    <row r="328" spans="4:69" ht="14.5" x14ac:dyDescent="0.25">
      <c r="D328" s="10"/>
      <c r="E328" s="9"/>
      <c r="BN328" s="11"/>
      <c r="BQ328" s="11"/>
    </row>
    <row r="329" spans="4:69" ht="14.5" x14ac:dyDescent="0.25">
      <c r="D329" s="10"/>
      <c r="E329" s="9"/>
      <c r="BN329" s="11"/>
      <c r="BQ329" s="11"/>
    </row>
    <row r="330" spans="4:69" ht="14.5" x14ac:dyDescent="0.25">
      <c r="D330" s="10"/>
      <c r="E330" s="9"/>
      <c r="BN330" s="11"/>
      <c r="BQ330" s="11"/>
    </row>
    <row r="331" spans="4:69" ht="14.5" x14ac:dyDescent="0.25">
      <c r="D331" s="10"/>
      <c r="E331" s="9"/>
      <c r="BN331" s="11"/>
      <c r="BQ331" s="11"/>
    </row>
    <row r="332" spans="4:69" ht="14.5" x14ac:dyDescent="0.25">
      <c r="D332" s="10"/>
      <c r="E332" s="9"/>
      <c r="BN332" s="11"/>
      <c r="BQ332" s="11"/>
    </row>
    <row r="333" spans="4:69" ht="14.5" x14ac:dyDescent="0.25">
      <c r="D333" s="10"/>
      <c r="E333" s="9"/>
      <c r="BN333" s="11"/>
      <c r="BQ333" s="11"/>
    </row>
    <row r="334" spans="4:69" ht="14.5" x14ac:dyDescent="0.25">
      <c r="D334" s="10"/>
      <c r="E334" s="9"/>
      <c r="BN334" s="11"/>
      <c r="BQ334" s="11"/>
    </row>
    <row r="335" spans="4:69" ht="14.5" x14ac:dyDescent="0.25">
      <c r="D335" s="10"/>
      <c r="E335" s="9"/>
      <c r="BN335" s="11"/>
      <c r="BQ335" s="11"/>
    </row>
    <row r="336" spans="4:69" ht="14.5" x14ac:dyDescent="0.25">
      <c r="D336" s="10"/>
      <c r="E336" s="9"/>
      <c r="BN336" s="11"/>
      <c r="BQ336" s="11"/>
    </row>
    <row r="337" spans="4:69" ht="14.5" x14ac:dyDescent="0.25">
      <c r="D337" s="10"/>
      <c r="E337" s="9"/>
      <c r="BN337" s="11"/>
      <c r="BQ337" s="11"/>
    </row>
    <row r="338" spans="4:69" ht="14.5" x14ac:dyDescent="0.25">
      <c r="D338" s="10"/>
      <c r="E338" s="9"/>
      <c r="BN338" s="11"/>
      <c r="BQ338" s="11"/>
    </row>
    <row r="339" spans="4:69" ht="14.5" x14ac:dyDescent="0.25">
      <c r="D339" s="10"/>
      <c r="E339" s="9"/>
      <c r="BN339" s="11"/>
      <c r="BQ339" s="11"/>
    </row>
    <row r="340" spans="4:69" ht="14.5" x14ac:dyDescent="0.25">
      <c r="D340" s="10"/>
      <c r="E340" s="9"/>
      <c r="BN340" s="11"/>
      <c r="BQ340" s="11"/>
    </row>
    <row r="341" spans="4:69" ht="14.5" x14ac:dyDescent="0.25">
      <c r="D341" s="10"/>
      <c r="E341" s="9"/>
      <c r="BN341" s="11"/>
      <c r="BQ341" s="11"/>
    </row>
    <row r="342" spans="4:69" ht="14.5" x14ac:dyDescent="0.25">
      <c r="D342" s="10"/>
      <c r="E342" s="9"/>
      <c r="BN342" s="11"/>
      <c r="BQ342" s="11"/>
    </row>
    <row r="343" spans="4:69" ht="14.5" x14ac:dyDescent="0.25">
      <c r="D343" s="10"/>
      <c r="E343" s="9"/>
      <c r="BN343" s="11"/>
      <c r="BQ343" s="11"/>
    </row>
    <row r="344" spans="4:69" ht="14.5" x14ac:dyDescent="0.25">
      <c r="D344" s="10"/>
      <c r="E344" s="9"/>
      <c r="BN344" s="11"/>
      <c r="BQ344" s="11"/>
    </row>
    <row r="345" spans="4:69" ht="14.5" x14ac:dyDescent="0.25">
      <c r="D345" s="10"/>
      <c r="E345" s="9"/>
      <c r="BN345" s="11"/>
      <c r="BQ345" s="11"/>
    </row>
    <row r="346" spans="4:69" ht="14.5" x14ac:dyDescent="0.25">
      <c r="D346" s="10"/>
      <c r="E346" s="9"/>
      <c r="BN346" s="11"/>
      <c r="BQ346" s="11"/>
    </row>
    <row r="347" spans="4:69" ht="14.5" x14ac:dyDescent="0.25">
      <c r="D347" s="10"/>
      <c r="E347" s="9"/>
      <c r="BN347" s="11"/>
      <c r="BQ347" s="11"/>
    </row>
    <row r="348" spans="4:69" ht="14.5" x14ac:dyDescent="0.25">
      <c r="D348" s="10"/>
      <c r="E348" s="9"/>
      <c r="BN348" s="11"/>
      <c r="BQ348" s="11"/>
    </row>
    <row r="349" spans="4:69" ht="14.5" x14ac:dyDescent="0.25">
      <c r="D349" s="10"/>
      <c r="E349" s="9"/>
      <c r="BN349" s="11"/>
      <c r="BQ349" s="11"/>
    </row>
    <row r="350" spans="4:69" ht="14.5" x14ac:dyDescent="0.25">
      <c r="D350" s="10"/>
      <c r="E350" s="9"/>
      <c r="BN350" s="11"/>
      <c r="BQ350" s="11"/>
    </row>
    <row r="351" spans="4:69" ht="14.5" x14ac:dyDescent="0.25">
      <c r="D351" s="10"/>
      <c r="E351" s="9"/>
      <c r="BN351" s="11"/>
      <c r="BQ351" s="11"/>
    </row>
    <row r="352" spans="4:69" ht="14.5" x14ac:dyDescent="0.25">
      <c r="D352" s="10"/>
      <c r="E352" s="9"/>
      <c r="BQ352" s="11"/>
    </row>
    <row r="353" spans="4:69" ht="14.5" x14ac:dyDescent="0.25">
      <c r="D353" s="10"/>
      <c r="E353" s="9"/>
      <c r="BQ353" s="11"/>
    </row>
    <row r="354" spans="4:69" ht="14.5" x14ac:dyDescent="0.25">
      <c r="D354" s="10"/>
      <c r="E354" s="9"/>
      <c r="BN354" s="11"/>
      <c r="BQ354" s="11"/>
    </row>
    <row r="355" spans="4:69" ht="14.5" x14ac:dyDescent="0.25">
      <c r="D355" s="10"/>
      <c r="E355" s="9"/>
      <c r="BN355" s="11"/>
      <c r="BQ355" s="11"/>
    </row>
    <row r="356" spans="4:69" ht="14.5" x14ac:dyDescent="0.25">
      <c r="D356" s="10"/>
      <c r="E356" s="9"/>
      <c r="BN356" s="11"/>
      <c r="BQ356" s="11"/>
    </row>
    <row r="357" spans="4:69" ht="14.5" x14ac:dyDescent="0.25">
      <c r="D357" s="10"/>
      <c r="E357" s="9"/>
      <c r="BN357" s="11"/>
      <c r="BQ357" s="11"/>
    </row>
    <row r="358" spans="4:69" ht="14.5" x14ac:dyDescent="0.25">
      <c r="D358" s="10"/>
      <c r="E358" s="9"/>
      <c r="BN358" s="11"/>
      <c r="BQ358" s="11"/>
    </row>
    <row r="359" spans="4:69" ht="14.5" x14ac:dyDescent="0.25">
      <c r="D359" s="10"/>
      <c r="E359" s="9"/>
      <c r="BN359" s="11"/>
      <c r="BQ359" s="11"/>
    </row>
    <row r="360" spans="4:69" ht="14.5" x14ac:dyDescent="0.25">
      <c r="D360" s="10"/>
      <c r="E360" s="9"/>
      <c r="BN360" s="11"/>
      <c r="BQ360" s="11"/>
    </row>
    <row r="361" spans="4:69" ht="14.5" x14ac:dyDescent="0.25">
      <c r="D361" s="10"/>
      <c r="E361" s="9"/>
      <c r="BN361" s="11"/>
      <c r="BQ361" s="11"/>
    </row>
    <row r="362" spans="4:69" ht="14.5" x14ac:dyDescent="0.25">
      <c r="D362" s="10"/>
      <c r="E362" s="9"/>
      <c r="BN362" s="11"/>
      <c r="BQ362" s="11"/>
    </row>
    <row r="363" spans="4:69" ht="14.5" x14ac:dyDescent="0.25">
      <c r="D363" s="10"/>
      <c r="E363" s="9"/>
      <c r="BN363" s="11"/>
      <c r="BQ363" s="11"/>
    </row>
    <row r="364" spans="4:69" ht="14.5" x14ac:dyDescent="0.25">
      <c r="D364" s="10"/>
      <c r="E364" s="9"/>
      <c r="BN364" s="11"/>
      <c r="BQ364" s="11"/>
    </row>
    <row r="365" spans="4:69" ht="14.5" x14ac:dyDescent="0.25">
      <c r="D365" s="10"/>
      <c r="E365" s="9"/>
      <c r="BN365" s="11"/>
      <c r="BQ365" s="11"/>
    </row>
    <row r="366" spans="4:69" ht="14.5" x14ac:dyDescent="0.25">
      <c r="D366" s="10"/>
      <c r="E366" s="9"/>
      <c r="BN366" s="11"/>
      <c r="BQ366" s="11"/>
    </row>
    <row r="367" spans="4:69" ht="14.5" x14ac:dyDescent="0.25">
      <c r="D367" s="10"/>
      <c r="E367" s="9"/>
      <c r="BN367" s="11"/>
      <c r="BQ367" s="11"/>
    </row>
    <row r="368" spans="4:69" ht="14.5" x14ac:dyDescent="0.25">
      <c r="D368" s="10"/>
      <c r="E368" s="9"/>
      <c r="BN368" s="11"/>
      <c r="BQ368" s="11"/>
    </row>
    <row r="369" spans="4:69" ht="14.5" x14ac:dyDescent="0.25">
      <c r="D369" s="10"/>
      <c r="E369" s="9"/>
      <c r="BN369" s="11"/>
      <c r="BQ369" s="11"/>
    </row>
    <row r="370" spans="4:69" ht="14.5" x14ac:dyDescent="0.25">
      <c r="D370" s="10"/>
      <c r="E370" s="9"/>
      <c r="BN370" s="11"/>
      <c r="BQ370" s="11"/>
    </row>
    <row r="371" spans="4:69" ht="14.5" x14ac:dyDescent="0.25">
      <c r="D371" s="10"/>
      <c r="E371" s="9"/>
      <c r="BN371" s="11"/>
      <c r="BQ371" s="11"/>
    </row>
    <row r="372" spans="4:69" ht="14.5" x14ac:dyDescent="0.25">
      <c r="D372" s="10"/>
      <c r="E372" s="9"/>
      <c r="BN372" s="11"/>
      <c r="BQ372" s="11"/>
    </row>
    <row r="373" spans="4:69" ht="14.5" x14ac:dyDescent="0.25">
      <c r="D373" s="10"/>
      <c r="E373" s="9"/>
      <c r="BN373" s="11"/>
      <c r="BQ373" s="11"/>
    </row>
    <row r="374" spans="4:69" ht="14.5" x14ac:dyDescent="0.25">
      <c r="D374" s="10"/>
      <c r="E374" s="9"/>
      <c r="BN374" s="11"/>
      <c r="BQ374" s="11"/>
    </row>
    <row r="375" spans="4:69" ht="14.5" x14ac:dyDescent="0.25">
      <c r="D375" s="10"/>
      <c r="E375" s="9"/>
      <c r="BN375" s="11"/>
      <c r="BQ375" s="11"/>
    </row>
    <row r="376" spans="4:69" ht="14.5" x14ac:dyDescent="0.25">
      <c r="D376" s="10"/>
      <c r="E376" s="9"/>
      <c r="BN376" s="11"/>
      <c r="BQ376" s="11"/>
    </row>
    <row r="377" spans="4:69" ht="14.5" x14ac:dyDescent="0.25">
      <c r="D377" s="10"/>
      <c r="E377" s="9"/>
      <c r="BQ377" s="11"/>
    </row>
    <row r="378" spans="4:69" ht="14.5" x14ac:dyDescent="0.25">
      <c r="D378" s="10"/>
      <c r="E378" s="9"/>
      <c r="BQ378" s="11"/>
    </row>
    <row r="379" spans="4:69" ht="14.5" x14ac:dyDescent="0.25">
      <c r="D379" s="10"/>
      <c r="E379" s="9"/>
      <c r="BN379" s="11"/>
      <c r="BQ379" s="11"/>
    </row>
    <row r="380" spans="4:69" ht="14.5" x14ac:dyDescent="0.25">
      <c r="D380" s="10"/>
      <c r="E380" s="9"/>
      <c r="BN380" s="11"/>
      <c r="BQ380" s="11"/>
    </row>
    <row r="381" spans="4:69" ht="14.5" x14ac:dyDescent="0.25">
      <c r="D381" s="10"/>
      <c r="E381" s="9"/>
      <c r="BQ381" s="11"/>
    </row>
    <row r="382" spans="4:69" ht="14.5" x14ac:dyDescent="0.25">
      <c r="D382" s="10"/>
      <c r="E382" s="9"/>
      <c r="BQ382" s="11"/>
    </row>
    <row r="383" spans="4:69" ht="14.5" x14ac:dyDescent="0.25">
      <c r="D383" s="10"/>
      <c r="E383" s="9"/>
      <c r="BN383" s="11"/>
      <c r="BQ383" s="11"/>
    </row>
    <row r="384" spans="4:69" ht="14.5" x14ac:dyDescent="0.25">
      <c r="D384" s="10"/>
      <c r="E384" s="9"/>
      <c r="BN384" s="11"/>
      <c r="BQ384" s="11"/>
    </row>
    <row r="385" spans="4:69" ht="14.5" x14ac:dyDescent="0.25">
      <c r="D385" s="10"/>
      <c r="E385" s="9"/>
      <c r="BN385" s="11"/>
      <c r="BQ385" s="11"/>
    </row>
    <row r="386" spans="4:69" ht="14.5" x14ac:dyDescent="0.25">
      <c r="D386" s="10"/>
      <c r="E386" s="9"/>
      <c r="BN386" s="11"/>
      <c r="BQ386" s="11"/>
    </row>
    <row r="387" spans="4:69" ht="14.5" x14ac:dyDescent="0.25">
      <c r="D387" s="10"/>
      <c r="E387" s="9"/>
      <c r="BN387" s="11"/>
      <c r="BQ387" s="11"/>
    </row>
    <row r="388" spans="4:69" ht="14.5" x14ac:dyDescent="0.25">
      <c r="D388" s="10"/>
      <c r="E388" s="9"/>
      <c r="BN388" s="11"/>
      <c r="BQ388" s="11"/>
    </row>
    <row r="389" spans="4:69" ht="14.5" x14ac:dyDescent="0.25">
      <c r="D389" s="10"/>
      <c r="E389" s="9"/>
      <c r="BN389" s="11"/>
      <c r="BQ389" s="11"/>
    </row>
    <row r="390" spans="4:69" ht="14.5" x14ac:dyDescent="0.25">
      <c r="D390" s="10"/>
      <c r="E390" s="9"/>
      <c r="BN390" s="11"/>
      <c r="BQ390" s="11"/>
    </row>
    <row r="391" spans="4:69" ht="14.5" x14ac:dyDescent="0.25">
      <c r="D391" s="10"/>
      <c r="E391" s="9"/>
      <c r="BN391" s="11"/>
      <c r="BQ391" s="11"/>
    </row>
    <row r="392" spans="4:69" ht="14.5" x14ac:dyDescent="0.25">
      <c r="D392" s="10"/>
      <c r="E392" s="9"/>
      <c r="BN392" s="11"/>
      <c r="BQ392" s="11"/>
    </row>
    <row r="393" spans="4:69" ht="14.5" x14ac:dyDescent="0.25">
      <c r="D393" s="10"/>
      <c r="E393" s="9"/>
      <c r="BN393" s="11"/>
      <c r="BQ393" s="11"/>
    </row>
    <row r="394" spans="4:69" ht="14.5" x14ac:dyDescent="0.25">
      <c r="D394" s="10"/>
      <c r="E394" s="9"/>
      <c r="BN394" s="11"/>
      <c r="BQ394" s="11"/>
    </row>
    <row r="395" spans="4:69" ht="14.5" x14ac:dyDescent="0.25">
      <c r="D395" s="10"/>
      <c r="E395" s="9"/>
      <c r="BN395" s="11"/>
      <c r="BQ395" s="11"/>
    </row>
    <row r="396" spans="4:69" ht="14.5" x14ac:dyDescent="0.25">
      <c r="D396" s="10"/>
      <c r="E396" s="9"/>
      <c r="BN396" s="11"/>
      <c r="BQ396" s="11"/>
    </row>
    <row r="397" spans="4:69" ht="14.5" x14ac:dyDescent="0.25">
      <c r="D397" s="10"/>
      <c r="E397" s="9"/>
      <c r="BN397" s="11"/>
      <c r="BQ397" s="11"/>
    </row>
    <row r="398" spans="4:69" ht="14.5" x14ac:dyDescent="0.25">
      <c r="D398" s="10"/>
      <c r="E398" s="9"/>
      <c r="BN398" s="11"/>
      <c r="BQ398" s="11"/>
    </row>
    <row r="399" spans="4:69" ht="14.5" x14ac:dyDescent="0.25">
      <c r="D399" s="10"/>
      <c r="E399" s="9"/>
      <c r="BN399" s="11"/>
    </row>
    <row r="400" spans="4:69" ht="14.5" x14ac:dyDescent="0.25">
      <c r="D400" s="10"/>
      <c r="E400" s="9"/>
    </row>
    <row r="401" spans="4:5" ht="14.5" x14ac:dyDescent="0.25">
      <c r="D401" s="10"/>
      <c r="E401" s="9"/>
    </row>
    <row r="402" spans="4:5" ht="14.5" x14ac:dyDescent="0.25">
      <c r="D402" s="10"/>
      <c r="E402" s="9"/>
    </row>
    <row r="403" spans="4:5" ht="14.5" x14ac:dyDescent="0.25">
      <c r="D403" s="10"/>
      <c r="E403" s="9"/>
    </row>
    <row r="404" spans="4:5" ht="14.5" x14ac:dyDescent="0.25">
      <c r="D404" s="10"/>
      <c r="E404" s="9"/>
    </row>
    <row r="405" spans="4:5" ht="14.5" x14ac:dyDescent="0.25">
      <c r="D405" s="10"/>
      <c r="E405" s="9"/>
    </row>
    <row r="406" spans="4:5" ht="14.5" x14ac:dyDescent="0.25">
      <c r="D406" s="10"/>
      <c r="E406" s="9"/>
    </row>
    <row r="407" spans="4:5" ht="14.5" x14ac:dyDescent="0.25">
      <c r="D407" s="10"/>
      <c r="E407" s="9"/>
    </row>
    <row r="408" spans="4:5" ht="14.5" x14ac:dyDescent="0.25">
      <c r="D408" s="10"/>
      <c r="E408" s="9"/>
    </row>
    <row r="409" spans="4:5" ht="14.5" x14ac:dyDescent="0.25">
      <c r="D409" s="10"/>
      <c r="E409" s="9"/>
    </row>
    <row r="410" spans="4:5" ht="14.5" x14ac:dyDescent="0.25">
      <c r="D410" s="10"/>
      <c r="E410" s="9"/>
    </row>
    <row r="411" spans="4:5" ht="14.5" x14ac:dyDescent="0.25">
      <c r="D411" s="10"/>
      <c r="E411" s="9"/>
    </row>
    <row r="412" spans="4:5" ht="14.5" x14ac:dyDescent="0.25">
      <c r="D412" s="10"/>
      <c r="E412" s="9"/>
    </row>
    <row r="413" spans="4:5" ht="14.5" x14ac:dyDescent="0.25">
      <c r="D413" s="10"/>
      <c r="E413" s="9"/>
    </row>
    <row r="414" spans="4:5" ht="14.5" x14ac:dyDescent="0.25">
      <c r="D414" s="10"/>
      <c r="E414" s="9"/>
    </row>
    <row r="415" spans="4:5" ht="14.5" x14ac:dyDescent="0.25">
      <c r="D415" s="10"/>
      <c r="E415" s="9"/>
    </row>
    <row r="416" spans="4:5" ht="14.5" x14ac:dyDescent="0.25">
      <c r="D416" s="10"/>
      <c r="E416" s="9"/>
    </row>
    <row r="417" spans="4:5" ht="14.5" x14ac:dyDescent="0.25">
      <c r="D417" s="10"/>
      <c r="E417" s="9"/>
    </row>
    <row r="418" spans="4:5" ht="14.5" x14ac:dyDescent="0.25">
      <c r="D418" s="10"/>
      <c r="E418" s="9"/>
    </row>
    <row r="419" spans="4:5" ht="14.5" x14ac:dyDescent="0.25">
      <c r="D419" s="10"/>
      <c r="E419" s="9"/>
    </row>
    <row r="420" spans="4:5" ht="14.5" x14ac:dyDescent="0.25">
      <c r="D420" s="10"/>
      <c r="E420" s="9"/>
    </row>
    <row r="421" spans="4:5" ht="14.5" x14ac:dyDescent="0.25">
      <c r="D421" s="10"/>
      <c r="E421" s="9"/>
    </row>
    <row r="422" spans="4:5" ht="14.5" x14ac:dyDescent="0.25">
      <c r="D422" s="10"/>
      <c r="E422" s="9"/>
    </row>
    <row r="423" spans="4:5" ht="14.5" x14ac:dyDescent="0.25">
      <c r="D423" s="10"/>
      <c r="E423" s="9"/>
    </row>
    <row r="424" spans="4:5" ht="14.5" x14ac:dyDescent="0.25">
      <c r="D424" s="10"/>
      <c r="E424" s="9"/>
    </row>
    <row r="425" spans="4:5" ht="14.5" x14ac:dyDescent="0.25">
      <c r="D425" s="10"/>
      <c r="E425" s="9"/>
    </row>
    <row r="426" spans="4:5" ht="14.5" x14ac:dyDescent="0.25">
      <c r="D426" s="10"/>
      <c r="E426" s="9"/>
    </row>
    <row r="427" spans="4:5" ht="14.5" x14ac:dyDescent="0.25">
      <c r="D427" s="10"/>
      <c r="E427" s="9"/>
    </row>
    <row r="428" spans="4:5" ht="14.5" x14ac:dyDescent="0.25">
      <c r="D428" s="10"/>
      <c r="E428" s="9"/>
    </row>
    <row r="429" spans="4:5" ht="14.5" x14ac:dyDescent="0.25">
      <c r="D429" s="10"/>
      <c r="E429" s="9"/>
    </row>
    <row r="430" spans="4:5" ht="14.5" x14ac:dyDescent="0.25">
      <c r="D430" s="10"/>
      <c r="E430" s="9"/>
    </row>
    <row r="431" spans="4:5" ht="14.5" x14ac:dyDescent="0.25">
      <c r="D431" s="10"/>
      <c r="E431" s="9"/>
    </row>
    <row r="432" spans="4:5" ht="14.5" x14ac:dyDescent="0.25">
      <c r="D432" s="10"/>
      <c r="E432" s="9"/>
    </row>
    <row r="433" spans="4:5" ht="14.5" x14ac:dyDescent="0.25">
      <c r="D433" s="10"/>
      <c r="E433" s="9"/>
    </row>
    <row r="434" spans="4:5" ht="14.5" x14ac:dyDescent="0.25">
      <c r="D434" s="10"/>
      <c r="E434" s="9"/>
    </row>
    <row r="435" spans="4:5" ht="14.5" x14ac:dyDescent="0.25">
      <c r="D435" s="10"/>
      <c r="E435" s="9"/>
    </row>
    <row r="436" spans="4:5" ht="14.5" x14ac:dyDescent="0.25">
      <c r="D436" s="10"/>
      <c r="E436" s="9"/>
    </row>
    <row r="437" spans="4:5" ht="14.5" x14ac:dyDescent="0.25">
      <c r="D437" s="10"/>
      <c r="E437" s="9"/>
    </row>
    <row r="438" spans="4:5" ht="14.5" x14ac:dyDescent="0.25">
      <c r="D438" s="10"/>
      <c r="E438" s="9"/>
    </row>
    <row r="439" spans="4:5" ht="14.5" x14ac:dyDescent="0.25">
      <c r="D439" s="10"/>
      <c r="E439" s="9"/>
    </row>
    <row r="440" spans="4:5" ht="14.5" x14ac:dyDescent="0.25">
      <c r="D440" s="10"/>
      <c r="E440" s="9"/>
    </row>
    <row r="441" spans="4:5" ht="14.5" x14ac:dyDescent="0.25">
      <c r="D441" s="10"/>
      <c r="E441" s="9"/>
    </row>
    <row r="442" spans="4:5" ht="14.5" x14ac:dyDescent="0.25">
      <c r="D442" s="10"/>
      <c r="E442" s="9"/>
    </row>
    <row r="443" spans="4:5" ht="14.5" x14ac:dyDescent="0.25">
      <c r="D443" s="10"/>
      <c r="E443" s="9"/>
    </row>
    <row r="444" spans="4:5" ht="14.5" x14ac:dyDescent="0.25">
      <c r="D444" s="10"/>
      <c r="E444" s="9"/>
    </row>
    <row r="445" spans="4:5" ht="14.5" x14ac:dyDescent="0.25">
      <c r="D445" s="10"/>
      <c r="E445" s="9"/>
    </row>
    <row r="446" spans="4:5" ht="14.5" x14ac:dyDescent="0.25">
      <c r="D446" s="10"/>
      <c r="E446" s="9"/>
    </row>
    <row r="447" spans="4:5" ht="14.5" x14ac:dyDescent="0.25">
      <c r="D447" s="10"/>
      <c r="E447" s="9"/>
    </row>
    <row r="448" spans="4:5" ht="14.5" x14ac:dyDescent="0.25">
      <c r="D448" s="10"/>
      <c r="E448" s="9"/>
    </row>
    <row r="449" spans="4:5" ht="14.5" x14ac:dyDescent="0.25">
      <c r="D449" s="10"/>
      <c r="E449" s="9"/>
    </row>
    <row r="450" spans="4:5" ht="14.5" x14ac:dyDescent="0.25">
      <c r="D450" s="10"/>
      <c r="E450" s="9"/>
    </row>
    <row r="451" spans="4:5" ht="14.5" x14ac:dyDescent="0.25">
      <c r="D451" s="10"/>
      <c r="E451" s="9"/>
    </row>
    <row r="452" spans="4:5" ht="14.5" x14ac:dyDescent="0.25">
      <c r="D452" s="10"/>
      <c r="E452" s="9"/>
    </row>
    <row r="453" spans="4:5" ht="14.5" x14ac:dyDescent="0.25">
      <c r="D453" s="10"/>
      <c r="E453" s="9"/>
    </row>
    <row r="454" spans="4:5" ht="14.5" x14ac:dyDescent="0.25">
      <c r="D454" s="10"/>
      <c r="E454" s="9"/>
    </row>
    <row r="455" spans="4:5" ht="14.5" x14ac:dyDescent="0.25">
      <c r="D455" s="10"/>
      <c r="E455" s="9"/>
    </row>
    <row r="456" spans="4:5" ht="14.5" x14ac:dyDescent="0.25">
      <c r="D456" s="10"/>
      <c r="E456" s="9"/>
    </row>
    <row r="457" spans="4:5" ht="14.5" x14ac:dyDescent="0.25">
      <c r="D457" s="10"/>
      <c r="E457" s="9"/>
    </row>
    <row r="458" spans="4:5" ht="14.5" x14ac:dyDescent="0.25">
      <c r="D458" s="10"/>
      <c r="E458" s="9"/>
    </row>
    <row r="459" spans="4:5" ht="14.5" x14ac:dyDescent="0.25">
      <c r="D459" s="10"/>
      <c r="E459" s="9"/>
    </row>
    <row r="460" spans="4:5" ht="14.5" x14ac:dyDescent="0.25">
      <c r="D460" s="10"/>
      <c r="E460" s="9"/>
    </row>
    <row r="461" spans="4:5" ht="14.5" x14ac:dyDescent="0.25">
      <c r="D461" s="10"/>
      <c r="E461" s="9"/>
    </row>
    <row r="462" spans="4:5" ht="14.5" x14ac:dyDescent="0.25">
      <c r="D462" s="10"/>
      <c r="E462" s="9"/>
    </row>
    <row r="463" spans="4:5" ht="14.5" x14ac:dyDescent="0.25">
      <c r="D463" s="10"/>
      <c r="E463" s="9"/>
    </row>
    <row r="464" spans="4:5" ht="14.5" x14ac:dyDescent="0.25">
      <c r="D464" s="10"/>
      <c r="E464" s="9"/>
    </row>
    <row r="465" spans="4:5" ht="14.5" x14ac:dyDescent="0.25">
      <c r="D465" s="10"/>
      <c r="E465" s="9"/>
    </row>
    <row r="466" spans="4:5" ht="14.5" x14ac:dyDescent="0.25">
      <c r="D466" s="10"/>
      <c r="E466" s="9"/>
    </row>
    <row r="467" spans="4:5" ht="14.5" x14ac:dyDescent="0.25">
      <c r="D467" s="10"/>
      <c r="E467" s="9"/>
    </row>
    <row r="468" spans="4:5" ht="14.5" x14ac:dyDescent="0.25">
      <c r="D468" s="10"/>
      <c r="E468" s="9"/>
    </row>
    <row r="469" spans="4:5" ht="14.5" x14ac:dyDescent="0.25">
      <c r="D469" s="10"/>
      <c r="E469" s="9"/>
    </row>
    <row r="470" spans="4:5" ht="14.5" x14ac:dyDescent="0.25">
      <c r="D470" s="10"/>
      <c r="E470" s="9"/>
    </row>
    <row r="471" spans="4:5" ht="14.5" x14ac:dyDescent="0.25">
      <c r="D471" s="10"/>
      <c r="E471" s="9"/>
    </row>
    <row r="472" spans="4:5" ht="14.5" x14ac:dyDescent="0.25">
      <c r="D472" s="10"/>
      <c r="E472" s="9"/>
    </row>
    <row r="473" spans="4:5" ht="14.5" x14ac:dyDescent="0.25">
      <c r="D473" s="10"/>
      <c r="E473" s="9"/>
    </row>
    <row r="474" spans="4:5" ht="14.5" x14ac:dyDescent="0.25">
      <c r="D474" s="10"/>
      <c r="E474" s="9"/>
    </row>
    <row r="475" spans="4:5" ht="14.5" x14ac:dyDescent="0.25">
      <c r="D475" s="10"/>
      <c r="E475" s="9"/>
    </row>
    <row r="476" spans="4:5" ht="14.5" x14ac:dyDescent="0.25">
      <c r="D476" s="10"/>
      <c r="E476" s="9"/>
    </row>
    <row r="477" spans="4:5" ht="14.5" x14ac:dyDescent="0.25">
      <c r="D477" s="10"/>
      <c r="E477" s="9"/>
    </row>
    <row r="478" spans="4:5" ht="14.5" x14ac:dyDescent="0.25">
      <c r="D478" s="10"/>
      <c r="E478" s="9"/>
    </row>
    <row r="479" spans="4:5" ht="14.5" x14ac:dyDescent="0.25">
      <c r="D479" s="10"/>
      <c r="E479" s="9"/>
    </row>
    <row r="547" spans="4:5" ht="14.5" x14ac:dyDescent="0.25">
      <c r="D547" s="10"/>
      <c r="E547" s="9"/>
    </row>
    <row r="548" spans="4:5" ht="14.5" x14ac:dyDescent="0.25">
      <c r="D548" s="10"/>
      <c r="E548" s="9"/>
    </row>
    <row r="549" spans="4:5" ht="14.5" x14ac:dyDescent="0.25">
      <c r="D549" s="10"/>
      <c r="E549" s="9"/>
    </row>
    <row r="550" spans="4:5" ht="14.5" x14ac:dyDescent="0.25">
      <c r="D550" s="10"/>
      <c r="E550" s="9"/>
    </row>
    <row r="551" spans="4:5" ht="14.5" x14ac:dyDescent="0.25">
      <c r="D551" s="10"/>
      <c r="E551" s="9"/>
    </row>
    <row r="552" spans="4:5" ht="14.5" x14ac:dyDescent="0.25">
      <c r="D552" s="10"/>
      <c r="E552" s="9"/>
    </row>
    <row r="553" spans="4:5" ht="14.5" x14ac:dyDescent="0.25">
      <c r="D553" s="10"/>
      <c r="E553" s="9"/>
    </row>
    <row r="554" spans="4:5" ht="14.5" x14ac:dyDescent="0.25">
      <c r="D554" s="10"/>
      <c r="E554" s="9"/>
    </row>
    <row r="555" spans="4:5" ht="14.5" x14ac:dyDescent="0.25">
      <c r="D555" s="10"/>
      <c r="E555" s="9"/>
    </row>
    <row r="556" spans="4:5" ht="14.5" x14ac:dyDescent="0.25">
      <c r="D556" s="10"/>
      <c r="E556" s="9"/>
    </row>
    <row r="557" spans="4:5" ht="14.5" x14ac:dyDescent="0.25">
      <c r="D557" s="10"/>
      <c r="E557" s="9"/>
    </row>
    <row r="558" spans="4:5" ht="14.5" x14ac:dyDescent="0.25">
      <c r="D558" s="10"/>
      <c r="E558" s="9"/>
    </row>
    <row r="559" spans="4:5" ht="14.5" x14ac:dyDescent="0.25">
      <c r="D559" s="10"/>
      <c r="E559" s="9"/>
    </row>
    <row r="560" spans="4:5" ht="14.5" x14ac:dyDescent="0.25">
      <c r="D560" s="10"/>
      <c r="E560" s="9"/>
    </row>
    <row r="561" spans="4:5" ht="14.5" x14ac:dyDescent="0.25">
      <c r="D561" s="10"/>
      <c r="E561" s="9"/>
    </row>
    <row r="562" spans="4:5" ht="14.5" x14ac:dyDescent="0.25">
      <c r="D562" s="10"/>
      <c r="E562" s="9"/>
    </row>
    <row r="563" spans="4:5" ht="14.5" x14ac:dyDescent="0.25">
      <c r="D563" s="10"/>
      <c r="E563" s="9"/>
    </row>
    <row r="564" spans="4:5" ht="14.5" x14ac:dyDescent="0.25">
      <c r="D564" s="10"/>
      <c r="E564" s="9"/>
    </row>
    <row r="565" spans="4:5" ht="14.5" x14ac:dyDescent="0.25">
      <c r="D565" s="10"/>
      <c r="E565" s="9"/>
    </row>
    <row r="566" spans="4:5" ht="14.5" x14ac:dyDescent="0.25">
      <c r="D566" s="10"/>
      <c r="E566" s="9"/>
    </row>
    <row r="567" spans="4:5" ht="14.5" x14ac:dyDescent="0.25">
      <c r="D567" s="10"/>
      <c r="E567" s="9"/>
    </row>
    <row r="568" spans="4:5" ht="14.5" x14ac:dyDescent="0.25">
      <c r="D568" s="10"/>
      <c r="E568" s="9"/>
    </row>
    <row r="569" spans="4:5" ht="14.5" x14ac:dyDescent="0.25">
      <c r="D569" s="10"/>
      <c r="E569" s="9"/>
    </row>
    <row r="570" spans="4:5" ht="14.5" x14ac:dyDescent="0.25">
      <c r="D570" s="10"/>
      <c r="E570" s="9"/>
    </row>
    <row r="571" spans="4:5" ht="14.5" x14ac:dyDescent="0.25">
      <c r="D571" s="10"/>
      <c r="E571" s="9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657"/>
  <sheetViews>
    <sheetView workbookViewId="0">
      <pane xSplit="1" ySplit="3" topLeftCell="B4" activePane="bottomRight" state="frozen"/>
      <selection pane="topRight"/>
      <selection pane="bottomLeft"/>
      <selection pane="bottomRight" activeCell="D23" sqref="D2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  <c r="K1" s="4" t="s">
        <v>145</v>
      </c>
      <c r="L1" s="4" t="s">
        <v>146</v>
      </c>
      <c r="M1" s="4" t="s">
        <v>147</v>
      </c>
      <c r="N1" s="4" t="s">
        <v>148</v>
      </c>
      <c r="O1" s="4" t="s">
        <v>149</v>
      </c>
      <c r="P1" s="4" t="s">
        <v>150</v>
      </c>
      <c r="Q1" s="4" t="s">
        <v>151</v>
      </c>
      <c r="R1" s="4" t="s">
        <v>152</v>
      </c>
      <c r="S1" s="4" t="s">
        <v>153</v>
      </c>
      <c r="T1" s="4" t="s">
        <v>154</v>
      </c>
      <c r="U1" s="4" t="s">
        <v>154</v>
      </c>
      <c r="V1" s="4" t="s">
        <v>155</v>
      </c>
      <c r="W1" s="4" t="s">
        <v>156</v>
      </c>
      <c r="X1" s="4" t="s">
        <v>157</v>
      </c>
      <c r="Y1" t="s">
        <v>158</v>
      </c>
      <c r="Z1" t="s">
        <v>159</v>
      </c>
      <c r="AA1" s="4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168</v>
      </c>
      <c r="AJ1" t="s">
        <v>169</v>
      </c>
      <c r="AK1" t="s">
        <v>170</v>
      </c>
      <c r="AL1" t="s">
        <v>171</v>
      </c>
      <c r="AM1" t="s">
        <v>172</v>
      </c>
      <c r="AN1" t="s">
        <v>173</v>
      </c>
      <c r="AO1" t="s">
        <v>174</v>
      </c>
      <c r="AP1" t="s">
        <v>175</v>
      </c>
      <c r="AQ1" t="s">
        <v>176</v>
      </c>
      <c r="AR1" s="13" t="s">
        <v>516</v>
      </c>
      <c r="AS1" s="13" t="s">
        <v>517</v>
      </c>
      <c r="AT1" t="s">
        <v>177</v>
      </c>
      <c r="AU1" t="s">
        <v>178</v>
      </c>
      <c r="AV1" t="s">
        <v>179</v>
      </c>
      <c r="AW1" t="s">
        <v>180</v>
      </c>
      <c r="AX1" t="s">
        <v>181</v>
      </c>
      <c r="AY1" t="s">
        <v>182</v>
      </c>
      <c r="AZ1" t="s">
        <v>183</v>
      </c>
      <c r="BA1" t="s">
        <v>184</v>
      </c>
      <c r="BB1" t="s">
        <v>185</v>
      </c>
      <c r="BC1" t="s">
        <v>186</v>
      </c>
      <c r="BD1" t="s">
        <v>187</v>
      </c>
      <c r="BE1" t="s">
        <v>188</v>
      </c>
      <c r="BF1" t="s">
        <v>189</v>
      </c>
      <c r="BG1" t="s">
        <v>190</v>
      </c>
      <c r="BH1" t="s">
        <v>191</v>
      </c>
      <c r="BJ1" t="s">
        <v>191</v>
      </c>
      <c r="BK1" t="s">
        <v>192</v>
      </c>
      <c r="BL1" t="s">
        <v>193</v>
      </c>
      <c r="BM1" t="s">
        <v>194</v>
      </c>
      <c r="BN1" t="s">
        <v>195</v>
      </c>
      <c r="BO1" t="s">
        <v>196</v>
      </c>
      <c r="BP1" t="s">
        <v>197</v>
      </c>
      <c r="BQ1" t="s">
        <v>198</v>
      </c>
      <c r="BR1" t="s">
        <v>199</v>
      </c>
      <c r="BS1" t="s">
        <v>200</v>
      </c>
      <c r="BT1" t="s">
        <v>201</v>
      </c>
      <c r="BU1" t="s">
        <v>202</v>
      </c>
      <c r="BV1" s="5" t="s">
        <v>203</v>
      </c>
      <c r="BW1" s="5" t="s">
        <v>204</v>
      </c>
      <c r="BX1" s="5" t="s">
        <v>205</v>
      </c>
      <c r="BY1" s="5" t="s">
        <v>206</v>
      </c>
      <c r="BZ1" s="5" t="s">
        <v>207</v>
      </c>
      <c r="CA1" s="5" t="s">
        <v>208</v>
      </c>
      <c r="CB1" t="s">
        <v>209</v>
      </c>
      <c r="CC1" s="5" t="s">
        <v>210</v>
      </c>
      <c r="CD1" t="s">
        <v>211</v>
      </c>
      <c r="CE1" t="s">
        <v>212</v>
      </c>
      <c r="CF1" t="s">
        <v>213</v>
      </c>
      <c r="CG1" t="s">
        <v>214</v>
      </c>
      <c r="CH1" t="s">
        <v>215</v>
      </c>
      <c r="CI1" t="s">
        <v>216</v>
      </c>
      <c r="CJ1" t="s">
        <v>217</v>
      </c>
      <c r="CK1" t="s">
        <v>218</v>
      </c>
      <c r="CL1" t="s">
        <v>219</v>
      </c>
      <c r="CM1" t="s">
        <v>220</v>
      </c>
      <c r="CN1" t="s">
        <v>221</v>
      </c>
      <c r="CO1" t="s">
        <v>222</v>
      </c>
      <c r="CP1" t="s">
        <v>223</v>
      </c>
      <c r="CQ1" t="s">
        <v>224</v>
      </c>
      <c r="CR1" t="s">
        <v>201</v>
      </c>
      <c r="CS1" t="s">
        <v>225</v>
      </c>
      <c r="CT1" t="s">
        <v>226</v>
      </c>
      <c r="CU1" t="s">
        <v>227</v>
      </c>
      <c r="CV1" t="s">
        <v>228</v>
      </c>
      <c r="CW1" t="s">
        <v>229</v>
      </c>
      <c r="CX1" t="s">
        <v>230</v>
      </c>
      <c r="CY1" t="s">
        <v>231</v>
      </c>
      <c r="CZ1" t="s">
        <v>230</v>
      </c>
      <c r="DA1" t="s">
        <v>232</v>
      </c>
      <c r="DB1" t="s">
        <v>233</v>
      </c>
      <c r="DC1" t="s">
        <v>234</v>
      </c>
      <c r="DD1" t="s">
        <v>235</v>
      </c>
      <c r="DE1" t="s">
        <v>236</v>
      </c>
      <c r="DF1" t="s">
        <v>237</v>
      </c>
      <c r="DG1" t="s">
        <v>238</v>
      </c>
      <c r="DH1" t="s">
        <v>239</v>
      </c>
      <c r="DI1" t="s">
        <v>240</v>
      </c>
    </row>
    <row r="2" spans="1:113" x14ac:dyDescent="0.25">
      <c r="A2" t="s">
        <v>0</v>
      </c>
      <c r="C2" t="s">
        <v>46</v>
      </c>
      <c r="D2" t="s">
        <v>75</v>
      </c>
      <c r="E2" t="s">
        <v>241</v>
      </c>
      <c r="F2" t="s">
        <v>242</v>
      </c>
      <c r="G2" t="s">
        <v>51</v>
      </c>
      <c r="H2" t="s">
        <v>243</v>
      </c>
      <c r="I2" t="s">
        <v>244</v>
      </c>
      <c r="J2" t="s">
        <v>245</v>
      </c>
      <c r="K2" s="4" t="s">
        <v>246</v>
      </c>
      <c r="L2" s="4" t="s">
        <v>247</v>
      </c>
      <c r="M2" s="4" t="s">
        <v>248</v>
      </c>
      <c r="N2" s="4" t="s">
        <v>249</v>
      </c>
      <c r="O2" s="4" t="s">
        <v>250</v>
      </c>
      <c r="P2" s="4" t="s">
        <v>251</v>
      </c>
      <c r="Q2" s="4" t="s">
        <v>252</v>
      </c>
      <c r="R2" s="4" t="s">
        <v>253</v>
      </c>
      <c r="S2" s="4" t="s">
        <v>254</v>
      </c>
      <c r="T2" s="4" t="s">
        <v>255</v>
      </c>
      <c r="U2" s="4" t="s">
        <v>256</v>
      </c>
      <c r="V2" s="4" t="s">
        <v>257</v>
      </c>
      <c r="W2" s="4" t="s">
        <v>258</v>
      </c>
      <c r="X2" s="4" t="s">
        <v>259</v>
      </c>
      <c r="Y2" t="s">
        <v>260</v>
      </c>
      <c r="Z2" t="s">
        <v>261</v>
      </c>
      <c r="AA2" s="4" t="s">
        <v>262</v>
      </c>
      <c r="AB2" t="s">
        <v>263</v>
      </c>
      <c r="AC2" t="s">
        <v>264</v>
      </c>
      <c r="AD2" t="s">
        <v>265</v>
      </c>
      <c r="AE2" t="s">
        <v>266</v>
      </c>
      <c r="AF2" t="s">
        <v>267</v>
      </c>
      <c r="AG2" t="s">
        <v>268</v>
      </c>
      <c r="AH2" t="s">
        <v>269</v>
      </c>
      <c r="AI2" t="s">
        <v>270</v>
      </c>
      <c r="AJ2" t="s">
        <v>271</v>
      </c>
      <c r="AK2" t="s">
        <v>272</v>
      </c>
      <c r="AL2" t="s">
        <v>273</v>
      </c>
      <c r="AM2" t="s">
        <v>274</v>
      </c>
      <c r="AN2" t="s">
        <v>275</v>
      </c>
      <c r="AO2" t="s">
        <v>276</v>
      </c>
      <c r="AP2" t="s">
        <v>277</v>
      </c>
      <c r="AQ2" t="s">
        <v>278</v>
      </c>
      <c r="AR2" s="13" t="s">
        <v>518</v>
      </c>
      <c r="AS2" s="13" t="s">
        <v>519</v>
      </c>
      <c r="AT2" t="s">
        <v>279</v>
      </c>
      <c r="AU2" t="s">
        <v>280</v>
      </c>
      <c r="AV2" t="s">
        <v>281</v>
      </c>
      <c r="AW2" t="s">
        <v>282</v>
      </c>
      <c r="AX2" t="s">
        <v>283</v>
      </c>
      <c r="AY2" t="s">
        <v>284</v>
      </c>
      <c r="AZ2" t="s">
        <v>285</v>
      </c>
      <c r="BA2" t="s">
        <v>286</v>
      </c>
      <c r="BB2" t="s">
        <v>287</v>
      </c>
      <c r="BC2" t="s">
        <v>288</v>
      </c>
      <c r="BD2" t="s">
        <v>289</v>
      </c>
      <c r="BE2" t="s">
        <v>290</v>
      </c>
      <c r="BF2" t="s">
        <v>291</v>
      </c>
      <c r="BG2" t="s">
        <v>292</v>
      </c>
      <c r="BH2" t="s">
        <v>293</v>
      </c>
      <c r="BI2" t="s">
        <v>294</v>
      </c>
      <c r="BJ2" t="s">
        <v>295</v>
      </c>
      <c r="BK2" t="s">
        <v>296</v>
      </c>
      <c r="BL2" t="s">
        <v>297</v>
      </c>
      <c r="BM2" t="s">
        <v>298</v>
      </c>
      <c r="BN2" t="s">
        <v>299</v>
      </c>
      <c r="BO2" t="s">
        <v>77</v>
      </c>
      <c r="BP2" t="s">
        <v>300</v>
      </c>
      <c r="BQ2" t="s">
        <v>301</v>
      </c>
      <c r="BR2" t="s">
        <v>302</v>
      </c>
      <c r="BS2" t="s">
        <v>303</v>
      </c>
      <c r="BT2" t="s">
        <v>304</v>
      </c>
      <c r="BU2" t="s">
        <v>91</v>
      </c>
      <c r="BV2" s="5" t="s">
        <v>305</v>
      </c>
      <c r="BW2" s="5" t="s">
        <v>306</v>
      </c>
      <c r="BX2" s="5" t="s">
        <v>307</v>
      </c>
      <c r="BY2" s="5" t="s">
        <v>308</v>
      </c>
      <c r="BZ2" s="5" t="s">
        <v>309</v>
      </c>
      <c r="CA2" s="5" t="s">
        <v>310</v>
      </c>
      <c r="CB2" t="s">
        <v>311</v>
      </c>
      <c r="CC2" t="s">
        <v>312</v>
      </c>
      <c r="CD2" t="s">
        <v>313</v>
      </c>
      <c r="CE2" t="s">
        <v>314</v>
      </c>
      <c r="CF2" t="s">
        <v>315</v>
      </c>
      <c r="CG2" t="s">
        <v>316</v>
      </c>
      <c r="CH2" t="s">
        <v>317</v>
      </c>
      <c r="CI2" t="s">
        <v>318</v>
      </c>
      <c r="CJ2" t="s">
        <v>319</v>
      </c>
      <c r="CK2" t="s">
        <v>320</v>
      </c>
      <c r="CL2" t="s">
        <v>321</v>
      </c>
      <c r="CM2" t="s">
        <v>322</v>
      </c>
      <c r="CN2" t="s">
        <v>323</v>
      </c>
      <c r="CO2" t="s">
        <v>324</v>
      </c>
      <c r="CP2" t="s">
        <v>325</v>
      </c>
      <c r="CQ2" t="s">
        <v>326</v>
      </c>
      <c r="CR2" t="s">
        <v>327</v>
      </c>
      <c r="CS2" t="s">
        <v>328</v>
      </c>
      <c r="CT2" t="s">
        <v>329</v>
      </c>
      <c r="CU2" t="s">
        <v>330</v>
      </c>
      <c r="CV2" t="s">
        <v>331</v>
      </c>
      <c r="CW2" t="s">
        <v>332</v>
      </c>
      <c r="CX2" t="s">
        <v>333</v>
      </c>
      <c r="CY2" t="s">
        <v>334</v>
      </c>
      <c r="CZ2" t="s">
        <v>335</v>
      </c>
      <c r="DA2" t="s">
        <v>336</v>
      </c>
      <c r="DB2" t="s">
        <v>337</v>
      </c>
      <c r="DC2" t="s">
        <v>338</v>
      </c>
      <c r="DD2" t="s">
        <v>339</v>
      </c>
      <c r="DE2" t="s">
        <v>340</v>
      </c>
      <c r="DF2" t="s">
        <v>341</v>
      </c>
      <c r="DG2" t="s">
        <v>342</v>
      </c>
      <c r="DH2" t="s">
        <v>343</v>
      </c>
      <c r="DI2" t="s">
        <v>344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t="s">
        <v>2</v>
      </c>
      <c r="I3" t="s">
        <v>112</v>
      </c>
      <c r="J3" t="s">
        <v>345</v>
      </c>
      <c r="K3" s="4" t="s">
        <v>346</v>
      </c>
      <c r="L3" s="4" t="s">
        <v>347</v>
      </c>
      <c r="M3" s="4" t="s">
        <v>114</v>
      </c>
      <c r="N3" s="4" t="s">
        <v>114</v>
      </c>
      <c r="O3" s="4" t="s">
        <v>116</v>
      </c>
      <c r="P3" s="4" t="s">
        <v>116</v>
      </c>
      <c r="Q3" s="4" t="s">
        <v>116</v>
      </c>
      <c r="R3" s="4" t="s">
        <v>116</v>
      </c>
      <c r="S3" s="4" t="s">
        <v>112</v>
      </c>
      <c r="T3" s="4" t="s">
        <v>113</v>
      </c>
      <c r="U3" s="4" t="s">
        <v>113</v>
      </c>
      <c r="V3" s="4" t="s">
        <v>113</v>
      </c>
      <c r="W3" s="4" t="s">
        <v>112</v>
      </c>
      <c r="X3" s="4" t="s">
        <v>112</v>
      </c>
      <c r="Y3" t="s">
        <v>112</v>
      </c>
      <c r="Z3" t="s">
        <v>112</v>
      </c>
      <c r="AA3" s="4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348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349</v>
      </c>
      <c r="AP3" t="s">
        <v>350</v>
      </c>
      <c r="AQ3" t="s">
        <v>2</v>
      </c>
      <c r="AR3" s="13" t="s">
        <v>520</v>
      </c>
      <c r="AS3" s="13" t="s">
        <v>520</v>
      </c>
      <c r="AT3" t="s">
        <v>351</v>
      </c>
      <c r="AU3" t="s">
        <v>112</v>
      </c>
      <c r="AV3" t="s">
        <v>113</v>
      </c>
      <c r="AW3" t="s">
        <v>112</v>
      </c>
      <c r="AX3" t="s">
        <v>352</v>
      </c>
      <c r="AY3" t="s">
        <v>112</v>
      </c>
      <c r="AZ3" t="s">
        <v>113</v>
      </c>
      <c r="BA3" t="s">
        <v>112</v>
      </c>
      <c r="BB3" t="s">
        <v>114</v>
      </c>
      <c r="BC3" t="s">
        <v>113</v>
      </c>
      <c r="BD3" t="s">
        <v>114</v>
      </c>
      <c r="BE3" t="s">
        <v>114</v>
      </c>
      <c r="BF3" t="s">
        <v>113</v>
      </c>
      <c r="BG3" t="s">
        <v>112</v>
      </c>
      <c r="BH3" t="s">
        <v>351</v>
      </c>
      <c r="BI3" t="s">
        <v>112</v>
      </c>
      <c r="BJ3" t="s">
        <v>113</v>
      </c>
      <c r="BK3" t="s">
        <v>113</v>
      </c>
      <c r="BL3" t="s">
        <v>113</v>
      </c>
      <c r="BM3" t="s">
        <v>114</v>
      </c>
      <c r="BN3" t="s">
        <v>114</v>
      </c>
      <c r="BO3" t="s">
        <v>115</v>
      </c>
      <c r="BP3" t="s">
        <v>115</v>
      </c>
      <c r="BQ3" t="s">
        <v>353</v>
      </c>
      <c r="BR3" t="s">
        <v>354</v>
      </c>
      <c r="BS3" t="s">
        <v>113</v>
      </c>
      <c r="BT3" t="s">
        <v>113</v>
      </c>
      <c r="BU3" t="s">
        <v>112</v>
      </c>
      <c r="BV3" s="5" t="s">
        <v>113</v>
      </c>
      <c r="BW3" s="5" t="s">
        <v>113</v>
      </c>
      <c r="BX3" s="5" t="s">
        <v>114</v>
      </c>
      <c r="BY3" s="5" t="s">
        <v>355</v>
      </c>
      <c r="BZ3" s="5" t="s">
        <v>112</v>
      </c>
      <c r="CA3" s="5" t="s">
        <v>355</v>
      </c>
      <c r="CB3" t="s">
        <v>120</v>
      </c>
      <c r="CC3" t="s">
        <v>356</v>
      </c>
      <c r="CD3" t="s">
        <v>120</v>
      </c>
      <c r="CE3" t="s">
        <v>120</v>
      </c>
      <c r="CF3" t="s">
        <v>120</v>
      </c>
      <c r="CG3" t="s">
        <v>357</v>
      </c>
      <c r="CH3" t="s">
        <v>358</v>
      </c>
      <c r="CI3" t="s">
        <v>2</v>
      </c>
      <c r="CJ3" t="s">
        <v>359</v>
      </c>
      <c r="CK3" t="s">
        <v>359</v>
      </c>
      <c r="CL3" t="s">
        <v>121</v>
      </c>
      <c r="CM3" t="s">
        <v>116</v>
      </c>
      <c r="CN3" t="s">
        <v>116</v>
      </c>
      <c r="CO3" t="s">
        <v>119</v>
      </c>
      <c r="CP3" t="s">
        <v>119</v>
      </c>
      <c r="CQ3" t="s">
        <v>119</v>
      </c>
      <c r="CR3" t="s">
        <v>356</v>
      </c>
      <c r="CS3" t="s">
        <v>119</v>
      </c>
      <c r="CT3" t="s">
        <v>112</v>
      </c>
      <c r="CU3" t="s">
        <v>121</v>
      </c>
      <c r="CV3" t="s">
        <v>360</v>
      </c>
      <c r="CW3" t="s">
        <v>361</v>
      </c>
      <c r="CX3" t="s">
        <v>361</v>
      </c>
      <c r="CY3" t="s">
        <v>360</v>
      </c>
      <c r="CZ3" t="s">
        <v>360</v>
      </c>
      <c r="DA3" t="s">
        <v>360</v>
      </c>
      <c r="DB3" t="s">
        <v>360</v>
      </c>
      <c r="DC3" t="s">
        <v>360</v>
      </c>
      <c r="DD3" t="s">
        <v>112</v>
      </c>
      <c r="DE3" t="s">
        <v>112</v>
      </c>
      <c r="DF3" t="s">
        <v>112</v>
      </c>
      <c r="DG3" t="s">
        <v>112</v>
      </c>
      <c r="DH3" t="s">
        <v>112</v>
      </c>
      <c r="DI3" t="s">
        <v>112</v>
      </c>
    </row>
    <row r="4" spans="1:113" s="3" customFormat="1" x14ac:dyDescent="0.25">
      <c r="A4" s="3" t="s">
        <v>362</v>
      </c>
    </row>
    <row r="5" spans="1:113" x14ac:dyDescent="0.25">
      <c r="A5" t="s">
        <v>363</v>
      </c>
      <c r="C5" t="s">
        <v>132</v>
      </c>
      <c r="AC5">
        <v>2</v>
      </c>
      <c r="AO5" t="s">
        <v>364</v>
      </c>
      <c r="AT5" t="s">
        <v>365</v>
      </c>
      <c r="AX5" t="s">
        <v>366</v>
      </c>
      <c r="AZ5">
        <v>1</v>
      </c>
      <c r="BD5">
        <v>1</v>
      </c>
      <c r="CB5" t="s">
        <v>55</v>
      </c>
      <c r="CG5" t="s">
        <v>367</v>
      </c>
      <c r="CY5" t="s">
        <v>368</v>
      </c>
    </row>
    <row r="6" spans="1:113" x14ac:dyDescent="0.25">
      <c r="A6" t="s">
        <v>369</v>
      </c>
      <c r="C6" t="s">
        <v>370</v>
      </c>
      <c r="AC6">
        <v>1</v>
      </c>
      <c r="AG6" t="s">
        <v>371</v>
      </c>
      <c r="BD6">
        <v>1</v>
      </c>
      <c r="BO6" t="s">
        <v>372</v>
      </c>
      <c r="BS6">
        <v>0.1</v>
      </c>
      <c r="CN6" t="s">
        <v>373</v>
      </c>
      <c r="CO6" s="12" t="s">
        <v>374</v>
      </c>
      <c r="CR6">
        <v>0.2</v>
      </c>
    </row>
    <row r="7" spans="1:113" x14ac:dyDescent="0.25">
      <c r="A7" t="s">
        <v>372</v>
      </c>
      <c r="C7" t="s">
        <v>370</v>
      </c>
      <c r="AC7">
        <v>2</v>
      </c>
      <c r="AO7" t="s">
        <v>364</v>
      </c>
      <c r="AT7" t="s">
        <v>365</v>
      </c>
      <c r="BD7">
        <v>99</v>
      </c>
      <c r="BO7" t="s">
        <v>375</v>
      </c>
      <c r="BS7">
        <v>0.1</v>
      </c>
      <c r="CN7" t="s">
        <v>372</v>
      </c>
      <c r="CR7">
        <v>0.2</v>
      </c>
    </row>
    <row r="8" spans="1:113" x14ac:dyDescent="0.25">
      <c r="A8" t="s">
        <v>375</v>
      </c>
      <c r="C8" t="s">
        <v>370</v>
      </c>
      <c r="Q8" t="s">
        <v>372</v>
      </c>
      <c r="AC8">
        <v>2</v>
      </c>
      <c r="AO8" t="s">
        <v>364</v>
      </c>
      <c r="AV8">
        <v>99</v>
      </c>
      <c r="AX8" t="s">
        <v>376</v>
      </c>
      <c r="AZ8">
        <v>0.4</v>
      </c>
      <c r="BD8">
        <v>99</v>
      </c>
      <c r="BS8">
        <v>1</v>
      </c>
      <c r="CL8" t="s">
        <v>377</v>
      </c>
    </row>
    <row r="9" spans="1:113" x14ac:dyDescent="0.25">
      <c r="CL9" s="4"/>
    </row>
    <row r="10" spans="1:113" x14ac:dyDescent="0.25">
      <c r="A10" t="s">
        <v>378</v>
      </c>
      <c r="C10" t="s">
        <v>370</v>
      </c>
      <c r="D10" t="s">
        <v>379</v>
      </c>
      <c r="E10" t="s">
        <v>380</v>
      </c>
      <c r="F10" t="s">
        <v>381</v>
      </c>
      <c r="G10">
        <v>3</v>
      </c>
      <c r="J10" t="s">
        <v>382</v>
      </c>
      <c r="K10" s="4" t="s">
        <v>383</v>
      </c>
      <c r="AC10">
        <v>1</v>
      </c>
      <c r="AG10" t="s">
        <v>371</v>
      </c>
      <c r="BD10">
        <v>1</v>
      </c>
      <c r="BO10" t="s">
        <v>384</v>
      </c>
      <c r="BT10">
        <v>30</v>
      </c>
      <c r="BV10" s="5">
        <v>0</v>
      </c>
      <c r="BW10" s="5">
        <v>16</v>
      </c>
      <c r="BX10" s="5">
        <v>1</v>
      </c>
      <c r="BY10" s="5" t="s">
        <v>385</v>
      </c>
      <c r="CB10" s="6"/>
      <c r="CG10" t="s">
        <v>367</v>
      </c>
      <c r="CN10" t="s">
        <v>386</v>
      </c>
      <c r="CO10">
        <v>0.7</v>
      </c>
      <c r="CP10">
        <v>0.7</v>
      </c>
      <c r="CR10">
        <v>30</v>
      </c>
    </row>
    <row r="11" spans="1:113" x14ac:dyDescent="0.25">
      <c r="A11" t="s">
        <v>387</v>
      </c>
      <c r="C11" t="s">
        <v>370</v>
      </c>
      <c r="AC11">
        <v>1</v>
      </c>
      <c r="AG11" t="s">
        <v>371</v>
      </c>
      <c r="BD11">
        <v>1</v>
      </c>
      <c r="CB11" s="6"/>
      <c r="CN11" t="s">
        <v>388</v>
      </c>
      <c r="CO11">
        <v>1</v>
      </c>
      <c r="CR11">
        <v>9999</v>
      </c>
    </row>
    <row r="12" spans="1:113" x14ac:dyDescent="0.25">
      <c r="A12" t="s">
        <v>389</v>
      </c>
      <c r="C12" t="s">
        <v>132</v>
      </c>
      <c r="O12" s="4" t="s">
        <v>390</v>
      </c>
      <c r="AC12">
        <v>2</v>
      </c>
      <c r="AO12" t="s">
        <v>364</v>
      </c>
      <c r="AT12" t="s">
        <v>365</v>
      </c>
      <c r="AX12" t="s">
        <v>366</v>
      </c>
      <c r="AZ12">
        <v>1</v>
      </c>
      <c r="BD12">
        <v>1</v>
      </c>
      <c r="CB12" s="6" t="s">
        <v>391</v>
      </c>
      <c r="CG12" t="s">
        <v>367</v>
      </c>
      <c r="CY12" t="s">
        <v>368</v>
      </c>
    </row>
    <row r="13" spans="1:113" x14ac:dyDescent="0.25">
      <c r="A13" t="s">
        <v>392</v>
      </c>
      <c r="C13" t="s">
        <v>370</v>
      </c>
      <c r="I13">
        <v>1</v>
      </c>
      <c r="K13" s="4" t="s">
        <v>393</v>
      </c>
      <c r="L13" s="4" t="s">
        <v>394</v>
      </c>
      <c r="M13"/>
      <c r="N13"/>
      <c r="O13" s="4" t="s">
        <v>390</v>
      </c>
      <c r="Y13" s="4"/>
      <c r="Z13" s="4"/>
      <c r="AC13">
        <v>2</v>
      </c>
      <c r="AD13">
        <v>1</v>
      </c>
      <c r="AE13">
        <v>1</v>
      </c>
      <c r="BD13">
        <v>1</v>
      </c>
      <c r="CL13" t="s">
        <v>395</v>
      </c>
      <c r="CY13" t="s">
        <v>396</v>
      </c>
      <c r="DD13">
        <v>1</v>
      </c>
      <c r="DH13">
        <v>1</v>
      </c>
    </row>
    <row r="15" spans="1:113" x14ac:dyDescent="0.25">
      <c r="A15" t="s">
        <v>397</v>
      </c>
      <c r="C15" t="s">
        <v>370</v>
      </c>
      <c r="D15" t="s">
        <v>398</v>
      </c>
      <c r="E15" t="s">
        <v>399</v>
      </c>
      <c r="F15" t="s">
        <v>400</v>
      </c>
      <c r="G15">
        <v>3</v>
      </c>
      <c r="J15" t="s">
        <v>382</v>
      </c>
      <c r="K15" s="4" t="s">
        <v>383</v>
      </c>
      <c r="AC15">
        <v>1</v>
      </c>
      <c r="AG15" t="s">
        <v>371</v>
      </c>
      <c r="AT15" t="s">
        <v>401</v>
      </c>
      <c r="BD15">
        <v>1</v>
      </c>
      <c r="BO15" t="s">
        <v>402</v>
      </c>
      <c r="BP15" t="s">
        <v>403</v>
      </c>
      <c r="BT15">
        <v>20</v>
      </c>
      <c r="BV15" s="5">
        <v>20</v>
      </c>
      <c r="BW15" s="5">
        <v>26</v>
      </c>
      <c r="BX15" s="5">
        <v>1</v>
      </c>
      <c r="BY15" s="5" t="s">
        <v>404</v>
      </c>
      <c r="CB15" s="6" t="s">
        <v>405</v>
      </c>
      <c r="CG15" t="s">
        <v>367</v>
      </c>
      <c r="CN15" t="s">
        <v>406</v>
      </c>
      <c r="CO15">
        <v>1.6</v>
      </c>
      <c r="CP15">
        <v>2.9</v>
      </c>
      <c r="CQ15">
        <v>2</v>
      </c>
      <c r="CR15">
        <v>20</v>
      </c>
      <c r="CW15" t="s">
        <v>407</v>
      </c>
    </row>
    <row r="16" spans="1:113" x14ac:dyDescent="0.25">
      <c r="A16" t="s">
        <v>403</v>
      </c>
      <c r="C16" t="s">
        <v>408</v>
      </c>
      <c r="K16" s="4" t="s">
        <v>393</v>
      </c>
      <c r="AC16">
        <v>2</v>
      </c>
      <c r="AO16" t="s">
        <v>364</v>
      </c>
      <c r="AP16" t="s">
        <v>409</v>
      </c>
      <c r="AT16" t="s">
        <v>401</v>
      </c>
      <c r="AX16" t="s">
        <v>376</v>
      </c>
      <c r="AZ16">
        <v>1</v>
      </c>
      <c r="BD16">
        <v>99</v>
      </c>
      <c r="CU16" t="s">
        <v>410</v>
      </c>
    </row>
    <row r="17" spans="1:112" x14ac:dyDescent="0.25">
      <c r="A17" t="s">
        <v>402</v>
      </c>
      <c r="C17" t="s">
        <v>132</v>
      </c>
      <c r="O17" s="4" t="s">
        <v>411</v>
      </c>
      <c r="AC17">
        <v>2</v>
      </c>
      <c r="AO17" t="s">
        <v>364</v>
      </c>
      <c r="AT17" t="s">
        <v>365</v>
      </c>
      <c r="AX17" t="s">
        <v>376</v>
      </c>
      <c r="AZ17">
        <v>1</v>
      </c>
      <c r="BD17">
        <v>1</v>
      </c>
      <c r="CB17" s="6" t="s">
        <v>405</v>
      </c>
      <c r="CG17" t="s">
        <v>367</v>
      </c>
      <c r="CY17" t="s">
        <v>368</v>
      </c>
    </row>
    <row r="19" spans="1:112" x14ac:dyDescent="0.25">
      <c r="A19" t="s">
        <v>412</v>
      </c>
      <c r="C19" t="s">
        <v>370</v>
      </c>
      <c r="D19" t="s">
        <v>413</v>
      </c>
      <c r="E19" t="s">
        <v>414</v>
      </c>
      <c r="F19" t="s">
        <v>415</v>
      </c>
      <c r="G19">
        <v>3</v>
      </c>
      <c r="J19" t="s">
        <v>382</v>
      </c>
      <c r="K19" s="4" t="s">
        <v>383</v>
      </c>
      <c r="AC19">
        <v>1</v>
      </c>
      <c r="AG19" t="s">
        <v>371</v>
      </c>
      <c r="BD19">
        <v>1</v>
      </c>
      <c r="BO19" t="s">
        <v>416</v>
      </c>
      <c r="BP19" t="s">
        <v>417</v>
      </c>
      <c r="BT19">
        <v>45</v>
      </c>
      <c r="BV19" s="5">
        <v>42</v>
      </c>
      <c r="BW19" s="5">
        <v>55</v>
      </c>
      <c r="BX19" s="5">
        <v>1</v>
      </c>
      <c r="BY19" s="5" t="s">
        <v>404</v>
      </c>
      <c r="CB19" s="6"/>
      <c r="CG19" t="s">
        <v>367</v>
      </c>
      <c r="CN19" t="s">
        <v>418</v>
      </c>
      <c r="CO19">
        <v>1.1000000000000001</v>
      </c>
      <c r="CP19">
        <v>1.1000000000000001</v>
      </c>
      <c r="CQ19">
        <v>1.1000000000000001</v>
      </c>
      <c r="CR19">
        <v>45</v>
      </c>
    </row>
    <row r="20" spans="1:112" x14ac:dyDescent="0.25">
      <c r="A20" t="s">
        <v>419</v>
      </c>
      <c r="C20" t="s">
        <v>420</v>
      </c>
      <c r="K20" s="4" t="s">
        <v>393</v>
      </c>
      <c r="L20" s="4" t="s">
        <v>421</v>
      </c>
      <c r="O20" s="4" t="s">
        <v>411</v>
      </c>
      <c r="AC20">
        <v>2</v>
      </c>
      <c r="AO20" t="s">
        <v>364</v>
      </c>
      <c r="AX20" t="s">
        <v>366</v>
      </c>
      <c r="AZ20">
        <v>0</v>
      </c>
      <c r="BB20">
        <v>2</v>
      </c>
      <c r="BD20">
        <v>1</v>
      </c>
      <c r="CL20" t="s">
        <v>422</v>
      </c>
      <c r="CU20" t="s">
        <v>423</v>
      </c>
      <c r="CY20" t="s">
        <v>368</v>
      </c>
    </row>
    <row r="21" spans="1:112" x14ac:dyDescent="0.25">
      <c r="A21" t="s">
        <v>424</v>
      </c>
      <c r="C21" t="s">
        <v>132</v>
      </c>
      <c r="O21" s="4" t="s">
        <v>411</v>
      </c>
      <c r="AC21">
        <v>2</v>
      </c>
      <c r="AO21" t="s">
        <v>364</v>
      </c>
      <c r="AT21" t="s">
        <v>365</v>
      </c>
      <c r="AX21" t="s">
        <v>366</v>
      </c>
      <c r="AZ21">
        <v>1</v>
      </c>
      <c r="BD21">
        <v>1</v>
      </c>
      <c r="CB21" t="s">
        <v>425</v>
      </c>
      <c r="CG21" t="s">
        <v>367</v>
      </c>
      <c r="CY21" t="s">
        <v>368</v>
      </c>
    </row>
    <row r="22" spans="1:112" x14ac:dyDescent="0.25">
      <c r="A22" t="s">
        <v>417</v>
      </c>
      <c r="C22" t="s">
        <v>370</v>
      </c>
      <c r="I22">
        <v>1</v>
      </c>
      <c r="K22" s="4" t="s">
        <v>393</v>
      </c>
      <c r="M22"/>
      <c r="N22"/>
      <c r="O22"/>
      <c r="AC22">
        <v>1</v>
      </c>
      <c r="AG22" t="s">
        <v>371</v>
      </c>
      <c r="BD22">
        <v>1</v>
      </c>
      <c r="BS22">
        <v>1.6</v>
      </c>
      <c r="CB22" t="s">
        <v>426</v>
      </c>
      <c r="CG22" t="s">
        <v>367</v>
      </c>
      <c r="DD22">
        <v>1</v>
      </c>
      <c r="DG22">
        <v>1</v>
      </c>
      <c r="DH22">
        <v>1</v>
      </c>
    </row>
    <row r="23" spans="1:112" x14ac:dyDescent="0.25">
      <c r="A23" t="s">
        <v>427</v>
      </c>
      <c r="C23" t="s">
        <v>370</v>
      </c>
      <c r="I23">
        <v>1</v>
      </c>
      <c r="K23" s="4" t="s">
        <v>393</v>
      </c>
      <c r="L23" s="4" t="s">
        <v>428</v>
      </c>
      <c r="M23"/>
      <c r="N23"/>
      <c r="O23"/>
      <c r="AC23">
        <v>1</v>
      </c>
      <c r="AG23" t="s">
        <v>371</v>
      </c>
      <c r="BD23">
        <v>1</v>
      </c>
      <c r="BS23">
        <v>0.16669999999999999</v>
      </c>
      <c r="CB23" t="s">
        <v>429</v>
      </c>
      <c r="CG23" t="s">
        <v>367</v>
      </c>
      <c r="DD23">
        <v>1</v>
      </c>
      <c r="DG23">
        <v>1</v>
      </c>
      <c r="DH23">
        <v>1</v>
      </c>
    </row>
    <row r="29" spans="1:112" x14ac:dyDescent="0.25">
      <c r="BV29"/>
    </row>
    <row r="30" spans="1:112" x14ac:dyDescent="0.25">
      <c r="BV30"/>
      <c r="CL30" s="4"/>
    </row>
    <row r="31" spans="1:112" x14ac:dyDescent="0.25">
      <c r="CL31" s="4"/>
    </row>
    <row r="32" spans="1:112" x14ac:dyDescent="0.25">
      <c r="CL32" s="4"/>
    </row>
    <row r="33" spans="74:90" x14ac:dyDescent="0.25">
      <c r="BV33"/>
    </row>
    <row r="34" spans="74:90" x14ac:dyDescent="0.25">
      <c r="BV34"/>
      <c r="CL34" s="4"/>
    </row>
    <row r="35" spans="74:90" x14ac:dyDescent="0.25">
      <c r="CL35" s="4"/>
    </row>
    <row r="37" spans="74:90" x14ac:dyDescent="0.25">
      <c r="BV37"/>
    </row>
    <row r="38" spans="74:90" x14ac:dyDescent="0.25">
      <c r="BV38"/>
      <c r="CL38" s="4"/>
    </row>
    <row r="39" spans="74:90" x14ac:dyDescent="0.25">
      <c r="CL39" s="4"/>
    </row>
    <row r="41" spans="74:90" x14ac:dyDescent="0.25">
      <c r="BV41"/>
    </row>
    <row r="42" spans="74:90" x14ac:dyDescent="0.25">
      <c r="CL42" s="4"/>
    </row>
    <row r="45" spans="74:90" x14ac:dyDescent="0.25">
      <c r="CL45" s="4"/>
    </row>
    <row r="49" spans="74:90" x14ac:dyDescent="0.25">
      <c r="CL49" s="4"/>
    </row>
    <row r="51" spans="74:90" x14ac:dyDescent="0.25">
      <c r="BV51"/>
    </row>
    <row r="52" spans="74:90" x14ac:dyDescent="0.25">
      <c r="CL52" s="4"/>
    </row>
    <row r="59" spans="74:90" x14ac:dyDescent="0.25">
      <c r="BV59"/>
    </row>
    <row r="60" spans="74:90" x14ac:dyDescent="0.25">
      <c r="CL60" s="4"/>
    </row>
    <row r="61" spans="74:90" x14ac:dyDescent="0.25">
      <c r="CL61" s="4"/>
    </row>
    <row r="63" spans="74:90" x14ac:dyDescent="0.25">
      <c r="BV63"/>
    </row>
    <row r="64" spans="74:90" x14ac:dyDescent="0.25">
      <c r="BV64"/>
      <c r="CL64" s="4"/>
    </row>
    <row r="65" spans="74:90" x14ac:dyDescent="0.25">
      <c r="CL65" s="4"/>
    </row>
    <row r="71" spans="74:90" x14ac:dyDescent="0.25">
      <c r="BV71"/>
    </row>
    <row r="72" spans="74:90" x14ac:dyDescent="0.25">
      <c r="BV72"/>
      <c r="CL72" s="4"/>
    </row>
    <row r="73" spans="74:90" x14ac:dyDescent="0.25">
      <c r="BV73"/>
      <c r="CL73" s="4"/>
    </row>
    <row r="74" spans="74:90" x14ac:dyDescent="0.25">
      <c r="CL74" s="4"/>
    </row>
    <row r="79" spans="74:90" x14ac:dyDescent="0.25">
      <c r="BV79"/>
    </row>
    <row r="80" spans="74:90" x14ac:dyDescent="0.25">
      <c r="BV80"/>
    </row>
    <row r="84" spans="74:90" x14ac:dyDescent="0.25">
      <c r="BV84"/>
    </row>
    <row r="85" spans="74:90" x14ac:dyDescent="0.25">
      <c r="CL85" s="4"/>
    </row>
    <row r="86" spans="74:90" x14ac:dyDescent="0.25">
      <c r="BV86"/>
    </row>
    <row r="87" spans="74:90" x14ac:dyDescent="0.25">
      <c r="CL87" s="4"/>
    </row>
    <row r="97" spans="74:90" x14ac:dyDescent="0.25">
      <c r="BV97"/>
    </row>
    <row r="98" spans="74:90" x14ac:dyDescent="0.25">
      <c r="CL98" s="4"/>
    </row>
    <row r="100" spans="74:90" x14ac:dyDescent="0.25">
      <c r="BV100"/>
    </row>
    <row r="101" spans="74:90" x14ac:dyDescent="0.25">
      <c r="CL101" s="4"/>
    </row>
    <row r="109" spans="74:90" x14ac:dyDescent="0.25">
      <c r="BV109"/>
    </row>
    <row r="110" spans="74:90" x14ac:dyDescent="0.25">
      <c r="CL110" s="4"/>
    </row>
    <row r="114" spans="74:90" x14ac:dyDescent="0.25">
      <c r="BV114"/>
    </row>
    <row r="115" spans="74:90" x14ac:dyDescent="0.25">
      <c r="CL115" s="4"/>
    </row>
    <row r="117" spans="74:90" x14ac:dyDescent="0.25">
      <c r="BV117"/>
    </row>
    <row r="118" spans="74:90" x14ac:dyDescent="0.25">
      <c r="CL118" s="4"/>
    </row>
    <row r="134" spans="74:90" x14ac:dyDescent="0.25">
      <c r="BV134"/>
    </row>
    <row r="135" spans="74:90" x14ac:dyDescent="0.25">
      <c r="BV135"/>
      <c r="CL135" s="4"/>
    </row>
    <row r="136" spans="74:90" x14ac:dyDescent="0.25">
      <c r="BV136"/>
      <c r="CL136" s="4"/>
    </row>
    <row r="137" spans="74:90" x14ac:dyDescent="0.25">
      <c r="BV137"/>
      <c r="CL137" s="4"/>
    </row>
    <row r="138" spans="74:90" x14ac:dyDescent="0.25">
      <c r="BV138"/>
    </row>
    <row r="140" spans="74:90" x14ac:dyDescent="0.25">
      <c r="BV140"/>
    </row>
    <row r="141" spans="74:90" x14ac:dyDescent="0.25">
      <c r="BV141"/>
      <c r="CL141" s="4"/>
    </row>
    <row r="142" spans="74:90" x14ac:dyDescent="0.25">
      <c r="BV142"/>
      <c r="CL142" s="4"/>
    </row>
    <row r="143" spans="74:90" x14ac:dyDescent="0.25">
      <c r="CL143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BV151"/>
      <c r="CL151" s="4"/>
    </row>
    <row r="152" spans="74:90" x14ac:dyDescent="0.25">
      <c r="BV152"/>
      <c r="CL152" s="4"/>
    </row>
    <row r="153" spans="74:90" x14ac:dyDescent="0.25">
      <c r="CL153" s="4"/>
    </row>
    <row r="169" spans="74:90" x14ac:dyDescent="0.25">
      <c r="BV169"/>
    </row>
    <row r="170" spans="74:90" x14ac:dyDescent="0.25">
      <c r="CL170" s="4"/>
    </row>
    <row r="178" spans="74:90" x14ac:dyDescent="0.25">
      <c r="CL178" s="4"/>
    </row>
    <row r="179" spans="74:90" x14ac:dyDescent="0.25">
      <c r="CL179" s="4"/>
    </row>
    <row r="180" spans="74:90" x14ac:dyDescent="0.25">
      <c r="CL180" s="4"/>
    </row>
    <row r="181" spans="74:90" x14ac:dyDescent="0.25">
      <c r="CL181" s="4"/>
    </row>
    <row r="182" spans="74:90" x14ac:dyDescent="0.25">
      <c r="CL182" s="4"/>
    </row>
    <row r="184" spans="74:90" x14ac:dyDescent="0.25">
      <c r="BV184"/>
    </row>
    <row r="185" spans="74:90" x14ac:dyDescent="0.25">
      <c r="CL185" s="4"/>
    </row>
    <row r="186" spans="74:90" x14ac:dyDescent="0.25">
      <c r="BV186"/>
    </row>
    <row r="187" spans="74:90" x14ac:dyDescent="0.25">
      <c r="BV187"/>
      <c r="CL187" s="4"/>
    </row>
    <row r="188" spans="74:90" x14ac:dyDescent="0.25">
      <c r="CL188" s="4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5" spans="74:90" x14ac:dyDescent="0.25">
      <c r="CL195" s="4"/>
    </row>
    <row r="197" spans="74:90" x14ac:dyDescent="0.25">
      <c r="CL197" s="4"/>
    </row>
    <row r="199" spans="74:90" x14ac:dyDescent="0.25">
      <c r="CL199" s="4"/>
    </row>
    <row r="202" spans="74:90" x14ac:dyDescent="0.25">
      <c r="CL202" s="4"/>
    </row>
    <row r="203" spans="74:90" x14ac:dyDescent="0.25">
      <c r="CL203" s="4"/>
    </row>
    <row r="204" spans="74:90" x14ac:dyDescent="0.25">
      <c r="CL204" s="4"/>
    </row>
    <row r="205" spans="74:90" x14ac:dyDescent="0.25">
      <c r="CL205" s="4"/>
    </row>
    <row r="206" spans="74:90" x14ac:dyDescent="0.25">
      <c r="CL206" s="4"/>
    </row>
    <row r="207" spans="74:90" x14ac:dyDescent="0.25">
      <c r="CL207" s="4"/>
    </row>
    <row r="208" spans="74:90" x14ac:dyDescent="0.25">
      <c r="BV208"/>
    </row>
    <row r="209" spans="74:90" x14ac:dyDescent="0.25">
      <c r="BV209"/>
      <c r="CL209" s="4"/>
    </row>
    <row r="210" spans="74:90" x14ac:dyDescent="0.25">
      <c r="BV210"/>
      <c r="CL210" s="4"/>
    </row>
    <row r="211" spans="74:90" x14ac:dyDescent="0.25">
      <c r="CL211" s="4"/>
    </row>
    <row r="212" spans="74:90" x14ac:dyDescent="0.25">
      <c r="CL212" s="4"/>
    </row>
    <row r="213" spans="74:90" x14ac:dyDescent="0.25">
      <c r="CL213" s="4"/>
    </row>
    <row r="214" spans="74:90" x14ac:dyDescent="0.25">
      <c r="CL214" s="4"/>
    </row>
    <row r="216" spans="74:90" x14ac:dyDescent="0.25">
      <c r="CL216" s="4"/>
    </row>
    <row r="217" spans="74:90" x14ac:dyDescent="0.25">
      <c r="CL217" s="4"/>
    </row>
    <row r="218" spans="74:90" x14ac:dyDescent="0.25">
      <c r="BV218"/>
    </row>
    <row r="219" spans="74:90" x14ac:dyDescent="0.25">
      <c r="BV219"/>
      <c r="CL219" s="4"/>
    </row>
    <row r="220" spans="74:90" x14ac:dyDescent="0.25">
      <c r="BV220"/>
      <c r="CL220" s="4"/>
    </row>
    <row r="221" spans="74:90" x14ac:dyDescent="0.25">
      <c r="CL221" s="4"/>
    </row>
    <row r="222" spans="74:90" x14ac:dyDescent="0.25">
      <c r="CL222" s="4"/>
    </row>
    <row r="224" spans="74:90" x14ac:dyDescent="0.25">
      <c r="CL224" s="4"/>
    </row>
    <row r="225" spans="74:90" x14ac:dyDescent="0.25">
      <c r="CL225" s="4"/>
    </row>
    <row r="226" spans="74:90" x14ac:dyDescent="0.25">
      <c r="BV226"/>
      <c r="CL226" s="4"/>
    </row>
    <row r="227" spans="74:90" x14ac:dyDescent="0.25">
      <c r="BV227"/>
      <c r="CL227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2" spans="74:90" x14ac:dyDescent="0.25">
      <c r="BV232"/>
      <c r="CL232" s="4"/>
    </row>
    <row r="233" spans="74:90" x14ac:dyDescent="0.25">
      <c r="CL233" s="4"/>
    </row>
    <row r="234" spans="74:90" x14ac:dyDescent="0.25">
      <c r="CL234" s="4"/>
    </row>
    <row r="236" spans="74:90" x14ac:dyDescent="0.25">
      <c r="BV236"/>
      <c r="CL236" s="4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CL240" s="4"/>
    </row>
    <row r="242" spans="74:90" x14ac:dyDescent="0.25">
      <c r="CL242" s="4"/>
    </row>
    <row r="245" spans="74:90" x14ac:dyDescent="0.25">
      <c r="CL245" s="4"/>
    </row>
    <row r="246" spans="74:90" x14ac:dyDescent="0.25">
      <c r="CL246" s="4"/>
    </row>
    <row r="250" spans="74:90" x14ac:dyDescent="0.25">
      <c r="BV250"/>
    </row>
    <row r="251" spans="74:90" x14ac:dyDescent="0.25">
      <c r="BV251"/>
      <c r="CL251" s="4"/>
    </row>
    <row r="252" spans="74:90" x14ac:dyDescent="0.25">
      <c r="BV252"/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BV255"/>
    </row>
    <row r="256" spans="74:90" x14ac:dyDescent="0.25">
      <c r="CL256" s="4"/>
    </row>
    <row r="258" spans="74:90" x14ac:dyDescent="0.25">
      <c r="CL258" s="4"/>
    </row>
    <row r="259" spans="74:90" x14ac:dyDescent="0.25">
      <c r="CL259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5" spans="74:90" x14ac:dyDescent="0.25">
      <c r="CL265" s="4"/>
    </row>
    <row r="266" spans="74:90" x14ac:dyDescent="0.25">
      <c r="CL266" s="4"/>
    </row>
    <row r="267" spans="74:90" x14ac:dyDescent="0.25">
      <c r="CL267" s="4"/>
    </row>
    <row r="269" spans="74:90" x14ac:dyDescent="0.25">
      <c r="BV269"/>
    </row>
    <row r="270" spans="74:90" x14ac:dyDescent="0.25">
      <c r="CL270" s="4"/>
    </row>
    <row r="271" spans="74:90" x14ac:dyDescent="0.25">
      <c r="CL271" s="4"/>
    </row>
    <row r="304" spans="73:74" x14ac:dyDescent="0.25">
      <c r="BU304" s="7"/>
      <c r="BV304" s="8"/>
    </row>
    <row r="305" spans="8:90" x14ac:dyDescent="0.25">
      <c r="H305" s="7"/>
      <c r="CL305" s="7"/>
    </row>
    <row r="311" spans="8:90" x14ac:dyDescent="0.25">
      <c r="BV311"/>
    </row>
    <row r="312" spans="8:90" x14ac:dyDescent="0.25">
      <c r="BV312"/>
      <c r="CL312" s="4"/>
    </row>
    <row r="313" spans="8:90" x14ac:dyDescent="0.25">
      <c r="BV313"/>
      <c r="CL313" s="4"/>
    </row>
    <row r="314" spans="8:90" x14ac:dyDescent="0.25">
      <c r="CL314" s="4"/>
    </row>
    <row r="331" spans="74:90" x14ac:dyDescent="0.25">
      <c r="BV331"/>
    </row>
    <row r="332" spans="74:90" x14ac:dyDescent="0.25">
      <c r="CL332" s="4"/>
    </row>
    <row r="364" spans="74:90" x14ac:dyDescent="0.25">
      <c r="BV364"/>
    </row>
    <row r="365" spans="74:90" x14ac:dyDescent="0.25">
      <c r="BV365"/>
      <c r="CL365" s="4"/>
    </row>
    <row r="366" spans="74:90" x14ac:dyDescent="0.25">
      <c r="CL366" s="4"/>
    </row>
    <row r="382" spans="74:90" x14ac:dyDescent="0.25">
      <c r="BV382"/>
    </row>
    <row r="383" spans="74:90" x14ac:dyDescent="0.25">
      <c r="CL383" s="4"/>
    </row>
    <row r="389" spans="74:90" x14ac:dyDescent="0.25">
      <c r="BV389"/>
    </row>
    <row r="390" spans="74:90" x14ac:dyDescent="0.25">
      <c r="BV390"/>
      <c r="CL390" s="4"/>
    </row>
    <row r="391" spans="74:90" x14ac:dyDescent="0.25">
      <c r="CL391" s="4"/>
    </row>
    <row r="396" spans="74:90" x14ac:dyDescent="0.25">
      <c r="BV396"/>
    </row>
    <row r="397" spans="74:90" x14ac:dyDescent="0.25">
      <c r="BV397"/>
      <c r="CL397" s="4"/>
    </row>
    <row r="398" spans="74:90" x14ac:dyDescent="0.25">
      <c r="BV398"/>
      <c r="CL398" s="4"/>
    </row>
    <row r="399" spans="74:90" x14ac:dyDescent="0.25">
      <c r="BV399"/>
      <c r="CL399" s="4"/>
    </row>
    <row r="400" spans="74:90" x14ac:dyDescent="0.25">
      <c r="BV400"/>
      <c r="CL400" s="4"/>
    </row>
    <row r="401" spans="74:90" x14ac:dyDescent="0.25">
      <c r="BV401"/>
      <c r="CL401" s="4"/>
    </row>
    <row r="402" spans="74:90" x14ac:dyDescent="0.25">
      <c r="BV402"/>
      <c r="CL402" s="4"/>
    </row>
    <row r="403" spans="74:90" x14ac:dyDescent="0.25">
      <c r="BV403"/>
      <c r="CL403" s="4"/>
    </row>
    <row r="404" spans="74:90" x14ac:dyDescent="0.25">
      <c r="BV404"/>
      <c r="CL404" s="4"/>
    </row>
    <row r="405" spans="74:90" x14ac:dyDescent="0.25">
      <c r="BV405"/>
      <c r="CL405" s="4"/>
    </row>
    <row r="406" spans="74:90" x14ac:dyDescent="0.25">
      <c r="BV406"/>
      <c r="CL406" s="4"/>
    </row>
    <row r="407" spans="74:90" x14ac:dyDescent="0.25">
      <c r="BV407"/>
      <c r="CL407" s="4"/>
    </row>
    <row r="408" spans="74:90" x14ac:dyDescent="0.25">
      <c r="BV408"/>
      <c r="CL408" s="4"/>
    </row>
    <row r="409" spans="74:90" x14ac:dyDescent="0.25">
      <c r="BV409"/>
      <c r="CL409" s="4"/>
    </row>
    <row r="410" spans="74:90" x14ac:dyDescent="0.25">
      <c r="BV410"/>
      <c r="CL410" s="4"/>
    </row>
    <row r="411" spans="74:90" x14ac:dyDescent="0.25">
      <c r="BV411"/>
      <c r="CL411" s="4"/>
    </row>
    <row r="412" spans="74:90" x14ac:dyDescent="0.25">
      <c r="CL412" s="4"/>
    </row>
    <row r="416" spans="74:90" x14ac:dyDescent="0.25">
      <c r="BV416"/>
    </row>
    <row r="417" spans="74:90" x14ac:dyDescent="0.25">
      <c r="BV417"/>
      <c r="CL417" s="4"/>
    </row>
    <row r="418" spans="74:90" x14ac:dyDescent="0.25">
      <c r="CL418" s="4"/>
    </row>
    <row r="419" spans="74:90" x14ac:dyDescent="0.25">
      <c r="BV419"/>
    </row>
    <row r="420" spans="74:90" x14ac:dyDescent="0.25">
      <c r="CL420" s="4"/>
    </row>
    <row r="423" spans="74:90" x14ac:dyDescent="0.25">
      <c r="BV423"/>
    </row>
    <row r="424" spans="74:90" x14ac:dyDescent="0.25">
      <c r="BV424"/>
      <c r="CL424" s="4"/>
    </row>
    <row r="425" spans="74:90" x14ac:dyDescent="0.25">
      <c r="CL425" s="4"/>
    </row>
    <row r="456" spans="74:90" x14ac:dyDescent="0.25">
      <c r="BV456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BV462"/>
      <c r="CL462" s="4"/>
    </row>
    <row r="463" spans="74:90" x14ac:dyDescent="0.25">
      <c r="BV463"/>
      <c r="CL463" s="4"/>
    </row>
    <row r="464" spans="74:90" x14ac:dyDescent="0.25">
      <c r="CL464" s="4"/>
    </row>
    <row r="466" spans="74:90" x14ac:dyDescent="0.25">
      <c r="BV466"/>
    </row>
    <row r="467" spans="74:90" x14ac:dyDescent="0.25">
      <c r="CL467" s="4"/>
    </row>
    <row r="471" spans="74:90" x14ac:dyDescent="0.25">
      <c r="BV471"/>
    </row>
    <row r="472" spans="74:90" x14ac:dyDescent="0.25">
      <c r="CL472" s="4"/>
    </row>
    <row r="475" spans="74:90" x14ac:dyDescent="0.25">
      <c r="BV475"/>
    </row>
    <row r="476" spans="74:90" x14ac:dyDescent="0.25">
      <c r="BV476"/>
      <c r="CL476" s="4"/>
    </row>
    <row r="477" spans="74:90" x14ac:dyDescent="0.25">
      <c r="BV477"/>
      <c r="CL477" s="4"/>
    </row>
    <row r="478" spans="74:90" x14ac:dyDescent="0.25">
      <c r="BV478"/>
      <c r="CL478" s="4"/>
    </row>
    <row r="479" spans="74:90" x14ac:dyDescent="0.25">
      <c r="CL479" s="4"/>
    </row>
    <row r="486" spans="74:90" x14ac:dyDescent="0.25">
      <c r="BV486"/>
    </row>
    <row r="487" spans="74:90" x14ac:dyDescent="0.25">
      <c r="CL487" s="4"/>
    </row>
    <row r="490" spans="74:90" x14ac:dyDescent="0.25">
      <c r="BV490"/>
    </row>
    <row r="491" spans="74:90" x14ac:dyDescent="0.25">
      <c r="BV491"/>
      <c r="CL491" s="4"/>
    </row>
    <row r="492" spans="74:90" x14ac:dyDescent="0.25">
      <c r="BV492"/>
      <c r="CL492" s="4"/>
    </row>
    <row r="493" spans="74:90" x14ac:dyDescent="0.25">
      <c r="BV493"/>
      <c r="CL493" s="4"/>
    </row>
    <row r="494" spans="74:90" x14ac:dyDescent="0.25">
      <c r="CL494" s="4"/>
    </row>
    <row r="496" spans="74:90" x14ac:dyDescent="0.25">
      <c r="BV496"/>
    </row>
    <row r="497" spans="74:90" x14ac:dyDescent="0.25">
      <c r="BV497"/>
      <c r="CL497" s="4"/>
    </row>
    <row r="498" spans="74:90" x14ac:dyDescent="0.25">
      <c r="CL498" s="4"/>
    </row>
    <row r="499" spans="74:90" x14ac:dyDescent="0.25">
      <c r="CL499">
        <v>0.15</v>
      </c>
    </row>
    <row r="501" spans="74:90" x14ac:dyDescent="0.25">
      <c r="CL501">
        <v>0.2</v>
      </c>
    </row>
    <row r="502" spans="74:90" x14ac:dyDescent="0.25">
      <c r="CL502">
        <v>0.1</v>
      </c>
    </row>
    <row r="504" spans="74:90" x14ac:dyDescent="0.25">
      <c r="CL504">
        <v>0.2</v>
      </c>
    </row>
    <row r="511" spans="74:90" x14ac:dyDescent="0.25">
      <c r="CL511">
        <v>1</v>
      </c>
    </row>
    <row r="513" spans="74:90" x14ac:dyDescent="0.25">
      <c r="CL513">
        <v>0.4</v>
      </c>
    </row>
    <row r="514" spans="74:90" x14ac:dyDescent="0.25">
      <c r="CL514">
        <v>0.6</v>
      </c>
    </row>
    <row r="517" spans="74:90" x14ac:dyDescent="0.25">
      <c r="CL517">
        <v>0.5</v>
      </c>
    </row>
    <row r="518" spans="74:90" x14ac:dyDescent="0.25">
      <c r="CL518">
        <v>0.66700000000000004</v>
      </c>
    </row>
    <row r="519" spans="74:90" x14ac:dyDescent="0.25">
      <c r="CL519">
        <v>0.2</v>
      </c>
    </row>
    <row r="522" spans="74:90" x14ac:dyDescent="0.25">
      <c r="BV522"/>
    </row>
    <row r="523" spans="74:90" x14ac:dyDescent="0.25">
      <c r="BV523"/>
      <c r="CL523" s="4"/>
    </row>
    <row r="524" spans="74:90" x14ac:dyDescent="0.25">
      <c r="BV524"/>
      <c r="CL524" s="4"/>
    </row>
    <row r="525" spans="74:90" x14ac:dyDescent="0.25">
      <c r="BV525"/>
      <c r="CL525" s="4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BV529"/>
      <c r="CL529" s="4"/>
    </row>
    <row r="530" spans="74:90" x14ac:dyDescent="0.25">
      <c r="BV530"/>
      <c r="CL530" s="4"/>
    </row>
    <row r="531" spans="74:90" x14ac:dyDescent="0.25">
      <c r="CL531" s="4"/>
    </row>
    <row r="532" spans="74:90" x14ac:dyDescent="0.25">
      <c r="BV532"/>
    </row>
    <row r="533" spans="74:90" x14ac:dyDescent="0.25">
      <c r="CL533" s="4"/>
    </row>
    <row r="542" spans="74:90" x14ac:dyDescent="0.25">
      <c r="BV542"/>
    </row>
    <row r="543" spans="74:90" x14ac:dyDescent="0.25">
      <c r="BV543"/>
      <c r="CL543" s="4"/>
    </row>
    <row r="544" spans="74:90" x14ac:dyDescent="0.25">
      <c r="BV544"/>
      <c r="CL544" s="4"/>
    </row>
    <row r="545" spans="74:90" x14ac:dyDescent="0.25">
      <c r="BV545"/>
      <c r="CL545" s="4"/>
    </row>
    <row r="546" spans="74:90" x14ac:dyDescent="0.25">
      <c r="BV546"/>
      <c r="CL546" s="4"/>
    </row>
    <row r="547" spans="74:90" x14ac:dyDescent="0.25">
      <c r="BV547"/>
      <c r="CL547" s="4"/>
    </row>
    <row r="548" spans="74:90" x14ac:dyDescent="0.25">
      <c r="BV548"/>
      <c r="CL548" s="4"/>
    </row>
    <row r="549" spans="74:90" x14ac:dyDescent="0.25">
      <c r="BV549"/>
      <c r="CL549" s="4"/>
    </row>
    <row r="550" spans="74:90" x14ac:dyDescent="0.25">
      <c r="CL550" s="4"/>
    </row>
    <row r="551" spans="74:90" x14ac:dyDescent="0.25">
      <c r="BV551"/>
    </row>
    <row r="552" spans="74:90" x14ac:dyDescent="0.25">
      <c r="CL552" s="4"/>
    </row>
    <row r="557" spans="74:90" x14ac:dyDescent="0.25">
      <c r="BV557"/>
    </row>
    <row r="558" spans="74:90" x14ac:dyDescent="0.25">
      <c r="BV558"/>
      <c r="CL558" s="4"/>
    </row>
    <row r="559" spans="74:90" x14ac:dyDescent="0.25">
      <c r="CL559" s="4"/>
    </row>
    <row r="560" spans="74:90" x14ac:dyDescent="0.25">
      <c r="BV560"/>
    </row>
    <row r="561" spans="74:90" x14ac:dyDescent="0.25">
      <c r="BV561"/>
      <c r="CL561" s="4"/>
    </row>
    <row r="562" spans="74:90" x14ac:dyDescent="0.25">
      <c r="CL562" s="4"/>
    </row>
    <row r="563" spans="74:90" x14ac:dyDescent="0.25">
      <c r="BV563"/>
    </row>
    <row r="564" spans="74:90" x14ac:dyDescent="0.25">
      <c r="BV564"/>
      <c r="CL564" s="4"/>
    </row>
    <row r="565" spans="74:90" x14ac:dyDescent="0.25">
      <c r="BV565"/>
      <c r="CL565" s="4"/>
    </row>
    <row r="566" spans="74:90" x14ac:dyDescent="0.25">
      <c r="BV566"/>
      <c r="CL566" s="4"/>
    </row>
    <row r="567" spans="74:90" x14ac:dyDescent="0.25">
      <c r="CL567" s="4"/>
    </row>
    <row r="571" spans="74:90" x14ac:dyDescent="0.25">
      <c r="BV571"/>
    </row>
    <row r="572" spans="74:90" x14ac:dyDescent="0.25">
      <c r="BV572"/>
      <c r="CL572" s="4"/>
    </row>
    <row r="573" spans="74:90" x14ac:dyDescent="0.25">
      <c r="BV573"/>
      <c r="CL573" s="4"/>
    </row>
    <row r="574" spans="74:90" x14ac:dyDescent="0.25">
      <c r="CL574" s="4"/>
    </row>
    <row r="575" spans="74:90" x14ac:dyDescent="0.25">
      <c r="BV575"/>
    </row>
    <row r="576" spans="74:90" x14ac:dyDescent="0.25">
      <c r="CL576" s="4"/>
    </row>
    <row r="577" spans="8:90" x14ac:dyDescent="0.25">
      <c r="BU577" s="7"/>
      <c r="BV577" s="8"/>
    </row>
    <row r="578" spans="8:90" x14ac:dyDescent="0.25">
      <c r="H578" s="7"/>
      <c r="CL578" s="7"/>
    </row>
    <row r="595" spans="8:90" x14ac:dyDescent="0.25">
      <c r="BV595"/>
    </row>
    <row r="596" spans="8:90" x14ac:dyDescent="0.25">
      <c r="BV596"/>
      <c r="CL596" s="4"/>
    </row>
    <row r="597" spans="8:90" x14ac:dyDescent="0.25">
      <c r="BV597"/>
      <c r="CL597" s="4"/>
    </row>
    <row r="598" spans="8:90" x14ac:dyDescent="0.25">
      <c r="BV598"/>
      <c r="CL598" s="4"/>
    </row>
    <row r="599" spans="8:90" x14ac:dyDescent="0.25">
      <c r="CL599" s="4"/>
    </row>
    <row r="600" spans="8:90" x14ac:dyDescent="0.25">
      <c r="BV600"/>
    </row>
    <row r="601" spans="8:90" x14ac:dyDescent="0.25">
      <c r="BV601"/>
      <c r="CL601" s="4"/>
    </row>
    <row r="602" spans="8:90" x14ac:dyDescent="0.25">
      <c r="BU602" s="7"/>
      <c r="BV602" s="8"/>
      <c r="CL602" s="4"/>
    </row>
    <row r="603" spans="8:90" x14ac:dyDescent="0.25">
      <c r="H603" s="7"/>
      <c r="CL603" s="7"/>
    </row>
    <row r="606" spans="8:90" x14ac:dyDescent="0.25">
      <c r="BV606"/>
    </row>
    <row r="607" spans="8:90" x14ac:dyDescent="0.25">
      <c r="BV607"/>
      <c r="CL607" s="4"/>
    </row>
    <row r="608" spans="8:90" x14ac:dyDescent="0.25">
      <c r="BV608"/>
      <c r="CL608" s="4"/>
    </row>
    <row r="609" spans="74:90" x14ac:dyDescent="0.25">
      <c r="BV609"/>
      <c r="CL609" s="4"/>
    </row>
    <row r="610" spans="74:90" x14ac:dyDescent="0.25">
      <c r="BV610"/>
      <c r="CL610" s="4"/>
    </row>
    <row r="611" spans="74:90" x14ac:dyDescent="0.25">
      <c r="BV611"/>
      <c r="CL611" s="4"/>
    </row>
    <row r="612" spans="74:90" x14ac:dyDescent="0.25">
      <c r="BV612"/>
      <c r="CL612" s="4"/>
    </row>
    <row r="613" spans="74:90" x14ac:dyDescent="0.25">
      <c r="BV613"/>
      <c r="CL613" s="4"/>
    </row>
    <row r="614" spans="74:90" x14ac:dyDescent="0.25">
      <c r="CL614" s="4"/>
    </row>
    <row r="616" spans="74:90" x14ac:dyDescent="0.25">
      <c r="BV616"/>
    </row>
    <row r="617" spans="74:90" x14ac:dyDescent="0.25">
      <c r="BV617"/>
      <c r="CL617" s="4"/>
    </row>
    <row r="618" spans="74:90" x14ac:dyDescent="0.25">
      <c r="BV618"/>
      <c r="CL618" s="4"/>
    </row>
    <row r="619" spans="74:90" x14ac:dyDescent="0.25">
      <c r="BV619"/>
      <c r="CL619" s="4"/>
    </row>
    <row r="620" spans="74:90" x14ac:dyDescent="0.25">
      <c r="BV620"/>
      <c r="CL620" s="4"/>
    </row>
    <row r="621" spans="74:90" x14ac:dyDescent="0.25">
      <c r="BV621"/>
      <c r="CL621" s="4"/>
    </row>
    <row r="622" spans="74:90" x14ac:dyDescent="0.25">
      <c r="CL622" s="4"/>
    </row>
    <row r="623" spans="74:90" x14ac:dyDescent="0.25">
      <c r="BV623"/>
    </row>
    <row r="624" spans="74:90" x14ac:dyDescent="0.25">
      <c r="BV624"/>
      <c r="CL624" s="4"/>
    </row>
    <row r="625" spans="74:90" x14ac:dyDescent="0.25">
      <c r="BV625"/>
      <c r="CL625" s="4"/>
    </row>
    <row r="626" spans="74:90" x14ac:dyDescent="0.25">
      <c r="BV626"/>
      <c r="CL626" s="4"/>
    </row>
    <row r="627" spans="74:90" x14ac:dyDescent="0.25">
      <c r="BV627"/>
      <c r="CL627" s="4"/>
    </row>
    <row r="628" spans="74:90" x14ac:dyDescent="0.25">
      <c r="BV628"/>
      <c r="CL628" s="4"/>
    </row>
    <row r="629" spans="74:90" x14ac:dyDescent="0.25">
      <c r="BV629"/>
      <c r="CL629" s="4"/>
    </row>
    <row r="630" spans="74:90" x14ac:dyDescent="0.25">
      <c r="BV630"/>
      <c r="CL630" s="4"/>
    </row>
    <row r="631" spans="74:90" x14ac:dyDescent="0.25">
      <c r="BV631"/>
      <c r="CL631" s="4"/>
    </row>
    <row r="632" spans="74:90" x14ac:dyDescent="0.25">
      <c r="BV632"/>
      <c r="CL632" s="4"/>
    </row>
    <row r="633" spans="74:90" x14ac:dyDescent="0.25">
      <c r="BV633"/>
      <c r="CL633" s="4"/>
    </row>
    <row r="634" spans="74:90" x14ac:dyDescent="0.25">
      <c r="BV634"/>
      <c r="CL634" s="4"/>
    </row>
    <row r="635" spans="74:90" x14ac:dyDescent="0.25">
      <c r="BV635"/>
      <c r="CL635" s="4"/>
    </row>
    <row r="636" spans="74:90" x14ac:dyDescent="0.25">
      <c r="BV636"/>
      <c r="CL636" s="4"/>
    </row>
    <row r="637" spans="74:90" x14ac:dyDescent="0.25">
      <c r="BV637"/>
      <c r="CL637" s="4"/>
    </row>
    <row r="638" spans="74:90" x14ac:dyDescent="0.25">
      <c r="BV638"/>
      <c r="CL638" s="4"/>
    </row>
    <row r="639" spans="74:90" x14ac:dyDescent="0.25">
      <c r="BV639"/>
      <c r="CL639" s="4"/>
    </row>
    <row r="640" spans="74:90" x14ac:dyDescent="0.25">
      <c r="BV640"/>
      <c r="CL640" s="4"/>
    </row>
    <row r="641" spans="74:90" x14ac:dyDescent="0.25">
      <c r="BV641"/>
      <c r="CL641" s="4"/>
    </row>
    <row r="642" spans="74:90" x14ac:dyDescent="0.25">
      <c r="BV642"/>
      <c r="CL642" s="4"/>
    </row>
    <row r="643" spans="74:90" x14ac:dyDescent="0.25">
      <c r="BV643"/>
      <c r="CL643" s="4"/>
    </row>
    <row r="644" spans="74:90" x14ac:dyDescent="0.25">
      <c r="BV644"/>
      <c r="CL644" s="4"/>
    </row>
    <row r="645" spans="74:90" x14ac:dyDescent="0.25">
      <c r="BV645"/>
      <c r="CL645" s="4"/>
    </row>
    <row r="646" spans="74:90" x14ac:dyDescent="0.25">
      <c r="BV646"/>
      <c r="CL646" s="4"/>
    </row>
    <row r="647" spans="74:90" x14ac:dyDescent="0.25">
      <c r="BV647"/>
      <c r="CL647" s="4"/>
    </row>
    <row r="648" spans="74:90" x14ac:dyDescent="0.25">
      <c r="BV648"/>
      <c r="CL648" s="4"/>
    </row>
    <row r="649" spans="74:90" x14ac:dyDescent="0.25">
      <c r="BV649"/>
      <c r="CL649" s="4"/>
    </row>
    <row r="650" spans="74:90" x14ac:dyDescent="0.25">
      <c r="BV650"/>
      <c r="CL650" s="4"/>
    </row>
    <row r="651" spans="74:90" x14ac:dyDescent="0.25">
      <c r="BV651"/>
      <c r="CL651" s="4"/>
    </row>
    <row r="652" spans="74:90" x14ac:dyDescent="0.25">
      <c r="BV652"/>
      <c r="CL652" s="4"/>
    </row>
    <row r="653" spans="74:90" x14ac:dyDescent="0.25">
      <c r="CL653" s="4"/>
    </row>
    <row r="654" spans="74:90" x14ac:dyDescent="0.25">
      <c r="BV654"/>
    </row>
    <row r="655" spans="74:90" x14ac:dyDescent="0.25">
      <c r="BV655"/>
      <c r="CL655" s="4"/>
    </row>
    <row r="656" spans="74:90" x14ac:dyDescent="0.25">
      <c r="BV656"/>
      <c r="CL656" s="4"/>
    </row>
    <row r="657" spans="90:90" x14ac:dyDescent="0.25">
      <c r="CL657" s="4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9"/>
  <sheetViews>
    <sheetView workbookViewId="0">
      <pane xSplit="1" ySplit="3" topLeftCell="B4" activePane="bottomRight" state="frozen"/>
      <selection pane="topRight"/>
      <selection pane="bottomLeft"/>
      <selection pane="bottomRight" activeCell="H15" sqref="H15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430</v>
      </c>
      <c r="F1" t="s">
        <v>431</v>
      </c>
      <c r="G1" t="s">
        <v>432</v>
      </c>
      <c r="H1" t="s">
        <v>433</v>
      </c>
      <c r="I1" t="s">
        <v>434</v>
      </c>
      <c r="J1" t="s">
        <v>435</v>
      </c>
      <c r="L1" t="s">
        <v>436</v>
      </c>
      <c r="M1" t="s">
        <v>437</v>
      </c>
      <c r="N1" t="s">
        <v>438</v>
      </c>
      <c r="O1" t="s">
        <v>439</v>
      </c>
      <c r="P1" t="s">
        <v>440</v>
      </c>
    </row>
    <row r="2" spans="1:17" x14ac:dyDescent="0.25">
      <c r="A2" t="s">
        <v>0</v>
      </c>
      <c r="C2" t="s">
        <v>46</v>
      </c>
      <c r="D2" t="s">
        <v>75</v>
      </c>
      <c r="E2" t="s">
        <v>441</v>
      </c>
      <c r="F2" t="s">
        <v>442</v>
      </c>
      <c r="G2" t="s">
        <v>443</v>
      </c>
      <c r="H2" t="s">
        <v>444</v>
      </c>
      <c r="I2" t="s">
        <v>445</v>
      </c>
      <c r="J2" t="s">
        <v>446</v>
      </c>
      <c r="K2" t="s">
        <v>447</v>
      </c>
      <c r="L2" t="s">
        <v>51</v>
      </c>
      <c r="M2" t="s">
        <v>448</v>
      </c>
      <c r="N2" t="s">
        <v>449</v>
      </c>
      <c r="O2" t="s">
        <v>450</v>
      </c>
      <c r="P2" t="s">
        <v>451</v>
      </c>
      <c r="Q2" t="s">
        <v>330</v>
      </c>
    </row>
    <row r="3" spans="1:17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360</v>
      </c>
      <c r="K3" t="s">
        <v>113</v>
      </c>
      <c r="L3" t="s">
        <v>324</v>
      </c>
      <c r="M3" t="s">
        <v>112</v>
      </c>
      <c r="N3" t="s">
        <v>112</v>
      </c>
      <c r="O3" t="s">
        <v>324</v>
      </c>
      <c r="P3" t="s">
        <v>112</v>
      </c>
      <c r="Q3" t="s">
        <v>121</v>
      </c>
    </row>
    <row r="4" spans="1:17" x14ac:dyDescent="0.25">
      <c r="A4" t="s">
        <v>373</v>
      </c>
      <c r="C4" t="s">
        <v>452</v>
      </c>
      <c r="F4">
        <v>1</v>
      </c>
      <c r="Q4" t="s">
        <v>453</v>
      </c>
    </row>
    <row r="5" spans="1:17" x14ac:dyDescent="0.25">
      <c r="A5" t="s">
        <v>372</v>
      </c>
      <c r="C5" t="s">
        <v>454</v>
      </c>
      <c r="F5">
        <v>1</v>
      </c>
    </row>
    <row r="7" spans="1:17" x14ac:dyDescent="0.25">
      <c r="A7" t="s">
        <v>388</v>
      </c>
      <c r="C7" t="s">
        <v>452</v>
      </c>
      <c r="Q7" t="s">
        <v>455</v>
      </c>
    </row>
    <row r="9" spans="1:17" x14ac:dyDescent="0.25">
      <c r="A9" t="s">
        <v>456</v>
      </c>
      <c r="C9" t="s">
        <v>212</v>
      </c>
      <c r="H9">
        <v>1</v>
      </c>
      <c r="Q9" s="2" t="s">
        <v>457</v>
      </c>
    </row>
    <row r="278" spans="16:16" x14ac:dyDescent="0.25">
      <c r="P278">
        <v>1</v>
      </c>
    </row>
    <row r="279" spans="16:16" x14ac:dyDescent="0.25">
      <c r="P279">
        <v>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D13" sqref="D1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458</v>
      </c>
    </row>
    <row r="2" spans="1:4" x14ac:dyDescent="0.25">
      <c r="A2" t="s">
        <v>0</v>
      </c>
      <c r="B2" t="s">
        <v>46</v>
      </c>
      <c r="C2" t="s">
        <v>459</v>
      </c>
      <c r="D2" t="s">
        <v>330</v>
      </c>
    </row>
    <row r="3" spans="1:4" x14ac:dyDescent="0.25">
      <c r="A3" t="s">
        <v>2</v>
      </c>
      <c r="B3" t="s">
        <v>2</v>
      </c>
      <c r="C3" t="s">
        <v>324</v>
      </c>
      <c r="D3" t="s">
        <v>121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217</v>
      </c>
    </row>
    <row r="2" spans="1:10" x14ac:dyDescent="0.25">
      <c r="A2" t="s">
        <v>0</v>
      </c>
      <c r="B2" t="s">
        <v>46</v>
      </c>
      <c r="C2" t="s">
        <v>48</v>
      </c>
      <c r="D2" t="s">
        <v>460</v>
      </c>
      <c r="E2" t="s">
        <v>70</v>
      </c>
      <c r="F2" t="s">
        <v>461</v>
      </c>
      <c r="G2" t="s">
        <v>462</v>
      </c>
      <c r="H2" t="s">
        <v>463</v>
      </c>
      <c r="I2" t="s">
        <v>319</v>
      </c>
      <c r="J2" t="s">
        <v>330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t="s">
        <v>359</v>
      </c>
      <c r="J3" t="s">
        <v>121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464</v>
      </c>
      <c r="C1" t="s">
        <v>465</v>
      </c>
      <c r="D1" t="s">
        <v>466</v>
      </c>
      <c r="E1" t="s">
        <v>467</v>
      </c>
      <c r="F1" t="s">
        <v>468</v>
      </c>
      <c r="H1" t="s">
        <v>469</v>
      </c>
      <c r="I1" t="s">
        <v>470</v>
      </c>
      <c r="J1" t="s">
        <v>471</v>
      </c>
      <c r="K1" t="s">
        <v>472</v>
      </c>
      <c r="L1" t="s">
        <v>473</v>
      </c>
    </row>
    <row r="2" spans="1:12" x14ac:dyDescent="0.25">
      <c r="A2" t="s">
        <v>0</v>
      </c>
      <c r="B2" t="s">
        <v>474</v>
      </c>
      <c r="C2" t="s">
        <v>475</v>
      </c>
      <c r="D2" t="s">
        <v>476</v>
      </c>
      <c r="E2" t="s">
        <v>477</v>
      </c>
      <c r="F2" t="s">
        <v>478</v>
      </c>
      <c r="G2" t="s">
        <v>479</v>
      </c>
      <c r="H2" t="s">
        <v>480</v>
      </c>
      <c r="I2" t="s">
        <v>481</v>
      </c>
      <c r="J2" t="s">
        <v>482</v>
      </c>
      <c r="K2" t="s">
        <v>461</v>
      </c>
      <c r="L2" t="s">
        <v>93</v>
      </c>
    </row>
    <row r="3" spans="1:12" x14ac:dyDescent="0.25">
      <c r="A3" t="s">
        <v>2</v>
      </c>
      <c r="B3" t="s">
        <v>2</v>
      </c>
      <c r="C3" t="s">
        <v>114</v>
      </c>
      <c r="D3" t="s">
        <v>483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11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242</v>
      </c>
      <c r="C2" t="s">
        <v>75</v>
      </c>
      <c r="D2" t="s">
        <v>484</v>
      </c>
      <c r="E2" t="s">
        <v>485</v>
      </c>
      <c r="F2" t="s">
        <v>77</v>
      </c>
      <c r="G2" t="s">
        <v>486</v>
      </c>
      <c r="H2" t="s">
        <v>270</v>
      </c>
      <c r="I2" t="s">
        <v>487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488</v>
      </c>
      <c r="I3" t="s">
        <v>114</v>
      </c>
      <c r="J3" t="s">
        <v>114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489</v>
      </c>
      <c r="C1" s="1" t="s">
        <v>490</v>
      </c>
      <c r="D1" s="1" t="s">
        <v>491</v>
      </c>
      <c r="E1" s="1" t="s">
        <v>492</v>
      </c>
      <c r="F1" s="1" t="s">
        <v>493</v>
      </c>
      <c r="G1" s="1" t="s">
        <v>494</v>
      </c>
      <c r="H1" s="1" t="s">
        <v>495</v>
      </c>
      <c r="I1" s="1" t="s">
        <v>496</v>
      </c>
    </row>
    <row r="2" spans="1:9" s="1" customFormat="1" x14ac:dyDescent="0.25">
      <c r="A2" s="1" t="s">
        <v>0</v>
      </c>
      <c r="B2" s="1" t="s">
        <v>497</v>
      </c>
      <c r="C2" s="1" t="s">
        <v>498</v>
      </c>
      <c r="D2" s="1" t="s">
        <v>499</v>
      </c>
      <c r="E2" s="1" t="s">
        <v>500</v>
      </c>
      <c r="F2" s="1" t="s">
        <v>501</v>
      </c>
      <c r="G2" s="1" t="s">
        <v>502</v>
      </c>
      <c r="H2" s="1" t="s">
        <v>503</v>
      </c>
      <c r="I2" s="1" t="s">
        <v>504</v>
      </c>
    </row>
    <row r="3" spans="1:9" s="1" customFormat="1" x14ac:dyDescent="0.25">
      <c r="A3" s="1" t="s">
        <v>2</v>
      </c>
      <c r="B3" s="1" t="s">
        <v>112</v>
      </c>
      <c r="C3" s="1" t="s">
        <v>112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505</v>
      </c>
      <c r="C4" s="1">
        <v>1</v>
      </c>
      <c r="D4" s="1" t="s">
        <v>506</v>
      </c>
      <c r="E4" s="1" t="s">
        <v>507</v>
      </c>
      <c r="F4" s="1" t="s">
        <v>508</v>
      </c>
      <c r="G4" s="1" t="s">
        <v>509</v>
      </c>
      <c r="H4" s="1" t="s">
        <v>510</v>
      </c>
      <c r="I4" s="1" t="s">
        <v>511</v>
      </c>
    </row>
    <row r="5" spans="1:9" s="1" customFormat="1" x14ac:dyDescent="0.25">
      <c r="A5" s="1" t="s">
        <v>512</v>
      </c>
      <c r="B5" s="1">
        <v>1</v>
      </c>
      <c r="C5" s="1">
        <v>1</v>
      </c>
      <c r="D5" s="1" t="s">
        <v>513</v>
      </c>
      <c r="E5" s="1" t="s">
        <v>514</v>
      </c>
      <c r="F5" s="1" t="s">
        <v>515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2026-01-10T18:06:46Z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