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210" activeTab="1"/>
  </bookViews>
  <sheets>
    <sheet name="CardData" sheetId="1" r:id="rId1"/>
    <sheet name="UnitData" sheetId="2" r:id="rId2"/>
    <sheet name="SkillData" sheetId="3" r:id="rId3"/>
    <sheet name="BuffData" sheetId="4" r:id="rId4"/>
    <sheet name="ModifyData" sheetId="5" r:id="rId5"/>
    <sheet name="BulletData" sheetId="6" r:id="rId6"/>
    <sheet name="EffectData" sheetId="7" r:id="rId7"/>
    <sheet name="ContractData" sheetId="8" r:id="rId8"/>
    <sheet name="SpineData" sheetId="9" r:id="rId9"/>
  </sheets>
  <definedNames>
    <definedName name="_xlnm._FilterDatabase" localSheetId="1" hidden="1">UnitData!$B$1:$B$1822</definedName>
    <definedName name="_xlnm._FilterDatabase" localSheetId="2" hidden="1">SkillData!$C$1:$C$915</definedName>
    <definedName name="_xlnm._FilterDatabase" localSheetId="3" hidden="1">BuffData!$C$1:$C$324</definedName>
  </definedNames>
  <calcPr calcId="144525"/>
</workbook>
</file>

<file path=xl/comments1.xml><?xml version="1.0" encoding="utf-8"?>
<comments xmlns="http://schemas.openxmlformats.org/spreadsheetml/2006/main">
  <authors>
    <author>PC</author>
  </authors>
  <commentList>
    <comment ref="AM1" authorId="0">
      <text>
        <r>
          <rPr>
            <sz val="10"/>
            <rFont val="宋体"/>
            <charset val="134"/>
          </rPr>
          <t>PC:
0:干员 1:敌人 2:仅技能条 3:技能+血条</t>
        </r>
      </text>
    </comment>
  </commentList>
</comments>
</file>

<file path=xl/comments2.xml><?xml version="1.0" encoding="utf-8"?>
<comments xmlns="http://schemas.openxmlformats.org/spreadsheetml/2006/main">
  <authors>
    <author>PC</author>
    <author>Admin</author>
  </authors>
  <commentList>
    <comment ref="AC1" authorId="0">
      <text>
        <r>
          <rPr>
            <sz val="10"/>
            <rFont val="宋体"/>
            <charset val="134"/>
          </rPr>
          <t>PC:
1:玩家 2:敌人 3:双方</t>
        </r>
      </text>
    </comment>
    <comment ref="BB1" authorId="0">
      <text>
        <r>
          <rPr>
            <sz val="10"/>
            <rFont val="宋体"/>
            <charset val="134"/>
          </rPr>
          <t xml:space="preserve">PC:
0:基于单位攻击力
1:基于目标最大生命值
2:固定值
</t>
        </r>
      </text>
    </comment>
    <comment ref="BR1" authorId="1">
      <text>
        <r>
          <rPr>
            <sz val="10"/>
            <rFont val="宋体"/>
            <charset val="134"/>
          </rPr>
          <t>Admin:
技能持续结束后，将会转变为升级技能</t>
        </r>
      </text>
    </comment>
    <comment ref="CT1" authorId="1">
      <text>
        <r>
          <rPr>
            <sz val="10"/>
            <rFont val="宋体"/>
            <charset val="134"/>
          </rPr>
          <t xml:space="preserve">Admin:
被动技能的场合，不检查范围，只检查单位死亡和技能开启
</t>
        </r>
      </text>
    </comment>
  </commentList>
</comments>
</file>

<file path=xl/comments3.xml><?xml version="1.0" encoding="utf-8"?>
<comments xmlns="http://schemas.openxmlformats.org/spreadsheetml/2006/main">
  <authors>
    <author>Admin</author>
  </authors>
  <commentList>
    <comment ref="Q133" authorId="0">
      <text>
        <r>
          <rPr>
            <sz val="10"/>
            <rFont val="宋体"/>
            <charset val="134"/>
          </rPr>
          <t>Admin:
base: 0:固定值 1:基于来源攻击力</t>
        </r>
      </text>
    </comment>
    <comment ref="Q238" authorId="0">
      <text>
        <r>
          <rPr>
            <sz val="10"/>
            <rFont val="宋体"/>
            <charset val="134"/>
          </rPr>
          <t>Admin:
base: 0:固定值 1:基于来源攻击力</t>
        </r>
      </text>
    </comment>
    <comment ref="Q243" authorId="0">
      <text>
        <r>
          <rPr>
            <sz val="10"/>
            <rFont val="宋体"/>
            <charset val="134"/>
          </rPr>
          <t>Admin:
base: 0:固定值 1:基于来源攻击力</t>
        </r>
      </text>
    </comment>
    <comment ref="Q277" authorId="0">
      <text>
        <r>
          <rPr>
            <sz val="10"/>
            <rFont val="宋体"/>
            <charset val="134"/>
          </rPr>
          <t>Admin:
base: 0:固定值 1:基于来源攻击力</t>
        </r>
      </text>
    </comment>
  </commentList>
</comments>
</file>

<file path=xl/comments4.xml><?xml version="1.0" encoding="utf-8"?>
<comments xmlns="http://schemas.openxmlformats.org/spreadsheetml/2006/main">
  <authors>
    <author>Admin</author>
  </authors>
  <commentList>
    <comment ref="C1" authorId="0">
      <text>
        <r>
          <rPr>
            <sz val="10"/>
            <rFont val="宋体"/>
            <charset val="134"/>
          </rPr>
          <t>Admin:
0：击中点
1：骨骼点</t>
        </r>
      </text>
    </comment>
    <comment ref="H1" authorId="0">
      <text>
        <r>
          <rPr>
            <sz val="10"/>
            <rFont val="宋体"/>
            <charset val="134"/>
          </rPr>
          <t xml:space="preserve">Admin:
1会实时更新x缩放
2跟随使用者
3仅跟随位置
</t>
        </r>
      </text>
    </comment>
    <comment ref="I1" authorId="0">
      <text>
        <r>
          <rPr>
            <sz val="10"/>
            <rFont val="宋体"/>
            <charset val="134"/>
          </rPr>
          <t xml:space="preserve">Admin:
0：不修改
1：跟随接收者
2：跟随施法者
</t>
        </r>
      </text>
    </comment>
    <comment ref="J1" authorId="0">
      <text>
        <r>
          <rPr>
            <sz val="10"/>
            <rFont val="宋体"/>
            <charset val="134"/>
          </rPr>
          <t>Admin:
是否允许特效旋转z轴</t>
        </r>
      </text>
    </comment>
  </commentList>
</comments>
</file>

<file path=xl/sharedStrings.xml><?xml version="1.0" encoding="utf-8"?>
<sst xmlns="http://schemas.openxmlformats.org/spreadsheetml/2006/main" count="32972" uniqueCount="9923">
  <si>
    <t>Id</t>
  </si>
  <si>
    <t>units</t>
  </si>
  <si>
    <t>string</t>
  </si>
  <si>
    <t>UnitData[]</t>
  </si>
  <si>
    <t>Lancet-2</t>
  </si>
  <si>
    <t>Castle-3</t>
  </si>
  <si>
    <t>黑角</t>
  </si>
  <si>
    <t>巡林者</t>
  </si>
  <si>
    <t>杜林</t>
  </si>
  <si>
    <t>斑点</t>
  </si>
  <si>
    <t>泡普卡</t>
  </si>
  <si>
    <t>月见夜</t>
  </si>
  <si>
    <t>空爆</t>
  </si>
  <si>
    <t>梓兰</t>
  </si>
  <si>
    <t>史都华德</t>
  </si>
  <si>
    <t>安塞尔</t>
  </si>
  <si>
    <t>芙蓉</t>
  </si>
  <si>
    <t>炎熔</t>
  </si>
  <si>
    <t>安德切尔</t>
  </si>
  <si>
    <t>克洛丝</t>
  </si>
  <si>
    <t>米格鲁</t>
  </si>
  <si>
    <t>卡提</t>
  </si>
  <si>
    <t>玫兰沙</t>
  </si>
  <si>
    <t>#四星</t>
  </si>
  <si>
    <t>夜烟</t>
  </si>
  <si>
    <t>远山</t>
  </si>
  <si>
    <t>杰西卡</t>
  </si>
  <si>
    <t>流星</t>
  </si>
  <si>
    <t>白雪</t>
  </si>
  <si>
    <t>杜宾</t>
  </si>
  <si>
    <t>缠丸</t>
  </si>
  <si>
    <t>霜叶</t>
  </si>
  <si>
    <t>艾斯黛尔</t>
  </si>
  <si>
    <t>慕斯</t>
  </si>
  <si>
    <t>砾</t>
  </si>
  <si>
    <t>暗锁</t>
  </si>
  <si>
    <t>阿消</t>
  </si>
  <si>
    <t>末药</t>
  </si>
  <si>
    <t>嘉维尔</t>
  </si>
  <si>
    <t>调香师</t>
  </si>
  <si>
    <t>角峰</t>
  </si>
  <si>
    <t>蛇屠箱</t>
  </si>
  <si>
    <t>古米</t>
  </si>
  <si>
    <t>深海色</t>
  </si>
  <si>
    <t>地灵</t>
  </si>
  <si>
    <t>#五星</t>
  </si>
  <si>
    <t>白面鸮</t>
  </si>
  <si>
    <t>芙兰卡</t>
  </si>
  <si>
    <t>因陀罗</t>
  </si>
  <si>
    <t>拉普兰德</t>
  </si>
  <si>
    <t>幽灵鲨</t>
  </si>
  <si>
    <t>蓝毒</t>
  </si>
  <si>
    <t>白金</t>
  </si>
  <si>
    <t>陨星</t>
  </si>
  <si>
    <t>阿米娅</t>
  </si>
  <si>
    <t>天火</t>
  </si>
  <si>
    <t>梅尔</t>
  </si>
  <si>
    <t>临光</t>
  </si>
  <si>
    <t>赫默</t>
  </si>
  <si>
    <t>华法琳</t>
  </si>
  <si>
    <t>红</t>
  </si>
  <si>
    <t>雷蛇</t>
  </si>
  <si>
    <t>可颂</t>
  </si>
  <si>
    <t>火神</t>
  </si>
  <si>
    <t>普罗旺斯</t>
  </si>
  <si>
    <t>守林人</t>
  </si>
  <si>
    <t>崖心</t>
  </si>
  <si>
    <t>初雪</t>
  </si>
  <si>
    <t>真理</t>
  </si>
  <si>
    <t>空</t>
  </si>
  <si>
    <t>狮蝎</t>
  </si>
  <si>
    <t>食铁兽</t>
  </si>
  <si>
    <t>#6星</t>
  </si>
  <si>
    <t>银灰</t>
  </si>
  <si>
    <t>银灰3</t>
  </si>
  <si>
    <t>史尔特尔</t>
  </si>
  <si>
    <t>凯尔希</t>
  </si>
  <si>
    <t>棘刺</t>
  </si>
  <si>
    <t>能天使</t>
  </si>
  <si>
    <t>伊芙利特</t>
  </si>
  <si>
    <t>艾雅法拉</t>
  </si>
  <si>
    <t>安洁莉娜</t>
  </si>
  <si>
    <t>闪灵</t>
  </si>
  <si>
    <t>夜莺</t>
  </si>
  <si>
    <t>塞雷娅</t>
  </si>
  <si>
    <t>山</t>
  </si>
  <si>
    <t>#</t>
  </si>
  <si>
    <t>模型大小倍率</t>
  </si>
  <si>
    <t>精英化</t>
  </si>
  <si>
    <t>等级</t>
  </si>
  <si>
    <t>血</t>
  </si>
  <si>
    <t>攻</t>
  </si>
  <si>
    <t>防</t>
  </si>
  <si>
    <t>魔防</t>
  </si>
  <si>
    <t>消耗</t>
  </si>
  <si>
    <t>消耗增长</t>
  </si>
  <si>
    <t>复活时间</t>
  </si>
  <si>
    <t>额外攻速</t>
  </si>
  <si>
    <t>抛光系数</t>
  </si>
  <si>
    <t>攻击间隔</t>
  </si>
  <si>
    <t>重量</t>
  </si>
  <si>
    <t>移动速度</t>
  </si>
  <si>
    <t>部署占用数</t>
  </si>
  <si>
    <t>撤离后不返回</t>
  </si>
  <si>
    <t>部署策略</t>
  </si>
  <si>
    <t>可部署上限</t>
  </si>
  <si>
    <t>仇恨等级</t>
  </si>
  <si>
    <t>被攻击点</t>
  </si>
  <si>
    <t>常驻技能</t>
  </si>
  <si>
    <t>可选技能</t>
  </si>
  <si>
    <t>血条类型</t>
  </si>
  <si>
    <t>高度</t>
  </si>
  <si>
    <t>可部署位</t>
  </si>
  <si>
    <t>阻挡个数</t>
  </si>
  <si>
    <t>返还倍率</t>
  </si>
  <si>
    <t>不占用地板</t>
  </si>
  <si>
    <t>生命恢复</t>
  </si>
  <si>
    <t>不参与击杀计数</t>
  </si>
  <si>
    <t>终点伤害</t>
  </si>
  <si>
    <t>抗性</t>
  </si>
  <si>
    <t>半径</t>
  </si>
  <si>
    <t>大小</t>
  </si>
  <si>
    <t>阻挡？</t>
  </si>
  <si>
    <t>仅阻挡时可被攻击</t>
  </si>
  <si>
    <t>存活时间</t>
  </si>
  <si>
    <t>头像</t>
  </si>
  <si>
    <t>半身像</t>
  </si>
  <si>
    <t>立绘</t>
  </si>
  <si>
    <t>立绘位置</t>
  </si>
  <si>
    <t>稀有</t>
  </si>
  <si>
    <t>眩晕动画</t>
  </si>
  <si>
    <t>Type</t>
  </si>
  <si>
    <t>Test</t>
  </si>
  <si>
    <t>Model</t>
  </si>
  <si>
    <t>ModelScale</t>
  </si>
  <si>
    <t>engName</t>
  </si>
  <si>
    <t>Upgrade</t>
  </si>
  <si>
    <t>Level</t>
  </si>
  <si>
    <t>Hp</t>
  </si>
  <si>
    <t>HpEx</t>
  </si>
  <si>
    <t>Attack</t>
  </si>
  <si>
    <t>AttackEx</t>
  </si>
  <si>
    <t>Defence</t>
  </si>
  <si>
    <t>DefenceEx</t>
  </si>
  <si>
    <t>MagicDefence</t>
  </si>
  <si>
    <t>MagicDefenceEx</t>
  </si>
  <si>
    <t>Cost</t>
  </si>
  <si>
    <t>CostEx</t>
  </si>
  <si>
    <t>CostAdd</t>
  </si>
  <si>
    <t>ResetTime</t>
  </si>
  <si>
    <t>ResetTimeEx</t>
  </si>
  <si>
    <t>ExAgi</t>
  </si>
  <si>
    <t>MinDamageRate</t>
  </si>
  <si>
    <t>AttackGap</t>
  </si>
  <si>
    <t>Weight</t>
  </si>
  <si>
    <t>Speed</t>
  </si>
  <si>
    <t>BuildCountCost</t>
  </si>
  <si>
    <t>NotReturn</t>
  </si>
  <si>
    <t>RedeployPolicy</t>
  </si>
  <si>
    <t>BuildCountLimit</t>
  </si>
  <si>
    <t>Hatred</t>
  </si>
  <si>
    <t>Team</t>
  </si>
  <si>
    <t>Name</t>
  </si>
  <si>
    <t>HitPointName</t>
  </si>
  <si>
    <t>Skills</t>
  </si>
  <si>
    <t>MainSkill</t>
  </si>
  <si>
    <t>HpBarType</t>
  </si>
  <si>
    <t>Height</t>
  </si>
  <si>
    <t>CanSetPos</t>
  </si>
  <si>
    <t>StopCount</t>
  </si>
  <si>
    <t>LeaveReturn</t>
  </si>
  <si>
    <t>NotUseTile</t>
  </si>
  <si>
    <t>#敌人用</t>
  </si>
  <si>
    <t>HpRecover</t>
  </si>
  <si>
    <t>WithoutCheckCount</t>
  </si>
  <si>
    <t>Damage</t>
  </si>
  <si>
    <t>IgnoreBuff</t>
  </si>
  <si>
    <t>Radius</t>
  </si>
  <si>
    <t>Size</t>
  </si>
  <si>
    <t>CanStop</t>
  </si>
  <si>
    <t>StopAttackOnly</t>
  </si>
  <si>
    <t>LifeTime</t>
  </si>
  <si>
    <t>Profession</t>
  </si>
  <si>
    <t>Profession2</t>
  </si>
  <si>
    <t>HeadIcon</t>
  </si>
  <si>
    <t>HalfIcon</t>
  </si>
  <si>
    <t>StandPic</t>
  </si>
  <si>
    <t>StandPicPos</t>
  </si>
  <si>
    <t>Rare</t>
  </si>
  <si>
    <t>SetPos</t>
  </si>
  <si>
    <t>Tags</t>
  </si>
  <si>
    <t>AblitityInfo</t>
  </si>
  <si>
    <t>Ablititys</t>
  </si>
  <si>
    <t>DefaultAnimation</t>
  </si>
  <si>
    <t>IdleAnimation</t>
  </si>
  <si>
    <t>MoveAnimation</t>
  </si>
  <si>
    <t>DeadAnimation</t>
  </si>
  <si>
    <t>StunAnimation</t>
  </si>
  <si>
    <t>ForwardAnimation</t>
  </si>
  <si>
    <t>MaxAnimationScale</t>
  </si>
  <si>
    <t>bool</t>
  </si>
  <si>
    <t>float</t>
  </si>
  <si>
    <t>int</t>
  </si>
  <si>
    <t>SkillData[]</t>
  </si>
  <si>
    <t>string[]</t>
  </si>
  <si>
    <t>BuffData[]</t>
  </si>
  <si>
    <t>UnityEngine.Vector2Int</t>
  </si>
  <si>
    <t>UnitTypeEnum</t>
  </si>
  <si>
    <t>float[]</t>
  </si>
  <si>
    <t>System.Collections.Generic.Dictionary&lt;string,object&gt;</t>
  </si>
  <si>
    <t>不要删！</t>
  </si>
  <si>
    <t>#敌人</t>
  </si>
  <si>
    <t>源石虫</t>
  </si>
  <si>
    <t>敌人</t>
  </si>
  <si>
    <t>slime_2</t>
  </si>
  <si>
    <t>1007</t>
  </si>
  <si>
    <t>Hip</t>
  </si>
  <si>
    <t>Default</t>
  </si>
  <si>
    <t>Idle</t>
  </si>
  <si>
    <t>Move_Begin,Move_Loop,Move_End</t>
  </si>
  <si>
    <t>Die</t>
  </si>
  <si>
    <t>狗</t>
  </si>
  <si>
    <t>gopro</t>
  </si>
  <si>
    <t>1000</t>
  </si>
  <si>
    <t>猎狗</t>
  </si>
  <si>
    <t>bone</t>
  </si>
  <si>
    <t>狗攻击</t>
  </si>
  <si>
    <t>Run_Begin,Run_Loop,Run_End</t>
  </si>
  <si>
    <t>超级狗</t>
  </si>
  <si>
    <t>狗攻击,黑蛇火球</t>
  </si>
  <si>
    <t>盾</t>
  </si>
  <si>
    <t>shield_2</t>
  </si>
  <si>
    <t>1006</t>
  </si>
  <si>
    <t>重装防御组长</t>
  </si>
  <si>
    <t>隐藏狗</t>
  </si>
  <si>
    <t>轻甲卫兵组长</t>
  </si>
  <si>
    <t>litamr_2</t>
  </si>
  <si>
    <t>1015</t>
  </si>
  <si>
    <t>通用敌方近战攻击</t>
  </si>
  <si>
    <t>Move</t>
  </si>
  <si>
    <t>霜星</t>
  </si>
  <si>
    <t>frstar2</t>
  </si>
  <si>
    <t>1510</t>
  </si>
  <si>
    <t>C_hip</t>
  </si>
  <si>
    <t>霜星近身攻击,霜星普通攻击,霜星冰环,霜星拆地板,霜星锁血,霜星复活冰环,霜星复活拆地板</t>
  </si>
  <si>
    <t>雪怪小队</t>
  </si>
  <si>
    <t>snsbr</t>
  </si>
  <si>
    <t>1064</t>
  </si>
  <si>
    <t>通用破冰攻击</t>
  </si>
  <si>
    <t>Run_Loop</t>
  </si>
  <si>
    <t>冰狗</t>
  </si>
  <si>
    <t>snwolf_2</t>
  </si>
  <si>
    <t>1065</t>
  </si>
  <si>
    <t>霜锐</t>
  </si>
  <si>
    <t>C_Body_III</t>
  </si>
  <si>
    <t>冰爆虫</t>
  </si>
  <si>
    <t>snslime_2</t>
  </si>
  <si>
    <t>1067</t>
  </si>
  <si>
    <t>冰爆源石虫·α</t>
  </si>
  <si>
    <t>bone2</t>
  </si>
  <si>
    <t>冰爆虫攻击,冰爆虫死亡自爆</t>
  </si>
  <si>
    <t>冰术士</t>
  </si>
  <si>
    <t>snmage_2</t>
  </si>
  <si>
    <t>1068</t>
  </si>
  <si>
    <t>雪怪术师组长</t>
  </si>
  <si>
    <t>冰术士远程攻击,冰术士技能</t>
  </si>
  <si>
    <t>冰狙击手</t>
  </si>
  <si>
    <t>snbow_2</t>
  </si>
  <si>
    <t>1066</t>
  </si>
  <si>
    <t>雪怪狙击手组长</t>
  </si>
  <si>
    <t>冰狙击攻击</t>
  </si>
  <si>
    <t>冰刀</t>
  </si>
  <si>
    <t>icebrk_2</t>
  </si>
  <si>
    <t>1069</t>
  </si>
  <si>
    <t>雪怪小队破冰者</t>
  </si>
  <si>
    <t>C_Hip</t>
  </si>
  <si>
    <t>冰刀攻击</t>
  </si>
  <si>
    <t>炮击组长</t>
  </si>
  <si>
    <t>mortar_2</t>
  </si>
  <si>
    <t>1024</t>
  </si>
  <si>
    <t>炮兵攻击</t>
  </si>
  <si>
    <t>Idle_1</t>
  </si>
  <si>
    <t>小飞机</t>
  </si>
  <si>
    <t>yokai</t>
  </si>
  <si>
    <t>1005</t>
  </si>
  <si>
    <t>妖怪</t>
  </si>
  <si>
    <t>小飞机2</t>
  </si>
  <si>
    <t>妖怪MKII</t>
  </si>
  <si>
    <t>远程攻击</t>
  </si>
  <si>
    <t>弑君者</t>
  </si>
  <si>
    <t>crowns</t>
  </si>
  <si>
    <t>1502</t>
  </si>
  <si>
    <t>通用敌方近战攻击,弑君者闪现</t>
  </si>
  <si>
    <t>轻甲卫兵</t>
  </si>
  <si>
    <t>litamr</t>
  </si>
  <si>
    <t>武装人员</t>
  </si>
  <si>
    <t>haxe</t>
  </si>
  <si>
    <t>1035</t>
  </si>
  <si>
    <t>寻仇者</t>
  </si>
  <si>
    <t>reveng</t>
  </si>
  <si>
    <t>1025</t>
  </si>
  <si>
    <t>通用敌方近战攻击,复仇者复仇</t>
  </si>
  <si>
    <t>复仇者</t>
  </si>
  <si>
    <t>reveng_2</t>
  </si>
  <si>
    <t>通用敌方近战攻击,复仇者复仇1</t>
  </si>
  <si>
    <t>重装防御者</t>
  </si>
  <si>
    <t>shield</t>
  </si>
  <si>
    <t>隐形术师组长</t>
  </si>
  <si>
    <t>jmage_2</t>
  </si>
  <si>
    <t>1023</t>
  </si>
  <si>
    <t>术士组长攻击,敌人隐身</t>
  </si>
  <si>
    <t>机动卫兵</t>
  </si>
  <si>
    <t>enemy_1052_noramr</t>
  </si>
  <si>
    <t>粉碎攻坚手</t>
  </si>
  <si>
    <t>enemy_1045_hammer</t>
  </si>
  <si>
    <t>通用敌方近战攻击,大锤眩晕攻击</t>
  </si>
  <si>
    <t>幽灵</t>
  </si>
  <si>
    <t>ghost</t>
  </si>
  <si>
    <t>1008</t>
  </si>
  <si>
    <t>敌人不可阻挡</t>
  </si>
  <si>
    <t>幽灵组长</t>
  </si>
  <si>
    <t>enemy_1026_aghost</t>
  </si>
  <si>
    <t>黄铁弑君者</t>
  </si>
  <si>
    <t>破阵者</t>
  </si>
  <si>
    <t>狙击步兵</t>
  </si>
  <si>
    <t>sagent</t>
  </si>
  <si>
    <t>1047</t>
  </si>
  <si>
    <t>狙击步兵攻击,狙击步兵眩晕攻击,测试被动1</t>
  </si>
  <si>
    <t>神射手</t>
  </si>
  <si>
    <t>gansho_2</t>
  </si>
  <si>
    <t>1057</t>
  </si>
  <si>
    <t>神射手攻击</t>
  </si>
  <si>
    <t>{"天赋1":"天赋1描述","天赋2":"天赋2描述"}</t>
  </si>
  <si>
    <t>#干员</t>
  </si>
  <si>
    <t>干员</t>
  </si>
  <si>
    <t>medic2</t>
  </si>
  <si>
    <t>医疗小车攻击,医疗小车落地奶</t>
  </si>
  <si>
    <t>高台位</t>
  </si>
  <si>
    <t>医疗</t>
  </si>
  <si>
    <t>医师</t>
  </si>
  <si>
    <t>211,81,1500,1500</t>
  </si>
  <si>
    <t>远程位</t>
  </si>
  <si>
    <t>罗德岛,远程</t>
  </si>
  <si>
    <t>恢复友方单位生命，且不受部署数量限制，但再部署时间极长</t>
  </si>
  <si>
    <t>{"救援喷雾·VI":"部署后立即恢复全场友方单位500点生命"}</t>
  </si>
  <si>
    <t>cast3</t>
  </si>
  <si>
    <t>近卫小车攻击,近卫小车加攻</t>
  </si>
  <si>
    <t>地面位</t>
  </si>
  <si>
    <t>近卫</t>
  </si>
  <si>
    <t>无畏者</t>
  </si>
  <si>
    <t>近战位</t>
  </si>
  <si>
    <t>罗德岛,近战</t>
  </si>
  <si>
    <t>能够阻挡一个敌人，且不受部署数量限制，但再部署时间极长</t>
  </si>
  <si>
    <t>{"战术整理·VI":"部署后10秒内所有友方【近战位】单位的攻击力和防御力+20%"}</t>
  </si>
  <si>
    <t>noirc</t>
  </si>
  <si>
    <t>斑点攻击,黑角被动</t>
  </si>
  <si>
    <t>重装</t>
  </si>
  <si>
    <t>铁卫</t>
  </si>
  <si>
    <t>罗德岛,行动组A4,东,近战</t>
  </si>
  <si>
    <t>能够阻挡三个敌人</t>
  </si>
  <si>
    <t>{"装甲改良":"生命上限和防御力各直接乘算里属于叠加，并非叠乘12%+12%"}</t>
  </si>
  <si>
    <t>rang</t>
  </si>
  <si>
    <t>巡林者攻击</t>
  </si>
  <si>
    <t>狙击</t>
  </si>
  <si>
    <t>速射手</t>
  </si>
  <si>
    <t>罗德岛,行动组A4,远程</t>
  </si>
  <si>
    <t>优先攻击空中单位</t>
  </si>
  <si>
    <t>{"空射大师":"攻击飞行目标时，攻击力+50%"}</t>
  </si>
  <si>
    <t>durin</t>
  </si>
  <si>
    <t>杜林攻击,杜林被动</t>
  </si>
  <si>
    <t>术士</t>
  </si>
  <si>
    <t>中坚术师</t>
  </si>
  <si>
    <t>攻击造成法术伤害</t>
  </si>
  <si>
    <t>{"小个子的幸运":"获得50%的法术闪避"}</t>
  </si>
  <si>
    <t>spot</t>
  </si>
  <si>
    <t>斑点攻击</t>
  </si>
  <si>
    <t>斑点奶人</t>
  </si>
  <si>
    <t>守护者</t>
  </si>
  <si>
    <t>罗德岛,行动组A6,萨尔贡,近战</t>
  </si>
  <si>
    <t>技能可以治疗友方单位</t>
  </si>
  <si>
    <t>{"烟雾加装":"治疗友方单位后为其提供持续3秒的25%物理闪避"}</t>
  </si>
  <si>
    <t>popka</t>
  </si>
  <si>
    <t>泡普卡攻击,三星被动加攻血</t>
  </si>
  <si>
    <t>攻击强化1</t>
  </si>
  <si>
    <t>强攻手</t>
  </si>
  <si>
    <t>罗德岛,行动组A6,雷姆必拓,近战</t>
  </si>
  <si>
    <t>同时攻击阻挡的所有敌人</t>
  </si>
  <si>
    <t>{"生命攻击提升":"生命上限8%，攻击力8%"}</t>
  </si>
  <si>
    <t>midn</t>
  </si>
  <si>
    <t>月见夜远攻,月见夜攻击</t>
  </si>
  <si>
    <t>月见夜技能远攻</t>
  </si>
  <si>
    <t>领主</t>
  </si>
  <si>
    <t>罗德岛,行动组A6,东,近战</t>
  </si>
  <si>
    <t>可以进行远程攻击，但此时攻击力降低至80%</t>
  </si>
  <si>
    <t>{"要害瞄准·初级":"攻击时，20%几率当次攻击的攻击力提升至160%"}</t>
  </si>
  <si>
    <t>catap</t>
  </si>
  <si>
    <t>空爆攻击,三星被动减费</t>
  </si>
  <si>
    <t>空爆技能</t>
  </si>
  <si>
    <t>炮手</t>
  </si>
  <si>
    <t>罗德岛,行动组A6,卡西米尔,远程</t>
  </si>
  <si>
    <t>攻击造成群体物理伤害</t>
  </si>
  <si>
    <t>{"轻量化":"自身部署费用-1"}</t>
  </si>
  <si>
    <t>orchid</t>
  </si>
  <si>
    <t>梓兰攻击,梓兰被动加攻速</t>
  </si>
  <si>
    <t>迅捷打击1</t>
  </si>
  <si>
    <t>辅助</t>
  </si>
  <si>
    <t>凝滞师</t>
  </si>
  <si>
    <t>罗德岛,行动组A6,哥伦比亚,远程</t>
  </si>
  <si>
    <t>攻击造成法术伤害，并对敌人造成短暂的停顿移动速度降低80%</t>
  </si>
  <si>
    <t>{"施法速度提升":"攻击速度+9"}</t>
  </si>
  <si>
    <t>stward</t>
  </si>
  <si>
    <t>史都华德攻击,史都华德被动加攻击</t>
  </si>
  <si>
    <t>史都华德技能</t>
  </si>
  <si>
    <t>罗德岛,行动组A4,谢拉格,远程</t>
  </si>
  <si>
    <t>{"铠甲突破":"攻击力+6%，优先攻击防御力最高的敌人"}</t>
  </si>
  <si>
    <t>ansel</t>
  </si>
  <si>
    <t>安塞尔攻击</t>
  </si>
  <si>
    <t>安塞尔技能</t>
  </si>
  <si>
    <t>罗德岛,行动组A4,雷姆必拓,远程</t>
  </si>
  <si>
    <t>恢复友方单位生命</t>
  </si>
  <si>
    <t>{"附加治疗":"有18%的几率额外治疗一名友方单位"}</t>
  </si>
  <si>
    <t>hibisc</t>
  </si>
  <si>
    <t>芙蓉攻击,三星被动加攻击</t>
  </si>
  <si>
    <t>治疗强化1</t>
  </si>
  <si>
    <t>罗德岛,行动组A1,维多利亚,远程</t>
  </si>
  <si>
    <t>{"治疗力提升":"攻击力+8%"}</t>
  </si>
  <si>
    <t>lava</t>
  </si>
  <si>
    <t>炎熔攻击,炎熔部署回技力</t>
  </si>
  <si>
    <t>攻速强化1</t>
  </si>
  <si>
    <t>扩散术师</t>
  </si>
  <si>
    <t>攻击造成群体法术伤害</t>
  </si>
  <si>
    <t>{"快速技能使用":"部署后立即获得30点技力"}</t>
  </si>
  <si>
    <t>adnach</t>
  </si>
  <si>
    <t>安德切尔攻击,安德切尔被动加攻速</t>
  </si>
  <si>
    <t>罗德岛,行动组A4,拉特兰,远程</t>
  </si>
  <si>
    <t>{"短板突破":"攻击速度+8，优先攻击使用远程武器的敌人"}</t>
  </si>
  <si>
    <t>kroos</t>
  </si>
  <si>
    <t>124</t>
  </si>
  <si>
    <t>克洛斯攻击</t>
  </si>
  <si>
    <t>克洛斯技能</t>
  </si>
  <si>
    <t>罗德岛,行动组A1,雷姆必拓,远程</t>
  </si>
  <si>
    <t>beagle</t>
  </si>
  <si>
    <t>米格鲁攻击,三星被动加防御</t>
  </si>
  <si>
    <t>防御提升1</t>
  </si>
  <si>
    <t>罗德岛,行动组A1,玻利瓦尔,近战</t>
  </si>
  <si>
    <t>{"防御提升":"防御力+10%"}</t>
  </si>
  <si>
    <t>ardign</t>
  </si>
  <si>
    <t>卡提攻击,三星被动加生命</t>
  </si>
  <si>
    <t>生命回复1</t>
  </si>
  <si>
    <t>罗德岛,行动组A4,莱塔尼亚,近战</t>
  </si>
  <si>
    <t>{"生命上限提升":"生命上限+12%"}</t>
  </si>
  <si>
    <t>melan</t>
  </si>
  <si>
    <t>char_208_melan</t>
  </si>
  <si>
    <t>玫兰沙攻击,三星被动加攻击</t>
  </si>
  <si>
    <t>罗德岛,行动组A4,维多利亚,近战</t>
  </si>
  <si>
    <t>能够阻挡一个敌人</t>
  </si>
  <si>
    <t>{"攻击提升":"攻击力+8%"}</t>
  </si>
  <si>
    <t>nights</t>
  </si>
  <si>
    <t>夜烟攻击</t>
  </si>
  <si>
    <t>攻击强化2,夜烟2技能</t>
  </si>
  <si>
    <t>维多利亚,远程</t>
  </si>
  <si>
    <t>{"黑色迷雾":"攻击使目标法术抗性90%-10%，持续1秒"}</t>
  </si>
  <si>
    <t>fmout</t>
  </si>
  <si>
    <t>远山攻击,远山被动</t>
  </si>
  <si>
    <t>攻速强化2,远山2</t>
  </si>
  <si>
    <t>萨米,远程</t>
  </si>
  <si>
    <t>{"占卜":"部署后随机永久获得下列一项增益：攻击力直接乘算里属于叠加，并非叠乘7%+7%；攻击速度7+7；生命上限直接乘算里属于叠加，并非叠乘12%+12%"}</t>
  </si>
  <si>
    <t>jesica</t>
  </si>
  <si>
    <t>杰西卡攻击</t>
  </si>
  <si>
    <t>杰西卡强力击,杰西卡2</t>
  </si>
  <si>
    <t>哥伦比亚,黑钢国际,维多利亚,远程</t>
  </si>
  <si>
    <t>{"快速弹匣":"攻击速度+6"}</t>
  </si>
  <si>
    <t>shotst</t>
  </si>
  <si>
    <t>流星攻击</t>
  </si>
  <si>
    <t>流星碎甲击,流星碎甲击2</t>
  </si>
  <si>
    <t>卡西米尔,远程</t>
  </si>
  <si>
    <t>{"空射专精":"攻击飞行目标时，攻击力+20%"}</t>
  </si>
  <si>
    <t>yuki</t>
  </si>
  <si>
    <t>白雪攻击,白雪被动</t>
  </si>
  <si>
    <t>白雪1,白雪2</t>
  </si>
  <si>
    <t>东,远程</t>
  </si>
  <si>
    <t>{"重型手里剑":"攻击间隔略微增大0.2(+0.2)，但攻击力直接乘算里属于叠加，并非叠乘20%+20%"}</t>
  </si>
  <si>
    <t>doberm</t>
  </si>
  <si>
    <t>杜宾攻击,杜宾被动</t>
  </si>
  <si>
    <t>杜宾强力击,杜宾2自身</t>
  </si>
  <si>
    <t>教官</t>
  </si>
  <si>
    <t>罗德岛,玻利瓦尔,近战</t>
  </si>
  <si>
    <t>可以攻击到较远敌人，攻击自身未阻挡的敌人时攻击力提升至120%</t>
  </si>
  <si>
    <t>{"新人教官":"在场时，[注 1]所有三星干员的攻击力直接乘算里属于叠加，并非叠乘5%+5%"}</t>
  </si>
  <si>
    <t>gyuki</t>
  </si>
  <si>
    <t>缠丸攻击,缠丸被动</t>
  </si>
  <si>
    <t>生命回复2,缠丸2</t>
  </si>
  <si>
    <t>东,近战</t>
  </si>
  <si>
    <t>{"恶鬼体质":"防御力直接乘算里属于叠加，并非叠乘(-20%)-20%，但最大生命值直接乘算里属于叠加，并非叠乘20%+20%"}</t>
  </si>
  <si>
    <t>frostl</t>
  </si>
  <si>
    <t>霜叶远攻,霜叶攻击</t>
  </si>
  <si>
    <t>霜叶强力击,霜叶2远攻</t>
  </si>
  <si>
    <t>罗德岛,哥伦比亚,近战</t>
  </si>
  <si>
    <t>{"掩护打击":"攻击范围扩大，但攻击间隔略微增大0.15(+0.15s)"}</t>
  </si>
  <si>
    <t>estell</t>
  </si>
  <si>
    <t>艾丝黛尔</t>
  </si>
  <si>
    <t>艾斯黛尔攻击,艾斯黛尔被动</t>
  </si>
  <si>
    <t>攻击强化2,艾斯黛尔2</t>
  </si>
  <si>
    <t>萨尔贡,近战</t>
  </si>
  <si>
    <t>{"自愈能力":"周围8格内有敌人倒下时，恢复自身最大生命值7%的生命"}</t>
  </si>
  <si>
    <t>frncat</t>
  </si>
  <si>
    <t>慕斯攻击,慕斯连击</t>
  </si>
  <si>
    <t>慕斯强力击,慕斯2</t>
  </si>
  <si>
    <t>术战者</t>
  </si>
  <si>
    <t>维多利亚,近战</t>
  </si>
  <si>
    <t>{"连击":"攻击时有10%的几率连续攻击两次"}</t>
  </si>
  <si>
    <t>gravel</t>
  </si>
  <si>
    <t>砾攻击,砾被动</t>
  </si>
  <si>
    <t>砾1,砾2</t>
  </si>
  <si>
    <t>特种</t>
  </si>
  <si>
    <t>处决者</t>
  </si>
  <si>
    <t>卡西米尔,近战</t>
  </si>
  <si>
    <t>再部署时间大幅度减少</t>
  </si>
  <si>
    <t>{"快速部署":"自身部署费用(-1)-1"}</t>
  </si>
  <si>
    <t>rope</t>
  </si>
  <si>
    <t>暗锁攻击,暗锁被动闪避</t>
  </si>
  <si>
    <t>暗锁拉人,暗锁主动拉人</t>
  </si>
  <si>
    <t>全地形</t>
  </si>
  <si>
    <t>钩索师</t>
  </si>
  <si>
    <t>炎,龙门,雷姆必拓,近战</t>
  </si>
  <si>
    <t>技能可以使敌人产生位移可以放置于远程位</t>
  </si>
  <si>
    <t>{"听觉训练":"获得34%（+4%）的物理闪避"}</t>
  </si>
  <si>
    <t>Skill_Start,Skill_Loop,Skill_End</t>
  </si>
  <si>
    <t>sqrrel</t>
  </si>
  <si>
    <t>阿消攻击,阿消被动魔防</t>
  </si>
  <si>
    <t>阿消推人,阿消主动推人</t>
  </si>
  <si>
    <t>推击手</t>
  </si>
  <si>
    <t>炎,龙门,近战</t>
  </si>
  <si>
    <t>同时攻击阻挡的所有敌人可以放置于远程位</t>
  </si>
  <si>
    <t>{"防火护服":"法术抗性7+7"}</t>
  </si>
  <si>
    <t>myrrh</t>
  </si>
  <si>
    <t>末药攻击,末药被动</t>
  </si>
  <si>
    <t>末药1,末药2</t>
  </si>
  <si>
    <t>{"急救包":"部署后立刻恢复全体友方单位的生命值，恢复量为末药攻击力的100%"}</t>
  </si>
  <si>
    <t>ccheal</t>
  </si>
  <si>
    <t>嘉维尔攻击,嘉维尔被动</t>
  </si>
  <si>
    <t>嘉维尔1,嘉维尔2</t>
  </si>
  <si>
    <t>{"战地医师":"部署后全体友方【医疗】职业干员攻击力直接乘算里属于叠加，并非叠乘5%+5%，防御力50+50，持续15秒"}</t>
  </si>
  <si>
    <t>flower</t>
  </si>
  <si>
    <t>调香师攻击,调香师被动</t>
  </si>
  <si>
    <t>治疗强化2,调香师2</t>
  </si>
  <si>
    <t>群愈师</t>
  </si>
  <si>
    <t>罗德岛,米诺斯,远程</t>
  </si>
  <si>
    <t>同时恢复三个友方单位的生命</t>
  </si>
  <si>
    <t>{"熏衣草":"在战场时全体友方单位每秒恢复相当于调香师攻击力3%的生命"}</t>
  </si>
  <si>
    <t>yak</t>
  </si>
  <si>
    <t>角峰攻击,角峰被动</t>
  </si>
  <si>
    <t>角峰1,角峰2</t>
  </si>
  <si>
    <t>谢拉格,喀兰贸易,近战</t>
  </si>
  <si>
    <t>{"雪原卫士":"法术抗性7+7"}</t>
  </si>
  <si>
    <t>snakek</t>
  </si>
  <si>
    <t>蛇屠箱攻击,蛇屠箱被动</t>
  </si>
  <si>
    <t>防御提升2,蛇屠箱2</t>
  </si>
  <si>
    <t>哥伦比亚,近战</t>
  </si>
  <si>
    <t>{"防御专精":"防御力直接乘算里属于叠加，并非叠乘6%+6%"}</t>
  </si>
  <si>
    <t>sunbr</t>
  </si>
  <si>
    <t>古米攻击</t>
  </si>
  <si>
    <t>古米1,古米2</t>
  </si>
  <si>
    <t>乌萨斯,乌萨斯学生自治团,近战</t>
  </si>
  <si>
    <t>{"平底锅专精":"攻击时，10%几率当次攻击的攻击力提升至150%，并晕眩无法移动、阻挡、攻击及使用技能敌人0.5秒"}</t>
  </si>
  <si>
    <t>deepcl</t>
  </si>
  <si>
    <t>深海色攻击,获得触手,深海色天赋</t>
  </si>
  <si>
    <t>深海色1,深海色2</t>
  </si>
  <si>
    <t>召唤师</t>
  </si>
  <si>
    <t>阿戈尔,远程</t>
  </si>
  <si>
    <t>攻击造成法术伤害可以使用召唤物协助作战</t>
  </si>
  <si>
    <t>{"召唤触手":"可以使用两个触手召唤物来协助作战"}</t>
  </si>
  <si>
    <t>触手</t>
  </si>
  <si>
    <t>110</t>
  </si>
  <si>
    <t>token_10001_deepcl_tentacle</t>
  </si>
  <si>
    <t>斑点攻击,通用绝食</t>
  </si>
  <si>
    <t>头像_召唤物_触手</t>
  </si>
  <si>
    <t>召唤物,近战</t>
  </si>
  <si>
    <t>skgoat</t>
  </si>
  <si>
    <t>地灵攻击</t>
  </si>
  <si>
    <t>攻击强化2,地灵2</t>
  </si>
  <si>
    <t>莱塔尼亚,远程</t>
  </si>
  <si>
    <t>{"地质勘探":"略微延长特性停顿移动速度降低80%的持续时间(+0.1)"}</t>
  </si>
  <si>
    <t>plosis</t>
  </si>
  <si>
    <t>白面鸮攻击,白面鸮被动</t>
  </si>
  <si>
    <t>治疗强化3,白面鸮2</t>
  </si>
  <si>
    <t>哥伦比亚,莱茵生命,远程</t>
  </si>
  <si>
    <t>{"技力光环":"在场时所有友方单位的技力自然回复速度0.15+0.15/秒（同类效果取最高）"}</t>
  </si>
  <si>
    <t>franka</t>
  </si>
  <si>
    <t>芙兰卡攻击,芙兰卡被动</t>
  </si>
  <si>
    <t>迅捷打击3,芙兰卡2攻击</t>
  </si>
  <si>
    <t>哥伦比亚,黑钢国际,近战</t>
  </si>
  <si>
    <t>{"铝热剑":"攻击时有10%的几率无视目标的防御"}</t>
  </si>
  <si>
    <t>tiger</t>
  </si>
  <si>
    <t>因陀罗攻击,因陀罗被动攻击</t>
  </si>
  <si>
    <t>因陀罗1,因陀罗2攻击</t>
  </si>
  <si>
    <t>斗士</t>
  </si>
  <si>
    <t>维多利亚,格拉斯哥帮</t>
  </si>
  <si>
    <t>{"虎拳迅击 ":"有33%（+3%）的概率闪避敌人的近战物理攻击，成功闪避后自己的下一次攻击攻击力+100%"}</t>
  </si>
  <si>
    <t>whitew</t>
  </si>
  <si>
    <t>拉普兰德远攻</t>
  </si>
  <si>
    <t>拉普兰德1,拉普兰德2</t>
  </si>
  <si>
    <t>叙拉古,近战</t>
  </si>
  <si>
    <t>{"精神摧毁":"攻击使目标的特殊能力失效，持续1秒"}</t>
  </si>
  <si>
    <t>幽灵鲨攻击,幽灵鲨被动</t>
  </si>
  <si>
    <t>攻击强化3,幽灵鲨2buff</t>
  </si>
  <si>
    <t>阿戈尔,深海猎人,近战</t>
  </si>
  <si>
    <t>{"体力上限提升":"生命上限直接乘算里属于叠加，并非叠乘10%+10%"}</t>
  </si>
  <si>
    <t>bluep</t>
  </si>
  <si>
    <t>蓝毒攻击</t>
  </si>
  <si>
    <t>蓝毒1,蓝毒2</t>
  </si>
  <si>
    <t>伊比利亚,远程</t>
  </si>
  <si>
    <t>{"神经毒素":"攻击使目标中毒，在3秒内每秒受到30点法术伤害"}</t>
  </si>
  <si>
    <t>platnm</t>
  </si>
  <si>
    <t>白金攻击</t>
  </si>
  <si>
    <t>攻击强化3,白金2</t>
  </si>
  <si>
    <t>{"蓄力攻击":"距离上次攻击的间隔越长，下次攻击的攻击力就越高（最长2.5秒，攻击力140%）"}</t>
  </si>
  <si>
    <t>meteo</t>
  </si>
  <si>
    <t>陨星攻击</t>
  </si>
  <si>
    <t>陨星1,陨星2</t>
  </si>
  <si>
    <t>罗德岛,卡兹戴尔,远程</t>
  </si>
  <si>
    <t>{"爆破附着改装":"普通攻击和技能释放时，15%几率当次攻击的攻击力直接乘算里属于叠加，并非叠乘60%+60%"}</t>
  </si>
  <si>
    <t>amiya</t>
  </si>
  <si>
    <t>002</t>
  </si>
  <si>
    <t>阿米娅攻击,阿米娅被动</t>
  </si>
  <si>
    <t>攻速强化3,阿米娅2,阿米娅3</t>
  </si>
  <si>
    <t>罗德岛,雷姆必拓,远程</t>
  </si>
  <si>
    <t>{"？？？":"？？？？？"}</t>
  </si>
  <si>
    <t>skfire</t>
  </si>
  <si>
    <t>166</t>
  </si>
  <si>
    <t>天火攻击,天火被动</t>
  </si>
  <si>
    <t>攻击强化3,天火2</t>
  </si>
  <si>
    <t>{"法术狙击":"在场时，所有被阻挡的敌人受到法术伤害时提升7%"}</t>
  </si>
  <si>
    <t>otter</t>
  </si>
  <si>
    <t>242</t>
  </si>
  <si>
    <t>梅尔攻击,获得机械水濑</t>
  </si>
  <si>
    <t>梅尔1,梅尔2</t>
  </si>
  <si>
    <t>{"机械水獭":"可以使用3个机械水獭召唤物。被机械水獭阻挡的敌人[注 1]攻击速度(-10)-10"}</t>
  </si>
  <si>
    <t>Skill</t>
  </si>
  <si>
    <t>机械水濑</t>
  </si>
  <si>
    <t>token_10004_otter_motter</t>
  </si>
  <si>
    <t>机械水濑攻击,机械水濑1,通用绝食</t>
  </si>
  <si>
    <t>头像_召唤物_机械水獭</t>
  </si>
  <si>
    <t>nearl</t>
  </si>
  <si>
    <t>临光攻击,临光被动</t>
  </si>
  <si>
    <t>临光1,临光2</t>
  </si>
  <si>
    <t>使徒,卡西米尔,近战</t>
  </si>
  <si>
    <t>{"医疗效果大提升":"自身医疗效果提高10%"}</t>
  </si>
  <si>
    <t>silent</t>
  </si>
  <si>
    <t>赫默攻击,赫默被动</t>
  </si>
  <si>
    <t>治疗强化3,获得医疗探机</t>
  </si>
  <si>
    <t>{"强化注射":"在场时，所有友方【医疗】职业干员攻速6+6"}</t>
  </si>
  <si>
    <t>支援探机</t>
  </si>
  <si>
    <t>token_10000_silent_healrb</t>
  </si>
  <si>
    <t>探机攻击,探机无敌</t>
  </si>
  <si>
    <t>头像_召唤物_医疗探机</t>
  </si>
  <si>
    <t>召唤物,近战,远程</t>
  </si>
  <si>
    <t>bldsk</t>
  </si>
  <si>
    <t>华法琳攻击,华法琳被动</t>
  </si>
  <si>
    <t>华法琳1,华法琳2</t>
  </si>
  <si>
    <t>{"血液样本回收":"攻击范围内有敌人倒下时，为自身和范围内随机一名友方单位回复1点技力"}</t>
  </si>
  <si>
    <t>red</t>
  </si>
  <si>
    <t>红攻击,测试被动</t>
  </si>
  <si>
    <t>红1,红2</t>
  </si>
  <si>
    <t>罗德岛,S.W.E.E.P,近战</t>
  </si>
  <si>
    <t>{"刺骨":"每次攻击至少造成20%攻击力的伤害"}</t>
  </si>
  <si>
    <t>liskam</t>
  </si>
  <si>
    <t>char_107_liskarm</t>
  </si>
  <si>
    <t>雷蛇攻击,雷蛇被动</t>
  </si>
  <si>
    <t>雷蛇1,雷蛇2</t>
  </si>
  <si>
    <t>{"战术防御":"受到攻击时，回复自己和周围一格内随机一名友方角色1点技力","雷抗 ":"法术抗性+13（+3）"}</t>
  </si>
  <si>
    <t>moeshd</t>
  </si>
  <si>
    <t>可颂攻击,可颂被动</t>
  </si>
  <si>
    <t>可颂1,可颂2</t>
  </si>
  <si>
    <t>炎,龙门,企鹅物流,米诺斯,近战</t>
  </si>
  <si>
    <t>{"奇迹力场":"有10%的几率闪避[注 1]物理和法术伤害。周围四格内的友方单位获得一半该效果"}</t>
  </si>
  <si>
    <t>hpsts</t>
  </si>
  <si>
    <t>火神攻击,通用绝食</t>
  </si>
  <si>
    <t>火神1,火神2</t>
  </si>
  <si>
    <t>不屈者</t>
  </si>
  <si>
    <t>米诺斯,近战</t>
  </si>
  <si>
    <t>无法被友方角色治疗</t>
  </si>
  <si>
    <t>{"自我防护":"技能开启时，每秒恢复最大生命值4%的生命"}</t>
  </si>
  <si>
    <t>prove</t>
  </si>
  <si>
    <t>普罗旺斯攻击</t>
  </si>
  <si>
    <t>普罗旺斯1,普罗旺斯攻击2</t>
  </si>
  <si>
    <t>重射手</t>
  </si>
  <si>
    <t>叙拉古,远程</t>
  </si>
  <si>
    <t>高精度的近距离射击</t>
  </si>
  <si>
    <t>{"狩猎箭头":"攻击时，20%几率当次攻击的攻击力提升至140%。当敌人在正前方一格时，该几率提升到50%"}</t>
  </si>
  <si>
    <t>milu</t>
  </si>
  <si>
    <t>守林人攻击</t>
  </si>
  <si>
    <t>守林人1,守林人2</t>
  </si>
  <si>
    <t>优先攻击攻击范围内防御力最低的敌方单位</t>
  </si>
  <si>
    <t>{"暗杀者":"攻击使用远程武器的敌人时，攻击力提升至120%"}</t>
  </si>
  <si>
    <t>slchan</t>
  </si>
  <si>
    <t>崖心攻击,崖心被动,深海色天赋</t>
  </si>
  <si>
    <t>崖心拉人,崖心主动拉人</t>
  </si>
  <si>
    <t>{"雪境猎手":"未阻挡敌人时，攻击力和防御力各直接乘算里属于叠加，并非叠乘6%+6%"}</t>
  </si>
  <si>
    <t>slbell</t>
  </si>
  <si>
    <t>初雪攻击,初雪被动</t>
  </si>
  <si>
    <t>初雪1,初雪2</t>
  </si>
  <si>
    <t>削弱者</t>
  </si>
  <si>
    <t>谢拉格,喀兰贸易,远程</t>
  </si>
  <si>
    <t>{"虚弱化":"攻击范围内的敌人生命少于40%时，令其获得15%的脆弱受到的所有伤害提升相应比例（同名效果取最高）效果","双响":"攻击时同时攻击两个目标"}</t>
  </si>
  <si>
    <t>glassb</t>
  </si>
  <si>
    <t>真理攻击,真理被动</t>
  </si>
  <si>
    <t>真理1,真理2</t>
  </si>
  <si>
    <t>乌萨斯,乌萨斯学生自治团,远程</t>
  </si>
  <si>
    <t>{"探知者":"防御力直接乘算里属于叠加，并非叠乘(-35%)-35%，但攻击速度18+18"}</t>
  </si>
  <si>
    <t>sora</t>
  </si>
  <si>
    <t>空攻击,空被动</t>
  </si>
  <si>
    <t>空1,空2</t>
  </si>
  <si>
    <t>吟游者</t>
  </si>
  <si>
    <t>炎,龙门,企鹅物流,远程</t>
  </si>
  <si>
    <t>不攻击，持续恢复范围内所有友军生命（每秒相当于自身攻击力10%的生命），自身不受鼓舞影响，攻击范围内存在2名及以上其他干员时，攻击力+8%（不受技能影响）</t>
  </si>
  <si>
    <t>{"安可":"技能结束后，60%几率立即回复60%的最大技力"}</t>
  </si>
  <si>
    <t>mantic</t>
  </si>
  <si>
    <t>狮蝎攻击,狮蝎被动,狮蝎隐身</t>
  </si>
  <si>
    <t>狮蝎1攻击,狮蝎2攻击</t>
  </si>
  <si>
    <t>伏击客</t>
  </si>
  <si>
    <t>对攻击范围内所有敌人造成伤害拥有50%的物理和法术闪避且不容易成为敌人的攻击目标</t>
  </si>
  <si>
    <t>{"隐匿的杀手·中级":"平时处于不可选中状态，攻击时会解除不可选中状态，且当次攻击的攻击力直接乘算里属于叠加，并非叠乘25%+25%。停止攻击6秒后，重新进入不可选中状态"}</t>
  </si>
  <si>
    <t>panda</t>
  </si>
  <si>
    <t>食铁兽攻击,食铁兽被动</t>
  </si>
  <si>
    <t>食铁兽推人,食铁兽主动推人</t>
  </si>
  <si>
    <t>{"功夫":"获得20%的物理闪避"}</t>
  </si>
  <si>
    <t>银灰1</t>
  </si>
  <si>
    <t>svrash</t>
  </si>
  <si>
    <t>172</t>
  </si>
  <si>
    <t>银灰远攻,银灰攻击,银灰减再部署1,银灰反隐</t>
  </si>
  <si>
    <t>银灰强力击1,银灰雪境切换1,真银斩1</t>
  </si>
  <si>
    <t>{"领袖 ":"编入队伍时，攻击力+12%（+2%），所有干员的再部署时间-12%（+2%）","鹰眼视觉":"攻击范围内敌人的隐匿效果失效"}</t>
  </si>
  <si>
    <t>银灰2</t>
  </si>
  <si>
    <t>银灰远攻,银灰攻击,银灰减再部署,银灰反隐</t>
  </si>
  <si>
    <t>银灰强力击,银灰雪境切换,真银斩</t>
  </si>
  <si>
    <t>surtr</t>
  </si>
  <si>
    <t>350</t>
  </si>
  <si>
    <t>42攻击,42锁血</t>
  </si>
  <si>
    <t>42强力击,42融核巨影,42黄昏启动</t>
  </si>
  <si>
    <t>211,-100,1500,1500</t>
  </si>
  <si>
    <t>{"熔火":"无视攻击目标22（+2）法术抗性","余烬":"受到致命伤害时持续使生命值不低于1，9（+1）秒后强制退出战场"}</t>
  </si>
  <si>
    <t>kalts</t>
  </si>
  <si>
    <t>003</t>
  </si>
  <si>
    <t>凯尔希攻击,获得m3,阻止m3降防</t>
  </si>
  <si>
    <t>凯尔希加固,凯尔希协同,凯尔希融毁</t>
  </si>
  <si>
    <t>{"Mon3tr":"可以使用并治疗Mon3tr，拥有25秒再部署时间，优先治疗自身和Mon3tr；Mon3tr不在凯尔希攻击范围内时防御力降至0","不毁重构":"Mon3tr在被击倒后（不包括撤退）使周围8格内所有敌人晕眩3.5（+0.5）秒并对其造成1400（+200）点真实伤害"}</t>
  </si>
  <si>
    <t>Mon3tr</t>
  </si>
  <si>
    <t>token_10002_kalts_mon3tr</t>
  </si>
  <si>
    <t>C_Body_I</t>
  </si>
  <si>
    <t>m3攻击,m3降防,m3协同攻击,m3融毁攻击,m3死亡自爆,m3绝食</t>
  </si>
  <si>
    <t>头像_召唤物_Mon3tr</t>
  </si>
  <si>
    <t>thorns</t>
  </si>
  <si>
    <t>293</t>
  </si>
  <si>
    <t>棘刺远攻,棘刺被动回血</t>
  </si>
  <si>
    <t>攻击强化3,棘刺进入防御,棘刺至高Buff</t>
  </si>
  <si>
    <t>伊比利亚,近战</t>
  </si>
  <si>
    <t>{"神经腐蚀 ":"攻击使目标中毒，在3秒内每秒受到140（+15）点法术伤害（对会远程攻击的目标伤害加倍","故土潮声":"如果2秒内没有主动攻击过，每秒恢复最大生命4%（+0.5%）的生命"}</t>
  </si>
  <si>
    <t>Skill2_2</t>
  </si>
  <si>
    <t>angel</t>
  </si>
  <si>
    <t>103</t>
  </si>
  <si>
    <t>能天使攻击,能天使被动加攻速,能天使自己祝福,能天使队友祝福</t>
  </si>
  <si>
    <t>能天使强力击,能天使扫射,能天使过载</t>
  </si>
  <si>
    <t>{"快速弹匣 ":"攻击速度+15（+3）","天使的祝福":"攻击力+8%（+2%），生命上限+13%（+3%）。置入战场后这个效果会同样赋予给一名随机友方单位"}</t>
  </si>
  <si>
    <t>ifrit</t>
  </si>
  <si>
    <t>134</t>
  </si>
  <si>
    <t>小火龙攻击,小火龙被动减魔抗,小火龙被动加技力</t>
  </si>
  <si>
    <t>小火龙buff,小火龙炎爆,小火龙灼地</t>
  </si>
  <si>
    <t>轰击术士</t>
  </si>
  <si>
    <t>攻击造成超远距离的群体法术伤害</t>
  </si>
  <si>
    <t>{"精神融解":"攻击范围内的敌军法术抗性-44%（+4%）","莱茵回路":"每5.5（-0.5）秒额外回复2点技力"}</t>
  </si>
  <si>
    <t>amgoat</t>
  </si>
  <si>
    <t>180</t>
  </si>
  <si>
    <t>羊攻击,羊炎息,羊乱火</t>
  </si>
  <si>
    <t>羊buff,羊点燃,羊火山</t>
  </si>
  <si>
    <t>{"炎息":"在场时，所有友方【术师】职业干员的攻击力+16%（+2%）","乱火":"部署后立即随机获得较多（10~19）的技力"}</t>
  </si>
  <si>
    <t>aglina</t>
  </si>
  <si>
    <t>291</t>
  </si>
  <si>
    <t>洁哥攻击,洁哥加速,洁哥治疗</t>
  </si>
  <si>
    <t>洁哥buff,洁哥微粒,洁哥反重力</t>
  </si>
  <si>
    <t>{"加速力场 ":"在场时全场友方单位攻速+8（+1）","兼职工作":"技能未开启时，全场友方单位每秒回复25（+5）点生命"}</t>
  </si>
  <si>
    <t>shining</t>
  </si>
  <si>
    <t>147</t>
  </si>
  <si>
    <t>闪灵攻击,闪灵被动加防,闪灵被动加攻速</t>
  </si>
  <si>
    <t>闪灵信条,闪灵掩护,闪灵教条</t>
  </si>
  <si>
    <t>使徒,卡兹戴尔,远程</t>
  </si>
  <si>
    <t>{"黑恶魔的庇护 ":"攻击范围内的友方单位防御力+65（+5）","法典":"攻击速度+13（+3）"}</t>
  </si>
  <si>
    <t>cgbird</t>
  </si>
  <si>
    <t>179</t>
  </si>
  <si>
    <t>夜莺攻击,夜莺被动加防,获得鸟笼</t>
  </si>
  <si>
    <t>治疗强化3,夜莺护盾,夜莺圣域</t>
  </si>
  <si>
    <t>icon_cgbird</t>
  </si>
  <si>
    <t>half_cgbird</t>
  </si>
  <si>
    <t>{"白恶魔的庇护":"攻击范围内的友方单位法术抗性+17（+2）","转瞬即逝的幻影":"可以使用幻影。幻影无法攻击和阻挡敌人，拥有75法术抗性，30%的物理闪避，并且更容易吸引敌人的攻击，同时每秒流失3%的最大生命"}</t>
  </si>
  <si>
    <t>幻影</t>
  </si>
  <si>
    <t>10003</t>
  </si>
  <si>
    <t>token_10003_cgbird_bird</t>
  </si>
  <si>
    <t>鸟笼</t>
  </si>
  <si>
    <t>鸟笼攻击,鸟笼绝食</t>
  </si>
  <si>
    <t>头像_召唤物_幻影</t>
  </si>
  <si>
    <t>星熊</t>
  </si>
  <si>
    <t>hsguma</t>
  </si>
  <si>
    <t>136</t>
  </si>
  <si>
    <t>星熊攻击,星熊被动闪避,星熊加防</t>
  </si>
  <si>
    <t>星熊战意,星熊反击,星熊锯</t>
  </si>
  <si>
    <t>炎,龙门,龙门近卫局,近战</t>
  </si>
  <si>
    <t>{"战术装甲":"获得28%（+3%）几率的全伤害抵挡","特种作战策略 ":" 在场时，所有友方【重装】职业干员的防御力提升8%（+2%）"}</t>
  </si>
  <si>
    <t>demkni</t>
  </si>
  <si>
    <t>202</t>
  </si>
  <si>
    <t>塞雷娅攻击,塞雷娅充能服</t>
  </si>
  <si>
    <t>塞雷娅急救,塞雷娅药物配置,塞雷娅钙质化</t>
  </si>
  <si>
    <t>哥伦比亚,莱茵生命,近战</t>
  </si>
  <si>
    <t>{"莱茵充能护服 ":"每在场上停留20秒，攻击力+6%（+1%），防御力+5%（+1%），最多叠加5层","精神回复":"每次回复友方单位生命值时额外回复该单位1点技力"}</t>
  </si>
  <si>
    <t>Skill_Begin,Skill_Loop,Skill_End</t>
  </si>
  <si>
    <t>f12yin</t>
  </si>
  <si>
    <t>264</t>
  </si>
  <si>
    <t>山攻击,山暴击攻击,山被动</t>
  </si>
  <si>
    <t>山1,山2切换</t>
  </si>
  <si>
    <t>{"巨力重拳":"攻击时有20%的几率攻击力提升至165%，并在3秒内使目标攻击力降低15%（不可叠加）","强壮肉体":"防御力+10%，获得15%的物理闪避"}</t>
  </si>
  <si>
    <t>箱子</t>
  </si>
  <si>
    <t>测试冲击装置</t>
  </si>
  <si>
    <t>箱子放置,装置地块可通行</t>
  </si>
  <si>
    <t>头像_装置_障碍物</t>
  </si>
  <si>
    <t>设置障碍，改变敌人的行进路线。</t>
  </si>
  <si>
    <t>Stun</t>
  </si>
  <si>
    <t>#地图</t>
  </si>
  <si>
    <t>红门</t>
  </si>
  <si>
    <t>中立单位</t>
  </si>
  <si>
    <t>start</t>
  </si>
  <si>
    <t>装饰品</t>
  </si>
  <si>
    <t>空中侵入点</t>
  </si>
  <si>
    <t>蓝门</t>
  </si>
  <si>
    <t>end</t>
  </si>
  <si>
    <t>传送入口红</t>
  </si>
  <si>
    <t>传送口红</t>
  </si>
  <si>
    <t>传送入口黄</t>
  </si>
  <si>
    <t>传送口黄</t>
  </si>
  <si>
    <t>传送入口蓝</t>
  </si>
  <si>
    <t>传送口蓝</t>
  </si>
  <si>
    <t>传送入口绿</t>
  </si>
  <si>
    <t>传送口绿</t>
  </si>
  <si>
    <t>陷坑</t>
  </si>
  <si>
    <t>测试陷坑</t>
  </si>
  <si>
    <t>陷坑秒杀</t>
  </si>
  <si>
    <t>秒杀其上的单位</t>
  </si>
  <si>
    <t>冲击装置</t>
  </si>
  <si>
    <t>装置普通攻击</t>
  </si>
  <si>
    <t>装置范围攻击</t>
  </si>
  <si>
    <t>定时对周围造成伤害</t>
  </si>
  <si>
    <t>冰冻冲击装置</t>
  </si>
  <si>
    <t>冰晶装置</t>
  </si>
  <si>
    <t>冰冻装置范围攻击</t>
  </si>
  <si>
    <t>定时对周围添加冻气</t>
  </si>
  <si>
    <t>弩箭装置</t>
  </si>
  <si>
    <t>skin_ballis_default</t>
  </si>
  <si>
    <t>弩箭普通攻击</t>
  </si>
  <si>
    <t>向对应方向发射弩箭击中第一位干员</t>
  </si>
  <si>
    <t>玩家冲击装置</t>
  </si>
  <si>
    <t>skin_emp_chbo_a</t>
  </si>
  <si>
    <t>装置八格攻击,装置地块可通行</t>
  </si>
  <si>
    <t>玩家冲击装置爆炸</t>
  </si>
  <si>
    <t>手动触发对周围造成伤害和眩晕</t>
  </si>
  <si>
    <t>源石地板</t>
  </si>
  <si>
    <t>源石地板buff</t>
  </si>
  <si>
    <t>部署于其上的我军和经过的敌军在五分钟内\n每秒持续受到60真实伤害，攻击力提升50%，攻击速度增加50</t>
  </si>
  <si>
    <t>推力地板</t>
  </si>
  <si>
    <t>特种地板</t>
  </si>
  <si>
    <t>特种战术点</t>
  </si>
  <si>
    <t>推力强化</t>
  </si>
  <si>
    <t>部署其上的干员在推动或拉动敌方单位时力度增加一个等级</t>
  </si>
  <si>
    <t>封地板</t>
  </si>
  <si>
    <t>地板封印</t>
  </si>
  <si>
    <t>此地面将无法部署干员</t>
  </si>
  <si>
    <t>指挥终端</t>
  </si>
  <si>
    <t>装置普通攻击,破坏伤害,装置地块可通行,通用绝食</t>
  </si>
  <si>
    <t>消耗20点部署费用，防御力+200%，法术抗性+20，每秒回复10点生命，部署干员单位数+1</t>
  </si>
  <si>
    <t>源石祭坛</t>
  </si>
  <si>
    <t>源石祭坛攻击</t>
  </si>
  <si>
    <t>向四周喷发脉冲波，对周围所有我方与敌方单位造成500真实无类型伤害。并使特殊敌人获得强化。</t>
  </si>
  <si>
    <t>回血地板</t>
  </si>
  <si>
    <t>回血地板buff</t>
  </si>
  <si>
    <t>为放置在上面的单位回复其最大生命值一定比的血量</t>
  </si>
  <si>
    <t>防御地板</t>
  </si>
  <si>
    <t>防御地板buff</t>
  </si>
  <si>
    <t>为干员增加一定量防御</t>
  </si>
  <si>
    <t>降防地板</t>
  </si>
  <si>
    <t>减防地板</t>
  </si>
  <si>
    <t>降防地板buff</t>
  </si>
  <si>
    <t>上面的干员防御减半</t>
  </si>
  <si>
    <t>降防地板2</t>
  </si>
  <si>
    <t>减防地板2</t>
  </si>
  <si>
    <t>降防地板buff2</t>
  </si>
  <si>
    <t>上面的干员防御降低一半</t>
  </si>
  <si>
    <t>不可通行地块</t>
  </si>
  <si>
    <t>不可通行减速</t>
  </si>
  <si>
    <t>敌人走上会减速</t>
  </si>
  <si>
    <t>排气格栅</t>
  </si>
  <si>
    <t>排气格栅buff</t>
  </si>
  <si>
    <t>置于其中的干员不会成为敌军远程攻击的目标</t>
  </si>
  <si>
    <t>碎石</t>
  </si>
  <si>
    <t>装置地块可通行,通用绝食,箱子放置</t>
  </si>
  <si>
    <t>初始部署在场景中，改变敌人的行进路线</t>
  </si>
  <si>
    <t>崩解</t>
  </si>
  <si>
    <t>危朽</t>
  </si>
  <si>
    <t>箱子放置,装置地块可通行,死亡召唤崩解</t>
  </si>
  <si>
    <t>道路障碍（未实装）</t>
  </si>
  <si>
    <t>道路障碍</t>
  </si>
  <si>
    <t>装置地块可通行,通用绝食,平民减速</t>
  </si>
  <si>
    <t>enemy_1007_slime</t>
  </si>
  <si>
    <t>slime</t>
  </si>
  <si>
    <t>通用敌方近战攻击,shchmr激光出场</t>
  </si>
  <si>
    <t>普通,近战,感染生物</t>
  </si>
  <si>
    <t>野生的被感染生物。</t>
  </si>
  <si>
    <t>enemy_1007_slime_2</t>
  </si>
  <si>
    <t>源石虫·α</t>
  </si>
  <si>
    <t>野生的被感染生物，比一般源石虫更具有威胁。</t>
  </si>
  <si>
    <t>enemy_1007_slime_3</t>
  </si>
  <si>
    <t>slime_3</t>
  </si>
  <si>
    <t>源石虫·β</t>
  </si>
  <si>
    <t>野生的被感染生物，比源石虫·α更具有威胁。</t>
  </si>
  <si>
    <t>enemy_1004_mslime</t>
  </si>
  <si>
    <t>mslime</t>
  </si>
  <si>
    <t>酸液源石虫</t>
  </si>
  <si>
    <t>酸液虫攻击</t>
  </si>
  <si>
    <t>普通,远程,感染生物</t>
  </si>
  <si>
    <t>野生的被感染生物，且会使用分泌物腐蚀&lt;@eb.key&gt;降低攻击目标的防御力&lt;/&gt;。</t>
  </si>
  <si>
    <t>enemy_1004_mslime_2</t>
  </si>
  <si>
    <t>mslime_2</t>
  </si>
  <si>
    <t>酸液源石虫·α</t>
  </si>
  <si>
    <t>酸液虫攻击2</t>
  </si>
  <si>
    <t>比一般酸液源石虫更具有威胁，且会使用分泌物腐蚀&lt;@eb.key&gt;降低攻击目标的防御力&lt;/&gt;。</t>
  </si>
  <si>
    <t>enemy_1021_bslime</t>
  </si>
  <si>
    <t>bslime</t>
  </si>
  <si>
    <t>高能源石虫</t>
  </si>
  <si>
    <t>通用敌方近战攻击,高能虫死亡自爆</t>
  </si>
  <si>
    <t>野生的被感染生物，死亡后会产生&lt;@eb.danger&gt;爆炸&lt;/&gt;。</t>
  </si>
  <si>
    <t>enemy_1021_bslime_2</t>
  </si>
  <si>
    <t>bslime_2</t>
  </si>
  <si>
    <t>高能源石虫·α</t>
  </si>
  <si>
    <t>比一般高能源石虫更具有威胁，死亡后会产生&lt;@eb.danger&gt;爆炸&lt;/&gt;。</t>
  </si>
  <si>
    <t>enemy_1000_gopro</t>
  </si>
  <si>
    <t>整合运动技术侦察部队操纵的生物，&lt;@eb.key&gt;行动速度很快&lt;/&gt;。</t>
  </si>
  <si>
    <t>enemy_1000_gopro_2</t>
  </si>
  <si>
    <t>gopro_2</t>
  </si>
  <si>
    <t>猎狗pro</t>
  </si>
  <si>
    <t>比一般猎狗更具有作战能力，&lt;@eb.key&gt;行动速度很快&lt;/&gt;。</t>
  </si>
  <si>
    <t>enemy_1000_gopro_3</t>
  </si>
  <si>
    <t>gopro_3</t>
  </si>
  <si>
    <t>狂暴的猎狗pro</t>
  </si>
  <si>
    <t>比猎狗pro更具有作战能力，&lt;@eb.key&gt;行动速度很快&lt;/&gt;。</t>
  </si>
  <si>
    <t>enemy_1002_nsabr</t>
  </si>
  <si>
    <t>nsabr</t>
  </si>
  <si>
    <t>士兵</t>
  </si>
  <si>
    <t>普通,近战</t>
  </si>
  <si>
    <t>整合运动的基础近身作战人员。</t>
  </si>
  <si>
    <t>enemy_1003_ncbow</t>
  </si>
  <si>
    <t>ncbow</t>
  </si>
  <si>
    <t>弩手</t>
  </si>
  <si>
    <t>弩手攻击,通用敌方远程近战攻击</t>
  </si>
  <si>
    <t>普通,远程</t>
  </si>
  <si>
    <t>整合运动的基础射击作战人员，&lt;@eb.key&gt;使用远距离攻击&lt;/&gt;。</t>
  </si>
  <si>
    <t>Move_Loop</t>
  </si>
  <si>
    <t>enemy_1003_ncbow_2</t>
  </si>
  <si>
    <t>ncbow_2</t>
  </si>
  <si>
    <t>弩手组长</t>
  </si>
  <si>
    <t>相比一般弩手更具作战能力，&lt;@eb.key&gt;使用远距离攻击&lt;/&gt;。</t>
  </si>
  <si>
    <t>enemy_1011_wizard</t>
  </si>
  <si>
    <t>wizard</t>
  </si>
  <si>
    <t>术师</t>
  </si>
  <si>
    <t>术士远程攻击</t>
  </si>
  <si>
    <t>整合运动的基础法术作战人员，使用&lt;@eb.key&gt;远距离法术攻击&lt;/&gt;。</t>
  </si>
  <si>
    <t>enemy_1011_wizard_2</t>
  </si>
  <si>
    <t>wizard_2</t>
  </si>
  <si>
    <t>术师组长</t>
  </si>
  <si>
    <t>术士组长攻击</t>
  </si>
  <si>
    <t>相比一般术师更具作战能力，使用&lt;@eb.key&gt;远距离法术攻击&lt;/&gt;。</t>
  </si>
  <si>
    <t>enemy_1018_aoemag</t>
  </si>
  <si>
    <t>aoemag</t>
  </si>
  <si>
    <t>高阶术师</t>
  </si>
  <si>
    <t>高阶术士攻击</t>
  </si>
  <si>
    <t>精英,远程</t>
  </si>
  <si>
    <t>精英法术作战人员，擅长&lt;@eb.key&gt;远距离群体法术攻击&lt;/&gt;。其攻击会伤害目标周围的单位。</t>
  </si>
  <si>
    <t>enemy_1018_aoemag_2</t>
  </si>
  <si>
    <t>aoemag_2</t>
  </si>
  <si>
    <t>高阶术师组长</t>
  </si>
  <si>
    <t>擅长&lt;@eb.key&gt;远距离群体法术攻击&lt;/&gt;。其攻击会伤害目标周围的单位。</t>
  </si>
  <si>
    <t>enemy_1013_airdrp</t>
  </si>
  <si>
    <t>airdrp</t>
  </si>
  <si>
    <t>空降兵</t>
  </si>
  <si>
    <t>特殊近身作战人员，他们可以从出其不意的位置切入战场。</t>
  </si>
  <si>
    <t>enemy_1013_airdrp_2</t>
  </si>
  <si>
    <t>airdrp_2</t>
  </si>
  <si>
    <t>空降组长</t>
  </si>
  <si>
    <t>比空降兵更具威胁，他们可以从出其不意的位置切入战场。</t>
  </si>
  <si>
    <t>enemy_1024_mortar</t>
  </si>
  <si>
    <t>mortar</t>
  </si>
  <si>
    <t>特殊远程作战人员，能够进行&lt;@eb.key&gt;超远距离溅射攻击&lt;/&gt;。</t>
  </si>
  <si>
    <t>enemy_1024_mortar_2</t>
  </si>
  <si>
    <t>比一般炮手更具威胁，能够进行&lt;@eb.key&gt;超远距离溅射攻击&lt;/&gt;。</t>
  </si>
  <si>
    <t>enemy_1014_rogue</t>
  </si>
  <si>
    <t>rogue</t>
  </si>
  <si>
    <t>双持剑士</t>
  </si>
  <si>
    <t>整合运动的近身作战人员，以&lt;@eb.danger&gt;高攻击力&lt;/&gt;见长。</t>
  </si>
  <si>
    <t>enemy_1014_rogue_2</t>
  </si>
  <si>
    <t>rogue_2</t>
  </si>
  <si>
    <t>双持剑士组长</t>
  </si>
  <si>
    <t>比一般双持剑士更具威胁，以&lt;@eb.danger&gt;高攻击力&lt;/&gt;见长。</t>
  </si>
  <si>
    <t>enemy_1015_litamr</t>
  </si>
  <si>
    <t>整合运动的近身作战人员，他们有较高的&lt;@eb.key&gt;防御力&lt;/&gt;。</t>
  </si>
  <si>
    <t>enemy_1015_litamr_2</t>
  </si>
  <si>
    <t>比一般轻甲卫兵更具威胁，他们有较高的&lt;@eb.key&gt;防御力&lt;/&gt;。</t>
  </si>
  <si>
    <t>enemy_1006_shield</t>
  </si>
  <si>
    <t>精英,近战</t>
  </si>
  <si>
    <t>整合运动的近身作战人员，&lt;@eb.key&gt;防御力很高&lt;/&gt;且难以被击溃。</t>
  </si>
  <si>
    <t>enemy_1006_shield_2</t>
  </si>
  <si>
    <t>比一般重装防御者更具威胁，&lt;@eb.key&gt;防御力很高&lt;/&gt;且难以被击溃。</t>
  </si>
  <si>
    <t>enemy_1006_shield_3</t>
  </si>
  <si>
    <t>shield_3</t>
  </si>
  <si>
    <t>重装五十夫长</t>
  </si>
  <si>
    <t>领袖,近战</t>
  </si>
  <si>
    <t>重装防御者中的精英，比重装防御组长更具威胁，&lt;@eb.key&gt;防御力很高&lt;/&gt;且难以被击溃。</t>
  </si>
  <si>
    <t>enemy_1001_bigbo</t>
  </si>
  <si>
    <t>bigbo</t>
  </si>
  <si>
    <t>大鲍勃</t>
  </si>
  <si>
    <t>整合运动的特殊近战人员，使用电锯进行攻击，兼具&lt;@eb.danger&gt;高耐久、攻击力和防御力&lt;/&gt;。</t>
  </si>
  <si>
    <t>enemy_1001_bigbo_2</t>
  </si>
  <si>
    <t>bigbo_2</t>
  </si>
  <si>
    <t>大亚当</t>
  </si>
  <si>
    <t>比大鲍勃更具威胁，使用电锯进行攻击，兼具&lt;@eb.danger&gt;高耐久、攻击力和防御力&lt;/&gt;。</t>
  </si>
  <si>
    <t>enemy_1016_diaman</t>
  </si>
  <si>
    <t>diaman</t>
  </si>
  <si>
    <t>磐蟹</t>
  </si>
  <si>
    <t>野生的被感染生物，普通武器对其效果都不太理想，但是&lt;@eb.key&gt;重量&lt;/&gt;并没有想像的大。</t>
  </si>
  <si>
    <t>enemy_1009_lurker</t>
  </si>
  <si>
    <t>lurker</t>
  </si>
  <si>
    <t>潜伏者</t>
  </si>
  <si>
    <t>通用敌方近战攻击,敌人隐身</t>
  </si>
  <si>
    <t>整合运动的特殊作战人员，&lt;@eb.key&gt;在被阻挡前无法被攻击&lt;/&gt;。</t>
  </si>
  <si>
    <t>enemy_1008_ghost</t>
  </si>
  <si>
    <t>通用敌方近战攻击,敌人不可阻挡</t>
  </si>
  <si>
    <t>普通,不攻击</t>
  </si>
  <si>
    <t>擅长工程技术的人员，&lt;@eb.key&gt;无法被阻挡&lt;/&gt;，需要尽快清除。</t>
  </si>
  <si>
    <t>aghost</t>
  </si>
  <si>
    <t>比幽灵拥有更高的防御力和耐久，&lt;@eb.key&gt;无法被阻挡&lt;/&gt;，需要尽快清除。</t>
  </si>
  <si>
    <t>enemy_1005_yokai</t>
  </si>
  <si>
    <t>普通,不攻击,无人机</t>
  </si>
  <si>
    <t>&lt;@eb.key&gt;【飞行单位】&lt;/&gt;敌方人员操纵的无人机，不会进行攻击。</t>
  </si>
  <si>
    <t>enemy_1005_yokai_2</t>
  </si>
  <si>
    <t>yokai_2</t>
  </si>
  <si>
    <t>MK2攻击</t>
  </si>
  <si>
    <t>普通,远程,无人机</t>
  </si>
  <si>
    <t>&lt;@eb.key&gt;【飞行单位】&lt;/&gt;妖怪的改进版，可进行&lt;@eb.key&gt;远程物理射击&lt;/&gt;。</t>
  </si>
  <si>
    <t>enemy_1005_yokai_3</t>
  </si>
  <si>
    <t>yokai_3</t>
  </si>
  <si>
    <t>威龙</t>
  </si>
  <si>
    <t>精英,远程,无人机</t>
  </si>
  <si>
    <t>&lt;@eb.key&gt;【飞行单位】&lt;/&gt;大型无人机，拥有更好的耐久性能，可进行&lt;@eb.key&gt;远程物理射击&lt;/&gt;。</t>
  </si>
  <si>
    <t>enemy_1017_defdrn</t>
  </si>
  <si>
    <t>defdrn</t>
  </si>
  <si>
    <t>御4</t>
  </si>
  <si>
    <t>御4加防</t>
  </si>
  <si>
    <t>&lt;@eb.key&gt;【飞行单位】&lt;/&gt;无人机，能使周围敌军&lt;@eb.key&gt;防御力上升&lt;/&gt;。</t>
  </si>
  <si>
    <t>enemy_1019_jshoot</t>
  </si>
  <si>
    <t>jshoot</t>
  </si>
  <si>
    <t>隐形弩手</t>
  </si>
  <si>
    <t>弩手攻击,通用敌方远程近战攻击,敌人隐身</t>
  </si>
  <si>
    <t>射击作战人员，&lt;@eb.key&gt;在被阻挡前无法被攻击&lt;/&gt;。</t>
  </si>
  <si>
    <t>enemy_1019_jshoot_2</t>
  </si>
  <si>
    <t>jshoot_2</t>
  </si>
  <si>
    <t>隐形弩手组长</t>
  </si>
  <si>
    <t>比一般隐形弩手更具威胁，&lt;@eb.key&gt;在被阻挡前无法被攻击&lt;/&gt;。</t>
  </si>
  <si>
    <t>enemy_1023_jmage</t>
  </si>
  <si>
    <t>jmage</t>
  </si>
  <si>
    <t>隐形术师</t>
  </si>
  <si>
    <t>术士远程攻击,敌人隐身</t>
  </si>
  <si>
    <t>法术作战人员，&lt;@eb.key&gt;在被阻挡前无法被攻击&lt;/&gt;。</t>
  </si>
  <si>
    <t>enemy_1023_jmage_2</t>
  </si>
  <si>
    <t>比一般隐形术师更具威胁，&lt;@eb.key&gt;在被阻挡前无法被攻击&lt;/&gt;。</t>
  </si>
  <si>
    <t>enemy_1020_obsv</t>
  </si>
  <si>
    <t>obsv</t>
  </si>
  <si>
    <t>技术侦察兵</t>
  </si>
  <si>
    <t>通用敌方近战攻击,敌人隐身,反隐光环</t>
  </si>
  <si>
    <t>技术作战人员，会使周围我方的&lt;@eb.key&gt;隐匿效果失效&lt;/&gt;。</t>
  </si>
  <si>
    <t>enemy_1010_demon</t>
  </si>
  <si>
    <t>demon</t>
  </si>
  <si>
    <t>萨卡兹大剑手</t>
  </si>
  <si>
    <t>精英,近战,萨卡兹</t>
  </si>
  <si>
    <t>萨卡兹雇佣兵，拥有&lt;@eb.key&gt;较高攻击力和较高法术抗性&lt;/&gt;。</t>
  </si>
  <si>
    <t>enemy_1010_demon_2</t>
  </si>
  <si>
    <t>demon_2</t>
  </si>
  <si>
    <t>萨卡兹大剑组长</t>
  </si>
  <si>
    <t>比一般萨卡兹大剑手更具威胁，拥有&lt;@eb.key&gt;较高攻击力和较高法术抗性&lt;/&gt;。</t>
  </si>
  <si>
    <t>enemy_1012_dcross</t>
  </si>
  <si>
    <t>dcross</t>
  </si>
  <si>
    <t>萨卡兹狙击手</t>
  </si>
  <si>
    <t>萨卡兹狙击手攻击</t>
  </si>
  <si>
    <t>精英,远程,萨卡兹</t>
  </si>
  <si>
    <t>萨卡兹雇佣兵，拥有&lt;@eb.key&gt;较高攻击力和较高法术抗性&lt;/&gt;，且可以进行&lt;@eb.key&gt;远距离物理射击&lt;/&gt;。</t>
  </si>
  <si>
    <t>enemy_1012_dcross_2</t>
  </si>
  <si>
    <t>dcross_2</t>
  </si>
  <si>
    <t>萨卡兹狙击组长</t>
  </si>
  <si>
    <t>比一般萨卡兹狙击手更具威胁，拥有&lt;@eb.key&gt;较高攻击力和较高法术抗性&lt;/&gt;，且可以进行&lt;@eb.key&gt;远距离物理射击&lt;/&gt;。</t>
  </si>
  <si>
    <t>enemy_1022_dmage</t>
  </si>
  <si>
    <t>dmage</t>
  </si>
  <si>
    <t>萨卡兹术师</t>
  </si>
  <si>
    <t>萨卡兹术士攻击,萨卡兹术士束缚</t>
  </si>
  <si>
    <t>拥有&lt;@eb.key&gt;较高攻击力和法术抗性&lt;/&gt;。会使用&lt;@eb.key&gt;远距离法术攻击&lt;/&gt;，且能够使用&lt;@eb.key&gt;禁锢我方单位&lt;/&gt;的枷锁。</t>
  </si>
  <si>
    <t>enemy_1022_dmage_2</t>
  </si>
  <si>
    <t>dmage_2</t>
  </si>
  <si>
    <t>萨卡兹术师组长</t>
  </si>
  <si>
    <t>enemy_1501_demonk</t>
  </si>
  <si>
    <t>demonk</t>
  </si>
  <si>
    <t>萨卡兹百夫长</t>
  </si>
  <si>
    <t>萨卡兹百夫长攻击</t>
  </si>
  <si>
    <t>领袖,远程,萨卡兹</t>
  </si>
  <si>
    <t>整合运动干部。该敌人&lt;@eb.danger&gt;威胁很大&lt;/&gt;，&lt;@eb.danger&gt;难以被消灭&lt;/&gt;。</t>
  </si>
  <si>
    <t>enemy_1025_reveng</t>
  </si>
  <si>
    <t>该目标处于&lt;@eb.key&gt;低体力&lt;/&gt;时似乎会大幅度提升作战意志。</t>
  </si>
  <si>
    <t>enemy_1025_reveng_2</t>
  </si>
  <si>
    <t>enemy_1027_mob</t>
  </si>
  <si>
    <t>mob</t>
  </si>
  <si>
    <t>暴徒</t>
  </si>
  <si>
    <t>来路不明的作战人员，使用随意制作的武器进行近身攻击。</t>
  </si>
  <si>
    <t>enemy_1027_mob_2</t>
  </si>
  <si>
    <t>mob_2</t>
  </si>
  <si>
    <t>暴乱分子</t>
  </si>
  <si>
    <t>比一般暴徒更具威胁，使用随意制作的武器进行近身攻击。</t>
  </si>
  <si>
    <t>enemy_1028_mocock</t>
  </si>
  <si>
    <t>mocock</t>
  </si>
  <si>
    <t>鸡尾酒投掷者</t>
  </si>
  <si>
    <t>鸡尾酒投掷者攻击</t>
  </si>
  <si>
    <t>来路不明的作战人员，使用土制燃烧瓶进行&lt;@eb.key&gt;远程物理攻击&lt;/&gt;。</t>
  </si>
  <si>
    <t>enemy_1028_mocock_2</t>
  </si>
  <si>
    <t>mocock_2</t>
  </si>
  <si>
    <t>燃烧瓶投掷者</t>
  </si>
  <si>
    <t>比一般鸡尾酒投掷者更具威胁，使用土制燃烧瓶进行&lt;@eb.key&gt;远程物理攻击&lt;/&gt;。</t>
  </si>
  <si>
    <t>enemy_1029_shdsbr</t>
  </si>
  <si>
    <t>shdsbr</t>
  </si>
  <si>
    <t>持盾刀兵</t>
  </si>
  <si>
    <t>整合运动的近身作战人员，拥有简单的物理防护能力。</t>
  </si>
  <si>
    <t>enemy_1029_shdsbr_2</t>
  </si>
  <si>
    <t>shdsbr_2</t>
  </si>
  <si>
    <t>机动盾组长</t>
  </si>
  <si>
    <t>比一般机动盾兵更具威胁，拥有简单的物理防护能力。</t>
  </si>
  <si>
    <t>enemy_1030_wteeth</t>
  </si>
  <si>
    <t>wteeth</t>
  </si>
  <si>
    <t>拾荒者</t>
  </si>
  <si>
    <t>缺少打理，穿着着破损服装的作战人员。</t>
  </si>
  <si>
    <t>enemy_1030_wteeth_2</t>
  </si>
  <si>
    <t>wteeth_2</t>
  </si>
  <si>
    <t>流浪者</t>
  </si>
  <si>
    <t>缺少打理，穿着着破损服装的作战人员。比一般拾荒者更有交战经验。</t>
  </si>
  <si>
    <t>enemy_1031_mrogue</t>
  </si>
  <si>
    <t>mrogue</t>
  </si>
  <si>
    <t>法术近卫</t>
  </si>
  <si>
    <t>通用敌方近战法术攻击</t>
  </si>
  <si>
    <t>受过法术战斗训练的近身作战人员，对目标造成&lt;@eb.key&gt;法术伤害&lt;/&gt;。</t>
  </si>
  <si>
    <t>enemy_1031_mrogue_2</t>
  </si>
  <si>
    <t>mrogue_2</t>
  </si>
  <si>
    <t>法术近卫组长</t>
  </si>
  <si>
    <t>受过法术战斗训练的近身作战人员，比一般法术近卫更具威胁，对目标造成&lt;@eb.key&gt;法术伤害&lt;/&gt;。</t>
  </si>
  <si>
    <t>enemy_1032_katar</t>
  </si>
  <si>
    <t>katar</t>
  </si>
  <si>
    <t>拳刃武士</t>
  </si>
  <si>
    <t>受过一些传统战斗训练的近身作战人员，兼具&lt;@eb.key&gt;较高攻击力和防御力&lt;/&gt;。</t>
  </si>
  <si>
    <t>enemy_1032_katar_2</t>
  </si>
  <si>
    <t>katar_2</t>
  </si>
  <si>
    <t>拳刃武士组长</t>
  </si>
  <si>
    <t>比一般拳刃武士更具威胁，兼具&lt;@eb.key&gt;较高攻击力和防御力&lt;/&gt;。</t>
  </si>
  <si>
    <t>enemy_1033_handax</t>
  </si>
  <si>
    <t>handax</t>
  </si>
  <si>
    <t>伐木机</t>
  </si>
  <si>
    <t>来路不明，穿戴简易林业护具，携带伐木工具进行攻击。</t>
  </si>
  <si>
    <t>enemy_1033_handax_2</t>
  </si>
  <si>
    <t>handax_2</t>
  </si>
  <si>
    <t>伐木老手</t>
  </si>
  <si>
    <t>来路不明，穿戴简易林业护具，携带伐木工具进行攻击。比“伐木机”更具有威胁。</t>
  </si>
  <si>
    <t>enemy_1034_laxe</t>
  </si>
  <si>
    <t>laxe</t>
  </si>
  <si>
    <t>屠夫</t>
  </si>
  <si>
    <t>来路不明，使用巨大的钝器进行攻击。拥有一定防护能力。</t>
  </si>
  <si>
    <t>enemy_1034_laxe_2</t>
  </si>
  <si>
    <t>laxe_2</t>
  </si>
  <si>
    <t>屠宰老手</t>
  </si>
  <si>
    <t>来路不明，使用巨大的钝器进行攻击。比屠夫更具有威胁，拥有一定防护能力。</t>
  </si>
  <si>
    <t>enemy_1035_haxe</t>
  </si>
  <si>
    <t>来路不明，使用巨大的钝器进行攻击。拥有高防护能力。</t>
  </si>
  <si>
    <t>enemy_1035_haxe_2</t>
  </si>
  <si>
    <t>haxe_2</t>
  </si>
  <si>
    <t>高级武装人员</t>
  </si>
  <si>
    <t>来路不明，使用巨大的钝器进行攻击。比一般武装人员更具有威胁，拥有高防护能力。</t>
  </si>
  <si>
    <t>enemy_1036_amraoe</t>
  </si>
  <si>
    <t>amraoe</t>
  </si>
  <si>
    <t>护盾高阶术士</t>
  </si>
  <si>
    <t>特殊的高阶术士，擅长&lt;@eb.key&gt;远距离群体法术攻击&lt;/&gt;，周身的防护盾提供了较高的防御力。</t>
  </si>
  <si>
    <t>enemy_1037_lunsbr</t>
  </si>
  <si>
    <t>lunsbr</t>
  </si>
  <si>
    <t>enemy_1037_lunsabr</t>
  </si>
  <si>
    <t>特战士兵</t>
  </si>
  <si>
    <t>整合运动的近身作战人员。配备了和其他战士稍有不同的装备。</t>
  </si>
  <si>
    <t>enemy_1038_lunmag</t>
  </si>
  <si>
    <t>lunmag</t>
  </si>
  <si>
    <t>特战术师</t>
  </si>
  <si>
    <t>整合运动的法术作战人员，他配备的护甲使他拥有&lt;@eb.key&gt;一定防御&lt;/&gt;。</t>
  </si>
  <si>
    <t>enemy_1038_lunmag_2</t>
  </si>
  <si>
    <t>lunmag_2</t>
  </si>
  <si>
    <t>特战术师组长</t>
  </si>
  <si>
    <t>特战术士组长攻击</t>
  </si>
  <si>
    <t>整合运动的精英法术作战人员，他配备的护甲使他拥有&lt;@eb.key&gt;一定防御&lt;/&gt;，并且能够同时攻击&lt;@eb.key&gt;两个&lt;/&gt;目标。</t>
  </si>
  <si>
    <t>enemy_1039_breakr</t>
  </si>
  <si>
    <t>breakr</t>
  </si>
  <si>
    <t>训练有素的敌方冲锋单位，移动速度极快且&lt;@eb.key&gt;攻击能力&lt;/&gt;比一般单位略高。</t>
  </si>
  <si>
    <t>enemy_1039_breakr_2</t>
  </si>
  <si>
    <t>breakr_2</t>
  </si>
  <si>
    <t>破阵者组长</t>
  </si>
  <si>
    <t>训练有素的敌方高级冲锋单位，移动速度极快且&lt;@eb.key&gt;攻击能力&lt;/&gt;比一般单位略高。</t>
  </si>
  <si>
    <t>enemy_1040_bombd</t>
  </si>
  <si>
    <t>bombd</t>
  </si>
  <si>
    <t>暴鸰</t>
  </si>
  <si>
    <t>暴鸰攻击</t>
  </si>
  <si>
    <t>&lt;@eb.key&gt;【飞行单位】&lt;/&gt;携带有爆破弹头，将会在接近干员时投掷并造成群体物理伤害。</t>
  </si>
  <si>
    <t>enemy_1040_bombd_2</t>
  </si>
  <si>
    <t>bombd_2</t>
  </si>
  <si>
    <t>暴鸰·G</t>
  </si>
  <si>
    <t>&lt;@eb.key&gt;【飞行单位】&lt;/&gt;携带有大型爆破弹头，将会在接近干员时投掷并造成群体物理伤害。</t>
  </si>
  <si>
    <t>enemy_1041_lazerd</t>
  </si>
  <si>
    <t>lazerd</t>
  </si>
  <si>
    <t>法术大师A1</t>
  </si>
  <si>
    <t>A1攻击</t>
  </si>
  <si>
    <t>&lt;@eb.key&gt;【飞行单位】&lt;/&gt;飞行速度非常快，使用远程武器造成&lt;@eb.key&gt;法术&lt;/&gt;伤害。</t>
  </si>
  <si>
    <t>enemy_1041_lazerd_2</t>
  </si>
  <si>
    <t>lazerd_2</t>
  </si>
  <si>
    <t>法术大师A2</t>
  </si>
  <si>
    <t>A2攻击</t>
  </si>
  <si>
    <t>&lt;@eb.key&gt;【飞行单位】&lt;/&gt;牺牲飞行速度换取了更远的攻击距离，使用远程武器造成大量&lt;@eb.key&gt;法术&lt;/&gt;伤害。</t>
  </si>
  <si>
    <t>enemy_1042_frostd</t>
  </si>
  <si>
    <t>frostd</t>
  </si>
  <si>
    <t>寒霜</t>
  </si>
  <si>
    <t>寒霜减攻速</t>
  </si>
  <si>
    <t>精英,不攻击,无人机</t>
  </si>
  <si>
    <t>&lt;@eb.key&gt;【飞行单位】&lt;/&gt;防御力较高，会使周围我方单位的&lt;@eb.key&gt;攻击速度&lt;/&gt;会大幅度削减。</t>
  </si>
  <si>
    <t>enemy_1043_zomsbr</t>
  </si>
  <si>
    <t>zomsbr</t>
  </si>
  <si>
    <t>enemy_1043_zomsabr</t>
  </si>
  <si>
    <t>宿主士兵</t>
  </si>
  <si>
    <t>普通,近战,宿主</t>
  </si>
  <si>
    <t>被不明意识控制身体的士兵，能快速自然恢复生命。</t>
  </si>
  <si>
    <t>enemy_1043_zomsbr_2</t>
  </si>
  <si>
    <t>zomsbr_2</t>
  </si>
  <si>
    <t>enemy_1043_zomsabr_2</t>
  </si>
  <si>
    <t>宿主士兵组长</t>
  </si>
  <si>
    <t>被不明意识控制身体的士兵组长，能快速自然恢复生命。</t>
  </si>
  <si>
    <t>enemy_1044_zomstr</t>
  </si>
  <si>
    <t>zomstr</t>
  </si>
  <si>
    <t>宿主拾荒者</t>
  </si>
  <si>
    <t>被不明意识控制身体的拾荒者，能快速自然恢复生命。</t>
  </si>
  <si>
    <t>enemy_1044_zomstr_2</t>
  </si>
  <si>
    <t>zomstr_2</t>
  </si>
  <si>
    <t>宿主流浪者</t>
  </si>
  <si>
    <t>被不明意识控制身体的流浪者，能快速自然恢复生命。</t>
  </si>
  <si>
    <t>hammer</t>
  </si>
  <si>
    <t>整合运动的精英单位，穿着沉重的防爆护具，并且能在数次攻击后&lt;@eb.key&gt;晕眩&lt;/&gt;我方单位。</t>
  </si>
  <si>
    <t>enemy_1045_hammer_2</t>
  </si>
  <si>
    <t>hammer_2</t>
  </si>
  <si>
    <t>粉碎攻坚组长</t>
  </si>
  <si>
    <t>整合运动的高级精英单位，穿着沉重的防爆护具，并且能在数次攻击后&lt;@eb.key&gt;晕眩&lt;/&gt;我方单位。</t>
  </si>
  <si>
    <t>enemy_1046_agent</t>
  </si>
  <si>
    <t>agent</t>
  </si>
  <si>
    <t>步兵</t>
  </si>
  <si>
    <t>基础近身作战人员。装配的护甲能够抵抗法术伤害。</t>
  </si>
  <si>
    <t>enemy_1046_agent_2</t>
  </si>
  <si>
    <t>agent_2</t>
  </si>
  <si>
    <t>步兵组长</t>
  </si>
  <si>
    <t>基础近身作战人员。相比一般步兵拥有更强的作战能力。</t>
  </si>
  <si>
    <t>enemy_1047_sagent</t>
  </si>
  <si>
    <t>狙击步兵攻击,狙击步兵眩晕攻击</t>
  </si>
  <si>
    <t>进行超远距离狙击的作战人员。攻击数次后会&lt;@eb.key&gt;晕眩&lt;/&gt;我方单位。</t>
  </si>
  <si>
    <t>enemy_1047_sagent_2</t>
  </si>
  <si>
    <t>sagent_2</t>
  </si>
  <si>
    <t>狙击步兵组长</t>
  </si>
  <si>
    <t>进行超远距离狙击的精英作战人员。攻击数次后&lt;@eb.key&gt;晕眩&lt;/&gt;我方单位，持续时间极长。</t>
  </si>
  <si>
    <t>enemy_1048_hirman</t>
  </si>
  <si>
    <t>hirman</t>
  </si>
  <si>
    <t>碎岩者</t>
  </si>
  <si>
    <t>通用敌方近战攻击,碎岩者被动</t>
  </si>
  <si>
    <t>手持的战术斧拥有强大的破坏力。穿戴的护甲在被阻挡时&lt;@eb.key&gt;提升法术抗性&lt;/&gt;保护自身。</t>
  </si>
  <si>
    <t>enemy_1048_hirman_2</t>
  </si>
  <si>
    <t>hirman_2</t>
  </si>
  <si>
    <t>碎岩者组长</t>
  </si>
  <si>
    <t>通用敌方近战攻击,碎岩者被动1</t>
  </si>
  <si>
    <t>相比碎岩者具有更恐怖的破坏力。穿戴的护甲在被阻挡时&lt;@eb.key&gt;大幅提升法术抗性&lt;/&gt;来保护自身。</t>
  </si>
  <si>
    <t>enemy_1049_eagent</t>
  </si>
  <si>
    <t>eagent</t>
  </si>
  <si>
    <t>特工</t>
  </si>
  <si>
    <t>通用敌方近战攻击,特工攻击</t>
  </si>
  <si>
    <t>手持的武器在攻击时会短暂减少我方单位的阻挡上限，可以冲破我方防线。</t>
  </si>
  <si>
    <t>enemy_1049_eagent_2</t>
  </si>
  <si>
    <t>eagent_2</t>
  </si>
  <si>
    <t>特工组长</t>
  </si>
  <si>
    <t>通用敌方近战攻击,特工组长攻击</t>
  </si>
  <si>
    <t>比特工拥有更强的作战能力。攻击时会短暂&lt;@eb.key&gt;减少我方单位的阻挡上限&lt;/&gt;，能够轻易突破防线。</t>
  </si>
  <si>
    <t>enemy_1050_lslime</t>
  </si>
  <si>
    <t>lslime</t>
  </si>
  <si>
    <t>庞贝</t>
  </si>
  <si>
    <t>庞贝攻击,庞贝技能,庞贝复仇</t>
  </si>
  <si>
    <t>领袖,远程,感染生物</t>
  </si>
  <si>
    <t>被它攻击的单位会受到灼烧伤害。被阻挡时引爆体内岩浆对周围造成&lt;@eb.danger&gt;高额伤害&lt;/&gt;。</t>
  </si>
  <si>
    <t>enemy_1051_norwiz</t>
  </si>
  <si>
    <t>norwiz</t>
  </si>
  <si>
    <t>编制术士</t>
  </si>
  <si>
    <t>编制术士攻击</t>
  </si>
  <si>
    <t>基础法术作战人员。使用&lt;@eb.key&gt;远距离法术攻击&lt;/&gt;</t>
  </si>
  <si>
    <t>enemy_1051_norwiz_2</t>
  </si>
  <si>
    <t>norwiz_2</t>
  </si>
  <si>
    <t>编制术士组长</t>
  </si>
  <si>
    <t>相比一般编制术士更具威胁。使用&lt;@eb.key&gt;远距离法术攻击&lt;/&gt;</t>
  </si>
  <si>
    <t>noramr</t>
  </si>
  <si>
    <t>标准近身作战人员。配备的机动盾牌使他们攻守兼备。</t>
  </si>
  <si>
    <t>enemy_1052_noramr_2</t>
  </si>
  <si>
    <t>noramr_2</t>
  </si>
  <si>
    <t>机动卫兵组长</t>
  </si>
  <si>
    <t>相比一般机动卫兵更具威胁。配备的机动盾牌使他们攻守兼备。</t>
  </si>
  <si>
    <t>enemy_1053_norgst</t>
  </si>
  <si>
    <t>norgst</t>
  </si>
  <si>
    <t>工蚁</t>
  </si>
  <si>
    <t>使用工程技术进行破坏的人员。拥有灵活的行动能力&lt;@eb.key&gt;无法被阻挡&lt;/&gt;，请尽快解决。</t>
  </si>
  <si>
    <t>enemy_1053_norgst_2</t>
  </si>
  <si>
    <t>norgst_2</t>
  </si>
  <si>
    <t>工蚁组长</t>
  </si>
  <si>
    <t>相比一般工蚁拥有更强的生存能力。灵活的行动能力使其&lt;@eb.key&gt;无法被阻挡&lt;/&gt;，请尽快解决。</t>
  </si>
  <si>
    <t>enemy_1054_norshd</t>
  </si>
  <si>
    <t>norshd</t>
  </si>
  <si>
    <t>重装防御者-N型</t>
  </si>
  <si>
    <t>身着沉重全装护甲的近战作战人员。拥有&lt;@eb.key&gt;很高的防御力&lt;/&gt;，需要小心应对。</t>
  </si>
  <si>
    <t>enemy_1054_norshd_2</t>
  </si>
  <si>
    <t>norshd_2</t>
  </si>
  <si>
    <t>重装防御者-S型</t>
  </si>
  <si>
    <t>相比N型，S型的护甲拥有&lt;@eb.key&gt;极高的防御力&lt;/&gt;，难以被击溃，是非常棘手的敌人。</t>
  </si>
  <si>
    <t>enemy_1500_skulsr</t>
  </si>
  <si>
    <t>skulsr</t>
  </si>
  <si>
    <t>碎骨</t>
  </si>
  <si>
    <t>碎骨攻击,碎骨近战,碎骨复仇</t>
  </si>
  <si>
    <t>领袖,近战,远程</t>
  </si>
  <si>
    <t>可以的话，请倾全队之力消灭他。该敌人&lt;@eb.danger&gt;威胁极大&lt;/&gt;，&lt;@eb.key&gt;远程及近战攻击能造成大量伤害&lt;/&gt;。</t>
  </si>
  <si>
    <t>Move_01</t>
  </si>
  <si>
    <t>enemy_1502_crowns</t>
  </si>
  <si>
    <t>整合运动干部，从事敌后活动与突袭暗杀行动，会敏捷地&lt;@eb.key&gt;穿过阻挡其的单位&lt;/&gt;。</t>
  </si>
  <si>
    <t>enemy_1504_cqbw</t>
  </si>
  <si>
    <t>cqbw</t>
  </si>
  <si>
    <t>W</t>
  </si>
  <si>
    <t>W攻击,W技能,W半血</t>
  </si>
  <si>
    <t>领袖,远程</t>
  </si>
  <si>
    <t>整合运动干部，萨卡兹雇佣兵，擅长使用爆炸物。</t>
  </si>
  <si>
    <t>enemy_1505_frstar</t>
  </si>
  <si>
    <t>frstar</t>
  </si>
  <si>
    <t>霜星普通攻击,霜星冰环,霜星拆地板,霜星锁血</t>
  </si>
  <si>
    <t>整合运动法术部队干部，&lt;@eb.danger&gt;威胁极大&lt;/&gt;，能使用冰属性法术&lt;@eb.danger&gt;造成极为恶劣的作战环境&lt;/&gt;。</t>
  </si>
  <si>
    <t>enemy_1507_mephi</t>
  </si>
  <si>
    <t>mephi</t>
  </si>
  <si>
    <t>梅菲斯特</t>
  </si>
  <si>
    <t>梅菲斯特攻击,梅菲斯特光环,梅菲斯特死亡,梅菲斯特入场</t>
  </si>
  <si>
    <t>领袖,不攻击</t>
  </si>
  <si>
    <t>整合运动干部，能同时治疗至多&lt;@eb.key&gt;3名&lt;/&gt;敌人，并使全场宿主单位的自然生命回复速度加倍。</t>
  </si>
  <si>
    <t>enemy_1508_faust</t>
  </si>
  <si>
    <t>faust</t>
  </si>
  <si>
    <t>浮士德</t>
  </si>
  <si>
    <t>浮士德攻击,浮士德强力击,浮士德无敌,浮士德招炮台,敌人不可阻挡</t>
  </si>
  <si>
    <t>眩晕,睡眠,眩晕2,冻结</t>
  </si>
  <si>
    <t>整合运动干部，&lt;@eb.key&gt;无法被阻挡&lt;/&gt;，能进行超远距离的物理攻击，并且能够启动场地中隐藏的&lt;@eb.key&gt;弩炮台&lt;/&gt;。</t>
  </si>
  <si>
    <t>enemy_1055_ganman</t>
  </si>
  <si>
    <t>ganman</t>
  </si>
  <si>
    <t>西西里人</t>
  </si>
  <si>
    <t>基础近身作战人员。这些来自叙拉古的人以他们的家族名号自称，象征着他们的荣耀。</t>
  </si>
  <si>
    <t>enemy_1055_ganman_2</t>
  </si>
  <si>
    <t>ganman_2</t>
  </si>
  <si>
    <t>精锐西西里人</t>
  </si>
  <si>
    <t>比西西里人拥有更高的作战能力。这些来自叙拉古的人以他们的家族名号自称</t>
  </si>
  <si>
    <t>enemy_1056_ganwar</t>
  </si>
  <si>
    <t>ganwar</t>
  </si>
  <si>
    <t>打手</t>
  </si>
  <si>
    <t>经过特殊训练的作战人员。极为快速的出拳往往能给人连续的致命打击。</t>
  </si>
  <si>
    <t>enemy_1056_ganwar_2</t>
  </si>
  <si>
    <t>ganwar_2</t>
  </si>
  <si>
    <t>精干打手</t>
  </si>
  <si>
    <t>相比打手拥有更强的破坏力，需要更优秀的防护装备才能抵挡他。</t>
  </si>
  <si>
    <t>enemy_1057_gansho</t>
  </si>
  <si>
    <t>gansho</t>
  </si>
  <si>
    <t>射手</t>
  </si>
  <si>
    <t>射手攻击,射手攻击装置</t>
  </si>
  <si>
    <t>擅长以连续射击攻击敌人。会优先&lt;@eb.key&gt;攻击指挥终端&lt;/&gt;切断敌方支援。</t>
  </si>
  <si>
    <t>enemy_1057_gansho_2</t>
  </si>
  <si>
    <t>装配比射手更精良的弹药。会优先&lt;@eb.key&gt;攻击指挥终端&lt;/&gt;切断敌方支援</t>
  </si>
  <si>
    <t>enemy_1058_traink</t>
  </si>
  <si>
    <t>traink</t>
  </si>
  <si>
    <t>欺凌者</t>
  </si>
  <si>
    <t>阻挡他相当于阻挡三名敌人，&lt;@eb.key&gt;阻挡能力大于等于3&lt;/&gt;的作战人员可阻止其冲破防线。</t>
  </si>
  <si>
    <t>enemy_1058_traink_2</t>
  </si>
  <si>
    <t>traink_2</t>
  </si>
  <si>
    <t>倾轧者</t>
  </si>
  <si>
    <t>enemy_1059_buster</t>
  </si>
  <si>
    <t>buster</t>
  </si>
  <si>
    <t>狂徒</t>
  </si>
  <si>
    <t>狂徒攻击,狂徒攻击装置</t>
  </si>
  <si>
    <t>会&lt;@eb.key&gt;优先摧毁一切可见的设施&lt;/&gt;，并且能够攻击在高台地形的作战单位。</t>
  </si>
  <si>
    <t>enemy_1059_buster_2</t>
  </si>
  <si>
    <t>buster_2</t>
  </si>
  <si>
    <t>末路狂徒</t>
  </si>
  <si>
    <t>enemy_1060_emouse</t>
  </si>
  <si>
    <t>emouse</t>
  </si>
  <si>
    <t>灰尾</t>
  </si>
  <si>
    <t>通用敌方近战攻击,灰尾护盾,灰尾加防,灰尾加速</t>
  </si>
  <si>
    <t>可展开&lt;@eb.key&gt;护盾大幅提升防御力&lt;/&gt;。&lt;@eb.key&gt;法术伤害&lt;/&gt;可破坏护盾，护盾被摧毁时会大幅提升移动速度</t>
  </si>
  <si>
    <t>enemy_1060_emouse_2</t>
  </si>
  <si>
    <t>emouse_2</t>
  </si>
  <si>
    <t>灰尾香主</t>
  </si>
  <si>
    <t>通用敌方近战攻击,灰尾护盾1,灰尾加防1,灰尾加速</t>
  </si>
  <si>
    <t>enemy_1509_mousek</t>
  </si>
  <si>
    <t>mousek</t>
  </si>
  <si>
    <t>鼠王</t>
  </si>
  <si>
    <t>通用敌方近战攻击,鼠王护盾,鼠王加防,鼠王唱沙,鼠王沙狱,鼠王标记1,鼠王标记2</t>
  </si>
  <si>
    <t>对&lt;@eb.key&gt;生命上限最高&lt;/&gt;单位造成大量物理伤害。对&lt;@eb.key&gt;生命上限最低&lt;/&gt;单位大幅降低攻击力并造成法术伤害</t>
  </si>
  <si>
    <t>enemy_1061_zomshd</t>
  </si>
  <si>
    <t>zomshd</t>
  </si>
  <si>
    <t>宿主重装士兵</t>
  </si>
  <si>
    <t>精英,近战,宿主</t>
  </si>
  <si>
    <t>被不明意识控制身体的重装士兵，能快速自然恢复生命。</t>
  </si>
  <si>
    <t>enemy_1061_zomshd_2</t>
  </si>
  <si>
    <t>zomshd_2</t>
  </si>
  <si>
    <t>宿主重装组长</t>
  </si>
  <si>
    <t>被不明意识控制身体的重装士兵组长，能快速自然恢复生命。</t>
  </si>
  <si>
    <t>enemy_1062_rager</t>
  </si>
  <si>
    <t>rager</t>
  </si>
  <si>
    <t>狂暴宿主士兵</t>
  </si>
  <si>
    <t>逐渐陷入狂乱的敌方士兵，&lt;@eb.danger&gt;攻击力很高&lt;/&gt;，会持续损失生命。</t>
  </si>
  <si>
    <t>enemy_1062_rager_2</t>
  </si>
  <si>
    <t>rager_2</t>
  </si>
  <si>
    <t>狂暴宿主组长</t>
  </si>
  <si>
    <t>彻底失去理智的敌方士兵，&lt;@eb.danger&gt;攻击力很高&lt;/&gt;，会持续损失生命。</t>
  </si>
  <si>
    <t>enemy_1063_rageth</t>
  </si>
  <si>
    <t>rageth</t>
  </si>
  <si>
    <t>狂暴宿主投掷手</t>
  </si>
  <si>
    <t>宿主投掷手攻击</t>
  </si>
  <si>
    <t>精英,远程,宿主</t>
  </si>
  <si>
    <t>逐渐陷入狂乱的敌方投掷手，&lt;@eb.danger&gt;攻击力很高&lt;/&gt;，会持续损失生命。</t>
  </si>
  <si>
    <t>enemy_1063_rageth_2</t>
  </si>
  <si>
    <t>rageth_2</t>
  </si>
  <si>
    <t>狂暴宿主掷骨手</t>
  </si>
  <si>
    <t>彻底失去理智的敌方投掷手，&lt;@eb.danger&gt;攻击力很高&lt;/&gt;，会持续损失生命。</t>
  </si>
  <si>
    <t>enemy_1064_snsbr</t>
  </si>
  <si>
    <t>雪怪小队基础近身作战人员，攻击被&lt;@eb.key&gt;冻结&lt;/&gt;的单位时攻击力提高。</t>
  </si>
  <si>
    <t>enemy_1065_snwolf</t>
  </si>
  <si>
    <t>snwolf</t>
  </si>
  <si>
    <t>霜牙</t>
  </si>
  <si>
    <t>雪怪小队术师部队操纵的高速生物，攻击被&lt;@eb.key&gt;冻结&lt;/&gt;的单位时攻击力提高。</t>
  </si>
  <si>
    <t>enemy_1065_snwolf_2</t>
  </si>
  <si>
    <t>比霜牙更加难缠，攻击被&lt;@eb.key&gt;冻结&lt;/&gt;的单位时攻击力提高。</t>
  </si>
  <si>
    <t>enemy_1066_snbow</t>
  </si>
  <si>
    <t>snbow</t>
  </si>
  <si>
    <t>雪怪狙击手</t>
  </si>
  <si>
    <t>雪怪小队中的远程作战人员，攻击被&lt;@eb.key&gt;冻结&lt;/&gt;的单位时攻击力提高。</t>
  </si>
  <si>
    <t>enemy_1066_snbow_2</t>
  </si>
  <si>
    <t>雪怪小队狙击手中的精英，攻击被&lt;@eb.key&gt;冻结&lt;/&gt;的单位时攻击力提高。</t>
  </si>
  <si>
    <t>enemy_1067_snslime</t>
  </si>
  <si>
    <t>snslime</t>
  </si>
  <si>
    <t>冰爆源石虫</t>
  </si>
  <si>
    <t>来自寒冷地区的被感染生物，死亡后对周围我方单位造成物理伤害且施加&lt;@eb.key&gt;寒冷&lt;/&gt;。</t>
  </si>
  <si>
    <t>enemy_1067_snslime_2</t>
  </si>
  <si>
    <t>感染更严重的冰爆源石虫，死亡后对周围我方单位造成物理伤害且施加&lt;@eb.key&gt;寒冷&lt;/&gt;。</t>
  </si>
  <si>
    <t>enemy_1068_snmage</t>
  </si>
  <si>
    <t>snmage</t>
  </si>
  <si>
    <t>雪怪术师</t>
  </si>
  <si>
    <t>雪怪小队中的法术作战人员，每攻击2次后下次攻击会对目标施加&lt;@eb.key&gt;寒冷&lt;/&gt;。</t>
  </si>
  <si>
    <t>enemy_1068_snmage_2</t>
  </si>
  <si>
    <t>雪怪小队法术作战人员中的精英，每攻击2次后下次攻击会对目标施加&lt;@eb.key&gt;寒冷&lt;/&gt;。</t>
  </si>
  <si>
    <t>enemy_1069_icebrk</t>
  </si>
  <si>
    <t>icebrk</t>
  </si>
  <si>
    <t>雪怪小队凿冰人</t>
  </si>
  <si>
    <t>雪怪小队中的特殊近身作战人员，攻击被&lt;@eb.key&gt;冻结&lt;/&gt;的单位时攻击力大幅度提高。</t>
  </si>
  <si>
    <t>enemy_1069_icebrk_2</t>
  </si>
  <si>
    <t>冰刀攻击1</t>
  </si>
  <si>
    <t>雪怪小队近身作战人员中的精英，攻击被&lt;@eb.key&gt;冻结&lt;/&gt;的单位时攻击力巨幅提高。</t>
  </si>
  <si>
    <t>enemy_1070_iced</t>
  </si>
  <si>
    <t>iced</t>
  </si>
  <si>
    <t>虚幻</t>
  </si>
  <si>
    <t>虚幻攻击</t>
  </si>
  <si>
    <t>&lt;@eb.key&gt;【飞行单位】&lt;/&gt;携带有冰爆弹头，投掷后造成群体法术伤害并施加&lt;@eb.key&gt;寒冷&lt;/&gt;。</t>
  </si>
  <si>
    <t>enemy_1510_frstar2</t>
  </si>
  <si>
    <t>霜星，“冬痕”</t>
  </si>
  <si>
    <t>霜星普通攻击,霜星冰环,霜星拆地板,霜星锁血1,霜星复活冰环,霜星复活拆地板</t>
  </si>
  <si>
    <t>雪怪小队领袖，为了最后的战斗解放了所剩无几的生命。</t>
  </si>
  <si>
    <t>#enemy_1510_frstar2_s</t>
  </si>
  <si>
    <t>frstar2_s</t>
  </si>
  <si>
    <t>霜星S</t>
  </si>
  <si>
    <t>enemy_1071_dftman</t>
  </si>
  <si>
    <t>dftman</t>
  </si>
  <si>
    <t>萨卡兹刀兵</t>
  </si>
  <si>
    <t>普通,近战,萨卡兹</t>
  </si>
  <si>
    <t>萨卡兹雇佣兵。拥有&lt;@eb.key&gt;较高法术抗性&lt;/&gt;。</t>
  </si>
  <si>
    <t>enemy_1071_dftman_2</t>
  </si>
  <si>
    <t>dftman_2</t>
  </si>
  <si>
    <t>萨卡兹刀术师</t>
  </si>
  <si>
    <t>比萨卡兹刀兵更具威胁。拥有&lt;@eb.key&gt;较高法术抗性&lt;/&gt;。</t>
  </si>
  <si>
    <t>enemy_1072_dlancer</t>
  </si>
  <si>
    <t>dlancer</t>
  </si>
  <si>
    <t>萨卡兹穿刺手</t>
  </si>
  <si>
    <t>通用敌方近战攻击,穿刺手加速,穿刺手撞击</t>
  </si>
  <si>
    <t>移动时逐渐&lt;@eb.key&gt;加速&lt;/&gt;，被阻挡后的首次攻击根据&lt;@eb.key&gt;移速&lt;/&gt;造成额外伤害。</t>
  </si>
  <si>
    <t>enemy_1072_dlancer_2</t>
  </si>
  <si>
    <t>dlancer_2</t>
  </si>
  <si>
    <t>萨卡兹穿刺手组长</t>
  </si>
  <si>
    <t>通用敌方近战攻击,穿刺手加速1,穿刺手撞击</t>
  </si>
  <si>
    <t>比普通穿刺手更具威胁。移动时逐渐&lt;@eb.key&gt;加速&lt;/&gt;，被阻挡后的首次攻击根据&lt;@eb.key&gt;移速&lt;/&gt;造成额外伤害。</t>
  </si>
  <si>
    <t>enemy_1073_dscout</t>
  </si>
  <si>
    <t>dscout</t>
  </si>
  <si>
    <t>萨卡兹哨兵</t>
  </si>
  <si>
    <t>哨兵警报</t>
  </si>
  <si>
    <t>睡眠,眩晕,冻结</t>
  </si>
  <si>
    <t>普通,不攻击,萨卡兹</t>
  </si>
  <si>
    <t>受伤后发出警报，提升全体敌方的攻击和防御，并使&lt;@eb.key&gt;待命&lt;/&gt;单位敌人立即进入&lt;@eb.key&gt;临战&lt;/&gt;状态。</t>
  </si>
  <si>
    <t>enemy_1073_dscout_2</t>
  </si>
  <si>
    <t>dscout_2</t>
  </si>
  <si>
    <t>萨卡兹哨兵组长</t>
  </si>
  <si>
    <t>enemy_1074_dbskar</t>
  </si>
  <si>
    <t>dbskar</t>
  </si>
  <si>
    <t>萨卡兹积怨者</t>
  </si>
  <si>
    <t>萨卡兹警报,积怨者攻击,挂机结束,萨卡兹待命</t>
  </si>
  <si>
    <t>初始处于&lt;@eb.key&gt;待命&lt;/&gt;状态，不进行攻击；受伤后进入&lt;@eb.key&gt;临战&lt;/&gt;状态，对两个目标造成远程法术伤害。</t>
  </si>
  <si>
    <t>enemy_1074_dbskar_2</t>
  </si>
  <si>
    <t>dbskar_2</t>
  </si>
  <si>
    <t>萨卡兹恶咒者</t>
  </si>
  <si>
    <t>enemy_1075_dmgswd</t>
  </si>
  <si>
    <t>dmgswd</t>
  </si>
  <si>
    <t>萨卡兹魔剑士</t>
  </si>
  <si>
    <t>萨卡兹警报1,萨卡兹魔剑士攻击,魔剑士挂机结束</t>
  </si>
  <si>
    <t>初始处于&lt;@eb.key&gt;待命&lt;/&gt;状态，不进行攻击；受伤后进入&lt;@eb.key&gt;临战&lt;/&gt;状态，造成近战法术伤害。</t>
  </si>
  <si>
    <t>enemy_1075_dmgswd_2</t>
  </si>
  <si>
    <t>dmgswd_2</t>
  </si>
  <si>
    <t>萨卡兹魔剑组长</t>
  </si>
  <si>
    <t>enemy_1076_bsthmr</t>
  </si>
  <si>
    <t>bsthmr</t>
  </si>
  <si>
    <t>爆破攻坚手</t>
  </si>
  <si>
    <t>爆破攻坚手攻击</t>
  </si>
  <si>
    <t>临战</t>
  </si>
  <si>
    <t>整合运动的高级精英单位，攻击造成爆炸，使目标周围四格的单位受到&lt;@eb.key&gt;溅射&lt;/&gt;伤害。</t>
  </si>
  <si>
    <t>enemy_1076_bsthmr_2</t>
  </si>
  <si>
    <t>bsthmr_2</t>
  </si>
  <si>
    <t>爆破攻坚手组长</t>
  </si>
  <si>
    <t>enemy_1077_sotihd</t>
  </si>
  <si>
    <t>sotihd</t>
  </si>
  <si>
    <t>游击队猎犬</t>
  </si>
  <si>
    <t>穿戴轻量乌萨斯装甲的基础游击队战犬，拥有一定的防御性能，行动速度很快。</t>
  </si>
  <si>
    <t>enemy_1077_sotihd_2</t>
  </si>
  <si>
    <t>sotihd_2</t>
  </si>
  <si>
    <t>游击队猎犬pro</t>
  </si>
  <si>
    <t>穿戴轻量乌萨斯装甲的高级游击队战犬，攻击欲望比游击队战犬更强。</t>
  </si>
  <si>
    <t>enemy_1078_sotisc</t>
  </si>
  <si>
    <t>sotisc</t>
  </si>
  <si>
    <t>游击队战士</t>
  </si>
  <si>
    <t>通用敌方近战攻击,游击队战士buff</t>
  </si>
  <si>
    <t>受到传令兵或爱国者&lt;@eb.key&gt;强化&lt;/&gt;时，&lt;@eb.key&gt;移动速度&lt;/&gt;提升</t>
  </si>
  <si>
    <t>enemy_1078_sotisc_2</t>
  </si>
  <si>
    <t>sotisc_2</t>
  </si>
  <si>
    <t>游击队战士组长</t>
  </si>
  <si>
    <t>enemy_1079_sotisp</t>
  </si>
  <si>
    <t>sotisp</t>
  </si>
  <si>
    <t>游击队狙击手</t>
  </si>
  <si>
    <t>游击队狙击手攻击,游击队狙击手攻击1</t>
  </si>
  <si>
    <t>受到传令兵或爱国者&lt;@eb.key&gt;强化&lt;/&gt;时，同时攻击&lt;@eb.key&gt;两个目标&lt;/&gt;</t>
  </si>
  <si>
    <t>enemy_1079_sotisp_2</t>
  </si>
  <si>
    <t>sotisp_2</t>
  </si>
  <si>
    <t>游击队狙击手组长</t>
  </si>
  <si>
    <t>enemy_1080_sotidp</t>
  </si>
  <si>
    <t>sotidp</t>
  </si>
  <si>
    <t>游击队传令兵</t>
  </si>
  <si>
    <t>通用敌方近战攻击,传令兵光环</t>
  </si>
  <si>
    <t>在场时，强化所有敌军的&lt;@eb.key&gt;攻击力&lt;/&gt;与&lt;@eb.key&gt;防御力&lt;/&gt;</t>
  </si>
  <si>
    <t>enemy_1080_sotidp_2</t>
  </si>
  <si>
    <t>sotidp_2</t>
  </si>
  <si>
    <t>游击队传令兵组长</t>
  </si>
  <si>
    <t>enemy_1081_sotisd</t>
  </si>
  <si>
    <t>sotisd</t>
  </si>
  <si>
    <t>游击队盾卫</t>
  </si>
  <si>
    <t>使自身容易受到我方单位的攻击，掩护敌军前进。</t>
  </si>
  <si>
    <t>enemy_1081_sotisd_2</t>
  </si>
  <si>
    <t>sotisd_2</t>
  </si>
  <si>
    <t>游击队盾卫组长</t>
  </si>
  <si>
    <t>enemy_1082_soticn</t>
  </si>
  <si>
    <t>soticn</t>
  </si>
  <si>
    <t>游击队迫击炮兵</t>
  </si>
  <si>
    <t>游击队炮兵攻击,游击队炮兵buff</t>
  </si>
  <si>
    <t>受到传令兵或爱国者&lt;@eb.key&gt;强化&lt;/&gt;时，&lt;@eb.key&gt;攻击速度&lt;/&gt;大幅提升</t>
  </si>
  <si>
    <t>enemy_1082_soticn_2</t>
  </si>
  <si>
    <t>soticn_2</t>
  </si>
  <si>
    <t>游击队迫击炮兵组长</t>
  </si>
  <si>
    <t>enemy_1083_sotiab</t>
  </si>
  <si>
    <t>sotiab</t>
  </si>
  <si>
    <t>游击队突袭战士</t>
  </si>
  <si>
    <t>通用敌方近战攻击,游击队突袭战士buff</t>
  </si>
  <si>
    <t>受到传令兵或爱国者&lt;@eb.key&gt;强化&lt;/&gt;时，&lt;@eb.key&gt;攻击力&lt;/&gt;大幅提升</t>
  </si>
  <si>
    <t>enemy_1083_sotiab_2</t>
  </si>
  <si>
    <t>sotiab_2</t>
  </si>
  <si>
    <t>游击队突袭战士组长</t>
  </si>
  <si>
    <t>通用敌方近战攻击,游击队突袭战士buff1</t>
  </si>
  <si>
    <t>受到传令兵或爱国者&lt;@eb.key&gt;强化&lt;/&gt;时，&lt;@eb.key&gt;攻击力&lt;/&gt;极大幅提升</t>
  </si>
  <si>
    <t>enemy_1084_sotidm</t>
  </si>
  <si>
    <t>sotidm</t>
  </si>
  <si>
    <t>游击队萨卡兹战士</t>
  </si>
  <si>
    <t>通用敌方近战攻击,免疫脉冲波,游击队萨卡兹战士特殊攻击</t>
  </si>
  <si>
    <t>精英,近战,萨卡兹,脉冲波免疫</t>
  </si>
  <si>
    <t>接触脉冲波时，&lt;@eb.key&gt;不受伤害&lt;/&gt;且攻击切换成&lt;@eb.key&gt;法术伤害&lt;/&gt;</t>
  </si>
  <si>
    <t>enemy_1084_sotidm_2</t>
  </si>
  <si>
    <t>sotidm_2</t>
  </si>
  <si>
    <t>游击队萨卡兹战士组长</t>
  </si>
  <si>
    <t>enemy_1084_sotidm_3</t>
  </si>
  <si>
    <t>sotidm_3</t>
  </si>
  <si>
    <t>雇佣军萨卡兹战士</t>
  </si>
  <si>
    <t>enemy_1085_sotiwz</t>
  </si>
  <si>
    <t>sotiwz</t>
  </si>
  <si>
    <t>游击队萨卡兹术师</t>
  </si>
  <si>
    <t>游击队萨卡兹术士攻击,游击队萨卡兹术士buff,免疫脉冲波</t>
  </si>
  <si>
    <t>精英,远程,萨卡兹,脉冲波免疫</t>
  </si>
  <si>
    <t>周期性对周围单位造成相当于攻击力的法术伤害。接触脉冲波时，&lt;@eb.key&gt;不受伤害&lt;/&gt;且攻击&lt;@eb.key&gt;范围扩大&lt;/&gt;</t>
  </si>
  <si>
    <t>enemy_1085_sotiwz_2</t>
  </si>
  <si>
    <t>sotiwz_2</t>
  </si>
  <si>
    <t>游击队萨卡兹术师组长</t>
  </si>
  <si>
    <t>enemy_1085_sotiwz_3</t>
  </si>
  <si>
    <t>sotiwz_3</t>
  </si>
  <si>
    <t>雇佣军萨卡兹术师</t>
  </si>
  <si>
    <t>enemy_1506_patrt</t>
  </si>
  <si>
    <t>patrt</t>
  </si>
  <si>
    <t>爱国者</t>
  </si>
  <si>
    <t>免疫脉冲波,爱国者攻击,爱国者光环,爱国者一阶buff,爱国者锁血,爱国者献祭光环,爱国者复活攻击,爱国者复活动作</t>
  </si>
  <si>
    <t>睡眠,脉冲波</t>
  </si>
  <si>
    <t>领袖,近战,萨卡兹,脉冲波免疫</t>
  </si>
  <si>
    <t>最后一位纯血温迪戈。行军姿态&lt;@eb.key&gt;防御力与法术抗性&lt;/&gt;极高，毁灭姿态&lt;@eb.key&gt;免疫眩晕&lt;/&gt;</t>
  </si>
  <si>
    <t>Move_1</t>
  </si>
  <si>
    <t>enemy_1086_ltsodr</t>
  </si>
  <si>
    <t>ltsodr</t>
  </si>
  <si>
    <t>莱塔尼亚叛兵</t>
  </si>
  <si>
    <t>古典源石技艺的普及让他们更具威胁性，攻击造成法术伤害</t>
  </si>
  <si>
    <t>enemy_1086_ltsodr_2</t>
  </si>
  <si>
    <t>ltsodr_2</t>
  </si>
  <si>
    <t>莱塔尼亚叛兵组长</t>
  </si>
  <si>
    <t>古典源石技艺的普及让他们更具威胁性，攻击造成更高的法术伤害</t>
  </si>
  <si>
    <t>enemy_1087_ltwolf</t>
  </si>
  <si>
    <t>ltwolf</t>
  </si>
  <si>
    <t>冬灵猎犬</t>
  </si>
  <si>
    <t>当地人自古以来培养并操纵的猎犬。曾是土著民和早期拓荒者的得力助手</t>
  </si>
  <si>
    <t>enemy_1087_ltwolf_2</t>
  </si>
  <si>
    <t>ltwolf_2</t>
  </si>
  <si>
    <t>冬灵猎犬pro</t>
  </si>
  <si>
    <t>当地人自古以来培养并操纵的猎犬，作为犬群的头领。曾是土著民和早期拓荒者的得力助手</t>
  </si>
  <si>
    <t>enemy_1088_ltsmer</t>
  </si>
  <si>
    <t>ltsmer</t>
  </si>
  <si>
    <t>莱塔尼亚轻语者</t>
  </si>
  <si>
    <t>莱塔尼亚地区常见的法术作战人员。对最近的非敌方“留声机”&lt;@eb.key&gt;持续施法&lt;/&gt;，争夺其&lt;@eb.key&gt;控制权&lt;/&gt;</t>
  </si>
  <si>
    <t>enemy_1088_ltsmer_2</t>
  </si>
  <si>
    <t>ltsmer_2</t>
  </si>
  <si>
    <t>莱塔尼亚吟唱者</t>
  </si>
  <si>
    <t>莱塔尼亚地区的高级法术作战人员。对最近的非敌方“留声机”&lt;@eb.key&gt;持续施法&lt;/&gt;，争夺其&lt;@eb.key&gt;控制权&lt;/&gt;</t>
  </si>
  <si>
    <t>enemy_1089_ltlntc</t>
  </si>
  <si>
    <t>ltlntc</t>
  </si>
  <si>
    <t>冬灵血巫</t>
  </si>
  <si>
    <t>会逐渐损失生命；死亡时施法对周围所有单位造成&lt;@eb.key&gt;法术伤害&lt;/&gt;并直接夺取“留声机”的&lt;@eb.key&gt;控制权&lt;/&gt;</t>
  </si>
  <si>
    <t>enemy_1089_ltlntc_2</t>
  </si>
  <si>
    <t>ltlntc_2</t>
  </si>
  <si>
    <t>冬灵血巫大师</t>
  </si>
  <si>
    <t>会逐渐损失生命；死亡时施法对周围所有单位造成&lt;@eb.key&gt;高额法术伤害&lt;/&gt;并直接夺取“留声机”的&lt;@eb.key&gt;控制权&lt;/&gt;</t>
  </si>
  <si>
    <t>enemy_1090_mdsnpr</t>
  </si>
  <si>
    <t>mdsnpr</t>
  </si>
  <si>
    <t>泥岩小队掷能者</t>
  </si>
  <si>
    <t>优先攻击正在争夺“留声机”的我方单位</t>
  </si>
  <si>
    <t>enemy_1090_mdsnpr_2</t>
  </si>
  <si>
    <t>mdsnpr_2</t>
  </si>
  <si>
    <t>泥岩小队掷能者组长</t>
  </si>
  <si>
    <t>优先攻击正在争夺“留声机”的我方单位;同时攻击&lt;@eb.key&gt;两名&lt;/&gt;目标</t>
  </si>
  <si>
    <t>enemy_1091_mdhmmr</t>
  </si>
  <si>
    <t>mdhmmr</t>
  </si>
  <si>
    <t>泥岩小队践行者</t>
  </si>
  <si>
    <t>通用敌方近战攻击,泥岩小队buff,泥岩小队践行者护盾</t>
  </si>
  <si>
    <t>拥有护盾&lt;@eb.key&gt;吸收法术伤害&lt;/&gt;；护盾存在时大幅提升&lt;@eb.key&gt;生命上限&lt;/&gt;与&lt;@eb.key&gt;攻击速度&lt;/&gt;</t>
  </si>
  <si>
    <t>enemy_1091_mdhmmr_2</t>
  </si>
  <si>
    <t>mdhmmr_2</t>
  </si>
  <si>
    <t>泥岩小队践行者组长</t>
  </si>
  <si>
    <t>通用敌方近战攻击,泥岩小队buff,泥岩小队践行者组长护盾</t>
  </si>
  <si>
    <t>enemy_1092_mdgint</t>
  </si>
  <si>
    <t>mdgint</t>
  </si>
  <si>
    <t>泥岩巨像</t>
  </si>
  <si>
    <t>精英,近战,法术造物</t>
  </si>
  <si>
    <t>泥岩的源石技艺造物，不具备意识，需要泥岩本人操纵。</t>
  </si>
  <si>
    <t>enemy_1092_mdgint_2</t>
  </si>
  <si>
    <t>mdgint_2</t>
  </si>
  <si>
    <t>巫术巨像</t>
  </si>
  <si>
    <t>泥岩的源石技艺造物，掺入了萨卡兹的古老巫术，它们是其主人意志的延展。</t>
  </si>
  <si>
    <t>enemy_1511_mdrock</t>
  </si>
  <si>
    <t>mdrock</t>
  </si>
  <si>
    <t>泥岩</t>
  </si>
  <si>
    <t>领袖,近战,萨卡兹</t>
  </si>
  <si>
    <t>年龄不详，性别不详，履历不详。</t>
  </si>
  <si>
    <t>enemy_1093_ccsbr</t>
  </si>
  <si>
    <t>ccsbr</t>
  </si>
  <si>
    <t>提亚卡乌战士</t>
  </si>
  <si>
    <t>通用敌方近战攻击,提亚卡乌卫士被动</t>
  </si>
  <si>
    <t>阿卡胡拉中最常见的战士，被阻挡后&lt;@eb.key&gt;防御&lt;/&gt;提升</t>
  </si>
  <si>
    <t>enemy_1093_ccsbr_2</t>
  </si>
  <si>
    <t>ccsbr_2</t>
  </si>
  <si>
    <t>提亚卡乌卫士</t>
  </si>
  <si>
    <t>通用敌方近战攻击,提亚卡乌卫士被动1</t>
  </si>
  <si>
    <t>比普通战士更为勇猛的战士，被阻挡后&lt;@eb.key&gt;防御&lt;/&gt;提升</t>
  </si>
  <si>
    <t>enemy_1094_ccspm</t>
  </si>
  <si>
    <t>ccspm</t>
  </si>
  <si>
    <t>提亚卡乌投矛手</t>
  </si>
  <si>
    <t>提亚卡乌投矛手攻击</t>
  </si>
  <si>
    <t>和普通战士没有什么区别，只是学会了将武器进行投掷。射程短但攻速较快</t>
  </si>
  <si>
    <t>enemy_1094_ccspm_2</t>
  </si>
  <si>
    <t>ccspm_2</t>
  </si>
  <si>
    <t>提亚卡乌神投手</t>
  </si>
  <si>
    <t>经过锻炼而对投掷有了一定心得的战士,射程短但攻速较快</t>
  </si>
  <si>
    <t>enemy_1095_ccripr</t>
  </si>
  <si>
    <t>ccripr</t>
  </si>
  <si>
    <t>提亚卡乌好战者</t>
  </si>
  <si>
    <t>提亚卡乌好战者攻击</t>
  </si>
  <si>
    <t>好战的提亚卡乌战士，攻击速度非常快，每次攻击&lt;@eb.key&gt;降低目标防御&lt;/&gt;</t>
  </si>
  <si>
    <t>enemy_1095_ccripr_2</t>
  </si>
  <si>
    <t>ccripr_2</t>
  </si>
  <si>
    <t>提亚卡乌撕裂者</t>
  </si>
  <si>
    <t>提亚卡乌好战者攻击1</t>
  </si>
  <si>
    <t>十分好战的提亚卡乌战士，攻击速度很快，每次攻击&lt;@eb.key&gt;降低目标防御&lt;/&gt;</t>
  </si>
  <si>
    <t>enemy_1096_ccwitch</t>
  </si>
  <si>
    <t>ccwitch</t>
  </si>
  <si>
    <t>提亚卡乌巫术师</t>
  </si>
  <si>
    <t>提亚卡乌巫术师远程攻击,提亚卡乌巫术师被动,提亚卡乌巫术师近战攻击</t>
  </si>
  <si>
    <t>阿卡胡拉中少见的源石技艺使用者，远程攻击造成&lt;@eb.key&gt;法术伤害&lt;/&gt;，近战攻击造成&lt;@eb.key&gt;物理伤害&lt;/&gt;</t>
  </si>
  <si>
    <t>enemy_1096_ccwitch_2</t>
  </si>
  <si>
    <t>ccwitch_2</t>
  </si>
  <si>
    <t>提亚卡乌大巫</t>
  </si>
  <si>
    <t>提亚卡乌巫术师远程攻击,提亚卡乌巫术师被动1,提亚卡乌巫术师近战攻击</t>
  </si>
  <si>
    <t>对源石技艺有一定心得的术师，远程攻击造成&lt;@eb.key&gt;法术伤害&lt;/&gt;，近战攻击造成&lt;@eb.key&gt;物理伤害&lt;/&gt;</t>
  </si>
  <si>
    <t>enemy_1097_cclmbjk</t>
  </si>
  <si>
    <t>cclmbjk</t>
  </si>
  <si>
    <t>提亚卡乌破坏者</t>
  </si>
  <si>
    <t>擅长在雨林中作战的提亚卡乌战士，能够破坏&lt;@eb.key&gt;木桩&lt;/&gt;地形</t>
  </si>
  <si>
    <t>enemy_1097_cclmbjk_2</t>
  </si>
  <si>
    <t>cclmbjk_2</t>
  </si>
  <si>
    <t>提亚卡乌破坏王</t>
  </si>
  <si>
    <t>enemy_1098_cchmpn</t>
  </si>
  <si>
    <t>cchmpn</t>
  </si>
  <si>
    <t>提亚卡乌勇士</t>
  </si>
  <si>
    <t>通用敌方近战攻击,大鳄鱼阻挡减防,大鳄鱼阻挡目标减防</t>
  </si>
  <si>
    <t>非常强大的提亚卡乌战士。被阻挡后自身与攻击目标&lt;@eb.key&gt;防御下降&lt;/&gt;，且只会受到来自攻击目标的伤害</t>
  </si>
  <si>
    <t>enemy_1098_cchmpn_2</t>
  </si>
  <si>
    <t>cchmpn_2</t>
  </si>
  <si>
    <t>提亚卡乌冠军</t>
  </si>
  <si>
    <t>极为强大的提亚卡乌战士。被阻挡后自身与攻击目标&lt;@eb.key&gt;防御下降&lt;/&gt;，且只会受到来自攻击目标的伤害</t>
  </si>
  <si>
    <t>enemy_1512_mcmstr</t>
  </si>
  <si>
    <t>mcmstr</t>
  </si>
  <si>
    <t>“巨大的丑东西”</t>
  </si>
  <si>
    <t>领袖,远程,机械</t>
  </si>
  <si>
    <t>庞大的机械怪兽，由大祭司驾驶。能够破坏木桩，损毁时会弹射驾驶员并自爆。</t>
  </si>
  <si>
    <t>enemy_2001_duckmi</t>
  </si>
  <si>
    <t>duckmi</t>
  </si>
  <si>
    <t>鸭爵</t>
  </si>
  <si>
    <t>精英,不攻击</t>
  </si>
  <si>
    <t>神出鬼没，无法被阻挡，被攻击后&lt;@eb.key&gt;快速奔跑&lt;/&gt;，击倒后获得&lt;@eb.key&gt;宝物&lt;/&gt;</t>
  </si>
  <si>
    <t>enemy_2002_bearmi</t>
  </si>
  <si>
    <t>bearmi</t>
  </si>
  <si>
    <t>高普尼克</t>
  </si>
  <si>
    <t>鸭爵雇佣的乌萨斯保安，无法被眩晕，击倒后获得&lt;@eb.key&gt;宝物&lt;/&gt;</t>
  </si>
  <si>
    <t>enemy_2003_rockman</t>
  </si>
  <si>
    <t>rockman</t>
  </si>
  <si>
    <t>迷路的巨像</t>
  </si>
  <si>
    <t>领袖,近战,法术造物</t>
  </si>
  <si>
    <t>防御很高的实验造物，可以投掷石头造成超长时间&lt;@eb.key&gt;晕眩&lt;/&gt;</t>
  </si>
  <si>
    <t>enemy_2004_balloon</t>
  </si>
  <si>
    <t>balloon</t>
  </si>
  <si>
    <t>喷气人</t>
  </si>
  <si>
    <t>一个背着自制喷气背包的怪人，被阻挡后会&lt;@eb.key&gt;飞起来&lt;/&gt;一段时间</t>
  </si>
  <si>
    <t>enemy_2005_axetro</t>
  </si>
  <si>
    <t>axetro</t>
  </si>
  <si>
    <t>“遗弃者”</t>
  </si>
  <si>
    <t>一位被源石严重侵蚀的保安，&lt;@eb.key&gt;连续攻击&lt;/&gt;时会提高攻击力和攻击速度，4秒不攻击后&lt;@eb.key&gt;清空&lt;/&gt;</t>
  </si>
  <si>
    <t>enemy_2006_flsnip</t>
  </si>
  <si>
    <t>flsnip</t>
  </si>
  <si>
    <t>锈锤战士</t>
  </si>
  <si>
    <t>通常时进行远程物理攻击，可以射出造成&lt;@eb.key&gt;极高法术伤害&lt;/&gt;的弩箭</t>
  </si>
  <si>
    <t>enemy_2007_flwitch</t>
  </si>
  <si>
    <t>flwitch</t>
  </si>
  <si>
    <t>“寒灾”</t>
  </si>
  <si>
    <t>普通攻击和冰环能够施加寒冷，并且使被冻结状态下离场的我方单位&lt;@eb.key&gt;再部署时间加倍&lt;/&gt;</t>
  </si>
  <si>
    <t>enemy_2008_flking</t>
  </si>
  <si>
    <t>flking</t>
  </si>
  <si>
    <t>“墓碑”</t>
  </si>
  <si>
    <t>大幅度削弱我方单位的作战能力，会周期性地为自己添加抵御伤害的&lt;@eb.key&gt;护盾&lt;/&gt;</t>
  </si>
  <si>
    <t>enemy_1099_nbkght</t>
  </si>
  <si>
    <t>nbkght</t>
  </si>
  <si>
    <t>无名独立骑士</t>
  </si>
  <si>
    <t>卡西米尔独立骑士，身价微妙，技艺不精</t>
  </si>
  <si>
    <t>enemy_1099_nbkght_2</t>
  </si>
  <si>
    <t>nbkght_2</t>
  </si>
  <si>
    <t>无名精锐骑士</t>
  </si>
  <si>
    <t>卡西米尔独立骑士，身价有所上涨，但水准仍旧堪忧</t>
  </si>
  <si>
    <t>enemy_1100_scorpn</t>
  </si>
  <si>
    <t>scorpn</t>
  </si>
  <si>
    <t>训练用钳兽</t>
  </si>
  <si>
    <t>卡西米尔的长河大湖中常见的感染生物</t>
  </si>
  <si>
    <t>enemy_1100_scorpn_2</t>
  </si>
  <si>
    <t>scorpn_2</t>
  </si>
  <si>
    <t>训练用残暴钳兽</t>
  </si>
  <si>
    <t>enemy_1101_plkght</t>
  </si>
  <si>
    <t>plkght</t>
  </si>
  <si>
    <t>呼啸骑士团学徒</t>
  </si>
  <si>
    <t>呼啸骑士攻击,呼啸骑士被动,通用敌方远程近战攻击</t>
  </si>
  <si>
    <t>初始&lt;@eb.key&gt;防御力&lt;/&gt;与&lt;@eb.key&gt;法抗&lt;/&gt;大幅提升，持续一定时间</t>
  </si>
  <si>
    <t>enemy_1101_plkght_2</t>
  </si>
  <si>
    <t>plkght_2</t>
  </si>
  <si>
    <t>呼啸骑士团精锐</t>
  </si>
  <si>
    <t>enemy_1101_plkght_3</t>
  </si>
  <si>
    <t>plkght_3</t>
  </si>
  <si>
    <t>“塑料”瑟奇亚克</t>
  </si>
  <si>
    <t>呼啸骑士攻击,塑料骑士被动,通用敌方远程近战攻击</t>
  </si>
  <si>
    <t>enemy_1102_sdkght</t>
  </si>
  <si>
    <t>sdkght</t>
  </si>
  <si>
    <t>持盾独立骑士</t>
  </si>
  <si>
    <t>卡西米尔独立骑士，依赖装备进行防守，稳扎稳打</t>
  </si>
  <si>
    <t>enemy_1102_sdkght_2</t>
  </si>
  <si>
    <t>sdkght_2</t>
  </si>
  <si>
    <t>持盾精锐骑士</t>
  </si>
  <si>
    <t>卡西米尔独立骑士，拥有更精良的装备，依赖装备进行防守，稳扎稳打</t>
  </si>
  <si>
    <t>enemy_1103_wdkght</t>
  </si>
  <si>
    <t>wdkght</t>
  </si>
  <si>
    <t>沸血骑士团学徒</t>
  </si>
  <si>
    <t>通用敌方近战攻击,沸血骑士被动</t>
  </si>
  <si>
    <t>每有一个敌人死亡时&lt;@eb.key&gt;攻击力&lt;/&gt;与&lt;@eb.key&gt;攻击速度&lt;/&gt;提升，最多提升10次</t>
  </si>
  <si>
    <t>enemy_1103_wdkght_2</t>
  </si>
  <si>
    <t>wdkght_2</t>
  </si>
  <si>
    <t>沸血骑士团精锐</t>
  </si>
  <si>
    <t>enemy_1103_wdkght_3</t>
  </si>
  <si>
    <t>wdkght_3</t>
  </si>
  <si>
    <t>“锈铜”奥尔默·英格拉</t>
  </si>
  <si>
    <t>enemy_1104_lfkght</t>
  </si>
  <si>
    <t>lfkght</t>
  </si>
  <si>
    <t>锋盔骑士团学徒</t>
  </si>
  <si>
    <t>左手攻击,左手锁血,左手减攻</t>
  </si>
  <si>
    <t>使场上攻击力最高的我方单位&lt;@eb.key&gt;攻击力大幅降低&lt;/&gt;，持续一定时间；&lt;@eb.key&gt;重生&lt;/&gt;</t>
  </si>
  <si>
    <t>enemy_1104_lfkght_2</t>
  </si>
  <si>
    <t>lfkght_2</t>
  </si>
  <si>
    <t>锋盔骑士团精锐</t>
  </si>
  <si>
    <t>左手攻击,左手锁血,左手减攻1</t>
  </si>
  <si>
    <t>enemy_1104_lfkght_3</t>
  </si>
  <si>
    <t>lfkght_3</t>
  </si>
  <si>
    <t>“左手”泰特斯·白杨</t>
  </si>
  <si>
    <t>左手攻击,左手锁血,左手减攻2</t>
  </si>
  <si>
    <t>enemy_1105_tyokai</t>
  </si>
  <si>
    <t>tyokai</t>
  </si>
  <si>
    <t>赞助无人机</t>
  </si>
  <si>
    <t>艾伦精选科技公司感谢您的赞助！骑士们，击落它会获得&lt;@eb.key&gt;惊喜&lt;/&gt;哦！</t>
  </si>
  <si>
    <t>enemy_1105_tyokai_2</t>
  </si>
  <si>
    <t>tyokai_2</t>
  </si>
  <si>
    <t>豪华赞助无人机</t>
  </si>
  <si>
    <t>艾伦精选科技公司感谢您的赞助！骑士们，击落它会获得&lt;@eb.key&gt;更多惊喜&lt;/&gt;哦！</t>
  </si>
  <si>
    <t>enemy_1106_byokai</t>
  </si>
  <si>
    <t>byokai</t>
  </si>
  <si>
    <t>斗志昂扬无人机</t>
  </si>
  <si>
    <t>艾伦精选科技公司感谢您的赞助！骑士们，击落它会使你&lt;@eb.key&gt;防御力&lt;/&gt;与&lt;@eb.key&gt;攻击速度&lt;/&gt;大幅提升哦！</t>
  </si>
  <si>
    <t>enemy_1513_dekght</t>
  </si>
  <si>
    <t>dekght</t>
  </si>
  <si>
    <t>腐败骑士</t>
  </si>
  <si>
    <t>当凋零骑士死亡时，攻击力、攻击速度、移动速度大幅提升</t>
  </si>
  <si>
    <t>enemy_1513_dekght_2</t>
  </si>
  <si>
    <t>dekght_2</t>
  </si>
  <si>
    <t>凋零骑士</t>
  </si>
  <si>
    <t>当腐败骑士死亡时，攻击力、攻击速度、移动速度大幅提升</t>
  </si>
  <si>
    <t>enemy_1107_uoffcr</t>
  </si>
  <si>
    <t>uoffcr</t>
  </si>
  <si>
    <t>感染者纠察官</t>
  </si>
  <si>
    <t>八章普通近战攻击,攻击刁民</t>
  </si>
  <si>
    <t>可使用&lt;@eb.key&gt;远程武器&lt;/&gt;攻击乌萨斯平民与斗士塔露拉</t>
  </si>
  <si>
    <t>enemy_1107_uoffcr_2</t>
  </si>
  <si>
    <t>uoffcr_2</t>
  </si>
  <si>
    <t>感染者高级纠察官</t>
  </si>
  <si>
    <t>enemy_1108_uterer</t>
  </si>
  <si>
    <t>uterer</t>
  </si>
  <si>
    <t>乌萨斯裂兽</t>
  </si>
  <si>
    <t>乌萨斯军训练的作战生物</t>
  </si>
  <si>
    <t>enemy_1108_uterer_2</t>
  </si>
  <si>
    <t>uterer_2</t>
  </si>
  <si>
    <t>乌萨斯裂兽族母</t>
  </si>
  <si>
    <t>乌萨斯军训练的作战生物的族群领袖</t>
  </si>
  <si>
    <t>enemy_1109_uabone</t>
  </si>
  <si>
    <t>uabone</t>
  </si>
  <si>
    <t>乌萨斯突袭弩手</t>
  </si>
  <si>
    <t>乌萨斯弩手攻击,通用敌方远程近战攻击</t>
  </si>
  <si>
    <t>配备了威力强大的弩箭</t>
  </si>
  <si>
    <t>enemy_1109_uabone_2</t>
  </si>
  <si>
    <t>uabone_2</t>
  </si>
  <si>
    <t>乌萨斯高级突袭弩手</t>
  </si>
  <si>
    <t>配备了威力十分强大的弩箭</t>
  </si>
  <si>
    <t>enemy_1110_uamord</t>
  </si>
  <si>
    <t>uamord</t>
  </si>
  <si>
    <t>乌萨斯着铠术师</t>
  </si>
  <si>
    <t>乌萨斯术士远程攻击</t>
  </si>
  <si>
    <t>乌萨斯军中的基础术师</t>
  </si>
  <si>
    <t>enemy_1110_uamord_2</t>
  </si>
  <si>
    <t>uamord_2</t>
  </si>
  <si>
    <t>乌萨斯高级着铠术师</t>
  </si>
  <si>
    <t>乌萨斯军基础军伍术师中的表现优良者</t>
  </si>
  <si>
    <t>enemy_1111_ucommd</t>
  </si>
  <si>
    <t>ucommd</t>
  </si>
  <si>
    <t>乌萨斯突击者</t>
  </si>
  <si>
    <t>&lt;@eb.key&gt;阻挡能力大于等于2&lt;/&gt;的作战人员可以阻止。可使用&lt;@eb.key&gt;远程武器&lt;/&gt;攻击乌萨斯平民与斗士塔露拉</t>
  </si>
  <si>
    <t>Idile</t>
  </si>
  <si>
    <t>enemy_1111_ucommd_2</t>
  </si>
  <si>
    <t>ucommd_2</t>
  </si>
  <si>
    <t>乌萨斯突击者队长</t>
  </si>
  <si>
    <t>enemy_1112_emppnt</t>
  </si>
  <si>
    <t>emppnt</t>
  </si>
  <si>
    <t>帝国炮火先兆者</t>
  </si>
  <si>
    <t>帝国炮火先兆者攻击</t>
  </si>
  <si>
    <t>乌萨斯军炮兵术师操作的无人机，装甲厚重，材质坚实</t>
  </si>
  <si>
    <t>enemy_1112_emppnt_2</t>
  </si>
  <si>
    <t>emppnt_2</t>
  </si>
  <si>
    <t>帝国炮火中枢先兆者</t>
  </si>
  <si>
    <t>乌萨斯军炮兵术师操作的无人机中枢，装甲厚重，材质坚实</t>
  </si>
  <si>
    <t>enemy_1113_empace</t>
  </si>
  <si>
    <t>empace</t>
  </si>
  <si>
    <t>帝国前锋精锐</t>
  </si>
  <si>
    <t>帝国前锋精锐远程攻击,帝国前锋精锐近战攻击,帝国前锋精锐复仇</t>
  </si>
  <si>
    <t>精英,近战,远程</t>
  </si>
  <si>
    <t>未阻挡时远程攻击;生命值降至一半时攻击力&lt;@eb.key&gt;大幅提升&lt;/&gt;</t>
  </si>
  <si>
    <t>enemy_1113_empace_2</t>
  </si>
  <si>
    <t>empace_2</t>
  </si>
  <si>
    <t>帝国前锋百战精锐</t>
  </si>
  <si>
    <t>enemy_1114_rgrdmn</t>
  </si>
  <si>
    <t>rgrdmn</t>
  </si>
  <si>
    <t>萨卡兹宿主百夫长</t>
  </si>
  <si>
    <t>宿主百夫长攻击</t>
  </si>
  <si>
    <t>同时攻击三个目标;每次&lt;@eb.key&gt;攻击回复自身生命值&lt;/&gt;</t>
  </si>
  <si>
    <t>enemy_1114_rgrdmn_2</t>
  </si>
  <si>
    <t>rgrdmn_2</t>
  </si>
  <si>
    <t>萨卡兹宿主卫巢百夫长</t>
  </si>
  <si>
    <t>enemy_1115_embald</t>
  </si>
  <si>
    <t>embald</t>
  </si>
  <si>
    <t>皇帝的利刃</t>
  </si>
  <si>
    <t>两只穿着制服的恐怖精怪，正饶有兴趣地观察着塔露拉。对&lt;@eb.key&gt;斗士塔露拉&lt;/&gt;永久施加【削弱】(&lt;@eb.key&gt;防御力与法抗大幅降低&lt;/&gt;）</t>
  </si>
  <si>
    <t>enemy_1503_talula</t>
  </si>
  <si>
    <t>talula</t>
  </si>
  <si>
    <t>塔露拉</t>
  </si>
  <si>
    <t>塔露拉远程攻击,塔露拉近战攻击,塔露拉点燃,塔露拉日冕,塔露拉半血,黑蛇复活动作</t>
  </si>
  <si>
    <t>令人捉摸不透的整合运动领袖。</t>
  </si>
  <si>
    <t>enemy_1514_smephi</t>
  </si>
  <si>
    <t>smephi</t>
  </si>
  <si>
    <t>梅菲斯特，\"歌者\"</t>
  </si>
  <si>
    <t>被痛苦包围的异样生物。&lt;@eb.key&gt;无法被阻挡&lt;/&gt;且每损失一定生命会释放毒性粉尘</t>
  </si>
  <si>
    <t>Move_begin,Move_loop,Move_end</t>
  </si>
  <si>
    <t>enemy_1515_bsnake</t>
  </si>
  <si>
    <t>bsnake</t>
  </si>
  <si>
    <t>不死的黑蛇</t>
  </si>
  <si>
    <t>黑蛇攻击,黑蛇减伤,黑蛇点燃,黑蛇引爆,黑蛇锁血,黑蛇复活动作,黑蛇自杀,黑蛇锁血2,黑蛇波次</t>
  </si>
  <si>
    <t>无数次死去也不曾自乌萨斯土地上消失的古老意志。</t>
  </si>
  <si>
    <t>Idle_A</t>
  </si>
  <si>
    <t>Move_A</t>
  </si>
  <si>
    <t>enemy_3001_upeopl</t>
  </si>
  <si>
    <t>upeopl</t>
  </si>
  <si>
    <t>乌萨斯平民</t>
  </si>
  <si>
    <t>破坏伤害,通用绝食,平民不可阻挡</t>
  </si>
  <si>
    <t>普通,不攻击,刁民,中立单位</t>
  </si>
  <si>
    <t>&lt;@eb.key&gt;友好单位&lt;/&gt;撤回保护目标时不扣除关卡生命值，死亡时扣除关卡生命值;不计入歼灭数</t>
  </si>
  <si>
    <t>enemy_3002_ftrtal</t>
  </si>
  <si>
    <t>ftrtal</t>
  </si>
  <si>
    <t>斗士塔露拉</t>
  </si>
  <si>
    <t>领袖,远程,刁民,中立单位</t>
  </si>
  <si>
    <t>&lt;@eb.key&gt;友好单位&lt;/&gt;进入侵入点时不扣除关卡生命值，死亡时扣除关卡生命值;不计入歼灭数</t>
  </si>
  <si>
    <t>#enemy_3002_ftrtal_s</t>
  </si>
  <si>
    <t>ftrtal_s</t>
  </si>
  <si>
    <t>enemy_1116_liprr</t>
  </si>
  <si>
    <t>liprr</t>
  </si>
  <si>
    <t>普通囚犯</t>
  </si>
  <si>
    <t>普通,近战,囚犯</t>
  </si>
  <si>
    <t>曼斯菲尔德监狱中比较常见的囚犯，解放后&lt;@eb.key&gt;攻击力提升&lt;/&gt;</t>
  </si>
  <si>
    <t>enemy_1116_liprr_2</t>
  </si>
  <si>
    <t>liprr_2</t>
  </si>
  <si>
    <t>老练囚犯</t>
  </si>
  <si>
    <t>熟知曼斯菲尔德监狱生存法则的囚犯，解放后&lt;@eb.key&gt;攻击力提升&lt;/&gt;</t>
  </si>
  <si>
    <t>enemy_1117_liiprr</t>
  </si>
  <si>
    <t>liiprr</t>
  </si>
  <si>
    <t>射手囚犯</t>
  </si>
  <si>
    <t>普通,远程,囚犯</t>
  </si>
  <si>
    <t>自制远程武器的囚犯，解放后&lt;@eb.key&gt;攻击切换成法术伤害&lt;/&gt;；优先攻击禁锢装置</t>
  </si>
  <si>
    <t>enemy_1117_liiprr_2</t>
  </si>
  <si>
    <t>liiprr_2</t>
  </si>
  <si>
    <t>神射手囚犯</t>
  </si>
  <si>
    <t>擅长使用自制远程武器的囚犯，解放后&lt;@eb.key&gt;攻击切换成法术伤害&lt;/&gt;；优先攻击禁锢装置</t>
  </si>
  <si>
    <t>enemy_1118_lidbox</t>
  </si>
  <si>
    <t>lidbox</t>
  </si>
  <si>
    <t>拳手囚犯</t>
  </si>
  <si>
    <t>精英,近战,囚犯</t>
  </si>
  <si>
    <t>对自己的双拳相当自信的囚犯，解放后攻击&lt;@eb.key&gt;无视目标一定的防御力&lt;/&gt;</t>
  </si>
  <si>
    <t>Default_grey</t>
  </si>
  <si>
    <t>Idle_grey</t>
  </si>
  <si>
    <t>Move_grey</t>
  </si>
  <si>
    <t>Die_grey</t>
  </si>
  <si>
    <t>enemy_1118_lidbox_2</t>
  </si>
  <si>
    <t>lidbox_2</t>
  </si>
  <si>
    <t>拳师囚犯</t>
  </si>
  <si>
    <t>对自己的双拳十分自信的囚犯，解放后攻击&lt;@eb.key&gt;无视目标较多的防御力&lt;/&gt;</t>
  </si>
  <si>
    <t>enemy_1119_vofsd</t>
  </si>
  <si>
    <t>vofsd</t>
  </si>
  <si>
    <t>强壮囚犯</t>
  </si>
  <si>
    <t>力气很大的囚犯，在混战时往往冲在最前线，解放后&lt;@eb.key&gt;法术抗性提升且能够自然恢复生命&lt;/&gt;</t>
  </si>
  <si>
    <t>enemy_1119_vofsd_2</t>
  </si>
  <si>
    <t>vofsd_2</t>
  </si>
  <si>
    <t>巨汉囚犯</t>
  </si>
  <si>
    <t>力气巨大的囚犯，在混战时往往冲在最前线，解放后&lt;@eb.key&gt;法术抗性大幅提升且能够自然恢复生命&lt;/&gt;</t>
  </si>
  <si>
    <t>enemy_1120_vofwiz</t>
  </si>
  <si>
    <t>vofwiz</t>
  </si>
  <si>
    <t>术师囚犯</t>
  </si>
  <si>
    <t>精英,远程,囚犯</t>
  </si>
  <si>
    <t>擅长源石技艺的囚犯，在场时&lt;@eb.key&gt;全场敌人攻击速度提升&lt;/&gt;；禁锢状态下&lt;@eb.key&gt;不攻击但防御力提升&lt;/&gt;；解放后&lt;@eb.key&gt;同时攻击2个目标&lt;/&gt;；优先攻击禁锢装置</t>
  </si>
  <si>
    <t>enemy_1120_vofwiz_2</t>
  </si>
  <si>
    <t>vofwiz_2</t>
  </si>
  <si>
    <t>危险术师囚犯</t>
  </si>
  <si>
    <t>十分擅长源石技艺的囚犯，在场时&lt;@eb.key&gt;全场敌人攻击速度大幅提升&lt;/&gt;；禁锢状态下&lt;@eb.key&gt;不攻击但防御力提升&lt;/&gt;；解放后&lt;@eb.key&gt;同时攻击2个目标&lt;/&gt;；优先攻击禁锢装置</t>
  </si>
  <si>
    <t>enemy_1121_lifbos</t>
  </si>
  <si>
    <t>lifbos</t>
  </si>
  <si>
    <t>重犯</t>
  </si>
  <si>
    <t>囚犯和狱警都相当惧怕的凶恶囚犯。禁锢状态下&lt;@eb.key&gt;拥有额外防御&lt;/&gt;；&lt;@eb.key&gt;第一次解放&lt;/&gt;时同时&lt;@eb.key&gt;解放全场敌人&lt;/&gt;</t>
  </si>
  <si>
    <t>enemy_1121_lifbos_2</t>
  </si>
  <si>
    <t>lifbos_2</t>
  </si>
  <si>
    <t>传奇重犯</t>
  </si>
  <si>
    <t>战斗力仅次于安东尼的存在。禁锢状态下&lt;@eb.key&gt;拥有额外防御&lt;/&gt;；&lt;@eb.key&gt;第一次解放&lt;/&gt;时同时&lt;@eb.key&gt;解放全场敌人&lt;/&gt;</t>
  </si>
  <si>
    <t>enemy_1516_jakill</t>
  </si>
  <si>
    <t>jakill</t>
  </si>
  <si>
    <t>杰斯顿·威廉姆斯</t>
  </si>
  <si>
    <t>狱警形态&lt;@eb.key&gt;法术抗性提升&lt;/&gt;，攻击造成&lt;@eb.key&gt;法术伤害&lt;/&gt;，不攻击禁锢装置；杀手形态&lt;@eb.key&gt;防御提升&lt;/&gt;，攻击造成&lt;@eb.key&gt;物理伤害&lt;/&gt;；进入杀手形态时&lt;@eb.key&gt;解放全场敌人&lt;/&gt;</t>
  </si>
  <si>
    <t>C1_Default</t>
  </si>
  <si>
    <t>C1_Idle</t>
  </si>
  <si>
    <t>C1_Move</t>
  </si>
  <si>
    <t>C1_Die</t>
  </si>
  <si>
    <t>enemy_1122_sphond</t>
  </si>
  <si>
    <t>sphond</t>
  </si>
  <si>
    <t>“小躁”</t>
  </si>
  <si>
    <t>普通,近战,化物</t>
  </si>
  <si>
    <t>兽形的墨魉。脾气急躁，喜欢吃杏子。</t>
  </si>
  <si>
    <t>enemy_1122_sphond_2</t>
  </si>
  <si>
    <t>sphond_2</t>
  </si>
  <si>
    <t>焦急的“小躁”</t>
  </si>
  <si>
    <t>enemy_1123_spsbr</t>
  </si>
  <si>
    <t>spsbr</t>
  </si>
  <si>
    <t>“阿咬”</t>
  </si>
  <si>
    <t>平凡的墨魉。似乎是群居生物，如果落单的话会感到很孤单。</t>
  </si>
  <si>
    <t>enemy_1123_spsbr_2</t>
  </si>
  <si>
    <t>spsbr_2</t>
  </si>
  <si>
    <t>认真的“阿咬”</t>
  </si>
  <si>
    <t>enemy_1124_spbow</t>
  </si>
  <si>
    <t>spbow</t>
  </si>
  <si>
    <t>“匕现”</t>
  </si>
  <si>
    <t>普通,远程,化物</t>
  </si>
  <si>
    <t>奸诈的墨魉。十分狡猾，而且傲慢，会&lt;@eb.key&gt;优先攻击相反属性&lt;/&gt;的敌人。</t>
  </si>
  <si>
    <t>enemy_1124_spbow_2</t>
  </si>
  <si>
    <t>spbow_2</t>
  </si>
  <si>
    <t>迂回的“匕现”</t>
  </si>
  <si>
    <t>enemy_1125_spshld</t>
  </si>
  <si>
    <t>spshld</t>
  </si>
  <si>
    <t>“偷闲”</t>
  </si>
  <si>
    <t>精英,近战,化物</t>
  </si>
  <si>
    <t>威严的墨魉。因为不喜欢动，时常被别人当成假山。&lt;@eb.key&gt;能吸引敌人攻击自己&lt;/&gt;，坚硬无比。</t>
  </si>
  <si>
    <t>enemy_1125_spshld_2</t>
  </si>
  <si>
    <t>spshld_2</t>
  </si>
  <si>
    <t>不动的“偷闲”</t>
  </si>
  <si>
    <t>enemy_1126_spslme</t>
  </si>
  <si>
    <t>spslme</t>
  </si>
  <si>
    <t>“得意”</t>
  </si>
  <si>
    <t>普通,近战,化物,得意</t>
  </si>
  <si>
    <t>&lt;@eb.key&gt;只被同属性单位阻挡&lt;/&gt;。死亡后&lt;@eb.danger&gt;爆炸&lt;/&gt;，碰触到相反属性的同胞则会引发&lt;@eb.danger&gt;更剧烈的爆炸&lt;/&gt;。</t>
  </si>
  <si>
    <t>enemy_1126_spslme_2</t>
  </si>
  <si>
    <t>spslme_2</t>
  </si>
  <si>
    <t>恍惚的“得意”</t>
  </si>
  <si>
    <t>enemy_1127_sptrkg</t>
  </si>
  <si>
    <t>sptrkg</t>
  </si>
  <si>
    <t>“遮目”</t>
  </si>
  <si>
    <t>莽撞的墨魉。只会一门心思往前冲，从来不顾及周遭的情况。&lt;@eb.key&gt;只能被相同属性的单位阻挡&lt;/&gt;。</t>
  </si>
  <si>
    <t>enemy_1127_sptrkg_2</t>
  </si>
  <si>
    <t>sptrkg_2</t>
  </si>
  <si>
    <t>不歇的“遮目”</t>
  </si>
  <si>
    <t>enemy_1128_spmage</t>
  </si>
  <si>
    <t>spmage</t>
  </si>
  <si>
    <t>“妒”</t>
  </si>
  <si>
    <t>精英,远程,化物</t>
  </si>
  <si>
    <t>可怕的墨魉。其实都是些很神经质的家伙，从来睡不好觉。其法术可以使&lt;@eb.key&gt;晦明变化&lt;/&gt;。</t>
  </si>
  <si>
    <t>enemy_1128_spmage_2</t>
  </si>
  <si>
    <t>spmage_2</t>
  </si>
  <si>
    <t>复杂的“妒”</t>
  </si>
  <si>
    <t>enemy_1129_spklr</t>
  </si>
  <si>
    <t>spklr</t>
  </si>
  <si>
    <t>“盛怒”</t>
  </si>
  <si>
    <t>强壮的墨魉。身材高大体格强壮，攻击与自身属性相反的敌人时更加强大。</t>
  </si>
  <si>
    <t>enemy_1129_spklr_2</t>
  </si>
  <si>
    <t>spklr_2</t>
  </si>
  <si>
    <t>无羁的“盛怒”</t>
  </si>
  <si>
    <t>enemy_1517_xi</t>
  </si>
  <si>
    <t>xi</t>
  </si>
  <si>
    <t>“自在”</t>
  </si>
  <si>
    <t>领袖,远程,化物</t>
  </si>
  <si>
    <t>夕绘出的怪物。【纬地经天】：&lt;@eb.key&gt;使我方晦明变化&lt;/&gt;。【破桎而出】：护盾&lt;@eb.key&gt;未被击破&lt;/&gt;则造成&lt;@eb.danger&gt;巨额范围伤害&lt;/&gt;。</t>
  </si>
  <si>
    <t>#enemy_1518_dusk</t>
  </si>
  <si>
    <t>dusk</t>
  </si>
  <si>
    <t>夕</t>
  </si>
  <si>
    <t>enemy_4001_toxcar</t>
  </si>
  <si>
    <t>toxcar</t>
  </si>
  <si>
    <t>改造瓦斯车</t>
  </si>
  <si>
    <t>精英,近战,远程,机械</t>
  </si>
  <si>
    <t>可露希尔改造的农药喷洒车，未被阻挡时，不断释放毒气。</t>
  </si>
  <si>
    <t>enemy_4001_toxcar_2</t>
  </si>
  <si>
    <t>toxcar_2</t>
  </si>
  <si>
    <t>高能瓦斯车</t>
  </si>
  <si>
    <t>enemy_4002_syokai</t>
  </si>
  <si>
    <t>syokai</t>
  </si>
  <si>
    <t>二手廉价无人机</t>
  </si>
  <si>
    <t>卡西米尔竞技场已经淘汰的便宜货，真的是足够便宜。</t>
  </si>
  <si>
    <t>enemy_4002_syokai_2</t>
  </si>
  <si>
    <t>syokai_2</t>
  </si>
  <si>
    <t>二手改造无人机</t>
  </si>
  <si>
    <t>enemy_4003_pbank</t>
  </si>
  <si>
    <t>pbank</t>
  </si>
  <si>
    <t>移动电源</t>
  </si>
  <si>
    <t>普通,不攻击,机械</t>
  </si>
  <si>
    <t>哥伦比亚某科技公司早年的实验产品，死亡后回复周围所有我方单位技力。</t>
  </si>
  <si>
    <t>enemy_1130_infstr</t>
  </si>
  <si>
    <t>infstr</t>
  </si>
  <si>
    <t>畸变体傀儡</t>
  </si>
  <si>
    <t>通用敌方近战攻击,死亡召唤畸变赘生物</t>
  </si>
  <si>
    <t>死亡时分裂&lt;@eb.key&gt;两个&lt;畸变赘生物&gt;&lt;/&gt;</t>
  </si>
  <si>
    <t>enemy_1131_sbeast</t>
  </si>
  <si>
    <t>sbeast</t>
  </si>
  <si>
    <t>变异沙地兽</t>
  </si>
  <si>
    <t>enemy_1131_sbeast_2</t>
  </si>
  <si>
    <t>sbeast_2</t>
  </si>
  <si>
    <t>变异沙地兽α</t>
  </si>
  <si>
    <t>通用敌方近战攻击,死亡召唤畸变恶性瘤</t>
  </si>
  <si>
    <t>死亡时分裂&lt;@eb.key&gt;两个&lt;畸变恶性瘤&gt;&lt;/&gt;</t>
  </si>
  <si>
    <t>enemy_1132_sarchn</t>
  </si>
  <si>
    <t>sarchn</t>
  </si>
  <si>
    <t>变异岩蛛</t>
  </si>
  <si>
    <t>通用敌方近战攻击,死亡召唤畸变赘生物1</t>
  </si>
  <si>
    <t>死亡时分裂&lt;@eb.key&gt;三个&lt;畸变赘生物&gt;&lt;/&gt;</t>
  </si>
  <si>
    <t>enemy_1132_sarchn_2</t>
  </si>
  <si>
    <t>sarchn_2</t>
  </si>
  <si>
    <t>变异岩蛛α</t>
  </si>
  <si>
    <t>通用敌方近战攻击,死亡召唤畸变恶性瘤1</t>
  </si>
  <si>
    <t>死亡时分裂&lt;@eb.key&gt;三个&lt;畸变恶性瘤&gt;&lt;/&gt;</t>
  </si>
  <si>
    <t>enemy_1133_harchn</t>
  </si>
  <si>
    <t>harchn</t>
  </si>
  <si>
    <t>变异巨岩蛛</t>
  </si>
  <si>
    <t>变异巨岩蛛攻击,死亡召唤畸变赘生物2,召唤畸变赘生物</t>
  </si>
  <si>
    <t>精英,远程,感染生物</t>
  </si>
  <si>
    <t>周期性分裂一个&lt;@eb.key&gt;&lt;畸变赘生物&gt;&lt;/&gt;；死亡时分裂&lt;@eb.key&gt;四个&lt;畸变赘生物&gt;&lt;/&gt;</t>
  </si>
  <si>
    <t>enemy_1133_harchn_2</t>
  </si>
  <si>
    <t>harchn_2</t>
  </si>
  <si>
    <t>变异巨岩蛛α</t>
  </si>
  <si>
    <t>变异巨岩蛛攻击,死亡召唤畸变恶性瘤2,召唤畸变恶性瘤</t>
  </si>
  <si>
    <t>周期性分裂一个&lt;@eb.key&gt;&lt;畸变恶性瘤&gt;&lt;/&gt;；死亡时分裂&lt;@eb.key&gt;四个&lt;畸变恶性瘤&gt;&lt;/&gt;</t>
  </si>
  <si>
    <t>enemy_1134_diamd</t>
  </si>
  <si>
    <t>diamd</t>
  </si>
  <si>
    <t>源石畸变体</t>
  </si>
  <si>
    <t>精英,近战,感染生物</t>
  </si>
  <si>
    <t>兵器化改造的源石畸变生物，拥有极其坚硬的外壳</t>
  </si>
  <si>
    <t>enemy_1134_diamd_2</t>
  </si>
  <si>
    <t>diamd_2</t>
  </si>
  <si>
    <t>源石畸变体α</t>
  </si>
  <si>
    <t>兵器化改造的源石畸变生物，更加凶猛可怖。</t>
  </si>
  <si>
    <t>enemy_1135_redman</t>
  </si>
  <si>
    <t>redman</t>
  </si>
  <si>
    <t>“红标”根除者</t>
  </si>
  <si>
    <t>隐匿;只远程攻击暴露在&lt;@eb.key&gt;&lt;沙尘暴&gt;中&lt;/&gt;的我方单位</t>
  </si>
  <si>
    <t>C_Idle</t>
  </si>
  <si>
    <t>C_Move</t>
  </si>
  <si>
    <t>C_Die</t>
  </si>
  <si>
    <t>enemy_1135_redman_2</t>
  </si>
  <si>
    <t>redman_2</t>
  </si>
  <si>
    <t>“红标”精英根除者</t>
  </si>
  <si>
    <t>enemy_1136_redace</t>
  </si>
  <si>
    <t>redace</t>
  </si>
  <si>
    <t>“红标”渗透者</t>
  </si>
  <si>
    <t>首次受伤时制造一个&lt;全息幻影&gt;；幻影存在时自身&lt;@eb.key&gt;不可被阻挡&lt;/&gt;、不容易被攻击；在沙尘暴中获得&lt;@eb.key&gt;物理与法术闪避&lt;/&gt;</t>
  </si>
  <si>
    <t>enemy_1136_redace_2</t>
  </si>
  <si>
    <t>redace_2</t>
  </si>
  <si>
    <t>“红标”精英渗透者</t>
  </si>
  <si>
    <t>enemy_1137_plasm</t>
  </si>
  <si>
    <t>plasm</t>
  </si>
  <si>
    <t>畸变赘生物</t>
  </si>
  <si>
    <t>通用敌方近战攻击,召唤物不待机</t>
  </si>
  <si>
    <t>在辐射变异与源石感染双重作用下诞生的扭曲生物。</t>
  </si>
  <si>
    <t>enemy_1138_tumor</t>
  </si>
  <si>
    <t>tumor</t>
  </si>
  <si>
    <t>畸变恶性瘤</t>
  </si>
  <si>
    <t>通用敌方近战攻击,畸变瘤阻挡目标攻速,召唤物不待机</t>
  </si>
  <si>
    <t>在辐射变异与源石感染双重作用下诞生的变异生物，被阻挡时使阻挡单位&lt;@eb.key&gt;攻击速度&lt;/&gt;极大副降低</t>
  </si>
  <si>
    <t>enemy_1139_hologc</t>
  </si>
  <si>
    <t>hologc</t>
  </si>
  <si>
    <t>全息影像</t>
  </si>
  <si>
    <t>哥伦比亚某个科技公司的战术用源石设备，&lt;@eb.key&gt;无法移动&lt;/&gt;</t>
  </si>
  <si>
    <t>enemy_1139_hologc_2</t>
  </si>
  <si>
    <t>hologc_2</t>
  </si>
  <si>
    <t>全息幻影MK2</t>
  </si>
  <si>
    <t>哥伦比亚某个科技公司的战术用源石设备的最新型号，&lt;@eb.key&gt;无法移动&lt;/&gt;</t>
  </si>
  <si>
    <t>enemy_1519_bgball</t>
  </si>
  <si>
    <t>bgball</t>
  </si>
  <si>
    <t>“进化的本质”</t>
  </si>
  <si>
    <t>领袖,不攻击,感染生物</t>
  </si>
  <si>
    <t>不应行于这片大地的狂人，不应存于彼端世界的奇物，二者的结合诞生出了这一超越生物常理的“进化”之节点</t>
  </si>
  <si>
    <t>enemy_1140_merhd</t>
  </si>
  <si>
    <t>merhd</t>
  </si>
  <si>
    <t>战术猎犬</t>
  </si>
  <si>
    <t>被术师操纵的感染生物，在雇佣兵中被大规模使用，&lt;@eb.key&gt;行动速度很快&lt;/&gt;。</t>
  </si>
  <si>
    <t>enemy_1140_merhd_2</t>
  </si>
  <si>
    <t>merhd_2</t>
  </si>
  <si>
    <t>战术猎犬pro</t>
  </si>
  <si>
    <t>比战术猎犬更具有作战能力，&lt;@eb.key&gt;行动速度很快&lt;/&gt;。</t>
  </si>
  <si>
    <t>enemy_1141_merbow</t>
  </si>
  <si>
    <t>merbow</t>
  </si>
  <si>
    <t>战术弩手</t>
  </si>
  <si>
    <t>远程作战佣兵，&lt;@eb.key&gt;使用远距离攻击&lt;/&gt;，会呼叫&lt;@eb.key&gt;攻击型空援无人机&lt;破片&gt;&lt;/&gt;对目标进行轰炸。</t>
  </si>
  <si>
    <t>enemy_1141_merbow_2</t>
  </si>
  <si>
    <t>merbow_2</t>
  </si>
  <si>
    <t>战术弩手组长</t>
  </si>
  <si>
    <t>远程作战佣兵，&lt;@eb.key&gt;使用远距离攻击&lt;/&gt;，会呼叫&lt;@eb.key&gt;高级攻击型空援无人机&lt;破片U型&gt;&lt;/&gt;对目标进行轰炸。</t>
  </si>
  <si>
    <t>enemy_1142_mershd</t>
  </si>
  <si>
    <t>mershd</t>
  </si>
  <si>
    <t>战术防御者</t>
  </si>
  <si>
    <t>身着重甲的佣兵，在作战中呼叫&lt;@eb.key&gt;防御型空援无人机&lt;铁砧&gt;&lt;/&gt;为己方提供保护性战术支援。</t>
  </si>
  <si>
    <t>enemy_1142_mershd_2</t>
  </si>
  <si>
    <t>mershd_2</t>
  </si>
  <si>
    <t>战术防御者组长</t>
  </si>
  <si>
    <t>身着重甲的佣兵，在作战中呼叫&lt;@eb.key&gt;高级防御型空援无人机&lt;铁砧B型&gt;&lt;/&gt;为己方提供保护性战术支援。</t>
  </si>
  <si>
    <t>enemy_1143_merrpg</t>
  </si>
  <si>
    <t>merrpg</t>
  </si>
  <si>
    <t>反装甲步兵</t>
  </si>
  <si>
    <t>反装甲作战佣兵，发射一次性的&lt;@eb.key&gt;超远距离榴弹&lt;/&gt;后，以&lt;@eb.key&gt;更快的速度&lt;/&gt;冲锋。</t>
  </si>
  <si>
    <t>enemy_1143_merrpg_2</t>
  </si>
  <si>
    <t>merrpg_2</t>
  </si>
  <si>
    <t>反装甲步兵组长</t>
  </si>
  <si>
    <t>反装甲作战佣兵，发射一次性的&lt;@eb.key&gt;大威力超远距离榴弹&lt;/&gt;后，以&lt;@eb.key&gt;更快的速度&lt;/&gt;冲锋。</t>
  </si>
  <si>
    <t>enemy_1144_merlgd</t>
  </si>
  <si>
    <t>merlgd</t>
  </si>
  <si>
    <t>战争幽灵</t>
  </si>
  <si>
    <t>实力恐怖的强大佣兵，操纵&lt;@eb.key&gt;多种空援无人机&lt;/&gt;协助作战，在场时&lt;@eb.key&gt;所有空援无人机移动速度大幅度提升&lt;/&gt;。</t>
  </si>
  <si>
    <t>enemy_1144_merlgd_2</t>
  </si>
  <si>
    <t>merlgd_2</t>
  </si>
  <si>
    <t>传奇战争幽灵</t>
  </si>
  <si>
    <t>实力恐怖的强大佣兵，操纵&lt;@eb.key&gt;多种高级空援无人机&lt;/&gt;协助作战，在场时&lt;@eb.key&gt;所有空援无人机移动速度大幅度提升&lt;/&gt;。</t>
  </si>
  <si>
    <t>enemy_1145_atkspd</t>
  </si>
  <si>
    <t>atkspd</t>
  </si>
  <si>
    <t>破片</t>
  </si>
  <si>
    <t>普通,远程,无人机,空援无人机</t>
  </si>
  <si>
    <t>&lt;@eb.key&gt;【飞行单位】&lt;/&gt;攻击造成范围性物理伤害并&lt;@eb.key&gt;削弱目标防御力&lt;/&gt;，不易被攻击，一段时间后自动撤退。</t>
  </si>
  <si>
    <t>enemy_1145_atkspd_2</t>
  </si>
  <si>
    <t>atkspd_2</t>
  </si>
  <si>
    <t>破片U型</t>
  </si>
  <si>
    <t>&lt;@eb.key&gt;【飞行单位】&lt;/&gt;攻击造成更高的范围性物理伤害，并&lt;@eb.key&gt;削弱目标防御力&lt;/&gt;，不易被攻击，更长一段时间后自动撤退。</t>
  </si>
  <si>
    <t>enemy_1146_defspd</t>
  </si>
  <si>
    <t>defspd</t>
  </si>
  <si>
    <t>铁砧</t>
  </si>
  <si>
    <t>普通,不攻击,无人机,空援无人机</t>
  </si>
  <si>
    <t>&lt;@eb.key&gt;【飞行单位】&lt;/&gt;增加范围内敌方单位的&lt;@eb.key&gt;防御力&lt;/&gt;，并使其&lt;@eb.key&gt;生命缓慢恢复&lt;/&gt;，不易被攻击，一段时间后自动撤退。</t>
  </si>
  <si>
    <t>enemy_1146_defspd_2</t>
  </si>
  <si>
    <t>defspd_2</t>
  </si>
  <si>
    <t>铁砧B型</t>
  </si>
  <si>
    <t>&lt;@eb.key&gt;【飞行单位】&lt;/&gt;增加范围内敌方单位&lt;@eb.key&gt;更高的防御力&lt;/&gt;，并使其&lt;@eb.key&gt;生命更快恢复&lt;/&gt;，不易被攻击，更长一段时间后自动撤退。</t>
  </si>
  <si>
    <t>enemy_1520_empgrd</t>
  </si>
  <si>
    <t>empgrd</t>
  </si>
  <si>
    <t>“皇帝的利刃”，追猎者</t>
  </si>
  <si>
    <t>每损失一定生命值释放&lt;@eb.key&gt;永久地面效果“国度”&lt;/&gt;；释放法术“坍缩恐惧”，击中“国度”中的目标会将其&lt;@eb.key&gt;强制击倒&lt;/&gt;。</t>
  </si>
  <si>
    <t>enemy_1147_dshond</t>
  </si>
  <si>
    <t>dshond</t>
  </si>
  <si>
    <t>壳海狂奔者</t>
  </si>
  <si>
    <t>普通,近战,海怪</t>
  </si>
  <si>
    <t>长出四肢的恐鱼，但它体内没有骨头。似乎捕食过岸上的四足动物。</t>
  </si>
  <si>
    <t>enemy_1147_dshond_2</t>
  </si>
  <si>
    <t>dshond_2</t>
  </si>
  <si>
    <t>富营养的狂奔者</t>
  </si>
  <si>
    <t>长出四肢的饱食的恐鱼。通过液压控制肢体运作，反应速度超群。</t>
  </si>
  <si>
    <t>enemy_1148_dssbr</t>
  </si>
  <si>
    <t>dssbr</t>
  </si>
  <si>
    <t>底海滑动者</t>
  </si>
  <si>
    <t>神经损伤近战攻击</t>
  </si>
  <si>
    <t>爬上海岸的恐鱼。挥舞着坚韧的腕肢。攻击额外造成&lt;@eb.key&gt;神经损伤&lt;/&gt;</t>
  </si>
  <si>
    <t>enemy_1148_dssbr_2</t>
  </si>
  <si>
    <t>dssbr_2</t>
  </si>
  <si>
    <t>富营养的滑动者</t>
  </si>
  <si>
    <t>爬上海岸的饱食的恐鱼。腕能够令蛋白质变性。攻击额外造成&lt;@eb.key&gt;神经损伤&lt;/&gt;</t>
  </si>
  <si>
    <t>enemy_1149_dsbow</t>
  </si>
  <si>
    <t>dsbow</t>
  </si>
  <si>
    <t>脊海喷吐者</t>
  </si>
  <si>
    <t>脊海喷吐者攻击</t>
  </si>
  <si>
    <t>普通,远程,海怪</t>
  </si>
  <si>
    <t>神秘的恐鱼。在海中能以更快的初速喷吐，足以摧毁礁石。</t>
  </si>
  <si>
    <t>enemy_1149_dsbow_2</t>
  </si>
  <si>
    <t>dsbow_2</t>
  </si>
  <si>
    <t>富营养的喷吐者</t>
  </si>
  <si>
    <t>神秘的饱食的恐鱼。喷吐不是为了捕食，而是为了应对自然灾害。</t>
  </si>
  <si>
    <t>enemy_1150_dsjely</t>
  </si>
  <si>
    <t>dsjely</t>
  </si>
  <si>
    <t>浮海飘航者</t>
  </si>
  <si>
    <t>浮海飘航者攻击</t>
  </si>
  <si>
    <t>漂浮在空中的恐鱼。下一代似乎会更擅长在空气中游弋。攻击额外造成&lt;@eb.key&gt;神经损伤&lt;/&gt;</t>
  </si>
  <si>
    <t>enemy_1150_dsjely_2</t>
  </si>
  <si>
    <t>dsjely_2</t>
  </si>
  <si>
    <t>富营养的飘航者</t>
  </si>
  <si>
    <t>漂浮在空中的饱食的恐鱼。体内有着炽热的器官。攻击额外造成&lt;@eb.key&gt;神经损伤&lt;/&gt;</t>
  </si>
  <si>
    <t>enemy_1151_dslntc</t>
  </si>
  <si>
    <t>dslntc</t>
  </si>
  <si>
    <t>钵海收割者</t>
  </si>
  <si>
    <t>萨卡兹待命,萨卡兹警报,钵海收割者临战buff,钵海收割者光环,挂机结束,钵海收割者攻击</t>
  </si>
  <si>
    <t>精英,近战,海怪</t>
  </si>
  <si>
    <t>初始处于&lt;待命&gt;状态，不进行攻击；受伤后进入&lt;临战&gt;状态，逐渐损失生命并对周围我方单位持续造成&lt;@eb.key&gt;神经损伤&lt;/&gt;</t>
  </si>
  <si>
    <t>enemy_1151_dslntc_2</t>
  </si>
  <si>
    <t>dslntc_2</t>
  </si>
  <si>
    <t>富营养的收割者</t>
  </si>
  <si>
    <t>enemy_1152_dsurch</t>
  </si>
  <si>
    <t>dsurch</t>
  </si>
  <si>
    <t>囊海爬行者</t>
  </si>
  <si>
    <t>囊海爬行者爆炸1,囊海爬行者爆炸2,囊海爬行者爆炸3,囊海爬行者爆炸4,囊海爬行者爆炸5,囊海爬行者爆炸6</t>
  </si>
  <si>
    <t>精英,不攻击,海怪</t>
  </si>
  <si>
    <t>掺杂了杂质的恐鱼。不进行攻击。每损失一定生命，立即对周围造成大量法术和&lt;@eb.key&gt;神经损伤&lt;/&gt;</t>
  </si>
  <si>
    <t>enemy_1152_dsurch_2</t>
  </si>
  <si>
    <t>dsurch_2</t>
  </si>
  <si>
    <t>富营养的爬行者</t>
  </si>
  <si>
    <t>掺杂了杂质的饱食的恐鱼。不进行攻击。每损失一定生命，立即对周围造成大量法术和&lt;@eb.key&gt;神经损伤&lt;/&gt;</t>
  </si>
  <si>
    <t>enemy_1153_dsexcu</t>
  </si>
  <si>
    <t>dsexcu</t>
  </si>
  <si>
    <t>始海穿刺者</t>
  </si>
  <si>
    <t>始海穿刺者攻击</t>
  </si>
  <si>
    <t>精英,远程,海怪</t>
  </si>
  <si>
    <t>生长出固态器官的恐鱼。&lt;@eb.key&gt;优先攻击小范围内生命比例最低的目标&lt;/&gt;</t>
  </si>
  <si>
    <t>enemy_1153_dsexcu_2</t>
  </si>
  <si>
    <t>dsexcu_2</t>
  </si>
  <si>
    <t>富营养的穿刺者</t>
  </si>
  <si>
    <t>生长出固态器官的饱食的恐鱼。在月光下会静静摇摆。&lt;@eb.key&gt;优先攻击小范围内生命比例最低的目标&lt;/&gt;</t>
  </si>
  <si>
    <t>enemy_1154_dsmant</t>
  </si>
  <si>
    <t>dsmant</t>
  </si>
  <si>
    <t>首言者</t>
  </si>
  <si>
    <t>首言者攻击,首言者技能</t>
  </si>
  <si>
    <t>海嗣。释放能造成物理和&lt;@eb.key&gt;神经损伤&lt;/&gt;的&lt;侵蚀液泡&gt;，液泡锁定目标范围内&lt;@eb.key&gt;神经损伤&lt;/&gt;积累最少的单位</t>
  </si>
  <si>
    <t>enemy_1155_dsrobt</t>
  </si>
  <si>
    <t>dsrobt</t>
  </si>
  <si>
    <t>自动维护机器</t>
  </si>
  <si>
    <t>老旧的伊比利亚机器。会受我方攻击，撤回保护目标时不扣除关卡生命值；可以激活&lt;应急救治设施&gt;，并使其治疗能力提升</t>
  </si>
  <si>
    <t>enemy_1521_dslily</t>
  </si>
  <si>
    <t>dslily</t>
  </si>
  <si>
    <t>盐风主教昆图斯</t>
  </si>
  <si>
    <t>大主教攻击,大主教大潮1,大主教崩塌1,大主教生殖1,大主教升2级1,大主教升1级1</t>
  </si>
  <si>
    <t>5,3</t>
  </si>
  <si>
    <t>领袖,远程,海怪</t>
  </si>
  <si>
    <t>混入灾后伊比利亚的深海教会成员之一，真诚地用自己的理念篡改了律法，追求着个体的完美姿态，却根本无法参透海洋的意愿。话说回来，谁又能呢？</t>
  </si>
  <si>
    <t>enemy_1156_hymhr</t>
  </si>
  <si>
    <t>hymhr</t>
  </si>
  <si>
    <t>荷谟伊英雄</t>
  </si>
  <si>
    <t>&lt;@eb.key&gt;阻挡能力大于等于3&lt;/&gt;的作战人员可以阻止。周期性施法造成群体法术伤害，并&lt;@eb.key&gt;短暂减少阻挡数上限&lt;/&gt;。</t>
  </si>
  <si>
    <t>enemy_1157_hymwr</t>
  </si>
  <si>
    <t>hymwr</t>
  </si>
  <si>
    <t>荷谟伊勇士</t>
  </si>
  <si>
    <t>&lt;@eb.key&gt;使自身容易受到我方单位的攻击&lt;/&gt;，受到攻击时对场上所有我方单位释放箭雨。</t>
  </si>
  <si>
    <t>enemy_1158_divman</t>
  </si>
  <si>
    <t>divman</t>
  </si>
  <si>
    <t>潜水员</t>
  </si>
  <si>
    <t>免疫&lt;@eb.key&gt;水蚀&lt;/&gt;，在水中攻击力提升并获得&lt;@eb.key&gt;隐匿&lt;/&gt;</t>
  </si>
  <si>
    <t>Idle01</t>
  </si>
  <si>
    <t>Move01</t>
  </si>
  <si>
    <t>enemy_1158_divman_2</t>
  </si>
  <si>
    <t>divman_2</t>
  </si>
  <si>
    <t>潜水队长</t>
  </si>
  <si>
    <t>enemy_1159_swfmob</t>
  </si>
  <si>
    <t>swfmob</t>
  </si>
  <si>
    <t>不法分子</t>
  </si>
  <si>
    <t>多索雷斯的不法分子，身手敏捷，未被阻挡时有几率闪避物理攻击</t>
  </si>
  <si>
    <t>enemy_1159_swfmob_2</t>
  </si>
  <si>
    <t>swfmob_2</t>
  </si>
  <si>
    <t>精英不法分子</t>
  </si>
  <si>
    <t>自命不凡的不法分子，比普通不法分子更加善战，未被阻挡时有几率闪避物理攻击</t>
  </si>
  <si>
    <t>enemy_1160_hvyslr</t>
  </si>
  <si>
    <t>hvyslr</t>
  </si>
  <si>
    <t>码头水手</t>
  </si>
  <si>
    <t>在码头或者潘乔的船上工作的壮汉，能在数次攻击后&lt;@eb.key&gt;晕眩&lt;/&gt;我方单位，“水蚀”状态下快速损失生命</t>
  </si>
  <si>
    <t>enemy_1160_hvyslr_2</t>
  </si>
  <si>
    <t>hvyslr_2</t>
  </si>
  <si>
    <t>码头水手长</t>
  </si>
  <si>
    <t>比普通水手健壮许多，能在数次攻击后&lt;@eb.key&gt;晕眩&lt;/&gt;我方单位，“水蚀”状态下快速损失生命</t>
  </si>
  <si>
    <t>enemy_1161_tidmag</t>
  </si>
  <si>
    <t>tidmag</t>
  </si>
  <si>
    <t>控潮术师</t>
  </si>
  <si>
    <t>经过专业培训的术师，擅长&lt;@eb.key&gt;远距离群体法术攻击&lt;/&gt;，攻击额外造成&lt;@eb.key&gt;侵蚀损伤&lt;/&gt;</t>
  </si>
  <si>
    <t>enemy_1161_tidmag_2</t>
  </si>
  <si>
    <t>tidmag_2</t>
  </si>
  <si>
    <t>领潮员</t>
  </si>
  <si>
    <t>经过专业培训的领潮员，擅长&lt;@eb.key&gt;远距离群体法术攻击&lt;/&gt;，攻击额外造成&lt;@eb.key&gt;侵蚀损伤&lt;/&gt;</t>
  </si>
  <si>
    <t>enemy_1162_magmot</t>
  </si>
  <si>
    <t>magmot</t>
  </si>
  <si>
    <t>术师快艇</t>
  </si>
  <si>
    <t>精英,远程,机械</t>
  </si>
  <si>
    <t>搭载着控潮术师的快艇，攻击额外造成&lt;@eb.key&gt;侵蚀损伤&lt;/&gt;，载具损毁后术师会继续作战。</t>
  </si>
  <si>
    <t>enemy_1162_magmot_2</t>
  </si>
  <si>
    <t>magmot_2</t>
  </si>
  <si>
    <t>领潮员快艇</t>
  </si>
  <si>
    <t>搭载着领潮员的快艇，攻击额外造成&lt;@eb.key&gt;侵蚀损伤&lt;/&gt;，载具损毁后术师会继续作战。</t>
  </si>
  <si>
    <t>enemy_1163_hvymot</t>
  </si>
  <si>
    <t>hvymot</t>
  </si>
  <si>
    <t>水手重艇</t>
  </si>
  <si>
    <t>精英,近战,机械</t>
  </si>
  <si>
    <t>搭载着水手的重艇，阻挡能力大于等于3的作战人员可以阻止，经过我方单位冲撞造成物理伤害。载具损毁后水手会继续作战。</t>
  </si>
  <si>
    <t>enemy_1163_hvymot_2</t>
  </si>
  <si>
    <t>hvymot_2</t>
  </si>
  <si>
    <t>水手长重艇</t>
  </si>
  <si>
    <t>搭载着水手长的重艇，阻挡能力大于等于3的作战人员可以阻止，经过我方单位冲撞造成物理伤害。载具损毁后水手会继续作战。</t>
  </si>
  <si>
    <t>enemy_1164_bmbmot</t>
  </si>
  <si>
    <t>bmbmot</t>
  </si>
  <si>
    <t>无人爆破艇</t>
  </si>
  <si>
    <t>已过载的无人爆破艇，爆炸后会造成侵蚀。</t>
  </si>
  <si>
    <t>enemy_1164_bmbmot_2</t>
  </si>
  <si>
    <t>bmbmot_2</t>
  </si>
  <si>
    <t>无人爆破重艇</t>
  </si>
  <si>
    <t>已过载的无人爆破艇，塞入了更多爆破物，爆炸后会造成侵蚀。</t>
  </si>
  <si>
    <t>enemy_1164_bmbmot_3</t>
  </si>
  <si>
    <t>bmbmot_3</t>
  </si>
  <si>
    <t>潘乔的爆破艇</t>
  </si>
  <si>
    <t>潘乔直属手下操控的过载无人爆破艇，爆炸后会造成侵蚀。</t>
  </si>
  <si>
    <t>enemy_3003_alymot</t>
  </si>
  <si>
    <t>alymot</t>
  </si>
  <si>
    <t>大奖赛运输艇</t>
  </si>
  <si>
    <t>&lt;@eb.key&gt;友好单位&lt;/&gt;，撤回保护目标时不扣除关卡生命值，死亡时扣除关卡生命值</t>
  </si>
  <si>
    <t>enemy_1522_captan</t>
  </si>
  <si>
    <t>captan</t>
  </si>
  <si>
    <t>潘乔·萨拉斯</t>
  </si>
  <si>
    <t>驾驶着改造重艇的老兵领袖，潘乔·萨拉斯，在达到目的之前，即使重艇损毁，他也不会退却。</t>
  </si>
  <si>
    <t>enemy_1165_duhond</t>
  </si>
  <si>
    <t>duhond</t>
  </si>
  <si>
    <t>深池侦察犬</t>
  </si>
  <si>
    <t>深池部队操纵的生物。&lt;@eb.key&gt;折射&lt;/&gt;生效时，法术抗性增加70</t>
  </si>
  <si>
    <t>enemy_1165_duhond_2</t>
  </si>
  <si>
    <t>duhond_2</t>
  </si>
  <si>
    <t>深池侦察犬pro</t>
  </si>
  <si>
    <t>比一般的侦查犬拥有更强的作战能力。&lt;@eb.key&gt;折射&lt;/&gt;生效时，法术抗性增加70</t>
  </si>
  <si>
    <t>enemy_1166_dusbr</t>
  </si>
  <si>
    <t>dusbr</t>
  </si>
  <si>
    <t>深池侦察兵</t>
  </si>
  <si>
    <t>深池部队中的侦察人员。&lt;@eb.key&gt;折射&lt;/&gt;生效时，法术抗性增加70</t>
  </si>
  <si>
    <t>enemy_1166_dusbr_2</t>
  </si>
  <si>
    <t>dusbr_2</t>
  </si>
  <si>
    <t>深池侦察队长</t>
  </si>
  <si>
    <t>深池部队中的侦察队队长。&lt;@eb.key&gt;折射&lt;/&gt;生效时，法术抗性增加70</t>
  </si>
  <si>
    <t>enemy_1167_dubow</t>
  </si>
  <si>
    <t>dubow</t>
  </si>
  <si>
    <t>深池狙击手</t>
  </si>
  <si>
    <t>深池部队中的狙击手。&lt;@eb.key&gt;折射&lt;/&gt;生效时，法术抗性增加70</t>
  </si>
  <si>
    <t>enemy_1167_dubow_2</t>
  </si>
  <si>
    <t>dubow_2</t>
  </si>
  <si>
    <t>深池狙击队长</t>
  </si>
  <si>
    <t>深池部队中的狙击队长。&lt;@eb.key&gt;折射&lt;/&gt;生效时，法术抗性增加70</t>
  </si>
  <si>
    <t>enemy_1168_dumage</t>
  </si>
  <si>
    <t>dumage</t>
  </si>
  <si>
    <t>深池暗影术师</t>
  </si>
  <si>
    <t>深池部队中的术师。&lt;@eb.key&gt;折射&lt;/&gt;生效时，法术抗性增加70</t>
  </si>
  <si>
    <t>enemy_1168_dumage_2</t>
  </si>
  <si>
    <t>dumage_2</t>
  </si>
  <si>
    <t>深池暗影术师队长</t>
  </si>
  <si>
    <t>深池部队中的术师队长。&lt;@eb.key&gt;折射&lt;/&gt;生效时，法术抗性增加70</t>
  </si>
  <si>
    <t>#enemy_1169_duphlx</t>
  </si>
  <si>
    <t>duphlx</t>
  </si>
  <si>
    <t>深池方阵步兵</t>
  </si>
  <si>
    <t>距离较近的方阵步兵会相互支援，&lt;@eb.key&gt;防御力提升&lt;/&gt;。&lt;@eb.key&gt;折射&lt;/&gt;生效时，法术抗性增加70</t>
  </si>
  <si>
    <t>#enemy_1169_duphlx_2</t>
  </si>
  <si>
    <t>duphlx_2</t>
  </si>
  <si>
    <t>深池方阵指挥官</t>
  </si>
  <si>
    <t>距离较近的方阵指挥官会相互支援，&lt;@eb.key&gt;防御力提升&lt;/&gt;。&lt;@eb.key&gt;折射&lt;/&gt;生效时，法术抗性增加70</t>
  </si>
  <si>
    <t>enemy_1170_dushld</t>
  </si>
  <si>
    <t>dushld</t>
  </si>
  <si>
    <t>深池重甲卫士</t>
  </si>
  <si>
    <t>深池部队中的重甲卫士。&lt;@eb.key&gt;折射&lt;/&gt;生效时，法术抗性增加70</t>
  </si>
  <si>
    <t>enemy_1170_dushld_2</t>
  </si>
  <si>
    <t>dushld_2</t>
  </si>
  <si>
    <t>深池重甲卫士队长</t>
  </si>
  <si>
    <t>深池部队中的重甲卫士队长。&lt;@eb.key&gt;折射&lt;/&gt;生效时，法术抗性增加70</t>
  </si>
  <si>
    <t>enemy_1171_durokt</t>
  </si>
  <si>
    <t>durokt</t>
  </si>
  <si>
    <t>深池飞行兵</t>
  </si>
  <si>
    <t>处于&lt;@eb.key&gt;近地悬浮&lt;/&gt;状态，无法被阻挡，只受对空攻击影响。被晕眩或沉睡一次后失去&lt;@eb.key&gt;近地悬浮&lt;/&gt;</t>
  </si>
  <si>
    <t>enemy_1171_durokt_2</t>
  </si>
  <si>
    <t>durokt_2</t>
  </si>
  <si>
    <t>深池飞行大队队长</t>
  </si>
  <si>
    <t>enemy_1172_dugago</t>
  </si>
  <si>
    <t>dugago</t>
  </si>
  <si>
    <t>守墓石像</t>
  </si>
  <si>
    <t>精英,近战,远程,法术造物</t>
  </si>
  <si>
    <t>&lt;@eb.key&gt;折射&lt;/&gt;；首次被击倒后暂时变为&lt;@eb.key&gt;防御极高&lt;/&gt;的石像，之后重生成为&lt;@eb.key&gt;空中单位&lt;/&gt;</t>
  </si>
  <si>
    <t>enemy_1172_dugago_2</t>
  </si>
  <si>
    <t>dugago_2</t>
  </si>
  <si>
    <t>愤怒的守墓石像</t>
  </si>
  <si>
    <t>enemy_1173_duspfr</t>
  </si>
  <si>
    <t>duspfr</t>
  </si>
  <si>
    <t>深池焚毁者</t>
  </si>
  <si>
    <t>技能期间持续造成法术伤害和&lt;@eb.key&gt;灼燃损伤&lt;/&gt;；&lt;@eb.key&gt;死亡时爆炸&lt;/&gt;造成法术伤害，并击倒周围的&lt;@eb.key&gt;破碎支柱&lt;/&gt;与其他&lt;@eb.key&gt;深池焚毁者&lt;/&gt;</t>
  </si>
  <si>
    <t>enemy_1173_duspfr_2</t>
  </si>
  <si>
    <t>duspfr_2</t>
  </si>
  <si>
    <t>深池焚毁者队长</t>
  </si>
  <si>
    <t>技能期间持续造成法术伤害和&lt;@eb.key&gt;灼燃损伤&lt;/&gt;；&lt;@eb.key&gt;死亡时爆炸&lt;/&gt;造成法术伤害，并击倒周围的&lt;@eb.key&gt;破碎支柱&lt;/&gt;与其他&lt;@eb.key&gt;深池焚毁者队长&lt;/&gt;</t>
  </si>
  <si>
    <t>enemy_1174_duholy</t>
  </si>
  <si>
    <t>duholy</t>
  </si>
  <si>
    <t>深池伙友卫队</t>
  </si>
  <si>
    <t>精英,近战,深池伙友卫队</t>
  </si>
  <si>
    <t>&lt;@eb.key&gt;折射&lt;/&gt;；更容易受到我方攻击，&lt;@eb.key&gt;伙友影刃&lt;/&gt;位于附近时，激活力场使周围我方&lt;@eb.key&gt;攻击速度下降&lt;/&gt;</t>
  </si>
  <si>
    <t>enemy_1174_duholy_2</t>
  </si>
  <si>
    <t>duholy_2</t>
  </si>
  <si>
    <t>深池伙友卫队精英</t>
  </si>
  <si>
    <t>&lt;@eb.key&gt;折射&lt;/&gt;；更容易受到我方攻击，&lt;@eb.key&gt;伙友影刃精英&lt;/&gt;位于附近时，激活力场使周围我方&lt;@eb.key&gt;攻击速度下降&lt;/&gt;</t>
  </si>
  <si>
    <t>enemy_1175_dushdo</t>
  </si>
  <si>
    <t>dushdo</t>
  </si>
  <si>
    <t>深池伙友影刃</t>
  </si>
  <si>
    <t>精英,近战,深池伙友影刃</t>
  </si>
  <si>
    <t>&lt;@eb.key&gt;隐匿&lt;/&gt;；&lt;@eb.key&gt;伙友卫队&lt;/&gt;位于附近时，攻击速度大幅提升。</t>
  </si>
  <si>
    <t>enemy_1175_dushdo_2</t>
  </si>
  <si>
    <t>dushdo_2</t>
  </si>
  <si>
    <t>深池伙友影刃精英</t>
  </si>
  <si>
    <t>&lt;@eb.key&gt;隐匿&lt;/&gt;；&lt;@eb.key&gt;伙友卫队精英&lt;/&gt;位于附近时，攻击速度大幅提升。</t>
  </si>
  <si>
    <t>enemy_1176_dusocr</t>
  </si>
  <si>
    <t>dusocr</t>
  </si>
  <si>
    <t>深池塑能术师</t>
  </si>
  <si>
    <t>操纵沿地面移动的&lt;@eb.key&gt;净浊之焰&lt;/&gt;。&lt;@eb.key&gt;净浊之焰&lt;/&gt;遇到我方近战单位后爆炸造成法术伤害和&lt;@eb.key&gt;灼燃损伤&lt;/&gt;，其伤害随移动距离减小</t>
  </si>
  <si>
    <t>enemy_1176_dusocr_2</t>
  </si>
  <si>
    <t>dusocr_2</t>
  </si>
  <si>
    <t>深池塑能术师队长</t>
  </si>
  <si>
    <t>#enemy_1177_dufrbl</t>
  </si>
  <si>
    <t>dufrbl</t>
  </si>
  <si>
    <t>净浊之焰</t>
  </si>
  <si>
    <t>普通,近战,附着单位</t>
  </si>
  <si>
    <t>#enemy_1177_dufrbl_2</t>
  </si>
  <si>
    <t>dufrbl_2</t>
  </si>
  <si>
    <t>enemy_1523_mandra</t>
  </si>
  <si>
    <t>mandra</t>
  </si>
  <si>
    <t>蔓德拉</t>
  </si>
  <si>
    <t>操纵岩石的术师。她来自维多利亚的阴影深处，誓要将过去从贵族们手下受过的屈辱悉数奉还。</t>
  </si>
  <si>
    <t>C2_Die_1</t>
  </si>
  <si>
    <t>enemy_1178_dscorp</t>
  </si>
  <si>
    <t>dscorp</t>
  </si>
  <si>
    <t>暗潮钳兽</t>
  </si>
  <si>
    <t>生存在城市排水系统中的钳兽，处于无视野的区域时，移动速度加快。</t>
  </si>
  <si>
    <t>enemy_1178_dscorp_2</t>
  </si>
  <si>
    <t>dscorp_2</t>
  </si>
  <si>
    <t>暗潮钳兽·α</t>
  </si>
  <si>
    <t>生存在城市排水系统中的钳兽，比起寻常钳兽更加残暴。处于无视野的区域时，移动速度加快。</t>
  </si>
  <si>
    <t>enemy_1179_aruarw</t>
  </si>
  <si>
    <t>aruarw</t>
  </si>
  <si>
    <t>无胄盟弩手</t>
  </si>
  <si>
    <t>无胄盟雇佣的弩手，处于无视野的区域时，攻击造成法术伤害。</t>
  </si>
  <si>
    <t>enemy_1179_aruarw_2</t>
  </si>
  <si>
    <t>aruarw_2</t>
  </si>
  <si>
    <t>无胄盟弩手组长</t>
  </si>
  <si>
    <t>无胄盟雇佣的弩手组长，处于无视野的区域时，攻击造成法术伤害。</t>
  </si>
  <si>
    <t>enemy_1180_aruass</t>
  </si>
  <si>
    <t>aruass</t>
  </si>
  <si>
    <t>无胄盟刺客</t>
  </si>
  <si>
    <t>无胄盟雇佣的刺客，处于&lt;无视野&gt;的区域时，攻击力不断增长，下一次攻击后攻击力复原。</t>
  </si>
  <si>
    <t>enemy_1180_aruass_2</t>
  </si>
  <si>
    <t>aruass_2</t>
  </si>
  <si>
    <t>无胄盟刺客组长</t>
  </si>
  <si>
    <t>无胄盟雇佣的刺客组长，处于&lt;无视野&gt;的区域时，攻击力不断增长，下一次攻击后攻击力复原。</t>
  </si>
  <si>
    <t>enemy_1181_napkgt</t>
  </si>
  <si>
    <t>napkgt</t>
  </si>
  <si>
    <t>骑士领游荡者</t>
  </si>
  <si>
    <t>在无视野的区域中【待命】一段时间，不进行攻击；所处地块获得视野时立刻激活。</t>
  </si>
  <si>
    <t>enemy_1181_napkgt_2</t>
  </si>
  <si>
    <t>napkgt_2</t>
  </si>
  <si>
    <t>骑士领蛰伏者</t>
  </si>
  <si>
    <t>enemy_1182_flasrt</t>
  </si>
  <si>
    <t>flasrt</t>
  </si>
  <si>
    <t>无胄盟第三小队</t>
  </si>
  <si>
    <t>每次攻击造成一定&lt;@eb.key&gt;侵蚀损伤&lt;/&gt;；数次攻击后，下一次攻击造成的伤害提升。</t>
  </si>
  <si>
    <t>enemy_1182_flasrt_2</t>
  </si>
  <si>
    <t>flasrt_2</t>
  </si>
  <si>
    <t>无胄盟第三小队组长</t>
  </si>
  <si>
    <t>enemy_1182_flasrt_3</t>
  </si>
  <si>
    <t>flasrt_3</t>
  </si>
  <si>
    <t>青金，莫妮克</t>
  </si>
  <si>
    <t>enemy_1183_mlasrt</t>
  </si>
  <si>
    <t>mlasrt</t>
  </si>
  <si>
    <t>无胄盟清扫小队</t>
  </si>
  <si>
    <t>enemy_1183_mlasrt_2</t>
  </si>
  <si>
    <t>mlasrt_2</t>
  </si>
  <si>
    <t>无胄盟清扫小队组长</t>
  </si>
  <si>
    <t>enemy_1183_mlasrt_3</t>
  </si>
  <si>
    <t>mlasrt_3</t>
  </si>
  <si>
    <t>青金，罗伊</t>
  </si>
  <si>
    <t>enemy_1184_cadkgt</t>
  </si>
  <si>
    <t>cadkgt</t>
  </si>
  <si>
    <t>散华骑士团学徒</t>
  </si>
  <si>
    <t>蓄力一段时间后对目标周围所有单位造成法术伤害，蓄力时失去&lt;@eb.key&gt;隐匿&lt;/&gt;</t>
  </si>
  <si>
    <t>enemy_1184_cadkgt_2</t>
  </si>
  <si>
    <t>cadkgt_2</t>
  </si>
  <si>
    <t>散华骑士团精锐</t>
  </si>
  <si>
    <t>enemy_1184_cadkgt_3</t>
  </si>
  <si>
    <t>cadkgt_3</t>
  </si>
  <si>
    <t>烛骑士薇薇安娜</t>
  </si>
  <si>
    <t>enemy_1185_nmekgt</t>
  </si>
  <si>
    <t>nmekgt</t>
  </si>
  <si>
    <t>梦魇效仿者</t>
  </si>
  <si>
    <t>对所有身后一格没有视野的单位造成一次物理伤害</t>
  </si>
  <si>
    <t>enemy_1185_nmekgt_2</t>
  </si>
  <si>
    <t>nmekgt_2</t>
  </si>
  <si>
    <t>梦魇追随者</t>
  </si>
  <si>
    <t>enemy_1185_nmekgt_3</t>
  </si>
  <si>
    <t>nmekgt_3</t>
  </si>
  <si>
    <t>“最后的怯薛”，拓拉</t>
  </si>
  <si>
    <t>enemy_1186_bldbld</t>
  </si>
  <si>
    <t>bldbld</t>
  </si>
  <si>
    <t>凝血之刃</t>
  </si>
  <si>
    <t>撤回保护目标时不扣除关卡生命值，与血骑士接触后，消失并恢复血骑士一定生命值</t>
  </si>
  <si>
    <t>enemy_1524_bldkgt</t>
  </si>
  <si>
    <t>bldkgt</t>
  </si>
  <si>
    <t>血骑士狄开俄波利斯</t>
  </si>
  <si>
    <t>卡西米尔感染者骑士参赛制度的提议人，大骑士领感染者的英雄，无数孩子与感染者心中的偶像。</t>
  </si>
  <si>
    <t>A_Idle</t>
  </si>
  <si>
    <t>A_Move</t>
  </si>
  <si>
    <t>B_Die</t>
  </si>
  <si>
    <t>enemy_1187_krghd</t>
  </si>
  <si>
    <t>krghd</t>
  </si>
  <si>
    <t>爪兽</t>
  </si>
  <si>
    <t>几十年前开始出现在各种山野之间的野兽，拥有&lt;@eb.key&gt;抵抗&lt;/&gt;</t>
  </si>
  <si>
    <t>enemy_1187_krghd_2</t>
  </si>
  <si>
    <t>krghd_2</t>
  </si>
  <si>
    <t>凶爪兽</t>
  </si>
  <si>
    <t>enemy_1188_krgdrn</t>
  </si>
  <si>
    <t>krgdrn</t>
  </si>
  <si>
    <t>坚冰</t>
  </si>
  <si>
    <t>喀兰贸易特别定制的无人机，拥有&lt;@eb.key&gt;抵抗&lt;/&gt;</t>
  </si>
  <si>
    <t>enemy_1188_krgdrn_2</t>
  </si>
  <si>
    <t>krgdrn_2</t>
  </si>
  <si>
    <t>坚冰AS.T</t>
  </si>
  <si>
    <t>喀兰贸易特别定制的高级无人机，拥有&lt;@eb.key&gt;抵抗&lt;/&gt;</t>
  </si>
  <si>
    <t>enemy_1189_krgaxe</t>
  </si>
  <si>
    <t>krgaxe</t>
  </si>
  <si>
    <t>冰原战士</t>
  </si>
  <si>
    <t>擅长冰原作战的战士</t>
  </si>
  <si>
    <t>enemy_1189_krgaxe_2</t>
  </si>
  <si>
    <t>krgaxe_2</t>
  </si>
  <si>
    <t>冰原战士队长</t>
  </si>
  <si>
    <t>擅长冰原作战的精锐战士</t>
  </si>
  <si>
    <t>enemy_1190_krgbow</t>
  </si>
  <si>
    <t>krgbow</t>
  </si>
  <si>
    <t>冰原猎人</t>
  </si>
  <si>
    <t>生活在冰原之上的猎人，优先攻击我方&lt;@eb.key&gt;防御力最低&lt;/&gt;的目标</t>
  </si>
  <si>
    <t>enemy_1190_krgbow_2</t>
  </si>
  <si>
    <t>krgbow_2</t>
  </si>
  <si>
    <t>冰原猎人队长</t>
  </si>
  <si>
    <t>生活在冰原之上的老练猎人，优先攻击我方&lt;@eb.key&gt;防御力最低&lt;/&gt;的目标</t>
  </si>
  <si>
    <t>enemy_1192_krgscr</t>
  </si>
  <si>
    <t>krgscr</t>
  </si>
  <si>
    <t>冰原术师</t>
  </si>
  <si>
    <t>隐居在山上钻研法术技巧的术师，同时攻击2个目标，每攻击2次后下次攻击会对目标施加&lt;@eb.key&gt;寒冷&lt;/&gt;，拥有&lt;@eb.key&gt;抵抗&lt;/&gt;</t>
  </si>
  <si>
    <t>enemy_1192_krgscr_2</t>
  </si>
  <si>
    <t>krgscr_2</t>
  </si>
  <si>
    <t>冰原术师队长</t>
  </si>
  <si>
    <t>enemy_1193_krgbsk</t>
  </si>
  <si>
    <t>krgbsk</t>
  </si>
  <si>
    <t>冰原狂战士</t>
  </si>
  <si>
    <t>冰原上的狂战士，攻击被&lt;@eb.key&gt;冻结&lt;/&gt;的我方目标造成伤害提升，拥有&lt;@eb.key&gt;抵抗&lt;/&gt;</t>
  </si>
  <si>
    <t>enemy_1193_krgbsk_2</t>
  </si>
  <si>
    <t>krgbsk_2</t>
  </si>
  <si>
    <t>冰原狂战士队长</t>
  </si>
  <si>
    <t>冰原上的狂战士，攻击被&lt;@eb.key&gt;冻结&lt;/&gt;的我方目标造成伤害大幅提升，拥有&lt;@eb.key&gt;抵抗&lt;/&gt;</t>
  </si>
  <si>
    <t>enemy_1191_krgrg</t>
  </si>
  <si>
    <t>krgrg</t>
  </si>
  <si>
    <t>冰原卫法者</t>
  </si>
  <si>
    <t>攻击造成&lt;@eb.key&gt;法术伤害&lt;/&gt;，被击倒时对周围所有单位造成&lt;@eb.key&gt;法术伤害&lt;/&gt;且施加&lt;@eb.key&gt;寒冷&lt;/&gt;。失衡移动时正比于距离损失生命。</t>
  </si>
  <si>
    <t>enemy_1191_krgrg_2</t>
  </si>
  <si>
    <t>krgrg_2</t>
  </si>
  <si>
    <t>冰原御法者</t>
  </si>
  <si>
    <t>enemy_1194_krgmtr</t>
  </si>
  <si>
    <t>krgmtr</t>
  </si>
  <si>
    <t>山雪鬼</t>
  </si>
  <si>
    <t>拥有&lt;@eb.key&gt;抵抗&lt;/&gt;，攻击&lt;@eb.key&gt;降低攻击目标的防御力&lt;/&gt;，降雪时攻击力提升</t>
  </si>
  <si>
    <t>enemy_1194_krgmtr_2</t>
  </si>
  <si>
    <t>krgmtr_2</t>
  </si>
  <si>
    <t>山雪鬼队长</t>
  </si>
  <si>
    <t>enemy_1525_blkswb</t>
  </si>
  <si>
    <t>blkswb</t>
  </si>
  <si>
    <t>锏</t>
  </si>
  <si>
    <t>卡西米尔骑士竞赛三届冠军，不会使用法术的莱塔尼亚残次品，天生的武者——黑骑士，会&lt;@eb.key&gt;穿过阻挡其的单位，并造成物理伤害&lt;/&gt;</t>
  </si>
  <si>
    <t>enemy_2009_csaudc</t>
  </si>
  <si>
    <t>csaudc</t>
  </si>
  <si>
    <t>骇笑看客</t>
  </si>
  <si>
    <t>猩红剧团的忠实观众，攻击额外造成&lt;@eb.key&gt;神经损伤&lt;/&gt;。</t>
  </si>
  <si>
    <t>enemy_2010_csdcr</t>
  </si>
  <si>
    <t>csdcr</t>
  </si>
  <si>
    <t>绯红歌伶</t>
  </si>
  <si>
    <t>猩红剧团的演员，攻击额外造成&lt;@eb.key&gt;神经损伤&lt;/&gt;，受到一定次数伤害后使全场敌人攻击速度大幅提升。</t>
  </si>
  <si>
    <t>enemy_2011_csppt</t>
  </si>
  <si>
    <t>csppt</t>
  </si>
  <si>
    <t>剧场组装体</t>
  </si>
  <si>
    <t>精英,远程,法术造物</t>
  </si>
  <si>
    <t>猩红剧团道具师负责维护的巨型组装体，&lt;@eb.key&gt;阻挡能力大于等于4&lt;/&gt;的作战人员才能阻挡，攻击对自身周围造成&lt;@eb.key&gt;溅射&lt;/&gt;伤害。</t>
  </si>
  <si>
    <t>enemy_2012_csbln</t>
  </si>
  <si>
    <t>csbln</t>
  </si>
  <si>
    <t>“小惊喜”</t>
  </si>
  <si>
    <t>&lt;@eb.key&gt;【飞行单位】&lt;/&gt;猩红剧团为观众准备的特别礼物，被击落后对周围我方单位造成法术伤害和&lt;@eb.key&gt;神经损伤&lt;/&gt;，</t>
  </si>
  <si>
    <t>enemy_2013_csbot</t>
  </si>
  <si>
    <t>csbot</t>
  </si>
  <si>
    <t>漂泊颂偶</t>
  </si>
  <si>
    <t>猩红剧团道具师负责维护的音乐人偶，&lt;@eb.key&gt;未被阻挡时&lt;/&gt;会弹奏旋律对全场我方单位造成法术伤害。</t>
  </si>
  <si>
    <t>enemy_2014_csicer</t>
  </si>
  <si>
    <t>csicer</t>
  </si>
  <si>
    <t>“雪牝”</t>
  </si>
  <si>
    <t>攻击会对目标施加&lt;@eb.key&gt;寒冷&lt;/&gt;。“霜牡”死亡时，自身攻击速度、移动速度大幅提升并继承其能力。</t>
  </si>
  <si>
    <t>enemy_2015_csicem</t>
  </si>
  <si>
    <t>csicem</t>
  </si>
  <si>
    <t>“霜牡”</t>
  </si>
  <si>
    <t>攻击被&lt;@eb.key&gt;冻结&lt;/&gt;的目标时攻击力大幅提升。“雪牝”死亡时，自身攻击速度、移动速度大幅提升并继承其能力。</t>
  </si>
  <si>
    <t>enemy_2016_csphtm</t>
  </si>
  <si>
    <t>csphtm</t>
  </si>
  <si>
    <t>卢西恩，“猩红血钻”</t>
  </si>
  <si>
    <t>剧团之灾卢西恩，代号傀影。会&lt;@eb.key&gt;穿过阻挡其的单位&lt;/&gt;并留下&lt;@eb.key&gt;不祥幻影&lt;/&gt;，攻击和技能额外造成&lt;@eb.key&gt;神经损伤&lt;/&gt;。</t>
  </si>
  <si>
    <t>enemy_2017_csphts</t>
  </si>
  <si>
    <t>csphts</t>
  </si>
  <si>
    <t>不祥幻影</t>
  </si>
  <si>
    <t>一片影子。从不曾离开，从不曾真实存在。</t>
  </si>
  <si>
    <t>enemy_2018_csdoll</t>
  </si>
  <si>
    <t>csdoll</t>
  </si>
  <si>
    <t>伤心的大锁</t>
  </si>
  <si>
    <t>剧团报幕人的作品之一，耐久极高且具有&lt;@eb.key&gt;强大的自愈能力&lt;/&gt;，释放的护盾存在期间会不断出现额外的敌人。</t>
  </si>
  <si>
    <t>enemy_2019_cshost</t>
  </si>
  <si>
    <t>cshost</t>
  </si>
  <si>
    <t>“剧团喉舌”</t>
  </si>
  <si>
    <t>盛大戏剧的报幕人，&lt;@eb.key&gt;永久无敌&lt;/&gt;，会操纵&lt;@eb.key&gt;“报幕助手”&lt;/&gt;协助战斗，击杀&lt;@eb.key&gt;“报幕助手”&lt;/&gt;会使其流失生命。</t>
  </si>
  <si>
    <t>enemy_1195_sfyin</t>
  </si>
  <si>
    <t>sfyin</t>
  </si>
  <si>
    <t>磨砻</t>
  </si>
  <si>
    <t>被击倒后生成&lt;@eb.key&gt;2&lt;/&gt;个【木制瑞印】。</t>
  </si>
  <si>
    <t>enemy_1195_sfyin_2</t>
  </si>
  <si>
    <t>sfyin_2</t>
  </si>
  <si>
    <t>明鉴</t>
  </si>
  <si>
    <t>被击倒后生成&lt;@eb.key&gt;2&lt;/&gt;个【红木瑞印】。</t>
  </si>
  <si>
    <t>enemy_1196_msfyin</t>
  </si>
  <si>
    <t>msfyin</t>
  </si>
  <si>
    <t>木制瑞印</t>
  </si>
  <si>
    <t>普通,不攻击,化物</t>
  </si>
  <si>
    <t>不攻击，无法被阻挡，需要&lt;@eb.key&gt;2&lt;/&gt;次伤害击倒</t>
  </si>
  <si>
    <t>enemy_1196_msfyin_2</t>
  </si>
  <si>
    <t>msfyin_2</t>
  </si>
  <si>
    <t>红木瑞印</t>
  </si>
  <si>
    <t>不攻击，无法被阻挡，需要&lt;@eb.key&gt;3&lt;/&gt;次伤害击倒</t>
  </si>
  <si>
    <t>enemy_1197_sfshu</t>
  </si>
  <si>
    <t>sfshu</t>
  </si>
  <si>
    <t>俗心</t>
  </si>
  <si>
    <t>被击倒后生成&lt;@eb.key&gt;3&lt;/&gt;个【小说卷轴】。</t>
  </si>
  <si>
    <t>enemy_1197_sfshu_2</t>
  </si>
  <si>
    <t>sfshu_2</t>
  </si>
  <si>
    <t>雅气</t>
  </si>
  <si>
    <t>被击倒后生成&lt;@eb.key&gt;3&lt;/&gt;个【诗画卷轴】。</t>
  </si>
  <si>
    <t>enemy_1198_msfshu</t>
  </si>
  <si>
    <t>msfshu</t>
  </si>
  <si>
    <t>小说卷轴</t>
  </si>
  <si>
    <t>enemy_1198_msfshu_2</t>
  </si>
  <si>
    <t>msfshu_2</t>
  </si>
  <si>
    <t>诗画卷轴</t>
  </si>
  <si>
    <t>不攻击，无法被阻挡，需要&lt;@eb.key&gt;4&lt;/&gt;次伤害击倒</t>
  </si>
  <si>
    <t>enemy_1199_sfjin</t>
  </si>
  <si>
    <t>sfjin</t>
  </si>
  <si>
    <t>身观</t>
  </si>
  <si>
    <t>容易被我方攻击，被击倒后生成&lt;@eb.key&gt;1&lt;/&gt;个【青铜镜】。</t>
  </si>
  <si>
    <t>enemy_1199_sfjin_2</t>
  </si>
  <si>
    <t>sfjin_2</t>
  </si>
  <si>
    <t>言省</t>
  </si>
  <si>
    <t>容易被我方攻击，被击倒后生成&lt;@eb.key&gt;1&lt;/&gt;个【黄铜镜】。</t>
  </si>
  <si>
    <t>enemy_1200_msfjin</t>
  </si>
  <si>
    <t>msfjin</t>
  </si>
  <si>
    <t>青铜镜</t>
  </si>
  <si>
    <t>不攻击，无法被阻挡，需要&lt;@eb.key&gt;30&lt;/&gt;次伤害击倒</t>
  </si>
  <si>
    <t>enemy_1200_msfjin_2</t>
  </si>
  <si>
    <t>msfjin_2</t>
  </si>
  <si>
    <t>黄铜镜</t>
  </si>
  <si>
    <t>不攻击，无法被阻挡，需要&lt;@eb.key&gt;35&lt;/&gt;次伤害击倒</t>
  </si>
  <si>
    <t>enemy_1201_sfzhi</t>
  </si>
  <si>
    <t>sfzhi</t>
  </si>
  <si>
    <t>墨浪</t>
  </si>
  <si>
    <t>被击倒后生成&lt;@eb.key&gt;15&lt;/&gt;个【木制镇纸】</t>
  </si>
  <si>
    <t>enemy_1201_sfzhi_2</t>
  </si>
  <si>
    <t>sfzhi_2</t>
  </si>
  <si>
    <t>心涛</t>
  </si>
  <si>
    <t>被击倒后生成&lt;@eb.key&gt;15&lt;/&gt;个【红木镇纸】</t>
  </si>
  <si>
    <t>enemy_1202_msfzhi</t>
  </si>
  <si>
    <t>msfzhi</t>
  </si>
  <si>
    <t>木制镇纸</t>
  </si>
  <si>
    <t>enemy_1202_msfzhi_2</t>
  </si>
  <si>
    <t>msfzhi_2</t>
  </si>
  <si>
    <t>红木镇纸</t>
  </si>
  <si>
    <t>enemy_1203_sfhu</t>
  </si>
  <si>
    <t>sfhu</t>
  </si>
  <si>
    <t>烹泉</t>
  </si>
  <si>
    <t>被击倒后造成范围法术伤害，使我方攻击速度降低（可被抵抗），并生成&lt;@eb.key&gt;4&lt;/&gt;个【青瓷茶器】</t>
  </si>
  <si>
    <t>enemy_1203_sfhu_2</t>
  </si>
  <si>
    <t>sfhu_2</t>
  </si>
  <si>
    <t>沏虹</t>
  </si>
  <si>
    <t>被击倒后造成范围法术伤害，使我方攻击速度降低（可被抵抗），并生成&lt;@eb.key&gt;4&lt;/&gt;个【彩瓷茶器】</t>
  </si>
  <si>
    <t>enemy_1204_msfhu</t>
  </si>
  <si>
    <t>msfhu</t>
  </si>
  <si>
    <t>青瓷茶器</t>
  </si>
  <si>
    <t>不攻击，无法被阻挡，需要&lt;@eb.key&gt;4&lt;/&gt;次&lt;@eb.key&gt;法术或真实&lt;/&gt;伤害击倒</t>
  </si>
  <si>
    <t>enemy_1204_msfhu_2</t>
  </si>
  <si>
    <t>msfhu_2</t>
  </si>
  <si>
    <t>彩瓷茶器</t>
  </si>
  <si>
    <t>不攻击，无法被阻挡，需要&lt;@eb.key&gt;6&lt;/&gt;次&lt;@eb.key&gt;法术或真实&lt;/&gt;伤害击倒</t>
  </si>
  <si>
    <t>enemy_1205_sfpin</t>
  </si>
  <si>
    <t>sfpin</t>
  </si>
  <si>
    <t>青花</t>
  </si>
  <si>
    <t>数次攻击后使目标受持续递增的法术伤害（可被抵抗），被击倒后生成&lt;@eb.key&gt;1&lt;/&gt;个【青瓷花瓶】</t>
  </si>
  <si>
    <t>enemy_1205_sfpin_2</t>
  </si>
  <si>
    <t>sfpin_2</t>
  </si>
  <si>
    <t>赤霞</t>
  </si>
  <si>
    <t>数次攻击后使目标受持续递增的法术伤害（可被抵抗），被击倒后生成&lt;@eb.key&gt;1&lt;/&gt;个【彩瓷花瓶】</t>
  </si>
  <si>
    <t>enemy_1206_msfpin</t>
  </si>
  <si>
    <t>msfpin</t>
  </si>
  <si>
    <t>青瓷花瓶</t>
  </si>
  <si>
    <t>不攻击，无法被阻挡，需要&lt;@eb.key&gt;12&lt;/&gt;次&lt;@eb.key&gt;法术或真实&lt;/&gt;伤害击倒</t>
  </si>
  <si>
    <t>enemy_1206_msfpin_2</t>
  </si>
  <si>
    <t>msfpin_2</t>
  </si>
  <si>
    <t>彩瓷花瓶</t>
  </si>
  <si>
    <t>不攻击，无法被阻挡，需要&lt;@eb.key&gt;15&lt;/&gt;次&lt;@eb.key&gt;法术或真实&lt;/&gt;伤害击倒</t>
  </si>
  <si>
    <t>enemy_1207_sfji</t>
  </si>
  <si>
    <t>sfji</t>
  </si>
  <si>
    <t>沉沙</t>
  </si>
  <si>
    <t>攻击消耗【断刃】使攻击力提升，被击倒时未消耗的【断刃】会生成【铜矛头】（至少&lt;@eb.key&gt;1&lt;/&gt;个）</t>
  </si>
  <si>
    <t>enemy_1207_sfji_2</t>
  </si>
  <si>
    <t>sfji_2</t>
  </si>
  <si>
    <t>新硎</t>
  </si>
  <si>
    <t>攻击消耗【断刃】使攻击力提升，被击倒时未消耗的【断刃】会生成【铁矛头】（至少&lt;@eb.key&gt;1&lt;/&gt;个）</t>
  </si>
  <si>
    <t>enemy_1208_msfji</t>
  </si>
  <si>
    <t>msfji</t>
  </si>
  <si>
    <t>铜矛头</t>
  </si>
  <si>
    <t>不攻击，无法被阻挡，需要&lt;@eb.key&gt;25&lt;/&gt;次伤害击倒</t>
  </si>
  <si>
    <t>enemy_1208_msfji_2</t>
  </si>
  <si>
    <t>msfji_2</t>
  </si>
  <si>
    <t>铁矛头</t>
  </si>
  <si>
    <t>enemy_1209_sfden</t>
  </si>
  <si>
    <t>sfden</t>
  </si>
  <si>
    <t>清明</t>
  </si>
  <si>
    <t>使周围其他敌方单位暂时隐匿，被击倒后生成&lt;@eb.key&gt;1&lt;/&gt;个【铜灯盘】</t>
  </si>
  <si>
    <t>enemy_1209_sfden_2</t>
  </si>
  <si>
    <t>sfden_2</t>
  </si>
  <si>
    <t>堂皇</t>
  </si>
  <si>
    <t>使周围其他敌方单位暂时隐匿，被击倒后生成&lt;@eb.key&gt;1&lt;/&gt;个【铁灯盘】</t>
  </si>
  <si>
    <t>enemy_1210_msfden</t>
  </si>
  <si>
    <t>msfden</t>
  </si>
  <si>
    <t>铜灯盘</t>
  </si>
  <si>
    <t>enemy_1210_msfden_2</t>
  </si>
  <si>
    <t>msfden_2</t>
  </si>
  <si>
    <t>铁灯盘</t>
  </si>
  <si>
    <t>不攻击，无法被阻挡，需要&lt;@eb.key&gt;45&lt;/&gt;次伤害击倒</t>
  </si>
  <si>
    <t>enemy_1211_msfsui</t>
  </si>
  <si>
    <t>msfsui</t>
  </si>
  <si>
    <t>磷火</t>
  </si>
  <si>
    <t>不攻击，无法被阻挡，需要&lt;@eb.key&gt;10&lt;/&gt;次伤害击倒</t>
  </si>
  <si>
    <t>enemy_1526_sfsui</t>
  </si>
  <si>
    <t>sfsui</t>
  </si>
  <si>
    <t>岁相</t>
  </si>
  <si>
    <t>岁兽阴影，古奥巍峨。它懒懒地看向人间，一眼已是千年，千年轻如一梦，说不清是愤怒抑或幽怨。</t>
  </si>
  <si>
    <t>enemy_1212_mtrfol</t>
  </si>
  <si>
    <t>mtrfol</t>
  </si>
  <si>
    <t>寻路者战士</t>
  </si>
  <si>
    <t>为先导的理念所感召，聚集在他身边的战士。为了实现寻路者共同的目标而奋战。</t>
  </si>
  <si>
    <t>enemy_1212_mtrfol_2</t>
  </si>
  <si>
    <t>mtrfol_2</t>
  </si>
  <si>
    <t>寻路者精锐战士</t>
  </si>
  <si>
    <t>为先导的理念所感召，聚集在他身边的战士。实力强劲，为了实现寻路者共同的目标而奋战。</t>
  </si>
  <si>
    <t>enemy_1213_mtrsnp</t>
  </si>
  <si>
    <t>mtrsnp</t>
  </si>
  <si>
    <t>寻路者狙击手</t>
  </si>
  <si>
    <t>携带弹药时攻击力提升，弹药上限：&lt;@eb.key&gt;1&lt;/&gt;</t>
  </si>
  <si>
    <t>enemy_1213_mtrsnp_2</t>
  </si>
  <si>
    <t>mtrsnp_2</t>
  </si>
  <si>
    <t>寻路者精锐狙击手</t>
  </si>
  <si>
    <t>enemy_1214_mtrmgc</t>
  </si>
  <si>
    <t>mtrmgc</t>
  </si>
  <si>
    <t>寻路者术师</t>
  </si>
  <si>
    <t>携带弹药时攻击造成&lt;$ba.dt.burning&gt;灼燃损伤&lt;/&gt;，弹药上限：&lt;@eb.key&gt;1&lt;/&gt;</t>
  </si>
  <si>
    <t>enemy_1214_mtrmgc_2</t>
  </si>
  <si>
    <t>mtrmgc_2</t>
  </si>
  <si>
    <t>寻路者精锐术师</t>
  </si>
  <si>
    <t>enemy_1215_ptrarc</t>
  </si>
  <si>
    <t>ptrarc</t>
  </si>
  <si>
    <t>寻路者突击手</t>
  </si>
  <si>
    <t>优先攻击“冰淇淋机”，对“冰淇淋机”造成额外法术伤害</t>
  </si>
  <si>
    <t>enemy_1215_ptrarc_2</t>
  </si>
  <si>
    <t>ptrarc_2</t>
  </si>
  <si>
    <t>寻路者奇兵</t>
  </si>
  <si>
    <t>enemy_1216_cansld</t>
  </si>
  <si>
    <t>cansld</t>
  </si>
  <si>
    <t>寻路者阵地破坏者</t>
  </si>
  <si>
    <t>携带弹药时变为远程攻击并造成溅射伤害，对“冰淇淋机”造成额外法术伤害，弹药上限：&lt;@eb.key&gt;2&lt;/&gt;</t>
  </si>
  <si>
    <t>enemy_1216_cansld_2</t>
  </si>
  <si>
    <t>cansld_2</t>
  </si>
  <si>
    <t>寻路者阵地撕裂者</t>
  </si>
  <si>
    <t>enemy_1217_rescar</t>
  </si>
  <si>
    <t>rescar</t>
  </si>
  <si>
    <t>寻路者甜品商</t>
  </si>
  <si>
    <t>携带弹药时每隔一段时间召唤一辆【糖果车】，对阻挡自身的单位造成的伤害大幅提升，弹药上限：&lt;@eb.key&gt;3&lt;/&gt;</t>
  </si>
  <si>
    <t>enemy_1217_rescar_2</t>
  </si>
  <si>
    <t>rescar_2</t>
  </si>
  <si>
    <t>寻路者知名甜品商</t>
  </si>
  <si>
    <t>携带弹药时每隔一段时间召唤一辆&lt;糖果车&gt;，对阻挡自身的单位造成的伤害大幅提升，弹药上限：&lt;@eb.key&gt;3&lt;/&gt;</t>
  </si>
  <si>
    <t>enemy_1218_bomscr</t>
  </si>
  <si>
    <t>bomscr</t>
  </si>
  <si>
    <t>糖果车</t>
  </si>
  <si>
    <t>被阻挡后发生爆炸，对周围所有目标造成法术伤害及&lt;$ba.dt.burning&gt;灼燃损伤&lt;/&gt;，爆炸对周围的“冰淇淋机”造成大量法术伤害</t>
  </si>
  <si>
    <t>enemy_1218_bomscr_2</t>
  </si>
  <si>
    <t>bomscr_2</t>
  </si>
  <si>
    <t>精致糖果车</t>
  </si>
  <si>
    <t>enemy_1219_mtrbty</t>
  </si>
  <si>
    <t>mtrbty</t>
  </si>
  <si>
    <t>寻路者信使</t>
  </si>
  <si>
    <t>携带弹药时使用远程攻击并使目标无法攻击或治疗一段时间，对“冰淇淋机”造成额外法术伤害，弹药上限：&lt;@eb.key&gt;1&lt;/&gt;</t>
  </si>
  <si>
    <t>enemy_1219_mtrbty_2</t>
  </si>
  <si>
    <t>mtrbty_2</t>
  </si>
  <si>
    <t>万国信使，奥伦</t>
  </si>
  <si>
    <t>enemy_1527_martyr</t>
  </si>
  <si>
    <t>martyr</t>
  </si>
  <si>
    <t>“殉道者”，安多恩</t>
  </si>
  <si>
    <t>为了提出一个问题不惜与拉特兰为敌的萨科塔，为了得到一个答案甘愿踏上苦难之路的寻路者。</t>
  </si>
  <si>
    <t>Idle1</t>
  </si>
  <si>
    <t>Move1</t>
  </si>
  <si>
    <t>enemy_1220_dzoms</t>
  </si>
  <si>
    <t>dzoms</t>
  </si>
  <si>
    <t>大君之触</t>
  </si>
  <si>
    <t>普通,近战,重生造物,日晕</t>
  </si>
  <si>
    <t>难以击倒的&lt;@eb.key&gt;重生造物&lt;/&gt;，阻挡该敌人的单位&lt;@eb.key&gt;阻挡数上限提升&lt;/&gt;。</t>
  </si>
  <si>
    <t>enemy_1220_dzoms_2</t>
  </si>
  <si>
    <t>dzoms_2</t>
  </si>
  <si>
    <t>仁慈之触</t>
  </si>
  <si>
    <t>enemy_1221_dzomg</t>
  </si>
  <si>
    <t>dzomg</t>
  </si>
  <si>
    <t>大君之赐</t>
  </si>
  <si>
    <t>enemy_1221_dzomg_2</t>
  </si>
  <si>
    <t>dzomg_2</t>
  </si>
  <si>
    <t>慷慨之赐</t>
  </si>
  <si>
    <t>enemy_1222_dpvt</t>
  </si>
  <si>
    <t>dpvt</t>
  </si>
  <si>
    <t>萨卡兹子裔战士</t>
  </si>
  <si>
    <t>普通,近战,萨卡兹,日晕</t>
  </si>
  <si>
    <t>受到血魔大君活体血液赐福的萨卡兹王庭军战士，首次倒下后重生为&lt;@eb.key&gt;&lt;大君之触&gt;&lt;/&gt;。</t>
  </si>
  <si>
    <t>enemy_1222_dpvt_2</t>
  </si>
  <si>
    <t>dpvt_2</t>
  </si>
  <si>
    <t>萨卡兹子裔战士组长</t>
  </si>
  <si>
    <t>受到血魔大君活体血液赐福的萨卡兹王庭军战士组长，首次倒下后重生为&lt;@eb.key&gt;&lt;仁慈之触&gt;&lt;/&gt;。</t>
  </si>
  <si>
    <t>enemy_1223_dmech</t>
  </si>
  <si>
    <t>dmech</t>
  </si>
  <si>
    <t>萨卡兹子裔工匠</t>
  </si>
  <si>
    <t>为&lt;@eb.key&gt;伦蒂尼姆城防副炮&lt;/&gt;持续充能，被打断时城防炮&lt;@eb.key&gt;损失部分充能&lt;/&gt;；首次倒下后重生为&lt;@eb.key&gt;&lt;大君之触&gt;&lt;/&gt;。</t>
  </si>
  <si>
    <t>enemy_1223_dmech_2</t>
  </si>
  <si>
    <t>dmech_2</t>
  </si>
  <si>
    <t>萨卡兹子裔工匠组长</t>
  </si>
  <si>
    <t>为&lt;@eb.key&gt;伦蒂尼姆城防副炮&lt;/&gt;持续充能，被打断时城防炮&lt;@eb.key&gt;损失部分充能&lt;/&gt;；首次倒下后重生为&lt;@eb.key&gt;&lt;仁慈之触&gt;&lt;/&gt;。</t>
  </si>
  <si>
    <t>enemy_1224_dsuply</t>
  </si>
  <si>
    <t>dsuply</t>
  </si>
  <si>
    <t>萨卡兹子裔补给车</t>
  </si>
  <si>
    <t>在场时，重生造物的&lt;@eb.key&gt;攻击力提升&lt;/&gt;且攻击附带&lt;@eb.key&gt;凋亡损伤&lt;/&gt;。</t>
  </si>
  <si>
    <t>enemy_1224_dsuply_2</t>
  </si>
  <si>
    <t>dsuply_2</t>
  </si>
  <si>
    <t>萨卡兹子裔改装补给车</t>
  </si>
  <si>
    <t>enemy_1225_dkmage</t>
  </si>
  <si>
    <t>dkmage</t>
  </si>
  <si>
    <t>萨卡兹子裔链术师</t>
  </si>
  <si>
    <t>精英,远程,萨卡兹,日晕</t>
  </si>
  <si>
    <t>攻击造成&lt;@eb.key&gt;法术伤害&lt;/&gt;与&lt;@eb.key&gt;凋亡损伤&lt;/&gt;，且会在4个敌人间跳跃，每次跳跃伤害降低；首次倒下后重生为&lt;@eb.key&gt;&lt;大君之赐&gt;&lt;/&gt;。</t>
  </si>
  <si>
    <t>enemy_1225_dkmage_2</t>
  </si>
  <si>
    <t>dkmage_2</t>
  </si>
  <si>
    <t>萨卡兹子裔链术师组长</t>
  </si>
  <si>
    <t>攻击造成&lt;@eb.key&gt;法术伤害&lt;/&gt;与&lt;@eb.key&gt;凋亡损伤&lt;/&gt;，且会在4个敌人间跳跃，每次跳跃伤害降低；首次倒下后重生为&lt;@eb.key&gt;&lt;慷慨之赐&gt;&lt;/&gt;。</t>
  </si>
  <si>
    <t>enemy_1226_dklord</t>
  </si>
  <si>
    <t>dklord</t>
  </si>
  <si>
    <t>萨卡兹子裔集恨者</t>
  </si>
  <si>
    <t>精英,近战,萨卡兹,日晕</t>
  </si>
  <si>
    <t>场上每有一个重生造物时&lt;@eb.key&gt;攻击力提升&lt;/&gt;；首次倒下后重生为&lt;@eb.key&gt;&lt;大君之赐&gt;&lt;/&gt;。</t>
  </si>
  <si>
    <t>enemy_1226_dklord_2</t>
  </si>
  <si>
    <t>dklord_2</t>
  </si>
  <si>
    <t>萨卡兹子裔集怒者</t>
  </si>
  <si>
    <t>场上每有一个重生造物时&lt;@eb.key&gt;攻击力提升&lt;/&gt;；首次倒下后重生为&lt;@eb.key&gt;&lt;慷慨之赐&gt;&lt;/&gt;。</t>
  </si>
  <si>
    <t>enemy_1227_dair</t>
  </si>
  <si>
    <t>dair</t>
  </si>
  <si>
    <t>萨卡兹征用工程无人机</t>
  </si>
  <si>
    <t>隐匿，会逐渐损失生命，攻击时为&lt;@eb.key&gt;伦蒂尼姆城防副炮&lt;/&gt;充能。</t>
  </si>
  <si>
    <t>enemy_1227_dair_2</t>
  </si>
  <si>
    <t>dair_2</t>
  </si>
  <si>
    <t>萨卡兹征用尖端无人机</t>
  </si>
  <si>
    <t>enemy_1228_dslime</t>
  </si>
  <si>
    <t>dslime</t>
  </si>
  <si>
    <t>渴血的子裔</t>
  </si>
  <si>
    <t>攻击造成&lt;@eb.key&gt;法术伤害&lt;/&gt;，并恢复攻击伤害一定比例的生命。</t>
  </si>
  <si>
    <t>enemy_1228_dslime_2</t>
  </si>
  <si>
    <t>dslime_2</t>
  </si>
  <si>
    <t>饱腹的子裔</t>
  </si>
  <si>
    <t>enemy_1229_darmy</t>
  </si>
  <si>
    <t>darmy</t>
  </si>
  <si>
    <t>萨卡兹王庭军战士</t>
  </si>
  <si>
    <t>攻击造成&lt;@eb.key&gt;法术伤害&lt;/&gt;与&lt;@eb.key&gt;凋亡损伤&lt;/&gt;。</t>
  </si>
  <si>
    <t>enemy_1229_darmy_2</t>
  </si>
  <si>
    <t>darmy_2</t>
  </si>
  <si>
    <t>萨卡兹王庭军精锐战士</t>
  </si>
  <si>
    <t>enemy_1528_manfri</t>
  </si>
  <si>
    <t>manfri</t>
  </si>
  <si>
    <t>曼弗雷德</t>
  </si>
  <si>
    <t>卡兹戴尔军事委员会成员，年轻的萨卡兹将军。使用施术单元“提卡兹之根”与特雷西斯亲授的剑术作战。&lt;@eb.key&gt;攻击时为伦蒂尼姆城防副炮充能&lt;/&gt;。</t>
  </si>
  <si>
    <t>enemy_1230_dsbudr</t>
  </si>
  <si>
    <t>dsbudr</t>
  </si>
  <si>
    <t>深溟奠基者</t>
  </si>
  <si>
    <t>被击倒后于所在位置生成&lt;@eb.key&gt;“溟痕”&lt;/&gt;；法术抗性提升</t>
  </si>
  <si>
    <t>enemy_1230_dsbudr_2</t>
  </si>
  <si>
    <t>dsbudr_2</t>
  </si>
  <si>
    <t>富营养的奠基者</t>
  </si>
  <si>
    <t>enemy_1230_dsbudr_3</t>
  </si>
  <si>
    <t>dsbudr_3</t>
  </si>
  <si>
    <t>奠基者的墓碑</t>
  </si>
  <si>
    <t>enemy_1230_dsbudr_4</t>
  </si>
  <si>
    <t>dsbudr_4</t>
  </si>
  <si>
    <t>退行的奠基者</t>
  </si>
  <si>
    <t>被击倒后于所在位置生成&lt;@eb.key&gt;“溟痕”&lt;/&gt;并留下&lt;@eb.key&gt;残骸&lt;/&gt;；【定向进化】法术抗性提升</t>
  </si>
  <si>
    <t>enemy_1231_dsrunr</t>
  </si>
  <si>
    <t>dsrunr</t>
  </si>
  <si>
    <t>深溟猎食者</t>
  </si>
  <si>
    <t>位于&lt;@eb.key&gt;“溟痕”&lt;/&gt;时不可阻挡；获得物理与法术闪避（部分异常状态时失效）</t>
  </si>
  <si>
    <t>enemy_1231_dsrunr_2</t>
  </si>
  <si>
    <t>dsrunr_2</t>
  </si>
  <si>
    <t>富营养的猎食者</t>
  </si>
  <si>
    <t>enemy_1231_dsrunr_3</t>
  </si>
  <si>
    <t>猎食者的墓碑</t>
  </si>
  <si>
    <t>enemy_1231_dsrunr_4</t>
  </si>
  <si>
    <t>退行的猎食者</t>
  </si>
  <si>
    <t>位于&lt;@eb.key&gt;“溟痕”&lt;/&gt;时不可阻挡；被击倒后遗留&lt;@eb.key&gt;残骸&lt;/&gt;；【定向进化】获得物理与法术闪避（部分异常状态时失效）</t>
  </si>
  <si>
    <t>enemy_1232_dssalr</t>
  </si>
  <si>
    <t>dssalr</t>
  </si>
  <si>
    <t>深溟引痕者</t>
  </si>
  <si>
    <t>生命值低于一半时，经过的地块变为&lt;@eb.key&gt;“溟痕”&lt;/&gt;，且防御力与占用阻挡数提升</t>
  </si>
  <si>
    <t>enemy_1232_dssalr_2</t>
  </si>
  <si>
    <t>dssalr_2</t>
  </si>
  <si>
    <t>富营养的引痕者</t>
  </si>
  <si>
    <t>enemy_1232_dssalr_3</t>
  </si>
  <si>
    <t>引痕者的墓碑</t>
  </si>
  <si>
    <t>enemy_1232_dssalr_4</t>
  </si>
  <si>
    <t>退行的引痕者</t>
  </si>
  <si>
    <t>生命值低于一半时，经过的地块变为&lt;@eb.key&gt;“溟痕”&lt;/&gt;；被击倒后遗留&lt;@eb.key&gt;残骸&lt;/&gt;，【定向进化】生命值低于一半时，防御力与占用阻挡数提升</t>
  </si>
  <si>
    <t>enemy_1233_dsshtr</t>
  </si>
  <si>
    <t>dsshtr</t>
  </si>
  <si>
    <t>深溟喷溅者</t>
  </si>
  <si>
    <t>可以攻击到所有位于&lt;@eb.key&gt;“溟痕”&lt;/&gt;上的目标；同时攻击3个目标</t>
  </si>
  <si>
    <t>enemy_1233_dsshtr_2</t>
  </si>
  <si>
    <t>dsshtr_2</t>
  </si>
  <si>
    <t>富营养的喷溅者</t>
  </si>
  <si>
    <t>enemy_1233_dsshtr_3</t>
  </si>
  <si>
    <t>喷溅者的墓碑</t>
  </si>
  <si>
    <t>enemy_1233_dsshtr_4</t>
  </si>
  <si>
    <t>退行的喷溅者</t>
  </si>
  <si>
    <t>可以攻击到所有位于&lt;@eb.key&gt;“溟痕”&lt;/&gt;上的目标；被击倒后遗留&lt;@eb.key&gt;“残骸”&lt;/&gt;；【定向进化】同时攻击3个目标</t>
  </si>
  <si>
    <t>enemy_1234_dsubrl</t>
  </si>
  <si>
    <t>dsubrl</t>
  </si>
  <si>
    <t>深溟巢涌者</t>
  </si>
  <si>
    <t>持续对周围造成&lt;@eb.key&gt;法术伤害&lt;/&gt;和&lt;@eb.key&gt;神经损伤&lt;/&gt;；&lt;@eb.key&gt;抵抗&lt;/&gt;，且移动速度不会降低</t>
  </si>
  <si>
    <t>enemy_1234_dsubrl_2</t>
  </si>
  <si>
    <t>dsubrl_2</t>
  </si>
  <si>
    <t>富营养的巢涌者</t>
  </si>
  <si>
    <t>enemy_1234_dsubrl_3</t>
  </si>
  <si>
    <t>巢涌者的墓碑</t>
  </si>
  <si>
    <t>enemy_1234_dsubrl_4</t>
  </si>
  <si>
    <t>退行的巢涌者</t>
  </si>
  <si>
    <t>持续对周围造成&lt;@eb.key&gt;法术伤害&lt;/&gt;和&lt;@eb.key&gt;神经损伤&lt;/&gt;；被击倒后遗留&lt;@eb.key&gt;残骸&lt;/&gt;；【定向进化】&lt;@eb.key&gt;抵抗&lt;/&gt;，且移动速度不会降低</t>
  </si>
  <si>
    <t>enemy_1235_dsbskr</t>
  </si>
  <si>
    <t>dsbskr</t>
  </si>
  <si>
    <t>深溟裂礁者</t>
  </si>
  <si>
    <t>精英,近战,远程,海怪</t>
  </si>
  <si>
    <t>位于&lt;@eb.key&gt;“溟痕”&lt;/&gt;时&lt;@eb.key&gt;隐匿&lt;/&gt;；每造成一次伤害后攻击力提升，停止攻击后快速衰减</t>
  </si>
  <si>
    <t>enemy_1235_dsbskr_2</t>
  </si>
  <si>
    <t>dsbskr_2</t>
  </si>
  <si>
    <t>富营养的裂礁者</t>
  </si>
  <si>
    <t>enemy_1235_dsbskr_3</t>
  </si>
  <si>
    <t>裂礁者的墓碑</t>
  </si>
  <si>
    <t>enemy_1235_dsbskr_4</t>
  </si>
  <si>
    <t>退行的裂礁者</t>
  </si>
  <si>
    <t>位于&lt;@eb.key&gt;“溟痕”&lt;/&gt;时&lt;@eb.key&gt;隐匿&lt;/&gt;；被击倒后遗留&lt;@eb.key&gt;残骸&lt;/&gt;；【定向进化】每造成一次伤害后攻击力提升，停止攻击后快速衰减</t>
  </si>
  <si>
    <t>#enemy_1236_bouncy</t>
  </si>
  <si>
    <t>bouncy</t>
  </si>
  <si>
    <t>弹力球</t>
  </si>
  <si>
    <t>部署后延一个方向滚动，使碰撞到的敌人晕眩1秒</t>
  </si>
  <si>
    <t>#enemy_1236_bouncy_2</t>
  </si>
  <si>
    <t>bouncy_2</t>
  </si>
  <si>
    <t>清洗弹力球</t>
  </si>
  <si>
    <t>部署后延一个方向滚动，使碰撞到的敌人晕眩1秒，并清除滚过地板上的菌毯</t>
  </si>
  <si>
    <t>#enemy_1236_bouncy_3</t>
  </si>
  <si>
    <t>bouncy_3</t>
  </si>
  <si>
    <t>反弹弹力球</t>
  </si>
  <si>
    <t>部署后延一个方向滚动，使碰撞到的敌人晕眩1秒，能够在墙壁间反弹，对碰撞到的敌人反复造成晕眩</t>
  </si>
  <si>
    <t>enemy_1529_dsdevr</t>
  </si>
  <si>
    <t>dsdevr</t>
  </si>
  <si>
    <t>屠谕者，大群意志</t>
  </si>
  <si>
    <t>领袖,近战,远程,海怪</t>
  </si>
  <si>
    <t>出没于大船斯图提斐拉号的小型海嗣，其亲代的血曾染满这片海洋。神谕传达不到子嗣的耳中，族群的命运依旧能悄然流转。</t>
  </si>
  <si>
    <t>#enemy_1529_dsdevr_2</t>
  </si>
  <si>
    <t>dsdevr_2</t>
  </si>
  <si>
    <t>enemy_1238_ltmob</t>
  </si>
  <si>
    <t>ltmob</t>
  </si>
  <si>
    <t>“街头闲汉”</t>
  </si>
  <si>
    <t>enemy_1238_ltmob_2</t>
  </si>
  <si>
    <t>ltmob_2</t>
  </si>
  <si>
    <t>“街头醉汉”</t>
  </si>
  <si>
    <t>enemy_1239_ltbow</t>
  </si>
  <si>
    <t>ltbow</t>
  </si>
  <si>
    <t>“街头卖艺者”</t>
  </si>
  <si>
    <t>enemy_1239_ltbow_2</t>
  </si>
  <si>
    <t>ltbow_2</t>
  </si>
  <si>
    <t>“街头音乐家”</t>
  </si>
  <si>
    <t>enemy_1240_ltgint</t>
  </si>
  <si>
    <t>ltgint</t>
  </si>
  <si>
    <t>量产巨像</t>
  </si>
  <si>
    <t>enemy_1240_ltgint_2</t>
  </si>
  <si>
    <t>ltgint_2</t>
  </si>
  <si>
    <t>改进型量产巨像</t>
  </si>
  <si>
    <t>enemy_1241_ltmage</t>
  </si>
  <si>
    <t>ltmage</t>
  </si>
  <si>
    <t>高塔术师</t>
  </si>
  <si>
    <t>enemy_1241_ltmage_2</t>
  </si>
  <si>
    <t>ltmage_2</t>
  </si>
  <si>
    <t>历战高塔术师</t>
  </si>
  <si>
    <t>enemy_1242_ltsmag</t>
  </si>
  <si>
    <t>ltsmag</t>
  </si>
  <si>
    <t>残党小提琴家</t>
  </si>
  <si>
    <t>enemy_1242_ltsmag_2</t>
  </si>
  <si>
    <t>ltsmag_2</t>
  </si>
  <si>
    <t>残党首席小提琴家</t>
  </si>
  <si>
    <t>enemy_1243_ltswar</t>
  </si>
  <si>
    <t>ltswar</t>
  </si>
  <si>
    <t>残党萨克斯手</t>
  </si>
  <si>
    <t>enemy_1243_ltswar_2</t>
  </si>
  <si>
    <t>ltswar_2</t>
  </si>
  <si>
    <t>残党正式萨克斯手</t>
  </si>
  <si>
    <t>enemy_1244_ltssch</t>
  </si>
  <si>
    <t>ltssch</t>
  </si>
  <si>
    <t>残党阵地术师</t>
  </si>
  <si>
    <t>精英</t>
  </si>
  <si>
    <t>enemy_1244_ltssch_2</t>
  </si>
  <si>
    <t>ltssch_2</t>
  </si>
  <si>
    <t>残党资深阵地术师</t>
  </si>
  <si>
    <t>enemy_1246_aslime</t>
  </si>
  <si>
    <t>aslime</t>
  </si>
  <si>
    <t>黑水源石虫</t>
  </si>
  <si>
    <t>enemy_1246_aslime_2</t>
  </si>
  <si>
    <t>aslime_2</t>
  </si>
  <si>
    <t>黑水源石虫·α</t>
  </si>
  <si>
    <t>enemy_1247_ltgtld</t>
  </si>
  <si>
    <t>ltgtld</t>
  </si>
  <si>
    <t>格特鲁德女士</t>
  </si>
  <si>
    <t>enemy_1530_white</t>
  </si>
  <si>
    <t>white</t>
  </si>
  <si>
    <t>白垩，“尘世遗骸”</t>
  </si>
  <si>
    <t>领袖,远程,法术造物</t>
  </si>
  <si>
    <t>A_Die</t>
  </si>
  <si>
    <t>enemy_1530_whiteeX</t>
  </si>
  <si>
    <t>白垩，“尘世遗骸”EX</t>
  </si>
  <si>
    <t>enemy_1249_lysdb</t>
  </si>
  <si>
    <t>lysdb</t>
  </si>
  <si>
    <t>莱茵生命防卫科成员</t>
  </si>
  <si>
    <t>enemy_1249_lysdb_2</t>
  </si>
  <si>
    <t>lysdb_2</t>
  </si>
  <si>
    <t>莱茵生命防卫科高级成员</t>
  </si>
  <si>
    <t>enemy_1250_lyengs</t>
  </si>
  <si>
    <t>lyengs</t>
  </si>
  <si>
    <t>莱茵生命工程科成员</t>
  </si>
  <si>
    <t>enemy_1250_lyengs_2</t>
  </si>
  <si>
    <t>lyengs_2</t>
  </si>
  <si>
    <t>莱茵生命高级工程科成员</t>
  </si>
  <si>
    <t>enemy_1251_lysyta</t>
  </si>
  <si>
    <t>lysyta</t>
  </si>
  <si>
    <t>Dor-1号失败品</t>
  </si>
  <si>
    <t>普通,近战,莱茵实验体</t>
  </si>
  <si>
    <t>enemy_1251_lysyta_2</t>
  </si>
  <si>
    <t>lysyta_2</t>
  </si>
  <si>
    <t>Dor-α号失败品</t>
  </si>
  <si>
    <t>enemy_1252_lysytb</t>
  </si>
  <si>
    <t>lysytb</t>
  </si>
  <si>
    <t>Dor-2号复制体</t>
  </si>
  <si>
    <t>普通,远程,莱茵实验体</t>
  </si>
  <si>
    <t>enemy_1252_lysytb_2</t>
  </si>
  <si>
    <t>lysytb_2</t>
  </si>
  <si>
    <t>Dor-β号复制体</t>
  </si>
  <si>
    <t>enemy_1253_lysytc</t>
  </si>
  <si>
    <t>lysytc</t>
  </si>
  <si>
    <t>Dor-3号改造体</t>
  </si>
  <si>
    <t>精英,近战,莱茵实验体</t>
  </si>
  <si>
    <t>enemy_1253_lysytc_2</t>
  </si>
  <si>
    <t>lysytc_2</t>
  </si>
  <si>
    <t>Dor-γ号改造体</t>
  </si>
  <si>
    <t>enemy_1254_lypa</t>
  </si>
  <si>
    <t>lypa</t>
  </si>
  <si>
    <t>实验用动力装甲</t>
  </si>
  <si>
    <t>enemy_1254_lypa_2</t>
  </si>
  <si>
    <t>lypa_2</t>
  </si>
  <si>
    <t>测试用动力装甲</t>
  </si>
  <si>
    <t>enemy_1255_lybgpa</t>
  </si>
  <si>
    <t>lybgpa</t>
  </si>
  <si>
    <t>R-31重型动力装甲</t>
  </si>
  <si>
    <t>Die_02</t>
  </si>
  <si>
    <t>enemy_1255_lybgpa_2</t>
  </si>
  <si>
    <t>lybgpa_2</t>
  </si>
  <si>
    <t>R-31a重型动力装甲</t>
  </si>
  <si>
    <t>enemy_1256_lyacpa</t>
  </si>
  <si>
    <t>lyacpa</t>
  </si>
  <si>
    <t>R-11突击动力装甲</t>
  </si>
  <si>
    <t>Die_2</t>
  </si>
  <si>
    <t>enemy_1256_lyacpa_2</t>
  </si>
  <si>
    <t>lyacpa_2</t>
  </si>
  <si>
    <t>R-11a突击动力装甲</t>
  </si>
  <si>
    <t>Senemy_1255_lybgpa</t>
  </si>
  <si>
    <t>休眠重型动力装甲</t>
  </si>
  <si>
    <t>精英,机械</t>
  </si>
  <si>
    <t>Sleep</t>
  </si>
  <si>
    <t>Die_01</t>
  </si>
  <si>
    <t>Senemy_1255_lybgpa_2</t>
  </si>
  <si>
    <t>休眠重型动力装甲a</t>
  </si>
  <si>
    <t>Senemy_1256_lyacpa</t>
  </si>
  <si>
    <t>休眠突击动力装甲</t>
  </si>
  <si>
    <t>Die_1</t>
  </si>
  <si>
    <t>Senemy_1256_lyacpa_2</t>
  </si>
  <si>
    <t>休眠突击动力装甲a</t>
  </si>
  <si>
    <t>enemy_1257_lydrty</t>
  </si>
  <si>
    <t>lydrty</t>
  </si>
  <si>
    <t>多萝西</t>
  </si>
  <si>
    <t>F_Idle</t>
  </si>
  <si>
    <t>F_Move</t>
  </si>
  <si>
    <t>F_Die</t>
  </si>
  <si>
    <t>enemy_1531_bbrain</t>
  </si>
  <si>
    <t>bbrain</t>
  </si>
  <si>
    <t>“唤醒”</t>
  </si>
  <si>
    <t>Die_Start</t>
  </si>
  <si>
    <t>enemy_1531_bbrain_2</t>
  </si>
  <si>
    <t>“唤醒”EX</t>
  </si>
  <si>
    <t>enemy_1258_durman</t>
  </si>
  <si>
    <t>durman</t>
  </si>
  <si>
    <t>酒类爱好者</t>
  </si>
  <si>
    <t>enemy_1258_durman_2</t>
  </si>
  <si>
    <t>durman_2</t>
  </si>
  <si>
    <t>酒类协会会员</t>
  </si>
  <si>
    <t>enemy_1259_durwar</t>
  </si>
  <si>
    <t>durwar</t>
  </si>
  <si>
    <t>湖畔志愿者</t>
  </si>
  <si>
    <t>enemy_1259_durwar_2</t>
  </si>
  <si>
    <t>durwar_2</t>
  </si>
  <si>
    <t>湖畔救生员</t>
  </si>
  <si>
    <t>enemy_1260_durmag</t>
  </si>
  <si>
    <t>durmag</t>
  </si>
  <si>
    <t>沙堡建筑者</t>
  </si>
  <si>
    <t>enemy_1260_durmag_2</t>
  </si>
  <si>
    <t>durmag_2</t>
  </si>
  <si>
    <t>沙堡设计师</t>
  </si>
  <si>
    <t>enemy_1261_dursho</t>
  </si>
  <si>
    <t>dursho</t>
  </si>
  <si>
    <t>排球发球车</t>
  </si>
  <si>
    <t>普通,远程,机械</t>
  </si>
  <si>
    <t>enemy_1261_dursho_2</t>
  </si>
  <si>
    <t>dursho_2</t>
  </si>
  <si>
    <t>排球重扣车</t>
  </si>
  <si>
    <t>enemy_1262_durplc</t>
  </si>
  <si>
    <t>durplc</t>
  </si>
  <si>
    <t>钢铁冲浪教练</t>
  </si>
  <si>
    <t>enemy_1262_durplc_2</t>
  </si>
  <si>
    <t>durplc_2</t>
  </si>
  <si>
    <t>合金冲浪教练</t>
  </si>
  <si>
    <t>enemy_1263_durbus</t>
  </si>
  <si>
    <t>durbus</t>
  </si>
  <si>
    <t>全封闭沙滩车</t>
  </si>
  <si>
    <t>enemy_1263_durbus_2</t>
  </si>
  <si>
    <t>durbus_2</t>
  </si>
  <si>
    <t>竞赛级沙滩车</t>
  </si>
  <si>
    <t>enemy_1264_durgrd</t>
  </si>
  <si>
    <t>durgrd</t>
  </si>
  <si>
    <t>蜜酿级醒酒助手</t>
  </si>
  <si>
    <t>enemy_1264_durgrd_2</t>
  </si>
  <si>
    <t>durgrd_2</t>
  </si>
  <si>
    <t>烈酒级醒酒助手</t>
  </si>
  <si>
    <t>enemy_1532_minima</t>
  </si>
  <si>
    <t>minima</t>
  </si>
  <si>
    <t>“物欲拮抗者”</t>
  </si>
  <si>
    <t>领袖,远程,无人机</t>
  </si>
  <si>
    <t>W_Default</t>
  </si>
  <si>
    <t>W_Idle</t>
  </si>
  <si>
    <t>W_Move</t>
  </si>
  <si>
    <t>W_Die</t>
  </si>
  <si>
    <t>enemy_1267_nhpbr</t>
  </si>
  <si>
    <t>nhpbr</t>
  </si>
  <si>
    <t>萨卡兹枯朽战士</t>
  </si>
  <si>
    <t>F_Default</t>
  </si>
  <si>
    <t>enemy_1267_nhpbr_2</t>
  </si>
  <si>
    <t>nhpbr_2</t>
  </si>
  <si>
    <t>萨卡兹枯朽战士组长</t>
  </si>
  <si>
    <t>enemy_1268_nhnrs</t>
  </si>
  <si>
    <t>nhnrs</t>
  </si>
  <si>
    <t>萨卡兹枯朽术师</t>
  </si>
  <si>
    <t>普通,远程,萨卡兹</t>
  </si>
  <si>
    <t>enemy_1268_nhnrs_2</t>
  </si>
  <si>
    <t>nhnrs_2</t>
  </si>
  <si>
    <t>萨卡兹枯朽术师组长</t>
  </si>
  <si>
    <t>enemy_1269_nhfly</t>
  </si>
  <si>
    <t>nhfly</t>
  </si>
  <si>
    <t>枯朽之种</t>
  </si>
  <si>
    <t>enemy_1269_nhfly_2</t>
  </si>
  <si>
    <t>nhfly_2</t>
  </si>
  <si>
    <t>腐败之种</t>
  </si>
  <si>
    <t>enemy_1269_nhflyS</t>
  </si>
  <si>
    <t>枯朽之种出场不待机</t>
  </si>
  <si>
    <t>enemy_1269_nhfly_2S</t>
  </si>
  <si>
    <t>腐败之种出场不待机</t>
  </si>
  <si>
    <t>enemy_1270_nhstlk</t>
  </si>
  <si>
    <t>nhstlk</t>
  </si>
  <si>
    <t>逐腐兽</t>
  </si>
  <si>
    <t>普通,近战,法术造物</t>
  </si>
  <si>
    <t>enemy_1270_nhstlk_2</t>
  </si>
  <si>
    <t>nhstlk_2</t>
  </si>
  <si>
    <t>疯狂的逐腐兽</t>
  </si>
  <si>
    <t>enemy_1271_nhkodo</t>
  </si>
  <si>
    <t>nhkodo</t>
  </si>
  <si>
    <t>萨卡兹枯朽吞噬者</t>
  </si>
  <si>
    <t>Die_A</t>
  </si>
  <si>
    <t>enemy_1271_nhkodo_2</t>
  </si>
  <si>
    <t>nhkodo_2</t>
  </si>
  <si>
    <t>萨卡兹枯朽吸纳者</t>
  </si>
  <si>
    <t>enemy_1272_nhtank</t>
  </si>
  <si>
    <t>nhtank</t>
  </si>
  <si>
    <t>萨卡兹枯朽战车</t>
  </si>
  <si>
    <t>enemy_1272_nhtank_2</t>
  </si>
  <si>
    <t>nhtank_2</t>
  </si>
  <si>
    <t>尖端萨卡兹枯朽战车</t>
  </si>
  <si>
    <t>enemy_1273_stmgun</t>
  </si>
  <si>
    <t>stmgun</t>
  </si>
  <si>
    <t>伦蒂尼姆城防自行炮</t>
  </si>
  <si>
    <t>enemy_1273_stmgun_2</t>
  </si>
  <si>
    <t>stmgun_2</t>
  </si>
  <si>
    <t>高准度伦蒂尼姆城防自行炮</t>
  </si>
  <si>
    <t>enemy_1274_stmram</t>
  </si>
  <si>
    <t>stmram</t>
  </si>
  <si>
    <t>蒸汽战车</t>
  </si>
  <si>
    <t>enemy_1274_stmram_2</t>
  </si>
  <si>
    <t>stmram_2</t>
  </si>
  <si>
    <t>极温蒸汽战车</t>
  </si>
  <si>
    <t>enemy_1275_dwlock</t>
  </si>
  <si>
    <t>dwlock</t>
  </si>
  <si>
    <t>萨卡兹王庭军术师</t>
  </si>
  <si>
    <t>enemy_1275_dwlock_2</t>
  </si>
  <si>
    <t>dwlock_2</t>
  </si>
  <si>
    <t>萨卡兹王庭军精锐术师</t>
  </si>
  <si>
    <t>enemy_1533_stmkgt</t>
  </si>
  <si>
    <t>stmkgt</t>
  </si>
  <si>
    <t>“最后的蒸汽骑士”</t>
  </si>
  <si>
    <t>领袖,机械</t>
  </si>
  <si>
    <t>Default_A</t>
  </si>
  <si>
    <t>Die_B</t>
  </si>
  <si>
    <t>Stun_A</t>
  </si>
  <si>
    <t>enemy_1533_stmkgt_H2</t>
  </si>
  <si>
    <t>“最后的蒸汽骑士”H2</t>
  </si>
  <si>
    <t>enemy_1533_stmkgt_H4</t>
  </si>
  <si>
    <t>“最后的蒸汽骑士”H4</t>
  </si>
  <si>
    <t>领袖,机械,蒸汽骑士H4</t>
  </si>
  <si>
    <t>enemy_1276_telex</t>
  </si>
  <si>
    <t>telex</t>
  </si>
  <si>
    <t>特雷西斯</t>
  </si>
  <si>
    <t>领袖</t>
  </si>
  <si>
    <t>enemy_1266_nhapos</t>
  </si>
  <si>
    <t>nhapos</t>
  </si>
  <si>
    <t>食腐使徒</t>
  </si>
  <si>
    <t>enemy_1266_nhapos_2</t>
  </si>
  <si>
    <t>nhapos_2</t>
  </si>
  <si>
    <t>渴血食腐使徒</t>
  </si>
  <si>
    <t>enemy_1266_nhaposF</t>
  </si>
  <si>
    <t>食腐使徒F</t>
  </si>
  <si>
    <t>enemy_1266_nhapos_2F</t>
  </si>
  <si>
    <t>渴血食腐使徒F</t>
  </si>
  <si>
    <t>enemy_1277_sgman</t>
  </si>
  <si>
    <t>sgman</t>
  </si>
  <si>
    <t>家族士兵</t>
  </si>
  <si>
    <t>enemy_1277_sgman_2</t>
  </si>
  <si>
    <t>sgman_2</t>
  </si>
  <si>
    <t>1277</t>
  </si>
  <si>
    <t>家族精英士兵</t>
  </si>
  <si>
    <t>enemy_1278_sgbow</t>
  </si>
  <si>
    <t>sgbow</t>
  </si>
  <si>
    <t>1278</t>
  </si>
  <si>
    <t>家族弩手</t>
  </si>
  <si>
    <t>enemy_1278_sgbow_2</t>
  </si>
  <si>
    <t>sgbow_2</t>
  </si>
  <si>
    <t>家族精英弩手</t>
  </si>
  <si>
    <t>enemy_1279_sgbdg</t>
  </si>
  <si>
    <t>sgbdg</t>
  </si>
  <si>
    <t>1279</t>
  </si>
  <si>
    <t>家族恫吓者</t>
  </si>
  <si>
    <t>F_Chest</t>
  </si>
  <si>
    <t>enemy_1279_sgbdg_2</t>
  </si>
  <si>
    <t>sgbdg_2</t>
  </si>
  <si>
    <t>家族强暴恫吓者</t>
  </si>
  <si>
    <t>enemy_1280_sgmag</t>
  </si>
  <si>
    <t>sgmag</t>
  </si>
  <si>
    <t>家族术士</t>
  </si>
  <si>
    <t>F_Hip</t>
  </si>
  <si>
    <t>enemy_1280_sgmag_2</t>
  </si>
  <si>
    <t>sgmag_2</t>
  </si>
  <si>
    <t>1280</t>
  </si>
  <si>
    <t>家族精英术士</t>
  </si>
  <si>
    <t>enemy_1281_sgcar</t>
  </si>
  <si>
    <t>sgcar</t>
  </si>
  <si>
    <t>1281</t>
  </si>
  <si>
    <t>家族专用轿车</t>
  </si>
  <si>
    <t>Head</t>
  </si>
  <si>
    <t>enemy_1281_sgcar_2</t>
  </si>
  <si>
    <t>sgcar_2</t>
  </si>
  <si>
    <t>家族豪华轿车</t>
  </si>
  <si>
    <t>enemy_1282_sgelder</t>
  </si>
  <si>
    <t>sgelder</t>
  </si>
  <si>
    <t>1282</t>
  </si>
  <si>
    <t>家族角头</t>
  </si>
  <si>
    <t>C_Body_01</t>
  </si>
  <si>
    <t>enemy_1282_sgelder_2</t>
  </si>
  <si>
    <t>sgelder_2</t>
  </si>
  <si>
    <t>家族铁腕角头</t>
  </si>
  <si>
    <t>enemy_1283_sgkill</t>
  </si>
  <si>
    <t>sgkill</t>
  </si>
  <si>
    <t>1283</t>
  </si>
  <si>
    <t>家族灭迹人</t>
  </si>
  <si>
    <t>enemy_1283_sgkill_2</t>
  </si>
  <si>
    <t>sgkill_2</t>
  </si>
  <si>
    <t>家族暗影灭迹人</t>
  </si>
  <si>
    <t>enemy_1284_sgprst</t>
  </si>
  <si>
    <t>sgprst</t>
  </si>
  <si>
    <t>1284</t>
  </si>
  <si>
    <t>阿格尼尔神父</t>
  </si>
  <si>
    <t>Chest</t>
  </si>
  <si>
    <t>enemy_1285_sgwlf</t>
  </si>
  <si>
    <t>sgwlf</t>
  </si>
  <si>
    <t>“与我无关”</t>
  </si>
  <si>
    <t>普通</t>
  </si>
  <si>
    <t>enemy_1535_wlfmster</t>
  </si>
  <si>
    <t>wlfmster</t>
  </si>
  <si>
    <t>1535</t>
  </si>
  <si>
    <t>扎罗，“狼之主”</t>
  </si>
  <si>
    <t>领袖,近战,狼之主</t>
  </si>
  <si>
    <t>A_Default</t>
  </si>
  <si>
    <t>enemy_3004_speople</t>
  </si>
  <si>
    <t>speople</t>
  </si>
  <si>
    <t>3004</t>
  </si>
  <si>
    <t>叙拉古平民</t>
  </si>
  <si>
    <t>刁民,中立单位</t>
  </si>
  <si>
    <t>&lt;@eb.key&gt;友好单位&lt;/&gt;看上去像是意外闯入的叙拉古平民，明明战斗前已经疏散了群众，他们还是误入了激烈的战场。不知为何，只要他们出了意外，所有人的怒火就会降临在你身上。</t>
  </si>
  <si>
    <t>enemy_1286_dumcy</t>
  </si>
  <si>
    <t>dumcy</t>
  </si>
  <si>
    <t>特别行动队士兵</t>
  </si>
  <si>
    <t>enemy_1286_dumcy_2</t>
  </si>
  <si>
    <t>dumcy_2</t>
  </si>
  <si>
    <t>特别行动队队长</t>
  </si>
  <si>
    <t>enemy_1287_ducrb</t>
  </si>
  <si>
    <t>ducrb</t>
  </si>
  <si>
    <t>沼泽钳兽</t>
  </si>
  <si>
    <t>普通,近战,感染生物,沼泽适应</t>
  </si>
  <si>
    <t>enemy_1287_ducrb_2</t>
  </si>
  <si>
    <t>ducrb_2</t>
  </si>
  <si>
    <t>狂暴沼泽钳兽</t>
  </si>
  <si>
    <t>enemy_1288_duskls</t>
  </si>
  <si>
    <t>duskls</t>
  </si>
  <si>
    <t>深池逐火战士</t>
  </si>
  <si>
    <t>普通,近战,余烬,逐火战士</t>
  </si>
  <si>
    <t>enemy_1288_duskls_2</t>
  </si>
  <si>
    <t>duskls_2</t>
  </si>
  <si>
    <t>深池逐火精锐战士</t>
  </si>
  <si>
    <t>普通,近战,余烬EX,逐火战士</t>
  </si>
  <si>
    <t>enemy_1289_dubmb</t>
  </si>
  <si>
    <t>dubmb</t>
  </si>
  <si>
    <t>深池弩炮手</t>
  </si>
  <si>
    <t>enemy_1289_dubmb_2</t>
  </si>
  <si>
    <t>dubmb_2</t>
  </si>
  <si>
    <t>深池弩炮队长</t>
  </si>
  <si>
    <t>enemy_1290_duflm</t>
  </si>
  <si>
    <t>duflm</t>
  </si>
  <si>
    <t>深池引火者</t>
  </si>
  <si>
    <t>enemy_1290_duflm_2</t>
  </si>
  <si>
    <t>duflm_2</t>
  </si>
  <si>
    <t>深池引火者队长</t>
  </si>
  <si>
    <t>enemy_1291_dusrch</t>
  </si>
  <si>
    <t>dusrch</t>
  </si>
  <si>
    <t>沼泽探照车</t>
  </si>
  <si>
    <t>enemy_1291_dusrch_2</t>
  </si>
  <si>
    <t>dusrch_2</t>
  </si>
  <si>
    <t>重型沼泽探照车</t>
  </si>
  <si>
    <t>enemy_1292_duskld</t>
  </si>
  <si>
    <t>duskld</t>
  </si>
  <si>
    <t>深池逐火护卫</t>
  </si>
  <si>
    <t>精英,近战,逐火战士</t>
  </si>
  <si>
    <t>enemy_1292_duskld_2</t>
  </si>
  <si>
    <t>duskld_2</t>
  </si>
  <si>
    <t>深池逐火精锐护卫</t>
  </si>
  <si>
    <t>enemy_1293_duswrd</t>
  </si>
  <si>
    <t>duswrd</t>
  </si>
  <si>
    <t>深池护卫队成员</t>
  </si>
  <si>
    <t>enemy_1293_duswrd_2</t>
  </si>
  <si>
    <t>duswrd_2</t>
  </si>
  <si>
    <t>深池护卫队精锐成员</t>
  </si>
  <si>
    <t>enemy_1293_duswrd_3</t>
  </si>
  <si>
    <t>duswrd_3</t>
  </si>
  <si>
    <t>“校官”</t>
  </si>
  <si>
    <t>enemy_1536_ncrmcr</t>
  </si>
  <si>
    <t>ncrmcr</t>
  </si>
  <si>
    <t>“领袖”</t>
  </si>
  <si>
    <t>Idle_a</t>
  </si>
  <si>
    <t>Move_a</t>
  </si>
  <si>
    <t>enemy_1536_ncrmcreX</t>
  </si>
  <si>
    <t>“领袖”EX</t>
  </si>
  <si>
    <t>enemy_1288_dusklsF</t>
  </si>
  <si>
    <t>怨恨的余烬</t>
  </si>
  <si>
    <t>普通,余烬,逐火战士</t>
  </si>
  <si>
    <t>enemy_1288_duskls_2F</t>
  </si>
  <si>
    <t>暴怒的余烬</t>
  </si>
  <si>
    <t>普通,余烬EX,逐火战士</t>
  </si>
  <si>
    <t>enemy_1295_ymph</t>
  </si>
  <si>
    <t>ymph</t>
  </si>
  <si>
    <t>谛兽</t>
  </si>
  <si>
    <t>C_Body</t>
  </si>
  <si>
    <t>enemy_1295_ymph_2</t>
  </si>
  <si>
    <t>ymph_2</t>
  </si>
  <si>
    <t>躁怒谛兽</t>
  </si>
  <si>
    <t>enemy_1296_ymknif</t>
  </si>
  <si>
    <t>ymknif</t>
  </si>
  <si>
    <t>山海众散兵</t>
  </si>
  <si>
    <t>enemy_1296_ymknif_2</t>
  </si>
  <si>
    <t>ymknif_2</t>
  </si>
  <si>
    <t>山海众游勇</t>
  </si>
  <si>
    <t>enemy_1297_ymflag</t>
  </si>
  <si>
    <t>ymflag</t>
  </si>
  <si>
    <t>山海众传令手</t>
  </si>
  <si>
    <t>C_Waist</t>
  </si>
  <si>
    <t>普通,近战,山海众传令兵</t>
  </si>
  <si>
    <t>enemy_1297_ymflag_2</t>
  </si>
  <si>
    <t>ymflag_2</t>
  </si>
  <si>
    <t>山海众掌令使</t>
  </si>
  <si>
    <t>enemy_1298_ymmonk</t>
  </si>
  <si>
    <t>ymmonk</t>
  </si>
  <si>
    <t>山海众冒矢者</t>
  </si>
  <si>
    <t>C_Hips</t>
  </si>
  <si>
    <t>enemy_1298_ymmonk_2</t>
  </si>
  <si>
    <t>ymmonk_2</t>
  </si>
  <si>
    <t>山海众连阵者</t>
  </si>
  <si>
    <t>enemy_1299_ymkilr</t>
  </si>
  <si>
    <t>ymkilr</t>
  </si>
  <si>
    <t>山海众头目</t>
  </si>
  <si>
    <t>enemy_1299_ymkilr_2</t>
  </si>
  <si>
    <t>ymkilr_2</t>
  </si>
  <si>
    <t>山海众秘使</t>
  </si>
  <si>
    <t>enemy_1300_ymmir</t>
  </si>
  <si>
    <t>ymmir</t>
  </si>
  <si>
    <t>山海众窥魅人</t>
  </si>
  <si>
    <t>enemy_1300_ymmir_2</t>
  </si>
  <si>
    <t>ymmir_2</t>
  </si>
  <si>
    <t>山海众司魅人</t>
  </si>
  <si>
    <t>enemy_1301_ymcnon</t>
  </si>
  <si>
    <t>ymcnon</t>
  </si>
  <si>
    <t>“破坚”</t>
  </si>
  <si>
    <t>C_C_c</t>
  </si>
  <si>
    <t>enemy_1301_ymcnon_2</t>
  </si>
  <si>
    <t>ymcnon_2</t>
  </si>
  <si>
    <t>“碎壁”</t>
  </si>
  <si>
    <t>enemy_1302_ymtro</t>
  </si>
  <si>
    <t>ymtro</t>
  </si>
  <si>
    <t>“履平沙”</t>
  </si>
  <si>
    <t>22</t>
  </si>
  <si>
    <t>enemy_1302_ymtro_2</t>
  </si>
  <si>
    <t>ymtro_2</t>
  </si>
  <si>
    <t>“越长尘”</t>
  </si>
  <si>
    <t>enemy_1538_ymmons</t>
  </si>
  <si>
    <t>ymmons</t>
  </si>
  <si>
    <t>“睚”</t>
  </si>
  <si>
    <t>领袖,近战,睚</t>
  </si>
  <si>
    <t>C2_Die</t>
  </si>
  <si>
    <t>蜃景</t>
  </si>
  <si>
    <t>C2_Idle</t>
  </si>
  <si>
    <t>C2_Move</t>
  </si>
  <si>
    <t>妄境</t>
  </si>
  <si>
    <t>enemy_1538_ymmonseX</t>
  </si>
  <si>
    <t>“睚”EX</t>
  </si>
  <si>
    <t>enemy_1303_mhshep</t>
  </si>
  <si>
    <t>mhshep</t>
  </si>
  <si>
    <t>角兽</t>
  </si>
  <si>
    <t>普通,近战,角兽</t>
  </si>
  <si>
    <t>enemy_1303_mhshep_2</t>
  </si>
  <si>
    <t>mhshep_2</t>
  </si>
  <si>
    <t>亢角兽</t>
  </si>
  <si>
    <t>enemy_1303_mhshepeX</t>
  </si>
  <si>
    <t>不待机角兽</t>
  </si>
  <si>
    <t>enemy_1303_mhshep_2eX</t>
  </si>
  <si>
    <t>不待机亢角兽</t>
  </si>
  <si>
    <t>enemy_1304_mhwolf</t>
  </si>
  <si>
    <t>mhwolf</t>
  </si>
  <si>
    <t>鬣犄兽</t>
  </si>
  <si>
    <t>enemy_1304_mhwolf_2</t>
  </si>
  <si>
    <t>mhwolf_2</t>
  </si>
  <si>
    <t>利齿鬣犄兽</t>
  </si>
  <si>
    <t>enemy_1305_mhslim</t>
  </si>
  <si>
    <t>mhslim</t>
  </si>
  <si>
    <t>灼热源石虫</t>
  </si>
  <si>
    <t>enemy_1305_mhslim_2</t>
  </si>
  <si>
    <t>mhslim_2</t>
  </si>
  <si>
    <t>炽焰源石虫</t>
  </si>
  <si>
    <t>enemy_1306_mhtrtl</t>
  </si>
  <si>
    <t>mhtrtl</t>
  </si>
  <si>
    <t>硬甲爪兽</t>
  </si>
  <si>
    <t>普通,近战,爪兽</t>
  </si>
  <si>
    <t>enemy_1306_mhtrtl_2</t>
  </si>
  <si>
    <t>mhtrtl_2</t>
  </si>
  <si>
    <t>刚甲爪兽</t>
  </si>
  <si>
    <t>enemy_1307_mhrhcr</t>
  </si>
  <si>
    <t>mhrhcr</t>
  </si>
  <si>
    <t>岩冠兽</t>
  </si>
  <si>
    <t>普通,近战,冠兽</t>
  </si>
  <si>
    <t>enemy_1307_mhrhcr_2</t>
  </si>
  <si>
    <t>mhrhcr_2</t>
  </si>
  <si>
    <t>坚岩冠兽</t>
  </si>
  <si>
    <t>enemy_1308_mheagl</t>
  </si>
  <si>
    <t>mheagl</t>
  </si>
  <si>
    <t>锋羽兽</t>
  </si>
  <si>
    <t>Default_B</t>
  </si>
  <si>
    <t>Idle_B</t>
  </si>
  <si>
    <t>Move_B</t>
  </si>
  <si>
    <t>Land_B,Stun</t>
  </si>
  <si>
    <t>enemy_1308_mheagl_2</t>
  </si>
  <si>
    <t>mheagl_2</t>
  </si>
  <si>
    <t>迅猛锋羽兽</t>
  </si>
  <si>
    <t>enemy_1308_mheagleX</t>
  </si>
  <si>
    <t>锋羽兽EX</t>
  </si>
  <si>
    <t>enemy_1308_mheagl_2eX</t>
  </si>
  <si>
    <t>迅猛锋羽兽EX</t>
  </si>
  <si>
    <t>enemy_1309_mhboar</t>
  </si>
  <si>
    <t>mhboar</t>
  </si>
  <si>
    <t>凶豕兽</t>
  </si>
  <si>
    <t>enemy_1309_mhboar_2</t>
  </si>
  <si>
    <t>mhboar_2</t>
  </si>
  <si>
    <t>狂暴凶豕兽</t>
  </si>
  <si>
    <t>enemy_1310_mhprpn</t>
  </si>
  <si>
    <t>mhprpn</t>
  </si>
  <si>
    <t>棘兽</t>
  </si>
  <si>
    <t>enemy_1310_mhprpn_2</t>
  </si>
  <si>
    <t>mhprpn_2</t>
  </si>
  <si>
    <t>箭棘兽</t>
  </si>
  <si>
    <t>enemy_1311_mhkryk</t>
  </si>
  <si>
    <t>mhkryk</t>
  </si>
  <si>
    <t>狡兽</t>
  </si>
  <si>
    <t>精英,近战,狡兽</t>
  </si>
  <si>
    <t>enemy_1311_mhkryk_2</t>
  </si>
  <si>
    <t>mhkryk_2</t>
  </si>
  <si>
    <t>恶狡兽</t>
  </si>
  <si>
    <t>enemy_1537_mhrors</t>
  </si>
  <si>
    <t>mhrors</t>
  </si>
  <si>
    <t>火龙</t>
  </si>
  <si>
    <t>enemy_1539_reid</t>
  </si>
  <si>
    <t>reid</t>
  </si>
  <si>
    <t>“复仇者”</t>
  </si>
  <si>
    <t>领袖,近战,雷德</t>
  </si>
  <si>
    <t>enemy_1313_wdfmr</t>
  </si>
  <si>
    <t>wdfmr</t>
  </si>
  <si>
    <t>诺伯特平民</t>
  </si>
  <si>
    <t>enemy_1313_wdfmr_2</t>
  </si>
  <si>
    <t>诺伯特暗探</t>
  </si>
  <si>
    <t>enemy_1314_wdnjd</t>
  </si>
  <si>
    <t>wdnjd</t>
  </si>
  <si>
    <t>寻路密探</t>
  </si>
  <si>
    <t>enemy_1314_wdnjd_2</t>
  </si>
  <si>
    <t>wdnjd_2</t>
  </si>
  <si>
    <t>寻路密探长</t>
  </si>
  <si>
    <t>enemy_1315_wdyjd</t>
  </si>
  <si>
    <t>wdyjd</t>
  </si>
  <si>
    <t>岗哨密探</t>
  </si>
  <si>
    <t>enemy_1315_wdyjd_2</t>
  </si>
  <si>
    <t>wdyjd_2</t>
  </si>
  <si>
    <t>岗哨密探长</t>
  </si>
  <si>
    <t>enemy_1316_wdpjd</t>
  </si>
  <si>
    <t>wdpjd</t>
  </si>
  <si>
    <t>武装密探</t>
  </si>
  <si>
    <t>enemy_1316_wdpjd_2</t>
  </si>
  <si>
    <t>wdpjd_2</t>
  </si>
  <si>
    <t>武装密探长</t>
  </si>
  <si>
    <t>enemy_1317_wdexg</t>
  </si>
  <si>
    <t>wdexg</t>
  </si>
  <si>
    <t>萨卡兹悖谬谍报官</t>
  </si>
  <si>
    <t>enemy_1317_wdexg_2</t>
  </si>
  <si>
    <t>wdexg_2</t>
  </si>
  <si>
    <t>萨卡兹悖谬谍报长</t>
  </si>
  <si>
    <t>enemy_1318_wdsmgc</t>
  </si>
  <si>
    <t>wdsmgc</t>
  </si>
  <si>
    <t>萨卡兹悖谬裂变学徒</t>
  </si>
  <si>
    <t>enemy_1318_wdsmgc_2</t>
  </si>
  <si>
    <t>wdsmgc_2</t>
  </si>
  <si>
    <t>萨卡兹悖谬裂变术师</t>
  </si>
  <si>
    <t>enemy_1319_wdfmpm</t>
  </si>
  <si>
    <t>wdfmpm</t>
  </si>
  <si>
    <t>叛乱煽动者</t>
  </si>
  <si>
    <t>enemy_1319_wdfmpm_2</t>
  </si>
  <si>
    <t>wdfmpm_2</t>
  </si>
  <si>
    <t>叛乱鼓动者</t>
  </si>
  <si>
    <t>enemy_1320_wdrrl</t>
  </si>
  <si>
    <t>wdrrl</t>
  </si>
  <si>
    <t>萨卡兹悖谬暴虐兵</t>
  </si>
  <si>
    <t>enemy_1320_wdrrl_2</t>
  </si>
  <si>
    <t>wdrrl_2</t>
  </si>
  <si>
    <t>萨卡兹悖谬暴虐兵长</t>
  </si>
  <si>
    <t>enemy_1321_wdarft</t>
  </si>
  <si>
    <t>wdarft</t>
  </si>
  <si>
    <t>枯朽萃聚使徒</t>
  </si>
  <si>
    <t>enemy_1321_wdarft_2</t>
  </si>
  <si>
    <t>wdarft_2</t>
  </si>
  <si>
    <t>腐败萃聚使徒</t>
  </si>
  <si>
    <t>enemy_1322_wdgyht</t>
  </si>
  <si>
    <t>wdgyht</t>
  </si>
  <si>
    <t>“灰礼帽”</t>
  </si>
  <si>
    <t>enemy_1322_wdgyht_2</t>
  </si>
  <si>
    <t>wdgyht_2</t>
  </si>
  <si>
    <t>“见习灰礼帽”</t>
  </si>
  <si>
    <t>enemy_1323_wdbshd</t>
  </si>
  <si>
    <t>wdbshd</t>
  </si>
  <si>
    <t>解构畸变体</t>
  </si>
  <si>
    <t>精英,远程,解构畸变体</t>
  </si>
  <si>
    <t>enemy_1324_wdsdw</t>
  </si>
  <si>
    <t>wdsdw</t>
  </si>
  <si>
    <t>悖谬裂变学徒虚像</t>
  </si>
  <si>
    <t>enemy_1324_wdsdw_2</t>
  </si>
  <si>
    <t>wdsdw_2</t>
  </si>
  <si>
    <t>悖谬裂变术师虚像</t>
  </si>
  <si>
    <t>enemy_1542_wdslm</t>
  </si>
  <si>
    <t>wdslm</t>
  </si>
  <si>
    <t>“变形者集群”</t>
  </si>
  <si>
    <t>领袖,近战,变形者集群</t>
  </si>
  <si>
    <t>2_Die_2</t>
  </si>
  <si>
    <t>enemy_1542_wdslmH3</t>
  </si>
  <si>
    <t>“变形者集群”H3</t>
  </si>
  <si>
    <t>enemy_1542_wdslmH4</t>
  </si>
  <si>
    <t>“变形者集群”H4</t>
  </si>
  <si>
    <t>enemy_1542_wdslm_S</t>
  </si>
  <si>
    <t>变形者集群分身</t>
  </si>
  <si>
    <t>领袖,近战,变形者集群,变形者集群分身</t>
  </si>
  <si>
    <t>enemy_1542_wdslm_SH</t>
  </si>
  <si>
    <t>变形者集群分身H</t>
  </si>
  <si>
    <t>enemy_1542_wdslm_P2</t>
  </si>
  <si>
    <t>变形者集群特殊分身</t>
  </si>
  <si>
    <t>2_Idle</t>
  </si>
  <si>
    <t>2_Move</t>
  </si>
  <si>
    <t>2_Die_Begin</t>
  </si>
  <si>
    <t>enemy_1542_wdslm_P2S</t>
  </si>
  <si>
    <t>变形者集群分身召唤</t>
  </si>
  <si>
    <t>enemy_1325_cbgpro</t>
  </si>
  <si>
    <t>cbgpro</t>
  </si>
  <si>
    <t>军用猎狗</t>
  </si>
  <si>
    <t>enemy_1325_cbgpro_2</t>
  </si>
  <si>
    <t>cbgpro_2</t>
  </si>
  <si>
    <t>高级军用猎狗</t>
  </si>
  <si>
    <t>enemy_1326_cbagen</t>
  </si>
  <si>
    <t>cbagen</t>
  </si>
  <si>
    <t>特里蒙城防军</t>
  </si>
  <si>
    <t>C_Chest</t>
  </si>
  <si>
    <t>enemy_1326_cbagen_2</t>
  </si>
  <si>
    <t>cbagen_2</t>
  </si>
  <si>
    <t>特里蒙城防军队长</t>
  </si>
  <si>
    <t>enemy_1327_cbrokt</t>
  </si>
  <si>
    <t>cbrokt</t>
  </si>
  <si>
    <t>弧光突击队</t>
  </si>
  <si>
    <t>Default_1</t>
  </si>
  <si>
    <t>enemy_1327_cbrokt_2</t>
  </si>
  <si>
    <t>cbrokt_2</t>
  </si>
  <si>
    <t>弧光突击队队长</t>
  </si>
  <si>
    <t>enemy_1328_cbjedi</t>
  </si>
  <si>
    <t>cbjedi</t>
  </si>
  <si>
    <t>弧光锋卫</t>
  </si>
  <si>
    <t>enemy_1328_cbjedi_2</t>
  </si>
  <si>
    <t>cbjedi_2</t>
  </si>
  <si>
    <t>弧光锋卫长</t>
  </si>
  <si>
    <t>enemy_1329_cbshld</t>
  </si>
  <si>
    <t>cbshld</t>
  </si>
  <si>
    <t>弧光镜卫</t>
  </si>
  <si>
    <t>enemy_1329_cbshld_2</t>
  </si>
  <si>
    <t>cbshld_2</t>
  </si>
  <si>
    <t>弧光镜卫长</t>
  </si>
  <si>
    <t>enemy_1330_cbrush</t>
  </si>
  <si>
    <t>cbrush</t>
  </si>
  <si>
    <t>“肇事者”量产型</t>
  </si>
  <si>
    <t>enemy_1330_cbrush_2</t>
  </si>
  <si>
    <t>cbrush_2</t>
  </si>
  <si>
    <t>“肇事者”试做型</t>
  </si>
  <si>
    <t>enemy_1331_cbsisy</t>
  </si>
  <si>
    <t>cbsisy</t>
  </si>
  <si>
    <t>“十字路口”量产型</t>
  </si>
  <si>
    <t>C_Body3</t>
  </si>
  <si>
    <t>enemy_1331_cbsisy_2</t>
  </si>
  <si>
    <t>cbsisy_2</t>
  </si>
  <si>
    <t>“十字路口”试做型</t>
  </si>
  <si>
    <t>enemy_1332_cbterm</t>
  </si>
  <si>
    <t>cbterm</t>
  </si>
  <si>
    <t>“交通亭”量产型</t>
  </si>
  <si>
    <t>enemy_1332_cbterm_2</t>
  </si>
  <si>
    <t>cbterm_2</t>
  </si>
  <si>
    <t>“交通亭”试做型</t>
  </si>
  <si>
    <t>enemy_1332_cbtermeX</t>
  </si>
  <si>
    <t>“交通亭”量产型EX</t>
  </si>
  <si>
    <t>enemy_1332_cbterm_2eX</t>
  </si>
  <si>
    <t>“交通亭”试做型EX</t>
  </si>
  <si>
    <t>enemy_1333_cbbgen</t>
  </si>
  <si>
    <t>cbbgen</t>
  </si>
  <si>
    <t>“交通警察”</t>
  </si>
  <si>
    <t>enemy_1333_cbbgen_2</t>
  </si>
  <si>
    <t>cbbgen_2</t>
  </si>
  <si>
    <t>“交通警长”</t>
  </si>
  <si>
    <t>enemy_1543_cstlrs</t>
  </si>
  <si>
    <t>cstlrs</t>
  </si>
  <si>
    <t>克丽斯滕</t>
  </si>
  <si>
    <t>领袖,远程,孤星重力免疫</t>
  </si>
  <si>
    <t>enemy_1335_bldrat</t>
  </si>
  <si>
    <t>bldrat</t>
  </si>
  <si>
    <t>啮齿兽</t>
  </si>
  <si>
    <t>enemy_1335_bldrat_2</t>
  </si>
  <si>
    <t>bldrat_2</t>
  </si>
  <si>
    <t>饥饿啮齿兽</t>
  </si>
  <si>
    <t>enemy_1336_bldbat</t>
  </si>
  <si>
    <t>bldbat</t>
  </si>
  <si>
    <t>伏翼兽</t>
  </si>
  <si>
    <t>C_R_Wing</t>
  </si>
  <si>
    <t>enemy_1336_bldbat_2</t>
  </si>
  <si>
    <t>bldbat_2</t>
  </si>
  <si>
    <t>惊躁伏翼兽</t>
  </si>
  <si>
    <t>enemy_1337_bhrknf</t>
  </si>
  <si>
    <t>bhrknf</t>
  </si>
  <si>
    <t>荒原窃盗者</t>
  </si>
  <si>
    <t>enemy_1337_bhrknf_2</t>
  </si>
  <si>
    <t>bhrknf_2</t>
  </si>
  <si>
    <t>荒原窃盗者精英</t>
  </si>
  <si>
    <t>enemy_1338_bhrjst</t>
  </si>
  <si>
    <t>bhrjst</t>
  </si>
  <si>
    <t>荒原潜伏者</t>
  </si>
  <si>
    <t>enemy_1338_bhrjst_2</t>
  </si>
  <si>
    <t>bhrjst_2</t>
  </si>
  <si>
    <t>荒原潜伏者精英</t>
  </si>
  <si>
    <t>enemy_1339_bhrgrd</t>
  </si>
  <si>
    <t>bhrgrd</t>
  </si>
  <si>
    <t>荒原劫掠者</t>
  </si>
  <si>
    <t>enemy_1339_bhrgrd_2</t>
  </si>
  <si>
    <t>bhrgrd_2</t>
  </si>
  <si>
    <t>荒原劫掠者精英</t>
  </si>
  <si>
    <t>enemy_1340_bthtbw</t>
  </si>
  <si>
    <t>bthtbw</t>
  </si>
  <si>
    <t>赏金猎人弩手</t>
  </si>
  <si>
    <t>enemy_1340_bthtbw_2</t>
  </si>
  <si>
    <t>bthtbw_2</t>
  </si>
  <si>
    <t>赏金猎人弩手队长</t>
  </si>
  <si>
    <t>enemy_1341_bthtms</t>
  </si>
  <si>
    <t>bthtms</t>
  </si>
  <si>
    <t>赏金猎人扰乱者</t>
  </si>
  <si>
    <t>enemy_1341_bthtms_2</t>
  </si>
  <si>
    <t>bthtms_2</t>
  </si>
  <si>
    <t>赏金猎人扰乱者队长</t>
  </si>
  <si>
    <t>enemy_1342_frtuna</t>
  </si>
  <si>
    <t>frtuna</t>
  </si>
  <si>
    <t>堕天使福尔图娜</t>
  </si>
  <si>
    <t>enemy_3005_lpeoplS</t>
  </si>
  <si>
    <t>lpeopl</t>
  </si>
  <si>
    <t>enemy_3005_lpeopl</t>
  </si>
  <si>
    <t>修道院居民</t>
  </si>
  <si>
    <t>普通,刁民,中立单位,修道院居民</t>
  </si>
  <si>
    <t>enemy_3005_lpeoplSS</t>
  </si>
  <si>
    <t>修道院居民（花匠）</t>
  </si>
  <si>
    <t>enemy_1544_cledubS</t>
  </si>
  <si>
    <t>cledub</t>
  </si>
  <si>
    <t>enemy_1544_cledub</t>
  </si>
  <si>
    <t>“花匠”</t>
  </si>
  <si>
    <t>领袖,刁民,中立单位</t>
  </si>
  <si>
    <t>enemy_1344_ddlamb</t>
  </si>
  <si>
    <t>ddlamb</t>
  </si>
  <si>
    <t>温泉“淘气包”</t>
  </si>
  <si>
    <t>普通,近战,温泉淘气包</t>
  </si>
  <si>
    <t>enemy_1344_ddlamb_2</t>
  </si>
  <si>
    <t>ddlamb_2</t>
  </si>
  <si>
    <t>温泉“乐淘淘气包”</t>
  </si>
  <si>
    <t>普通,近战,温泉淘气包2</t>
  </si>
  <si>
    <t>enemy_1345_tplamb</t>
  </si>
  <si>
    <t>tplamb</t>
  </si>
  <si>
    <t>风情街“操盘手”</t>
  </si>
  <si>
    <t>普通,远程,温泉操盘手</t>
  </si>
  <si>
    <t>enemy_1345_tplamb_2</t>
  </si>
  <si>
    <t>tplamb_2</t>
  </si>
  <si>
    <t>风情街“健美操盘手”</t>
  </si>
  <si>
    <t>普通,远程,温泉操盘手2</t>
  </si>
  <si>
    <t>enemy_1346_ynshp</t>
  </si>
  <si>
    <t>ynshp</t>
  </si>
  <si>
    <t>温泉“流浪汉”</t>
  </si>
  <si>
    <t>enemy_1346_ynshp_2</t>
  </si>
  <si>
    <t>ynshp_2</t>
  </si>
  <si>
    <t>温泉“泥石流浪汉”</t>
  </si>
  <si>
    <t>enemy_1347_fyshp</t>
  </si>
  <si>
    <t>fyshp</t>
  </si>
  <si>
    <t>风情街“飞空员”</t>
  </si>
  <si>
    <t>enemy_1347_fyshp_2</t>
  </si>
  <si>
    <t>fyshp_2</t>
  </si>
  <si>
    <t>风情街“满天飞空员”</t>
  </si>
  <si>
    <t>enemy_1348_rllamb</t>
  </si>
  <si>
    <t>rllamb</t>
  </si>
  <si>
    <t>城市“风行者”</t>
  </si>
  <si>
    <t>enemy_1348_rllamb_2</t>
  </si>
  <si>
    <t>rllamb_2</t>
  </si>
  <si>
    <t>城市“龙卷风行者”</t>
  </si>
  <si>
    <t>enemy_1349_rckshp</t>
  </si>
  <si>
    <t>rckshp</t>
  </si>
  <si>
    <t>“大个子”</t>
  </si>
  <si>
    <t>enemy_1349_rckshp_2</t>
  </si>
  <si>
    <t>rckshp_2</t>
  </si>
  <si>
    <t>“大哥大个子”</t>
  </si>
  <si>
    <t>enemy_1350_mgcshp</t>
  </si>
  <si>
    <t>mgcshp</t>
  </si>
  <si>
    <t>风情街“星术师”</t>
  </si>
  <si>
    <t>enemy_1350_mgcshp_2</t>
  </si>
  <si>
    <t>mgcshp_2</t>
  </si>
  <si>
    <t>风情街“超新星术师”</t>
  </si>
  <si>
    <t>enemy_1351_yhhshp</t>
  </si>
  <si>
    <t>yhhshp</t>
  </si>
  <si>
    <t>“好朋友”</t>
  </si>
  <si>
    <t>enemy_1545_shpkg</t>
  </si>
  <si>
    <t>shpkg</t>
  </si>
  <si>
    <t>多利，“羊之主”</t>
  </si>
  <si>
    <t>领袖,远程,羊之主</t>
  </si>
  <si>
    <t>enemy_1352_eslime</t>
  </si>
  <si>
    <t>eslime</t>
  </si>
  <si>
    <t>辐能源石虫</t>
  </si>
  <si>
    <t>enemy_1352_eslime_2</t>
  </si>
  <si>
    <t>eslime_2</t>
  </si>
  <si>
    <t>辐能源石虫·α</t>
  </si>
  <si>
    <t>enemy_1353_esabr</t>
  </si>
  <si>
    <t>esabr</t>
  </si>
  <si>
    <t>匪帮混混</t>
  </si>
  <si>
    <t>普通,近战,能量类敌人</t>
  </si>
  <si>
    <t>enemy_1353_esabr_2</t>
  </si>
  <si>
    <t>esabr_2</t>
  </si>
  <si>
    <t>匪帮混混头目</t>
  </si>
  <si>
    <t>enemy_1354_eghost</t>
  </si>
  <si>
    <t>eghost</t>
  </si>
  <si>
    <t>匪帮窃贼</t>
  </si>
  <si>
    <t>普通,能量类敌人</t>
  </si>
  <si>
    <t>enemy_1354_eghost_2</t>
  </si>
  <si>
    <t>eghost_2</t>
  </si>
  <si>
    <t>匪帮窃贼头目</t>
  </si>
  <si>
    <t>enemy_1355_mrfly</t>
  </si>
  <si>
    <t>mrfly</t>
  </si>
  <si>
    <t>护障</t>
  </si>
  <si>
    <t>C_A3</t>
  </si>
  <si>
    <t>普通,无人机</t>
  </si>
  <si>
    <t>enemy_1355_mrfly_2</t>
  </si>
  <si>
    <t>mrfly_2</t>
  </si>
  <si>
    <t>护障·P</t>
  </si>
  <si>
    <t>enemy_1356_egun</t>
  </si>
  <si>
    <t>egun</t>
  </si>
  <si>
    <t>匪帮射手</t>
  </si>
  <si>
    <t>精英,远程,能量类敌人</t>
  </si>
  <si>
    <t>enemy_1356_egun_2</t>
  </si>
  <si>
    <t>egun_2</t>
  </si>
  <si>
    <t>匪帮射手头目</t>
  </si>
  <si>
    <t>enemy_1357_erob</t>
  </si>
  <si>
    <t>erob</t>
  </si>
  <si>
    <t>匪帮斧手</t>
  </si>
  <si>
    <t>精英,近战,能量类敌人</t>
  </si>
  <si>
    <t>enemy_1357_erob_2</t>
  </si>
  <si>
    <t>erob_2</t>
  </si>
  <si>
    <t>匪帮斧手头目</t>
  </si>
  <si>
    <t>enemy_1358_esheld</t>
  </si>
  <si>
    <t>esheld</t>
  </si>
  <si>
    <t>匪帮防御者</t>
  </si>
  <si>
    <t>enemy_1358_esheld_2</t>
  </si>
  <si>
    <t>esheld_2</t>
  </si>
  <si>
    <t>匪帮防御者头目</t>
  </si>
  <si>
    <t>enemy_1359_ekulsr</t>
  </si>
  <si>
    <t>ekulsr</t>
  </si>
  <si>
    <t>匪帮轰击者</t>
  </si>
  <si>
    <t>enemy_1359_ekulsr_2</t>
  </si>
  <si>
    <t>ekulsr_2</t>
  </si>
  <si>
    <t>匪帮轰击者头目</t>
  </si>
  <si>
    <t>enemy_1546_cliff</t>
  </si>
  <si>
    <t>cliff</t>
  </si>
  <si>
    <t>“桥夹”克里夫</t>
  </si>
  <si>
    <t>Common</t>
  </si>
  <si>
    <t>enemy_1360_dfello</t>
  </si>
  <si>
    <t>dfello</t>
  </si>
  <si>
    <t>新生血裔</t>
  </si>
  <si>
    <t>enemy_1360_dfello_0</t>
  </si>
  <si>
    <t>enemy_1361_dthrow</t>
  </si>
  <si>
    <t>dthrow</t>
  </si>
  <si>
    <t>萨卡兹子裔轰击者</t>
  </si>
  <si>
    <t>普通,远程,萨卡兹,日晕眷属</t>
  </si>
  <si>
    <t>enemy_1361_dthrow_2</t>
  </si>
  <si>
    <t>dthrow_2</t>
  </si>
  <si>
    <t>萨卡兹子裔毁击者</t>
  </si>
  <si>
    <t>enemy_1362_dfat</t>
  </si>
  <si>
    <t>dfat</t>
  </si>
  <si>
    <t>萨卡兹子裔责罚者</t>
  </si>
  <si>
    <t>精英,近战,萨卡兹,日晕眷属</t>
  </si>
  <si>
    <t>enemy_1362_dfat_2</t>
  </si>
  <si>
    <t>dfat_2</t>
  </si>
  <si>
    <t>萨卡兹子裔惩戒者</t>
  </si>
  <si>
    <t>enemy_1363_spnshd</t>
  </si>
  <si>
    <t>spnshd</t>
  </si>
  <si>
    <t>萨卡兹骸骨卫士</t>
  </si>
  <si>
    <t>C_Chest_C</t>
  </si>
  <si>
    <t>enemy_1363_spnshd_2</t>
  </si>
  <si>
    <t>spnshd_2</t>
  </si>
  <si>
    <t>萨卡兹骸骨卫士长</t>
  </si>
  <si>
    <t>enemy_1364_spnaxe</t>
  </si>
  <si>
    <t>spnaxe</t>
  </si>
  <si>
    <t>萨卡兹骸骨鞭笞者</t>
  </si>
  <si>
    <t>C_Cloak_02</t>
  </si>
  <si>
    <t>enemy_1364_spnaxe_2</t>
  </si>
  <si>
    <t>spnaxe_2</t>
  </si>
  <si>
    <t>萨卡兹骸骨拷打者</t>
  </si>
  <si>
    <t>enemy_1365_spnwiz</t>
  </si>
  <si>
    <t>spnwiz</t>
  </si>
  <si>
    <t>萨卡兹骸骨漂泊术师</t>
  </si>
  <si>
    <t>C_Hand_A5</t>
  </si>
  <si>
    <t>enemy_1365_spnwiz_2</t>
  </si>
  <si>
    <t>spnwiz_2</t>
  </si>
  <si>
    <t>萨卡兹骸骨漂泊术师长</t>
  </si>
  <si>
    <t>enemy_1366_dcolle</t>
  </si>
  <si>
    <t>dcolle</t>
  </si>
  <si>
    <t>萨卡兹敛血行者</t>
  </si>
  <si>
    <t>enemy_1366_dcolle_2</t>
  </si>
  <si>
    <t>dcolle_2</t>
  </si>
  <si>
    <t>萨卡兹萃血行者</t>
  </si>
  <si>
    <t>enemy_1367_dseed</t>
  </si>
  <si>
    <t>dseed</t>
  </si>
  <si>
    <t>血珀</t>
  </si>
  <si>
    <t>C_Base</t>
  </si>
  <si>
    <t>普通,近战,血珀</t>
  </si>
  <si>
    <t>enemy_1367_dseed_0</t>
  </si>
  <si>
    <t>enemy_1368_spilot</t>
  </si>
  <si>
    <t>spilot</t>
  </si>
  <si>
    <t>指挥官厄尔苏拉</t>
  </si>
  <si>
    <t>enemy_1369_bmbcar1</t>
  </si>
  <si>
    <t>bmbcar1</t>
  </si>
  <si>
    <t>反巫术变位炸弹</t>
  </si>
  <si>
    <t>普通,反巫术炸弹</t>
  </si>
  <si>
    <t>enemy_1547_blordB14</t>
  </si>
  <si>
    <t>blord</t>
  </si>
  <si>
    <t>enemy_1547_blord</t>
  </si>
  <si>
    <t>14章血魔大君</t>
  </si>
  <si>
    <t>领袖,远程,萨卡兹,二阶血魔大君</t>
  </si>
  <si>
    <t>B_Defalut</t>
  </si>
  <si>
    <t>B_Idle</t>
  </si>
  <si>
    <t>B_Move</t>
  </si>
  <si>
    <t>enemy_1547_blordA</t>
  </si>
  <si>
    <t>血魔大君一阶</t>
  </si>
  <si>
    <t>领袖,远程,萨卡兹,一阶血魔大君</t>
  </si>
  <si>
    <t>A_Defalut</t>
  </si>
  <si>
    <t>enemy_1547_blordB</t>
  </si>
  <si>
    <t>血魔大君二阶</t>
  </si>
  <si>
    <t>enemy_1547_blordAH</t>
  </si>
  <si>
    <t>血魔大君一阶EX</t>
  </si>
  <si>
    <t>enemy_1547_blordBH</t>
  </si>
  <si>
    <t>血魔大君二阶EX</t>
  </si>
  <si>
    <t>enemy_1371_ltnflu</t>
  </si>
  <si>
    <t>ltnflu</t>
  </si>
  <si>
    <t>残党乐团长笛手</t>
  </si>
  <si>
    <t>普通,近战,巫王乐团成员</t>
  </si>
  <si>
    <t>enemy_1371_ltnflu_2</t>
  </si>
  <si>
    <t>ltnflu_2</t>
  </si>
  <si>
    <t>巫王乐团长笛手</t>
  </si>
  <si>
    <t>enemy_1372_ltntpt</t>
  </si>
  <si>
    <t>ltntpt</t>
  </si>
  <si>
    <t>残党乐团小号手</t>
  </si>
  <si>
    <t>enemy_1372_ltntpt_2</t>
  </si>
  <si>
    <t>ltntpt_2</t>
  </si>
  <si>
    <t>巫王乐团小号手</t>
  </si>
  <si>
    <t>enemy_1373_ltnhor</t>
  </si>
  <si>
    <t>ltnhor</t>
  </si>
  <si>
    <t>残党乐团圆号手</t>
  </si>
  <si>
    <t>普通,远程,巫王乐团成员</t>
  </si>
  <si>
    <t>enemy_1373_ltnhor_2</t>
  </si>
  <si>
    <t>ltnhor_2</t>
  </si>
  <si>
    <t>巫王乐团圆号手</t>
  </si>
  <si>
    <t>enemy_1374_ltnhap</t>
  </si>
  <si>
    <t>ltnhap</t>
  </si>
  <si>
    <t>残党乐团颂诗者</t>
  </si>
  <si>
    <t>enemy_1374_ltnhap_2</t>
  </si>
  <si>
    <t>ltnhap_2</t>
  </si>
  <si>
    <t>巫王乐团颂诗者</t>
  </si>
  <si>
    <t>enemy_1375_ltnclr</t>
  </si>
  <si>
    <t>ltnclr</t>
  </si>
  <si>
    <t>残党乐团管乐家</t>
  </si>
  <si>
    <t>enemy_1375_ltnclr_2</t>
  </si>
  <si>
    <t>ltnclr_2</t>
  </si>
  <si>
    <t>巫王乐团管乐家</t>
  </si>
  <si>
    <t>enemy_1376_ltndru</t>
  </si>
  <si>
    <t>ltndru</t>
  </si>
  <si>
    <t>残党乐团鼓手</t>
  </si>
  <si>
    <t>enemy_1376_ltndru_2</t>
  </si>
  <si>
    <t>ltndru_2</t>
  </si>
  <si>
    <t>巫王乐团鼓手</t>
  </si>
  <si>
    <t>enemy_1377_ltnclo</t>
  </si>
  <si>
    <t>ltnclo</t>
  </si>
  <si>
    <t>残党乐团大提琴家</t>
  </si>
  <si>
    <t>精英,近战,巫王乐团成员</t>
  </si>
  <si>
    <t>enemy_1377_ltnclo_2</t>
  </si>
  <si>
    <t>ltnclo_2</t>
  </si>
  <si>
    <t>巫王乐团大提琴家</t>
  </si>
  <si>
    <t>enemy_1378_ltnmstA</t>
  </si>
  <si>
    <t>ltnmst</t>
  </si>
  <si>
    <t>enemy_1378_ltnmst</t>
  </si>
  <si>
    <t>沉郁残党乐团调律师</t>
  </si>
  <si>
    <t>精英,远程,巫王乐团成员</t>
  </si>
  <si>
    <t>enemy_1378_ltnmstB</t>
  </si>
  <si>
    <t>激昂残党乐团调律师</t>
  </si>
  <si>
    <t>enemy_1378_ltnmst_2A</t>
  </si>
  <si>
    <t>ltnmst_2</t>
  </si>
  <si>
    <t>enemy_1378_ltnmst_2</t>
  </si>
  <si>
    <t>沉郁巫王乐团调律师</t>
  </si>
  <si>
    <t>enemy_1378_ltnmst_2B</t>
  </si>
  <si>
    <t>激昂巫王乐团调律师</t>
  </si>
  <si>
    <t>enemy_1379_ltncdtA</t>
  </si>
  <si>
    <t>ltncdt</t>
  </si>
  <si>
    <t>enemy_1379_ltncdt</t>
  </si>
  <si>
    <t>沉郁残党乐团指挥家</t>
  </si>
  <si>
    <t>enemy_1379_ltncdtB</t>
  </si>
  <si>
    <t>激昂残党乐团指挥家</t>
  </si>
  <si>
    <t>enemy_1379_ltncdt_2A</t>
  </si>
  <si>
    <t>ltncdt_2</t>
  </si>
  <si>
    <t>enemy_1379_ltncdt_2</t>
  </si>
  <si>
    <t>沉郁巫王乐团指挥家</t>
  </si>
  <si>
    <t>enemy_1379_ltncdt_2B</t>
  </si>
  <si>
    <t>激昂巫王乐团指挥家</t>
  </si>
  <si>
    <t>enemy_1548_ltniak_AeX</t>
  </si>
  <si>
    <t>ltniak</t>
  </si>
  <si>
    <t>enemy_1548_ltniak</t>
  </si>
  <si>
    <t>赫尔昏佐伦，“巫王”（一阶段）</t>
  </si>
  <si>
    <t>A_Blink_Begin</t>
  </si>
  <si>
    <t>enemy_1548_ltniak_BeX</t>
  </si>
  <si>
    <t>赫尔昏佐伦，“巫王”（二阶段）</t>
  </si>
  <si>
    <t>B_Default</t>
  </si>
  <si>
    <t>enemy_1381_winman</t>
  </si>
  <si>
    <t>winman</t>
  </si>
  <si>
    <t>访问团新兵</t>
  </si>
  <si>
    <t>enemy_1381_winman_2</t>
  </si>
  <si>
    <t>winman_2</t>
  </si>
  <si>
    <t>访问团老兵</t>
  </si>
  <si>
    <t>enemy_1382_winbal</t>
  </si>
  <si>
    <t>winbal</t>
  </si>
  <si>
    <t>访问团突击新兵</t>
  </si>
  <si>
    <t>enemy_1382_winbal_2</t>
  </si>
  <si>
    <t>winbal_2</t>
  </si>
  <si>
    <t>访问团突击老兵</t>
  </si>
  <si>
    <t>enemy_1383_windog</t>
  </si>
  <si>
    <t>windog</t>
  </si>
  <si>
    <t>发条巡逻机器</t>
  </si>
  <si>
    <t>普通,近战,机械</t>
  </si>
  <si>
    <t>enemy_1383_windog_2</t>
  </si>
  <si>
    <t>windog_2</t>
  </si>
  <si>
    <t>发条战斗机器</t>
  </si>
  <si>
    <t>enemy_1384_winfrz</t>
  </si>
  <si>
    <t>winfrz</t>
  </si>
  <si>
    <t>封冻高山驮兽</t>
  </si>
  <si>
    <t>精英,近战,野生动物</t>
  </si>
  <si>
    <t>enemy_1384_winfrz_2</t>
  </si>
  <si>
    <t>winfrz_2</t>
  </si>
  <si>
    <t>沉眠高山驮兽</t>
  </si>
  <si>
    <t>enemy_1385_winbom</t>
  </si>
  <si>
    <t>winbom</t>
  </si>
  <si>
    <t>“喷射罐”</t>
  </si>
  <si>
    <t>enemy_1385_winbom_2</t>
  </si>
  <si>
    <t>winbom_2</t>
  </si>
  <si>
    <t>“喷爆罐”</t>
  </si>
  <si>
    <t>enemy_1386_winmag</t>
  </si>
  <si>
    <t>winmag</t>
  </si>
  <si>
    <t>访问团术师</t>
  </si>
  <si>
    <t>enemy_1386_winmag_2</t>
  </si>
  <si>
    <t>winmag_2</t>
  </si>
  <si>
    <t>访问团术师长</t>
  </si>
  <si>
    <t>enemy_1387_winshd</t>
  </si>
  <si>
    <t>winshd</t>
  </si>
  <si>
    <t>访问团持盾者</t>
  </si>
  <si>
    <t>enemy_1387_winshd_2</t>
  </si>
  <si>
    <t>winshd_2</t>
  </si>
  <si>
    <t>访问团持盾长</t>
  </si>
  <si>
    <t>enemy_1388_wingnt</t>
  </si>
  <si>
    <t>wingnt</t>
  </si>
  <si>
    <t>“投石机”</t>
  </si>
  <si>
    <t>Cc</t>
  </si>
  <si>
    <t>enemy_1388_wingnt_2</t>
  </si>
  <si>
    <t>wingnt_2</t>
  </si>
  <si>
    <t>“榴弹炮”</t>
  </si>
  <si>
    <t>enemy_1389_winbab</t>
  </si>
  <si>
    <t>winbab</t>
  </si>
  <si>
    <t>访问团强攻手</t>
  </si>
  <si>
    <t>enemy_1389_winbab_2</t>
  </si>
  <si>
    <t>winbab_2</t>
  </si>
  <si>
    <t>访问团强攻冠军</t>
  </si>
  <si>
    <t>enemy_1549_windoc</t>
  </si>
  <si>
    <t>windoc</t>
  </si>
  <si>
    <t>哈洛德（两层被动）</t>
  </si>
  <si>
    <t>enemy_1549_windoc_2</t>
  </si>
  <si>
    <t>哈洛德（四层被动）</t>
  </si>
  <si>
    <t>enemy_1550_dhnzzh</t>
  </si>
  <si>
    <t>dhnzzh</t>
  </si>
  <si>
    <t>1550</t>
  </si>
  <si>
    <t>“祟”</t>
  </si>
  <si>
    <t>领袖,近战,化物</t>
  </si>
  <si>
    <t>enemy_1390_dhsbr</t>
  </si>
  <si>
    <t>dhsbr</t>
  </si>
  <si>
    <t>怀黍离士兵</t>
  </si>
  <si>
    <t>enemy_1390_dhsbr_2</t>
  </si>
  <si>
    <t>dhsbr_2</t>
  </si>
  <si>
    <t>怀黍离士兵组长</t>
  </si>
  <si>
    <t>enemy_1391_dhbow</t>
  </si>
  <si>
    <t>dhbow</t>
  </si>
  <si>
    <t>怀黍离弩手</t>
  </si>
  <si>
    <t>enemy_1391_dhbow_2</t>
  </si>
  <si>
    <t>dhbow_2</t>
  </si>
  <si>
    <t>怀黍离弩手组长</t>
  </si>
  <si>
    <t>enemy_1392_dhshld</t>
  </si>
  <si>
    <t>dhshld</t>
  </si>
  <si>
    <t>怀黍离盾兵</t>
  </si>
  <si>
    <t>enemy_1392_dhshld_2</t>
  </si>
  <si>
    <t>dhshld_2</t>
  </si>
  <si>
    <t>怀黍离盾兵组长</t>
  </si>
  <si>
    <t>enemy_1393_dhele</t>
  </si>
  <si>
    <t>dhele</t>
  </si>
  <si>
    <t>怀黍离炮兵</t>
  </si>
  <si>
    <t>enemy_1393_dhele_2</t>
  </si>
  <si>
    <t>dhele_2</t>
  </si>
  <si>
    <t>怀黍离炮兵组长</t>
  </si>
  <si>
    <t>enemy_1394_dhzts</t>
  </si>
  <si>
    <t>dhzts</t>
  </si>
  <si>
    <t>怀黍离术师</t>
  </si>
  <si>
    <t>enemy_1394_dhzts_2</t>
  </si>
  <si>
    <t>dhzts_2</t>
  </si>
  <si>
    <t>怀黍离术师组长</t>
  </si>
  <si>
    <t>enemy_1395_dhxts</t>
  </si>
  <si>
    <t>dhxts</t>
  </si>
  <si>
    <t>怀黍离老鼠</t>
  </si>
  <si>
    <t>普通,近战,野生动物,怀黍离老鼠</t>
  </si>
  <si>
    <t>enemy_1395_dhxts_2</t>
  </si>
  <si>
    <t>dhxts_2</t>
  </si>
  <si>
    <t>怀黍离老鼠精英</t>
  </si>
  <si>
    <t>enemy_1396_dhdts</t>
  </si>
  <si>
    <t>dhdts</t>
  </si>
  <si>
    <t>怀黍离老鼠力士</t>
  </si>
  <si>
    <t>enemy_1396_dhdts_2</t>
  </si>
  <si>
    <t>dhdts_2</t>
  </si>
  <si>
    <t>怀黍离老鼠猛士</t>
  </si>
  <si>
    <t>enemy_1397_dhtsxt</t>
  </si>
  <si>
    <t>dhtsxt</t>
  </si>
  <si>
    <t>怀黍离老鼠飞贼</t>
  </si>
  <si>
    <t>enemy_1397_dhtsxt_2</t>
  </si>
  <si>
    <t>dhtsxt_2</t>
  </si>
  <si>
    <t>怀黍离老鼠大盗</t>
  </si>
  <si>
    <t>enemy_1398_dhdcr</t>
  </si>
  <si>
    <t>dhdcr</t>
  </si>
  <si>
    <t>怀黍离天桩甲</t>
  </si>
  <si>
    <t>enemy_1398_dhdcr_2</t>
  </si>
  <si>
    <t>dhdcr_2</t>
  </si>
  <si>
    <t>怀黍离失控天桩甲</t>
  </si>
  <si>
    <t>enemy_1399_dhtb</t>
  </si>
  <si>
    <t>dhtb</t>
  </si>
  <si>
    <t>怀黍离天桩乙</t>
  </si>
  <si>
    <t>enemy_1399_dhtb_2</t>
  </si>
  <si>
    <t>dhtb_2</t>
  </si>
  <si>
    <t>怀黍离失控天桩乙</t>
  </si>
  <si>
    <t>enemy_1399_dhtb_3</t>
  </si>
  <si>
    <t>怀黍离身上的天标乙</t>
  </si>
  <si>
    <t>enemy_1401_pogpro</t>
  </si>
  <si>
    <t>pogpro</t>
  </si>
  <si>
    <t>联合政府军犬</t>
  </si>
  <si>
    <t>enemy_1401_pogpro_2</t>
  </si>
  <si>
    <t>pogpro_2</t>
  </si>
  <si>
    <t>联合政府军犬pro</t>
  </si>
  <si>
    <t>enemy_1402_tgshd</t>
  </si>
  <si>
    <t>tgshd</t>
  </si>
  <si>
    <t>装甲侦察兵</t>
  </si>
  <si>
    <t>Muzzle</t>
  </si>
  <si>
    <t>enemy_1402_tgshd_2</t>
  </si>
  <si>
    <t>tgshd_2</t>
  </si>
  <si>
    <t>重装侦察兵</t>
  </si>
  <si>
    <t>enemy_1403_gunsho</t>
  </si>
  <si>
    <t>gunsho</t>
  </si>
  <si>
    <t>速射轻弩手</t>
  </si>
  <si>
    <t>enemy_1403_gunsho_2</t>
  </si>
  <si>
    <t>gunsho_2</t>
  </si>
  <si>
    <t>速射劲弩手</t>
  </si>
  <si>
    <t>enemy_1404_msnip</t>
  </si>
  <si>
    <t>msnip</t>
  </si>
  <si>
    <t>重弩突袭者</t>
  </si>
  <si>
    <t>enemy_1404_msnip_2</t>
  </si>
  <si>
    <t>msnip_2</t>
  </si>
  <si>
    <t>重弩猎杀者</t>
  </si>
  <si>
    <t>enemy_1405_boomer</t>
  </si>
  <si>
    <t>boomer</t>
  </si>
  <si>
    <t>鲁莽掷弹兵</t>
  </si>
  <si>
    <t>enemy_1405_boomer_2</t>
  </si>
  <si>
    <t>boomer_2</t>
  </si>
  <si>
    <t>无畏掷弹兵</t>
  </si>
  <si>
    <t>enemy_1406_chghmr</t>
  </si>
  <si>
    <t>chghmr</t>
  </si>
  <si>
    <t>战线推进者</t>
  </si>
  <si>
    <t>enemy_1406_chghmr_2</t>
  </si>
  <si>
    <t>chghmr_2</t>
  </si>
  <si>
    <t>战线突破者</t>
  </si>
  <si>
    <t>enemy_1407_hummbd</t>
  </si>
  <si>
    <t>hummbd</t>
  </si>
  <si>
    <t>1407</t>
  </si>
  <si>
    <t>远眺</t>
  </si>
  <si>
    <t>&lt;@eb.key&gt;【飞行单位】&lt;/&gt;妖怪的改进版，可进行&lt;@eb.key&gt;远程物理射击&lt;/&gt;，被击倒时使周围的我方暴露。暴露状态下无法通过封阻物避开敌方视线，且受到的伤害提升。</t>
  </si>
  <si>
    <t>enemy_1407_hummbd_2</t>
  </si>
  <si>
    <t>hummbd_2</t>
  </si>
  <si>
    <t>远眺·B</t>
  </si>
  <si>
    <t>enemy_1408_scotcn</t>
  </si>
  <si>
    <t>scotcn</t>
  </si>
  <si>
    <t>1408</t>
  </si>
  <si>
    <t>战场观测炮手</t>
  </si>
  <si>
    <t>F_Body</t>
  </si>
  <si>
    <t>enemy_1408_scotcn_2</t>
  </si>
  <si>
    <t>scotcn_2</t>
  </si>
  <si>
    <t>战场深视炮手</t>
  </si>
  <si>
    <t>enemy_1409_bdguad</t>
  </si>
  <si>
    <t>bdguad</t>
  </si>
  <si>
    <t>马特奥的警卫</t>
  </si>
  <si>
    <t>enemy_1409_bdguad_2</t>
  </si>
  <si>
    <t>bdguad_2</t>
  </si>
  <si>
    <t>马特奥的近卫</t>
  </si>
  <si>
    <t>enemy_1409_bdguad_3</t>
  </si>
  <si>
    <t>bdguad_3</t>
  </si>
  <si>
    <t>马特奥的亲卫</t>
  </si>
  <si>
    <t>enemy_1409_bdguad_3eX</t>
  </si>
  <si>
    <t>马特奥的亲卫EX</t>
  </si>
  <si>
    <t>enemy_1551_bolicp</t>
  </si>
  <si>
    <t>bolicp</t>
  </si>
  <si>
    <t>马特奥上尉</t>
  </si>
  <si>
    <t>Combat</t>
  </si>
  <si>
    <t>enemy_1410_mmelee</t>
  </si>
  <si>
    <t>mmelee</t>
  </si>
  <si>
    <t>“飞鞋党”佣兵</t>
  </si>
  <si>
    <t>enemy_1410_mmelee_2</t>
  </si>
  <si>
    <t>mmelee_2</t>
  </si>
  <si>
    <t>“飞鞋党”精锐佣兵</t>
  </si>
  <si>
    <t>enemy_1411_mmrnge</t>
  </si>
  <si>
    <t>mmrnge</t>
  </si>
  <si>
    <t>“锅盖头”射手</t>
  </si>
  <si>
    <t>enemy_1411_mmrnge_2</t>
  </si>
  <si>
    <t>mmrnge_2</t>
  </si>
  <si>
    <t>“锅盖头”劲弩射手</t>
  </si>
  <si>
    <t>enemy_1412_mmjump</t>
  </si>
  <si>
    <t>mmjump</t>
  </si>
  <si>
    <t>破烂拼凑者</t>
  </si>
  <si>
    <t>enemy_1412_mmjump_2</t>
  </si>
  <si>
    <t>mmjump_2</t>
  </si>
  <si>
    <t>破烂发明家</t>
  </si>
  <si>
    <t>enemy_1413_mmstck</t>
  </si>
  <si>
    <t>mmstck</t>
  </si>
  <si>
    <t>赏金猎人“骑士”</t>
  </si>
  <si>
    <t>enemy_1413_mmstck_2</t>
  </si>
  <si>
    <t>mmstck_2</t>
  </si>
  <si>
    <t>赏金猎人“大骑士”</t>
  </si>
  <si>
    <t>enemy_1414_mmleak</t>
  </si>
  <si>
    <t>mmleak</t>
  </si>
  <si>
    <t>爆燃厨具巨人</t>
  </si>
  <si>
    <t>enemy_1414_mmleak_2</t>
  </si>
  <si>
    <t>mmleak_2</t>
  </si>
  <si>
    <t>增强型爆燃厨具巨人</t>
  </si>
  <si>
    <t>enemy_1415_mmkabi</t>
  </si>
  <si>
    <t>mmkabi</t>
  </si>
  <si>
    <t>温顺的武装驮兽</t>
  </si>
  <si>
    <t>enemy_1415_mmkabi_2</t>
  </si>
  <si>
    <t>mmkabi_2</t>
  </si>
  <si>
    <t>温顺的武装大驮兽</t>
  </si>
  <si>
    <t>enemy_1416_mmfarm</t>
  </si>
  <si>
    <t>mmfarm</t>
  </si>
  <si>
    <t>流浪佣兵“剪刀手”</t>
  </si>
  <si>
    <t>enemy_1416_mmfarm_2</t>
  </si>
  <si>
    <t>mmfarm_2</t>
  </si>
  <si>
    <t>流浪佣兵“编织者”</t>
  </si>
  <si>
    <t>enemy_1417_mmdudu</t>
  </si>
  <si>
    <t>mmdudu</t>
  </si>
  <si>
    <t>自由佣兵“贝斯”</t>
  </si>
  <si>
    <t>enemy_1417_mmdudu_2</t>
  </si>
  <si>
    <t>mmdudu_2</t>
  </si>
  <si>
    <t>自由佣兵“主音吉他”</t>
  </si>
  <si>
    <t>enemy_1418_mmkonm</t>
  </si>
  <si>
    <t>mmkonm</t>
  </si>
  <si>
    <t>流浪工匠“修补工”</t>
  </si>
  <si>
    <t>Default_b</t>
  </si>
  <si>
    <t>Idle_b</t>
  </si>
  <si>
    <t>Move_b</t>
  </si>
  <si>
    <t>Die_b</t>
  </si>
  <si>
    <t>enemy_1418_mmkonm_2</t>
  </si>
  <si>
    <t>mmkonm_2</t>
  </si>
  <si>
    <t>流浪工匠“修补工头”</t>
  </si>
  <si>
    <t>enemy_1419_mmcike</t>
  </si>
  <si>
    <t>mmcike</t>
  </si>
  <si>
    <t>裹骸死士</t>
  </si>
  <si>
    <t>enemy_1419_mmcike_2</t>
  </si>
  <si>
    <t>mmcike_2</t>
  </si>
  <si>
    <t>血刃裹骸死士</t>
  </si>
  <si>
    <t>enemy_1552_mmamiy</t>
  </si>
  <si>
    <t>mmamiy</t>
  </si>
  <si>
    <t>Die_2_A</t>
  </si>
  <si>
    <t>enemy_1421_lrchld</t>
  </si>
  <si>
    <t>lrchld</t>
  </si>
  <si>
    <t>信标</t>
  </si>
  <si>
    <t>14章信标</t>
  </si>
  <si>
    <t>enemy_1421_lrchld_sp</t>
  </si>
  <si>
    <t>免疫伤害信标</t>
  </si>
  <si>
    <t>enemy_1422_lrsldr</t>
  </si>
  <si>
    <t>lrsldr</t>
  </si>
  <si>
    <t>萨卡兹枯朽前锋</t>
  </si>
  <si>
    <t>C_Hip_A</t>
  </si>
  <si>
    <t>enemy_1422_lrsldr_2</t>
  </si>
  <si>
    <t>lrsldr_2</t>
  </si>
  <si>
    <t>萨卡兹枯朽辟路前锋</t>
  </si>
  <si>
    <t>enemy_1423_lrfkkt</t>
  </si>
  <si>
    <t>lrfkkt</t>
  </si>
  <si>
    <t>萨卡兹枯朽宿卫</t>
  </si>
  <si>
    <t>C_Hip_A5</t>
  </si>
  <si>
    <t>enemy_1423_lrfkkt_2</t>
  </si>
  <si>
    <t>lrfkkt_2</t>
  </si>
  <si>
    <t>萨卡兹枯朽不屈宿卫</t>
  </si>
  <si>
    <t>enemy_1424_lrboom</t>
  </si>
  <si>
    <t>lrboom</t>
  </si>
  <si>
    <t>恶尘源石虫</t>
  </si>
  <si>
    <t>Body</t>
  </si>
  <si>
    <t>普通,近战,感染生物,源石风暴食物</t>
  </si>
  <si>
    <t>enemy_1424_lrboom_2</t>
  </si>
  <si>
    <t>lrboom_2</t>
  </si>
  <si>
    <t>恶尘源石虫·α</t>
  </si>
  <si>
    <t>enemy_1425_lrcmra</t>
  </si>
  <si>
    <t>lrcmra</t>
  </si>
  <si>
    <t>孽罪奇美拉</t>
  </si>
  <si>
    <t>Body2</t>
  </si>
  <si>
    <t>enemy_1425_lrcmra_2</t>
  </si>
  <si>
    <t>lrcmra_2</t>
  </si>
  <si>
    <t>渎罪奇美拉</t>
  </si>
  <si>
    <t>enemy_1425_lrcmra_sp</t>
  </si>
  <si>
    <t>激活孽罪奇美拉</t>
  </si>
  <si>
    <t>Default_2</t>
  </si>
  <si>
    <t>Idle_2</t>
  </si>
  <si>
    <t>Move_2</t>
  </si>
  <si>
    <t>enemy_1425_lrcmra_2_sp</t>
  </si>
  <si>
    <t>激活渎罪奇美拉</t>
  </si>
  <si>
    <t>enemy_1426_lrthef</t>
  </si>
  <si>
    <t>lrthef</t>
  </si>
  <si>
    <t>萨卡兹祭坛看护者</t>
  </si>
  <si>
    <t>C_Waist_B</t>
  </si>
  <si>
    <t>精英,萨卡兹</t>
  </si>
  <si>
    <t>Default2</t>
  </si>
  <si>
    <t>Idle2</t>
  </si>
  <si>
    <t>Move2</t>
  </si>
  <si>
    <t>Die2</t>
  </si>
  <si>
    <t>enemy_1426_lrthef_2</t>
  </si>
  <si>
    <t>lrthef_2</t>
  </si>
  <si>
    <t>萨卡兹祭坛奉养者</t>
  </si>
  <si>
    <t>enemy_1426_lrthef_sp</t>
  </si>
  <si>
    <t>空手萨卡兹祭坛看护者</t>
  </si>
  <si>
    <t>enemy_1426_lrthef_2_sp</t>
  </si>
  <si>
    <t>空手萨卡兹祭坛奉养者</t>
  </si>
  <si>
    <t>enemy_1427_lrnazg</t>
  </si>
  <si>
    <t>lrnazg</t>
  </si>
  <si>
    <t>“灵幛”</t>
  </si>
  <si>
    <t>Coat_DA</t>
  </si>
  <si>
    <t>enemy_1427_lrnazg_2</t>
  </si>
  <si>
    <t>lrnazg_2</t>
  </si>
  <si>
    <t>“慰朽灵幛”</t>
  </si>
  <si>
    <t>enemy_1428_lrsoul</t>
  </si>
  <si>
    <t>lrsoul</t>
  </si>
  <si>
    <t>魂灵涡流</t>
  </si>
  <si>
    <t>A</t>
  </si>
  <si>
    <t>enemy_1429_lrwzrd</t>
  </si>
  <si>
    <t>lrwzrd</t>
  </si>
  <si>
    <t>聚焦魂灵残迹</t>
  </si>
  <si>
    <t>enemy_1429_lrwzrd_2</t>
  </si>
  <si>
    <t>lrwzrd_2</t>
  </si>
  <si>
    <t>enemy_1430_lrrook</t>
  </si>
  <si>
    <t>lrrook</t>
  </si>
  <si>
    <t>愧悔魂灵圣杯</t>
  </si>
  <si>
    <t>C_Fire_2</t>
  </si>
  <si>
    <t>enemy_1430_lrrook_2</t>
  </si>
  <si>
    <t>lrrook_2</t>
  </si>
  <si>
    <t>殉亡魂灵圣杯</t>
  </si>
  <si>
    <t>enemy_1431_lrmzrd</t>
  </si>
  <si>
    <t>lrmzrd</t>
  </si>
  <si>
    <t>注能魂灵法骸</t>
  </si>
  <si>
    <t>enemy_1431_lrmzrd_2</t>
  </si>
  <si>
    <t>lrmzrd_2</t>
  </si>
  <si>
    <t>粹影魂灵法骸</t>
  </si>
  <si>
    <t>enemy_1433_dsbasi</t>
  </si>
  <si>
    <t>dsbasi</t>
  </si>
  <si>
    <t>单核掠食者</t>
  </si>
  <si>
    <t>enemy_1433_dsbasi_2</t>
  </si>
  <si>
    <t>dsbasi_2</t>
  </si>
  <si>
    <t>异光体掠食者</t>
  </si>
  <si>
    <t>enemy_1433_dsbasi_3</t>
  </si>
  <si>
    <t>异光体掠食者EX</t>
  </si>
  <si>
    <t>enemy_1434_dsshel</t>
  </si>
  <si>
    <t>dsshel</t>
  </si>
  <si>
    <t>微核沉积者</t>
  </si>
  <si>
    <t>D</t>
  </si>
  <si>
    <t>enemy_1435_dsflys</t>
  </si>
  <si>
    <t>dsflys</t>
  </si>
  <si>
    <t>纤核漂游者</t>
  </si>
  <si>
    <t>enemy_1435_dsflys_2</t>
  </si>
  <si>
    <t>dsflys_2</t>
  </si>
  <si>
    <t>异光体漂游者</t>
  </si>
  <si>
    <t>enemy_1436_dsdivi</t>
  </si>
  <si>
    <t>dsdivi</t>
  </si>
  <si>
    <t>诡核集养者</t>
  </si>
  <si>
    <t>A2</t>
  </si>
  <si>
    <t>enemy_1436_dsdivi_2</t>
  </si>
  <si>
    <t>dsdivi_2</t>
  </si>
  <si>
    <t>异光体集养者</t>
  </si>
  <si>
    <t>enemy_1436_dsdivi_sp</t>
  </si>
  <si>
    <t>诡核集养者分身</t>
  </si>
  <si>
    <t>enemy_1436_dsdivi_2_sp</t>
  </si>
  <si>
    <t>异光体集养者分身</t>
  </si>
  <si>
    <t>enemy_1437_dsfull</t>
  </si>
  <si>
    <t>dsfull</t>
  </si>
  <si>
    <t>蕴核饲育者</t>
  </si>
  <si>
    <t>enemy_1437_dsfull_2</t>
  </si>
  <si>
    <t>dsfull_2</t>
  </si>
  <si>
    <t>异光体饲育者</t>
  </si>
  <si>
    <t>enemy_1438_dspred</t>
  </si>
  <si>
    <t>dspred</t>
  </si>
  <si>
    <t>复核洋流使者</t>
  </si>
  <si>
    <t>enemy_1438_dspred_2</t>
  </si>
  <si>
    <t>dspred_2</t>
  </si>
  <si>
    <t>异光体洋流使者</t>
  </si>
  <si>
    <t>enemy_1438_dspred_sp</t>
  </si>
  <si>
    <t>复核洋流使者SP</t>
  </si>
  <si>
    <t>enemy_1438_dspred_2_sp</t>
  </si>
  <si>
    <t>异光体洋流使者SP</t>
  </si>
  <si>
    <t>enemy_1439_dslntf</t>
  </si>
  <si>
    <t>dslntf</t>
  </si>
  <si>
    <t>元核孽生者</t>
  </si>
  <si>
    <t>enemy_1439_dslntf_2</t>
  </si>
  <si>
    <t>dslntf_2</t>
  </si>
  <si>
    <t>异光体孽生者</t>
  </si>
  <si>
    <t>enemy_1440_dselec</t>
  </si>
  <si>
    <t>dselec</t>
  </si>
  <si>
    <t>被弃者</t>
  </si>
  <si>
    <t>enemy_1440_dselec_2</t>
  </si>
  <si>
    <t>dselec_2</t>
  </si>
  <si>
    <t>受诅者</t>
  </si>
  <si>
    <t>enemy_1556_dsbish</t>
  </si>
  <si>
    <t>dsbish</t>
  </si>
  <si>
    <t>玛利图斯，“海嗣”</t>
  </si>
  <si>
    <t>enemy_10010_sgnja</t>
  </si>
  <si>
    <t>sgnja</t>
  </si>
  <si>
    <t>市井盗贼</t>
  </si>
  <si>
    <t>普通,近战,构装体</t>
  </si>
  <si>
    <t>enemy_10010_sgnja_2</t>
  </si>
  <si>
    <t>sgnja_2</t>
  </si>
  <si>
    <t>市井流窜盗贼</t>
  </si>
  <si>
    <t>enemy_10011_sgshot</t>
  </si>
  <si>
    <t>sgshot</t>
  </si>
  <si>
    <t>市井猎手</t>
  </si>
  <si>
    <t>普通,远程,构装体</t>
  </si>
  <si>
    <t>enemy_10011_sgshot_2</t>
  </si>
  <si>
    <t>sgshot_2</t>
  </si>
  <si>
    <t>市井流窜猎手</t>
  </si>
  <si>
    <t>enemy_10012_sgbtle</t>
  </si>
  <si>
    <t>sgbtle</t>
  </si>
  <si>
    <t>237-1号展柜文物</t>
  </si>
  <si>
    <t>enemy_10012_sgbtle_2</t>
  </si>
  <si>
    <t>sgbtle_2</t>
  </si>
  <si>
    <t>237-2号展柜文物</t>
  </si>
  <si>
    <t>enemy_10013_sgrob</t>
  </si>
  <si>
    <t>sgrob</t>
  </si>
  <si>
    <t>风情区小型车辇</t>
  </si>
  <si>
    <t>enemy_10013_sgrob_2</t>
  </si>
  <si>
    <t>sgrob_2</t>
  </si>
  <si>
    <t>风情区大型车辇</t>
  </si>
  <si>
    <t>enemy_10014_sgrich</t>
  </si>
  <si>
    <t>sgrich</t>
  </si>
  <si>
    <t>小型破损器皿</t>
  </si>
  <si>
    <t>enemy_10014_sgrich_2</t>
  </si>
  <si>
    <t>sgrich_2</t>
  </si>
  <si>
    <t>大型破损器皿</t>
  </si>
  <si>
    <t>enemy_10015_sgbird</t>
  </si>
  <si>
    <t>sgbird</t>
  </si>
  <si>
    <t>“滑翔的玩具”</t>
  </si>
  <si>
    <t>enemy_10015_sgbird_2</t>
  </si>
  <si>
    <t>sgbird_2</t>
  </si>
  <si>
    <t>“喷射式冠冕”</t>
  </si>
  <si>
    <t>enemy_10016_sggint</t>
  </si>
  <si>
    <t>sggint</t>
  </si>
  <si>
    <t>“愤怒蹬踏”</t>
  </si>
  <si>
    <t>精英,近战,构装体</t>
  </si>
  <si>
    <t>enemy_10016_sggint_2</t>
  </si>
  <si>
    <t>sggint_2</t>
  </si>
  <si>
    <t>“连续地愤怒蹬踏”</t>
  </si>
  <si>
    <t>enemy_10017_sgass</t>
  </si>
  <si>
    <t>sgass</t>
  </si>
  <si>
    <t>殿堂左侧雕像</t>
  </si>
  <si>
    <t>enemy_10017_sgass_2</t>
  </si>
  <si>
    <t>sgass_2</t>
  </si>
  <si>
    <t>殿堂右侧雕像</t>
  </si>
  <si>
    <t>enemy_10018_sgrobh</t>
  </si>
  <si>
    <t>sgrobh</t>
  </si>
  <si>
    <t>“独轮车玩具”</t>
  </si>
  <si>
    <t>精英,远程,构装体</t>
  </si>
  <si>
    <t>enemy_10018_sgrobh_2</t>
  </si>
  <si>
    <t>sgrobh_2</t>
  </si>
  <si>
    <t>“弹跳独轮车”</t>
  </si>
  <si>
    <t>enemy_10019_sgmum</t>
  </si>
  <si>
    <t>sgmum</t>
  </si>
  <si>
    <t>“以板之名”</t>
  </si>
  <si>
    <t>enemy_10019_sgmum_2</t>
  </si>
  <si>
    <t>sgmum_2</t>
  </si>
  <si>
    <t>“愿板与你同在”</t>
  </si>
  <si>
    <t>enemy_10020_sgcat</t>
  </si>
  <si>
    <t>sgcat</t>
  </si>
  <si>
    <t>米奥，热烈的考验者</t>
  </si>
  <si>
    <t>enemy_1558_sgactr</t>
  </si>
  <si>
    <t>sgactr</t>
  </si>
  <si>
    <t>祖巴伊达姆，从往昔来</t>
  </si>
  <si>
    <t>领袖,远程,祖巴伊达姆</t>
  </si>
  <si>
    <t>enemy_10001_trslim</t>
  </si>
  <si>
    <t>trslim</t>
  </si>
  <si>
    <t>简饲源石虫</t>
  </si>
  <si>
    <t>C</t>
  </si>
  <si>
    <t>生命值降至一半以下时，伸出脚逃跑！移动速度提升且不可阻挡一段时间</t>
  </si>
  <si>
    <t>enemy_10001_trslim_2</t>
  </si>
  <si>
    <t>trslim_2</t>
  </si>
  <si>
    <t>精饲源石虫</t>
  </si>
  <si>
    <t>enemy_10002_trtrsl</t>
  </si>
  <si>
    <t>trtrsl</t>
  </si>
  <si>
    <t>浆果虫</t>
  </si>
  <si>
    <t>普通,感染生物,浆果虫</t>
  </si>
  <si>
    <t>受到伤害后会发出强烈闪光，使周围我方单位长时间晕眩，然后尝试挖地逃跑</t>
  </si>
  <si>
    <t>enemy_10002_trtrsl_2</t>
  </si>
  <si>
    <t>trtrsl_2</t>
  </si>
  <si>
    <t>硕果虫</t>
  </si>
  <si>
    <t>enemy_10003_trwlpl</t>
  </si>
  <si>
    <t>trwlpl</t>
  </si>
  <si>
    <t>暴走食虫花</t>
  </si>
  <si>
    <t>会吞食周围一个目标，每次吞食需要长时间原地消化</t>
  </si>
  <si>
    <t>enemy_10003_trwlpl_2</t>
  </si>
  <si>
    <t>trwlpl_2</t>
  </si>
  <si>
    <t>暴走食人花</t>
  </si>
  <si>
    <t>enemy_10004_trdiam</t>
  </si>
  <si>
    <t>trdiam</t>
  </si>
  <si>
    <t>浆果磐蟹</t>
  </si>
  <si>
    <t>生命值低于一半时，会吃掉携带的&lt;闪亮果实&gt;，回复自身生命</t>
  </si>
  <si>
    <t>enemy_10004_trdiam_2</t>
  </si>
  <si>
    <t>trdiam_2</t>
  </si>
  <si>
    <t>硕果磐蟹</t>
  </si>
  <si>
    <t>enemy_10005_trsmsb</t>
  </si>
  <si>
    <t>trsmsb</t>
  </si>
  <si>
    <t>染污战士</t>
  </si>
  <si>
    <t>普通,近战,坍缩体</t>
  </si>
  <si>
    <t>优先攻击未逃跑的&lt;浆果虫&gt;或&lt;硕果虫&gt;并使其坍缩，被果虫的闪光照到后，移动速度增加</t>
  </si>
  <si>
    <t>enemy_10005_trsmsb_2</t>
  </si>
  <si>
    <t>trsmsb_2</t>
  </si>
  <si>
    <t>染污勇士</t>
  </si>
  <si>
    <t>enemy_10006_trsmgi</t>
  </si>
  <si>
    <t>trsmgi</t>
  </si>
  <si>
    <t>染秽魔像</t>
  </si>
  <si>
    <t>精英,近战,坍缩体</t>
  </si>
  <si>
    <t>生命值首次低于一半时，会在四周掉落&lt;浆果虫&gt;，之后自身移动速度增加</t>
  </si>
  <si>
    <t>enemy_10006_trsmgi_2</t>
  </si>
  <si>
    <t>trsmgi_2</t>
  </si>
  <si>
    <t>凶秽魔像</t>
  </si>
  <si>
    <t>enemy_10007_trspsb</t>
  </si>
  <si>
    <t>trspsb</t>
  </si>
  <si>
    <t>“酩酊”</t>
  </si>
  <si>
    <t>使经过自身周围的其他地面非领袖敌人攻击速度，移动速度增加，且受到的物理与法术伤害减少</t>
  </si>
  <si>
    <t>enemy_10007_trspsb_2</t>
  </si>
  <si>
    <t>trspsb_2</t>
  </si>
  <si>
    <t>陶醉的“酩酊”</t>
  </si>
  <si>
    <t>enemy_10008_trbbox</t>
  </si>
  <si>
    <t>trbbox</t>
  </si>
  <si>
    <t>宝箱恐鱼</t>
  </si>
  <si>
    <t>惊醒后原地尖叫一段时间，持续对周围我方单位造成神经损伤，攻击造成神经损伤</t>
  </si>
  <si>
    <t>enemy_10008_trbbox_2</t>
  </si>
  <si>
    <t>trbbox_2</t>
  </si>
  <si>
    <t>宝箱海怪</t>
  </si>
  <si>
    <t>enemy_1557_trcerb1</t>
  </si>
  <si>
    <t>trcerb</t>
  </si>
  <si>
    <t>enemy_1557_trcerb</t>
  </si>
  <si>
    <t>“三头犬”一阶段</t>
  </si>
  <si>
    <t>领袖,小刻</t>
  </si>
  <si>
    <t>L_Idle</t>
  </si>
  <si>
    <t>L_Move</t>
  </si>
  <si>
    <t>enemy_1557_trcerb2</t>
  </si>
  <si>
    <t>“三头犬”二阶段</t>
  </si>
  <si>
    <t>M_Idle</t>
  </si>
  <si>
    <t>M_Move</t>
  </si>
  <si>
    <t>enemy_1557_trcerb3</t>
  </si>
  <si>
    <t>“三头犬”三阶段</t>
  </si>
  <si>
    <t>R_Idle</t>
  </si>
  <si>
    <t>R_Move</t>
  </si>
  <si>
    <t>enemy_10028_vtswd</t>
  </si>
  <si>
    <t>vtswd</t>
  </si>
  <si>
    <t>未装配刀片</t>
  </si>
  <si>
    <t>普通,追迹日落以西补给装置,未装配刀片</t>
  </si>
  <si>
    <t>enemy_10029_vtshld</t>
  </si>
  <si>
    <t>vtshld</t>
  </si>
  <si>
    <t>防护背心</t>
  </si>
  <si>
    <t>普通,追迹日落以西补给装置,防护背心</t>
  </si>
  <si>
    <t>enemy_10030_vtwand</t>
  </si>
  <si>
    <t>vtwand</t>
  </si>
  <si>
    <t>冲击式施术单元</t>
  </si>
  <si>
    <t>普通,追迹日落以西补给装置,冲击式施术单元</t>
  </si>
  <si>
    <t>enemy_10021_vtcar</t>
  </si>
  <si>
    <t>vtcar</t>
  </si>
  <si>
    <t>10021</t>
  </si>
  <si>
    <t>货运轨道车</t>
  </si>
  <si>
    <t>普通,刁民,中立单位,召唤物</t>
  </si>
  <si>
    <t>Revive_Begin</t>
  </si>
  <si>
    <t>enemy_10022_vtskny</t>
  </si>
  <si>
    <t>vtskny</t>
  </si>
  <si>
    <t>新手拾荒者</t>
  </si>
  <si>
    <t>enemy_10022_vtskny_2</t>
  </si>
  <si>
    <t>vtskny_2</t>
  </si>
  <si>
    <t>老练拾荒者</t>
  </si>
  <si>
    <t>enemy_10023_vtsnky</t>
  </si>
  <si>
    <t>vtsnky</t>
  </si>
  <si>
    <t>“护目镜”帮派窃贼</t>
  </si>
  <si>
    <t>普通,远程,追迹日落以西背向</t>
  </si>
  <si>
    <t>enemy_10023_vtsnky_2</t>
  </si>
  <si>
    <t>vtsnky_2</t>
  </si>
  <si>
    <t>“护目镜”帮派打手</t>
  </si>
  <si>
    <t>enemy_10024_vtstrn</t>
  </si>
  <si>
    <t>vtstrn</t>
  </si>
  <si>
    <t>“街区自治队”成员</t>
  </si>
  <si>
    <t>enemy_10024_vtstrn_2</t>
  </si>
  <si>
    <t>vtstrn_2</t>
  </si>
  <si>
    <t>“街区自治队”队长</t>
  </si>
  <si>
    <t>enemy_10025_vtmstr</t>
  </si>
  <si>
    <t>vtmstr</t>
  </si>
  <si>
    <t>“铣痕”团伙佣兵</t>
  </si>
  <si>
    <t>精英,近战,追迹日落以西背向,铣痕佣兵</t>
  </si>
  <si>
    <t>enemy_10025_vtmstr_2</t>
  </si>
  <si>
    <t>vtmstr_2</t>
  </si>
  <si>
    <t>“铣痕”团伙精锐佣兵</t>
  </si>
  <si>
    <t>enemy_10026_vtzepl</t>
  </si>
  <si>
    <t>vtzepl</t>
  </si>
  <si>
    <t>物资运输艇</t>
  </si>
  <si>
    <t>enemy_10026_vtzepl_2</t>
  </si>
  <si>
    <t>vtzepl_2</t>
  </si>
  <si>
    <t>大容量物资运输艇</t>
  </si>
  <si>
    <t>enemy_10027_vtsk</t>
  </si>
  <si>
    <t>vtsk</t>
  </si>
  <si>
    <t>“帝国的甲胄”</t>
  </si>
  <si>
    <t>精英,远程,近战,机械</t>
  </si>
  <si>
    <t>enemy_1559_vtlionk</t>
  </si>
  <si>
    <t>vtlionk</t>
  </si>
  <si>
    <t>阿利斯泰尔，帝国余晖</t>
  </si>
  <si>
    <t>trap_185_vtlntw</t>
  </si>
  <si>
    <t>vtlntw</t>
  </si>
  <si>
    <t>黄金回响</t>
  </si>
  <si>
    <t>远程</t>
  </si>
  <si>
    <t>enemy_10031_cnvsld</t>
  </si>
  <si>
    <t>cnvsld</t>
  </si>
  <si>
    <t>业余竞演者</t>
  </si>
  <si>
    <t>enemy_10031_cnvsld_2</t>
  </si>
  <si>
    <t>cnvsld_2</t>
  </si>
  <si>
    <t>专业竞演者</t>
  </si>
  <si>
    <t>enemy_10032_cnvsnp</t>
  </si>
  <si>
    <t>cnvsnp</t>
  </si>
  <si>
    <t>烟花零售商</t>
  </si>
  <si>
    <t>enemy_10032_cnvsnp_2</t>
  </si>
  <si>
    <t>cnvsnp_2</t>
  </si>
  <si>
    <t>烟花经销商</t>
  </si>
  <si>
    <t>enemy_10033_cnvbsk</t>
  </si>
  <si>
    <t>cnvbsk</t>
  </si>
  <si>
    <t>街头火舞艺人</t>
  </si>
  <si>
    <t>enemy_10033_cnvbsk_2</t>
  </si>
  <si>
    <t>cnvbsk_2</t>
  </si>
  <si>
    <t>街头火舞明星</t>
  </si>
  <si>
    <t>enemy_10034_cnvsax</t>
  </si>
  <si>
    <t>cnvsax</t>
  </si>
  <si>
    <t>节日爵士乐手</t>
  </si>
  <si>
    <t>enemy_10034_cnvsax_2</t>
  </si>
  <si>
    <t>cnvbsax_2</t>
  </si>
  <si>
    <t>巡游爵士乐手</t>
  </si>
  <si>
    <t>enemy_10035_cnvdnc</t>
  </si>
  <si>
    <t>cnvdnc</t>
  </si>
  <si>
    <t>热烈舞团独舞者</t>
  </si>
  <si>
    <t>enemy_10035_cnvdnc_2</t>
  </si>
  <si>
    <t>cnvdnc_2</t>
  </si>
  <si>
    <t>热烈舞团领舞者</t>
  </si>
  <si>
    <t>enemy_10036_cnvpvd</t>
  </si>
  <si>
    <t>cnvpvd</t>
  </si>
  <si>
    <t>节日零食商贩</t>
  </si>
  <si>
    <t>enemy_10036_cnvpvd_2</t>
  </si>
  <si>
    <t>cnvpvd_2</t>
  </si>
  <si>
    <t>巡游零食商贩</t>
  </si>
  <si>
    <t>enemy_10037_cnvpcar</t>
  </si>
  <si>
    <t>cnvpcar</t>
  </si>
  <si>
    <t>节日零食车</t>
  </si>
  <si>
    <t>enemy_10037_cnvpcar_2</t>
  </si>
  <si>
    <t>cnvpcar_2</t>
  </si>
  <si>
    <t>巡游零食车</t>
  </si>
  <si>
    <t>enemy_10038_cnvpiz</t>
  </si>
  <si>
    <t>cnvpiz</t>
  </si>
  <si>
    <t>“方便快餐”</t>
  </si>
  <si>
    <t>enemy_10038_cnvpiz_2</t>
  </si>
  <si>
    <t>cnvpiz_2</t>
  </si>
  <si>
    <t>“美食速递”</t>
  </si>
  <si>
    <t>enemy_10039_cnvber</t>
  </si>
  <si>
    <t>cnvber</t>
  </si>
  <si>
    <t>“开怀畅饮”</t>
  </si>
  <si>
    <t>enemy_10039_cnvber_2</t>
  </si>
  <si>
    <t>cnvber_2</t>
  </si>
  <si>
    <t>“醉后狂欢”</t>
  </si>
  <si>
    <t>enemy_10040_cnvbln</t>
  </si>
  <si>
    <t>cnvbln</t>
  </si>
  <si>
    <t>节日气球</t>
  </si>
  <si>
    <t>enemy_10040_cnvbln_2</t>
  </si>
  <si>
    <t>cnvbln_2</t>
  </si>
  <si>
    <t>巡游气球</t>
  </si>
  <si>
    <t>enemy_1560_cnvlap</t>
  </si>
  <si>
    <t>cnvlap</t>
  </si>
  <si>
    <t>“狂欢之主”（一阶段）</t>
  </si>
  <si>
    <t>Revive_End,B_Move_Start</t>
  </si>
  <si>
    <t>enemy_1560_cnvlapeX</t>
  </si>
  <si>
    <t>“狂欢之主”（二阶段）</t>
  </si>
  <si>
    <t>领袖,远程,狂欢之主</t>
  </si>
  <si>
    <t>真的有人看这个？</t>
  </si>
  <si>
    <t>enemy_10043_sailor</t>
  </si>
  <si>
    <t>sailor</t>
  </si>
  <si>
    <t>寻险水手</t>
  </si>
  <si>
    <t>普通,近战,水手</t>
  </si>
  <si>
    <t>enemy_10043_sailor_2</t>
  </si>
  <si>
    <t>sailor_2</t>
  </si>
  <si>
    <t>历险水手</t>
  </si>
  <si>
    <t>enemy_10043_sailorB</t>
  </si>
  <si>
    <t>寻险水手F</t>
  </si>
  <si>
    <t>enemy_10043_sailor_2B</t>
  </si>
  <si>
    <t>历险水手F</t>
  </si>
  <si>
    <t>enemy_10042_prtrop</t>
  </si>
  <si>
    <t>prtrop</t>
  </si>
  <si>
    <t>架桥船工</t>
  </si>
  <si>
    <t>enemy_10042_prtrop_2</t>
  </si>
  <si>
    <t>prtrop_2</t>
  </si>
  <si>
    <t>扶桥老手</t>
  </si>
  <si>
    <t>enemy_10044_wintun</t>
  </si>
  <si>
    <t>wintun</t>
  </si>
  <si>
    <t>咸鳞汁推荐者</t>
  </si>
  <si>
    <t>enemy_10044_wintun_2</t>
  </si>
  <si>
    <t>wintun_2</t>
  </si>
  <si>
    <t>朗姆酒推荐者</t>
  </si>
  <si>
    <t>enemy_10045_parrot</t>
  </si>
  <si>
    <t>parrot</t>
  </si>
  <si>
    <t>吉兆飞鳞</t>
  </si>
  <si>
    <t>普通,野生动物</t>
  </si>
  <si>
    <t>enemy_10045_parrot_2</t>
  </si>
  <si>
    <t>parrot_2</t>
  </si>
  <si>
    <t>噩兆飞鳞</t>
  </si>
  <si>
    <t>enemy_10045_parroteX</t>
  </si>
  <si>
    <t>吉兆飞鳞EX</t>
  </si>
  <si>
    <t>enemy_10045_parrot_2eX</t>
  </si>
  <si>
    <t>噩兆飞鳞EX</t>
  </si>
  <si>
    <t>enemy_10046_pshark</t>
  </si>
  <si>
    <t>pshark</t>
  </si>
  <si>
    <t>撼地盐鳞</t>
  </si>
  <si>
    <t>精英,近战,野生动物,胖盐鳞1</t>
  </si>
  <si>
    <t>enemy_10046_pshark_2</t>
  </si>
  <si>
    <t>pshark_2</t>
  </si>
  <si>
    <t>裂地盐鳞</t>
  </si>
  <si>
    <t>精英,近战,野生动物,胖盐鳞2</t>
  </si>
  <si>
    <t>enemy_10047_shrknt</t>
  </si>
  <si>
    <t>shrknt</t>
  </si>
  <si>
    <t>爆炸追寻者</t>
  </si>
  <si>
    <t>1_Default</t>
  </si>
  <si>
    <t>1_Idle</t>
  </si>
  <si>
    <t>1_Move</t>
  </si>
  <si>
    <t>1_Die</t>
  </si>
  <si>
    <t>enemy_10047_shrknt_2</t>
  </si>
  <si>
    <t>shrknt_2</t>
  </si>
  <si>
    <t>爆炸信奉者</t>
  </si>
  <si>
    <t>enemy_10048_prtsld</t>
  </si>
  <si>
    <t>prtsld</t>
  </si>
  <si>
    <t>血腥厨子</t>
  </si>
  <si>
    <t>enemy_10048_prtsld_2</t>
  </si>
  <si>
    <t>prtsld_2</t>
  </si>
  <si>
    <t>恐怖厨子</t>
  </si>
  <si>
    <t>enemy_10049_pcaptn</t>
  </si>
  <si>
    <t>pcaptn</t>
  </si>
  <si>
    <t>爆鸣水手长</t>
  </si>
  <si>
    <t>enemy_10049_pcaptn_2</t>
  </si>
  <si>
    <t>pcaptn_2</t>
  </si>
  <si>
    <t>美声水手长</t>
  </si>
  <si>
    <t>enemy_1561_crzjdg</t>
  </si>
  <si>
    <t>crzjdg</t>
  </si>
  <si>
    <t>安纳斯塔西奥，赎罪者（一阶段）</t>
  </si>
  <si>
    <t>A_Revive_3_B</t>
  </si>
  <si>
    <t>enemy_1561_crzjdgeX</t>
  </si>
  <si>
    <t>安纳斯塔西奥，赎罪者（二阶段）</t>
  </si>
  <si>
    <t>enemy_10059_cjgfod</t>
  </si>
  <si>
    <t>cjgfod</t>
  </si>
  <si>
    <t>10059</t>
  </si>
  <si>
    <t>饮啄</t>
  </si>
  <si>
    <t>普通,化物,筷子</t>
  </si>
  <si>
    <t>enemy_10060_cjbfod</t>
  </si>
  <si>
    <t>cjbfod</t>
  </si>
  <si>
    <t>10060</t>
  </si>
  <si>
    <t>无谓</t>
  </si>
  <si>
    <t>enemy_10050_cjmeat</t>
  </si>
  <si>
    <t>cjmeat</t>
  </si>
  <si>
    <t>10050</t>
  </si>
  <si>
    <t>饔</t>
  </si>
  <si>
    <t>enemy_10050_cjmeat_2</t>
  </si>
  <si>
    <t>cjmeat_2</t>
  </si>
  <si>
    <t>飧</t>
  </si>
  <si>
    <t>enemy_10051_cjmag</t>
  </si>
  <si>
    <t>cjmag</t>
  </si>
  <si>
    <t>10051</t>
  </si>
  <si>
    <t>“停箸”</t>
  </si>
  <si>
    <t>enemy_10051_cjmag_2</t>
  </si>
  <si>
    <t>cjmag_2</t>
  </si>
  <si>
    <t>“废食”</t>
  </si>
  <si>
    <t>enemy_10052_cjshld</t>
  </si>
  <si>
    <t>cjshld</t>
  </si>
  <si>
    <t>10052</t>
  </si>
  <si>
    <t>“果腹”</t>
  </si>
  <si>
    <t>enemy_10052_cjshld_2</t>
  </si>
  <si>
    <t>cjshld_2</t>
  </si>
  <si>
    <t>“饱食”</t>
  </si>
  <si>
    <t>enemy_10053_cjman</t>
  </si>
  <si>
    <t>cjman</t>
  </si>
  <si>
    <t>10053</t>
  </si>
  <si>
    <t>丑言</t>
  </si>
  <si>
    <t>enemy_10053_cjman_2</t>
  </si>
  <si>
    <t>cjman_2</t>
  </si>
  <si>
    <t>恶语</t>
  </si>
  <si>
    <t>enemy_10054_cjhot</t>
  </si>
  <si>
    <t>cjhot</t>
  </si>
  <si>
    <t>10054</t>
  </si>
  <si>
    <t>鼎沸</t>
  </si>
  <si>
    <t>精英,化物</t>
  </si>
  <si>
    <t>enemy_10054_cjhot_2</t>
  </si>
  <si>
    <t>cjhot_2</t>
  </si>
  <si>
    <t>飘香</t>
  </si>
  <si>
    <t>enemy_10055_cjgost</t>
  </si>
  <si>
    <t>cjgost</t>
  </si>
  <si>
    <t>10055</t>
  </si>
  <si>
    <t>绸缪</t>
  </si>
  <si>
    <t>精英,化物,不可复活</t>
  </si>
  <si>
    <t>enemy_10055_cjgost_2</t>
  </si>
  <si>
    <t>cjgost_2</t>
  </si>
  <si>
    <t>无患</t>
  </si>
  <si>
    <t>enemy_10056_cjfish</t>
  </si>
  <si>
    <t>cjfish</t>
  </si>
  <si>
    <t>10056</t>
  </si>
  <si>
    <t>“面子”</t>
  </si>
  <si>
    <t>enemy_10056_cjfish_2</t>
  </si>
  <si>
    <t>cjfish_2</t>
  </si>
  <si>
    <t>“里子”</t>
  </si>
  <si>
    <t>enemy_10057_cjstel</t>
  </si>
  <si>
    <t>cjstel</t>
  </si>
  <si>
    <t>10057</t>
  </si>
  <si>
    <t>思旧</t>
  </si>
  <si>
    <t>普通,远程,化物,不可复活</t>
  </si>
  <si>
    <t>Default_a</t>
  </si>
  <si>
    <t>Die_a</t>
  </si>
  <si>
    <t>enemy_10057_cjstel_2</t>
  </si>
  <si>
    <t>cjstel_2</t>
  </si>
  <si>
    <t>念旧</t>
  </si>
  <si>
    <t>enemy_10058_cjfrog</t>
  </si>
  <si>
    <t>cjfrog</t>
  </si>
  <si>
    <t>10058</t>
  </si>
  <si>
    <t>旺财</t>
  </si>
  <si>
    <t>enemy_10058_cjfrog_2</t>
  </si>
  <si>
    <t>cjfrog_2</t>
  </si>
  <si>
    <t>招财</t>
  </si>
  <si>
    <t>enemy_10063_cjdoor</t>
  </si>
  <si>
    <t>cjdoor</t>
  </si>
  <si>
    <t>10063</t>
  </si>
  <si>
    <t>湮没之口</t>
  </si>
  <si>
    <t>普通,化物,不可复活,传送门</t>
  </si>
  <si>
    <t>enemy_10063_cjdoor_2</t>
  </si>
  <si>
    <t>造化之口</t>
  </si>
  <si>
    <t>普通,化物,传送门</t>
  </si>
  <si>
    <t>enemy_1562_cjtaot</t>
  </si>
  <si>
    <t>cjtaot</t>
  </si>
  <si>
    <t>1562</t>
  </si>
  <si>
    <t>无餍</t>
  </si>
  <si>
    <t>领袖,远程.近战,化物,不可复活,无餍</t>
  </si>
  <si>
    <t>enemy_10064_ftyzss</t>
  </si>
  <si>
    <t>ftyzss</t>
  </si>
  <si>
    <t>巡游草叶</t>
  </si>
  <si>
    <t>enemy_10064_ftyzss_2</t>
  </si>
  <si>
    <t>ftyzss_2</t>
  </si>
  <si>
    <t>巡游枯木</t>
  </si>
  <si>
    <t>enemy_10065_ftzlc</t>
  </si>
  <si>
    <t>ftzlc</t>
  </si>
  <si>
    <t>卷心籽</t>
  </si>
  <si>
    <t>近战</t>
  </si>
  <si>
    <t>enemy_10065_ftzlc_2</t>
  </si>
  <si>
    <t>ftzlc_2</t>
  </si>
  <si>
    <t>卷心草</t>
  </si>
  <si>
    <t>enemy_10066_ftxjl</t>
  </si>
  <si>
    <t>ftxjl</t>
  </si>
  <si>
    <t>“巢穴”</t>
  </si>
  <si>
    <t>enemy_10066_ftxjl_2</t>
  </si>
  <si>
    <t>“襁褓”</t>
  </si>
  <si>
    <t>enemy_10067_ftsjc</t>
  </si>
  <si>
    <t>ftsjc</t>
  </si>
  <si>
    <t>灼藤</t>
  </si>
  <si>
    <t>enemy_10067_ftsjc_2</t>
  </si>
  <si>
    <t>ftsjc_2</t>
  </si>
  <si>
    <t>灼芯</t>
  </si>
  <si>
    <t>enemy_10068_ftxsr</t>
  </si>
  <si>
    <t>ftxsr</t>
  </si>
  <si>
    <t>指路芽</t>
  </si>
  <si>
    <t>enemy_10068_ftxsr_2</t>
  </si>
  <si>
    <t>ftxsr_2</t>
  </si>
  <si>
    <t>指路草</t>
  </si>
  <si>
    <t>enemy_10069_ftlsj</t>
  </si>
  <si>
    <t>ftlsj</t>
  </si>
  <si>
    <t>树盾</t>
  </si>
  <si>
    <t>enemy_10069_ftlsj_2</t>
  </si>
  <si>
    <t>ftlsj_2</t>
  </si>
  <si>
    <t>树墙</t>
  </si>
  <si>
    <t>enemy_10070_ftkbtt</t>
  </si>
  <si>
    <t>ftkbtt</t>
  </si>
  <si>
    <t>灰烬造物</t>
  </si>
  <si>
    <t>enemy_10070_ftkbtt_2</t>
  </si>
  <si>
    <t>ftkbtt_2</t>
  </si>
  <si>
    <t>灰烬艺术品</t>
  </si>
  <si>
    <t>enemy_10071_ftprg</t>
  </si>
  <si>
    <t>ftprg</t>
  </si>
  <si>
    <t>“终点”</t>
  </si>
  <si>
    <t>enemy_10071_ftprg_2</t>
  </si>
  <si>
    <t>ftprg_2</t>
  </si>
  <si>
    <t>“中点”</t>
  </si>
  <si>
    <t>enemy_1563_fthlgj</t>
  </si>
  <si>
    <t>fthlgj</t>
  </si>
  <si>
    <t>“万火归一”</t>
  </si>
  <si>
    <t>A_Die_Start</t>
  </si>
  <si>
    <t>enemy_10073_mpcar</t>
  </si>
  <si>
    <t>mpcar</t>
  </si>
  <si>
    <t>迷茫的修理小助手</t>
  </si>
  <si>
    <t>enemy_10073_mpcar_2</t>
  </si>
  <si>
    <t>mpcar_2</t>
  </si>
  <si>
    <t>失控的修理小助手</t>
  </si>
  <si>
    <t>enemy_10074_mpcata</t>
  </si>
  <si>
    <t>mpcata</t>
  </si>
  <si>
    <t>冰镇饮料机</t>
  </si>
  <si>
    <t>enemy_10074_mpcata_2</t>
  </si>
  <si>
    <t>mpcata_2</t>
  </si>
  <si>
    <t>加热饮料机</t>
  </si>
  <si>
    <t>enemy_10075_mpwrj</t>
  </si>
  <si>
    <t>mpwrj</t>
  </si>
  <si>
    <t>无忧货运帮手</t>
  </si>
  <si>
    <t>enemy_10075_mpwrj_2</t>
  </si>
  <si>
    <t>mpwrj_2</t>
  </si>
  <si>
    <t>防爆货运帮手</t>
  </si>
  <si>
    <t>enemy_10076_mpgrou</t>
  </si>
  <si>
    <t>mpgrou</t>
  </si>
  <si>
    <t>“寒灾回响”</t>
  </si>
  <si>
    <t>enemy_10076_mpgrou_2</t>
  </si>
  <si>
    <t>mpgrou_2</t>
  </si>
  <si>
    <t>“风雪中的影子”</t>
  </si>
  <si>
    <t>enemy_10077_mpbarr</t>
  </si>
  <si>
    <t>mpbarr</t>
  </si>
  <si>
    <t>内测版自助出餐终端</t>
  </si>
  <si>
    <t>enemy_10077_mpbarr_2</t>
  </si>
  <si>
    <t>mpbarr_2</t>
  </si>
  <si>
    <t>自助出餐终端原型机</t>
  </si>
  <si>
    <t>enemy_10078_mprein</t>
  </si>
  <si>
    <t>mprein</t>
  </si>
  <si>
    <t>固化源石巨像</t>
  </si>
  <si>
    <t>enemy_10078_mprein_2</t>
  </si>
  <si>
    <t>mprein_2</t>
  </si>
  <si>
    <t>活性源石巨像</t>
  </si>
  <si>
    <t>enemy_10079_mpmage</t>
  </si>
  <si>
    <t>mpmage</t>
  </si>
  <si>
    <t>稳定态萨卡兹术师结晶</t>
  </si>
  <si>
    <t>enemy_10079_mpmage_2</t>
  </si>
  <si>
    <t>mpmage_2</t>
  </si>
  <si>
    <t>活性态萨卡兹术师结晶</t>
  </si>
  <si>
    <t>enemy_10080_mpiced</t>
  </si>
  <si>
    <t>mpiced</t>
  </si>
  <si>
    <t>静滞虚幻·α</t>
  </si>
  <si>
    <t>enemy_10080_mpiced_2</t>
  </si>
  <si>
    <t>mpiced_2</t>
  </si>
  <si>
    <t>静滞虚幻·β</t>
  </si>
  <si>
    <t>enemy_10081_mpplai</t>
  </si>
  <si>
    <t>mpplai</t>
  </si>
  <si>
    <t>转译基底·α</t>
  </si>
  <si>
    <t>enemy_10081_mpplai_2</t>
  </si>
  <si>
    <t>mpplai_2</t>
  </si>
  <si>
    <t>转译基底·β</t>
  </si>
  <si>
    <t>enemy_10083_hlbird</t>
  </si>
  <si>
    <t>hlbird</t>
  </si>
  <si>
    <t>“萨科塔之翼”</t>
  </si>
  <si>
    <t>enemy_10083_hlbird_2</t>
  </si>
  <si>
    <t>hlbird_2</t>
  </si>
  <si>
    <t>“萨科塔展翅”</t>
  </si>
  <si>
    <t>enemy_10084_hlegle</t>
  </si>
  <si>
    <t>hlegle</t>
  </si>
  <si>
    <t>“萨科塔之眼”</t>
  </si>
  <si>
    <t>enemy_10084_hlegle_2</t>
  </si>
  <si>
    <t>hlegle_2</t>
  </si>
  <si>
    <t>“萨科塔见证”</t>
  </si>
  <si>
    <t>enemy_10085_hllevi</t>
  </si>
  <si>
    <t>hllevi</t>
  </si>
  <si>
    <t>“萨科塔之鳍”</t>
  </si>
  <si>
    <t>enemy_10085_hllevi_2</t>
  </si>
  <si>
    <t>hllevi_2</t>
  </si>
  <si>
    <t>“萨科塔昂首”</t>
  </si>
  <si>
    <t>enemy_10086_hltigr</t>
  </si>
  <si>
    <t>hltigr</t>
  </si>
  <si>
    <t>“萨科塔之爪”</t>
  </si>
  <si>
    <t>enemy_10086_hltigr_2</t>
  </si>
  <si>
    <t>hltigr_2</t>
  </si>
  <si>
    <t>“萨科塔匍匐”</t>
  </si>
  <si>
    <t>enemy_10087_hlchgr</t>
  </si>
  <si>
    <t>hlchgr</t>
  </si>
  <si>
    <t>圣堂剑士</t>
  </si>
  <si>
    <t>enemy_10087_hlchgr_2</t>
  </si>
  <si>
    <t>hlchgr_2</t>
  </si>
  <si>
    <t>精锐圣堂剑士</t>
  </si>
  <si>
    <t>enemy_10088_hlsnip</t>
  </si>
  <si>
    <t>hlsnip</t>
  </si>
  <si>
    <t>圣堂射手</t>
  </si>
  <si>
    <t>enemy_10088_hlsnip_2</t>
  </si>
  <si>
    <t>hlsnip_2</t>
  </si>
  <si>
    <t>精锐圣堂射手</t>
  </si>
  <si>
    <t>enemy_10089_hlsprt</t>
  </si>
  <si>
    <t>hlsprt</t>
  </si>
  <si>
    <t>圣堂保育员</t>
  </si>
  <si>
    <t>enemy_10089_hlsprt_2</t>
  </si>
  <si>
    <t>hlsprt_2</t>
  </si>
  <si>
    <t>资深圣堂保育员</t>
  </si>
  <si>
    <t>enemy_10090_hlgrd</t>
  </si>
  <si>
    <t>hlgrd</t>
  </si>
  <si>
    <t>圣堂布道员</t>
  </si>
  <si>
    <t>enemy_10090_hlgrd_2</t>
  </si>
  <si>
    <t>hlgrd_2</t>
  </si>
  <si>
    <t>资深圣堂布道员</t>
  </si>
  <si>
    <t>enemy_10091_hlsttu</t>
  </si>
  <si>
    <t>hlsttu</t>
  </si>
  <si>
    <t>圣徒像</t>
  </si>
  <si>
    <t>enemy_10091_hlsttu_2</t>
  </si>
  <si>
    <t>hlsttu_2</t>
  </si>
  <si>
    <t>圣徒祈祷像</t>
  </si>
  <si>
    <t>enemy_10091_hlsttu_3</t>
  </si>
  <si>
    <t>hlsttu_3</t>
  </si>
  <si>
    <t>“牧首”</t>
  </si>
  <si>
    <t>enemy_1567_pope</t>
  </si>
  <si>
    <t>pope</t>
  </si>
  <si>
    <t>“圣徒”</t>
  </si>
  <si>
    <t>A_Revive_1</t>
  </si>
  <si>
    <t>enemy_10094_crstf</t>
  </si>
  <si>
    <t>crstf</t>
  </si>
  <si>
    <t>临时收音师</t>
  </si>
  <si>
    <t>enemy_10094_crstf_2</t>
  </si>
  <si>
    <t>crstf_2</t>
  </si>
  <si>
    <t>执拗的收音师</t>
  </si>
  <si>
    <t>enemy_10095_crgst</t>
  </si>
  <si>
    <t>crgst</t>
  </si>
  <si>
    <t>加戏群演</t>
  </si>
  <si>
    <t>enemy_10095_crgst_2</t>
  </si>
  <si>
    <t>crgst_2</t>
  </si>
  <si>
    <t>沉浸艺术的群演</t>
  </si>
  <si>
    <t>enemy_10096_crprp</t>
  </si>
  <si>
    <t>crprp</t>
  </si>
  <si>
    <t>疲倦道具师</t>
  </si>
  <si>
    <t>enemy_10096_crprp_2</t>
  </si>
  <si>
    <t>crprp_2</t>
  </si>
  <si>
    <t>渴求瞩目的道具师</t>
  </si>
  <si>
    <t>enemy_10097_crshd</t>
  </si>
  <si>
    <t>crshd</t>
  </si>
  <si>
    <t>心虚设计师</t>
  </si>
  <si>
    <t>enemy_10097_crshd_2</t>
  </si>
  <si>
    <t>crshd_2</t>
  </si>
  <si>
    <t>顺从内心的设计师</t>
  </si>
  <si>
    <t>enemy_10098_crhro</t>
  </si>
  <si>
    <t>crhro</t>
  </si>
  <si>
    <t>主角阵营角色</t>
  </si>
  <si>
    <t>enemy_10098_crhro_2</t>
  </si>
  <si>
    <t>crhro_2</t>
  </si>
  <si>
    <t>命定的主角</t>
  </si>
  <si>
    <t>enemy_10099_crvln</t>
  </si>
  <si>
    <t>crvln</t>
  </si>
  <si>
    <t>反派阵营角色</t>
  </si>
  <si>
    <t>enemy_10099_crvln_2</t>
  </si>
  <si>
    <t>crvln_2</t>
  </si>
  <si>
    <t>命定的反派</t>
  </si>
  <si>
    <t>enemy_10100_crrol</t>
  </si>
  <si>
    <t>crrol</t>
  </si>
  <si>
    <t>灵活假人</t>
  </si>
  <si>
    <t>enemy_10100_crrol_2</t>
  </si>
  <si>
    <t>crrol_2</t>
  </si>
  <si>
    <t>意识自由的假人</t>
  </si>
  <si>
    <t>enemy_10101_crgun</t>
  </si>
  <si>
    <t>crgun</t>
  </si>
  <si>
    <t>不满摄影师</t>
  </si>
  <si>
    <t>enemy_10101_crgun_2</t>
  </si>
  <si>
    <t>crgun_2</t>
  </si>
  <si>
    <t>宣泄暴力的摄影师</t>
  </si>
  <si>
    <t>enemy_1568_dirctr</t>
  </si>
  <si>
    <t>dirctr</t>
  </si>
  <si>
    <t>“酒神”</t>
  </si>
  <si>
    <t>enemy_10103_mjcppp</t>
  </si>
  <si>
    <t>mjcppp</t>
  </si>
  <si>
    <t>浅睡的臼齿</t>
  </si>
  <si>
    <t>enemy_10103_mjcppp_2</t>
  </si>
  <si>
    <t>mjcppp_2</t>
  </si>
  <si>
    <t>沉睡的臼齿</t>
  </si>
  <si>
    <t>enemy_10104_mjcbln</t>
  </si>
  <si>
    <t>mjcbln</t>
  </si>
  <si>
    <t>布景小丑</t>
  </si>
  <si>
    <t>enemy_10104_mjcbln_2</t>
  </si>
  <si>
    <t>mjcbln_2</t>
  </si>
  <si>
    <t>布景大师</t>
  </si>
  <si>
    <t>enemy_10105_mjcdol</t>
  </si>
  <si>
    <t>mjcdol</t>
  </si>
  <si>
    <t>发条仆从</t>
  </si>
  <si>
    <t>enemy_10106_mjcbat</t>
  </si>
  <si>
    <t>mjcbat</t>
  </si>
  <si>
    <t>玩耍的卡尔顿</t>
  </si>
  <si>
    <t>enemy_10106_mjcbat_2</t>
  </si>
  <si>
    <t>mjcbat_2</t>
  </si>
  <si>
    <t>欢快的卡尔顿</t>
  </si>
  <si>
    <t>enemy_10107_mjcdog</t>
  </si>
  <si>
    <t>mjcdog</t>
  </si>
  <si>
    <t>安眠伴随兽</t>
  </si>
  <si>
    <t>enemy_10107_mjcdog_2</t>
  </si>
  <si>
    <t>mjcdog_2</t>
  </si>
  <si>
    <t>沉眠伴随兽</t>
  </si>
  <si>
    <t>enemy_10108_mjclun</t>
  </si>
  <si>
    <t>mjclun</t>
  </si>
  <si>
    <t>梦游管家</t>
  </si>
  <si>
    <t>enemy_10108_mjclun_2</t>
  </si>
  <si>
    <t>mjclun_2</t>
  </si>
  <si>
    <t>梦游大总管</t>
  </si>
  <si>
    <t>enemy_10109_mjcgst</t>
  </si>
  <si>
    <t>mjcgst</t>
  </si>
  <si>
    <t>沃尔夫之影</t>
  </si>
  <si>
    <t>enemy_10109_mjcgst_2</t>
  </si>
  <si>
    <t>mjcgst_2</t>
  </si>
  <si>
    <t>沃尔夫幽影</t>
  </si>
  <si>
    <t>enemy_10110_mjcsdw</t>
  </si>
  <si>
    <t>mjcsdw</t>
  </si>
  <si>
    <t>“破茧之梦”</t>
  </si>
  <si>
    <t>enemy_10110_mjcsdw_2</t>
  </si>
  <si>
    <t>mjcsdw_2</t>
  </si>
  <si>
    <t>“羽化之梦”</t>
  </si>
  <si>
    <t>enemy_1569_ldevil</t>
  </si>
  <si>
    <t>ldevil</t>
  </si>
  <si>
    <t>莫菲丝</t>
  </si>
  <si>
    <t>enemy_10111_ymgpck</t>
  </si>
  <si>
    <t>ymgpck</t>
  </si>
  <si>
    <t>“某种天命”</t>
  </si>
  <si>
    <t>enemy_10112_ymgds</t>
  </si>
  <si>
    <t>ymgds</t>
  </si>
  <si>
    <t>冒失的小弟</t>
  </si>
  <si>
    <t>enemy_10112_ymgds_2</t>
  </si>
  <si>
    <t>ymgds_2</t>
  </si>
  <si>
    <t>资深的小弟</t>
  </si>
  <si>
    <t>enemy_10113_ymgung</t>
  </si>
  <si>
    <t>ymgung</t>
  </si>
  <si>
    <t>雷遁忍者</t>
  </si>
  <si>
    <t>enemy_10113_ymgung_2</t>
  </si>
  <si>
    <t>ymgung_2</t>
  </si>
  <si>
    <t>雷遁宗师</t>
  </si>
  <si>
    <t>enemy_10114_ymgsld</t>
  </si>
  <si>
    <t>ymgsld</t>
  </si>
  <si>
    <t>悲观的大哥</t>
  </si>
  <si>
    <t>enemy_10114_ymgsld_2</t>
  </si>
  <si>
    <t>ymgsld_2</t>
  </si>
  <si>
    <t>绝望的大哥</t>
  </si>
  <si>
    <t>enemy_10115_ymghol</t>
  </si>
  <si>
    <t>ymghol</t>
  </si>
  <si>
    <t>土遁忍者</t>
  </si>
  <si>
    <t>enemy_10115_ymghol_2</t>
  </si>
  <si>
    <t>ymghol_2</t>
  </si>
  <si>
    <t>土遁宗师</t>
  </si>
  <si>
    <t>enemy_10116_ymgtop</t>
  </si>
  <si>
    <t>ymgtop</t>
  </si>
  <si>
    <t>水遁忍者</t>
  </si>
  <si>
    <t>enemy_10116_ymgtop_2</t>
  </si>
  <si>
    <t>ymgtop_2</t>
  </si>
  <si>
    <t>水遁宗师</t>
  </si>
  <si>
    <t>enemy_10117_ymggld</t>
  </si>
  <si>
    <t>ymggld</t>
  </si>
  <si>
    <t>风遁忍者</t>
  </si>
  <si>
    <t>enemy_10117_ymggld_2</t>
  </si>
  <si>
    <t>ymggld_2</t>
  </si>
  <si>
    <t>风遁宗师</t>
  </si>
  <si>
    <t>enemy_10118_ymgprc</t>
  </si>
  <si>
    <t>ymgprc</t>
  </si>
  <si>
    <t>澪</t>
  </si>
  <si>
    <t>enemy_10119_ymgbxm</t>
  </si>
  <si>
    <t>ymgbxm</t>
  </si>
  <si>
    <t>压力舒缓帮手</t>
  </si>
  <si>
    <t>enemy_10119_ymgbxm_2</t>
  </si>
  <si>
    <t>ymgbxm_2</t>
  </si>
  <si>
    <t>压力归零帮手</t>
  </si>
  <si>
    <t>enemy_1570_ymgscm</t>
  </si>
  <si>
    <t>ymgscm</t>
  </si>
  <si>
    <t>三船光平</t>
  </si>
  <si>
    <t>enemy_10120_uaghst</t>
  </si>
  <si>
    <t>uaghst</t>
  </si>
  <si>
    <t>集团军潜行兵</t>
  </si>
  <si>
    <t>enemy_10120_uaghst_2</t>
  </si>
  <si>
    <t>uaghst_2</t>
  </si>
  <si>
    <t>集团军幽灵兵</t>
  </si>
  <si>
    <t>enemy_10121_uasnip</t>
  </si>
  <si>
    <t>uasnip</t>
  </si>
  <si>
    <t>集团军机动弩手</t>
  </si>
  <si>
    <t>enemy_10121_uasnip_2</t>
  </si>
  <si>
    <t>uasnip_2</t>
  </si>
  <si>
    <t>集团军精锐弩手</t>
  </si>
  <si>
    <t>enemy_10122_uacann</t>
  </si>
  <si>
    <t>uacann</t>
  </si>
  <si>
    <t>集团军轻型火炮</t>
  </si>
  <si>
    <t>enemy_10122_uacann_2</t>
  </si>
  <si>
    <t>uacann_2</t>
  </si>
  <si>
    <t>集团军重型火炮</t>
  </si>
  <si>
    <t>enemy_10123_uareap</t>
  </si>
  <si>
    <t>uareap</t>
  </si>
  <si>
    <t>破城者</t>
  </si>
  <si>
    <t>enemy_10123_uareap_2</t>
  </si>
  <si>
    <t>uareap_2</t>
  </si>
  <si>
    <t>破城者·Ⅱ型</t>
  </si>
  <si>
    <t>enemy_10124_uashld</t>
  </si>
  <si>
    <t>uashld</t>
  </si>
  <si>
    <t>集团军盾卫</t>
  </si>
  <si>
    <t>enemy_10124_uashld_2</t>
  </si>
  <si>
    <t>uashld_2</t>
  </si>
  <si>
    <t>集团军中坚盾卫</t>
  </si>
  <si>
    <t>enemy_10125_uacomd</t>
  </si>
  <si>
    <t>uacomd</t>
  </si>
  <si>
    <t>集团军前线指挥员</t>
  </si>
  <si>
    <t>enemy_10125_uacomd_2</t>
  </si>
  <si>
    <t>uacomd_2</t>
  </si>
  <si>
    <t>集团军核心指挥官</t>
  </si>
  <si>
    <t>enemy_10126_rkbomb</t>
  </si>
  <si>
    <t>rkbomb</t>
  </si>
  <si>
    <t>异质源石虫</t>
  </si>
  <si>
    <t>enemy_10126_rkbomb_2</t>
  </si>
  <si>
    <t>rkbomb_2</t>
  </si>
  <si>
    <t>异质源石虫·α</t>
  </si>
  <si>
    <t>enemy_10127_rkmbst</t>
  </si>
  <si>
    <t>rkmbst</t>
  </si>
  <si>
    <t>异质裂兽</t>
  </si>
  <si>
    <t>enemy_10127_rkmbst_2</t>
  </si>
  <si>
    <t>rkmbst_2</t>
  </si>
  <si>
    <t>异质裂兽·α</t>
  </si>
  <si>
    <t>enemy_10128_fearpj</t>
  </si>
  <si>
    <t>fearpj</t>
  </si>
  <si>
    <t>“惘核”</t>
  </si>
  <si>
    <t>enemy_1571_mirbst</t>
  </si>
  <si>
    <t>mirbst</t>
  </si>
  <si>
    <t>狂躁异质裂兽</t>
  </si>
  <si>
    <t>enemy_1572_folchr</t>
  </si>
  <si>
    <t>folchr</t>
  </si>
  <si>
    <t>圣愚</t>
  </si>
  <si>
    <t>enemy_10138_xdsnow</t>
  </si>
  <si>
    <t>xdsnow</t>
  </si>
  <si>
    <t>雪孩子</t>
  </si>
  <si>
    <t>enemy_10138_xdsnow_2</t>
  </si>
  <si>
    <t>xdsnow_2</t>
  </si>
  <si>
    <t>雪顽童</t>
  </si>
  <si>
    <t>enemy_10139_xdseal</t>
  </si>
  <si>
    <t>xdseal</t>
  </si>
  <si>
    <t>蓬松雪球</t>
  </si>
  <si>
    <t>enemy_10139_xdseal_2</t>
  </si>
  <si>
    <t>xdseal_2</t>
  </si>
  <si>
    <t>夜色雪球</t>
  </si>
  <si>
    <t>enemy_10140_xdbird</t>
  </si>
  <si>
    <t>xdbird</t>
  </si>
  <si>
    <t>洞栖雪灵</t>
  </si>
  <si>
    <t>enemy_10140_xdbird_2</t>
  </si>
  <si>
    <t>xdbird_2</t>
  </si>
  <si>
    <t>山谷雪灵</t>
  </si>
  <si>
    <t>enemy_10141_xdpeng</t>
  </si>
  <si>
    <t>xdpeng</t>
  </si>
  <si>
    <t>抱蛋羽兽</t>
  </si>
  <si>
    <t>enemy_10141_xdpeng_2</t>
  </si>
  <si>
    <t>xdpeng_2</t>
  </si>
  <si>
    <t>拥霜羽兽</t>
  </si>
  <si>
    <t>enemy_10142_xdturt</t>
  </si>
  <si>
    <t>xdturt</t>
  </si>
  <si>
    <t>翻身甲</t>
  </si>
  <si>
    <t>enemy_10142_xdturt_2</t>
  </si>
  <si>
    <t>xdturt_2</t>
  </si>
  <si>
    <t>坚冰翻身甲</t>
  </si>
  <si>
    <t>enemy_10143_xdmush</t>
  </si>
  <si>
    <t>xdmush</t>
  </si>
  <si>
    <t>小雪伞</t>
  </si>
  <si>
    <t>enemy_10143_xdmush_2</t>
  </si>
  <si>
    <t>xdmush_2</t>
  </si>
  <si>
    <t>焕生雪伞</t>
  </si>
  <si>
    <t>enemy_10144_xdelk</t>
  </si>
  <si>
    <t>xdelk</t>
  </si>
  <si>
    <t>巨角卢鲁</t>
  </si>
  <si>
    <t>enemy_10144_xdelk_2</t>
  </si>
  <si>
    <t>xdelk_2</t>
  </si>
  <si>
    <t>乌顶巨角卢鲁</t>
  </si>
  <si>
    <t>enemy_10145_xdrock</t>
  </si>
  <si>
    <t>xdrock</t>
  </si>
  <si>
    <t>伊斯贝塔</t>
  </si>
  <si>
    <t>enemy_10145_xdrock_2</t>
  </si>
  <si>
    <t>xdrock_2</t>
  </si>
  <si>
    <t>斯托斯贝塔</t>
  </si>
  <si>
    <t>enemy_1574_xdagt</t>
  </si>
  <si>
    <t>xdagt</t>
  </si>
  <si>
    <t>披挂冰雪的少女</t>
  </si>
  <si>
    <t>enemy_1576_spbell</t>
  </si>
  <si>
    <t>spbell</t>
  </si>
  <si>
    <t>喀兰圣女</t>
  </si>
  <si>
    <t>Die_Begin</t>
  </si>
  <si>
    <t>enemy_10146_nscola</t>
  </si>
  <si>
    <t>nscola</t>
  </si>
  <si>
    <t>开天汽水瓶</t>
  </si>
  <si>
    <t>通用敌方近战攻击,穿刺手加速</t>
  </si>
  <si>
    <t>enemy_10146_nscola_2</t>
  </si>
  <si>
    <t>nscola_2</t>
  </si>
  <si>
    <t>开天汽水瓶·酸辣味</t>
  </si>
  <si>
    <t>enemy_10147_nsbomb</t>
  </si>
  <si>
    <t>nsbomb</t>
  </si>
  <si>
    <t>遮天面包机</t>
  </si>
  <si>
    <t>enemy_10147_nsbomb_2</t>
  </si>
  <si>
    <t>nsbomb_2</t>
  </si>
  <si>
    <t>遮天面包机·果酱款</t>
  </si>
  <si>
    <t>enemy_10148_nsmos</t>
  </si>
  <si>
    <t>nsmos</t>
  </si>
  <si>
    <t>啸天吸尘器</t>
  </si>
  <si>
    <t>enemy_10148_nsmos_2</t>
  </si>
  <si>
    <t>nsmos_2</t>
  </si>
  <si>
    <t>啸天吸尘器·大力版</t>
  </si>
  <si>
    <t>enemy_10149_nscan</t>
  </si>
  <si>
    <t>nscan</t>
  </si>
  <si>
    <t>掀天汽水桶</t>
  </si>
  <si>
    <t>enemy_10149_nscan_2</t>
  </si>
  <si>
    <t>nscan_2</t>
  </si>
  <si>
    <t>掀天汽水桶·家庭装</t>
  </si>
  <si>
    <t>enemy_10150_nsheat</t>
  </si>
  <si>
    <t>nsheat</t>
  </si>
  <si>
    <t>炙烤螺旋桨</t>
  </si>
  <si>
    <t>enemy_10150_nsheat_2</t>
  </si>
  <si>
    <t>nsheat_2</t>
  </si>
  <si>
    <t>焦香螺旋桨</t>
  </si>
  <si>
    <t>enemy_10151_nspace</t>
  </si>
  <si>
    <t>nspace</t>
  </si>
  <si>
    <t>行天卫生间</t>
  </si>
  <si>
    <t>enemy_10151_nspace_2</t>
  </si>
  <si>
    <t>nspace_2</t>
  </si>
  <si>
    <t>行天救护车</t>
  </si>
  <si>
    <t>enemy_10152_nstree</t>
  </si>
  <si>
    <t>nstree</t>
  </si>
  <si>
    <t>“自由的树”</t>
  </si>
  <si>
    <t>enemy_10152_nstree_2</t>
  </si>
  <si>
    <t>nstree_2</t>
  </si>
  <si>
    <t>“逐日的树”</t>
  </si>
  <si>
    <t>enemy_10153_nsblon</t>
  </si>
  <si>
    <t>nsblon</t>
  </si>
  <si>
    <t>热气球</t>
  </si>
  <si>
    <t>enemy_10153_nsblon_2</t>
  </si>
  <si>
    <t>nsblon_2</t>
  </si>
  <si>
    <t>强力热气球</t>
  </si>
  <si>
    <t>enemy_1579_nstmom</t>
  </si>
  <si>
    <t>nstmom</t>
  </si>
  <si>
    <t>女妖河谷的拂哀菈</t>
  </si>
  <si>
    <t>enemy_10154_mnmblx</t>
  </si>
  <si>
    <t>mnmblx</t>
  </si>
  <si>
    <t>“英雄的呼唤”</t>
  </si>
  <si>
    <t>enemy_10155_mntjsd</t>
  </si>
  <si>
    <t>mntjsd</t>
  </si>
  <si>
    <t>投矛的士兵</t>
  </si>
  <si>
    <t>enemy_10155_mntjsd_2</t>
  </si>
  <si>
    <t>mntjsd_2</t>
  </si>
  <si>
    <t>投矛的勇士</t>
  </si>
  <si>
    <t>enemy_10156_mncrer</t>
  </si>
  <si>
    <t>mncrer</t>
  </si>
  <si>
    <t>新手祭司学徒</t>
  </si>
  <si>
    <t>enemy_10156_mncrer_2</t>
  </si>
  <si>
    <t>mncrer_2</t>
  </si>
  <si>
    <t>见习祭司学徒</t>
  </si>
  <si>
    <t>enemy_10157_mnggyl</t>
  </si>
  <si>
    <t>mnggyl</t>
  </si>
  <si>
    <t>疑问的雕像</t>
  </si>
  <si>
    <t>enemy_10157_mnggyl_2</t>
  </si>
  <si>
    <t>mnggyl_2</t>
  </si>
  <si>
    <t>失望的雕像</t>
  </si>
  <si>
    <t>enemy_10158_mnzeno</t>
  </si>
  <si>
    <t>mnzeno</t>
  </si>
  <si>
    <t>小跑的斐迪庇第斯</t>
  </si>
  <si>
    <t>enemy_10158_mnzeno_2</t>
  </si>
  <si>
    <t>mnzeno_2</t>
  </si>
  <si>
    <t>狂奔的斐迪庇第斯</t>
  </si>
  <si>
    <t>enemy_10159_mntrjn</t>
  </si>
  <si>
    <t>mntrjn</t>
  </si>
  <si>
    <t>伊利昂的木驮兽</t>
  </si>
  <si>
    <t>enemy_10159_mntrjn_2</t>
  </si>
  <si>
    <t>mntrjn_2</t>
  </si>
  <si>
    <t>伊利昂的铁驮兽</t>
  </si>
  <si>
    <t>enemy_10160_mnlaur</t>
  </si>
  <si>
    <t>mnlaur</t>
  </si>
  <si>
    <t>传唱喜剧的诗人</t>
  </si>
  <si>
    <t>enemy_10160_mnlaur_2</t>
  </si>
  <si>
    <t>mnlaur_2</t>
  </si>
  <si>
    <t>传唱悲剧的诗人</t>
  </si>
  <si>
    <t>enemy_10161_mnserv</t>
  </si>
  <si>
    <t>mnserv</t>
  </si>
  <si>
    <t>英雄的理想</t>
  </si>
  <si>
    <t>enemy_10161_mnserv_2</t>
  </si>
  <si>
    <t>mnserv_2</t>
  </si>
  <si>
    <t>英雄的气概</t>
  </si>
  <si>
    <t>enemy_10162_mnctpt</t>
  </si>
  <si>
    <t>mnctpt</t>
  </si>
  <si>
    <t>自制投石机</t>
  </si>
  <si>
    <t>enemy_10162_mnctpt_2</t>
  </si>
  <si>
    <t>mnctpt_2</t>
  </si>
  <si>
    <t>翻新投石机</t>
  </si>
  <si>
    <t>enemy_10163_mnctur</t>
  </si>
  <si>
    <t>mnctur</t>
  </si>
  <si>
    <t>帕拉杜利斯</t>
  </si>
  <si>
    <t>enemy_10163_mnctur_2</t>
  </si>
  <si>
    <t>mnctur_2</t>
  </si>
  <si>
    <t>神勇的帕拉杜利斯</t>
  </si>
  <si>
    <t>enemy_1580_mnchrn</t>
  </si>
  <si>
    <t>mnchrn</t>
  </si>
  <si>
    <t>赞索斯，复仇者</t>
  </si>
  <si>
    <t>enemy_1581_mnchrs</t>
  </si>
  <si>
    <t>mnchrs</t>
  </si>
  <si>
    <t>“无数的伊萨科斯”</t>
  </si>
  <si>
    <t>enemy_10164_tjgxb</t>
  </si>
  <si>
    <t>tjgxb</t>
  </si>
  <si>
    <t>操戈</t>
  </si>
  <si>
    <t>enemy_10164_tjgxb_2</t>
  </si>
  <si>
    <t>tjgxb_2</t>
  </si>
  <si>
    <t>操戈·凌</t>
  </si>
  <si>
    <t>enemy_10165_tjggb</t>
  </si>
  <si>
    <t>tjggb</t>
  </si>
  <si>
    <t>挽弓</t>
  </si>
  <si>
    <t>enemy_10165_tjggb_2</t>
  </si>
  <si>
    <t>tjggb_2</t>
  </si>
  <si>
    <t>挽弓·鸣</t>
  </si>
  <si>
    <t>enemy_10166_tjgdlb</t>
  </si>
  <si>
    <t>tjgdlb</t>
  </si>
  <si>
    <t>拔山</t>
  </si>
  <si>
    <t>enemy_10166_tjgdlb_2</t>
  </si>
  <si>
    <t>tjgdlb_2</t>
  </si>
  <si>
    <t>拔山·盖</t>
  </si>
  <si>
    <t>enemy_10167_tjgsfj</t>
  </si>
  <si>
    <t>tjgsfj</t>
  </si>
  <si>
    <t>挟潮</t>
  </si>
  <si>
    <t>Black_Default</t>
  </si>
  <si>
    <t>Black_Idle</t>
  </si>
  <si>
    <t>Black_Move</t>
  </si>
  <si>
    <t>Black_Die</t>
  </si>
  <si>
    <t>enemy_10167_tjgsfj_2</t>
  </si>
  <si>
    <t>tjgsfj_2</t>
  </si>
  <si>
    <t>挟潮·来</t>
  </si>
  <si>
    <t>扶潮</t>
  </si>
  <si>
    <t>White_Default</t>
  </si>
  <si>
    <t>White_Idle</t>
  </si>
  <si>
    <t>White_Move</t>
  </si>
  <si>
    <t>White_Die</t>
  </si>
  <si>
    <t>扶潮·归</t>
  </si>
  <si>
    <t>enemy_10168_tjgly</t>
  </si>
  <si>
    <t>tjgly</t>
  </si>
  <si>
    <t>浪里玄条</t>
  </si>
  <si>
    <t>enemy_10168_tjgly_2</t>
  </si>
  <si>
    <t>tjgly_2</t>
  </si>
  <si>
    <t>浪里玄条·锈</t>
  </si>
  <si>
    <t>enemy_10169_tjgtsz</t>
  </si>
  <si>
    <t>tjgtsz</t>
  </si>
  <si>
    <t>云中墨贼</t>
  </si>
  <si>
    <t>enemy_10169_tjgtsz_2</t>
  </si>
  <si>
    <t>tjgtsz_2</t>
  </si>
  <si>
    <t>云中墨贼·蚀</t>
  </si>
  <si>
    <t>enemy_10170_wangz</t>
  </si>
  <si>
    <t>wangz</t>
  </si>
  <si>
    <t>霜劫</t>
  </si>
  <si>
    <t>enemy_10170_wangz_2</t>
  </si>
  <si>
    <t>wangz_2</t>
  </si>
  <si>
    <t>霜劫·争</t>
  </si>
  <si>
    <t>enemy_10171_ssttz</t>
  </si>
  <si>
    <t>ssttz</t>
  </si>
  <si>
    <t>椿</t>
  </si>
  <si>
    <t>enemy_10172_sheart</t>
  </si>
  <si>
    <t>sheart</t>
  </si>
  <si>
    <t>“未熄”</t>
  </si>
  <si>
    <t>enemy_3012_tjgcb</t>
  </si>
  <si>
    <t>tjgcb</t>
  </si>
  <si>
    <t>饷事</t>
  </si>
  <si>
    <t>通用敌方近战攻击,平民不可阻挡</t>
  </si>
  <si>
    <t>enemy_3013_tjglb</t>
  </si>
  <si>
    <t>tjglb</t>
  </si>
  <si>
    <t>炊事</t>
  </si>
  <si>
    <t>enemy_3014_wangw</t>
  </si>
  <si>
    <t>wangw</t>
  </si>
  <si>
    <t>“执白者”</t>
  </si>
  <si>
    <t>enemy_10193_ubhh</t>
  </si>
  <si>
    <t>ubhh</t>
  </si>
  <si>
    <t>撬棍巡逻者</t>
  </si>
  <si>
    <t>enemy_10193_ubhh_2</t>
  </si>
  <si>
    <t>ubhh_2</t>
  </si>
  <si>
    <t>撬棍追捕者</t>
  </si>
  <si>
    <t>enemy_10194_ubdg</t>
  </si>
  <si>
    <t>ubdg</t>
  </si>
  <si>
    <t>玻璃窗粉碎者</t>
  </si>
  <si>
    <t>enemy_10194_ubdg_2</t>
  </si>
  <si>
    <t>ubdg_2</t>
  </si>
  <si>
    <t>玻璃窗毁灭者</t>
  </si>
  <si>
    <t>enemy_10195_ubsb</t>
  </si>
  <si>
    <t>ubsb</t>
  </si>
  <si>
    <t>强光恐吓者</t>
  </si>
  <si>
    <t>enemy_10195_ubsb_2</t>
  </si>
  <si>
    <t>ubsb_2</t>
  </si>
  <si>
    <t>强光监管者</t>
  </si>
  <si>
    <t>enemy_10196_ubba</t>
  </si>
  <si>
    <t>ubba</t>
  </si>
  <si>
    <t>搏命养家者</t>
  </si>
  <si>
    <t>enemy_10196_ubba_2</t>
  </si>
  <si>
    <t>ubba_2</t>
  </si>
  <si>
    <t>搏命享受者</t>
  </si>
  <si>
    <t>enemy_10197_ublyb</t>
  </si>
  <si>
    <t>ublyb</t>
  </si>
  <si>
    <t>酗酒滋事者</t>
  </si>
  <si>
    <t>enemy_10197_ublyb_2</t>
  </si>
  <si>
    <t>ublyb_2</t>
  </si>
  <si>
    <t>酗酒斗殴者</t>
  </si>
  <si>
    <t>enemy_10198_ubjxs</t>
  </si>
  <si>
    <t>ubjxs</t>
  </si>
  <si>
    <t>废金属破坏者</t>
  </si>
  <si>
    <t>enemy_10198_ubjxs_2</t>
  </si>
  <si>
    <t>ubjxs_2</t>
  </si>
  <si>
    <t>废金属爆裂者</t>
  </si>
  <si>
    <t>enemy_10199_ubhb</t>
  </si>
  <si>
    <t>ubhb</t>
  </si>
  <si>
    <t>硬核扰民者</t>
  </si>
  <si>
    <t>enemy_10199_ubhb_2</t>
  </si>
  <si>
    <t>ubhb_2</t>
  </si>
  <si>
    <t>硬核袭警者</t>
  </si>
  <si>
    <t>enemy_10200_ubglmf</t>
  </si>
  <si>
    <t>ubglmf</t>
  </si>
  <si>
    <t>格罗莫夫</t>
  </si>
  <si>
    <t>enemy_3015_ubstb</t>
  </si>
  <si>
    <t>ubstb</t>
  </si>
  <si>
    <t>被关押的学生</t>
  </si>
  <si>
    <t>enemy_1587_ubbplwq</t>
  </si>
  <si>
    <t>ubbplwq</t>
  </si>
  <si>
    <t>巴普洛维奇，枢密官</t>
  </si>
  <si>
    <t>enemy_1588_ubbphw</t>
  </si>
  <si>
    <t>ubbphw</t>
  </si>
  <si>
    <t>“私人安全顾问”</t>
  </si>
  <si>
    <t>enemy_10201_muinf</t>
  </si>
  <si>
    <t>muinf</t>
  </si>
  <si>
    <t>实验样本F-009</t>
  </si>
  <si>
    <t>enemy_10201_muinf_2</t>
  </si>
  <si>
    <t>muinf_2</t>
  </si>
  <si>
    <t>失控的F-009</t>
  </si>
  <si>
    <t>enemy_10202_mubow</t>
  </si>
  <si>
    <t>mubow</t>
  </si>
  <si>
    <t>实验样本R-044</t>
  </si>
  <si>
    <t>enemy_10202_mubow_2</t>
  </si>
  <si>
    <t>mubow_2</t>
  </si>
  <si>
    <t>失控的R-044</t>
  </si>
  <si>
    <t>enemy_10203_mumag</t>
  </si>
  <si>
    <t>mumag</t>
  </si>
  <si>
    <t>异种菌</t>
  </si>
  <si>
    <t>enemy_10203_mumag_2</t>
  </si>
  <si>
    <t>mumag_2</t>
  </si>
  <si>
    <t>血色异种菌</t>
  </si>
  <si>
    <t>enemy_10204_mudia</t>
  </si>
  <si>
    <t>mudia</t>
  </si>
  <si>
    <t>破石草</t>
  </si>
  <si>
    <t>enemy_10204_mudia_2</t>
  </si>
  <si>
    <t>mudia_2</t>
  </si>
  <si>
    <t>血色破石草</t>
  </si>
  <si>
    <t>enemy_10205_mufly</t>
  </si>
  <si>
    <t>mufly</t>
  </si>
  <si>
    <t>实验样本A-000</t>
  </si>
  <si>
    <t>enemy_10205_mufly_2</t>
  </si>
  <si>
    <t>mufly_2</t>
  </si>
  <si>
    <t>失控的A-000</t>
  </si>
  <si>
    <t>enemy_10206_muveg</t>
  </si>
  <si>
    <t>muveg</t>
  </si>
  <si>
    <t>三生花</t>
  </si>
  <si>
    <t>enemy_10206_muveg_2</t>
  </si>
  <si>
    <t>muveg_2</t>
  </si>
  <si>
    <t>血色三生花</t>
  </si>
  <si>
    <t>enemy_10207_mubrut</t>
  </si>
  <si>
    <t>mubrut</t>
  </si>
  <si>
    <t>“希希加”</t>
  </si>
  <si>
    <t>enemy_10207_mubrut_2</t>
  </si>
  <si>
    <t>mubrut_2</t>
  </si>
  <si>
    <t>愤怒的“希希加”</t>
  </si>
  <si>
    <t>enemy_10208_mucow</t>
  </si>
  <si>
    <t>mucow</t>
  </si>
  <si>
    <t>“里霍”</t>
  </si>
  <si>
    <t>enemy_10208_mucow_2</t>
  </si>
  <si>
    <t>mucow_2</t>
  </si>
  <si>
    <t>游荡的“里霍”</t>
  </si>
  <si>
    <t>enemy_10209_mubag</t>
  </si>
  <si>
    <t>mubag</t>
  </si>
  <si>
    <t>“鲁塞尔卡”</t>
  </si>
  <si>
    <t>enemy_10209_mubag_2</t>
  </si>
  <si>
    <t>mubag_2</t>
  </si>
  <si>
    <t>起舞的“鲁塞尔卡”</t>
  </si>
  <si>
    <t>enemy_10210_muwiz</t>
  </si>
  <si>
    <t>muwiz</t>
  </si>
  <si>
    <t>乌萨斯战争术师</t>
  </si>
  <si>
    <t>Leave</t>
  </si>
  <si>
    <t>enemy_10211_murad</t>
  </si>
  <si>
    <t>murad</t>
  </si>
  <si>
    <t>泄漏源</t>
  </si>
  <si>
    <t>enemy_10129_pycdog</t>
  </si>
  <si>
    <t>pycdog</t>
  </si>
  <si>
    <t>冠鸣龙</t>
  </si>
  <si>
    <t>enemy_10129_pycdog_2</t>
  </si>
  <si>
    <t>pycdog_2</t>
  </si>
  <si>
    <t>冠鸣龙王</t>
  </si>
  <si>
    <t>enemy_10130_pycpok</t>
  </si>
  <si>
    <t>pycpok</t>
  </si>
  <si>
    <t>碎壳螈</t>
  </si>
  <si>
    <t>enemy_10130_pycpok_2</t>
  </si>
  <si>
    <t>pycpok_2</t>
  </si>
  <si>
    <t>大名碎壳螈</t>
  </si>
  <si>
    <t>enemy_10131_pycshd</t>
  </si>
  <si>
    <t>pycshd</t>
  </si>
  <si>
    <t>盗壳虫</t>
  </si>
  <si>
    <t>enemy_10131_pycshd_2</t>
  </si>
  <si>
    <t>pycshd_2</t>
  </si>
  <si>
    <t>横纲盗壳虫</t>
  </si>
  <si>
    <t>enemy_10132_pyceat</t>
  </si>
  <si>
    <t>pyceat</t>
  </si>
  <si>
    <t>大喰怪</t>
  </si>
  <si>
    <t>enemy_10132_pyceat_2</t>
  </si>
  <si>
    <t>pyceat_2</t>
  </si>
  <si>
    <t>荒神大喰怪</t>
  </si>
  <si>
    <t>enemy_10133_pycrol</t>
  </si>
  <si>
    <t>pycrol</t>
  </si>
  <si>
    <t>反壳龟</t>
  </si>
  <si>
    <t>enemy_10133_pycrol_2</t>
  </si>
  <si>
    <t>pycrol_2</t>
  </si>
  <si>
    <t>反壳龟·缚</t>
  </si>
  <si>
    <t>enemy_10134_pycspy</t>
  </si>
  <si>
    <t>pycspy</t>
  </si>
  <si>
    <t>影丝蛛</t>
  </si>
  <si>
    <t>enemy_10134_pycspy_2</t>
  </si>
  <si>
    <t>pycspy_2</t>
  </si>
  <si>
    <t>影丝蛛·怨</t>
  </si>
  <si>
    <t>enemy_10135_pycjmp</t>
  </si>
  <si>
    <t>pycjmp</t>
  </si>
  <si>
    <t>咒鬼</t>
  </si>
  <si>
    <t>enemy_10135_pycjmp_2</t>
  </si>
  <si>
    <t>pycjmp_2</t>
  </si>
  <si>
    <t>咒鬼·真</t>
  </si>
  <si>
    <t>enemy_10136_pycblk</t>
  </si>
  <si>
    <t>pycblk</t>
  </si>
  <si>
    <t>岩甲兽</t>
  </si>
  <si>
    <t>enemy_10136_pycblk_2</t>
  </si>
  <si>
    <t>pycblk_2</t>
  </si>
  <si>
    <t>岩甲兽·咒</t>
  </si>
  <si>
    <t>enemy_10137_pycvol</t>
  </si>
  <si>
    <t>pycvol</t>
  </si>
  <si>
    <t>“异兽”熔火蜗</t>
  </si>
  <si>
    <t>enemy_10184_pppsbr</t>
  </si>
  <si>
    <t>pppsbr</t>
  </si>
  <si>
    <t>滴答冰淇淋</t>
  </si>
  <si>
    <t>「月行水上」活动单位，基础攻击方式：近战（通用敌方近战攻击）</t>
  </si>
  <si>
    <t>enemy_10184_pppsbr_2</t>
  </si>
  <si>
    <t>刺溜冰淇淋</t>
  </si>
  <si>
    <t>enemy_10185_pppshd</t>
  </si>
  <si>
    <t>吵闹收音机</t>
  </si>
  <si>
    <t>enemy_10185_pppshd_2</t>
  </si>
  <si>
    <t>沉默收音机</t>
  </si>
  <si>
    <t>enemy_10186_ppparc</t>
  </si>
  <si>
    <t>蹦跶羽兽</t>
  </si>
  <si>
    <t>「月行水上」活动单位，基础攻击方式：远程（远程攻击）</t>
  </si>
  <si>
    <t>enemy_10186_ppparc_2</t>
  </si>
  <si>
    <t>蹒跚羽兽</t>
  </si>
  <si>
    <t>enemy_10187_pppwiz</t>
  </si>
  <si>
    <t>失恋花束</t>
  </si>
  <si>
    <t>术士远程攻击,shchmr激光出场</t>
  </si>
  <si>
    <t>「月行水上」活动单位，基础攻击方式：远程（术士远程攻击）</t>
  </si>
  <si>
    <t>enemy_10187_pppwiz_2</t>
  </si>
  <si>
    <t>离婚花束</t>
  </si>
  <si>
    <t>enemy_10188_pppdp</t>
  </si>
  <si>
    <t>结巴铳</t>
  </si>
  <si>
    <t>enemy_10188_pppdp_2</t>
  </si>
  <si>
    <t>咆哮铳</t>
  </si>
  <si>
    <t>enemy_10189_pppmag</t>
  </si>
  <si>
    <t>伤眼路灯</t>
  </si>
  <si>
    <t>enemy_10189_pppmag_2</t>
  </si>
  <si>
    <t>吓人路灯</t>
  </si>
  <si>
    <t>enemy_10190_pppham</t>
  </si>
  <si>
    <t>几点了钟</t>
  </si>
  <si>
    <t>enemy_10190_pppham_2</t>
  </si>
  <si>
    <t>不知道钟</t>
  </si>
  <si>
    <t>enemy_10191_pppgst</t>
  </si>
  <si>
    <t>没办法车</t>
  </si>
  <si>
    <t>「月行水上」活动单位，基础攻击方式：不攻击</t>
  </si>
  <si>
    <t>enemy_10191_pppgst_2</t>
  </si>
  <si>
    <t>生气车</t>
  </si>
  <si>
    <t>enemy_10191_pppgst_3</t>
  </si>
  <si>
    <t>困惑车</t>
  </si>
  <si>
    <t>enemy_10191_pppgst_4</t>
  </si>
  <si>
    <t>难过车</t>
  </si>
  <si>
    <t>enemy_10191_pppgst_5</t>
  </si>
  <si>
    <t>无聊车</t>
  </si>
  <si>
    <t>enemy_10192_ppprpr</t>
  </si>
  <si>
    <t>挥铳圣像</t>
  </si>
  <si>
    <t>enemy_1589_pppdth</t>
  </si>
  <si>
    <t>“死志的凝结”</t>
  </si>
  <si>
    <t>远程攻击,死志锁血</t>
  </si>
  <si>
    <t>enemy_10221_agporc</t>
  </si>
  <si>
    <t>戴面具的孩童</t>
  </si>
  <si>
    <t>「直到大地变成一颗酸橙」活动单位，基础攻击方式：近战（通用敌方近战攻击）</t>
  </si>
  <si>
    <t>enemy_10221_agporc_2</t>
  </si>
  <si>
    <t>入戏太深的孩童</t>
  </si>
  <si>
    <t>enemy_10222_agtski</t>
  </si>
  <si>
    <t>凑热闹的矿工</t>
  </si>
  <si>
    <t>enemy_10222_agtski_2</t>
  </si>
  <si>
    <t>勇争第一的矿工</t>
  </si>
  <si>
    <t>enemy_10223_agtrac</t>
  </si>
  <si>
    <t>手推小矿车</t>
  </si>
  <si>
    <t>「直到大地变成一颗酸橙」活动单位，基础攻击方式：远程（远程攻击）</t>
  </si>
  <si>
    <t>enemy_10223_agtrac_2</t>
  </si>
  <si>
    <t>传奇矿车</t>
  </si>
  <si>
    <t>enemy_10224_agmess</t>
  </si>
  <si>
    <t>“小帽子”</t>
  </si>
  <si>
    <t>「直到大地变成一颗酸橙」活动单位，基础攻击方式：远程（术士远程攻击）</t>
  </si>
  <si>
    <t>enemy_10224_agmess_2</t>
  </si>
  <si>
    <t>“大披风”</t>
  </si>
  <si>
    <t>enemy_10225_agpbus</t>
  </si>
  <si>
    <t>欢乐校车</t>
  </si>
  <si>
    <t>「直到大地变成一颗酸橙」活动单位，基础攻击方式：不攻击</t>
  </si>
  <si>
    <t>enemy_10225_agpbus_2</t>
  </si>
  <si>
    <t>庆典校车</t>
  </si>
  <si>
    <t>enemy_10226_agprnk</t>
  </si>
  <si>
    <t>好外号热衷者</t>
  </si>
  <si>
    <t>enemy_10226_agprnk_2</t>
  </si>
  <si>
    <t>惊艳事热衷者</t>
  </si>
  <si>
    <t>enemy_10227_agbomb</t>
  </si>
  <si>
    <t>“惊喜信件”</t>
  </si>
  <si>
    <t>enemy_10228_agball</t>
  </si>
  <si>
    <t>“美食的诱惑”</t>
  </si>
  <si>
    <t>enemy_10228_agball_2</t>
  </si>
  <si>
    <t>“美食的奴隶”</t>
  </si>
  <si>
    <t>enemy_10229_agactr</t>
  </si>
  <si>
    <t>优雅刀技厨师</t>
  </si>
  <si>
    <t>「直到大地变成一颗酸橙」活动单位，基础攻击方式：近战（通用敌方近战法术攻击）</t>
  </si>
  <si>
    <t>enemy_10229_agactr_2</t>
  </si>
  <si>
    <t>炫目刀技厨师</t>
  </si>
  <si>
    <t>enemy_10230_agkiro</t>
  </si>
  <si>
    <t>好心肠老板</t>
  </si>
  <si>
    <t>enemy_10230_agkiro_2</t>
  </si>
  <si>
    <t>热心肠老板</t>
  </si>
  <si>
    <t>enemy_10231_agpack</t>
  </si>
  <si>
    <t>浮空信件</t>
  </si>
  <si>
    <t>enemy_10232_aglina</t>
  </si>
  <si>
    <t>信使安洁莉娜</t>
  </si>
  <si>
    <t>enemy_1595_agbmes</t>
  </si>
  <si>
    <t>“酣睡飞行员”</t>
  </si>
  <si>
    <t>enemy_2027_syudg2</t>
  </si>
  <si>
    <t>syudg2</t>
  </si>
  <si>
    <t>圣徒伊比利亚</t>
  </si>
  <si>
    <t>Waist</t>
  </si>
  <si>
    <t>enemy_2028_syevil</t>
  </si>
  <si>
    <t>syevil</t>
  </si>
  <si>
    <t>接潮主教</t>
  </si>
  <si>
    <t>领袖,远程,海怪,水月主教</t>
  </si>
  <si>
    <t>enemy_2029_symon</t>
  </si>
  <si>
    <t>symon</t>
  </si>
  <si>
    <t>接潮蔑死体</t>
  </si>
  <si>
    <t>领袖,近战,海怪,水月斥亡体</t>
  </si>
  <si>
    <t>enemy_2030_symon2</t>
  </si>
  <si>
    <t>symon2</t>
  </si>
  <si>
    <t>接潮斥亡体</t>
  </si>
  <si>
    <t>enemy_2031_syboy</t>
  </si>
  <si>
    <t>syboy</t>
  </si>
  <si>
    <t>塑路者</t>
  </si>
  <si>
    <t>领袖,近战,海怪</t>
  </si>
  <si>
    <t>enemy_2032_syboy2</t>
  </si>
  <si>
    <t>syboy2</t>
  </si>
  <si>
    <t>延命塑路者</t>
  </si>
  <si>
    <t>enemy_2033_syboys</t>
  </si>
  <si>
    <t>syboys</t>
  </si>
  <si>
    <t>塑路者分形</t>
  </si>
  <si>
    <t>普通,近战,海怪,塑路者分形</t>
  </si>
  <si>
    <t>enemy_2034_sythef</t>
  </si>
  <si>
    <t>sythef</t>
  </si>
  <si>
    <t>流泪小子</t>
  </si>
  <si>
    <t>F_o3</t>
  </si>
  <si>
    <t>enemy_2035_sybox</t>
  </si>
  <si>
    <t>sybox</t>
  </si>
  <si>
    <t>箱形恐鱼</t>
  </si>
  <si>
    <t>enemy_2036_syshop</t>
  </si>
  <si>
    <t>syshop</t>
  </si>
  <si>
    <t>坎诺特</t>
  </si>
  <si>
    <t>enemy_2037_sygirl</t>
  </si>
  <si>
    <t>sygirl</t>
  </si>
  <si>
    <t>“偏执泡影”</t>
  </si>
  <si>
    <t>enemy_2038_sydonq</t>
  </si>
  <si>
    <t>sydonq</t>
  </si>
  <si>
    <t>最后的骑士</t>
  </si>
  <si>
    <t>enemy_2039_syskad</t>
  </si>
  <si>
    <t>syskad</t>
  </si>
  <si>
    <t>伊莎玛拉，腐化之心</t>
  </si>
  <si>
    <t>enemy_2040_syrott</t>
  </si>
  <si>
    <t>伊莎玛拉</t>
  </si>
  <si>
    <t>Idle_02</t>
  </si>
  <si>
    <t>Move_02</t>
  </si>
  <si>
    <t>Start_02</t>
  </si>
  <si>
    <t>enemy_2040_syrott#</t>
  </si>
  <si>
    <t>伊莎玛拉半血形态</t>
  </si>
  <si>
    <t>enemy_2041_syjely</t>
  </si>
  <si>
    <t>syjely</t>
  </si>
  <si>
    <t>伊祖米克的子代</t>
  </si>
  <si>
    <t>精英,近战,伊祖米克子代</t>
  </si>
  <si>
    <t>enemy_2042_syboss</t>
  </si>
  <si>
    <t>syboss</t>
  </si>
  <si>
    <t>伊祖米克，生态泉源</t>
  </si>
  <si>
    <t>trap_066_rarebox</t>
  </si>
  <si>
    <t>rarebox</t>
  </si>
  <si>
    <t>066</t>
  </si>
  <si>
    <t>尖刺宝箱</t>
  </si>
  <si>
    <t>trap_068_badbox</t>
  </si>
  <si>
    <t>badbox</t>
  </si>
  <si>
    <t>068</t>
  </si>
  <si>
    <t>箱形恐鱼（未激活）</t>
  </si>
  <si>
    <t>enemy_2043_smsbr</t>
  </si>
  <si>
    <t>smsbr</t>
  </si>
  <si>
    <t>染污躯壳</t>
  </si>
  <si>
    <t>enemy_2043_smsbr_2</t>
  </si>
  <si>
    <t>smsbr_2</t>
  </si>
  <si>
    <t>空洞躯壳</t>
  </si>
  <si>
    <t>enemy_2044_smwiz</t>
  </si>
  <si>
    <t>smwiz</t>
  </si>
  <si>
    <t>歪曲施法者</t>
  </si>
  <si>
    <t>普通,远程,坍缩体</t>
  </si>
  <si>
    <t>enemy_2044_smwiz_2</t>
  </si>
  <si>
    <t>smwiz_2</t>
  </si>
  <si>
    <t>歪曲萨满</t>
  </si>
  <si>
    <t>enemy_2045_smdrn</t>
  </si>
  <si>
    <t>smdrn</t>
  </si>
  <si>
    <t>坍缩构造体</t>
  </si>
  <si>
    <t>enemy_2045_smdrn_2</t>
  </si>
  <si>
    <t>smdrn_2</t>
  </si>
  <si>
    <t>坍缩凝聚体</t>
  </si>
  <si>
    <t>enemy_2046_smwar</t>
  </si>
  <si>
    <t>smwar</t>
  </si>
  <si>
    <t>木裂战士</t>
  </si>
  <si>
    <t>enemy_2046_smwar_2</t>
  </si>
  <si>
    <t>smwar_2</t>
  </si>
  <si>
    <t>木裂战士精锐</t>
  </si>
  <si>
    <t>enemy_1134_smdiamd</t>
  </si>
  <si>
    <t>smdiamd</t>
  </si>
  <si>
    <t>坍缩畸变体</t>
  </si>
  <si>
    <t>enemy_1134_smdiamd_2</t>
  </si>
  <si>
    <t>smdiamd_2</t>
  </si>
  <si>
    <t>坍缩畸变体α</t>
  </si>
  <si>
    <t>enemy_2048_smgrd</t>
  </si>
  <si>
    <t>smgrd</t>
  </si>
  <si>
    <t>“邪魔的利刃”</t>
  </si>
  <si>
    <t>领袖,远程,坍缩体</t>
  </si>
  <si>
    <t>enemy_2049_smgrd2</t>
  </si>
  <si>
    <t>smgrd2</t>
  </si>
  <si>
    <t>“邪魔的利刃”，游荡者</t>
  </si>
  <si>
    <t>enemy_2050_smsha</t>
  </si>
  <si>
    <t>smsha</t>
  </si>
  <si>
    <t>陷落雪祀</t>
  </si>
  <si>
    <t>enemy_2051_smsha2</t>
  </si>
  <si>
    <t>smsha2</t>
  </si>
  <si>
    <t>空洞雪祀</t>
  </si>
  <si>
    <t>enemy_2052_smgia</t>
  </si>
  <si>
    <t>smgia</t>
  </si>
  <si>
    <t>纠缠藤蔓</t>
  </si>
  <si>
    <t>enemy_2053_smgia2</t>
  </si>
  <si>
    <t>smgia2</t>
  </si>
  <si>
    <t>古老藤蔓</t>
  </si>
  <si>
    <t>enemy_2054_smdeer</t>
  </si>
  <si>
    <t>smdeer</t>
  </si>
  <si>
    <t>“萨米的意志”</t>
  </si>
  <si>
    <t>3,3</t>
  </si>
  <si>
    <t>enemy_2055_smlead</t>
  </si>
  <si>
    <t>smlead</t>
  </si>
  <si>
    <t>“木裂”埃克提尔尼尔</t>
  </si>
  <si>
    <t>领袖,近战,坍缩体</t>
  </si>
  <si>
    <t>enemy_2056_smedzi</t>
  </si>
  <si>
    <t>smedzi</t>
  </si>
  <si>
    <t>无垠回荡克雷松</t>
  </si>
  <si>
    <t>enemy_2057_smkght</t>
  </si>
  <si>
    <t>smkght</t>
  </si>
  <si>
    <t>2057</t>
  </si>
  <si>
    <t>哈兰杜汗</t>
  </si>
  <si>
    <t>领袖,近战,哈兰杜汗</t>
  </si>
  <si>
    <t>enemy_2058_smlion</t>
  </si>
  <si>
    <t>smlion</t>
  </si>
  <si>
    <t>路加萨尔古斯</t>
  </si>
  <si>
    <t>领袖,远程,路加萨尔古斯</t>
  </si>
  <si>
    <t>enemy_2059_smbox</t>
  </si>
  <si>
    <t>smbox</t>
  </si>
  <si>
    <t>巨壳藤蔓</t>
  </si>
  <si>
    <t>enemy_2060_smshdw</t>
  </si>
  <si>
    <t>smshdw</t>
  </si>
  <si>
    <t>可汗片影</t>
  </si>
  <si>
    <t>enemy_2061_smhond</t>
  </si>
  <si>
    <t>smhond</t>
  </si>
  <si>
    <t>王者友伴</t>
  </si>
  <si>
    <t>trap_760_skztzs</t>
  </si>
  <si>
    <t>skztzs</t>
  </si>
  <si>
    <t>760</t>
  </si>
  <si>
    <t>年代之刺</t>
  </si>
  <si>
    <t>enemy_2063_skzlch</t>
  </si>
  <si>
    <t>skzlch</t>
  </si>
  <si>
    <t>萨卡兹迷宫劝导者</t>
  </si>
  <si>
    <t>enemy_2064_skzwdd</t>
  </si>
  <si>
    <t>skzwdd</t>
  </si>
  <si>
    <t>萨卡兹迷宫归乡者</t>
  </si>
  <si>
    <t>enemy_2064_skzwdd_2</t>
  </si>
  <si>
    <t>skzwdd_2</t>
  </si>
  <si>
    <t>萨卡兹迷宫返乡者</t>
  </si>
  <si>
    <t>enemy_2065_skzjs</t>
  </si>
  <si>
    <t>skzjs</t>
  </si>
  <si>
    <t>恐卡兹</t>
  </si>
  <si>
    <t>enemy_2066_skzlcp</t>
  </si>
  <si>
    <t>skzlcp</t>
  </si>
  <si>
    <t>萨卡兹迷宫织咒者</t>
  </si>
  <si>
    <t>enemy_2067_skzcy</t>
  </si>
  <si>
    <t>skzcy</t>
  </si>
  <si>
    <t>“门”</t>
  </si>
  <si>
    <t>enemy_2068_skzirn</t>
  </si>
  <si>
    <t>skzirn</t>
  </si>
  <si>
    <t>圣卫自动机</t>
  </si>
  <si>
    <t>enemy_2069_skzbox</t>
  </si>
  <si>
    <t>skzbox</t>
  </si>
  <si>
    <t>迷珍巧械</t>
  </si>
  <si>
    <t>enemy_2070_skzfbx</t>
  </si>
  <si>
    <t>skzfbx</t>
  </si>
  <si>
    <t>迷珍飞械</t>
  </si>
  <si>
    <t>Die1</t>
  </si>
  <si>
    <t>enemy_2071_skzdny</t>
  </si>
  <si>
    <t>skzdny</t>
  </si>
  <si>
    <t>菈玛莲</t>
  </si>
  <si>
    <t>enemy_2072_skdny2</t>
  </si>
  <si>
    <t>skdny2</t>
  </si>
  <si>
    <t>编织泪水的术师</t>
  </si>
  <si>
    <t>enemy_2073_skzrck</t>
  </si>
  <si>
    <t>skzrck</t>
  </si>
  <si>
    <t>饮泣之刺</t>
  </si>
  <si>
    <t>enemy_2074_skzgly</t>
  </si>
  <si>
    <t>skzgly</t>
  </si>
  <si>
    <t>歌利亚</t>
  </si>
  <si>
    <t>enemy_2075_skgly2</t>
  </si>
  <si>
    <t>skgly2</t>
  </si>
  <si>
    <t>遗忘创伤的战士</t>
  </si>
  <si>
    <t>enemy_2076_skzklz</t>
  </si>
  <si>
    <t>skzklz</t>
  </si>
  <si>
    <t>领袖,近战,凯尔希</t>
  </si>
  <si>
    <t>enemy_2077_skklz2</t>
  </si>
  <si>
    <t>skklz2</t>
  </si>
  <si>
    <t>预见末日的贤人</t>
  </si>
  <si>
    <t>enemy_2078_skzmst</t>
  </si>
  <si>
    <t>skzmst</t>
  </si>
  <si>
    <t>Mon2tr</t>
  </si>
  <si>
    <t>领袖,近战,M2</t>
  </si>
  <si>
    <t>enemy_2079_skmst2</t>
  </si>
  <si>
    <t>skmst</t>
  </si>
  <si>
    <t>enemy_2078_skmst</t>
  </si>
  <si>
    <t>迭代的怪物</t>
  </si>
  <si>
    <t>enemy_2080_skzlwy</t>
  </si>
  <si>
    <t>skzlwy</t>
  </si>
  <si>
    <t>弗莱蒙特，诸思之解答</t>
  </si>
  <si>
    <t>C2_Revive_Begin,C2_Revive_Die</t>
  </si>
  <si>
    <t>enemy_2081_skztxs</t>
  </si>
  <si>
    <t>skztxs</t>
  </si>
  <si>
    <t>特雷西斯，黑冠尊主</t>
  </si>
  <si>
    <t>领袖,近战,萨卡兹,萨卡兹特雷西斯,支援单位</t>
  </si>
  <si>
    <t>C1_Revive_Begin</t>
  </si>
  <si>
    <t>enemy_2081_skztxs_2</t>
  </si>
  <si>
    <t>特雷西斯，黑冠尊主（二阶段）</t>
  </si>
  <si>
    <t>C2_Default</t>
  </si>
  <si>
    <t>C2_Skill_Loop</t>
  </si>
  <si>
    <t>C2_Skill_Die</t>
  </si>
  <si>
    <t>trap_762_skztxy</t>
  </si>
  <si>
    <t>skztxy</t>
  </si>
  <si>
    <t>特蕾西娅，黑冠圣贤</t>
  </si>
  <si>
    <t>enemy_762_skztxy</t>
  </si>
  <si>
    <t>领袖,近战,萨卡兹,萨卡兹特蕾西娅</t>
  </si>
  <si>
    <t>trap_761_skzthx_L</t>
  </si>
  <si>
    <t>skzthx</t>
  </si>
  <si>
    <t>trap_761_skzthx</t>
  </si>
  <si>
    <t>尊主的残影左</t>
  </si>
  <si>
    <t>近战,萨卡兹,尊主的残影</t>
  </si>
  <si>
    <t>trap_761_skzthx_R</t>
  </si>
  <si>
    <t>尊主的残影右</t>
  </si>
  <si>
    <t>trap_761_skzthx_U</t>
  </si>
  <si>
    <t>尊主的残影上</t>
  </si>
  <si>
    <t>Idle_Up</t>
  </si>
  <si>
    <t>trap_761_skzthx_D</t>
  </si>
  <si>
    <t>尊主的残影下</t>
  </si>
  <si>
    <t>Idle_Down</t>
  </si>
  <si>
    <t>enemy_2090_skzjbc</t>
  </si>
  <si>
    <t>skzjbc</t>
  </si>
  <si>
    <t>托生莲座</t>
  </si>
  <si>
    <t>精英,奎隆行船</t>
  </si>
  <si>
    <t>enemy_2089_skzjkl</t>
  </si>
  <si>
    <t>skzjkl</t>
  </si>
  <si>
    <t>奎隆，摩诃萨埵权化</t>
  </si>
  <si>
    <t>C_Revive</t>
  </si>
  <si>
    <t>enemy_2089_skzjklB</t>
  </si>
  <si>
    <t>奎隆，摩诃萨埵权化（二阶段）</t>
  </si>
  <si>
    <t>enemy_2082_skzdd</t>
  </si>
  <si>
    <t>skzdd</t>
  </si>
  <si>
    <t>博卓卡斯替，圣卫铳骑</t>
  </si>
  <si>
    <t>领袖,远程,近战,萨卡兹</t>
  </si>
  <si>
    <t>enemy_2084_skzcan</t>
  </si>
  <si>
    <t>skzcan</t>
  </si>
  <si>
    <t>2084</t>
  </si>
  <si>
    <t>古德因纳夫先生</t>
  </si>
  <si>
    <t>enemy_2085_skzjxd</t>
  </si>
  <si>
    <t>skzjxd</t>
  </si>
  <si>
    <t>2085</t>
  </si>
  <si>
    <t>圆仔</t>
  </si>
  <si>
    <t>enemy_2091_skzgds</t>
  </si>
  <si>
    <t>skzgds</t>
  </si>
  <si>
    <t>2091</t>
  </si>
  <si>
    <t>“窗”</t>
  </si>
  <si>
    <t>enemy_2101_dyspll</t>
  </si>
  <si>
    <t>dyspll</t>
  </si>
  <si>
    <t>2101</t>
  </si>
  <si>
    <t>便符</t>
  </si>
  <si>
    <t>enemy_2102_dytmbr</t>
  </si>
  <si>
    <t>dytmbr</t>
  </si>
  <si>
    <t>2102</t>
  </si>
  <si>
    <t>皮书生</t>
  </si>
  <si>
    <t>enemy_2103_dykens</t>
  </si>
  <si>
    <t>dykens</t>
  </si>
  <si>
    <t>2103</t>
  </si>
  <si>
    <t>平剑客</t>
  </si>
  <si>
    <t>enemy_2104_dycast</t>
  </si>
  <si>
    <t>dycast</t>
  </si>
  <si>
    <t>2104</t>
  </si>
  <si>
    <t>靳天师</t>
  </si>
  <si>
    <t>enemy_2105_dyrnge</t>
  </si>
  <si>
    <t>dyrnge</t>
  </si>
  <si>
    <t>2105</t>
  </si>
  <si>
    <t>似兽</t>
  </si>
  <si>
    <t>enemy_2106_dyremy</t>
  </si>
  <si>
    <t>dyremy</t>
  </si>
  <si>
    <t>2106</t>
  </si>
  <si>
    <t>怪葫芦</t>
  </si>
  <si>
    <t>enemy_2108_dypryg</t>
  </si>
  <si>
    <t>dypryg</t>
  </si>
  <si>
    <t>2108</t>
  </si>
  <si>
    <t>夕娥</t>
  </si>
  <si>
    <t>enemy_2109_dypry2</t>
  </si>
  <si>
    <t>dypry2</t>
  </si>
  <si>
    <t>2109</t>
  </si>
  <si>
    <t>双月共主</t>
  </si>
  <si>
    <t>enemy_2114_dylbgg</t>
  </si>
  <si>
    <t>dylbgg</t>
  </si>
  <si>
    <t>2114</t>
  </si>
  <si>
    <t>玉双剑</t>
  </si>
  <si>
    <t>enemy_2112_dyhlgy</t>
  </si>
  <si>
    <t>dyhlgy</t>
  </si>
  <si>
    <t>2112</t>
  </si>
  <si>
    <t>枣大刀</t>
  </si>
  <si>
    <t>enemy_2110_dyyrzf</t>
  </si>
  <si>
    <t>dyyrzf</t>
  </si>
  <si>
    <t>2110</t>
  </si>
  <si>
    <t>炭长矛</t>
  </si>
  <si>
    <t>enemy_2115_dylbg2</t>
  </si>
  <si>
    <t>dylbg2</t>
  </si>
  <si>
    <t>2115</t>
  </si>
  <si>
    <t>eenemy_2115_dylbg2</t>
  </si>
  <si>
    <t>昭烈君</t>
  </si>
  <si>
    <t>文衡君</t>
  </si>
  <si>
    <t>B_Run</t>
  </si>
  <si>
    <t>enemy_2111_dyyrz2</t>
  </si>
  <si>
    <t>dyyrz2</t>
  </si>
  <si>
    <t>2111</t>
  </si>
  <si>
    <t>桓君</t>
  </si>
  <si>
    <t>enemy_2116_dyyysg</t>
  </si>
  <si>
    <t>dyyysg</t>
  </si>
  <si>
    <t>2116</t>
  </si>
  <si>
    <t>师祖</t>
  </si>
  <si>
    <t>enemy_2117_dyyys2</t>
  </si>
  <si>
    <t>dyyys2</t>
  </si>
  <si>
    <t>2117</t>
  </si>
  <si>
    <t>太公</t>
  </si>
  <si>
    <t>enemy_2118_dylbhm</t>
  </si>
  <si>
    <t>dylbhm</t>
  </si>
  <si>
    <t>2118</t>
  </si>
  <si>
    <t>易</t>
  </si>
  <si>
    <t>enemy_2119_dyshhj</t>
  </si>
  <si>
    <t>dyshhj</t>
  </si>
  <si>
    <t>2119</t>
  </si>
  <si>
    <t>“岁”</t>
  </si>
  <si>
    <t>enemy_2120_dywqgs</t>
  </si>
  <si>
    <t>dywqgs</t>
  </si>
  <si>
    <t>2120</t>
  </si>
  <si>
    <t>“望”</t>
  </si>
  <si>
    <t>enemy_2122_dybgzd</t>
  </si>
  <si>
    <t>dybgzd</t>
  </si>
  <si>
    <t>2122</t>
  </si>
  <si>
    <t>梁</t>
  </si>
  <si>
    <t>enemy_2123_dyjsww</t>
  </si>
  <si>
    <t>dyjsww</t>
  </si>
  <si>
    <t>2123</t>
  </si>
  <si>
    <t>后兽</t>
  </si>
  <si>
    <t>Start</t>
  </si>
  <si>
    <t>enemy_2124_dyjsfg</t>
  </si>
  <si>
    <t>dyjsfg</t>
  </si>
  <si>
    <t>2124</t>
  </si>
  <si>
    <t>矩兽</t>
  </si>
  <si>
    <t>enemy_2125_dylnpp</t>
  </si>
  <si>
    <t>dylnpp</t>
  </si>
  <si>
    <t>2125</t>
  </si>
  <si>
    <t>小八界</t>
  </si>
  <si>
    <t>enemy_2126_dycyue</t>
  </si>
  <si>
    <t>dycyue</t>
  </si>
  <si>
    <t>2126</t>
  </si>
  <si>
    <t>朔壳</t>
  </si>
  <si>
    <t>enemy_2127_dysuih</t>
  </si>
  <si>
    <t>dysuih</t>
  </si>
  <si>
    <t>2127</t>
  </si>
  <si>
    <t>妄躯</t>
  </si>
  <si>
    <t>enemy_2128_dysuib</t>
  </si>
  <si>
    <t>dysuib</t>
  </si>
  <si>
    <t>2128</t>
  </si>
  <si>
    <t>身形</t>
  </si>
  <si>
    <t>enemy_2129_dylong</t>
  </si>
  <si>
    <t>dylong</t>
  </si>
  <si>
    <t>2129</t>
  </si>
  <si>
    <t>怨骸</t>
  </si>
  <si>
    <t>enemy_2130_dyswrd</t>
  </si>
  <si>
    <t>dyswrd</t>
  </si>
  <si>
    <t>2130</t>
  </si>
  <si>
    <t>敛傲</t>
  </si>
  <si>
    <t>enemy_2131_dyfire</t>
  </si>
  <si>
    <t>dyfire</t>
  </si>
  <si>
    <t>2131</t>
  </si>
  <si>
    <t>愠怒</t>
  </si>
  <si>
    <t>enemy_2133_shdopl</t>
  </si>
  <si>
    <t>shdopl</t>
  </si>
  <si>
    <t>2133</t>
  </si>
  <si>
    <t>空值体</t>
  </si>
  <si>
    <t>enemy_2134_shrshep</t>
  </si>
  <si>
    <t>shrshep</t>
  </si>
  <si>
    <t>2134</t>
  </si>
  <si>
    <t>颂水贤者</t>
  </si>
  <si>
    <t>enemy_2135_shkrbt</t>
  </si>
  <si>
    <t>shkrbt</t>
  </si>
  <si>
    <t>2135</t>
  </si>
  <si>
    <t>聆风猎手</t>
  </si>
  <si>
    <t>enemy_2136_shcolo</t>
  </si>
  <si>
    <t>shcolo</t>
  </si>
  <si>
    <t>2136</t>
  </si>
  <si>
    <t>撼地遗众</t>
  </si>
  <si>
    <t>enemy_2137_shsdgo</t>
  </si>
  <si>
    <t>shsdgo</t>
  </si>
  <si>
    <t>2137</t>
  </si>
  <si>
    <t>猎犬proto</t>
  </si>
  <si>
    <t>enemy_2142_shsggd</t>
  </si>
  <si>
    <t>shsggd</t>
  </si>
  <si>
    <t>2142</t>
  </si>
  <si>
    <t>赤金条</t>
  </si>
  <si>
    <t>enemy_2149_shorsm</t>
  </si>
  <si>
    <t>shorsm</t>
  </si>
  <si>
    <t>2149</t>
  </si>
  <si>
    <t>源阶粒素</t>
  </si>
  <si>
    <t>enemy_2152_shezlc</t>
  </si>
  <si>
    <t>shezlc</t>
  </si>
  <si>
    <t>2152</t>
  </si>
  <si>
    <t>恶笼草</t>
  </si>
  <si>
    <t>enemy_2138_shdbjg</t>
  </si>
  <si>
    <t>shdbjg</t>
  </si>
  <si>
    <t>2138</t>
  </si>
  <si>
    <t>汉科</t>
  </si>
  <si>
    <t>enemy_2139_shdbj2</t>
  </si>
  <si>
    <t>shdbj2</t>
  </si>
  <si>
    <t>2139</t>
  </si>
  <si>
    <t>“大总统”汉科</t>
  </si>
  <si>
    <t>enemy_2140_shsgzd</t>
  </si>
  <si>
    <t>shsgzd</t>
  </si>
  <si>
    <t>2140</t>
  </si>
  <si>
    <t xml:space="preserve">德莱昂 </t>
  </si>
  <si>
    <t>enemy_2141_shsgz2</t>
  </si>
  <si>
    <t>shsgz2</t>
  </si>
  <si>
    <t>2141</t>
  </si>
  <si>
    <t>“征服者”德莱昂</t>
  </si>
  <si>
    <t>enemy_2143_shwksc</t>
  </si>
  <si>
    <t>shwksc</t>
  </si>
  <si>
    <t>2143</t>
  </si>
  <si>
    <t>埃尔伯特</t>
  </si>
  <si>
    <t>enemy_2144_shwks2</t>
  </si>
  <si>
    <t>shwks2</t>
  </si>
  <si>
    <t>2144</t>
  </si>
  <si>
    <t>“异端”埃尔伯特</t>
  </si>
  <si>
    <t>enemy_2145_cadejo</t>
  </si>
  <si>
    <t>cadejo</t>
  </si>
  <si>
    <t>2145</t>
  </si>
  <si>
    <t>卡德霍，黑流之源</t>
  </si>
  <si>
    <t>Skill_2_Begin,Skill_2_Loop,Skill_2_End</t>
  </si>
  <si>
    <t>enemy_2146_cadesd</t>
  </si>
  <si>
    <t>cadesd</t>
  </si>
  <si>
    <t>2146</t>
  </si>
  <si>
    <t>痛楚化身</t>
  </si>
  <si>
    <t>enemy_2147_shophm</t>
  </si>
  <si>
    <t>shophm</t>
  </si>
  <si>
    <t>2147</t>
  </si>
  <si>
    <t>洛伦茨，扰动之谬</t>
  </si>
  <si>
    <t>enemy_2148_shorbb</t>
  </si>
  <si>
    <t>shorbb</t>
  </si>
  <si>
    <t>2148</t>
  </si>
  <si>
    <t>源阶方</t>
  </si>
  <si>
    <t>enemy_2151_shwolf</t>
  </si>
  <si>
    <t>shwolf</t>
  </si>
  <si>
    <t>2151</t>
  </si>
  <si>
    <t>未名的荒原</t>
  </si>
  <si>
    <t>enemy_2150_shchmr</t>
  </si>
  <si>
    <t>shchmr</t>
  </si>
  <si>
    <t>2150</t>
  </si>
  <si>
    <t>玻利瓦尔，症结之核</t>
  </si>
  <si>
    <t>通用敌方近战攻击,症结锁血,症结锁血2</t>
  </si>
  <si>
    <t>D_Die</t>
  </si>
  <si>
    <t>enemy_4001_toxcarS</t>
  </si>
  <si>
    <t>小改造瓦斯车</t>
  </si>
  <si>
    <t>enemy_4001_toxcar_2S</t>
  </si>
  <si>
    <t>小高能瓦斯车</t>
  </si>
  <si>
    <t>普通,机械</t>
  </si>
  <si>
    <t>enemy_4004_muvltr</t>
  </si>
  <si>
    <t>muvltr</t>
  </si>
  <si>
    <t>赛场补给车</t>
  </si>
  <si>
    <t>enemy_4004_muvltr_2</t>
  </si>
  <si>
    <t>muvltr_2</t>
  </si>
  <si>
    <t>“天车散花”赛场补给车</t>
  </si>
  <si>
    <t>敌方汽水地雷</t>
  </si>
  <si>
    <t>swire2</t>
  </si>
  <si>
    <t>10031</t>
  </si>
  <si>
    <t>token_10031_swire2_gdtrap</t>
  </si>
  <si>
    <t>赛场补给车的地雷</t>
  </si>
  <si>
    <t>enemy_4005_musqrl</t>
  </si>
  <si>
    <t>musqrl</t>
  </si>
  <si>
    <t>鼷兽补给员</t>
  </si>
  <si>
    <t>普通,近战,野生动物</t>
  </si>
  <si>
    <t>enemy_4005_musqrl_2</t>
  </si>
  <si>
    <t>musqrl_2</t>
  </si>
  <si>
    <t>“力大如驮”鼷兽补给员</t>
  </si>
  <si>
    <t>enemy_4006_mumole</t>
  </si>
  <si>
    <t>mumole</t>
  </si>
  <si>
    <t>沙地兽补给员</t>
  </si>
  <si>
    <t>enemy_4006_mumole_2</t>
  </si>
  <si>
    <t>mumole_2</t>
  </si>
  <si>
    <t>“雨露均沾”沙地兽补给员</t>
  </si>
  <si>
    <t>enemy_4007_murino</t>
  </si>
  <si>
    <t>murino</t>
  </si>
  <si>
    <t>驮兽补给员</t>
  </si>
  <si>
    <t>enemy_4007_murino_2</t>
  </si>
  <si>
    <t>murino_2</t>
  </si>
  <si>
    <t>“胆小如鼷”驮兽补给员</t>
  </si>
  <si>
    <t>enemy_4008_mucat</t>
  </si>
  <si>
    <t>mucat</t>
  </si>
  <si>
    <t>重锤补给员</t>
  </si>
  <si>
    <t>enemy_4008_mucat_2</t>
  </si>
  <si>
    <t>mucat_2</t>
  </si>
  <si>
    <t>“横冲直撞”重锤补给员</t>
  </si>
  <si>
    <t>enemy_4009_murgby</t>
  </si>
  <si>
    <t>murgby</t>
  </si>
  <si>
    <t>铁头先锋</t>
  </si>
  <si>
    <t>enemy_4009_murgby_2</t>
  </si>
  <si>
    <t>murgby_2</t>
  </si>
  <si>
    <t>“一往无前”铁头前锋</t>
  </si>
  <si>
    <t>enemy_4010_mubsbl</t>
  </si>
  <si>
    <t>mubsbl</t>
  </si>
  <si>
    <t>长臂投手</t>
  </si>
  <si>
    <t>enemy_4010_mubsbl_2</t>
  </si>
  <si>
    <t>mubsbl_2</t>
  </si>
  <si>
    <t>“精准制导”长臂投手</t>
  </si>
  <si>
    <t>enemy_4012_mumssi</t>
  </si>
  <si>
    <t>mumssi</t>
  </si>
  <si>
    <t>阵地击球手</t>
  </si>
  <si>
    <t>普通,近战,野生动物,球员</t>
  </si>
  <si>
    <t>enemy_4012_mumssi_2</t>
  </si>
  <si>
    <t>mumssi_2</t>
  </si>
  <si>
    <t>“脚脚生风”阵地击球手</t>
  </si>
  <si>
    <t>enemy_4013_mubufn</t>
  </si>
  <si>
    <t>mubufn</t>
  </si>
  <si>
    <t>阵地守门员</t>
  </si>
  <si>
    <t>enemy_4013_mubufn_2</t>
  </si>
  <si>
    <t>mubufn_2</t>
  </si>
  <si>
    <t>“头头是门”阵地守门员</t>
  </si>
  <si>
    <t>enemy_4014_mugnfu</t>
  </si>
  <si>
    <t>mugnfu</t>
  </si>
  <si>
    <t>阵地击人手</t>
  </si>
  <si>
    <t>enemy_4014_mugnfu_2</t>
  </si>
  <si>
    <t>mugnfu_2</t>
  </si>
  <si>
    <t>“锤锤到肉”阵地击人手</t>
  </si>
  <si>
    <t>enemy_5501_arcbank</t>
  </si>
  <si>
    <t>arcbank</t>
  </si>
  <si>
    <t>5501</t>
  </si>
  <si>
    <t>大富翁</t>
  </si>
  <si>
    <t>enemy_5502_arcthf</t>
  </si>
  <si>
    <t>arcthf</t>
  </si>
  <si>
    <t>5502</t>
  </si>
  <si>
    <t>宝藏神偷</t>
  </si>
  <si>
    <t>enemy_5503_arcslma</t>
  </si>
  <si>
    <t>arcslma</t>
  </si>
  <si>
    <t>5503</t>
  </si>
  <si>
    <t>果冻小子</t>
  </si>
  <si>
    <t>animation</t>
  </si>
  <si>
    <t>enemy_5504_arcslmi</t>
  </si>
  <si>
    <t>arcslmi</t>
  </si>
  <si>
    <t>5504</t>
  </si>
  <si>
    <t>果冻丁</t>
  </si>
  <si>
    <t>enemy_5506_arcgoA</t>
  </si>
  <si>
    <t>arcgo</t>
  </si>
  <si>
    <t>enemy_5506_arcgo</t>
  </si>
  <si>
    <t>“搁浅零件”（舵轮）</t>
  </si>
  <si>
    <t>普通,召唤物</t>
  </si>
  <si>
    <t>enemy_5506_arcgoB</t>
  </si>
  <si>
    <t>“搁浅零件”（风浪）</t>
  </si>
  <si>
    <t>enemy_5506_arcgoC</t>
  </si>
  <si>
    <t>“搁浅零件”（双刀）</t>
  </si>
  <si>
    <t>Default3</t>
  </si>
  <si>
    <t>Idle3</t>
  </si>
  <si>
    <t>enemy_5507_arctolm</t>
  </si>
  <si>
    <t>arctolm</t>
  </si>
  <si>
    <t>5507</t>
  </si>
  <si>
    <t>喷泉“汽水侠”</t>
  </si>
  <si>
    <t>enemy_6001_trsgst</t>
  </si>
  <si>
    <t>trsgst</t>
  </si>
  <si>
    <t>飞腿毛贼</t>
  </si>
  <si>
    <t>enemy_6002_trswlf</t>
  </si>
  <si>
    <t>trswlf</t>
  </si>
  <si>
    <t>流眼泪侦探</t>
  </si>
  <si>
    <t>enemy_6003_trsslm</t>
  </si>
  <si>
    <t>trsslm</t>
  </si>
  <si>
    <t>“闪亮噗噜”</t>
  </si>
  <si>
    <t>enemy_6004_pleslm</t>
  </si>
  <si>
    <t>pleslm</t>
  </si>
  <si>
    <t>“米兰”</t>
  </si>
  <si>
    <t>F_b3</t>
  </si>
  <si>
    <t>领袖,近战,感染生物</t>
  </si>
  <si>
    <t>enemy_6005_llstone</t>
  </si>
  <si>
    <t>llstone</t>
  </si>
  <si>
    <t>圆岩巨像</t>
  </si>
  <si>
    <t>enemy_6006_fystone</t>
  </si>
  <si>
    <t>粗圆岩</t>
  </si>
  <si>
    <t>普通,远程,法术造物</t>
  </si>
  <si>
    <t>enemy_6007_mtslm</t>
  </si>
  <si>
    <t>mtslm</t>
  </si>
  <si>
    <t>“漫游小屋”</t>
  </si>
  <si>
    <t>enemy_6008_mtslms</t>
  </si>
  <si>
    <t>mtslms</t>
  </si>
  <si>
    <t>荧壳源石虫</t>
  </si>
  <si>
    <t>普通,感染生物</t>
  </si>
  <si>
    <t>enemy_6009_nlkgtbs</t>
  </si>
  <si>
    <t>nlkgtbs</t>
  </si>
  <si>
    <t>“暴食之果”</t>
  </si>
  <si>
    <t>领袖,感染生物</t>
  </si>
  <si>
    <t>enemy_6010_boxing</t>
  </si>
  <si>
    <t>boxing</t>
  </si>
  <si>
    <t>“年轻人”桑德尔</t>
  </si>
  <si>
    <t>enemy_6011_planty</t>
  </si>
  <si>
    <t>planty</t>
  </si>
  <si>
    <t>“自然的妥协”</t>
  </si>
  <si>
    <t>enemy_6012_plants</t>
  </si>
  <si>
    <t>plants</t>
  </si>
  <si>
    <t>小型共生体</t>
  </si>
  <si>
    <t>enemy_6013_smith</t>
  </si>
  <si>
    <t>smith</t>
  </si>
  <si>
    <t>“老妈的逆女”</t>
  </si>
  <si>
    <t>trap_113_snflwr</t>
  </si>
  <si>
    <t>snflwr</t>
  </si>
  <si>
    <t>全自动划账器</t>
  </si>
  <si>
    <t>enemy_6014_crzgas</t>
  </si>
  <si>
    <t>crzgas</t>
  </si>
  <si>
    <t>“毒瘤”</t>
  </si>
  <si>
    <t>保全毒瘤毒雾</t>
  </si>
  <si>
    <t>空物体</t>
  </si>
  <si>
    <t>“毒瘤”的毒雾</t>
  </si>
  <si>
    <t>环境单位</t>
  </si>
  <si>
    <t>使场上干员每秒损失生命，可被“毒瘤”强化</t>
  </si>
  <si>
    <t>enemy_6015_ictruck</t>
  </si>
  <si>
    <t>ictruck</t>
  </si>
  <si>
    <t>“超甜微笑”</t>
  </si>
  <si>
    <t>领袖,近战,机械</t>
  </si>
  <si>
    <t>enemy_6016_splash</t>
  </si>
  <si>
    <t>splash</t>
  </si>
  <si>
    <t>干渴者</t>
  </si>
  <si>
    <t>enemy_6017_icdrone</t>
  </si>
  <si>
    <t>icdrone</t>
  </si>
  <si>
    <t>甜蜜派送机</t>
  </si>
  <si>
    <t>enemy_6018_carrier</t>
  </si>
  <si>
    <t>carrier</t>
  </si>
  <si>
    <t>“无根之怨”</t>
  </si>
  <si>
    <t>C_Wings_All</t>
  </si>
  <si>
    <t>领袖,无人机,无根之怨</t>
  </si>
  <si>
    <t>enemy_6019_escort</t>
  </si>
  <si>
    <t>escort</t>
  </si>
  <si>
    <t>播种无人机</t>
  </si>
  <si>
    <t>普通,远程,无人机,播种无人机</t>
  </si>
  <si>
    <t>enemy_6020_orang</t>
  </si>
  <si>
    <t>orang</t>
  </si>
  <si>
    <t>“烈酒金刚”</t>
  </si>
  <si>
    <t>Front</t>
  </si>
  <si>
    <t>领袖,近战,机械,烈酒金刚</t>
  </si>
  <si>
    <t>enemy_6021_cask</t>
  </si>
  <si>
    <t>桶陈蜜酿</t>
  </si>
  <si>
    <t>enemy_6025_tinker</t>
  </si>
  <si>
    <t>tinker</t>
  </si>
  <si>
    <t>怨恨祭坛</t>
  </si>
  <si>
    <t>enemy_6026_techn</t>
  </si>
  <si>
    <t>techn</t>
  </si>
  <si>
    <t>巫术石球</t>
  </si>
  <si>
    <t>普通,法术造物</t>
  </si>
  <si>
    <t>enemy_7001_blwzad</t>
  </si>
  <si>
    <t>blwzad</t>
  </si>
  <si>
    <t>部族巫术师</t>
  </si>
  <si>
    <t>enemy_7001_blwzad_2</t>
  </si>
  <si>
    <t>blwzad_2</t>
  </si>
  <si>
    <t>王酋巫术师</t>
  </si>
  <si>
    <t>enemy_7002_veingd</t>
  </si>
  <si>
    <t>veingd</t>
  </si>
  <si>
    <t>矿脉守卫</t>
  </si>
  <si>
    <t>enemy_7002_veingd_2</t>
  </si>
  <si>
    <t>veingd_2</t>
  </si>
  <si>
    <t>狂化矿脉守卫</t>
  </si>
  <si>
    <t>enemy_7003_catapt</t>
  </si>
  <si>
    <t>catapt</t>
  </si>
  <si>
    <t>“都可以砸”</t>
  </si>
  <si>
    <t>enemy_7003_catapt_2</t>
  </si>
  <si>
    <t>catapt_2</t>
  </si>
  <si>
    <t>“都应该砸”</t>
  </si>
  <si>
    <t>enemy_7004_xbdeer</t>
  </si>
  <si>
    <t>xbdeer</t>
  </si>
  <si>
    <t>小角跳兽</t>
  </si>
  <si>
    <t>普通,近战,野生动物,跳兽</t>
  </si>
  <si>
    <t>enemy_7004_xbdeer_2</t>
  </si>
  <si>
    <t>xbdeer_2</t>
  </si>
  <si>
    <t>大角跳兽</t>
  </si>
  <si>
    <t>enemy_7005_xbbull</t>
  </si>
  <si>
    <t>xbbull</t>
  </si>
  <si>
    <t>苔生兽</t>
  </si>
  <si>
    <t>enemy_7005_xbbull_2</t>
  </si>
  <si>
    <t>xbbull_2</t>
  </si>
  <si>
    <t>茂密苔生兽</t>
  </si>
  <si>
    <t>enemy_7006_xbcrab</t>
  </si>
  <si>
    <t>xbcrab</t>
  </si>
  <si>
    <t>岩壳蟹</t>
  </si>
  <si>
    <t>enemy_7006_xbcrab_2</t>
  </si>
  <si>
    <t>xbcrab_2</t>
  </si>
  <si>
    <t>结晶岩壳蟹</t>
  </si>
  <si>
    <t>enemy_7007_xbbird_3</t>
  </si>
  <si>
    <t>xbbird_3</t>
  </si>
  <si>
    <t>落沙晶蹄兽</t>
  </si>
  <si>
    <t>enemy_7008_wrkwrk</t>
  </si>
  <si>
    <t>wrkwrk</t>
  </si>
  <si>
    <t>采集实习生</t>
  </si>
  <si>
    <t>enemy_7009_mtmoun</t>
  </si>
  <si>
    <t>mtmoun</t>
  </si>
  <si>
    <t>“不朽之人”</t>
  </si>
  <si>
    <t>enemy_7010_bldrgn</t>
  </si>
  <si>
    <t>bldrgn</t>
  </si>
  <si>
    <t>巨翼兽</t>
  </si>
  <si>
    <t>hitpoint</t>
  </si>
  <si>
    <t>enemy_7011_paki</t>
  </si>
  <si>
    <t>paki</t>
  </si>
  <si>
    <t>萨尔贡契约刺客</t>
  </si>
  <si>
    <t>enemy_7012_wilder</t>
  </si>
  <si>
    <t>wilder</t>
  </si>
  <si>
    <t>无阻冲锋官</t>
  </si>
  <si>
    <t>enemy_7013_slwazd</t>
  </si>
  <si>
    <t>slwazd</t>
  </si>
  <si>
    <t>“召毁者”</t>
  </si>
  <si>
    <t>enemy_7014_dva</t>
  </si>
  <si>
    <t>dva</t>
  </si>
  <si>
    <t>“搭档”</t>
  </si>
  <si>
    <t>enemy_7015_xbcrab2</t>
  </si>
  <si>
    <t>xbcrab2</t>
  </si>
  <si>
    <t>“钳钳生风”</t>
  </si>
  <si>
    <t>enemy_7016_shushu</t>
  </si>
  <si>
    <t>shushu</t>
  </si>
  <si>
    <t>7016</t>
  </si>
  <si>
    <t>荒地鼷兽</t>
  </si>
  <si>
    <t>普通,近战,沙洲遗闻鼠鼠</t>
  </si>
  <si>
    <t>enemy_7017_miner</t>
  </si>
  <si>
    <t>miner</t>
  </si>
  <si>
    <t>7017</t>
  </si>
  <si>
    <t>采掘苦工</t>
  </si>
  <si>
    <t>enemy_7018_scarab</t>
  </si>
  <si>
    <t>scarab</t>
  </si>
  <si>
    <t>7018</t>
  </si>
  <si>
    <t>爆裂源石虫</t>
  </si>
  <si>
    <t>enemy_7019_thief</t>
  </si>
  <si>
    <t>thief</t>
  </si>
  <si>
    <t>7019</t>
  </si>
  <si>
    <t>旷野流贼</t>
  </si>
  <si>
    <t>enemy_7020_xbtor</t>
  </si>
  <si>
    <t>xbtor</t>
  </si>
  <si>
    <t>7020</t>
  </si>
  <si>
    <t>刺棱壳兽</t>
  </si>
  <si>
    <t>enemy_7021_xbmoth</t>
  </si>
  <si>
    <t>xbmoth</t>
  </si>
  <si>
    <t>7021</t>
  </si>
  <si>
    <t>荧羽兽</t>
  </si>
  <si>
    <t>enemy_7022_gatgod</t>
  </si>
  <si>
    <t>gatgod</t>
  </si>
  <si>
    <t>7022</t>
  </si>
  <si>
    <t>翠梦祭司</t>
  </si>
  <si>
    <t>enemy_7023_gatbb</t>
  </si>
  <si>
    <t>gatbb</t>
  </si>
  <si>
    <t>7023</t>
  </si>
  <si>
    <t>翠梦使者</t>
  </si>
  <si>
    <t>enemy_7024_clking</t>
  </si>
  <si>
    <t>clking</t>
  </si>
  <si>
    <t>7024</t>
  </si>
  <si>
    <t>行脚艺人</t>
  </si>
  <si>
    <t>enemy_7025_clbb</t>
  </si>
  <si>
    <t>clbb</t>
  </si>
  <si>
    <t>7025</t>
  </si>
  <si>
    <t>行脚艺徒</t>
  </si>
  <si>
    <t>enemy_7026_xbele</t>
  </si>
  <si>
    <t>xbele</t>
  </si>
  <si>
    <t>7026</t>
  </si>
  <si>
    <t>时光守卫</t>
  </si>
  <si>
    <t>enemy_7027_xbbtl</t>
  </si>
  <si>
    <t>xbbtl</t>
  </si>
  <si>
    <t>晶玲兽</t>
  </si>
  <si>
    <t>领袖,远程,晶玲兽</t>
  </si>
  <si>
    <t>enemy_7028_xbscp</t>
  </si>
  <si>
    <t>xbscp</t>
  </si>
  <si>
    <t>晶珑兽</t>
  </si>
  <si>
    <t>enemy_7030_skodo</t>
  </si>
  <si>
    <t>skodo</t>
  </si>
  <si>
    <t>纵尘者</t>
  </si>
  <si>
    <t>enemy_7029_pilot</t>
  </si>
  <si>
    <t>pilot</t>
  </si>
  <si>
    <t>浮袭者</t>
  </si>
  <si>
    <t>enemy_7031_ghking</t>
  </si>
  <si>
    <t>ghking</t>
  </si>
  <si>
    <t>湮灭者</t>
  </si>
  <si>
    <t>enemy_7033_xbdrcar</t>
  </si>
  <si>
    <t>xbdrcar</t>
  </si>
  <si>
    <t>7033</t>
  </si>
  <si>
    <t>采掘机</t>
  </si>
  <si>
    <t>enemy_7046_xbslug</t>
  </si>
  <si>
    <t>xbslug</t>
  </si>
  <si>
    <t>7046</t>
  </si>
  <si>
    <t>披甲源石虫</t>
  </si>
  <si>
    <t>enemy_7045_xbtd</t>
  </si>
  <si>
    <t>xbtd</t>
  </si>
  <si>
    <t>7045</t>
  </si>
  <si>
    <t>冲锋源石虫</t>
  </si>
  <si>
    <t>enemy_7044_xblbug</t>
  </si>
  <si>
    <t>xblbug</t>
  </si>
  <si>
    <t>7044</t>
  </si>
  <si>
    <t>振翅源石虫</t>
  </si>
  <si>
    <t>enemy_7034_xbmsn</t>
  </si>
  <si>
    <t>xbmsn</t>
  </si>
  <si>
    <t>7034</t>
  </si>
  <si>
    <t>勤奋劳工</t>
  </si>
  <si>
    <t>普通,刁民,中立单位</t>
  </si>
  <si>
    <t>enemy_7049_xbnum</t>
  </si>
  <si>
    <t>xbnum</t>
  </si>
  <si>
    <t>7049</t>
  </si>
  <si>
    <t>放归驮兽</t>
  </si>
  <si>
    <t>enemy_7047_xbdit</t>
  </si>
  <si>
    <t>xbdit</t>
  </si>
  <si>
    <t>7047</t>
  </si>
  <si>
    <t>“流质透镜”</t>
  </si>
  <si>
    <t>精英,远程,野生动物</t>
  </si>
  <si>
    <t>enemy_7051_xbcas</t>
  </si>
  <si>
    <t>xbcas</t>
  </si>
  <si>
    <t>7051</t>
  </si>
  <si>
    <t>拟南兽</t>
  </si>
  <si>
    <t>精英,远程,野生动物,异兽</t>
  </si>
  <si>
    <t>enemy_7051_xbcasF</t>
  </si>
  <si>
    <t>拟南兽（我方）</t>
  </si>
  <si>
    <t>精英,远程,野生动物,我方异兽</t>
  </si>
  <si>
    <t>enemy_7054_xbsmi</t>
  </si>
  <si>
    <t>xbsmi</t>
  </si>
  <si>
    <t>7054</t>
  </si>
  <si>
    <t>香草翼兽</t>
  </si>
  <si>
    <t>enemy_7057_xbrok</t>
  </si>
  <si>
    <t>xbrok</t>
  </si>
  <si>
    <t>7057</t>
  </si>
  <si>
    <t>游砂兽</t>
  </si>
  <si>
    <t>enemy_8001_flmlodS</t>
  </si>
  <si>
    <t>flmlod</t>
  </si>
  <si>
    <t>enemy_8001_flmlod</t>
  </si>
  <si>
    <t>熔戈者，护王余火S</t>
  </si>
  <si>
    <t>Hitpoint</t>
  </si>
  <si>
    <t>领袖,远程,萨卡兹,炎魔,支援单位</t>
  </si>
  <si>
    <t>C1_Revive_Die</t>
  </si>
  <si>
    <t>enemy_8006_flmgdS</t>
  </si>
  <si>
    <t>flmgd</t>
  </si>
  <si>
    <t>enemy_8006_flmgd</t>
  </si>
  <si>
    <t>再铸扈从S</t>
  </si>
  <si>
    <t>精英,近战,炎魔眷属</t>
  </si>
  <si>
    <t>enemy_8007_eltrsm</t>
  </si>
  <si>
    <t>eltrsm</t>
  </si>
  <si>
    <t>“迷迭香”，虚实之握</t>
  </si>
  <si>
    <t>领袖,迷迭香</t>
  </si>
  <si>
    <t>enemy_8008_eltswd</t>
  </si>
  <si>
    <t>rosmon</t>
  </si>
  <si>
    <t>token_10012_rosmon_shield</t>
  </si>
  <si>
    <t>矢量战术装备</t>
  </si>
  <si>
    <t>精英,战术装备,迷迭香</t>
  </si>
  <si>
    <t>enemy_8008_eltswd2</t>
  </si>
  <si>
    <t>矢量战术装备力场形态</t>
  </si>
  <si>
    <t>精英,战术装备2,迷迭香</t>
  </si>
  <si>
    <t>enemy_8009_eltufo</t>
  </si>
  <si>
    <t>eltufo</t>
  </si>
  <si>
    <t>“迷迭香”的无人机</t>
  </si>
  <si>
    <t>精英,远程,迷迭香无人机</t>
  </si>
  <si>
    <t>enemy_8009_eltufo2</t>
  </si>
  <si>
    <t>迷迭香无人机补给形态</t>
  </si>
  <si>
    <t>enemy_1007_test</t>
  </si>
  <si>
    <t>源石虫测试用</t>
  </si>
  <si>
    <t>通用敌方近战攻击,测试技能</t>
  </si>
  <si>
    <t>#备注</t>
  </si>
  <si>
    <t>技能名</t>
  </si>
  <si>
    <t>描述</t>
  </si>
  <si>
    <t>图标</t>
  </si>
  <si>
    <t>专精程度</t>
  </si>
  <si>
    <t>使用条件</t>
  </si>
  <si>
    <t>无视眩晕</t>
  </si>
  <si>
    <t>激活方式</t>
  </si>
  <si>
    <t>使用方式</t>
  </si>
  <si>
    <t>激活时点</t>
  </si>
  <si>
    <t>技能消耗</t>
  </si>
  <si>
    <t>最大使用次数</t>
  </si>
  <si>
    <t>有buff则启用</t>
  </si>
  <si>
    <t>有buff则禁用</t>
  </si>
  <si>
    <t>目标有buff则启用</t>
  </si>
  <si>
    <t>目标有buff则禁用</t>
  </si>
  <si>
    <t>技能开启禁用</t>
  </si>
  <si>
    <t>自身血量低于启用</t>
  </si>
  <si>
    <t>目标血量高于启用</t>
  </si>
  <si>
    <t>自动开启</t>
  </si>
  <si>
    <t>无目标照样启动</t>
  </si>
  <si>
    <t>生效时重取目标</t>
  </si>
  <si>
    <t>阻挡时打断</t>
  </si>
  <si>
    <t>生效概率</t>
  </si>
  <si>
    <t>开启时打断其他</t>
  </si>
  <si>
    <t>敌对组</t>
  </si>
  <si>
    <t>对空</t>
  </si>
  <si>
    <t>使用事件来源</t>
  </si>
  <si>
    <t>使用事件目标</t>
  </si>
  <si>
    <t>过滤器</t>
  </si>
  <si>
    <t>是否包括死亡单位</t>
  </si>
  <si>
    <t>职业限定</t>
  </si>
  <si>
    <t>单位限定</t>
  </si>
  <si>
    <t>星级限定</t>
  </si>
  <si>
    <t>位置限定</t>
  </si>
  <si>
    <t>费用限定</t>
  </si>
  <si>
    <t>可否攻击装置</t>
  </si>
  <si>
    <t>攻击优先级</t>
  </si>
  <si>
    <t>攻击优先级2</t>
  </si>
  <si>
    <t>优先tag</t>
  </si>
  <si>
    <t>优先Buff</t>
  </si>
  <si>
    <t>自定义优先级</t>
  </si>
  <si>
    <t>干员攻击范围</t>
  </si>
  <si>
    <t>攻击地板</t>
  </si>
  <si>
    <t>攻击范围</t>
  </si>
  <si>
    <t>跟随普攻的攻击范围</t>
  </si>
  <si>
    <t>伤害类型</t>
  </si>
  <si>
    <t>是否治疗</t>
  </si>
  <si>
    <t>倍率</t>
  </si>
  <si>
    <t>倍率乘以cd</t>
  </si>
  <si>
    <t>伤害基准</t>
  </si>
  <si>
    <t>吸血</t>
  </si>
  <si>
    <t>伤害个数</t>
  </si>
  <si>
    <t>连发次数</t>
  </si>
  <si>
    <t>连发间隔</t>
  </si>
  <si>
    <t>连发重新索敌</t>
  </si>
  <si>
    <t>溅射范围</t>
  </si>
  <si>
    <t>溅射主体伤害</t>
  </si>
  <si>
    <t>溅射伤害</t>
  </si>
  <si>
    <t>推力</t>
  </si>
  <si>
    <t>费用获取</t>
  </si>
  <si>
    <t>关联技能</t>
  </si>
  <si>
    <t>附加技能</t>
  </si>
  <si>
    <t>权重</t>
  </si>
  <si>
    <t>技能升级</t>
  </si>
  <si>
    <t>冷却</t>
  </si>
  <si>
    <t>持续时间</t>
  </si>
  <si>
    <t>可停止</t>
  </si>
  <si>
    <t>初始技力</t>
  </si>
  <si>
    <t>最大技力</t>
  </si>
  <si>
    <t>囤积次数</t>
  </si>
  <si>
    <t>回复方式</t>
  </si>
  <si>
    <t>需阻挡</t>
  </si>
  <si>
    <t>消耗方式</t>
  </si>
  <si>
    <t>攻击动作</t>
  </si>
  <si>
    <t>攻击动作强制抬手时间</t>
  </si>
  <si>
    <t>向下攻击动作</t>
  </si>
  <si>
    <t>覆盖动作</t>
  </si>
  <si>
    <t>向下覆盖动作</t>
  </si>
  <si>
    <t>攻击模式</t>
  </si>
  <si>
    <t>子弹</t>
  </si>
  <si>
    <t>子弹起始点</t>
  </si>
  <si>
    <t>修饰器</t>
  </si>
  <si>
    <t>修饰器信息</t>
  </si>
  <si>
    <t>元素损伤</t>
  </si>
  <si>
    <t>消去buff</t>
  </si>
  <si>
    <t>关联Buff</t>
  </si>
  <si>
    <t>buff数值</t>
  </si>
  <si>
    <t>buff数值2</t>
  </si>
  <si>
    <t>buff数值3</t>
  </si>
  <si>
    <t>Buff几率</t>
  </si>
  <si>
    <t>Buff依赖技能范围</t>
  </si>
  <si>
    <t>自定数据</t>
  </si>
  <si>
    <t>就绪动画</t>
  </si>
  <si>
    <t>启动动画</t>
  </si>
  <si>
    <t>生效动画</t>
  </si>
  <si>
    <t>命中动画</t>
  </si>
  <si>
    <t>聚集动画</t>
  </si>
  <si>
    <t>循环启动动画</t>
  </si>
  <si>
    <t>循环生效动画</t>
  </si>
  <si>
    <t>反隐</t>
  </si>
  <si>
    <t>可破坏</t>
  </si>
  <si>
    <t>是隐藏主动技能</t>
  </si>
  <si>
    <t>无视睡眠</t>
  </si>
  <si>
    <t>无视无敌</t>
  </si>
  <si>
    <t>禁用转身</t>
  </si>
  <si>
    <t>Desc</t>
  </si>
  <si>
    <t>Icon</t>
  </si>
  <si>
    <t>SkillCondition</t>
  </si>
  <si>
    <t>IgnoreStun</t>
  </si>
  <si>
    <t>ReadyType</t>
  </si>
  <si>
    <t>UseType</t>
  </si>
  <si>
    <t>Trigger</t>
  </si>
  <si>
    <t>SkillCost</t>
  </si>
  <si>
    <t>MaxUseCount</t>
  </si>
  <si>
    <t>EnableBuff</t>
  </si>
  <si>
    <t>DisableBuff</t>
  </si>
  <si>
    <t>TargetEnableBuff</t>
  </si>
  <si>
    <t>TargetDisableBuff</t>
  </si>
  <si>
    <t>OpenDisable</t>
  </si>
  <si>
    <t>SelfHpLess</t>
  </si>
  <si>
    <t>TargetHpLess</t>
  </si>
  <si>
    <t>TargetHpMore</t>
  </si>
  <si>
    <t>AutoUse</t>
  </si>
  <si>
    <t>NoTargetAlsoUse</t>
  </si>
  <si>
    <t>RegetTarget</t>
  </si>
  <si>
    <t>StopBreak</t>
  </si>
  <si>
    <t>EffectiveRate</t>
  </si>
  <si>
    <t>StopOtherSkill</t>
  </si>
  <si>
    <t>TargetTeam</t>
  </si>
  <si>
    <t>AttackFly</t>
  </si>
  <si>
    <t>UseEventUser</t>
  </si>
  <si>
    <t>UseEventTarget</t>
  </si>
  <si>
    <t>TargetFilter</t>
  </si>
  <si>
    <t>DeadFind</t>
  </si>
  <si>
    <t>ProfessionLimit</t>
  </si>
  <si>
    <t>UnitLimit</t>
  </si>
  <si>
    <t>RareLimit</t>
  </si>
  <si>
    <t>PosLimit</t>
  </si>
  <si>
    <t>CostLimit</t>
  </si>
  <si>
    <t>MidLimit</t>
  </si>
  <si>
    <t>AttackOrder</t>
  </si>
  <si>
    <t>AttackOrder2</t>
  </si>
  <si>
    <t>OrderTag</t>
  </si>
  <si>
    <t>OrderBuff</t>
  </si>
  <si>
    <t>OrderExpression</t>
  </si>
  <si>
    <t>AttackPoints</t>
  </si>
  <si>
    <t>AttackPoint</t>
  </si>
  <si>
    <t>AttackRange</t>
  </si>
  <si>
    <t>AttackAreaWithMain</t>
  </si>
  <si>
    <t>DamageType</t>
  </si>
  <si>
    <t>IfHeal</t>
  </si>
  <si>
    <t>DamageRate</t>
  </si>
  <si>
    <t>DamageWithFrameRate</t>
  </si>
  <si>
    <t>DamageBase</t>
  </si>
  <si>
    <t>LifeSteal</t>
  </si>
  <si>
    <t>DamageCount</t>
  </si>
  <si>
    <t>BurstCount</t>
  </si>
  <si>
    <t>BurstDelay</t>
  </si>
  <si>
    <t>BurstFind</t>
  </si>
  <si>
    <t>AreaPoints</t>
  </si>
  <si>
    <t>AreaNoCheck</t>
  </si>
  <si>
    <t>AreaRange</t>
  </si>
  <si>
    <t>AreaMainDamage</t>
  </si>
  <si>
    <t>AreaDamage</t>
  </si>
  <si>
    <t>PushPower</t>
  </si>
  <si>
    <t>CostCount</t>
  </si>
  <si>
    <t>ExSkills</t>
  </si>
  <si>
    <t>ExSkillWeight</t>
  </si>
  <si>
    <t>UpgradeSkill</t>
  </si>
  <si>
    <t>Cooldown</t>
  </si>
  <si>
    <t>OpenTime</t>
  </si>
  <si>
    <t>StartPower</t>
  </si>
  <si>
    <t>MaxPower</t>
  </si>
  <si>
    <t>PowerCount</t>
  </si>
  <si>
    <t>PowerType</t>
  </si>
  <si>
    <t>PowerStopNeed</t>
  </si>
  <si>
    <t>PowerUseType</t>
  </si>
  <si>
    <t>ModelAnimation</t>
  </si>
  <si>
    <t>AnimationTime</t>
  </si>
  <si>
    <t>ModelAnimationDown</t>
  </si>
  <si>
    <t>OverwriteAnimation</t>
  </si>
  <si>
    <t>OverwriteAnimationDown</t>
  </si>
  <si>
    <t>AttackMode</t>
  </si>
  <si>
    <t>Bullet</t>
  </si>
  <si>
    <t>ShootPoint</t>
  </si>
  <si>
    <t>Modifys</t>
  </si>
  <si>
    <t>ModifyDatas</t>
  </si>
  <si>
    <t>ElementInjure</t>
  </si>
  <si>
    <t>BuffRemoves</t>
  </si>
  <si>
    <t>Buffs</t>
  </si>
  <si>
    <t>BuffData</t>
  </si>
  <si>
    <t>BuffData2</t>
  </si>
  <si>
    <t>BuffData3</t>
  </si>
  <si>
    <t>BuffLastTime</t>
  </si>
  <si>
    <t>BuffChance</t>
  </si>
  <si>
    <t>BuffRely</t>
  </si>
  <si>
    <t>Data</t>
  </si>
  <si>
    <t>ReadyEffect</t>
  </si>
  <si>
    <t>StartEffect</t>
  </si>
  <si>
    <t>CastEffect</t>
  </si>
  <si>
    <t>HitEffect</t>
  </si>
  <si>
    <t>EffectEffect</t>
  </si>
  <si>
    <t>GatherEffect</t>
  </si>
  <si>
    <t>LoopStartEffect</t>
  </si>
  <si>
    <t>LoopCastEffect</t>
  </si>
  <si>
    <t>AntiHide</t>
  </si>
  <si>
    <t>CanDestory</t>
  </si>
  <si>
    <t>NotAttackFlag</t>
  </si>
  <si>
    <t>IgnoreSleep</t>
  </si>
  <si>
    <t>IgnoreSelectable</t>
  </si>
  <si>
    <t>DisableScaleX</t>
  </si>
  <si>
    <t>SkillReadyEnum</t>
  </si>
  <si>
    <t>SkillUseTypeEnum</t>
  </si>
  <si>
    <t>TriggerEnum</t>
  </si>
  <si>
    <t>SkillTargetFilterEnum</t>
  </si>
  <si>
    <t>AttackTargetOrderEnum</t>
  </si>
  <si>
    <t>AttackTargetOrder2Enum</t>
  </si>
  <si>
    <t>UnityEngine.Vector2Int[]</t>
  </si>
  <si>
    <t>DamageTypeEnum</t>
  </si>
  <si>
    <t>int[]</t>
  </si>
  <si>
    <t>SkillData</t>
  </si>
  <si>
    <t>PowerRecoverTypeEnum</t>
  </si>
  <si>
    <t>float?</t>
  </si>
  <si>
    <t>AttackModeEnum</t>
  </si>
  <si>
    <t>BulletData</t>
  </si>
  <si>
    <t>ModifyData[]</t>
  </si>
  <si>
    <t>EffectData</t>
  </si>
  <si>
    <t>EffectData[]</t>
  </si>
  <si>
    <t>#注意！！！技能的优先顺序是按照此表的顺序来的，排越靠下优先级越高#</t>
  </si>
  <si>
    <t>对我方神经损伤</t>
  </si>
  <si>
    <t>全局技能</t>
  </si>
  <si>
    <t>被动</t>
  </si>
  <si>
    <t>自身元素爆发</t>
  </si>
  <si>
    <t>仅自己</t>
  </si>
  <si>
    <t>Element</t>
  </si>
  <si>
    <t>眩晕</t>
  </si>
  <si>
    <t>{"ElementType":"Sanity"}</t>
  </si>
  <si>
    <t>对敌方神经损伤</t>
  </si>
  <si>
    <t>神经损伤麻痹</t>
  </si>
  <si>
    <t>对敌方灼燃损伤</t>
  </si>
  <si>
    <t>灼燃损伤减法抗</t>
  </si>
  <si>
    <t>{"ElementType":"Fire"}</t>
  </si>
  <si>
    <t>对敌方凋亡损伤</t>
  </si>
  <si>
    <t>凋亡中毒,凋亡虚弱</t>
  </si>
  <si>
    <t>{"ElementType":"Dark"}</t>
  </si>
  <si>
    <t>通用绝食</t>
  </si>
  <si>
    <t>普通技能</t>
  </si>
  <si>
    <t>入场</t>
  </si>
  <si>
    <t>绝食2</t>
  </si>
  <si>
    <t>三星被动加攻击</t>
  </si>
  <si>
    <t>出场</t>
  </si>
  <si>
    <t>攻击提升2</t>
  </si>
  <si>
    <t>三星被动加生命</t>
  </si>
  <si>
    <t>生命提升2</t>
  </si>
  <si>
    <t>三星被动加防御</t>
  </si>
  <si>
    <t>防御提升2</t>
  </si>
  <si>
    <t>三星被动减费</t>
  </si>
  <si>
    <t>部署费用提升2</t>
  </si>
  <si>
    <t>三星被动加攻血</t>
  </si>
  <si>
    <t>攻击提升2,生命提升2</t>
  </si>
  <si>
    <t>攻击力强化·α型</t>
  </si>
  <si>
    <t>攻击力+50%</t>
  </si>
  <si>
    <t>skill_icon_skcom_atk_up[1]</t>
  </si>
  <si>
    <t>充能释放</t>
  </si>
  <si>
    <t>手动</t>
  </si>
  <si>
    <t>自动</t>
  </si>
  <si>
    <t>泡普卡加攻</t>
  </si>
  <si>
    <t>攻击强化2</t>
  </si>
  <si>
    <t>攻击力强化·β型</t>
  </si>
  <si>
    <t>攻击力+80%</t>
  </si>
  <si>
    <t>skill_icon_skcom_atk_up[2]</t>
  </si>
  <si>
    <t>攻击强化3</t>
  </si>
  <si>
    <t>攻击力强化·γ型</t>
  </si>
  <si>
    <t>攻击力+100%</t>
  </si>
  <si>
    <t>skill_icon_skcom_atk_up[3]</t>
  </si>
  <si>
    <t>战术咏唱·α型</t>
  </si>
  <si>
    <t>攻击速度+50</t>
  </si>
  <si>
    <t>skill_icon_skcom_magic_rage[1]</t>
  </si>
  <si>
    <t>炎溶攻速提升</t>
  </si>
  <si>
    <t>攻速强化2</t>
  </si>
  <si>
    <t>战术咏唱·β型</t>
  </si>
  <si>
    <t>攻击速度+75</t>
  </si>
  <si>
    <t>skill_icon_skcom_magic_rage[2]</t>
  </si>
  <si>
    <t>攻速强化3</t>
  </si>
  <si>
    <t>战术咏唱·γ型</t>
  </si>
  <si>
    <t>攻击速度+90</t>
  </si>
  <si>
    <t>skill_icon_skcom_magic_rage[3]</t>
  </si>
  <si>
    <t>阿米娅攻速</t>
  </si>
  <si>
    <t>迅捷打击·α型</t>
  </si>
  <si>
    <t>攻击力+25%，攻击速度+25</t>
  </si>
  <si>
    <t>skill_icon_skcom_quickattack[1]</t>
  </si>
  <si>
    <t>泡普卡加攻,攻速提升</t>
  </si>
  <si>
    <t>迅捷打击3</t>
  </si>
  <si>
    <t>迅捷打击·γ型</t>
  </si>
  <si>
    <t>攻击力+45%，攻击速度+45</t>
  </si>
  <si>
    <t>skill_icon_skcom_quickattack[3]</t>
  </si>
  <si>
    <t>通用攻击攻速</t>
  </si>
  <si>
    <t>0.45,45</t>
  </si>
  <si>
    <t>治疗强化·α型</t>
  </si>
  <si>
    <t>skill_icon_skcom_heal_up[1]</t>
  </si>
  <si>
    <t>斑点加攻</t>
  </si>
  <si>
    <t>治疗强化2</t>
  </si>
  <si>
    <t>治疗强化·β型</t>
  </si>
  <si>
    <t>攻击力+70%</t>
  </si>
  <si>
    <t>skill_icon_skcom_heal_up[2]</t>
  </si>
  <si>
    <t>治疗强化3</t>
  </si>
  <si>
    <t>治疗强化·γ型</t>
  </si>
  <si>
    <t>攻击力+90%</t>
  </si>
  <si>
    <t>skill_icon_skcom_heal_up[3]</t>
  </si>
  <si>
    <t>生命回复·α型</t>
  </si>
  <si>
    <t>立即恢复最大生命的40%</t>
  </si>
  <si>
    <t>skill_icon_skcom_heal_self[1]</t>
  </si>
  <si>
    <t>治疗击中</t>
  </si>
  <si>
    <t>生命回复2</t>
  </si>
  <si>
    <t>生命回复·β型</t>
  </si>
  <si>
    <t>立即恢复最大生命的50%</t>
  </si>
  <si>
    <t>skill_icon_skcom_heal_self[2]</t>
  </si>
  <si>
    <t>防御力强化·α型</t>
  </si>
  <si>
    <t>防御力+50%</t>
  </si>
  <si>
    <t>skill_icon_skcom_def_up[1]</t>
  </si>
  <si>
    <t>米格鲁防御提升</t>
  </si>
  <si>
    <t>防御力强化·β型</t>
  </si>
  <si>
    <t>防御力+80%</t>
  </si>
  <si>
    <t>skill_icon_skcom_def_up[2]</t>
  </si>
  <si>
    <t>防御提升3</t>
  </si>
  <si>
    <t>防御力强化·γ型</t>
  </si>
  <si>
    <t>防御力+100%</t>
  </si>
  <si>
    <t>skill_icon_skcom_def_up[3]</t>
  </si>
  <si>
    <t>通用干员链式弹道索敌</t>
  </si>
  <si>
    <t>禁止主动</t>
  </si>
  <si>
    <t>放置降序</t>
  </si>
  <si>
    <t>0,0#-1,-1#0,-1#1,-1#-1,0#1,0#-1,1#0,1#1,1</t>
  </si>
  <si>
    <t>医疗小车攻击</t>
  </si>
  <si>
    <t>血量比例升序</t>
  </si>
  <si>
    <t>0,0#0,1#0,-1#1,0#2,0#1,1#1,-1#2,1#2,-1#3,0</t>
  </si>
  <si>
    <t>跟随攻击</t>
  </si>
  <si>
    <t>凯尔希弹道</t>
  </si>
  <si>
    <t>医疗小车落地奶</t>
  </si>
  <si>
    <t>自己入场</t>
  </si>
  <si>
    <t>近卫小车攻击</t>
  </si>
  <si>
    <t>终点距离</t>
  </si>
  <si>
    <t>0,0#1,0</t>
  </si>
  <si>
    <t>Normal</t>
  </si>
  <si>
    <t>切割击中</t>
  </si>
  <si>
    <t>近卫小车加攻</t>
  </si>
  <si>
    <t>攻击提升,防御提升</t>
  </si>
  <si>
    <t>黑角被动</t>
  </si>
  <si>
    <t>攻击提升2,防御提升2</t>
  </si>
  <si>
    <t>飞行</t>
  </si>
  <si>
    <t>普通弓箭</t>
  </si>
  <si>
    <t>对空伤害</t>
  </si>
  <si>
    <t>克洛斯启动技能</t>
  </si>
  <si>
    <t>普通击中</t>
  </si>
  <si>
    <t>杜林攻击</t>
  </si>
  <si>
    <t>0,0#0,1#0,-1#1,0#2,0#1,1#1,-1#2,1#2,-1</t>
  </si>
  <si>
    <t>Magic</t>
  </si>
  <si>
    <t>普通法球</t>
  </si>
  <si>
    <t>弱点伤害</t>
  </si>
  <si>
    <t>魔法击中</t>
  </si>
  <si>
    <t>杜林被动</t>
  </si>
  <si>
    <t>法术闪避,限伤1</t>
  </si>
  <si>
    <t>杜林检测</t>
  </si>
  <si>
    <t>清除射弹</t>
  </si>
  <si>
    <t>0,0#0,1#0,-1#1,0#2,0#1,1#1,-1#2,1#2,-1#3,0#3,1#3,-1#4,0</t>
  </si>
  <si>
    <t>杜林检测1</t>
  </si>
  <si>
    <t>0,0</t>
  </si>
  <si>
    <t>次级治疗模式</t>
  </si>
  <si>
    <t>攻击力+45%，停止攻击并专心对周围的友方角色进行治疗</t>
  </si>
  <si>
    <t>skill_icon_skchr_spot_1</t>
  </si>
  <si>
    <t>特技激活</t>
  </si>
  <si>
    <t>0,0#0,1#0,-1#1,0#1,1#1,-1#-1,0#-1,1#-1,-1</t>
  </si>
  <si>
    <t>斑点攻击力提升,斑点缴械自己</t>
  </si>
  <si>
    <t>斑点弹道</t>
  </si>
  <si>
    <t>斑点闪避</t>
  </si>
  <si>
    <t>斑点技能击中</t>
  </si>
  <si>
    <t>斑点攻击力提升</t>
  </si>
  <si>
    <t>释放技能</t>
  </si>
  <si>
    <t>斑点缴械自己</t>
  </si>
  <si>
    <t>缴械</t>
  </si>
  <si>
    <t>泡普卡攻击</t>
  </si>
  <si>
    <t>群攻</t>
  </si>
  <si>
    <t>泡普卡击中</t>
  </si>
  <si>
    <t>月见夜攻击</t>
  </si>
  <si>
    <t>暴击1</t>
  </si>
  <si>
    <t>月见夜击中</t>
  </si>
  <si>
    <t>月见夜远攻</t>
  </si>
  <si>
    <t>0,0#0,1#0,-1#1,0#2,0#1,1#1,-1#3,0</t>
  </si>
  <si>
    <t>Attack_Start,Attack_Loop,Attack_End</t>
  </si>
  <si>
    <t>月见夜弹道</t>
  </si>
  <si>
    <t>月见夜技能攻击</t>
  </si>
  <si>
    <t>月见夜技能击中</t>
  </si>
  <si>
    <t>武器附魔·α型</t>
  </si>
  <si>
    <t>攻击力+35%，伤害类型变为法术。</t>
  </si>
  <si>
    <t>skill_icon_skcom_enchant[1]</t>
  </si>
  <si>
    <t>月见夜技能攻击,月见夜攻击力提升</t>
  </si>
  <si>
    <t>月见夜技能弹道</t>
  </si>
  <si>
    <t>月见夜攻击力提升</t>
  </si>
  <si>
    <t>空爆攻击</t>
  </si>
  <si>
    <t>空爆弹道</t>
  </si>
  <si>
    <t>空爆启动</t>
  </si>
  <si>
    <t>空爆击中</t>
  </si>
  <si>
    <t>爆破范围提升·α型</t>
  </si>
  <si>
    <t>普通攻击的爆炸范围提升至200%</t>
  </si>
  <si>
    <t>skill_icon_skcom_blowrange_up[1]</t>
  </si>
  <si>
    <t>空爆技能动画</t>
  </si>
  <si>
    <t>梓兰攻击</t>
  </si>
  <si>
    <t>0,0#0,1#0,-1#1,0#2,0#1,1#1,-1#2,1#2,-1#-1,0#-1,1#-1,-1</t>
  </si>
  <si>
    <t>梓兰弹道</t>
  </si>
  <si>
    <t>Weapon</t>
  </si>
  <si>
    <t>减速</t>
  </si>
  <si>
    <t>梓兰击中</t>
  </si>
  <si>
    <t>梓兰被动加攻速</t>
  </si>
  <si>
    <t>攻速提升2</t>
  </si>
  <si>
    <t>史都华德攻击</t>
  </si>
  <si>
    <t>防御降序</t>
  </si>
  <si>
    <t>史都华德弹道</t>
  </si>
  <si>
    <t>史都华德击中</t>
  </si>
  <si>
    <t>强力击·α型</t>
  </si>
  <si>
    <t>下次攻击的攻击力提高至190%</t>
  </si>
  <si>
    <t>skill_icon_skcom_powerstrike[1]</t>
  </si>
  <si>
    <t>攻击</t>
  </si>
  <si>
    <t>史都华德启动技能</t>
  </si>
  <si>
    <t>史都华德被动加攻击</t>
  </si>
  <si>
    <t>0,0#0,1#0,-1#1,0#2,0#1,1#1,-1#2,1#2,-1#3,0#3,1#3,-1</t>
  </si>
  <si>
    <t>安塞尔弹道</t>
  </si>
  <si>
    <t>多重攻击1</t>
  </si>
  <si>
    <t>治疗范围强化</t>
  </si>
  <si>
    <t>攻击范围+2格，攻击力+40%</t>
  </si>
  <si>
    <t>skill_icon_skcom_range_extend</t>
  </si>
  <si>
    <t>0,0#0,1#0,-1#1,0#2,0#1,1#1,-1#2,1#2,-1#3,0#3,1#3,-1#4,0#4,1#4,-1#5,0#5,1#5,-1</t>
  </si>
  <si>
    <t>安塞尔攻击力提升</t>
  </si>
  <si>
    <t>芙蓉攻击</t>
  </si>
  <si>
    <t>炎熔攻击</t>
  </si>
  <si>
    <t>炎溶击中</t>
  </si>
  <si>
    <t>炎熔部署回技力</t>
  </si>
  <si>
    <t>回复技力</t>
  </si>
  <si>
    <t>落地</t>
  </si>
  <si>
    <t>{"PowerCount":35}</t>
  </si>
  <si>
    <t>安德切尔攻击</t>
  </si>
  <si>
    <t>安德切尔被动加攻速</t>
  </si>
  <si>
    <t>二连射·自动</t>
  </si>
  <si>
    <t>下次攻击时连续射击2次，每次射击造成相当于攻击力140%的物理伤害</t>
  </si>
  <si>
    <t>skill_icon_skchr_kroos_1</t>
  </si>
  <si>
    <t>米格鲁攻击</t>
  </si>
  <si>
    <t>卡提攻击</t>
  </si>
  <si>
    <t>玫兰沙攻击</t>
  </si>
  <si>
    <t>Attack_Begin,Attack_Loop,Attack_End</t>
  </si>
  <si>
    <t>夜烟2弹道</t>
  </si>
  <si>
    <t>魔防变化</t>
  </si>
  <si>
    <t>夜烟2抬手</t>
  </si>
  <si>
    <t>夜烟2击中</t>
  </si>
  <si>
    <t>夜烟2技能</t>
  </si>
  <si>
    <t>赤色之瞳</t>
  </si>
  <si>
    <t>最大生命值-75%；攻击力+60%，攻击速度+60</t>
  </si>
  <si>
    <t>skill_icon_skchr_nights_2</t>
  </si>
  <si>
    <t>通用攻击攻速,生命提升</t>
  </si>
  <si>
    <t>0.6,60</t>
  </si>
  <si>
    <t>远山被动</t>
  </si>
  <si>
    <t>远山被动1,远山被动2,远山被动3</t>
  </si>
  <si>
    <t>远山被动1</t>
  </si>
  <si>
    <t>攻击提升</t>
  </si>
  <si>
    <t>远山被动2</t>
  </si>
  <si>
    <t>攻速提升</t>
  </si>
  <si>
    <t>远山被动3</t>
  </si>
  <si>
    <t>生命提升</t>
  </si>
  <si>
    <t>远山攻击</t>
  </si>
  <si>
    <t>远山普攻抬手</t>
  </si>
  <si>
    <t>远山普攻击中</t>
  </si>
  <si>
    <t>远山2</t>
  </si>
  <si>
    <t>命运</t>
  </si>
  <si>
    <t>攻击力+100%，攻击范围扩大，同时攻击攻击范围内所有敌人\n技能时间结束后远山停止攻击10秒</t>
  </si>
  <si>
    <t>skill_icon_skchr_fmout_2</t>
  </si>
  <si>
    <t>远山2加攻,远山缴械自己</t>
  </si>
  <si>
    <t>远山2抬手</t>
  </si>
  <si>
    <t>远山2击中</t>
  </si>
  <si>
    <t>远山2范围</t>
  </si>
  <si>
    <t>远山2加攻</t>
  </si>
  <si>
    <t>远山2buff</t>
  </si>
  <si>
    <t>远山缴械自己</t>
  </si>
  <si>
    <t>技能结束</t>
  </si>
  <si>
    <t>杰西卡抬手</t>
  </si>
  <si>
    <t>杰西卡击中</t>
  </si>
  <si>
    <t>杰西卡强力击</t>
  </si>
  <si>
    <t>强力击·β型</t>
  </si>
  <si>
    <t>下次攻击的攻击力提高至230%</t>
  </si>
  <si>
    <t>skill_icon_skcom_powerstrike[2]</t>
  </si>
  <si>
    <t>杰西卡1抬手</t>
  </si>
  <si>
    <t>杰西卡1击中</t>
  </si>
  <si>
    <t>杰西卡2</t>
  </si>
  <si>
    <t>掩护烟幕</t>
  </si>
  <si>
    <t>攻击力+80%，获得75%的物理和法术闪避</t>
  </si>
  <si>
    <t>skill_icon_skchr_jesica_2</t>
  </si>
  <si>
    <t>泡普卡加攻,杰西卡闪避</t>
  </si>
  <si>
    <t>对空伤害1</t>
  </si>
  <si>
    <t>流星碎甲击</t>
  </si>
  <si>
    <t>碎甲击</t>
  </si>
  <si>
    <t>下一次攻击造成相当于攻击力180%的物理伤害，5秒内使命中目标的防御力-35%</t>
  </si>
  <si>
    <t>skill_icon_skchr_shotst_1</t>
  </si>
  <si>
    <t>流星1弹道</t>
  </si>
  <si>
    <t>防御提升图标</t>
  </si>
  <si>
    <t>流星1击中</t>
  </si>
  <si>
    <t>流星碎甲击2</t>
  </si>
  <si>
    <t>碎甲击·扩散</t>
  </si>
  <si>
    <t>立即对攻击范围内至多5个敌人造成相当于攻击力200%的物理伤害，5秒内使命中目标的防御力-40%</t>
  </si>
  <si>
    <t>skill_icon_skchr_shotst_2</t>
  </si>
  <si>
    <t>流星2弹道</t>
  </si>
  <si>
    <t>白雪被动</t>
  </si>
  <si>
    <t>0.2,0.2</t>
  </si>
  <si>
    <t>白雪攻击</t>
  </si>
  <si>
    <t>0,0#0,1#0,-1#1,0#2,0#1,1#1,-1#2,1#2,-1#3,0#3,1#3,-1#4,0#4,-1#4,1</t>
  </si>
  <si>
    <t>白雪普通弹道</t>
  </si>
  <si>
    <t>白雪击中</t>
  </si>
  <si>
    <t>白雪1</t>
  </si>
  <si>
    <t>敌飙</t>
  </si>
  <si>
    <t>攻击范围+2格</t>
  </si>
  <si>
    <t>skill_icon_skchr_yuki_1</t>
  </si>
  <si>
    <t>0,0#0,1#0,-1#1,0#2,0#1,1#1,-1#2,1#2,-1#3,0#3,1#3,-1#4,0#4,-1#4,1#5,0#5,-1#5,1#6,0#6,-1#6,1</t>
  </si>
  <si>
    <t>白雪2</t>
  </si>
  <si>
    <t>凝武</t>
  </si>
  <si>
    <t>攻击变为投掷回旋的大飞镖，短时间内使命中目标的移动速度降低35%，并每秒受到相当于攻击力80%的法术伤害</t>
  </si>
  <si>
    <t>skill_icon_skchr_yuki_2</t>
  </si>
  <si>
    <t>白雪大飞镖</t>
  </si>
  <si>
    <t>移速变化</t>
  </si>
  <si>
    <t>杜宾攻击</t>
  </si>
  <si>
    <t>0,0#1,0#2,0</t>
  </si>
  <si>
    <t>Attack_Down</t>
  </si>
  <si>
    <t>未阻挡伤害1</t>
  </si>
  <si>
    <t>杜宾击中</t>
  </si>
  <si>
    <t>杜宾被动</t>
  </si>
  <si>
    <t>杜宾强力击</t>
  </si>
  <si>
    <t>杜宾1击中</t>
  </si>
  <si>
    <t>杜宾2自身</t>
  </si>
  <si>
    <t>鞭策</t>
  </si>
  <si>
    <t>攻击力+80%，天赋的效果提升至3倍</t>
  </si>
  <si>
    <t>skill_icon_skchr_doberm_2</t>
  </si>
  <si>
    <t>杜宾2全体</t>
  </si>
  <si>
    <t>缠丸攻击</t>
  </si>
  <si>
    <t>缠丸抬手</t>
  </si>
  <si>
    <t>缠丸击中</t>
  </si>
  <si>
    <t>缠丸被动</t>
  </si>
  <si>
    <t>0.23,-0.2</t>
  </si>
  <si>
    <t>缠丸2</t>
  </si>
  <si>
    <t>恶鬼之力</t>
  </si>
  <si>
    <t>防御力降至0，攻击力+150%</t>
  </si>
  <si>
    <t>skill_icon_skchr_gyuki_2</t>
  </si>
  <si>
    <t>缠丸2buff</t>
  </si>
  <si>
    <t>1.5,-1</t>
  </si>
  <si>
    <t>慕斯攻击</t>
  </si>
  <si>
    <t>慕斯抬手</t>
  </si>
  <si>
    <t>慕斯击中</t>
  </si>
  <si>
    <t>慕斯连击</t>
  </si>
  <si>
    <t>Attack_2</t>
  </si>
  <si>
    <t>慕斯强力击</t>
  </si>
  <si>
    <t>挠伤</t>
  </si>
  <si>
    <t>下次攻击时攻击力+75%，5秒内使击中目标攻击力-40%</t>
  </si>
  <si>
    <t>skill_icon_skchr_frncat_1</t>
  </si>
  <si>
    <t>慕斯2攻击</t>
  </si>
  <si>
    <t>慕斯2抬手</t>
  </si>
  <si>
    <t>慕斯2击中</t>
  </si>
  <si>
    <t>慕斯2</t>
  </si>
  <si>
    <t>炸毛</t>
  </si>
  <si>
    <t>攻击力和防御力各+75%</t>
  </si>
  <si>
    <t>skill_icon_skchr_frncat_2</t>
  </si>
  <si>
    <t>清道夫被动</t>
  </si>
  <si>
    <t>0.75,0.75</t>
  </si>
  <si>
    <t>霜叶攻击</t>
  </si>
  <si>
    <t>Combat_Down</t>
  </si>
  <si>
    <t>霜叶远攻</t>
  </si>
  <si>
    <t>0,0#0,1#0,-1#1,0#2,0#1,1#1,-1#3,0#2,1#2,-1</t>
  </si>
  <si>
    <t>霜叶弹道</t>
  </si>
  <si>
    <t>霜叶抬手</t>
  </si>
  <si>
    <t>霜叶击中</t>
  </si>
  <si>
    <t>霜叶强力击</t>
  </si>
  <si>
    <t>寒霜枪刃</t>
  </si>
  <si>
    <t>下次攻击造成攻击力150%的物理伤害，令命中目标在3秒内移动速度-50%</t>
  </si>
  <si>
    <t>skill_icon_skchr_frostl_1</t>
  </si>
  <si>
    <t>霜叶1弹道</t>
  </si>
  <si>
    <t>霜叶1buff</t>
  </si>
  <si>
    <t>霜叶1抬手</t>
  </si>
  <si>
    <t>霜叶1击中</t>
  </si>
  <si>
    <t>霜叶2攻击</t>
  </si>
  <si>
    <t>霜叶1buff,霜叶2buff</t>
  </si>
  <si>
    <t>-1,-0.5</t>
  </si>
  <si>
    <t>霜叶2远攻</t>
  </si>
  <si>
    <t>凝冰枪刃</t>
  </si>
  <si>
    <t>攻击速度+50；每次攻击使命中目标移动速度-50%，并有40%的几率使其束缚2秒</t>
  </si>
  <si>
    <t>skill_icon_skchr_frostl_2</t>
  </si>
  <si>
    <t>霜叶2攻击,霜叶2加攻</t>
  </si>
  <si>
    <t>霜叶2加攻</t>
  </si>
  <si>
    <t>艾斯黛尔攻击</t>
  </si>
  <si>
    <t>艾斯黛尔击中</t>
  </si>
  <si>
    <t>艾斯黛尔被动</t>
  </si>
  <si>
    <t>事件目标替换</t>
  </si>
  <si>
    <t>死亡</t>
  </si>
  <si>
    <t>艾斯黛被动回血</t>
  </si>
  <si>
    <t>艾斯黛尔2</t>
  </si>
  <si>
    <t>舍身突击</t>
  </si>
  <si>
    <t>攻击力+150%，不再成为其他角色的治疗目标</t>
  </si>
  <si>
    <t>skill_icon_skchr_estell_2</t>
  </si>
  <si>
    <t>受击</t>
  </si>
  <si>
    <t>艾斯黛尔加攻,绝食</t>
  </si>
  <si>
    <t>砾攻击</t>
  </si>
  <si>
    <t>砾抬手</t>
  </si>
  <si>
    <t>砾击中</t>
  </si>
  <si>
    <t>砾被动</t>
  </si>
  <si>
    <t>防御提升</t>
  </si>
  <si>
    <t>砾1</t>
  </si>
  <si>
    <t>影袭</t>
  </si>
  <si>
    <t>部署后防御力+400%，在12秒内持续衰减</t>
  </si>
  <si>
    <t>skill_icon_skchr_gravel_1</t>
  </si>
  <si>
    <t>砾加防</t>
  </si>
  <si>
    <t>砾2</t>
  </si>
  <si>
    <t>鼠群</t>
  </si>
  <si>
    <t>部署后获得可吸收相当于自己最大生命250%的护盾，该护盾会在10秒内持续衰减</t>
  </si>
  <si>
    <t>skill_icon_skchr_gravel_2</t>
  </si>
  <si>
    <t>砾盾</t>
  </si>
  <si>
    <t>暗锁攻击</t>
  </si>
  <si>
    <t>0,0#1,0#2,0#3,0</t>
  </si>
  <si>
    <t>暗锁弹道</t>
  </si>
  <si>
    <t>暗锁击中</t>
  </si>
  <si>
    <t>暗锁被动闪避</t>
  </si>
  <si>
    <t>物理格挡</t>
  </si>
  <si>
    <t>暗锁拉人</t>
  </si>
  <si>
    <t>拉</t>
  </si>
  <si>
    <t>勾爪发射</t>
  </si>
  <si>
    <t>下次攻击会把敌人较大力地牵引至面前，并对其造成相当于攻击力190%的物理伤害</t>
  </si>
  <si>
    <t>skill_icon_skchr_rope_1</t>
  </si>
  <si>
    <t>自身距离降序</t>
  </si>
  <si>
    <t>暗锁1弹道</t>
  </si>
  <si>
    <t>{"PullEffect":"暗锁拉buff"}</t>
  </si>
  <si>
    <t>暗锁主动拉人</t>
  </si>
  <si>
    <t>复式勾爪</t>
  </si>
  <si>
    <t>将远距离内两个敌人较大力地拖拽至面前，并对其造成相当于攻击力225%的物理伤害</t>
  </si>
  <si>
    <t>skill_icon_skchr_rope_2</t>
  </si>
  <si>
    <t>0,0#1,0#2,0#3,0#4,0</t>
  </si>
  <si>
    <t>暗锁2弹道</t>
  </si>
  <si>
    <t>阿消攻击</t>
  </si>
  <si>
    <t>阿消被动魔防</t>
  </si>
  <si>
    <t>阿消推人</t>
  </si>
  <si>
    <t>推</t>
  </si>
  <si>
    <t>水蒸气泵</t>
  </si>
  <si>
    <t>下次攻击会把目标往攻击方向较大力地推开，并造成相当于攻击力150%的物理伤害</t>
  </si>
  <si>
    <t>skill_icon_skchr_sqrrel_1</t>
  </si>
  <si>
    <t>阿消主动推人</t>
  </si>
  <si>
    <t>高压水炮</t>
  </si>
  <si>
    <t>立即将前方两格内所有敌人往攻击方向较大力地推开，并造成相当于攻击力300%的物理伤害</t>
  </si>
  <si>
    <t>skill_icon_skchr_sqrrel_2</t>
  </si>
  <si>
    <t>Skill_Right</t>
  </si>
  <si>
    <t>末药攻击</t>
  </si>
  <si>
    <t>末药弹道</t>
  </si>
  <si>
    <t>末药击中</t>
  </si>
  <si>
    <t>末药被动</t>
  </si>
  <si>
    <t>末药1</t>
  </si>
  <si>
    <t>二重治疗</t>
  </si>
  <si>
    <t>下次治疗可以恢复相当于攻击力125%的生命，并额外治疗一名单位\n可充能3次</t>
  </si>
  <si>
    <t>skill_icon_skchr_myrrh_1</t>
  </si>
  <si>
    <t>末药2</t>
  </si>
  <si>
    <t>医疗力场</t>
  </si>
  <si>
    <t>攻击力+65%，每次可额外治疗一名单位</t>
  </si>
  <si>
    <t>skill_icon_skchr_myrrh_2</t>
  </si>
  <si>
    <t>末药2加攻</t>
  </si>
  <si>
    <t>嘉维尔攻击</t>
  </si>
  <si>
    <t>嘉维尔被动</t>
  </si>
  <si>
    <t>0.12,120</t>
  </si>
  <si>
    <t>嘉维尔1</t>
  </si>
  <si>
    <t>活力再生</t>
  </si>
  <si>
    <t>下次治疗时为目标增加一个增益，每秒持续恢复相当于嘉维尔攻击力35%（血量低于一半时为70%）的生命，持续5秒\n可充能3次</t>
  </si>
  <si>
    <t>skill_icon_skchr_ccheal_1</t>
  </si>
  <si>
    <t>嘉维尔1buff</t>
  </si>
  <si>
    <t>嘉维尔2</t>
  </si>
  <si>
    <t>活力再生·广域</t>
  </si>
  <si>
    <t>立即为攻击范围内所有友方单位增加一个增益，每秒持续恢复相当于嘉维尔攻击力30%（血量低于一半时为80%）的生命，持续10秒</t>
  </si>
  <si>
    <t>skill_icon_skchr_ccheal_2</t>
  </si>
  <si>
    <t>嘉维尔2抬手</t>
  </si>
  <si>
    <t>调香师攻击</t>
  </si>
  <si>
    <t>调香师抬手</t>
  </si>
  <si>
    <t>调香师被动特效</t>
  </si>
  <si>
    <t>调香师特效</t>
  </si>
  <si>
    <t>调香师被动</t>
  </si>
  <si>
    <t>调香师2</t>
  </si>
  <si>
    <t>精调</t>
  </si>
  <si>
    <t>攻击速度-50，攻击力+250%</t>
  </si>
  <si>
    <t>skill_icon_skchr_flower_2</t>
  </si>
  <si>
    <t>1.5,-0.5</t>
  </si>
  <si>
    <t>角峰攻击</t>
  </si>
  <si>
    <t>角峰抬手</t>
  </si>
  <si>
    <t>角峰击中</t>
  </si>
  <si>
    <t>角峰被动</t>
  </si>
  <si>
    <t>角峰1</t>
  </si>
  <si>
    <t>体能强化</t>
  </si>
  <si>
    <t>生命上限+70%，每秒恢复40点生命</t>
  </si>
  <si>
    <t>skill_icon_skchr_yak_1</t>
  </si>
  <si>
    <t>生命提升,角峰1</t>
  </si>
  <si>
    <t>角峰2</t>
  </si>
  <si>
    <t>抗寒体质</t>
  </si>
  <si>
    <t>生命上限+50%，防御力+30%，法术抗性+100%</t>
  </si>
  <si>
    <t>skill_icon_skchr_yak_2</t>
  </si>
  <si>
    <t>0.5,0.3,1</t>
  </si>
  <si>
    <t>蛇屠箱攻击</t>
  </si>
  <si>
    <t>蛇屠箱被动</t>
  </si>
  <si>
    <t>蛇屠箱2</t>
  </si>
  <si>
    <t>壳状防御</t>
  </si>
  <si>
    <t>停止攻击敌人；阻挡数+1，防御力+130%，每秒恢复最大生命的3%</t>
  </si>
  <si>
    <t>skill_icon_skchr_snakek_2</t>
  </si>
  <si>
    <t>蛇屠箱2,蛇屠箱2治愈,缴械</t>
  </si>
  <si>
    <t>1,1.3</t>
  </si>
  <si>
    <t>古米被动攻击</t>
  </si>
  <si>
    <t>古米1</t>
  </si>
  <si>
    <t>备用军粮</t>
  </si>
  <si>
    <t>下次攻击会恢复附近一名友方角色相当于古米攻击力160%的生命值\n可充能3次</t>
  </si>
  <si>
    <t>skill_icon_skchr_sunbr_1</t>
  </si>
  <si>
    <t>古米弹道</t>
  </si>
  <si>
    <t>古米奶中</t>
  </si>
  <si>
    <t>古米2</t>
  </si>
  <si>
    <t>食粮烹制</t>
  </si>
  <si>
    <t>开始烹饪，10秒内停止攻击敌人，防御力+80%\n烹饪完成后专注于治疗附近的友方角色，攻击力+80%\n(攻击间隔+130%)</t>
  </si>
  <si>
    <t>skill_icon_skchr_sunbr_2</t>
  </si>
  <si>
    <t>古米2加防</t>
  </si>
  <si>
    <t>古米2缴械,古米2buff</t>
  </si>
  <si>
    <t>古米2缴械</t>
  </si>
  <si>
    <t>古米2加防,古米动作</t>
  </si>
  <si>
    <t>古米2buff</t>
  </si>
  <si>
    <t>古米2buff,缴械</t>
  </si>
  <si>
    <t>0.8,1.3</t>
  </si>
  <si>
    <t>深海色攻击</t>
  </si>
  <si>
    <t>深海色抬手</t>
  </si>
  <si>
    <t>深海色击中</t>
  </si>
  <si>
    <t>获得触手</t>
  </si>
  <si>
    <t>获取单位</t>
  </si>
  <si>
    <t>{"Count":4,"UnitId":"触手"}</t>
  </si>
  <si>
    <t>深海色天赋</t>
  </si>
  <si>
    <t>深海色1</t>
  </si>
  <si>
    <t>光影之触</t>
  </si>
  <si>
    <t>所有触手攻击力和防御力+60%，每秒恢复70点生命</t>
  </si>
  <si>
    <t>skill_icon_skchr_deepcl_1</t>
  </si>
  <si>
    <t>仅召唤</t>
  </si>
  <si>
    <t>深海色1,深海色1回血</t>
  </si>
  <si>
    <t>0.6,0.6</t>
  </si>
  <si>
    <t>深海色2</t>
  </si>
  <si>
    <t>视觉陷阱</t>
  </si>
  <si>
    <t>攻击范围扩大，攻击范围内的友方单位获得50%的物理闪避</t>
  </si>
  <si>
    <t>skill_icon_skchr_deepcl_2</t>
  </si>
  <si>
    <t>0,0#0,1#0,-1#1,0#2,0#1,1#1,-1#2,1#2,-1#3,0#3,1#3,-1#0,2#0,-2#1,2#1,-2#2,2#2,-2</t>
  </si>
  <si>
    <t>深海色2buff</t>
  </si>
  <si>
    <t>深海色范围</t>
  </si>
  <si>
    <t>物理闪避</t>
  </si>
  <si>
    <t>地灵弹道</t>
  </si>
  <si>
    <t>地灵击中</t>
  </si>
  <si>
    <t>地灵2</t>
  </si>
  <si>
    <t>流沙化</t>
  </si>
  <si>
    <t>停止攻击；攻击范围内的敌方单位每1.4秒受到一次停顿效果</t>
  </si>
  <si>
    <t>skill_icon_skchr_skgoat_2</t>
  </si>
  <si>
    <t>地灵2缴械</t>
  </si>
  <si>
    <t>固定间隔</t>
  </si>
  <si>
    <t>地灵范围</t>
  </si>
  <si>
    <t>白面鸮攻击</t>
  </si>
  <si>
    <t>白面鸮被动</t>
  </si>
  <si>
    <t>白面鸮后续被动</t>
  </si>
  <si>
    <t>技力光环</t>
  </si>
  <si>
    <t>自己以外</t>
  </si>
  <si>
    <t>白面鸮2</t>
  </si>
  <si>
    <t>脑啡肽</t>
  </si>
  <si>
    <t>攻击范围扩大，攻击间隔超大幅度缩短(-2.1)</t>
  </si>
  <si>
    <t>skill_icon_skchr_plosis_2</t>
  </si>
  <si>
    <t>0,0#0,1#0,-1#1,0#2,0#1,1#1,-1#2,1#2,-1#-1,0#-1,1#-1,-1#3,0#3,1#3,-1</t>
  </si>
  <si>
    <t>白面2buff</t>
  </si>
  <si>
    <t>白面鸮buff</t>
  </si>
  <si>
    <t>芙兰卡攻击</t>
  </si>
  <si>
    <t>芙兰卡抬手</t>
  </si>
  <si>
    <t>芙兰卡击中</t>
  </si>
  <si>
    <t>芙兰卡被动</t>
  </si>
  <si>
    <t>芙兰卡2攻击</t>
  </si>
  <si>
    <t>极致锋度</t>
  </si>
  <si>
    <t>防御力降至0，攻击力+100%，天赋无视防御的概率提高至2.5倍</t>
  </si>
  <si>
    <t>skill_icon_skchr_franka_2</t>
  </si>
  <si>
    <t>芙兰卡2buff</t>
  </si>
  <si>
    <t>Skill_Down</t>
  </si>
  <si>
    <t>芙兰卡2抬手</t>
  </si>
  <si>
    <t>芙兰卡2击中</t>
  </si>
  <si>
    <t>芙兰卡2,芙兰卡2buff</t>
  </si>
  <si>
    <t>1,-1</t>
  </si>
  <si>
    <t>因陀罗攻击</t>
  </si>
  <si>
    <t>因陀罗击中</t>
  </si>
  <si>
    <t>因陀罗被动攻击</t>
  </si>
  <si>
    <t>因陀罗被动闪避</t>
  </si>
  <si>
    <t>闪避</t>
  </si>
  <si>
    <t>因陀罗1</t>
  </si>
  <si>
    <t>碎甲拳</t>
  </si>
  <si>
    <t>下次攻击的攻击力+140%，无视目标防御60%</t>
  </si>
  <si>
    <t>skill_icon_skchr_tiger_1</t>
  </si>
  <si>
    <t>因陀罗穿甲</t>
  </si>
  <si>
    <t>因陀罗1抬手</t>
  </si>
  <si>
    <t>因陀罗1击中</t>
  </si>
  <si>
    <t>因陀罗2攻击</t>
  </si>
  <si>
    <t>裂魂</t>
  </si>
  <si>
    <t>攻击力+120%，伤害类型变为法术，每次攻击恢复相当于造成伤害25%的生命</t>
  </si>
  <si>
    <t>skill_icon_skchr_tiger_2</t>
  </si>
  <si>
    <t>因陀罗2buff</t>
  </si>
  <si>
    <t>因陀罗2抬手</t>
  </si>
  <si>
    <t>因陀罗2击中</t>
  </si>
  <si>
    <t>因陀罗2</t>
  </si>
  <si>
    <t>拉普兰德攻击</t>
  </si>
  <si>
    <t>破坏</t>
  </si>
  <si>
    <t>拉普兰德近战抬手</t>
  </si>
  <si>
    <t>拉普兰德近战击中</t>
  </si>
  <si>
    <t>拉普兰德远程抬手</t>
  </si>
  <si>
    <t>拉普兰德远程击中</t>
  </si>
  <si>
    <t>拉普兰德1</t>
  </si>
  <si>
    <t>日晷</t>
  </si>
  <si>
    <t>攻击力+70%，有40%的概率闪避物理伤害\n</t>
  </si>
  <si>
    <t>skill_icon_skchr_whitew_1</t>
  </si>
  <si>
    <t>拉普兰德1加攻,物理闪避</t>
  </si>
  <si>
    <t>拉普兰德2</t>
  </si>
  <si>
    <t>狼魂</t>
  </si>
  <si>
    <t>攻击力+120%，伤害类型变为法术，额外攻击一个目标，远程攻击不再降低攻击力\n技能自动开启</t>
  </si>
  <si>
    <t>skill_icon_skchr_whitew_2</t>
  </si>
  <si>
    <t>拉普兰德2buff</t>
  </si>
  <si>
    <t>拉普兰德2弹道</t>
  </si>
  <si>
    <t>拉普兰德2抬手</t>
  </si>
  <si>
    <t>拉普兰德2击中</t>
  </si>
  <si>
    <t>拉普兰德2加攻,拉普兰德刀1,拉普兰德刀2</t>
  </si>
  <si>
    <t>幽灵鲨攻击</t>
  </si>
  <si>
    <t>幽灵鲨抬手</t>
  </si>
  <si>
    <t>幽灵鲨击中</t>
  </si>
  <si>
    <t>幽灵鲨被动</t>
  </si>
  <si>
    <t>生命提升,幽灵鲨回血</t>
  </si>
  <si>
    <t>幽灵鲨锁血</t>
  </si>
  <si>
    <t>锁血治疗</t>
  </si>
  <si>
    <t>致命</t>
  </si>
  <si>
    <t>幽灵鲨2</t>
  </si>
  <si>
    <t>{"LockHp":0.00001}</t>
  </si>
  <si>
    <t>幽灵鲨2buff</t>
  </si>
  <si>
    <t>骨斩肉断</t>
  </si>
  <si>
    <t>技能持续期间内干员的生命值始终不会低于1，攻击力+160%\n技能结束后干员晕眩10秒</t>
  </si>
  <si>
    <t>skill_icon_skchr_ghost_2</t>
  </si>
  <si>
    <t>幽灵鲨锁血,幽灵鲨2晕</t>
  </si>
  <si>
    <t>幽灵鲨2,幽灵鲨眼</t>
  </si>
  <si>
    <t>幽灵鲨2晕</t>
  </si>
  <si>
    <t>蓝毒弹道</t>
  </si>
  <si>
    <t>蓝毒毒素</t>
  </si>
  <si>
    <t>蓝毒抬手</t>
  </si>
  <si>
    <t>蓝毒1</t>
  </si>
  <si>
    <t>二重射击·自动</t>
  </si>
  <si>
    <t>下次攻击额外攻击一个目标，造成相当于攻击力200%的物理伤害</t>
  </si>
  <si>
    <t>skill_icon_skchr_bluep_1</t>
  </si>
  <si>
    <t>蓝毒2</t>
  </si>
  <si>
    <t>毒液散射</t>
  </si>
  <si>
    <t>攻击力+50%，每次攻击对主目标额外射击一次，并额外攻击2个目标</t>
  </si>
  <si>
    <t>skill_icon_skchr_bluep_2</t>
  </si>
  <si>
    <t>蓝毒2buff</t>
  </si>
  <si>
    <t>蓝毒2散射</t>
  </si>
  <si>
    <t>白金弹道</t>
  </si>
  <si>
    <t>蓄力增伤</t>
  </si>
  <si>
    <t>白金抬手</t>
  </si>
  <si>
    <t>白金2</t>
  </si>
  <si>
    <t>天马视域</t>
  </si>
  <si>
    <t>攻击速度略微降低(-20)，但攻击力+100%，攻击范围扩大\n持续时间无限</t>
  </si>
  <si>
    <t>skill_icon_skchr_platnm_2</t>
  </si>
  <si>
    <t>0,0#0,1#0,-1#1,0#2,0#1,1#1,-1#2,1#2,-1#3,0#3,1#3,-1#4,0#4,1#4,-1</t>
  </si>
  <si>
    <t>白金2buff</t>
  </si>
  <si>
    <t>白金2弹道</t>
  </si>
  <si>
    <t>白金2抬手</t>
  </si>
  <si>
    <t>白金2击中</t>
  </si>
  <si>
    <t>1,-20</t>
  </si>
  <si>
    <t>陨星弹道</t>
  </si>
  <si>
    <t>陨星增伤</t>
  </si>
  <si>
    <t>陨星击中</t>
  </si>
  <si>
    <t>陨星1</t>
  </si>
  <si>
    <t>霰射弹头</t>
  </si>
  <si>
    <t>下次攻击的爆炸范围扩大，造成相当于攻击力215%的物理伤害</t>
  </si>
  <si>
    <t>skill_icon_skchr_meteo_1</t>
  </si>
  <si>
    <t>陨星1弹道</t>
  </si>
  <si>
    <t>陨星1抬手</t>
  </si>
  <si>
    <t>陨星1击中</t>
  </si>
  <si>
    <t>陨星2</t>
  </si>
  <si>
    <t>高爆弹头</t>
  </si>
  <si>
    <t>立即发射一枚火焰弹，对目标范围内所有敌人造成相当于攻击力300%的物理伤害，所有命中目标在10秒内防御力-330</t>
  </si>
  <si>
    <t>skill_icon_skchr_meteo_2</t>
  </si>
  <si>
    <t>陨星2弹道</t>
  </si>
  <si>
    <t>防御提升加</t>
  </si>
  <si>
    <t>陨星2抬手</t>
  </si>
  <si>
    <t>陨星2击中</t>
  </si>
  <si>
    <t>阿米娅攻击</t>
  </si>
  <si>
    <t>Attack_Begin,Attack,Attack_End</t>
  </si>
  <si>
    <t>阿米娅弹道</t>
  </si>
  <si>
    <t>阿米娅抬手</t>
  </si>
  <si>
    <t>阿米娅击中</t>
  </si>
  <si>
    <t>阿米娅被动</t>
  </si>
  <si>
    <t>击中</t>
  </si>
  <si>
    <t>阿米娅被动1</t>
  </si>
  <si>
    <t>{"PowerCount":3}</t>
  </si>
  <si>
    <t>击杀</t>
  </si>
  <si>
    <t>{"PowerCount":10}</t>
  </si>
  <si>
    <t>阿米娅2</t>
  </si>
  <si>
    <t>精神爆发</t>
  </si>
  <si>
    <t>每次攻击变为攻击力33%的6连发，随机攻击范围内的目标\n技能自动开启，持续时间结束后阿米娅晕眩10秒</t>
  </si>
  <si>
    <t>skill_icon_skchr_amiya_2</t>
  </si>
  <si>
    <t>随机</t>
  </si>
  <si>
    <t>阿米娅2buff,阿米娅2晕</t>
  </si>
  <si>
    <t>Skill_Begin,Skill,Skill_End</t>
  </si>
  <si>
    <t>阿米娅2弹道</t>
  </si>
  <si>
    <t>阿米娅2击中</t>
  </si>
  <si>
    <t>阿米娅2buff</t>
  </si>
  <si>
    <t>阿米娅2特效</t>
  </si>
  <si>
    <t>阿米娅2晕</t>
  </si>
  <si>
    <t>阿米娅3</t>
  </si>
  <si>
    <t>奇美拉</t>
  </si>
  <si>
    <t>攻击力+160%，生命上限+75%，攻击范围扩大，伤害类型变为真实\n技能结束后阿米娅强制退出战场</t>
  </si>
  <si>
    <t>skill_icon_skchr_amiya_3</t>
  </si>
  <si>
    <t>Real</t>
  </si>
  <si>
    <t>阿米娅3buff,阿米娅3自杀</t>
  </si>
  <si>
    <t>Skill_2_Begin,Skill_2,Skill_2_End</t>
  </si>
  <si>
    <t>阿米娅3弹道</t>
  </si>
  <si>
    <t>阿米娅3抬手</t>
  </si>
  <si>
    <t>阿米娅3击中</t>
  </si>
  <si>
    <t>阿米娅3启动</t>
  </si>
  <si>
    <t>阿米娅3持续</t>
  </si>
  <si>
    <t>阿米娅3buff</t>
  </si>
  <si>
    <t>2.3,1</t>
  </si>
  <si>
    <t>阿米娅3自杀</t>
  </si>
  <si>
    <t>天火攻击</t>
  </si>
  <si>
    <t>天火击中</t>
  </si>
  <si>
    <t>天火被动</t>
  </si>
  <si>
    <t>天火后续被动</t>
  </si>
  <si>
    <t>法术易伤</t>
  </si>
  <si>
    <t>天火2</t>
  </si>
  <si>
    <t>天坠之火</t>
  </si>
  <si>
    <t>攻击间隔增大(+70%)，攻击变为从天空召唤陨石；陨石需要时间降落，落地后对大范围敌人造成相当于攻击力240%的法术伤害，并使所有命中目标晕眩0.1秒</t>
  </si>
  <si>
    <t>skill_icon_skchr_skfire_3</t>
  </si>
  <si>
    <t>天火2buff</t>
  </si>
  <si>
    <t>天火2弹道</t>
  </si>
  <si>
    <t>天火2聚集</t>
  </si>
  <si>
    <t>天火2击中</t>
  </si>
  <si>
    <t>天火2抬手</t>
  </si>
  <si>
    <t>梅尔攻击</t>
  </si>
  <si>
    <t>梅尔弹道</t>
  </si>
  <si>
    <t>梅尔抬手</t>
  </si>
  <si>
    <t>梅尔击中</t>
  </si>
  <si>
    <t>获得机械水濑</t>
  </si>
  <si>
    <t>{"Count":5,"UnitId":"机械水獭"}</t>
  </si>
  <si>
    <t>梅尔1</t>
  </si>
  <si>
    <t>迷惑装置</t>
  </si>
  <si>
    <t>所有机械水獭获得35%的物理和法术闪避\n机械水獭周围四格的友军也获得同样的效果</t>
  </si>
  <si>
    <t>skill_icon_skchr_otter_1</t>
  </si>
  <si>
    <t>梅尔闪避</t>
  </si>
  <si>
    <t>梅尔2</t>
  </si>
  <si>
    <t>引爆召唤</t>
  </si>
  <si>
    <t>爆破回收</t>
  </si>
  <si>
    <t>立即引爆所有配置的机械水獭，爆炸时对周围敌人造成相当于梅尔攻击力600%的法术伤害，并使所有命中目标晕眩2秒\n被引爆的机械水獭会被回收</t>
  </si>
  <si>
    <t>skill_icon_skchr_otter_2</t>
  </si>
  <si>
    <t>梅尔2抬手</t>
  </si>
  <si>
    <t>机械水濑攻击</t>
  </si>
  <si>
    <t>机械水濑1</t>
  </si>
  <si>
    <t>0,0#0,1#1,0#0,-1#-1,0</t>
  </si>
  <si>
    <t>临光攻击</t>
  </si>
  <si>
    <t>临光击中</t>
  </si>
  <si>
    <t>临光被动</t>
  </si>
  <si>
    <t>临光后续被动</t>
  </si>
  <si>
    <t>治疗易伤</t>
  </si>
  <si>
    <t>临光1</t>
  </si>
  <si>
    <t>急救</t>
  </si>
  <si>
    <t>下一次攻击会为周围血量不足一半的一名友方单位恢复相当于攻击力180%的生命\n可充能3次</t>
  </si>
  <si>
    <t>skill_icon_skchr_nearl_1</t>
  </si>
  <si>
    <t>临光1抬手</t>
  </si>
  <si>
    <t>临光1击中</t>
  </si>
  <si>
    <t>临光2</t>
  </si>
  <si>
    <t>急救模式</t>
  </si>
  <si>
    <t>攻击力+80%，停止攻击并专心对周围友方角色进行治疗\n攻击间隔(+130%)</t>
  </si>
  <si>
    <t>skill_icon_skchr_nearl_2</t>
  </si>
  <si>
    <t>临光2buff,临光缴械自己</t>
  </si>
  <si>
    <t>临光2buff</t>
  </si>
  <si>
    <t>临光缴械自己</t>
  </si>
  <si>
    <t>赫默攻击</t>
  </si>
  <si>
    <t>赫默弹道</t>
  </si>
  <si>
    <t>赫默被动</t>
  </si>
  <si>
    <t>赫默后续被动</t>
  </si>
  <si>
    <t>获得医疗探机</t>
  </si>
  <si>
    <t>医疗无人机</t>
  </si>
  <si>
    <t>获得一个医疗无人机\n最多可库存1个无人机；无人机投入战场后治疗周围友军，10秒后自动销毁</t>
  </si>
  <si>
    <t>skill_icon_skchr_silent_2</t>
  </si>
  <si>
    <t>{"Count":1,"UnitId":"支援探机","MaxCount":1}</t>
  </si>
  <si>
    <t>探机攻击</t>
  </si>
  <si>
    <t>探机无敌</t>
  </si>
  <si>
    <t>隐身</t>
  </si>
  <si>
    <t>华法琳攻击</t>
  </si>
  <si>
    <t>华法琳抬手</t>
  </si>
  <si>
    <t>华法琳击中</t>
  </si>
  <si>
    <t>华法琳被动</t>
  </si>
  <si>
    <t>死亡回技力</t>
  </si>
  <si>
    <t>华法琳被动1</t>
  </si>
  <si>
    <t>{"RecoverPowerCount":1,"IgnoreTip":0,"IgnorePrevent":1}</t>
  </si>
  <si>
    <t>{"PowerCount":1}</t>
  </si>
  <si>
    <t>华法琳1</t>
  </si>
  <si>
    <t>紧急包扎</t>
  </si>
  <si>
    <t>下次治疗额外回复目标最大生命值的25%\n只当目标生命值不满一半时才会触发，可充能4次</t>
  </si>
  <si>
    <t>skill_icon_skchr_bldsk_1</t>
  </si>
  <si>
    <t>华法琳额外奶</t>
  </si>
  <si>
    <t>华法琳1抬手</t>
  </si>
  <si>
    <t>华法琳1击中</t>
  </si>
  <si>
    <t>华法琳2</t>
  </si>
  <si>
    <t>不稳定血浆</t>
  </si>
  <si>
    <t>自身和攻击范围内随机一名我方单位获得以下状态：\n攻击力+90%，每秒流失3%最大生命值，持续15秒</t>
  </si>
  <si>
    <t>skill_icon_skchr_bldsk_2</t>
  </si>
  <si>
    <t>华法琳2队友</t>
  </si>
  <si>
    <t>攻击提升,华法琳毒素</t>
  </si>
  <si>
    <t>红攻击</t>
  </si>
  <si>
    <t>红抬手</t>
  </si>
  <si>
    <t>红击中</t>
  </si>
  <si>
    <t>红1</t>
  </si>
  <si>
    <t>处决模式</t>
  </si>
  <si>
    <t>部署后攻击力+80%，并获得50%物理和法术闪避</t>
  </si>
  <si>
    <t>skill_icon_skchr_red_1</t>
  </si>
  <si>
    <t>泡普卡加攻,红闪避</t>
  </si>
  <si>
    <t>红2</t>
  </si>
  <si>
    <t>狼群</t>
  </si>
  <si>
    <t>部署后立即对周围所有敌人造成相当于攻击力250%的物理伤害，并使命中目标晕眩3秒</t>
  </si>
  <si>
    <t>skill_icon_skchr_red_2</t>
  </si>
  <si>
    <t>红2抬手</t>
  </si>
  <si>
    <t>雷蛇攻击</t>
  </si>
  <si>
    <t>雷蛇抬手</t>
  </si>
  <si>
    <t>雷蛇被动</t>
  </si>
  <si>
    <t>被击</t>
  </si>
  <si>
    <t>雷蛇被动1</t>
  </si>
  <si>
    <t>雷蛇1</t>
  </si>
  <si>
    <t>充能防御</t>
  </si>
  <si>
    <t>抵挡下一次伤害，在8秒内防御力+100%\n技能自动开启</t>
  </si>
  <si>
    <t>skill_icon_skchr_liskam_1</t>
  </si>
  <si>
    <t>雷蛇圣盾,米格鲁防御提升</t>
  </si>
  <si>
    <t>雷蛇2</t>
  </si>
  <si>
    <t>反击电弧</t>
  </si>
  <si>
    <t>攻击间隔增大(+70%)，攻击力+200%，每次攻击对最多4个敌人造成法术伤害，并有25%概率使命中目标晕眩1秒\n持续时间结束后雷蛇晕眩5秒</t>
  </si>
  <si>
    <t>skill_icon_skchr_liskam_2</t>
  </si>
  <si>
    <t>雷蛇2buff,雷蛇2晕</t>
  </si>
  <si>
    <t>雷蛇2抬手</t>
  </si>
  <si>
    <t>雷蛇2启动</t>
  </si>
  <si>
    <t>雷蛇2buff</t>
  </si>
  <si>
    <t>2,0.7</t>
  </si>
  <si>
    <t>雷蛇2晕</t>
  </si>
  <si>
    <t>可颂攻击</t>
  </si>
  <si>
    <t>可颂抬手</t>
  </si>
  <si>
    <t>可颂击中</t>
  </si>
  <si>
    <t>可颂被动</t>
  </si>
  <si>
    <t>可颂被动1</t>
  </si>
  <si>
    <t>可颂闪避</t>
  </si>
  <si>
    <t>可颂闪避2</t>
  </si>
  <si>
    <t>可颂1</t>
  </si>
  <si>
    <t>自动防御</t>
  </si>
  <si>
    <t>防御力+70%，天赋效果提升至200%\n技能自动开启</t>
  </si>
  <si>
    <t>skill_icon_skchr_moeshd_1</t>
  </si>
  <si>
    <t>可颂2</t>
  </si>
  <si>
    <t>磁爆锤</t>
  </si>
  <si>
    <t>将周围敌人大力地弹开并晕眩4秒，造成相当于攻击力480%的物理伤害</t>
  </si>
  <si>
    <t>skill_icon_skchr_moeshd_2</t>
  </si>
  <si>
    <t>可颂2抬手</t>
  </si>
  <si>
    <t>火神攻击</t>
  </si>
  <si>
    <t>火神击中</t>
  </si>
  <si>
    <t>火神1</t>
  </si>
  <si>
    <t>坚守模式</t>
  </si>
  <si>
    <t>阻挡数+1，防御力+120%，每秒额外恢复最大生命的5%</t>
  </si>
  <si>
    <t>skill_icon_skchr_hpsts_1</t>
  </si>
  <si>
    <t>阻挡变化,米格鲁防御提升,火神回血</t>
  </si>
  <si>
    <t>火神2</t>
  </si>
  <si>
    <t>武力模式</t>
  </si>
  <si>
    <t>阻挡数-1，攻击间隔略微增大(+0.4)，攻击力+150%，每次攻击恢复自身最大生命值的10%，同时攻击阻挡的所有敌人</t>
  </si>
  <si>
    <t>skill_icon_skchr_hpsts_2</t>
  </si>
  <si>
    <t>火神2buff</t>
  </si>
  <si>
    <t>火神2回血</t>
  </si>
  <si>
    <t>火神2抬手,火神2抬手2</t>
  </si>
  <si>
    <t>阻挡变化,火神2buff,火神回血</t>
  </si>
  <si>
    <t>1.5,0.4</t>
  </si>
  <si>
    <t>普罗旺斯加攻</t>
  </si>
  <si>
    <t>普罗旺斯强攻击</t>
  </si>
  <si>
    <t>普罗旺斯暴击1</t>
  </si>
  <si>
    <t>普罗旺斯抬手</t>
  </si>
  <si>
    <t>普罗旺斯击中</t>
  </si>
  <si>
    <t>普罗旺斯暴击2</t>
  </si>
  <si>
    <t>普罗旺斯1</t>
  </si>
  <si>
    <t>增加修饰器</t>
  </si>
  <si>
    <t>狼眼</t>
  </si>
  <si>
    <t>目标敌人的生命每降低20%，对其造成伤害时的攻击力+25%</t>
  </si>
  <si>
    <t>skill_icon_skchr_prove_1</t>
  </si>
  <si>
    <t>{"TargetSkill":["普罗旺斯攻击","普罗旺斯强攻击"]}</t>
  </si>
  <si>
    <t>普罗旺斯攻击2</t>
  </si>
  <si>
    <t>杀戮嗅觉</t>
  </si>
  <si>
    <t>攻击力+220%，但普通攻击不再以生命值高于80%的敌人作为目标</t>
  </si>
  <si>
    <t>skill_icon_skchr_prove_2</t>
  </si>
  <si>
    <t>普罗旺斯强攻击2,普罗旺斯2buff</t>
  </si>
  <si>
    <t>普罗旺斯2抬手</t>
  </si>
  <si>
    <t>普罗旺斯强攻击2</t>
  </si>
  <si>
    <t>普罗旺斯2buff</t>
  </si>
  <si>
    <t>防御升序</t>
  </si>
  <si>
    <t>0,0#0,1#0,-1#1,0#2,0#1,1#1,-1#2,1#2,-1#3,0#3,1#3,-1#0,2#0,-2#1,2#1,-2#2,2#2,-2#4,0</t>
  </si>
  <si>
    <t>守林人弹道</t>
  </si>
  <si>
    <t>守林人被动</t>
  </si>
  <si>
    <t>守林人抬手</t>
  </si>
  <si>
    <t>守林人击中</t>
  </si>
  <si>
    <t>守林人1</t>
  </si>
  <si>
    <t>环境伪装</t>
  </si>
  <si>
    <t>攻击力+70%，进入隐匿状态</t>
  </si>
  <si>
    <t>skill_icon_skchr_milu_1</t>
  </si>
  <si>
    <t>隐身,攻击提升</t>
  </si>
  <si>
    <t>守林人2</t>
  </si>
  <si>
    <t>战术电台</t>
  </si>
  <si>
    <t>立即对攻击范围内随机投下3枚炸弹进行轰炸（优先选择有敌人的位置），每颗炸弹对周围所有敌人造成相当于攻击力300%的物理伤害。</t>
  </si>
  <si>
    <t>skill_icon_skchr_milu_2</t>
  </si>
  <si>
    <t>守林人2弹道</t>
  </si>
  <si>
    <t>{"HitCount":3}</t>
  </si>
  <si>
    <t>守林人2击中</t>
  </si>
  <si>
    <t>守林人2抬手</t>
  </si>
  <si>
    <t>崖心攻击</t>
  </si>
  <si>
    <t>崖心弹道</t>
  </si>
  <si>
    <t>崖心击中</t>
  </si>
  <si>
    <t>崖心被动</t>
  </si>
  <si>
    <t>0.14,0.14</t>
  </si>
  <si>
    <t>崖心拉人</t>
  </si>
  <si>
    <t>锁链勾爪</t>
  </si>
  <si>
    <t>下次攻击会将目标较大力地拖拽至面前，并对其造成相当于攻击力180%的法术伤害</t>
  </si>
  <si>
    <t>skill_icon_skchr_slchan_1</t>
  </si>
  <si>
    <t>崖心1弹道</t>
  </si>
  <si>
    <t>{"PullEffect":"崖心拉buff"}</t>
  </si>
  <si>
    <t>崖心1抬手</t>
  </si>
  <si>
    <t>崖心1击中</t>
  </si>
  <si>
    <t>崖心主动拉人</t>
  </si>
  <si>
    <t>束缚链</t>
  </si>
  <si>
    <t>立即将前方大范围内至多3个目标较大力地拖拽至面前，对其造成相当于自己攻击力200%的真实的伤害，并使其晕眩3秒</t>
  </si>
  <si>
    <t>skill_icon_skchr_slchan_2</t>
  </si>
  <si>
    <t>0,0#1,0#2,0#3,0#1,-1#2,-1#3,-1#1,1#2,1#3,1</t>
  </si>
  <si>
    <t>崖心2弹道</t>
  </si>
  <si>
    <t>崖心2击中</t>
  </si>
  <si>
    <t>初雪攻击</t>
  </si>
  <si>
    <t>0,0#0,1#0,-1#1,0#2,0#1,1#1,-1#2,1#2,-1#-1,0#-1,1#-1,-1#0,2#1,2#0,-2#1,-2</t>
  </si>
  <si>
    <t>初雪弹道</t>
  </si>
  <si>
    <t>初雪击中</t>
  </si>
  <si>
    <t>初雪被动</t>
  </si>
  <si>
    <t>易伤</t>
  </si>
  <si>
    <t>初雪1</t>
  </si>
  <si>
    <t>传音回响</t>
  </si>
  <si>
    <t>同时攻击2个目标，攻击范围内所有敌人攻击速度-60</t>
  </si>
  <si>
    <t>skill_icon_skchr_slbell_1</t>
  </si>
  <si>
    <t>初雪1减攻速</t>
  </si>
  <si>
    <t>初雪1抬手</t>
  </si>
  <si>
    <t>初雪1范围</t>
  </si>
  <si>
    <t>初雪2</t>
  </si>
  <si>
    <t>自然震慑</t>
  </si>
  <si>
    <t>攻击范围内所有敌人防御力-60%，法术抗性-30%</t>
  </si>
  <si>
    <t>skill_icon_skchr_slbell_2</t>
  </si>
  <si>
    <t>初雪buff</t>
  </si>
  <si>
    <t>-30,-0.6</t>
  </si>
  <si>
    <t>初雪2范围</t>
  </si>
  <si>
    <t>真理攻击</t>
  </si>
  <si>
    <t>真理抬手</t>
  </si>
  <si>
    <t>真理击中</t>
  </si>
  <si>
    <t>真理被动</t>
  </si>
  <si>
    <t>21,-0.35</t>
  </si>
  <si>
    <t>真理1</t>
  </si>
  <si>
    <t>专心致志</t>
  </si>
  <si>
    <t>攻击间隔极大幅度缩短(-1.1)</t>
  </si>
  <si>
    <t>skill_icon_skchr_glassb_1</t>
  </si>
  <si>
    <t>真理2</t>
  </si>
  <si>
    <t>文学风暴</t>
  </si>
  <si>
    <t>攻击力+75%，攻击范围扩大，额外攻击两个目标</t>
  </si>
  <si>
    <t>skill_icon_skchr_glassb_2</t>
  </si>
  <si>
    <t>0,0#0,1#0,2#0,-1#0,-2#-1,0#-1,1#-1,2#-1,-1#-1,-2#1,0#1,1#1,2#1,-1#1,-2#2,0#2,1#2,-1#-2,0#-2,1#-2,-1</t>
  </si>
  <si>
    <t>真理2buff</t>
  </si>
  <si>
    <t>真理2范围</t>
  </si>
  <si>
    <t>空攻击</t>
  </si>
  <si>
    <t>0,0#0,1#0,-1#1,0#-1,0#2,0#1,1#1,-1#0,2#0,-2#-1,1#-1,-1#-2,0</t>
  </si>
  <si>
    <t>空范围</t>
  </si>
  <si>
    <t>空被动</t>
  </si>
  <si>
    <t>回复技力1</t>
  </si>
  <si>
    <t>{"PowerCount":0.5}</t>
  </si>
  <si>
    <t>空1</t>
  </si>
  <si>
    <t>睡眠之歌</t>
  </si>
  <si>
    <t>攻击范围扩大，攻击范围内所有敌人全部进入沉睡，同时特性效果提高至100%</t>
  </si>
  <si>
    <t>skill_icon_skchr_sora_1</t>
  </si>
  <si>
    <t>空1睡眠</t>
  </si>
  <si>
    <t>睡眠</t>
  </si>
  <si>
    <t>空2</t>
  </si>
  <si>
    <t>战斗之歌</t>
  </si>
  <si>
    <t>攻击范围内所有其他友方单位获得相当于空100%攻击力的鼓舞效果</t>
  </si>
  <si>
    <t>skill_icon_skchr_sora_2</t>
  </si>
  <si>
    <t>空2buff</t>
  </si>
  <si>
    <t>狮蝎攻击</t>
  </si>
  <si>
    <t>0,0#0,1#0,-1#1,0#2,0#1,1#1,-1#-1,0#-1,1#-1,-1</t>
  </si>
  <si>
    <t>狮蝎禁用隐身</t>
  </si>
  <si>
    <t>狮蝎抬手</t>
  </si>
  <si>
    <t>狮蝎击中</t>
  </si>
  <si>
    <t>狮蝎被动</t>
  </si>
  <si>
    <t>狮蝎闪避</t>
  </si>
  <si>
    <t>隐身,狮蝎加攻</t>
  </si>
  <si>
    <t>狮蝎禁用被动</t>
  </si>
  <si>
    <t>狮蝎隐身</t>
  </si>
  <si>
    <t>狮蝎1攻击</t>
  </si>
  <si>
    <t>蝎毒</t>
  </si>
  <si>
    <t>每次攻击会在5秒内令命中目标移动速度-50%</t>
  </si>
  <si>
    <t>skill_icon_skchr_mantic_1</t>
  </si>
  <si>
    <t>狮蝎1抬手</t>
  </si>
  <si>
    <t>狮蝎1击中</t>
  </si>
  <si>
    <t>狮蝎2攻击</t>
  </si>
  <si>
    <t>蓄力毒尾击</t>
  </si>
  <si>
    <t>攻击前摇和攻击间隔增大(+1.7)，攻击力+90%，使命中目标晕眩1秒</t>
  </si>
  <si>
    <t>skill_icon_skchr_mantic_2</t>
  </si>
  <si>
    <t>狮蝎2buff</t>
  </si>
  <si>
    <t>狮蝎2聚集</t>
  </si>
  <si>
    <t>狮蝎2抬手</t>
  </si>
  <si>
    <t>狮蝎2击中</t>
  </si>
  <si>
    <t>0.9,1.7</t>
  </si>
  <si>
    <t>食铁兽攻击</t>
  </si>
  <si>
    <t>食铁兽击中</t>
  </si>
  <si>
    <t>食铁兽被动</t>
  </si>
  <si>
    <t>食铁兽推人</t>
  </si>
  <si>
    <t>铁意六合</t>
  </si>
  <si>
    <t>下次攻击会把目标往攻击方向较大力地推动，5秒内命中目标的移动速度-30%</t>
  </si>
  <si>
    <t>skill_icon_skchr_panda_1</t>
  </si>
  <si>
    <t>食铁兽1击中</t>
  </si>
  <si>
    <t>食铁兽主动推人</t>
  </si>
  <si>
    <t>崩拳式</t>
  </si>
  <si>
    <t>立即往前方突进，寻找前方直线内的最近目标，大力地击退该目标周围的所有敌军，造成相当于攻击力250%的物理伤害，在5秒内所有命中目标的移动速度-30%</t>
  </si>
  <si>
    <t>skill_icon_skchr_panda_2</t>
  </si>
  <si>
    <t>Skill_Start,Skill_End</t>
  </si>
  <si>
    <t>食铁兽2抬手</t>
  </si>
  <si>
    <t>食铁兽2击中</t>
  </si>
  <si>
    <t>银灰攻击</t>
  </si>
  <si>
    <t>银灰近战抬手</t>
  </si>
  <si>
    <t>银灰远攻</t>
  </si>
  <si>
    <t>银灰雪境</t>
  </si>
  <si>
    <t>银灰弹道</t>
  </si>
  <si>
    <t>银灰击中</t>
  </si>
  <si>
    <t>银灰强力击</t>
  </si>
  <si>
    <t>强力击·γ型</t>
  </si>
  <si>
    <t>下次攻击攻击力提升至290%</t>
  </si>
  <si>
    <t>skill_icon_skcom_powerstrike[3]</t>
  </si>
  <si>
    <t>银灰强力击击中</t>
  </si>
  <si>
    <t>银灰强力击1</t>
  </si>
  <si>
    <t>银灰雪境切换</t>
  </si>
  <si>
    <t>雪境生存法则</t>
  </si>
  <si>
    <t>可以在下列状态和初始状态间切换：\n攻击范围缩小，防御力+100%，每秒恢复最大生命的6.0%</t>
  </si>
  <si>
    <t>skill_icon_skchr_svrash_2</t>
  </si>
  <si>
    <t>银灰雪境远攻</t>
  </si>
  <si>
    <t>1,0.06</t>
  </si>
  <si>
    <t>银灰雪境切换1</t>
  </si>
  <si>
    <t>0.65,0.04</t>
  </si>
  <si>
    <t>0,0#0,1#0,-1#1,0</t>
  </si>
  <si>
    <t>真银斩</t>
  </si>
  <si>
    <t>攻击范围扩大，攻击力提高200%，自身防御下降70%，攻击6个目标。</t>
  </si>
  <si>
    <t>skill_icon_skchr_svrash_3</t>
  </si>
  <si>
    <t>0,0#0,1#0,2#0,3#0,-1#0,-2#0,-3#1,0#1,1#1,2#1,-1#1,-2#2,0#2,1#2,-1#3,0</t>
  </si>
  <si>
    <t>真银斩加攻,真银斩降防</t>
  </si>
  <si>
    <t>银灰真银斩启动</t>
  </si>
  <si>
    <t>银灰真银斩击中</t>
  </si>
  <si>
    <t>真银斩1</t>
  </si>
  <si>
    <t>攻击范围扩大，攻击力提高140%，自身防御下降70%，攻击6个目标。</t>
  </si>
  <si>
    <t>真银斩加攻1,真银斩降防</t>
  </si>
  <si>
    <t>真银斩加攻</t>
  </si>
  <si>
    <t>真银斩加攻1</t>
  </si>
  <si>
    <t>真银斩降防</t>
  </si>
  <si>
    <t>银灰减再部署</t>
  </si>
  <si>
    <t>银灰被动加攻击</t>
  </si>
  <si>
    <t>再部署时间降低2</t>
  </si>
  <si>
    <t>银灰减再部署1</t>
  </si>
  <si>
    <t>银灰被动加攻击1</t>
  </si>
  <si>
    <t>银灰反隐</t>
  </si>
  <si>
    <t>42攻击</t>
  </si>
  <si>
    <t>42穿甲</t>
  </si>
  <si>
    <t>42普攻抬手</t>
  </si>
  <si>
    <t>42普攻击中</t>
  </si>
  <si>
    <t>42强力击</t>
  </si>
  <si>
    <t>烈焰魔剑</t>
  </si>
  <si>
    <t>下次攻击的攻击力提升至310%，如果将目标击倒则立即恢复所有技力</t>
  </si>
  <si>
    <t>skill_icon_skchr_surtr_1</t>
  </si>
  <si>
    <t>42强力击回费</t>
  </si>
  <si>
    <t>42强力击抬手</t>
  </si>
  <si>
    <t>42强力击击中</t>
  </si>
  <si>
    <t>{"PowerCount":2}</t>
  </si>
  <si>
    <t>42融核巨影</t>
  </si>
  <si>
    <t>熔核巨影</t>
  </si>
  <si>
    <t>攻击力+120%，攻击距离+1，攻击目标数+1，仅攻击到一个敌人时对其攻击力提升至160%</t>
  </si>
  <si>
    <t>skill_icon_skchr_surtr_2</t>
  </si>
  <si>
    <t>融核巨影加攻</t>
  </si>
  <si>
    <t>Skill_2</t>
  </si>
  <si>
    <t>Skill_2_Down</t>
  </si>
  <si>
    <t>42穿甲,42单体加伤</t>
  </si>
  <si>
    <t>42巨影抬手2</t>
  </si>
  <si>
    <t>42巨影抬手</t>
  </si>
  <si>
    <t>42巨影加攻</t>
  </si>
  <si>
    <t>42黄昏启动</t>
  </si>
  <si>
    <t>黄昏</t>
  </si>
  <si>
    <t>立即恢复所有生命；攻击力+330%，攻击距离+2，攻击目标数+3，生命上限+5000，逐渐失去生命（60秒后到达最大生命20%/秒）；持续时间无限</t>
  </si>
  <si>
    <t>skill_icon_skchr_surtr_3</t>
  </si>
  <si>
    <t>42黄昏,黄昏加攻,黄昏回血,黄昏掉血</t>
  </si>
  <si>
    <t>Skill_3_Begin</t>
  </si>
  <si>
    <t>42黄昏动作</t>
  </si>
  <si>
    <t>42黄昏</t>
  </si>
  <si>
    <t>Skill_3_Loop</t>
  </si>
  <si>
    <t>42黄昏击中</t>
  </si>
  <si>
    <t>黄昏加攻</t>
  </si>
  <si>
    <t>42黄昏Buff,42左眼特效,42右眼特效</t>
  </si>
  <si>
    <t>3.3,5000</t>
  </si>
  <si>
    <t>黄昏回血</t>
  </si>
  <si>
    <t>黄昏掉血</t>
  </si>
  <si>
    <t>42黄昏掉血</t>
  </si>
  <si>
    <t>42锁血</t>
  </si>
  <si>
    <t>42锁血死亡</t>
  </si>
  <si>
    <t>42锁血绝食</t>
  </si>
  <si>
    <t>强制撤退</t>
  </si>
  <si>
    <t>{"Time":9}</t>
  </si>
  <si>
    <t>凯尔希攻击</t>
  </si>
  <si>
    <t>召唤物</t>
  </si>
  <si>
    <t>凯尔希普攻启动</t>
  </si>
  <si>
    <t>凯尔希击中</t>
  </si>
  <si>
    <t>获得m3</t>
  </si>
  <si>
    <t>{"Count":1,"UnitId":"Mon3tr"}</t>
  </si>
  <si>
    <t>阻止m3降防</t>
  </si>
  <si>
    <t>m3阻止降防</t>
  </si>
  <si>
    <t>凯尔希加固</t>
  </si>
  <si>
    <t>指令：结构加固</t>
  </si>
  <si>
    <t>自身和Mon3tr的防御力+150%，且自身获得50%的物理格挡</t>
  </si>
  <si>
    <t>skill_icon_skchr_kalts_1</t>
  </si>
  <si>
    <t>凯尔希自身格挡</t>
  </si>
  <si>
    <t>凯尔希防御提升</t>
  </si>
  <si>
    <t>凯尔希协同</t>
  </si>
  <si>
    <t>召唤绑定</t>
  </si>
  <si>
    <t>指令：战术协同</t>
  </si>
  <si>
    <t>自身的攻击速度+100，Mon3tr的攻击力+90%，Mon3tr可以攻击阻挡的所有敌人。该技能与Mon3tr绑定</t>
  </si>
  <si>
    <t>skill_icon_skchr_kalts_2</t>
  </si>
  <si>
    <t>凯尔希协同m3</t>
  </si>
  <si>
    <t>凯尔希攻速提升</t>
  </si>
  <si>
    <t>攻击提升,m3协同标记</t>
  </si>
  <si>
    <t>凯尔希融毁</t>
  </si>
  <si>
    <t>指令：熔毁</t>
  </si>
  <si>
    <t>Mon3tr的防御力+100%，技能期间攻击力从+130%逐渐降低至+0%且伤害类型变为真实，此期间如果未击杀任何敌人则技能结束后流失最大生命的50%。该技能与Mon3tr绑定</t>
  </si>
  <si>
    <t>skill_icon_skchr_kalts_3</t>
  </si>
  <si>
    <t>凯尔希融毁标记,凯尔希融毁加防,凯尔希移除融毁标记,凯尔希背刺m3</t>
  </si>
  <si>
    <t>m3融毁加攻</t>
  </si>
  <si>
    <t>凯尔希融毁加防</t>
  </si>
  <si>
    <t>凯尔希融毁标记</t>
  </si>
  <si>
    <t>凯尔希背刺标记</t>
  </si>
  <si>
    <t>凯尔希移除融毁标记</t>
  </si>
  <si>
    <t>凯尔希背刺m3</t>
  </si>
  <si>
    <t>m3攻击</t>
  </si>
  <si>
    <t>m3绝食</t>
  </si>
  <si>
    <t>m3协同攻击</t>
  </si>
  <si>
    <t>m3协同标记</t>
  </si>
  <si>
    <t>m3融毁攻击</t>
  </si>
  <si>
    <t>m3降防</t>
  </si>
  <si>
    <t>m3死亡自爆</t>
  </si>
  <si>
    <t>离场</t>
  </si>
  <si>
    <t>无</t>
  </si>
  <si>
    <t>棘刺攻击</t>
  </si>
  <si>
    <t>棘刺禁用回血</t>
  </si>
  <si>
    <t>Attack_1</t>
  </si>
  <si>
    <t>棘刺毒素</t>
  </si>
  <si>
    <t>棘刺近战抬手</t>
  </si>
  <si>
    <t>棘刺近战击中</t>
  </si>
  <si>
    <t>棘刺远攻</t>
  </si>
  <si>
    <t>棘刺普通弹道</t>
  </si>
  <si>
    <t>棘刺远攻抬手</t>
  </si>
  <si>
    <t>棘刺远攻击中</t>
  </si>
  <si>
    <t>棘刺被动回血</t>
  </si>
  <si>
    <t>棘刺进入防御</t>
  </si>
  <si>
    <t>护身尖刺</t>
  </si>
  <si>
    <t>停止攻击，攻击力+60%，防御力+110%，受到敌人普通攻击时释放尖刺对前方最多4名敌人进行一次远程攻击（每0.6秒最多触发一次）</t>
  </si>
  <si>
    <t>skill_icon_skchr_thorns_2</t>
  </si>
  <si>
    <t>棘刺防御Buff,棘刺防御远攻</t>
  </si>
  <si>
    <t>Skill1_1,Skill1_2,Skill1_3</t>
  </si>
  <si>
    <t>棘刺反击标记</t>
  </si>
  <si>
    <t>棘刺防御Buff</t>
  </si>
  <si>
    <t>棘刺反击Buff</t>
  </si>
  <si>
    <t>0.6,1.1</t>
  </si>
  <si>
    <t>棘刺防御远攻</t>
  </si>
  <si>
    <t>0,0#0,1#0,-1#1,0#2,0#1,1#1,-1#3,0#2,-1#2,1</t>
  </si>
  <si>
    <t>棘刺2启动</t>
  </si>
  <si>
    <t>棘刺2击中</t>
  </si>
  <si>
    <t>棘刺至高之术</t>
  </si>
  <si>
    <t>之高之术buff</t>
  </si>
  <si>
    <t>棘刺3弹道</t>
  </si>
  <si>
    <t>棘刺3启动</t>
  </si>
  <si>
    <t>棘刺3击中</t>
  </si>
  <si>
    <t>棘刺至高Buff</t>
  </si>
  <si>
    <t>至高之术</t>
  </si>
  <si>
    <t>攻击范围扩大，攻击力+60%，攻击速度+25，远程攻击不再降低攻击力\n第二次及以后使用时能力加成变为最初的两倍，且持续时间无限</t>
  </si>
  <si>
    <t>skill_icon_skchr_thorns_3</t>
  </si>
  <si>
    <t>棘刺至高之术,棘刺至高之术2</t>
  </si>
  <si>
    <t>棘刺至高Buff2</t>
  </si>
  <si>
    <t>之高之术buff,棘刺刀特效</t>
  </si>
  <si>
    <t>0.6,25</t>
  </si>
  <si>
    <t>棘刺至高之术2</t>
  </si>
  <si>
    <t>之高之术buff2</t>
  </si>
  <si>
    <t>之高之术buff2,棘刺刀特效</t>
  </si>
  <si>
    <t>1.2,50</t>
  </si>
  <si>
    <t>能天使攻击</t>
  </si>
  <si>
    <t>能天使弹道</t>
  </si>
  <si>
    <t>能天使1抬手</t>
  </si>
  <si>
    <t>能天使击中2</t>
  </si>
  <si>
    <t>能天使强力击</t>
  </si>
  <si>
    <t>冲锋模式</t>
  </si>
  <si>
    <t>下次攻击变为3连射，每次射击造成相当于攻击力145%的伤害</t>
  </si>
  <si>
    <t>skill_icon_skchr_angel_1</t>
  </si>
  <si>
    <t>能天使抬手</t>
  </si>
  <si>
    <t>能天使击中</t>
  </si>
  <si>
    <t>能天使被动加攻速</t>
  </si>
  <si>
    <t>能天使自己祝福</t>
  </si>
  <si>
    <t>能天使祝福</t>
  </si>
  <si>
    <t>0.1,0.16</t>
  </si>
  <si>
    <t>能天使队友祝福</t>
  </si>
  <si>
    <t>能天使扫射</t>
  </si>
  <si>
    <t>扫射模式</t>
  </si>
  <si>
    <t>攻击变为4连射，每次射击造成相当于攻击力125%的伤害</t>
  </si>
  <si>
    <t>skill_icon_skchr_angel_2</t>
  </si>
  <si>
    <t>能天使扫射buff</t>
  </si>
  <si>
    <t>能天使2特效</t>
  </si>
  <si>
    <t>能天使过载</t>
  </si>
  <si>
    <t>过载模式</t>
  </si>
  <si>
    <t>攻击变为5连射，攻击间隔一定程度缩短，攻击力提升至110%\n技能会自动开启</t>
  </si>
  <si>
    <t>skill_icon_skchr_angel_3</t>
  </si>
  <si>
    <t>能天使过载buff</t>
  </si>
  <si>
    <t>能天使攻击间隔变化</t>
  </si>
  <si>
    <t>小火龙攻击</t>
  </si>
  <si>
    <t>0,0#1,0#2,0#3,0#4,0#5,0</t>
  </si>
  <si>
    <t>小火龙抬手</t>
  </si>
  <si>
    <t>小火龙被动减魔抗</t>
  </si>
  <si>
    <t>精神融解</t>
  </si>
  <si>
    <t>小火龙被动加技力</t>
  </si>
  <si>
    <t>莱茵回路</t>
  </si>
  <si>
    <t>小火龙buff</t>
  </si>
  <si>
    <t>狂热</t>
  </si>
  <si>
    <t>攻击力+20%，攻击速度+80</t>
  </si>
  <si>
    <t>skill_icon_skchr_ifrit_1</t>
  </si>
  <si>
    <t>0.2,80</t>
  </si>
  <si>
    <t>小火龙炎爆</t>
  </si>
  <si>
    <t>炎爆</t>
  </si>
  <si>
    <t>下次攻击造成相当于攻击力250%的法术伤害，命中目标在3秒内防御力-300并持续受到灼烧伤害\n可充能3次</t>
  </si>
  <si>
    <t>skill_icon_skchr_ifrit_2</t>
  </si>
  <si>
    <t>防御提升,小火龙灼烧</t>
  </si>
  <si>
    <t>小火龙2启动</t>
  </si>
  <si>
    <t>小火龙2范围</t>
  </si>
  <si>
    <t>小火龙灼地</t>
  </si>
  <si>
    <t>灼地</t>
  </si>
  <si>
    <t>对攻击范围内的地面敌人造成每秒相当于攻击力140%的法术伤害，命中目标的法术抗性-20\n自己每秒流失最大生命值的2%</t>
  </si>
  <si>
    <t>skill_icon_skchr_ifrit_3</t>
  </si>
  <si>
    <t>小火龙灼地自伤,小火龙灼地buff</t>
  </si>
  <si>
    <t>Skill_Down_2_Begin,Skill_Down_2_Loop,Skill_Down_2_End</t>
  </si>
  <si>
    <t>小火龙3烧地</t>
  </si>
  <si>
    <t>小火龙3自身持续</t>
  </si>
  <si>
    <t>小火龙灼地自伤</t>
  </si>
  <si>
    <t>小火龙灼地buff</t>
  </si>
  <si>
    <t>小火龙灼地背后</t>
  </si>
  <si>
    <t>羊攻击</t>
  </si>
  <si>
    <t>羊普攻弹道</t>
  </si>
  <si>
    <t>羊普攻抬手</t>
  </si>
  <si>
    <t>羊普攻击中</t>
  </si>
  <si>
    <t>羊炎息</t>
  </si>
  <si>
    <t>羊后续炎息</t>
  </si>
  <si>
    <t>羊乱火</t>
  </si>
  <si>
    <t>{"PowerCount":10,"PowerCount2":19}</t>
  </si>
  <si>
    <t>羊buff</t>
  </si>
  <si>
    <t>二重咏唱</t>
  </si>
  <si>
    <t>攻击速度+60\n第二次及以后使用时追加攻击力+60%的效果</t>
  </si>
  <si>
    <t>skill_icon_skchr_amgoat_1</t>
  </si>
  <si>
    <t>羊buff2</t>
  </si>
  <si>
    <t>羊点燃</t>
  </si>
  <si>
    <t>点燃</t>
  </si>
  <si>
    <t>下次攻击造成相当于攻击力370%的法术伤害，命中目标周围的敌人受到一半的爆炸伤害且在6秒内法术抗性-25%\n可充能3次</t>
  </si>
  <si>
    <t>skill_icon_skchr_amgoat_2</t>
  </si>
  <si>
    <t>羊2弹道</t>
  </si>
  <si>
    <t>羊2范围</t>
  </si>
  <si>
    <t>羊2击中</t>
  </si>
  <si>
    <t>羊火山</t>
  </si>
  <si>
    <t>火山</t>
  </si>
  <si>
    <t>攻击力+130%，攻击范围增大，攻击间隔大幅度缩短(-1.1)，攻击变为随机对攻击范围内至多6个敌人发射熔岩</t>
  </si>
  <si>
    <t>skill_icon_skchr_amgoat_3</t>
  </si>
  <si>
    <t>0,0#0,1#0,-1#1,0#-1,0#2,0#1,1#1,-1#0,2#0,-2#-1,1#-1,-1#-2,0#3,0#2,1#2,-1#1,2#1,-2#0,3#0,-3#-1,2#-1,-2#-2,-1#-2,1#-3,0</t>
  </si>
  <si>
    <t>羊火山buff</t>
  </si>
  <si>
    <t>羊3弹道</t>
  </si>
  <si>
    <t>1.3,-1.1</t>
  </si>
  <si>
    <t>洁哥攻击</t>
  </si>
  <si>
    <t>洁哥弹道</t>
  </si>
  <si>
    <t>洁哥普攻抬手</t>
  </si>
  <si>
    <t>洁哥普攻击中</t>
  </si>
  <si>
    <t>洁哥加速</t>
  </si>
  <si>
    <t>洁哥后续加速</t>
  </si>
  <si>
    <t>洁哥治疗</t>
  </si>
  <si>
    <t>洁哥buff</t>
  </si>
  <si>
    <t>秘杖·速充模式</t>
  </si>
  <si>
    <t>攻击力+110%\n技能自动开启</t>
  </si>
  <si>
    <t>skill_icon_skchr_aglina_1</t>
  </si>
  <si>
    <t>洁哥微粒</t>
  </si>
  <si>
    <t>秘杖·微粒模式</t>
  </si>
  <si>
    <t>攻击间隔极大幅度缩短(*0.15)，但每次攻击只能造成相当于攻击力45%的法术伤害\n技能未开启时无法普通攻击</t>
  </si>
  <si>
    <t>skill_icon_skchr_aglina_2</t>
  </si>
  <si>
    <t>洁哥微粒buff,洁哥缴械自己</t>
  </si>
  <si>
    <t>Skill1_Begin,Skill1_Loop,Skill1_End</t>
  </si>
  <si>
    <t>洁哥2弹道</t>
  </si>
  <si>
    <t>洁哥2击中</t>
  </si>
  <si>
    <t>洁哥2抬手</t>
  </si>
  <si>
    <t>洁哥微粒buff</t>
  </si>
  <si>
    <t>攻击间隔变化乘</t>
  </si>
  <si>
    <t>洁哥反重力</t>
  </si>
  <si>
    <t>秘杖·反重力模式</t>
  </si>
  <si>
    <t>全场所有敌人重量下降一个等级，攻击范围扩大，攻击力+150%，可以攻击5个敌人\n技能未开启时无法普通攻击</t>
  </si>
  <si>
    <t>skill_icon_skchr_aglina_3</t>
  </si>
  <si>
    <t>0,0#0,1#0,2#0,-1#0,-2#-1,0#-1,1#-1,2#-1,-1#-1,-2#1,0#1,1#1,2#1,-1#1,-2#2,0#2,-1#2,1#3,0</t>
  </si>
  <si>
    <t>洁哥反重力加攻,洁哥反重力buff,洁哥反重力后续buff,洁哥缴械自己</t>
  </si>
  <si>
    <t>Skill2_Begin,Skill2_Loop,Skill2_End</t>
  </si>
  <si>
    <t>洁哥3弹道</t>
  </si>
  <si>
    <t>洁哥3抬手</t>
  </si>
  <si>
    <t>洁哥反重力加攻</t>
  </si>
  <si>
    <t>攻击提升,洁哥技能标签</t>
  </si>
  <si>
    <t>洁哥反重力buff</t>
  </si>
  <si>
    <t>洁哥技能标签</t>
  </si>
  <si>
    <t>重量变化</t>
  </si>
  <si>
    <t>洁哥反重力后续buff</t>
  </si>
  <si>
    <t>洁哥缴械自己</t>
  </si>
  <si>
    <t>洁哥缴械,洁哥Idle变化</t>
  </si>
  <si>
    <t>闪灵攻击</t>
  </si>
  <si>
    <t>闪灵被动加防</t>
  </si>
  <si>
    <t>闪灵被动加攻速</t>
  </si>
  <si>
    <t>闪灵信条</t>
  </si>
  <si>
    <t>信条</t>
  </si>
  <si>
    <t>攻击力+80%，攻击速度+20</t>
  </si>
  <si>
    <t>skill_icon_skchr_shining_1</t>
  </si>
  <si>
    <t>闪灵信条buff</t>
  </si>
  <si>
    <t>0.8,20</t>
  </si>
  <si>
    <t>闪灵掩护</t>
  </si>
  <si>
    <t>自动掩护</t>
  </si>
  <si>
    <t>下次治疗使目标获得一个持续3秒的护盾\n护盾可以吸收相当于闪灵攻击力50%的伤害，同时使目标防御力+50%；可充能3次</t>
  </si>
  <si>
    <t>skill_icon_skchr_shining_2</t>
  </si>
  <si>
    <t>闪灵盾,闪灵盾防</t>
  </si>
  <si>
    <t>闪灵教条</t>
  </si>
  <si>
    <t>教条力场</t>
  </si>
  <si>
    <t>攻击力+50%\n攻击范围内的所有友方单位防御力+100%</t>
  </si>
  <si>
    <t>skill_icon_skchr_shining_3</t>
  </si>
  <si>
    <t>闪灵教条加攻</t>
  </si>
  <si>
    <t>闪灵3加攻</t>
  </si>
  <si>
    <t>夜莺攻击</t>
  </si>
  <si>
    <t>夜莺普攻抬手</t>
  </si>
  <si>
    <t>夜莺普攻击中</t>
  </si>
  <si>
    <t>夜莺被动加防</t>
  </si>
  <si>
    <t>获得鸟笼</t>
  </si>
  <si>
    <t>{"Count":2,"UnitId":"幻影"}</t>
  </si>
  <si>
    <t>夜莺护盾</t>
  </si>
  <si>
    <t>法术护盾</t>
  </si>
  <si>
    <t>下次治疗使所有目标获得一个持续5秒的护盾\n护盾能吸收相当于夜莺攻击力90%的法术伤害，同时使目标法术抗性+20；可充能3次</t>
  </si>
  <si>
    <t>skill_icon_skchr_cgbird_2</t>
  </si>
  <si>
    <t>夜莺盾,夜莺盾防</t>
  </si>
  <si>
    <t>夜莺圣域</t>
  </si>
  <si>
    <t>圣域</t>
  </si>
  <si>
    <t>攻击范围扩大，攻击力+80%，攻击范围内的友方单位法术抗性+150%并获得25%的法术闪避</t>
  </si>
  <si>
    <t>skill_icon_skchr_cgbird_3</t>
  </si>
  <si>
    <t>夜莺圣域buff,夜莺圣域自身buff</t>
  </si>
  <si>
    <t>夜莺圣域buff</t>
  </si>
  <si>
    <t>圣域buff</t>
  </si>
  <si>
    <t>1.5,0.25</t>
  </si>
  <si>
    <t>夜莺圣域自身buff</t>
  </si>
  <si>
    <t>圣域自身buff</t>
  </si>
  <si>
    <t>鸟笼攻击</t>
  </si>
  <si>
    <t>鸟笼绝食</t>
  </si>
  <si>
    <t>绝食2,物理格挡2</t>
  </si>
  <si>
    <t>星熊攻击</t>
  </si>
  <si>
    <t>星熊普攻抬手</t>
  </si>
  <si>
    <t>星熊普攻击中</t>
  </si>
  <si>
    <t>星熊被动闪避</t>
  </si>
  <si>
    <t>全部格挡</t>
  </si>
  <si>
    <t>星熊加防</t>
  </si>
  <si>
    <t>星熊后续加防</t>
  </si>
  <si>
    <t>星熊战意</t>
  </si>
  <si>
    <t>战意</t>
  </si>
  <si>
    <t>防御力+80%，攻击力+40%</t>
  </si>
  <si>
    <t>skill_icon_skchr_hsguma_1</t>
  </si>
  <si>
    <t>星熊1buff</t>
  </si>
  <si>
    <t>0.8,0.4</t>
  </si>
  <si>
    <t>星熊反击</t>
  </si>
  <si>
    <t>荆棘</t>
  </si>
  <si>
    <t>防御力+30%,每次受到攻击时对目标造成相当于星熊攻击力100%的物理伤害</t>
  </si>
  <si>
    <t>skill_icon_skchr_hsguma_2</t>
  </si>
  <si>
    <t>星熊反击加防</t>
  </si>
  <si>
    <t>星熊防御提升</t>
  </si>
  <si>
    <t>星熊锯</t>
  </si>
  <si>
    <t>力之锯</t>
  </si>
  <si>
    <t>攻击力+140%，防御力+90%，对前方一格的所有敌人使用盾牌进行切割</t>
  </si>
  <si>
    <t>skill_icon_skchr_hsguma_3</t>
  </si>
  <si>
    <t>星熊锯buff</t>
  </si>
  <si>
    <t>星熊3击中</t>
  </si>
  <si>
    <t>星熊3启动</t>
  </si>
  <si>
    <t>星熊buff,星熊眼睛特效</t>
  </si>
  <si>
    <t>1.4,0.9</t>
  </si>
  <si>
    <t>塞雷娅攻击</t>
  </si>
  <si>
    <t>塞雷娅击中</t>
  </si>
  <si>
    <t>塞雷娅充能服</t>
  </si>
  <si>
    <t>塞雷娅充能服buff</t>
  </si>
  <si>
    <t>0.06,0.05</t>
  </si>
  <si>
    <t>塞雷娅急救</t>
  </si>
  <si>
    <t>skill_icon_skchr_demkni_1</t>
  </si>
  <si>
    <t>塞雷娅1启动</t>
  </si>
  <si>
    <t>塞雷娅1击中</t>
  </si>
  <si>
    <t>塞雷娅药物配置</t>
  </si>
  <si>
    <t>药物配置</t>
  </si>
  <si>
    <t>治疗附近一定范围内的所有友军相当于塞雷娅攻击力140%的生命</t>
  </si>
  <si>
    <t>skill_icon_skchr_demkni_2</t>
  </si>
  <si>
    <t>塞雷娅2启动</t>
  </si>
  <si>
    <t>塞雷娅钙质化</t>
  </si>
  <si>
    <t>钙质化</t>
  </si>
  <si>
    <t>附近所有友军每秒回复相当于塞雷娅攻击力35%的生命\n附近所有敌军受到的法术伤害+55%，移动速度-60%</t>
  </si>
  <si>
    <t>skill_icon_skchr_demkni_3</t>
  </si>
  <si>
    <t>塞雷娅钙质化db,塞雷娅钙质化buff</t>
  </si>
  <si>
    <t>塞雷娅3范围</t>
  </si>
  <si>
    <t>塞雷娅钙质化db</t>
  </si>
  <si>
    <t>塞雷娅钙质化buff</t>
  </si>
  <si>
    <t>0.55,-0.6</t>
  </si>
  <si>
    <t>塞雷娅钙质化自身特效</t>
  </si>
  <si>
    <t>山攻击</t>
  </si>
  <si>
    <t>Attack_A</t>
  </si>
  <si>
    <t>山暴击攻击</t>
  </si>
  <si>
    <t>Attack_B</t>
  </si>
  <si>
    <t>山被动</t>
  </si>
  <si>
    <t>防御提升,物理格挡2</t>
  </si>
  <si>
    <t>山1</t>
  </si>
  <si>
    <t>左勾扫拳</t>
  </si>
  <si>
    <t>下次攻击的攻击力提升至230%，额外攻击一个目标</t>
  </si>
  <si>
    <t>skill_icon_skchr_f12yin_1</t>
  </si>
  <si>
    <t>山2切换</t>
  </si>
  <si>
    <t>横扫架势</t>
  </si>
  <si>
    <t>可以在下列状态和初始状态间切换：\n防御力-20%，攻击距离缩短，攻击力+80%，阻挡数+1，同时攻击阻挡的所有敌人，每秒恢复最大生命的7.0%</t>
  </si>
  <si>
    <t>skill_icon_skchr_f12yin_2</t>
  </si>
  <si>
    <t>山2攻击,山2暴击攻击</t>
  </si>
  <si>
    <t>山2buff,山2动作</t>
  </si>
  <si>
    <t>-0.2,0.8,1,0.07</t>
  </si>
  <si>
    <t>山2攻击</t>
  </si>
  <si>
    <t>山2buff</t>
  </si>
  <si>
    <t>山2暴击攻击</t>
  </si>
  <si>
    <t>山3</t>
  </si>
  <si>
    <t>震地碎岩击</t>
  </si>
  <si>
    <t>攻击间隔增大(+70%)，攻击力+100%，攻击变为2连击，第一天赋的发动几率提升至75%，每次攻击周围最多4个敌人并将其中等力度地推动</t>
  </si>
  <si>
    <t>skill_icon_skchr_f12yin_3</t>
  </si>
  <si>
    <t>0,0#1,0#-1,0#0,1#0,-1</t>
  </si>
  <si>
    <t>山3buff,山3暴击攻击</t>
  </si>
  <si>
    <t>Skill_3_Begin,Skill_3_Loop,Skill_3_End</t>
  </si>
  <si>
    <t>山3暴击攻击</t>
  </si>
  <si>
    <t>山3buff</t>
  </si>
  <si>
    <t>山3buff,山3动作</t>
  </si>
  <si>
    <t>1,0.7</t>
  </si>
  <si>
    <t>#非正式技能，测试用</t>
  </si>
  <si>
    <t>减速攻击</t>
  </si>
  <si>
    <t>攻击可以减缓目标移速。</t>
  </si>
  <si>
    <t>焰淬匕首</t>
  </si>
  <si>
    <t>阿米娅子弹</t>
  </si>
  <si>
    <t>蓄力</t>
  </si>
  <si>
    <t>击中1</t>
  </si>
  <si>
    <t>大范围减速</t>
  </si>
  <si>
    <t>广范围减速敌人</t>
  </si>
  <si>
    <t>冲锋号令</t>
  </si>
  <si>
    <t>大范围减速2</t>
  </si>
  <si>
    <t>大范围自动加血</t>
  </si>
  <si>
    <t>阿米娅强力击</t>
  </si>
  <si>
    <t>强力击</t>
  </si>
  <si>
    <t>阿米娅强力击子弹</t>
  </si>
  <si>
    <t>阿米娅手动强力击</t>
  </si>
  <si>
    <t>推人</t>
  </si>
  <si>
    <t>把面前的敌人推开</t>
  </si>
  <si>
    <t>拉人</t>
  </si>
  <si>
    <t>把面前的敌人拉过来</t>
  </si>
  <si>
    <t>被动减费</t>
  </si>
  <si>
    <t>部署费用提升</t>
  </si>
  <si>
    <t>加费</t>
  </si>
  <si>
    <t>获得费用</t>
  </si>
  <si>
    <t>持续加费</t>
  </si>
  <si>
    <t>持续获得费用</t>
  </si>
  <si>
    <t>击杀加费</t>
  </si>
  <si>
    <t>获得冰刀</t>
  </si>
  <si>
    <t>破冰2</t>
  </si>
  <si>
    <t>##敌人技能</t>
  </si>
  <si>
    <t>近身</t>
  </si>
  <si>
    <t>虫子攻击</t>
  </si>
  <si>
    <t>敌人隐身</t>
  </si>
  <si>
    <t>不可阻挡</t>
  </si>
  <si>
    <t>平民不可阻挡</t>
  </si>
  <si>
    <t>不可阻挡,中立单位标记</t>
  </si>
  <si>
    <t>虫子死亡自爆</t>
  </si>
  <si>
    <t>炮兵弹道</t>
  </si>
  <si>
    <t>C_Weapon_A</t>
  </si>
  <si>
    <t>霜星普通攻击</t>
  </si>
  <si>
    <t>C_R_Hand</t>
  </si>
  <si>
    <t>寒冷</t>
  </si>
  <si>
    <t>霜星近身攻击</t>
  </si>
  <si>
    <t>霜星冰环</t>
  </si>
  <si>
    <t>已复活标记</t>
  </si>
  <si>
    <t>霜星拆地板</t>
  </si>
  <si>
    <t>拆地板</t>
  </si>
  <si>
    <t>Skill_1</t>
  </si>
  <si>
    <t>地板损坏</t>
  </si>
  <si>
    <t>霜星锁血</t>
  </si>
  <si>
    <t>霜星复活Buff,霜星复活眩晕,霜星锁血动作,霜星复活召唤装置,霜星复活无敌</t>
  </si>
  <si>
    <t>{"LockHp":0.00001,"HealStart":3.3333,"HealCount":1,"HealTime":3.3333}</t>
  </si>
  <si>
    <t>霜星锁血1</t>
  </si>
  <si>
    <t>霜星复活标记,霜星复活Buff,霜星复活无敌,霜星复活眩晕,霜星锁血动作,霜星复活召唤装置</t>
  </si>
  <si>
    <t>霜星锁血动作</t>
  </si>
  <si>
    <t>霜星复活标记</t>
  </si>
  <si>
    <t>霜星复活眩晕</t>
  </si>
  <si>
    <t>眩晕2</t>
  </si>
  <si>
    <t>霜星复活Buff</t>
  </si>
  <si>
    <t>霜星复活无敌</t>
  </si>
  <si>
    <t>无敌</t>
  </si>
  <si>
    <t>霜星复活召唤装置</t>
  </si>
  <si>
    <t>修改Tag</t>
  </si>
  <si>
    <t>{"Tag":"Ice"}</t>
  </si>
  <si>
    <t>霜星复活冰环</t>
  </si>
  <si>
    <t>Skill_3</t>
  </si>
  <si>
    <t>霜星复活拆地板</t>
  </si>
  <si>
    <t>弑君者闪现</t>
  </si>
  <si>
    <t>跳跃</t>
  </si>
  <si>
    <t>Disappear</t>
  </si>
  <si>
    <t>不可阻挡,弑君者闪现动作</t>
  </si>
  <si>
    <t>{"JumpDist":1.5}</t>
  </si>
  <si>
    <t>狙击步兵攻击</t>
  </si>
  <si>
    <t>C_Weapon</t>
  </si>
  <si>
    <t>狙击步兵眩晕攻击</t>
  </si>
  <si>
    <t>大锤眩晕攻击</t>
  </si>
  <si>
    <t>复仇者复仇</t>
  </si>
  <si>
    <t>复仇者复仇1</t>
  </si>
  <si>
    <t>酸液减甲</t>
  </si>
  <si>
    <t>高能虫死亡自爆</t>
  </si>
  <si>
    <t>弩手攻击</t>
  </si>
  <si>
    <t>反隐光环</t>
  </si>
  <si>
    <t>萨卡兹术士攻击</t>
  </si>
  <si>
    <t>C_Muzzle</t>
  </si>
  <si>
    <t>萨卡兹术士束缚</t>
  </si>
  <si>
    <t>捆绑弹道</t>
  </si>
  <si>
    <t>暴鸰自身buff</t>
  </si>
  <si>
    <t>暴鸰弹道</t>
  </si>
  <si>
    <t>移速变化,暴鸰动作</t>
  </si>
  <si>
    <t>碎岩者被动</t>
  </si>
  <si>
    <t>碎岩者buff</t>
  </si>
  <si>
    <t>碎岩者被动1</t>
  </si>
  <si>
    <t>特工攻击</t>
  </si>
  <si>
    <t>特工减阻挡</t>
  </si>
  <si>
    <t>特工组长攻击</t>
  </si>
  <si>
    <t>庞贝攻击</t>
  </si>
  <si>
    <t>庞贝灼烧</t>
  </si>
  <si>
    <t>庞贝技能</t>
  </si>
  <si>
    <t>庞贝复仇</t>
  </si>
  <si>
    <t>碎骨攻击</t>
  </si>
  <si>
    <t>碎骨减甲</t>
  </si>
  <si>
    <t>碎骨近战</t>
  </si>
  <si>
    <t>Combat_NoPre</t>
  </si>
  <si>
    <t>碎骨复仇</t>
  </si>
  <si>
    <t>W攻击</t>
  </si>
  <si>
    <t>W技能</t>
  </si>
  <si>
    <t>打断释放</t>
  </si>
  <si>
    <t>W半血</t>
  </si>
  <si>
    <t>W半血1</t>
  </si>
  <si>
    <t>多重攻击3</t>
  </si>
  <si>
    <t>{"TargetSkill":["W技能"]}</t>
  </si>
  <si>
    <t>{"PowerCount":21}</t>
  </si>
  <si>
    <t>梅菲斯特攻击</t>
  </si>
  <si>
    <t>梅菲斯特入场</t>
  </si>
  <si>
    <t>梅菲斯特光环</t>
  </si>
  <si>
    <t>梅菲斯特死亡</t>
  </si>
  <si>
    <t>梅菲斯特消去光环</t>
  </si>
  <si>
    <t>浮士德攻击</t>
  </si>
  <si>
    <t>浮士德弹道</t>
  </si>
  <si>
    <t>浮士德强力击</t>
  </si>
  <si>
    <t>浮士德1弹道</t>
  </si>
  <si>
    <t>浮士德无敌</t>
  </si>
  <si>
    <t>浮士德招炮台</t>
  </si>
  <si>
    <t>射手攻击</t>
  </si>
  <si>
    <t>射手攻击装置</t>
  </si>
  <si>
    <t>狂徒攻击</t>
  </si>
  <si>
    <t>狂徒攻击装置</t>
  </si>
  <si>
    <t>灰尾加防</t>
  </si>
  <si>
    <t>灰尾护盾</t>
  </si>
  <si>
    <t>灰尾盾</t>
  </si>
  <si>
    <t>灰尾加速</t>
  </si>
  <si>
    <t>灰尾加防1</t>
  </si>
  <si>
    <t>灰尾护盾1</t>
  </si>
  <si>
    <t>鼠王加防</t>
  </si>
  <si>
    <t>鼠王护盾</t>
  </si>
  <si>
    <t>鼠王唱沙</t>
  </si>
  <si>
    <t>最大血量降序</t>
  </si>
  <si>
    <t>0,0#1,0#2,0#3,0#-1,0#-2,0#-3,0#0,1#0,2#0,3#0,-1#0,-2#0,-3</t>
  </si>
  <si>
    <t>鼠王沙狱</t>
  </si>
  <si>
    <t>最大血量升序</t>
  </si>
  <si>
    <t>鼠王龙卷风</t>
  </si>
  <si>
    <t>鼠王标记1</t>
  </si>
  <si>
    <t>鼠王标记2</t>
  </si>
  <si>
    <t>泥岩小队buff</t>
  </si>
  <si>
    <t>泥岩小队攻速</t>
  </si>
  <si>
    <t>0.5,50</t>
  </si>
  <si>
    <t>泥岩小队践行者护盾</t>
  </si>
  <si>
    <t>泥岩小队践行者组长护盾</t>
  </si>
  <si>
    <t>提亚卡乌卫士被动</t>
  </si>
  <si>
    <t>鳄鱼buff</t>
  </si>
  <si>
    <t>提亚卡乌卫士被动1</t>
  </si>
  <si>
    <t>提亚卡乌巫术师远程攻击</t>
  </si>
  <si>
    <t>Attack_01</t>
  </si>
  <si>
    <t>提亚卡乌巫术师被动</t>
  </si>
  <si>
    <t>提亚卡乌巫术师被动1</t>
  </si>
  <si>
    <t>提亚卡乌巫术师近战攻击</t>
  </si>
  <si>
    <t>Attack_02</t>
  </si>
  <si>
    <t>大鳄鱼阻挡减防</t>
  </si>
  <si>
    <t>大鳄鱼减防,大鳄鱼减仇恨,大鳄鱼决斗减伤</t>
  </si>
  <si>
    <t>大鳄鱼阻挡目标减防</t>
  </si>
  <si>
    <t>大鳄鱼减防</t>
  </si>
  <si>
    <t>呼啸骑士攻击</t>
  </si>
  <si>
    <t>呼啸骑士被动</t>
  </si>
  <si>
    <t>呼啸骑士盾</t>
  </si>
  <si>
    <t>3000,95</t>
  </si>
  <si>
    <t>塑料骑士被动</t>
  </si>
  <si>
    <t>沸血骑士被动</t>
  </si>
  <si>
    <t>0.1,5</t>
  </si>
  <si>
    <t>左手攻击</t>
  </si>
  <si>
    <t>左手减攻</t>
  </si>
  <si>
    <t>左手减攻1</t>
  </si>
  <si>
    <t>左手减攻2</t>
  </si>
  <si>
    <t>左手锁血</t>
  </si>
  <si>
    <t>左手复活眩晕,左手锁血动作,左手复活无敌</t>
  </si>
  <si>
    <t>{"LockHp":0.00001,"HealStart":0,"HealCount":1,"HealTime":5}</t>
  </si>
  <si>
    <t>左手锁血动作</t>
  </si>
  <si>
    <t>左手复活眩晕</t>
  </si>
  <si>
    <t>左手复活无敌</t>
  </si>
  <si>
    <t>冰术士远程攻击</t>
  </si>
  <si>
    <t>冰术士技能</t>
  </si>
  <si>
    <t>冰术士就绪</t>
  </si>
  <si>
    <t>破冰1</t>
  </si>
  <si>
    <t>冰狗攻击</t>
  </si>
  <si>
    <t>破冰3</t>
  </si>
  <si>
    <t>破冰4</t>
  </si>
  <si>
    <t>冰爆虫攻击</t>
  </si>
  <si>
    <t>冰爆虫死亡自爆</t>
  </si>
  <si>
    <t>#暴鸰自身buff</t>
  </si>
  <si>
    <t>穿刺手加速</t>
  </si>
  <si>
    <t>穿刺手加速1</t>
  </si>
  <si>
    <t>穿刺手撞击</t>
  </si>
  <si>
    <t>阻挡</t>
  </si>
  <si>
    <t>萨卡兹待命</t>
  </si>
  <si>
    <t>待命</t>
  </si>
  <si>
    <t>哨兵自己警报</t>
  </si>
  <si>
    <t>Skill_Begin</t>
  </si>
  <si>
    <t>临战,哨兵buff,临战1</t>
  </si>
  <si>
    <t>0.3,0.3</t>
  </si>
  <si>
    <t>待命,临战,哨兵buff</t>
  </si>
  <si>
    <t>萨卡兹警报</t>
  </si>
  <si>
    <t>萨卡兹警报1</t>
  </si>
  <si>
    <t>临战1</t>
  </si>
  <si>
    <t>积怨者攻击</t>
  </si>
  <si>
    <t>Skill_Attack</t>
  </si>
  <si>
    <t>萨卡兹魔剑士攻击</t>
  </si>
  <si>
    <t>魔剑士挂机结束</t>
  </si>
  <si>
    <t>挂机结束,移速变化</t>
  </si>
  <si>
    <t>传令兵光环</t>
  </si>
  <si>
    <t>传令兵后续光环</t>
  </si>
  <si>
    <t>传令buff</t>
  </si>
  <si>
    <t>0.1,100</t>
  </si>
  <si>
    <t>游击队战士buff</t>
  </si>
  <si>
    <t>游击队狙击手攻击</t>
  </si>
  <si>
    <t>游击队狙击手攻击1</t>
  </si>
  <si>
    <t>游击队炮兵攻击</t>
  </si>
  <si>
    <t>游击队炮兵buff</t>
  </si>
  <si>
    <t>游击队突袭战士buff</t>
  </si>
  <si>
    <t>游击队突袭战士buff1</t>
  </si>
  <si>
    <t>免疫脉冲波</t>
  </si>
  <si>
    <t>游击队萨卡兹战士特殊攻击</t>
  </si>
  <si>
    <t>脉冲波</t>
  </si>
  <si>
    <t>游击队萨卡兹术士攻击</t>
  </si>
  <si>
    <t>游击队萨卡兹术士buff</t>
  </si>
  <si>
    <t>攻击范围变化</t>
  </si>
  <si>
    <t>爱国者攻击</t>
  </si>
  <si>
    <t>爱国者光环</t>
  </si>
  <si>
    <t>爱国者后续光环</t>
  </si>
  <si>
    <t>0.2,200</t>
  </si>
  <si>
    <t>爱国者一阶buff</t>
  </si>
  <si>
    <t>0.5,2,1,2</t>
  </si>
  <si>
    <t>爱国者锁血</t>
  </si>
  <si>
    <t>爱国者锁血动作,爱国者复活无敌,爱国者复活Buff,爱国者复活波次,爱国者学投枪</t>
  </si>
  <si>
    <t>{"LockHp":0.00001,"HealStart":1.2,"HealCount":1,"HealTime":60}</t>
  </si>
  <si>
    <t>爱国者锁血动作</t>
  </si>
  <si>
    <t>revive_1,revive_2,revive_3</t>
  </si>
  <si>
    <t>爱国者复活无敌</t>
  </si>
  <si>
    <t>爱国者复活Buff</t>
  </si>
  <si>
    <t>爱国者复活标记,爱国者免疫,爱国者二阶buff</t>
  </si>
  <si>
    <t>-0.4,0.1</t>
  </si>
  <si>
    <t>爱国者复活波次</t>
  </si>
  <si>
    <t>{"Tag":"Patrt"}</t>
  </si>
  <si>
    <t>爱国者学投枪</t>
  </si>
  <si>
    <t>{"s0":["爱国者投枪"],"s1":["爱国者投枪"]}</t>
  </si>
  <si>
    <t>爱国者献祭光环</t>
  </si>
  <si>
    <t>爱国者复活标记</t>
  </si>
  <si>
    <t>爱国者复活攻击</t>
  </si>
  <si>
    <t>爱国者投枪</t>
  </si>
  <si>
    <t>爱国者复活动作</t>
  </si>
  <si>
    <t>revive_3</t>
  </si>
  <si>
    <t>{"Sanity":0.15}</t>
  </si>
  <si>
    <t>{"Sanity":0.2}</t>
  </si>
  <si>
    <t>钵海收割者攻击</t>
  </si>
  <si>
    <t>{"Sanity":0.1}</t>
  </si>
  <si>
    <t>钵海收割者临战buff</t>
  </si>
  <si>
    <t>移速变化,钵海收割者中毒</t>
  </si>
  <si>
    <t>钵海收割者光环</t>
  </si>
  <si>
    <t>囊海爬行者爆炸1</t>
  </si>
  <si>
    <t>囊海爬行者爆炸生效</t>
  </si>
  <si>
    <t>囊海爬行者爆炸2</t>
  </si>
  <si>
    <t>囊海爬行者爆炸3</t>
  </si>
  <si>
    <t>囊海爬行者爆炸4</t>
  </si>
  <si>
    <t>囊海爬行者爆炸5</t>
  </si>
  <si>
    <t>囊海爬行者爆炸6</t>
  </si>
  <si>
    <t>{"Sanity":1}</t>
  </si>
  <si>
    <t>首言者攻击</t>
  </si>
  <si>
    <t>{"Sanity":0.4}</t>
  </si>
  <si>
    <t>首言者技能</t>
  </si>
  <si>
    <t>{"Sanity":0.6}</t>
  </si>
  <si>
    <t>大主教攻击</t>
  </si>
  <si>
    <t>大主教大潮1</t>
  </si>
  <si>
    <t>Skill_01</t>
  </si>
  <si>
    <t>{"Sanity":0.5}</t>
  </si>
  <si>
    <t>大主教1启动</t>
  </si>
  <si>
    <t>大主教大潮2</t>
  </si>
  <si>
    <t>{"Sanity":0.667}</t>
  </si>
  <si>
    <t>大主教大潮3</t>
  </si>
  <si>
    <t>大主教崩塌1</t>
  </si>
  <si>
    <t>Skill_02</t>
  </si>
  <si>
    <t>大主教崩塌2</t>
  </si>
  <si>
    <t>大主教崩塌3</t>
  </si>
  <si>
    <t>大主教生殖1</t>
  </si>
  <si>
    <t>Skill_03</t>
  </si>
  <si>
    <t>{"Tag":"Sea"}</t>
  </si>
  <si>
    <t>大主教生殖2</t>
  </si>
  <si>
    <t>大主教生殖3</t>
  </si>
  <si>
    <t>大主教爆发</t>
  </si>
  <si>
    <t>关卡伤害</t>
  </si>
  <si>
    <t>Skill_04</t>
  </si>
  <si>
    <t>{"LevelDamage":100}</t>
  </si>
  <si>
    <t>大主教升2级1</t>
  </si>
  <si>
    <t>大主教三阶</t>
  </si>
  <si>
    <t>大主教升2级2</t>
  </si>
  <si>
    <t>{"s0":["大主教大潮2","大主教崩塌2","大主教生殖2","大主教爆发"],"s1":["大主教大潮3","大主教崩塌3","大主教生殖3","大主教爆发"]}</t>
  </si>
  <si>
    <t>大主教升1级1</t>
  </si>
  <si>
    <t>大主教二阶</t>
  </si>
  <si>
    <t>大主教升1级2</t>
  </si>
  <si>
    <t>{"s0":["大主教大潮1","大主教崩塌1","大主教生殖1"],"s1":["大主教大潮2","大主教崩塌2","大主教生殖2"]}</t>
  </si>
  <si>
    <t>八章普通近战攻击</t>
  </si>
  <si>
    <t>攻击刁民</t>
  </si>
  <si>
    <t>enemy_3001_upeopl,enemy_3002_ftrtal</t>
  </si>
  <si>
    <t>刁民</t>
  </si>
  <si>
    <t>乌萨斯弩手攻击</t>
  </si>
  <si>
    <t>炮火先兆者弹道</t>
  </si>
  <si>
    <t>帝国前锋精锐远程攻击</t>
  </si>
  <si>
    <t>帝国前锋精锐近战攻击</t>
  </si>
  <si>
    <t>Attack_1_Start,Attack_1_Loop,Attack_1_End</t>
  </si>
  <si>
    <t>帝国前锋精锐复仇</t>
  </si>
  <si>
    <t>变异巨岩蛛攻击</t>
  </si>
  <si>
    <t>召唤畸变赘生物</t>
  </si>
  <si>
    <t>召唤</t>
  </si>
  <si>
    <t>{"UnitId":"enemy_1137_plasm","Count":1,"Range":0.2}</t>
  </si>
  <si>
    <t>召唤畸变恶性瘤</t>
  </si>
  <si>
    <t>{"UnitId":"enemy_1138_tumor","Count":1,"Range":0.2}</t>
  </si>
  <si>
    <t>死亡召唤畸变赘生物</t>
  </si>
  <si>
    <t>{"UnitId":"enemy_1137_plasm","Count":2,"Range":0.2}</t>
  </si>
  <si>
    <t>死亡召唤畸变恶性瘤</t>
  </si>
  <si>
    <t>{"UnitId":"enemy_1138_tumor","Count":2,"Range":0.2}</t>
  </si>
  <si>
    <t>死亡召唤畸变赘生物1</t>
  </si>
  <si>
    <t>{"UnitId":"enemy_1137_plasm","Count":3,"Range":0.2}</t>
  </si>
  <si>
    <t>死亡召唤畸变恶性瘤1</t>
  </si>
  <si>
    <t>{"UnitId":"enemy_1138_tumor","Count":3,"Range":0.2}</t>
  </si>
  <si>
    <t>死亡召唤畸变赘生物2</t>
  </si>
  <si>
    <t>{"UnitId":"enemy_1137_plasm","Count":4,"Range":0.2}</t>
  </si>
  <si>
    <t>死亡召唤畸变恶性瘤2</t>
  </si>
  <si>
    <t>{"UnitId":"enemy_1138_tumor","Count":4,"Range":0.2}</t>
  </si>
  <si>
    <t>死亡召唤崩解</t>
  </si>
  <si>
    <t>部署装置</t>
  </si>
  <si>
    <t>{"召唤物ID":"崩解","召唤位置":"使用自身位置","部署模式":"追加","方向":"Right","持续":0,"数量":1}</t>
  </si>
  <si>
    <t>畸变瘤阻挡目标攻速</t>
  </si>
  <si>
    <t>畸变瘤减攻速</t>
  </si>
  <si>
    <t>召唤物不待机</t>
  </si>
  <si>
    <t>挂机结束</t>
  </si>
  <si>
    <t>塔露拉远程攻击</t>
  </si>
  <si>
    <t>黑蛇点燃</t>
  </si>
  <si>
    <t>塔露拉近战攻击</t>
  </si>
  <si>
    <t>塔露拉日冕</t>
  </si>
  <si>
    <t>塔露拉日冕1</t>
  </si>
  <si>
    <t>塔露拉点燃</t>
  </si>
  <si>
    <t>塔露拉点燃1</t>
  </si>
  <si>
    <t>塔露拉半血</t>
  </si>
  <si>
    <t>塔露拉半血升级</t>
  </si>
  <si>
    <t>黑蛇减伤</t>
  </si>
  <si>
    <t>1,0.8</t>
  </si>
  <si>
    <t>{"s0":["塔露拉日冕","塔露拉点燃"],"s1":["塔露拉日冕1","塔露拉点燃1"]}</t>
  </si>
  <si>
    <t>黑蛇攻击</t>
  </si>
  <si>
    <t>Skill_1_A</t>
  </si>
  <si>
    <t>黑蛇引爆</t>
  </si>
  <si>
    <t>0,0#0,1#0,-1#1,0#-1,0</t>
  </si>
  <si>
    <t>Skill_2_A</t>
  </si>
  <si>
    <t>黑蛇十字爆</t>
  </si>
  <si>
    <t>黑蛇波次</t>
  </si>
  <si>
    <t>{"Tag":"Snake"}</t>
  </si>
  <si>
    <t>黑蛇锁血</t>
  </si>
  <si>
    <t>黑蛇锁血动作,黑蛇复活无敌,黑蛇火球</t>
  </si>
  <si>
    <t>已复活标记,黑蛇复活buff</t>
  </si>
  <si>
    <t>0.5,0.5</t>
  </si>
  <si>
    <t>{"LockHp":0.00001,"HealStart":1.2,"HealCount":1.5,"HealTime":30}</t>
  </si>
  <si>
    <t>黑蛇锁血动作</t>
  </si>
  <si>
    <t>Reborn_1_Start,Reborn_1_Idle,Reborn_1_End</t>
  </si>
  <si>
    <t>黑蛇复活无敌</t>
  </si>
  <si>
    <t>黑蛇锁血2</t>
  </si>
  <si>
    <t>黑蛇复活2</t>
  </si>
  <si>
    <t>{"LockHp":0.00001,"HealStart":1.2,"HealCount":0.00001,"HealTime":30}</t>
  </si>
  <si>
    <t>黑蛇火球</t>
  </si>
  <si>
    <t>弩箭</t>
  </si>
  <si>
    <t>{"StartPos":"MapLeft","Line":5}</t>
  </si>
  <si>
    <t>黑蛇复活动作</t>
  </si>
  <si>
    <t>Reborn_1_End</t>
  </si>
  <si>
    <t>黑蛇自杀</t>
  </si>
  <si>
    <t>{"Time":0.01}</t>
  </si>
  <si>
    <t>症结锁血</t>
  </si>
  <si>
    <t>症结锁血动作,症结复活无敌,症结复活眩晕,症结清场,症结延迟</t>
  </si>
  <si>
    <t>症结锁血动作</t>
  </si>
  <si>
    <t>A_Skill_1_Begin</t>
  </si>
  <si>
    <t>症结复活无敌</t>
  </si>
  <si>
    <t>症结锁血2</t>
  </si>
  <si>
    <t>症结复活眩晕</t>
  </si>
  <si>
    <t>症结延迟</t>
  </si>
  <si>
    <t>症结延迟end</t>
  </si>
  <si>
    <t>症结清场</t>
  </si>
  <si>
    <t>危朽,崩解</t>
  </si>
  <si>
    <t>症结激光</t>
  </si>
  <si>
    <t>shchmr激光1,shchmr激光2</t>
  </si>
  <si>
    <t>通用敌方远程近战攻击</t>
  </si>
  <si>
    <t>##装置技能</t>
  </si>
  <si>
    <t>掉落</t>
  </si>
  <si>
    <t>{"DropSpeed":3}</t>
  </si>
  <si>
    <t>箱子放置</t>
  </si>
  <si>
    <t>重寻路</t>
  </si>
  <si>
    <t>{"Walkable":1}</t>
  </si>
  <si>
    <t>无法主动使用，用于表示装置攻击范围</t>
  </si>
  <si>
    <t>装置八格攻击</t>
  </si>
  <si>
    <t>装置地块可通行</t>
  </si>
  <si>
    <t>装置自杀</t>
  </si>
  <si>
    <t>源石地板buff,源石地板毒素</t>
  </si>
  <si>
    <t>推力变化</t>
  </si>
  <si>
    <t>修改部署上限</t>
  </si>
  <si>
    <t>指挥终端buff</t>
  </si>
  <si>
    <t>20,2,10</t>
  </si>
  <si>
    <t>{"BuildCountAdd":1}</t>
  </si>
  <si>
    <t>破坏伤害</t>
  </si>
  <si>
    <t>{"LevelDamage":1}</t>
  </si>
  <si>
    <t>源石祭坛特殊攻击</t>
  </si>
  <si>
    <t>回血地板回血</t>
  </si>
  <si>
    <t>防御地板加防</t>
  </si>
  <si>
    <t>减防地板减防</t>
  </si>
  <si>
    <t>减速地板减速buff</t>
  </si>
  <si>
    <t>平民减速</t>
  </si>
  <si>
    <t>中立单位标记</t>
  </si>
  <si>
    <t>##合约技能</t>
  </si>
  <si>
    <t>合约减法抗</t>
  </si>
  <si>
    <t>魔防变化f</t>
  </si>
  <si>
    <t>合约加技力上限</t>
  </si>
  <si>
    <t>技力消耗变化2</t>
  </si>
  <si>
    <t>合约减技力回复</t>
  </si>
  <si>
    <t>技力回复变化2</t>
  </si>
  <si>
    <t>合约减抵抗</t>
  </si>
  <si>
    <t>抵抗变化2</t>
  </si>
  <si>
    <t>合约减攻速</t>
  </si>
  <si>
    <t>攻速变化f</t>
  </si>
  <si>
    <t>合约减部署间隔</t>
  </si>
  <si>
    <t>再部署时间变化f</t>
  </si>
  <si>
    <t>合约减部署上限</t>
  </si>
  <si>
    <t>起始</t>
  </si>
  <si>
    <t>{"BuildCount":5,"BuildCountAdd":0}</t>
  </si>
  <si>
    <t>合约减回费速度</t>
  </si>
  <si>
    <t>修改回费速度</t>
  </si>
  <si>
    <t>{"CostSpeed":0.1}</t>
  </si>
  <si>
    <t>合约进场掉血</t>
  </si>
  <si>
    <t>协同加攻</t>
  </si>
  <si>
    <t>攻击变化f</t>
  </si>
  <si>
    <t>协同加防血</t>
  </si>
  <si>
    <t>防御变化f,生命变化f</t>
  </si>
  <si>
    <t>协同加攻速</t>
  </si>
  <si>
    <t>协同减消耗</t>
  </si>
  <si>
    <t>技力消耗变化f</t>
  </si>
  <si>
    <t>协同减部署</t>
  </si>
  <si>
    <t>协同回技力</t>
  </si>
  <si>
    <t>{"PowerCount":100}</t>
  </si>
  <si>
    <t>合约加攻1</t>
  </si>
  <si>
    <t>合约加攻2</t>
  </si>
  <si>
    <t>合约加攻3</t>
  </si>
  <si>
    <t>合约加血1</t>
  </si>
  <si>
    <t>生命变化f</t>
  </si>
  <si>
    <t>合约加血2</t>
  </si>
  <si>
    <t>合约加血3</t>
  </si>
  <si>
    <t>合约减血1</t>
  </si>
  <si>
    <t>合约减血2</t>
  </si>
  <si>
    <t>合约减血3</t>
  </si>
  <si>
    <t>合约加攻速</t>
  </si>
  <si>
    <t>合约加射程1</t>
  </si>
  <si>
    <t>射程变化2</t>
  </si>
  <si>
    <t>合约加射程2</t>
  </si>
  <si>
    <t>合约加防</t>
  </si>
  <si>
    <t>防御变化f</t>
  </si>
  <si>
    <t>合约加移速1</t>
  </si>
  <si>
    <t>合约加移速2</t>
  </si>
  <si>
    <t>合约寻仇者1</t>
  </si>
  <si>
    <t>寻仇者,复仇者</t>
  </si>
  <si>
    <t>合约寻仇者2</t>
  </si>
  <si>
    <t>合约寻仇者3</t>
  </si>
  <si>
    <t>防御变化f,生命变化f,攻击变化f</t>
  </si>
  <si>
    <t>合约武装人员1</t>
  </si>
  <si>
    <t>合约破坏武装</t>
  </si>
  <si>
    <t>0.4,0.2,15,2</t>
  </si>
  <si>
    <t>合约武装人员2</t>
  </si>
  <si>
    <t>0.8,0.4,50,2</t>
  </si>
  <si>
    <t>合约武装人员3</t>
  </si>
  <si>
    <t>1.5,0.8,75,2</t>
  </si>
  <si>
    <t>合约减回费速度1</t>
  </si>
  <si>
    <t>{"CostSpeed":0.75}</t>
  </si>
  <si>
    <t>合约减回费速度2</t>
  </si>
  <si>
    <t>{"CostSpeed":0.5}</t>
  </si>
  <si>
    <t>合约减回费速度3</t>
  </si>
  <si>
    <t>{"CostSpeed":0.25}</t>
  </si>
  <si>
    <t>合约减防御1</t>
  </si>
  <si>
    <t>合约减防御2</t>
  </si>
  <si>
    <t>合约减防御3</t>
  </si>
  <si>
    <t>合约减部署上限1</t>
  </si>
  <si>
    <t>{"BuildCount":6,"BuildCountAdd":0}</t>
  </si>
  <si>
    <t>合约减部署上限2</t>
  </si>
  <si>
    <t>合约减部署上限3</t>
  </si>
  <si>
    <t>{"BuildCount":4,"BuildCountAdd":0}</t>
  </si>
  <si>
    <t>合约封格子</t>
  </si>
  <si>
    <t>{"Tag":"1"}</t>
  </si>
  <si>
    <t>合约减攻1</t>
  </si>
  <si>
    <t>合约减攻2</t>
  </si>
  <si>
    <t>合约减攻3</t>
  </si>
  <si>
    <t>测试被动</t>
  </si>
  <si>
    <t>Buff可抵挡</t>
  </si>
  <si>
    <t>测试被动1</t>
  </si>
  <si>
    <t>Buff抵挡</t>
  </si>
  <si>
    <t>测试技能</t>
  </si>
  <si>
    <t>死志锁血</t>
  </si>
  <si>
    <t>死志动画1,死志延迟A,死志无敌,死志定身</t>
  </si>
  <si>
    <t>{"LockHp":0.00001,"HealStart":10.3334,"HealCount":1,"HealTime":1}</t>
  </si>
  <si>
    <t>shchmr激光出场</t>
  </si>
  <si>
    <t>shchmr激光2</t>
  </si>
  <si>
    <t>阻挡小于</t>
  </si>
  <si>
    <t>阻挡需求</t>
  </si>
  <si>
    <t>周围单位需求</t>
  </si>
  <si>
    <t>不同源覆盖</t>
  </si>
  <si>
    <t>切换类buff</t>
  </si>
  <si>
    <t>持续特效</t>
  </si>
  <si>
    <t>升级</t>
  </si>
  <si>
    <t>能否被抵抗</t>
  </si>
  <si>
    <t>死亡不消去</t>
  </si>
  <si>
    <t>依赖buff</t>
  </si>
  <si>
    <t>不可被抵挡</t>
  </si>
  <si>
    <t>StopLess</t>
  </si>
  <si>
    <t>StopNeed</t>
  </si>
  <si>
    <t>RoundNeed</t>
  </si>
  <si>
    <t>UnSourceCheck</t>
  </si>
  <si>
    <t>IfSwitch</t>
  </si>
  <si>
    <t>LastingEffect</t>
  </si>
  <si>
    <t>LastTime</t>
  </si>
  <si>
    <t>Resist</t>
  </si>
  <si>
    <t>DeadRemain</t>
  </si>
  <si>
    <t>RelyBuff</t>
  </si>
  <si>
    <t>NotCancelable</t>
  </si>
  <si>
    <t>测试Buff</t>
  </si>
  <si>
    <t>数值变化</t>
  </si>
  <si>
    <t>{"t":["AgiAdd"]}</t>
  </si>
  <si>
    <t>{"t":["SpeedRate"]}</t>
  </si>
  <si>
    <t>{"t":["AttackRate"]}</t>
  </si>
  <si>
    <t>{"t":["HpRate"]}</t>
  </si>
  <si>
    <t>燃烧</t>
  </si>
  <si>
    <t>{"t":["DefenceAdd"]}</t>
  </si>
  <si>
    <t>{"t":["DefenceRate"]}</t>
  </si>
  <si>
    <t>{"t":["CostAdd"]}</t>
  </si>
  <si>
    <t>再部署时间降低</t>
  </si>
  <si>
    <t>{"t":["ResetTimeRate"]}</t>
  </si>
  <si>
    <t>{"t":["Block"]}</t>
  </si>
  <si>
    <t>魔法格挡</t>
  </si>
  <si>
    <t>{"t":["MagBlock"]}</t>
  </si>
  <si>
    <t>阻挡变化</t>
  </si>
  <si>
    <t>{"t":["StopCountAdd"]}</t>
  </si>
  <si>
    <t>技力消耗变化</t>
  </si>
  <si>
    <t>{"t":["SkillCostAdd"]}</t>
  </si>
  <si>
    <t>技力回复变化</t>
  </si>
  <si>
    <t>{"t":["PowerSpeedAdd"]}</t>
  </si>
  <si>
    <t>数值变化取高</t>
  </si>
  <si>
    <t>抵抗变化</t>
  </si>
  <si>
    <t>{"t":["ResistAdd"]}</t>
  </si>
  <si>
    <t>射程变化</t>
  </si>
  <si>
    <t>{"t":["AttackRangeRate"]}</t>
  </si>
  <si>
    <t>攻击间隔变化</t>
  </si>
  <si>
    <t>{"t":["AttackGapAdd"]}</t>
  </si>
  <si>
    <t>{"t":["AttackGapRate"]}</t>
  </si>
  <si>
    <t>{"t":["MagicDefenceAdd"]}</t>
  </si>
  <si>
    <t>{"t":["WeightAdd"]}</t>
  </si>
  <si>
    <t>{"t":["DamageReceiveRate"]}</t>
  </si>
  <si>
    <t>{"t":["MagicDamageReceiveRate"]}</t>
  </si>
  <si>
    <t>物理易伤</t>
  </si>
  <si>
    <t>{"t":["NormalDamageReceiveRate"]}</t>
  </si>
  <si>
    <t>{"t":["HealDamageReceiveRate"]}</t>
  </si>
  <si>
    <t>元素易伤</t>
  </si>
  <si>
    <t>{"t":["ElementDamageReceiveRate"]}</t>
  </si>
  <si>
    <t>{"t":["PushPower"]}</t>
  </si>
  <si>
    <t>减速2</t>
  </si>
  <si>
    <t>阻挡变化2</t>
  </si>
  <si>
    <t>{"t":["AttackRateFin"]}</t>
  </si>
  <si>
    <t>{"t":["DefenceRateFin"]}</t>
  </si>
  <si>
    <t>{"t":["MagicDefenceRateFin"]}</t>
  </si>
  <si>
    <t>{"t":["AgiAddFin"]}</t>
  </si>
  <si>
    <t>{"t":["HpRateFin"]}</t>
  </si>
  <si>
    <t>#移速变化f</t>
  </si>
  <si>
    <t>使用普通的移速变化即可</t>
  </si>
  <si>
    <t>法抗最终加算</t>
  </si>
  <si>
    <t>{"t":["MagicDefenceAddFin"]}</t>
  </si>
  <si>
    <t>凋亡中毒</t>
  </si>
  <si>
    <t>中毒</t>
  </si>
  <si>
    <t>{"DamageBase":0,"DamageType":"Element","TriggerTime":1}</t>
  </si>
  <si>
    <t>凋亡虚弱</t>
  </si>
  <si>
    <t>数值变化衰减</t>
  </si>
  <si>
    <t>设置移速</t>
  </si>
  <si>
    <t>设置属性</t>
  </si>
  <si>
    <t>{"t":["Speed"]}</t>
  </si>
  <si>
    <t>全部格挡2</t>
  </si>
  <si>
    <t>物理格挡2</t>
  </si>
  <si>
    <t>魔法格挡2</t>
  </si>
  <si>
    <t>绝食</t>
  </si>
  <si>
    <t>{"HideTime":3}</t>
  </si>
  <si>
    <t>#屏蔽模型</t>
  </si>
  <si>
    <t>屏蔽模型</t>
  </si>
  <si>
    <t>{"ChangeAnimation":1}</t>
  </si>
  <si>
    <t>无动画眩晕,用于阻止技能释放</t>
  </si>
  <si>
    <t>无敌2</t>
  </si>
  <si>
    <t>冻结</t>
  </si>
  <si>
    <t>未阻挡加伤</t>
  </si>
  <si>
    <t>未阻挡伤害</t>
  </si>
  <si>
    <t>{"Rate":1.12}</t>
  </si>
  <si>
    <t>沉默</t>
  </si>
  <si>
    <t>投降</t>
  </si>
  <si>
    <t>束缚</t>
  </si>
  <si>
    <t>冒黑雾</t>
  </si>
  <si>
    <t>{"t":["Speed","SpeedBase"],"v":[0,0]}</t>
  </si>
  <si>
    <t>麻痹</t>
  </si>
  <si>
    <t>{"Times":3}</t>
  </si>
  <si>
    <t>起飞</t>
  </si>
  <si>
    <t>重设高度</t>
  </si>
  <si>
    <t>普通Buff</t>
  </si>
  <si>
    <t>{"t":["AttackRate","AgiAdd"]}</t>
  </si>
  <si>
    <t>源石地板毒素</t>
  </si>
  <si>
    <t>{"FarAttackUnitRate":1,"DamageType":"Real","TriggerTime":0.2}</t>
  </si>
  <si>
    <t>{"t":["HpRateFin","AttackRateFin","MagicDefenceAddFin","WeightAdd"]}</t>
  </si>
  <si>
    <t>防御提升加图标</t>
  </si>
  <si>
    <t>降防</t>
  </si>
  <si>
    <t>法术闪避</t>
  </si>
  <si>
    <t>{"Chance":0.5,"AvoidType":"Magic"}</t>
  </si>
  <si>
    <t>{"Chance":0.3,"AvoidType":"Normal"}</t>
  </si>
  <si>
    <t>攻击强化</t>
  </si>
  <si>
    <t>通用闪避</t>
  </si>
  <si>
    <t>{"Chance":-1,"AvoidType":"general"}</t>
  </si>
  <si>
    <t>触发闪避</t>
  </si>
  <si>
    <t>普通buff</t>
  </si>
  <si>
    <t>无特效无敌</t>
  </si>
  <si>
    <t>散射手射程标记</t>
  </si>
  <si>
    <t>凝滞师X模技力回复</t>
  </si>
  <si>
    <t>术战者Y模阻挡标记</t>
  </si>
  <si>
    <t>无畏者Y模减血</t>
  </si>
  <si>
    <t>嘲讽变化</t>
  </si>
  <si>
    <t>{"t":["Hatre"]}</t>
  </si>
  <si>
    <t>法术脆弱</t>
  </si>
  <si>
    <t>虚弱</t>
  </si>
  <si>
    <t>支援强化</t>
  </si>
  <si>
    <t>斑点buff</t>
  </si>
  <si>
    <t>{"Chance":0.25,"AvoidType":"Normal"}</t>
  </si>
  <si>
    <t>防御强化</t>
  </si>
  <si>
    <t>杰西卡闪避</t>
  </si>
  <si>
    <t>杰西卡2buff</t>
  </si>
  <si>
    <t>{"Chance":0.75,"AvoidType":"Real"}</t>
  </si>
  <si>
    <t>{"t":["AttackGapAdd","AttackRate"]}</t>
  </si>
  <si>
    <t>迅使被动</t>
  </si>
  <si>
    <t>迅使防御提升</t>
  </si>
  <si>
    <t>{"t":["AttackRate","DefenceRate"]}</t>
  </si>
  <si>
    <t>红豆buff</t>
  </si>
  <si>
    <t>红豆刀特效</t>
  </si>
  <si>
    <t>{"t":["HpRate","DefenceRate"]}</t>
  </si>
  <si>
    <t>缠丸buff</t>
  </si>
  <si>
    <t>{"t":["AttackRate","DefenceRateFin"]}</t>
  </si>
  <si>
    <t>霜叶2buff</t>
  </si>
  <si>
    <t>艾斯黛尔加攻</t>
  </si>
  <si>
    <t>艾斯黛尔buff</t>
  </si>
  <si>
    <t>砾1buff</t>
  </si>
  <si>
    <t>屏障</t>
  </si>
  <si>
    <t>砾2buff</t>
  </si>
  <si>
    <t>{"ShieldType":"Real","Base":2,"AutoReduce":1}</t>
  </si>
  <si>
    <t>{"t":["AttackRate","DefenceAdd"]}</t>
  </si>
  <si>
    <t>治愈</t>
  </si>
  <si>
    <t>嘉维尔buff</t>
  </si>
  <si>
    <t>{"TriggerTime":0.5,"HpLess":0.5,"HpLessRate":2,"DamageBase":1}</t>
  </si>
  <si>
    <t>嘉维尔2buff</t>
  </si>
  <si>
    <t>{"TriggerTime":0.5,"HpLess":0.5,"HpLessRate":2.66667,"DamageBase":1}</t>
  </si>
  <si>
    <t>{"t":["AttackRate","AgiRate"]}</t>
  </si>
  <si>
    <t>{"TriggerTime":0.5}</t>
  </si>
  <si>
    <t>角峰buff</t>
  </si>
  <si>
    <t>{"t":["HpRate","DefenceRate","MagicDefenceRate"]}</t>
  </si>
  <si>
    <t>{"t":["StopCountAdd","DefenceRate"]}</t>
  </si>
  <si>
    <t>蛇屠箱2治愈</t>
  </si>
  <si>
    <t>{"TriggerTime":0.5,"DamageBase":2}</t>
  </si>
  <si>
    <t>古米动作</t>
  </si>
  <si>
    <t>{"IdleAnimation":["Skill_2_Begin","Skill_2_Loop","Skill_2_End"]}</t>
  </si>
  <si>
    <t>{"t":["AttackRate","AttackGapRate"]}</t>
  </si>
  <si>
    <t>深海色1回血</t>
  </si>
  <si>
    <t>凛冬buff</t>
  </si>
  <si>
    <t>无视防御</t>
  </si>
  <si>
    <t>{"Chance":0.2,"OpenChance":0,"Value":0,"Rate":1}</t>
  </si>
  <si>
    <t>芙兰卡2</t>
  </si>
  <si>
    <t>芙兰卡刀buff</t>
  </si>
  <si>
    <t>{"Chance":0,"OpenChance":0.5,"Value":0,"Rate":1}</t>
  </si>
  <si>
    <t>幽灵鲨回血</t>
  </si>
  <si>
    <t>{"FarAttackUnitRate":1,"DamageType":"Magic"}</t>
  </si>
  <si>
    <t>白金2Buff</t>
  </si>
  <si>
    <t>因陀罗2Buff</t>
  </si>
  <si>
    <t>拉普兰德1加攻</t>
  </si>
  <si>
    <t>拉普兰德1buff</t>
  </si>
  <si>
    <t>拉普兰德刀1</t>
  </si>
  <si>
    <t>拉普兰德刀buff1</t>
  </si>
  <si>
    <t>拉普兰德刀2</t>
  </si>
  <si>
    <t>拉普兰德刀buff2</t>
  </si>
  <si>
    <t>拉普兰德2加攻</t>
  </si>
  <si>
    <t>幽灵鲨眼</t>
  </si>
  <si>
    <t>幽灵鲨眼buff</t>
  </si>
  <si>
    <t>幽灵鲨2Buff</t>
  </si>
  <si>
    <t>{"t":["AttackRate","HpRate"]}</t>
  </si>
  <si>
    <t>{"Chance":1,"AvoidType":"Real"}</t>
  </si>
  <si>
    <t>临光2Buff</t>
  </si>
  <si>
    <t>华法琳毒素</t>
  </si>
  <si>
    <t>华法琳2Buff</t>
  </si>
  <si>
    <t>{"FarAttackUnitRate":1,"DamageBase":2,"DamageType":"Real"}</t>
  </si>
  <si>
    <t>红闪避</t>
  </si>
  <si>
    <t>红1buff</t>
  </si>
  <si>
    <t>{"Chance":0.5,"AvoidType":"Real"}</t>
  </si>
  <si>
    <t>雷蛇圣盾</t>
  </si>
  <si>
    <t>护盾</t>
  </si>
  <si>
    <t>{"Count":1}</t>
  </si>
  <si>
    <t>{"Chance":0.23,"AvoidType":"Real","OpenRate":2}</t>
  </si>
  <si>
    <t>{"Chance":0.115,"AvoidType":"Real","OpenRate":2}</t>
  </si>
  <si>
    <t>可颂1Buff</t>
  </si>
  <si>
    <t>火神回血</t>
  </si>
  <si>
    <t>{"t":["AttackRate","AttackGapAdd"]}</t>
  </si>
  <si>
    <t>普罗旺斯buff</t>
  </si>
  <si>
    <t>{"t":["MagicDefenceAdd","DefenceRate"]}</t>
  </si>
  <si>
    <t>{"t":["AgiAdd","DefenceRate"]}</t>
  </si>
  <si>
    <t>鼓舞</t>
  </si>
  <si>
    <t>{"t":["AttackAdd"]}</t>
  </si>
  <si>
    <t>狮蝎加攻</t>
  </si>
  <si>
    <t>食铁兽闪避</t>
  </si>
  <si>
    <t>{"Chance":0.43,"AvoidType":"Normal"}</t>
  </si>
  <si>
    <t>银灰雪境buff</t>
  </si>
  <si>
    <t>{"t":["DefenceRate","HpRecoverP"]}</t>
  </si>
  <si>
    <t>银灰真银斩buff</t>
  </si>
  <si>
    <t>42锁血特效</t>
  </si>
  <si>
    <t>42巨影buff</t>
  </si>
  <si>
    <t>42黄昏Buff</t>
  </si>
  <si>
    <t>42黄昏刀buff</t>
  </si>
  <si>
    <t>{"t":["AttackRate","HpAdd"]}</t>
  </si>
  <si>
    <t>42左眼特效</t>
  </si>
  <si>
    <t>42黄昏左眼buff</t>
  </si>
  <si>
    <t>42右眼特效</t>
  </si>
  <si>
    <t>42黄昏右眼buff</t>
  </si>
  <si>
    <t>剧毒</t>
  </si>
  <si>
    <t>{"MaxDamageRate":0.2,"MaxTime":60,"TriggerGap":0.2}</t>
  </si>
  <si>
    <t>{"IdleAnimation":["Skill_3_Idle"]}</t>
  </si>
  <si>
    <t>{"HealOnly":"凯尔希"}</t>
  </si>
  <si>
    <t>凯尔希buff1</t>
  </si>
  <si>
    <t>凯尔希buff2</t>
  </si>
  <si>
    <t>凯尔希buff3</t>
  </si>
  <si>
    <t>打断攻击</t>
  </si>
  <si>
    <t>棘刺中毒</t>
  </si>
  <si>
    <t>{"FarAttackUnitRate":2,"DamageType":"Magic"}</t>
  </si>
  <si>
    <t>棘刺2Buff</t>
  </si>
  <si>
    <t>棘刺3buff</t>
  </si>
  <si>
    <t>棘刺刀特效</t>
  </si>
  <si>
    <t>棘刺3刀buff</t>
  </si>
  <si>
    <t>能天使2buff</t>
  </si>
  <si>
    <t>能天使3buff</t>
  </si>
  <si>
    <t>推王被动</t>
  </si>
  <si>
    <t>推王攻击间隔变化</t>
  </si>
  <si>
    <t>推王3武器buff</t>
  </si>
  <si>
    <t>小火龙灼烧</t>
  </si>
  <si>
    <t>{"DamageBase":1,"TriggerTime":1,"DamageType":"Magic"}</t>
  </si>
  <si>
    <t>DamageBase:是否基于源攻击力,TriggerTime:多久触发一次</t>
  </si>
  <si>
    <t>小火龙3背后</t>
  </si>
  <si>
    <t>羊3buff</t>
  </si>
  <si>
    <t>洁哥Idle变化</t>
  </si>
  <si>
    <t>{"IdleAnimation":["Idle_Charge"]}</t>
  </si>
  <si>
    <t>洁哥缴械</t>
  </si>
  <si>
    <t>洁哥蓄力</t>
  </si>
  <si>
    <t>闪灵1buff</t>
  </si>
  <si>
    <t>闪灵盾</t>
  </si>
  <si>
    <t>闪灵2buff</t>
  </si>
  <si>
    <t>{"ShieldType":"Normal","Base":1}</t>
  </si>
  <si>
    <t>闪灵盾防</t>
  </si>
  <si>
    <t>闪灵3buff</t>
  </si>
  <si>
    <t>夜莺1加攻</t>
  </si>
  <si>
    <t>夜莺1buff</t>
  </si>
  <si>
    <t>夜莺盾</t>
  </si>
  <si>
    <t>夜莺2buff</t>
  </si>
  <si>
    <t>{"ShieldType":"Magic","Base":1}</t>
  </si>
  <si>
    <t>夜莺盾防</t>
  </si>
  <si>
    <t>{"t":["MagicDefenceRate","MagBlock"]}</t>
  </si>
  <si>
    <t>夜莺3特效</t>
  </si>
  <si>
    <t>星熊2buff</t>
  </si>
  <si>
    <t>星熊眼睛特效</t>
  </si>
  <si>
    <t>星熊3眼睛特效</t>
  </si>
  <si>
    <t>星熊buff</t>
  </si>
  <si>
    <t>星熊3buff</t>
  </si>
  <si>
    <t>数值变化叠加</t>
  </si>
  <si>
    <t>塞雷娅盾buff</t>
  </si>
  <si>
    <t>塞雷娅3buff</t>
  </si>
  <si>
    <t>{"t":["MagicDamageReceiveRate","SpeedRate"]}</t>
  </si>
  <si>
    <t>塞雷娅3自身buff</t>
  </si>
  <si>
    <t>风笛3buff</t>
  </si>
  <si>
    <t>{"t":["AttackRate","DefenceRate","StopCountAdd","AttackGapRate"]}</t>
  </si>
  <si>
    <t>{"t":["DefenceRateFin","AttackRate","StopCountAdd","HpRecoverP"]}</t>
  </si>
  <si>
    <t>山2动作</t>
  </si>
  <si>
    <t>{"IdleAnimation":["Skill_2_Idle"]}</t>
  </si>
  <si>
    <t>山3动作</t>
  </si>
  <si>
    <t>弑君者闪现动作</t>
  </si>
  <si>
    <t>{"IdleAnimation":["Appear"],"AllOverWrite":true}</t>
  </si>
  <si>
    <t>加防</t>
  </si>
  <si>
    <t>暴鸰动作</t>
  </si>
  <si>
    <t>{"IdleAnimation":["Idle_2"],"DieAnimation":["Die_2"],"MoveAnimation":["Move_Begin_2","Move_Loop_2","Move_End_2"]}</t>
  </si>
  <si>
    <t>{"DamageBase":0,"TriggerTime":0.33,"DamageType":"Magic"}</t>
  </si>
  <si>
    <t>{"t":["MagicDefenceAdd","DefenceRate","HpRecoverAdd"]}</t>
  </si>
  <si>
    <t>{"t":["HpRecoverRate"]}</t>
  </si>
  <si>
    <t>{"t":["HpRate","AgiAdd"]}</t>
  </si>
  <si>
    <t>{"ShieldType":"Magic","Base":0}</t>
  </si>
  <si>
    <t>加速</t>
  </si>
  <si>
    <t>{"MaxLevel":25,"Rate":0.5,"Trigger":0.5,"DamageRate":600}</t>
  </si>
  <si>
    <t>{"MaxLevel":25,"Rate":0.5,"Trigger":0.5,"DamageRate":800}</t>
  </si>
  <si>
    <t>{"IdleAnimation":["Skill_Idle"],"MoveAnimation":["Skill_Move"]}</t>
  </si>
  <si>
    <t>哨兵buff</t>
  </si>
  <si>
    <t>{"t":["WaitTimeEx"]}</t>
  </si>
  <si>
    <t>{"IdleAnimation":["Idle_2"],"MoveAnimation":["Move_2"],"DieAnimation":["Die_2"]}</t>
  </si>
  <si>
    <t>{"t":["AttackRate","DefenceRate","MagicDefenceRate","Hatre"]}</t>
  </si>
  <si>
    <t>{"IdleAnimation":["Idle_2"],"MoveAnimation":["Move_2"]}</t>
  </si>
  <si>
    <t>爱国者免疫</t>
  </si>
  <si>
    <t>免疫Buff</t>
  </si>
  <si>
    <t>{"Buff":["眩晕","冻结"]}</t>
  </si>
  <si>
    <t>爱国者二阶buff</t>
  </si>
  <si>
    <t>{"t":["AttackGapAdd","SpeedAdd"]}</t>
  </si>
  <si>
    <t>钵海收割者中毒</t>
  </si>
  <si>
    <t>{"DamageBase":2,"TriggerTime":0.33,"DamageType":"Real"}</t>
  </si>
  <si>
    <t>线性剧毒</t>
  </si>
  <si>
    <t>{"DamageBase":0,"TriggerGap":1,"StartDamageRate":50,"MaxDamageRate":230,"MaxTime":30}</t>
  </si>
  <si>
    <t>黑蛇半血buff</t>
  </si>
  <si>
    <t>{"t":["DefenceRate","MagicDefenceRate"]}</t>
  </si>
  <si>
    <t>减伤</t>
  </si>
  <si>
    <t>{"Rate":0.5,"TargetBuffNeed":"黑蛇点燃"}</t>
  </si>
  <si>
    <t>黑蛇复活buff</t>
  </si>
  <si>
    <t>{"t":["HpRate","AttackRate"]}</t>
  </si>
  <si>
    <t>大鳄鱼减仇恨</t>
  </si>
  <si>
    <t>大鳄鱼决斗减伤</t>
  </si>
  <si>
    <t>{"Rate":0}</t>
  </si>
  <si>
    <t>{"t":["DefenceAdd","MagicDefenceAdd"]}</t>
  </si>
  <si>
    <t>{"t":["AttackRate","AgiAdd"],"MaxLevel":10}</t>
  </si>
  <si>
    <t>{"t":["HpRecoverP"]}</t>
  </si>
  <si>
    <t>中立单位减速</t>
  </si>
  <si>
    <t>即死</t>
  </si>
  <si>
    <t>移除眩晕</t>
  </si>
  <si>
    <t>精确移除Buff</t>
  </si>
  <si>
    <t>{"Buffs":["眩晕"]}</t>
  </si>
  <si>
    <t>延迟眩晕</t>
  </si>
  <si>
    <t>延迟追加Buff</t>
  </si>
  <si>
    <t>{"Buffs":["眩晕"],"Delay":5}</t>
  </si>
  <si>
    <t>停留添加眩晕</t>
  </si>
  <si>
    <t>蕾缪安通缉类停留时间标记</t>
  </si>
  <si>
    <t>{"Time":3}</t>
  </si>
  <si>
    <t>限伤1</t>
  </si>
  <si>
    <t>重写类限伤</t>
  </si>
  <si>
    <t>{"Count":3}</t>
  </si>
  <si>
    <t>罗即死</t>
  </si>
  <si>
    <t>逻各斯1技能类即死</t>
  </si>
  <si>
    <t>测试效果1</t>
  </si>
  <si>
    <t>叠加类减伤</t>
  </si>
  <si>
    <t>{"Rate":0.5,"AddValue":1,"MaxLevel":2}</t>
  </si>
  <si>
    <t>begin播完后(3.56s)追加end覆盖</t>
  </si>
  <si>
    <t>{"Delay":3.56,"Buffs":["症结end覆盖"]}</t>
  </si>
  <si>
    <t>症结end覆盖</t>
  </si>
  <si>
    <t>覆盖播放end(1.63s)后还原</t>
  </si>
  <si>
    <t>{"AllOverWrite":1,"IdleAnimation":["A_Skill_1_End"]}</t>
  </si>
  <si>
    <t>死志动画1</t>
  </si>
  <si>
    <t>begin一次+Loop循环至6.28s</t>
  </si>
  <si>
    <t>{"AllOverWrite":1,"IdleAnimation":["Revive_Begin","Revive_Loop"]}</t>
  </si>
  <si>
    <t>死志延迟A</t>
  </si>
  <si>
    <t>6.3334s后切Idle</t>
  </si>
  <si>
    <t>{"Delay":6.3334,"Buffs":["死志动画2","死志延迟B"]}</t>
  </si>
  <si>
    <t>死志动画2</t>
  </si>
  <si>
    <t>Idle循环4秒</t>
  </si>
  <si>
    <t>{"AllOverWrite":1,"IdleAnimation":["Revive_Idle"]}</t>
  </si>
  <si>
    <t>死志延迟B</t>
  </si>
  <si>
    <t>10.3334s后播End</t>
  </si>
  <si>
    <t>{"Delay":4,"Buffs":["死志动画3"]}</t>
  </si>
  <si>
    <t>死志动画3</t>
  </si>
  <si>
    <t>End动作0.33s</t>
  </si>
  <si>
    <t>{"AllOverWrite":1,"IdleAnimation":["Revive_End"]}</t>
  </si>
  <si>
    <t>死志无敌</t>
  </si>
  <si>
    <t>复活全程无敌</t>
  </si>
  <si>
    <t>死志定身</t>
  </si>
  <si>
    <t>复活全程定身(Stun状态,不动不攻击)</t>
  </si>
  <si>
    <t>shchmr激光1</t>
  </si>
  <si>
    <t>enemy_shchmr_c_skill_1_hit_01</t>
  </si>
  <si>
    <t>enemy_shchmr_c_skill_1_loop_01</t>
  </si>
  <si>
    <t>相关buff</t>
  </si>
  <si>
    <t>Buff</t>
  </si>
  <si>
    <t>暴击</t>
  </si>
  <si>
    <t>{"Chance":0.2,"Rate":1.6}</t>
  </si>
  <si>
    <t>暴击2</t>
  </si>
  <si>
    <t>{"Chance":0.1,"Rate":2.1,"Chance1":0.3}</t>
  </si>
  <si>
    <t>额外目标</t>
  </si>
  <si>
    <t>{"Chance":0.18,"Count":1}</t>
  </si>
  <si>
    <t>多重攻击2</t>
  </si>
  <si>
    <t>{"Count":2}</t>
  </si>
  <si>
    <t>对飞行伤害</t>
  </si>
  <si>
    <t>{"DamageRate":1.5}</t>
  </si>
  <si>
    <t>{"DamageRate":1.4}</t>
  </si>
  <si>
    <t>对buff伤害</t>
  </si>
  <si>
    <t>{"DamageRate":2}</t>
  </si>
  <si>
    <t>{"DamageRate":2.5}</t>
  </si>
  <si>
    <t>{"DamageRate":3}</t>
  </si>
  <si>
    <t>穿甲</t>
  </si>
  <si>
    <t>{"Chance":1,"Value":24}</t>
  </si>
  <si>
    <t>42单体加伤</t>
  </si>
  <si>
    <t>对个数伤害</t>
  </si>
  <si>
    <t>{"Count":1,"Rate":1.6}</t>
  </si>
  <si>
    <t>{"Rate":1.2}</t>
  </si>
  <si>
    <t>{"Chance":1,"Rate":0.6}</t>
  </si>
  <si>
    <t>{"Rate":1.9,"Time":2.5}</t>
  </si>
  <si>
    <t>额外伤害加</t>
  </si>
  <si>
    <t>{"Rate":0.6,"Chance":0.3}</t>
  </si>
  <si>
    <t>最大生命伤害</t>
  </si>
  <si>
    <t>{"Rate":0.25}</t>
  </si>
  <si>
    <t>{"Chance":0.2,"Rate":1.9}</t>
  </si>
  <si>
    <t>{"Chance":0.5,"Rate":1.9}</t>
  </si>
  <si>
    <t>对低血伤害</t>
  </si>
  <si>
    <t>{"Rate":1.25}</t>
  </si>
  <si>
    <t>对远程伤害</t>
  </si>
  <si>
    <t>{"Rate":1.45}</t>
  </si>
  <si>
    <t>通用链奶衰减</t>
  </si>
  <si>
    <t>链奶伤害衰减</t>
  </si>
  <si>
    <t>{"Rate":0.75}</t>
  </si>
  <si>
    <t>启用弱点伤害</t>
  </si>
  <si>
    <t>Line</t>
  </si>
  <si>
    <t>FaceCamera</t>
  </si>
  <si>
    <t>ScaleX</t>
  </si>
  <si>
    <t>EffectBase</t>
  </si>
  <si>
    <t>通用链奶弹道</t>
  </si>
  <si>
    <t>链式弹道</t>
  </si>
  <si>
    <t>frostl_attack_01_trail</t>
  </si>
  <si>
    <t>{"MoveHeight":0,"MaxLinkNum":4,"SkillId":"通用干员链式弹道索敌","CanBack":"false"}</t>
  </si>
  <si>
    <t>蓝色子弹</t>
  </si>
  <si>
    <t>抛物线子弹</t>
  </si>
  <si>
    <t>testBullet</t>
  </si>
  <si>
    <t>{"MoveHeight":2}</t>
  </si>
  <si>
    <t>冲击波</t>
  </si>
  <si>
    <t>common_gongjian_trail_01</t>
  </si>
  <si>
    <t>延迟打击</t>
  </si>
  <si>
    <t>延迟子弹</t>
  </si>
  <si>
    <t>{"delay":0.3}</t>
  </si>
  <si>
    <t>大飞镖</t>
  </si>
  <si>
    <t>{"LifeTime":4,"Radius":0.75,"Trigger":1}</t>
  </si>
  <si>
    <t>common_magic_trail_01</t>
  </si>
  <si>
    <t>普通法球m</t>
  </si>
  <si>
    <t>common_magic_trail_01_m</t>
  </si>
  <si>
    <t>spot_skill_01_trail</t>
  </si>
  <si>
    <t>midn_attack_01_trail</t>
  </si>
  <si>
    <t>midn_skill_01_trail</t>
  </si>
  <si>
    <t>catap_attack_01_trail</t>
  </si>
  <si>
    <t>{"MoveHeight":0.5}</t>
  </si>
  <si>
    <t>orchid_attack_01_trail</t>
  </si>
  <si>
    <t>stward_skill_01_trail</t>
  </si>
  <si>
    <t>ansel_attack_01_trail</t>
  </si>
  <si>
    <t>svrash_attack_01_trail</t>
  </si>
  <si>
    <t>kalts_attack_01_trail</t>
  </si>
  <si>
    <t>{"MoveHeight":0.3}</t>
  </si>
  <si>
    <t>thorns_attack_02_trail</t>
  </si>
  <si>
    <t>thorns_skill_03_trail</t>
  </si>
  <si>
    <t>angle_skill_01_trail</t>
  </si>
  <si>
    <t>amgoat_attack_01_trail</t>
  </si>
  <si>
    <t>amgoat_skill_02_trail</t>
  </si>
  <si>
    <t>amgoat_skill_03_trail</t>
  </si>
  <si>
    <t>{"MoveHeight":1}</t>
  </si>
  <si>
    <t>aglina_attack_01_trail</t>
  </si>
  <si>
    <t>aglina_skill_02_trail</t>
  </si>
  <si>
    <t>塞雷娅弹道</t>
  </si>
  <si>
    <t>demkni_skill_01_trail</t>
  </si>
  <si>
    <t>nights_skill_02_trail</t>
  </si>
  <si>
    <t>shotst_skill_01_trail</t>
  </si>
  <si>
    <t>shotst_skill_02_trail</t>
  </si>
  <si>
    <t>yuki_skill_02_start</t>
  </si>
  <si>
    <t>{"LifeTime":3,"Radius":0.75,"Trigger":1}</t>
  </si>
  <si>
    <t>frostl_skill_01_trail</t>
  </si>
  <si>
    <t>myrrh_attack_01_trail</t>
  </si>
  <si>
    <t>sunbr_skill_01_trail</t>
  </si>
  <si>
    <t>skgoat_attack_01_trail</t>
  </si>
  <si>
    <t>whitew_skill_02_trail</t>
  </si>
  <si>
    <t>bluep_skill_01_trail</t>
  </si>
  <si>
    <t>platnm_attack_01_trail</t>
  </si>
  <si>
    <t>platnm_skill_02_trail</t>
  </si>
  <si>
    <t>meteo_attack_01_trail</t>
  </si>
  <si>
    <t>meteo_skill_01_trail</t>
  </si>
  <si>
    <t>meteo_skill_02_trail</t>
  </si>
  <si>
    <t>amiya_attack_01_trail</t>
  </si>
  <si>
    <t>amiya_skill_02_trail</t>
  </si>
  <si>
    <t>amiya_skill_03_trail</t>
  </si>
  <si>
    <t>skfire_skill_02_trail</t>
  </si>
  <si>
    <t>{"delay":0.35}</t>
  </si>
  <si>
    <t>otter_attack_01_trail</t>
  </si>
  <si>
    <t>silent_attack_01_trail</t>
  </si>
  <si>
    <t>普罗旺斯弹道</t>
  </si>
  <si>
    <t>prove_attack_01_trail</t>
  </si>
  <si>
    <t>milu_attack_01_trail</t>
  </si>
  <si>
    <t>milu_skill_02_trail</t>
  </si>
  <si>
    <t>slchan_attack_01_trail</t>
  </si>
  <si>
    <t>钩子</t>
  </si>
  <si>
    <t>slchan_skill_01_trail</t>
  </si>
  <si>
    <t>slchan_skill_01_line</t>
  </si>
  <si>
    <t>slchan_skill_02_line</t>
  </si>
  <si>
    <t>slbell_attack_01_trail</t>
  </si>
  <si>
    <t>rope_attack_01_trail</t>
  </si>
  <si>
    <t>rope_skill_01_line</t>
  </si>
  <si>
    <t>rope_skill_02_trail</t>
  </si>
  <si>
    <t>glassb_skill_02_range1</t>
  </si>
  <si>
    <t>{"LifeTime":15,"Radius":0.1,"Trigger":1}</t>
  </si>
  <si>
    <t>持续施法子弹</t>
  </si>
  <si>
    <t>{"LifeTime":20}</t>
  </si>
  <si>
    <t>skfire_skill_02_trail1</t>
  </si>
  <si>
    <t>{"delay":2.5}</t>
  </si>
  <si>
    <t>罗1子弹</t>
  </si>
  <si>
    <t>逻各斯1技能类子弹</t>
  </si>
  <si>
    <t>shchmr特效测试弹道</t>
  </si>
  <si>
    <t>模型</t>
  </si>
  <si>
    <t>起始位置</t>
  </si>
  <si>
    <t>偏移</t>
  </si>
  <si>
    <t>绑点</t>
  </si>
  <si>
    <t>跟随骨骼</t>
  </si>
  <si>
    <t>父级</t>
  </si>
  <si>
    <t>朝向</t>
  </si>
  <si>
    <t>跟随方向</t>
  </si>
  <si>
    <t>朝向相机</t>
  </si>
  <si>
    <t>生命周期</t>
  </si>
  <si>
    <t>Prefab</t>
  </si>
  <si>
    <t>StartPos</t>
  </si>
  <si>
    <t>Offset</t>
  </si>
  <si>
    <t>BindPoint</t>
  </si>
  <si>
    <t>BoneFollow</t>
  </si>
  <si>
    <t>ForwardOnly</t>
  </si>
  <si>
    <t>ParentFollow</t>
  </si>
  <si>
    <t>ScaleXFollow</t>
  </si>
  <si>
    <t>ForwordDirection</t>
  </si>
  <si>
    <t>UnityEngine.Vector3</t>
  </si>
  <si>
    <t>击中2</t>
  </si>
  <si>
    <t>buff_stun</t>
  </si>
  <si>
    <t>0,1.2,0</t>
  </si>
  <si>
    <t>道具回收拖尾</t>
  </si>
  <si>
    <t>common_item_recycle_trail_01</t>
  </si>
  <si>
    <t>护盾1</t>
  </si>
  <si>
    <t>common_buff_parry_01</t>
  </si>
  <si>
    <t>护盾2</t>
  </si>
  <si>
    <t>common_buff_parry_02</t>
  </si>
  <si>
    <t>咏唱</t>
  </si>
  <si>
    <t>common_call_start_01</t>
  </si>
  <si>
    <t>common_char_birth_01</t>
  </si>
  <si>
    <t>common_char_die_01</t>
  </si>
  <si>
    <t>加费1</t>
  </si>
  <si>
    <t>common_charge_cost_01</t>
  </si>
  <si>
    <t>0,0.6,0.7</t>
  </si>
  <si>
    <t>加费2</t>
  </si>
  <si>
    <t>瞬间加费</t>
  </si>
  <si>
    <t>common_charge_cost_start_01</t>
  </si>
  <si>
    <t>common_disarm_icon</t>
  </si>
  <si>
    <t>0,0.4,0.7</t>
  </si>
  <si>
    <t>敌人死亡</t>
  </si>
  <si>
    <t>common_enemy_die_01</t>
  </si>
  <si>
    <t>范围治疗</t>
  </si>
  <si>
    <t>common_heal_range_01</t>
  </si>
  <si>
    <t>治疗2</t>
  </si>
  <si>
    <t>common_heal_start_01</t>
  </si>
  <si>
    <t>common_hit_01</t>
  </si>
  <si>
    <t>common_ignite_attack</t>
  </si>
  <si>
    <t>common_ignite_defense</t>
  </si>
  <si>
    <t>common_ignite_support</t>
  </si>
  <si>
    <t>消失</t>
  </si>
  <si>
    <t>common_invisible</t>
  </si>
  <si>
    <t>消失2</t>
  </si>
  <si>
    <t>common_invisible_02</t>
  </si>
  <si>
    <t>common_magic_hit_01</t>
  </si>
  <si>
    <t>魔法击中m</t>
  </si>
  <si>
    <t>common_magic_hit_01_m</t>
  </si>
  <si>
    <t>神经损伤击中</t>
  </si>
  <si>
    <t>common_nerve_injury_01_hit</t>
  </si>
  <si>
    <t>common_next_atk_buff</t>
  </si>
  <si>
    <t>解放开始</t>
  </si>
  <si>
    <t>common_V015_ liberation_01_start</t>
  </si>
  <si>
    <t>解放开始2</t>
  </si>
  <si>
    <t>common_V015_ liberation_02_start</t>
  </si>
  <si>
    <t>buff_atkup</t>
  </si>
  <si>
    <t>buff_attack_speed_reduction_01</t>
  </si>
  <si>
    <t>buff_burn</t>
  </si>
  <si>
    <t>buff_cold</t>
  </si>
  <si>
    <t>诅咒</t>
  </si>
  <si>
    <t>buff_curse_01</t>
  </si>
  <si>
    <t>buff_defdown</t>
  </si>
  <si>
    <t>buff_defup</t>
  </si>
  <si>
    <t>-0.2,-0.4,0.2</t>
  </si>
  <si>
    <t>buff_desert_01</t>
  </si>
  <si>
    <t>buff_distraction</t>
  </si>
  <si>
    <t>0,0.7,1</t>
  </si>
  <si>
    <t>buff_frozen</t>
  </si>
  <si>
    <t>0,0,-0.3</t>
  </si>
  <si>
    <t>飞行冻结</t>
  </si>
  <si>
    <t>buff_frozen_to_fly</t>
  </si>
  <si>
    <t>buff_poison</t>
  </si>
  <si>
    <t>buff_silence</t>
  </si>
  <si>
    <t>buff_sluggish</t>
  </si>
  <si>
    <t>buff_weak</t>
  </si>
  <si>
    <t>common_heal_hit_01</t>
  </si>
  <si>
    <t>common_cuting_hit_01</t>
  </si>
  <si>
    <t>敌人击中</t>
  </si>
  <si>
    <t>common_enemy_hit_01</t>
  </si>
  <si>
    <t>火球击中</t>
  </si>
  <si>
    <t>common_firemagic_hit_01</t>
  </si>
  <si>
    <t>common_invincible_01</t>
  </si>
  <si>
    <t>kros_skill_01_start</t>
  </si>
  <si>
    <t>spot_skill_01_hit</t>
  </si>
  <si>
    <t>spot_skill_01_buff</t>
  </si>
  <si>
    <t>popka_attack_01_hit</t>
  </si>
  <si>
    <t>midn_attack_01_hit</t>
  </si>
  <si>
    <t>midn_skill_01_hit</t>
  </si>
  <si>
    <t>catap_attack_01_hit</t>
  </si>
  <si>
    <t>catap_attack_01_start</t>
  </si>
  <si>
    <t>Qiang2</t>
  </si>
  <si>
    <t>orchid_attack_01_hit</t>
  </si>
  <si>
    <t>stward_skill_01_hit</t>
  </si>
  <si>
    <t>stward_skill_01_start</t>
  </si>
  <si>
    <t>lava_attack_01_hit</t>
  </si>
  <si>
    <t>svrash_attack_01_hit</t>
  </si>
  <si>
    <t>svrash_attack_01_start</t>
  </si>
  <si>
    <t>L_Weapon</t>
  </si>
  <si>
    <t>svrash_skill_01_hit</t>
  </si>
  <si>
    <t>svrash_skill_02_buff</t>
  </si>
  <si>
    <t>svrash_skill_03_hit</t>
  </si>
  <si>
    <t>svrash_skill_03_start_02</t>
  </si>
  <si>
    <t>0,1,0</t>
  </si>
  <si>
    <t>svrash_skill_03_buff</t>
  </si>
  <si>
    <t>surtr_attack_01_hit</t>
  </si>
  <si>
    <t>surtr_attack_01_start</t>
  </si>
  <si>
    <t>0,0.3,0</t>
  </si>
  <si>
    <t>surtr_buff_01_start</t>
  </si>
  <si>
    <t>surtr_skill_01_hit</t>
  </si>
  <si>
    <t>surtr_skill_01_start</t>
  </si>
  <si>
    <t>surtr_skill_02_buff</t>
  </si>
  <si>
    <t>surtr_skill_02_start</t>
  </si>
  <si>
    <t>surtr_skill_02_start_02</t>
  </si>
  <si>
    <t>Weapon2</t>
  </si>
  <si>
    <t>surtr_skill_03_buff</t>
  </si>
  <si>
    <t>Rb_Weapon2</t>
  </si>
  <si>
    <t>42黄昏buff</t>
  </si>
  <si>
    <t>surtr_skill_03_buff_02</t>
  </si>
  <si>
    <t>surtr_skill_03_buff_03</t>
  </si>
  <si>
    <t>Face_Default_i</t>
  </si>
  <si>
    <t>surtr_skill_03_buff_04</t>
  </si>
  <si>
    <t>Face_Default_j</t>
  </si>
  <si>
    <t>surtr_skill_03_range</t>
  </si>
  <si>
    <t>surtr_skill_03_start_02</t>
  </si>
  <si>
    <t>kalts_attack_01_hit</t>
  </si>
  <si>
    <t>kalts_attack_01_start</t>
  </si>
  <si>
    <t>kalts_skill_01_buff</t>
  </si>
  <si>
    <t>kalts_skill_02_buff</t>
  </si>
  <si>
    <t>kalts_skill_03_buff</t>
  </si>
  <si>
    <t>thorns_buff_01_start</t>
  </si>
  <si>
    <t>thorns_attack_01_hit</t>
  </si>
  <si>
    <t>thorns_attack_01_start</t>
  </si>
  <si>
    <t>thorns_attack_02_hit</t>
  </si>
  <si>
    <t>thorns_attack_02_start</t>
  </si>
  <si>
    <t>thorns_skill_02_buff</t>
  </si>
  <si>
    <t>thorns_skill_02_range</t>
  </si>
  <si>
    <t>thorns_skill_02_start</t>
  </si>
  <si>
    <t>thorns_skill_03_buff</t>
  </si>
  <si>
    <t>thorns_skill_03_buff_02</t>
  </si>
  <si>
    <t>thorns_skill_03_hit</t>
  </si>
  <si>
    <t>thorns_skill_03_start</t>
  </si>
  <si>
    <t>angle_buff_00_start</t>
  </si>
  <si>
    <t>angle_attack_01_hit</t>
  </si>
  <si>
    <t>angle_attack_02_hit</t>
  </si>
  <si>
    <t>angle_attack_01_start</t>
  </si>
  <si>
    <t>angle_skill_01_start</t>
  </si>
  <si>
    <t>angle_skill_02_buff</t>
  </si>
  <si>
    <t>angle_skill_03_buff</t>
  </si>
  <si>
    <t>推王攻击启动</t>
  </si>
  <si>
    <t>siege_attack_01_start</t>
  </si>
  <si>
    <t>推王2启动</t>
  </si>
  <si>
    <t>siege_skill_02_start</t>
  </si>
  <si>
    <t>siege_skill_03_buff_03</t>
  </si>
  <si>
    <t>推王3击中</t>
  </si>
  <si>
    <t>siege_skill_03_hit</t>
  </si>
  <si>
    <t>推王3启动</t>
  </si>
  <si>
    <t>siege_skill_03_start</t>
  </si>
  <si>
    <t>ifrit_attack_01_start</t>
  </si>
  <si>
    <t>ifrit_skill_02_range</t>
  </si>
  <si>
    <t>ifrit_skill_02_start</t>
  </si>
  <si>
    <t>ifrit_skill_03_buff</t>
  </si>
  <si>
    <t>ifrit_skill_03_range</t>
  </si>
  <si>
    <t>ifrit_skill_03_start</t>
  </si>
  <si>
    <t>amgoat_attack_01_hit</t>
  </si>
  <si>
    <t>amgoat_attack_01_start</t>
  </si>
  <si>
    <t>amgoat_skill_02_hit</t>
  </si>
  <si>
    <t>amgoat_skill_02_range</t>
  </si>
  <si>
    <t>amgoat_skill_03_buff</t>
  </si>
  <si>
    <t>羊3buff结束</t>
  </si>
  <si>
    <t>amgoat_skill_03_buff_end</t>
  </si>
  <si>
    <t>aglina_attack_01_hit</t>
  </si>
  <si>
    <t>aglina_attack_01_start</t>
  </si>
  <si>
    <t>F_Weapon</t>
  </si>
  <si>
    <t>aglina_skill_02_gather</t>
  </si>
  <si>
    <t>aglina_skill_02_hit</t>
  </si>
  <si>
    <t>aglina_skill_02_start</t>
  </si>
  <si>
    <t>aglina_skill_03_start</t>
  </si>
  <si>
    <t>闪灵普攻击中</t>
  </si>
  <si>
    <t>shining_attack_01_hit</t>
  </si>
  <si>
    <t>闪灵普攻抬手</t>
  </si>
  <si>
    <t>shining_attack_01_start</t>
  </si>
  <si>
    <t>shining_skill_01_buff</t>
  </si>
  <si>
    <t>shining_skill_02_buff</t>
  </si>
  <si>
    <t>闪灵2抬手</t>
  </si>
  <si>
    <t>shining_skill_02_start</t>
  </si>
  <si>
    <t>shining_skill_03_buff</t>
  </si>
  <si>
    <t>cgbird_attack_01_hit</t>
  </si>
  <si>
    <t>cgbird_attack_01_start</t>
  </si>
  <si>
    <t>cgbird_buff_01_start</t>
  </si>
  <si>
    <t>cgbird_skill_02_buff</t>
  </si>
  <si>
    <t>cgbird_skill_03_range</t>
  </si>
  <si>
    <t>hsguma_attack_01_hit</t>
  </si>
  <si>
    <t>hsguma_attack_01_start</t>
  </si>
  <si>
    <t>Weapon_B</t>
  </si>
  <si>
    <t>hsguma_skill_02_buff</t>
  </si>
  <si>
    <t>0,0.1,0</t>
  </si>
  <si>
    <t>hsguma_skill_03_buff</t>
  </si>
  <si>
    <t>hsguma_skill_03_buff_02</t>
  </si>
  <si>
    <t>hsguma_skill_03_hit</t>
  </si>
  <si>
    <t>hsguma_skill_03_start</t>
  </si>
  <si>
    <t>demkni_attack_01_hit</t>
  </si>
  <si>
    <t>demkni_buff_01_self</t>
  </si>
  <si>
    <t>Shield</t>
  </si>
  <si>
    <t>demkni_skill_01_hit</t>
  </si>
  <si>
    <t>demkni_skill_01_start</t>
  </si>
  <si>
    <t>demkni_skill_02_start</t>
  </si>
  <si>
    <t>0,0.5,0</t>
  </si>
  <si>
    <t>demkni_skill_03_buff</t>
  </si>
  <si>
    <t>demkni_skill_03_range</t>
  </si>
  <si>
    <t>demkni_skill_03_self</t>
  </si>
  <si>
    <t>nights_skill_02_hit</t>
  </si>
  <si>
    <t>nights_skill_02_start</t>
  </si>
  <si>
    <t>fmout_attack_01_hit</t>
  </si>
  <si>
    <t>fmout_attack_01_start</t>
  </si>
  <si>
    <t>fmout_skill_02_buff</t>
  </si>
  <si>
    <t>fmout_skill_02_hit</t>
  </si>
  <si>
    <t>fmout_skill_02_start</t>
  </si>
  <si>
    <t>fmout_skill_02_range</t>
  </si>
  <si>
    <t>jesica_attack_01_hit</t>
  </si>
  <si>
    <t>jesica_attack_01_start</t>
  </si>
  <si>
    <t>0,0.2,0</t>
  </si>
  <si>
    <t>jesica_skill_01_hit</t>
  </si>
  <si>
    <t>jesica_skill_01_start</t>
  </si>
  <si>
    <t>jesica_skill_02_buff</t>
  </si>
  <si>
    <t>shotst_skill_01_hit</t>
  </si>
  <si>
    <t>yuki_attack_01_hit</t>
  </si>
  <si>
    <t>doberm_attack_01_hit</t>
  </si>
  <si>
    <t>doberm_skill_01_hit</t>
  </si>
  <si>
    <t>gyuki_attack_01_hit</t>
  </si>
  <si>
    <t>gyuki_attack_01_start</t>
  </si>
  <si>
    <t>gyuki_skill_02_buff</t>
  </si>
  <si>
    <t>frostl_attack_01_hit</t>
  </si>
  <si>
    <t>frostl_attack_01_start</t>
  </si>
  <si>
    <t>frostl_skill_01_buff</t>
  </si>
  <si>
    <t>frostl_skill_01_hit</t>
  </si>
  <si>
    <t>frostl_skill_01_start</t>
  </si>
  <si>
    <t>frostl_skill_02_buff_02</t>
  </si>
  <si>
    <t>estell_attack_01_hit</t>
  </si>
  <si>
    <t>estell_skill_02_buff</t>
  </si>
  <si>
    <t>frncat_attack_01_hit</t>
  </si>
  <si>
    <t>frncat_attack_01_start</t>
  </si>
  <si>
    <t>frncat_skill_02_hit</t>
  </si>
  <si>
    <t>frncat_skill_02_start</t>
  </si>
  <si>
    <t>gravel_attack_01_hit</t>
  </si>
  <si>
    <t>gravel_attack_01_start</t>
  </si>
  <si>
    <t>gravel_skill_01_buff</t>
  </si>
  <si>
    <t>gravel_skill_02_buff</t>
  </si>
  <si>
    <t>myrrh_attack_01_hit</t>
  </si>
  <si>
    <t>ccheal_skill_01_buff</t>
  </si>
  <si>
    <t>ccheal_skill_02_start</t>
  </si>
  <si>
    <t>flower_attack_01_start</t>
  </si>
  <si>
    <t>0,1.5,0</t>
  </si>
  <si>
    <t>flower_buff_01_range</t>
  </si>
  <si>
    <t>yak_attack_01_end</t>
  </si>
  <si>
    <t>yak_attack_start</t>
  </si>
  <si>
    <t>yak_skill_02_buff</t>
  </si>
  <si>
    <t>sunbr_skill_01_hit</t>
  </si>
  <si>
    <t>sunbr_skill_02_buff</t>
  </si>
  <si>
    <t>deepcl_attack_01_hit</t>
  </si>
  <si>
    <t>deepcl_attack_01_start</t>
  </si>
  <si>
    <t>deepcl_skill_02_range</t>
  </si>
  <si>
    <t>skgoat_attack_01_hit</t>
  </si>
  <si>
    <t>skgoat_skill_02_range</t>
  </si>
  <si>
    <t>plosis_attack_01_start</t>
  </si>
  <si>
    <t>franka_attack_01_hit</t>
  </si>
  <si>
    <t>franka_attack_01_start</t>
  </si>
  <si>
    <t>franka_skill_02_buff</t>
  </si>
  <si>
    <t>franka_skill_02_hit</t>
  </si>
  <si>
    <t>franka_skill_02_start</t>
  </si>
  <si>
    <t>tiger_attack_01_hit</t>
  </si>
  <si>
    <t>tiger_skill_01_hit</t>
  </si>
  <si>
    <t>tiger_skill_01_start_right</t>
  </si>
  <si>
    <t>tiger_skill_02_buff</t>
  </si>
  <si>
    <t>tiger_skill_02_hit</t>
  </si>
  <si>
    <t>tiger_skill_02_start</t>
  </si>
  <si>
    <t>whitew_attack_01_hit</t>
  </si>
  <si>
    <t>whitew_attack_01_start</t>
  </si>
  <si>
    <t>whitew_attack_02_hit</t>
  </si>
  <si>
    <t>whitew_attack_02_start</t>
  </si>
  <si>
    <t>whitew_skill_01_buff</t>
  </si>
  <si>
    <t>whitew_skill_02_buff_01_l</t>
  </si>
  <si>
    <t>Weapon_A</t>
  </si>
  <si>
    <t>whitew_skill_02_buff_01_r</t>
  </si>
  <si>
    <t>whitew_skill_02_buff_02</t>
  </si>
  <si>
    <t>whitew_skill_02_hit</t>
  </si>
  <si>
    <t>whitew_skill_02_start</t>
  </si>
  <si>
    <t>ghost_attack_01_hit</t>
  </si>
  <si>
    <t>ghost_attack_01_start</t>
  </si>
  <si>
    <t>ghost_skill_02_buff</t>
  </si>
  <si>
    <t>R_eye</t>
  </si>
  <si>
    <t>ghost_skill_02_buff_02</t>
  </si>
  <si>
    <t>bluep_attack_01_start</t>
  </si>
  <si>
    <t>platnm_attack_01_hit</t>
  </si>
  <si>
    <t>platnm_skill_02_buff</t>
  </si>
  <si>
    <t>gong</t>
  </si>
  <si>
    <t>platnm_skill_02_hit</t>
  </si>
  <si>
    <t>platnm_skill_02_start</t>
  </si>
  <si>
    <t>meteo_attack_01_hit</t>
  </si>
  <si>
    <t>meteo_skill_01_hit</t>
  </si>
  <si>
    <t>meteo_skill_01_start</t>
  </si>
  <si>
    <t>meteo_skill_02_hit</t>
  </si>
  <si>
    <t>meteo_skill_02_start</t>
  </si>
  <si>
    <t>amiya_attack_01_hit</t>
  </si>
  <si>
    <t>amiya_attack_01_start_yuan</t>
  </si>
  <si>
    <t>amiya_skill_02_hit</t>
  </si>
  <si>
    <t>amiya_skill_02_buff</t>
  </si>
  <si>
    <t>amiya_skill_03_hit</t>
  </si>
  <si>
    <t>amiya_skill_03_start</t>
  </si>
  <si>
    <t>amiya_skill_03_buff_02</t>
  </si>
  <si>
    <t>amiya_skill_03_buff</t>
  </si>
  <si>
    <t>skfire_attack_01_hit</t>
  </si>
  <si>
    <t>skfire_skill_02_gather</t>
  </si>
  <si>
    <t>skfire_skill_02_hit</t>
  </si>
  <si>
    <t>skfire_skill_02_start</t>
  </si>
  <si>
    <t>otter_attack_01_hit</t>
  </si>
  <si>
    <t>otter_attack_01_start</t>
  </si>
  <si>
    <t>otter_skill_02_start</t>
  </si>
  <si>
    <t>nearl_attack_01_hit</t>
  </si>
  <si>
    <t>nearl_skill_01_start</t>
  </si>
  <si>
    <t>nearl_skill_01_hit</t>
  </si>
  <si>
    <t>nearl_skill_02_buff</t>
  </si>
  <si>
    <t>bldsk_attack_01_hit</t>
  </si>
  <si>
    <t>bldsk_attack_01_start</t>
  </si>
  <si>
    <t>bldsk_skill_01_hit</t>
  </si>
  <si>
    <t>bldsk_skill_01_start</t>
  </si>
  <si>
    <t>bldsk_skill_02_buff</t>
  </si>
  <si>
    <t>red_attack_01_hit</t>
  </si>
  <si>
    <t>red_attack_01_start_r</t>
  </si>
  <si>
    <t>red_skill_02_buff</t>
  </si>
  <si>
    <t>red_skill_02_start</t>
  </si>
  <si>
    <t>liskam_attack_01_start</t>
  </si>
  <si>
    <t>liskam_skill_02_buff</t>
  </si>
  <si>
    <t>liskam_skill_02_start</t>
  </si>
  <si>
    <t>liskam_skill_02_start_02</t>
  </si>
  <si>
    <t>moeshd_attack_01_hit</t>
  </si>
  <si>
    <t>moeshd_attack_01_start</t>
  </si>
  <si>
    <t>moeshd_buff_01_range</t>
  </si>
  <si>
    <t>moeshd_skill_02_gather</t>
  </si>
  <si>
    <t>hpsts_attack_01_hit</t>
  </si>
  <si>
    <t>火神2抬手</t>
  </si>
  <si>
    <t>hpsts_skill_02_gather</t>
  </si>
  <si>
    <t>火神2抬手2</t>
  </si>
  <si>
    <t>hpsts_skill_02_start</t>
  </si>
  <si>
    <t>prove_attack_01_hit</t>
  </si>
  <si>
    <t>prove_attack_01_start</t>
  </si>
  <si>
    <t>prove_skill_02_buff</t>
  </si>
  <si>
    <t>0,-0.1,0</t>
  </si>
  <si>
    <t>prove_skill_02_start</t>
  </si>
  <si>
    <t>milu_attack_01_hit</t>
  </si>
  <si>
    <t>milu_attack_01_start</t>
  </si>
  <si>
    <t>milu_skill_02_hit</t>
  </si>
  <si>
    <t>milu_skill_02_start</t>
  </si>
  <si>
    <t>slchan_attack_01_hit</t>
  </si>
  <si>
    <t>崖心拉buff</t>
  </si>
  <si>
    <t>slchan_skill_01_buff</t>
  </si>
  <si>
    <t>slchan_skill_01_hit</t>
  </si>
  <si>
    <t>slchan_skill_01_start</t>
  </si>
  <si>
    <t>slchan_skill_02_hit</t>
  </si>
  <si>
    <t>slbell_attack_01_hit</t>
  </si>
  <si>
    <t>slbell_skill_01_range</t>
  </si>
  <si>
    <t>slbell_skill_02_range</t>
  </si>
  <si>
    <t>slbell_skill_01_start</t>
  </si>
  <si>
    <t>glassb_attack_01_hit</t>
  </si>
  <si>
    <t>glassb_attack_01_start</t>
  </si>
  <si>
    <t>glassb_skill_02_range</t>
  </si>
  <si>
    <t>sora_dance_01_loop</t>
  </si>
  <si>
    <t>mantic_attack_01_hit</t>
  </si>
  <si>
    <t>mantic_attack_01_start</t>
  </si>
  <si>
    <t>mantic_skill_01_hit</t>
  </si>
  <si>
    <t>mantic_skill_01_start</t>
  </si>
  <si>
    <t>mantic_skill_02_hit</t>
  </si>
  <si>
    <t>mantic_skill_02_gather</t>
  </si>
  <si>
    <t>mantic_skill_02_start</t>
  </si>
  <si>
    <t>panda_attack_01_hit</t>
  </si>
  <si>
    <t>panda_skill_01_hit</t>
  </si>
  <si>
    <t>panda_skill_02_hit</t>
  </si>
  <si>
    <t>panda_skill_02_start</t>
  </si>
  <si>
    <t>暗锁拉buff</t>
  </si>
  <si>
    <t>rope_skill_01_buff</t>
  </si>
  <si>
    <t>rope_attack_01_hit</t>
  </si>
  <si>
    <t>ifrit_skill_03_range1</t>
  </si>
  <si>
    <t>buff_cold1</t>
  </si>
  <si>
    <t>buff_cold2</t>
  </si>
  <si>
    <t>skfire_skill_02_hit1</t>
  </si>
  <si>
    <t>ifrit_skill_03_range2</t>
  </si>
  <si>
    <t>buff_violent</t>
  </si>
  <si>
    <t>萃儿3伤害分摊</t>
  </si>
  <si>
    <t>common_ resistance_01</t>
  </si>
  <si>
    <t>enemy_pppdth_01_buff_01</t>
  </si>
  <si>
    <t>enemy_pppdth_01_buff_02</t>
  </si>
  <si>
    <t>enemy_pppdth_01_die</t>
  </si>
  <si>
    <t>enemy_pppdth_02_buff</t>
  </si>
  <si>
    <t>enemy_pppdth_attack_01_hit</t>
  </si>
  <si>
    <t>enemy_pppdth_attack_01_start</t>
  </si>
  <si>
    <t>enemy_pppdth_attack_01_trail</t>
  </si>
  <si>
    <t>enemy_pppdth_revive_loop_buff</t>
  </si>
  <si>
    <t>enemy_pppdth_revive_loop_range</t>
  </si>
  <si>
    <t>enemy_pppdth_skill_01_hit</t>
  </si>
  <si>
    <t>enemy_pppdth_skill_01_start</t>
  </si>
  <si>
    <t>enemy_pppdth_skill_02_hit</t>
  </si>
  <si>
    <t>enemy_pppdth_skill_02_start</t>
  </si>
  <si>
    <t>enemy_pppdth_skill_02_start_02</t>
  </si>
  <si>
    <t>enemy_pppdth_skill_03_loop_buff</t>
  </si>
  <si>
    <t>enemy_pppdth_skill_03_start</t>
  </si>
  <si>
    <t>enemy_pppdth_stage_02_hit</t>
  </si>
  <si>
    <t>enemy_shchmr_a_attack_01</t>
  </si>
  <si>
    <t>enemy_shchmr_a_hit_01</t>
  </si>
  <si>
    <t>enemy_shchmr_a_skill_1_end_01</t>
  </si>
  <si>
    <t>enemy_shchmr_b_skill_2_hit_01</t>
  </si>
  <si>
    <t>enemy_shchmr_b_skill_2_start_01</t>
  </si>
  <si>
    <t>enemy_shchmr_b_skill_2_trail_01</t>
  </si>
  <si>
    <t>enemy_shchmr_buff_01</t>
  </si>
  <si>
    <t>enemy_shchmr_buff_02</t>
  </si>
  <si>
    <t>enemy_shchmr_c_attack_01</t>
  </si>
  <si>
    <t>enemy_shchmr_c_hit_01</t>
  </si>
  <si>
    <t>enemy_shchmr_c_skill_1_begin_01</t>
  </si>
  <si>
    <t>enemy_shchmr_c_skill_1_begin_02</t>
  </si>
  <si>
    <t>enemy_shchmr_d_attack_start_01</t>
  </si>
  <si>
    <t>enemy_shchmr_ground_01</t>
  </si>
  <si>
    <t>Description</t>
  </si>
  <si>
    <t>Group</t>
  </si>
  <si>
    <t>TeamLimit</t>
  </si>
  <si>
    <t>MapHp</t>
  </si>
  <si>
    <t>UnitTypeEnum[]</t>
  </si>
  <si>
    <t>合约1</t>
  </si>
  <si>
    <t>反机动</t>
  </si>
  <si>
    <t>合约2</t>
  </si>
  <si>
    <t>反狙击I</t>
  </si>
  <si>
    <t>合约4</t>
  </si>
  <si>
    <t>目标：抹消机型I</t>
  </si>
  <si>
    <t>协同战术：军械</t>
  </si>
  <si>
    <t>所有我方单位攻击力增加100%</t>
  </si>
  <si>
    <t>协同战术：备战</t>
  </si>
  <si>
    <t>所有我方单位的防御力增加50%，生命值增加100%</t>
  </si>
  <si>
    <t>协同战术：突击</t>
  </si>
  <si>
    <t>所有我方单位攻击速度增加100</t>
  </si>
  <si>
    <t>协同战术：技巧</t>
  </si>
  <si>
    <t>所有我方干员的技能技力消耗降低50%</t>
  </si>
  <si>
    <t>协同战术：重部署</t>
  </si>
  <si>
    <t>所有我方单位的再部署时间减少65%</t>
  </si>
  <si>
    <t>协同战术：迅捷出击</t>
  </si>
  <si>
    <t>所有我方单位初始技力+100</t>
  </si>
  <si>
    <t>源石环境：刺激I</t>
  </si>
  <si>
    <t>所有敌人的攻击力提升15%</t>
  </si>
  <si>
    <t>源石环境：刺激II</t>
  </si>
  <si>
    <t>所有敌人的攻击力提升35%</t>
  </si>
  <si>
    <t>源石环境：刺激III</t>
  </si>
  <si>
    <t>所有敌人的攻击力提升80%</t>
  </si>
  <si>
    <t>源石环境：活性I</t>
  </si>
  <si>
    <t>所有敌人的生命值提升25%</t>
  </si>
  <si>
    <t>源石环境：活性II</t>
  </si>
  <si>
    <t>所有敌人的生命值提升60%</t>
  </si>
  <si>
    <t>源石环境：活性III</t>
  </si>
  <si>
    <t>所有敌人的生命值提升150%</t>
  </si>
  <si>
    <t>源石环境：侵蚀I</t>
  </si>
  <si>
    <t>所有所有我方单位的生命值上限降低30%</t>
  </si>
  <si>
    <t>源石环境：侵蚀II</t>
  </si>
  <si>
    <t>所有所有我方单位的生命值上限降低50%</t>
  </si>
  <si>
    <t>源石环境：侵蚀III</t>
  </si>
  <si>
    <t>所有所有我方单位的生命值上限降低75%</t>
  </si>
  <si>
    <t>反集群</t>
  </si>
  <si>
    <t>所有敌人的攻击速度提升50</t>
  </si>
  <si>
    <t>所有敌人的攻击范围提升50%</t>
  </si>
  <si>
    <t>反狙击II</t>
  </si>
  <si>
    <t>所有敌人的攻击范围提升100%</t>
  </si>
  <si>
    <t>反装甲I</t>
  </si>
  <si>
    <t>所有敌人的防御力提升50%</t>
  </si>
  <si>
    <t>所有敌人的移动速度提升50%</t>
  </si>
  <si>
    <t>反机动I</t>
  </si>
  <si>
    <t>所有敌人的移动速度提升100%</t>
  </si>
  <si>
    <t>目标：绞碎利刃I</t>
  </si>
  <si>
    <t>所有&lt;寻仇者&gt;和&lt;复仇者&gt;的防御力提升50%，生命值提升40%</t>
  </si>
  <si>
    <t>目标：绞碎利刃II</t>
  </si>
  <si>
    <t>所有&lt;寻仇者&gt;和&lt;复仇者&gt;的防御力提升100%，生命值提升80%</t>
  </si>
  <si>
    <t>目标：绞碎利刃III</t>
  </si>
  <si>
    <t>所有&lt;寻仇者&gt;和&lt;复仇者&gt;的防御力提升200%，生命值提升120%，攻击力提升80%</t>
  </si>
  <si>
    <t>目标：破坏武装I</t>
  </si>
  <si>
    <t>所有&lt;武装人员&gt;的生命值提升40%，攻击力提升20%，法术抗性提升至15，重量提升两个等级</t>
  </si>
  <si>
    <t>目标：破坏武装II</t>
  </si>
  <si>
    <t>所有&lt;武装人员&gt;的生命值提升80%，攻击力提升40%，法术抗性提升至50，重量提升两个等级</t>
  </si>
  <si>
    <t>目标：破坏武装III</t>
  </si>
  <si>
    <t>所有&lt;武装人员&gt;的生命值提升150%，攻击力提升80%，法术抗性提升至75，重量提升两个等级</t>
  </si>
  <si>
    <t>目标：隐秘行动I</t>
  </si>
  <si>
    <t>战斗时,仅有队伍的前10名干员会加入战斗</t>
  </si>
  <si>
    <t>目标：隐秘行动II</t>
  </si>
  <si>
    <t>战斗时,仅有队伍的前7名干员会加入战斗</t>
  </si>
  <si>
    <t>目标：隐秘行动III</t>
  </si>
  <si>
    <t>战斗时,仅有队伍的前4名干员会加入战斗</t>
  </si>
  <si>
    <t>目标：深度渗透I</t>
  </si>
  <si>
    <t>部署费用的自然恢复速度降低25%</t>
  </si>
  <si>
    <t>目标：深度渗透II</t>
  </si>
  <si>
    <t>部署费用的自然恢复速度降低50%</t>
  </si>
  <si>
    <t>目标：深度渗透III</t>
  </si>
  <si>
    <t>部署费用的自然恢复速度降低75%</t>
  </si>
  <si>
    <t>战略调度术重</t>
  </si>
  <si>
    <t>目标：战略调度3</t>
  </si>
  <si>
    <t>目标：战略调度</t>
  </si>
  <si>
    <t>禁止部署术师和重装干员</t>
  </si>
  <si>
    <t>术士,重装</t>
  </si>
  <si>
    <t>战略调度术医</t>
  </si>
  <si>
    <t>目标：战略调度4</t>
  </si>
  <si>
    <t>禁止部署术师和医疗干员</t>
  </si>
  <si>
    <t>术士,医疗</t>
  </si>
  <si>
    <t>战略调度近重</t>
  </si>
  <si>
    <t>目标：战略调度2</t>
  </si>
  <si>
    <t>禁止部署近卫和重装干员</t>
  </si>
  <si>
    <t>近卫,重装</t>
  </si>
  <si>
    <t>战略调度近医</t>
  </si>
  <si>
    <t>目标：战略调度5</t>
  </si>
  <si>
    <t>禁止部署近卫和医疗干员</t>
  </si>
  <si>
    <t>近卫,医疗</t>
  </si>
  <si>
    <t>战略调度狙术</t>
  </si>
  <si>
    <t>目标：战略调度6</t>
  </si>
  <si>
    <t>禁止部署狙击和术师干员</t>
  </si>
  <si>
    <t>狙击,术士</t>
  </si>
  <si>
    <t>战略调度医重</t>
  </si>
  <si>
    <t>禁止部署医疗和重装干员</t>
  </si>
  <si>
    <t>医疗,重装</t>
  </si>
  <si>
    <t>目标：秘密作战I</t>
  </si>
  <si>
    <t>所有我方单位的防御力降低35%</t>
  </si>
  <si>
    <t>目标：秘密作战II</t>
  </si>
  <si>
    <t>所有我方单位的防御力降低70%</t>
  </si>
  <si>
    <t>目标：秘密作战III</t>
  </si>
  <si>
    <t>所有我方单位的防御力降低100%</t>
  </si>
  <si>
    <t>目标：最后防线</t>
  </si>
  <si>
    <t>我方防御点可承受的敌方数量变为1</t>
  </si>
  <si>
    <t>环境：交战区I</t>
  </si>
  <si>
    <t>可同时部署的单位数量减少至6</t>
  </si>
  <si>
    <t>环境：交战区II</t>
  </si>
  <si>
    <t>可同时部署的单位数量减少至5</t>
  </si>
  <si>
    <t>环境：交战区III</t>
  </si>
  <si>
    <t>可同时部署的单位数量减少至4</t>
  </si>
  <si>
    <t>环境：险峻地势III</t>
  </si>
  <si>
    <t>战场中的10个位置无法部署单位</t>
  </si>
  <si>
    <t>环境：高价值目标I</t>
  </si>
  <si>
    <t>所有我方单位的攻击力降低10%</t>
  </si>
  <si>
    <t>环境：高价值目标II</t>
  </si>
  <si>
    <t>所有我方单位的攻击力降低25%</t>
  </si>
  <si>
    <t>环境：高价值目标III</t>
  </si>
  <si>
    <t>所有我方单位的攻击力降低50%</t>
  </si>
  <si>
    <t>仅单面</t>
  </si>
  <si>
    <t>相对路径</t>
  </si>
  <si>
    <t>正面atlas</t>
  </si>
  <si>
    <t>正面png</t>
  </si>
  <si>
    <t>正面skel</t>
  </si>
  <si>
    <t>背面atlas</t>
  </si>
  <si>
    <t>背面png</t>
  </si>
  <si>
    <t>背面skel</t>
  </si>
  <si>
    <t>OnlyFront</t>
  </si>
  <si>
    <t>UseAppHotfixResPath</t>
  </si>
  <si>
    <t>FrontAtlasPath</t>
  </si>
  <si>
    <t>FrontPngPath</t>
  </si>
  <si>
    <t>FrontSkelPath</t>
  </si>
  <si>
    <t>BackAtlasPath</t>
  </si>
  <si>
    <t>BackPngPath</t>
  </si>
  <si>
    <t>BackSkelPath</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</si>
</sst>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6">
    <font>
      <sz val="11"/>
      <color theme="1"/>
      <name val="宋体"/>
      <charset val="134"/>
      <scheme val="minor"/>
    </font>
    <font>
      <sz val="11"/>
      <color rgb="FFFFC000"/>
      <name val="宋体"/>
      <charset val="134"/>
      <scheme val="minor"/>
    </font>
    <font>
      <sz val="11"/>
      <name val="宋体"/>
      <charset val="134"/>
      <scheme val="minor"/>
    </font>
    <font>
      <sz val="11"/>
      <color rgb="FF9C5700"/>
      <name val="宋体"/>
      <charset val="134"/>
      <scheme val="minor"/>
    </font>
    <font>
      <sz val="11"/>
      <color rgb="FF00B0F0"/>
      <name val="宋体"/>
      <charset val="134"/>
      <scheme val="minor"/>
    </font>
    <font>
      <sz val="11"/>
      <color rgb="FF9C0006"/>
      <name val="宋体"/>
      <charset val="134"/>
      <scheme val="minor"/>
    </font>
    <font>
      <sz val="11"/>
      <color rgb="FF202122"/>
      <name val="宋体"/>
      <charset val="134"/>
    </font>
    <font>
      <sz val="11.25"/>
      <color rgb="FFFFFFFF"/>
      <name val="Courier New"/>
      <charset val="134"/>
    </font>
    <font>
      <sz val="11"/>
      <color theme="1"/>
      <name val="宋体"/>
      <charset val="0"/>
      <scheme val="minor"/>
    </font>
    <font>
      <sz val="11"/>
      <color theme="0"/>
      <name val="宋体"/>
      <charset val="0"/>
      <scheme val="minor"/>
    </font>
    <font>
      <sz val="11"/>
      <color rgb="FFFA7D00"/>
      <name val="宋体"/>
      <charset val="0"/>
      <scheme val="minor"/>
    </font>
    <font>
      <b/>
      <sz val="11"/>
      <color rgb="FFFA7D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b/>
      <sz val="11"/>
      <color theme="1"/>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b/>
      <sz val="11"/>
      <color rgb="FF3F3F3F"/>
      <name val="宋体"/>
      <charset val="0"/>
      <scheme val="minor"/>
    </font>
    <font>
      <b/>
      <sz val="18"/>
      <color theme="3"/>
      <name val="宋体"/>
      <charset val="134"/>
      <scheme val="minor"/>
    </font>
    <font>
      <u/>
      <sz val="11"/>
      <color rgb="FF0000FF"/>
      <name val="宋体"/>
      <charset val="0"/>
      <scheme val="minor"/>
    </font>
    <font>
      <sz val="11"/>
      <color rgb="FF006100"/>
      <name val="宋体"/>
      <charset val="0"/>
      <scheme val="minor"/>
    </font>
    <font>
      <b/>
      <sz val="15"/>
      <color theme="3"/>
      <name val="宋体"/>
      <charset val="134"/>
      <scheme val="minor"/>
    </font>
    <font>
      <sz val="10"/>
      <name val="宋体"/>
      <charset val="134"/>
    </font>
  </fonts>
  <fills count="3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890133365886"/>
        <bgColor indexed="64"/>
      </patternFill>
    </fill>
    <fill>
      <patternFill patternType="solid">
        <fgColor rgb="FFFFEB9C"/>
        <bgColor indexed="64"/>
      </patternFill>
    </fill>
    <fill>
      <patternFill patternType="solid">
        <fgColor rgb="FFFFC7CE"/>
        <bgColor indexed="64"/>
      </patternFill>
    </fill>
    <fill>
      <patternFill patternType="solid">
        <fgColor rgb="FFEBF1DE"/>
        <bgColor indexed="64"/>
      </patternFill>
    </fill>
    <fill>
      <patternFill patternType="solid">
        <fgColor theme="6" tint="0.799920651875362"/>
        <bgColor indexed="64"/>
      </patternFill>
    </fill>
    <fill>
      <patternFill patternType="solid">
        <fgColor theme="7" tint="0.799981688894314"/>
        <bgColor indexed="64"/>
      </patternFill>
    </fill>
    <fill>
      <patternFill patternType="solid">
        <fgColor theme="7"/>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rgb="FFF2F2F2"/>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5"/>
        <bgColor indexed="64"/>
      </patternFill>
    </fill>
    <fill>
      <patternFill patternType="solid">
        <fgColor theme="9"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8"/>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bgColor indexed="64"/>
      </patternFill>
    </fill>
    <fill>
      <patternFill patternType="solid">
        <fgColor theme="8" tint="0.599993896298105"/>
        <bgColor indexed="64"/>
      </patternFill>
    </fill>
    <fill>
      <patternFill patternType="solid">
        <fgColor theme="6"/>
        <bgColor indexed="64"/>
      </patternFill>
    </fill>
    <fill>
      <patternFill patternType="solid">
        <fgColor rgb="FFC6EFCE"/>
        <bgColor indexed="64"/>
      </patternFill>
    </fill>
    <fill>
      <patternFill patternType="solid">
        <fgColor theme="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rgb="FFFFFFCC"/>
        <bgColor indexed="64"/>
      </patternFill>
    </fill>
  </fills>
  <borders count="10">
    <border>
      <left/>
      <right/>
      <top/>
      <bottom/>
      <diagonal/>
    </border>
    <border>
      <left style="hair">
        <color auto="1"/>
      </left>
      <right style="hair">
        <color auto="1"/>
      </right>
      <top style="hair">
        <color auto="1"/>
      </top>
      <bottom style="hair">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42" fontId="0" fillId="0" borderId="0">
      <alignment vertical="center"/>
    </xf>
    <xf numFmtId="0" fontId="0" fillId="4" borderId="0">
      <alignment vertical="center"/>
    </xf>
    <xf numFmtId="0" fontId="15" fillId="24" borderId="3">
      <alignment vertical="center"/>
    </xf>
    <xf numFmtId="44" fontId="0" fillId="0" borderId="0">
      <alignment vertical="center"/>
    </xf>
    <xf numFmtId="41" fontId="0" fillId="0" borderId="0">
      <alignment vertical="center"/>
    </xf>
    <xf numFmtId="0" fontId="8" fillId="15" borderId="0">
      <alignment vertical="center"/>
    </xf>
    <xf numFmtId="0" fontId="5" fillId="6" borderId="0">
      <alignment vertical="center"/>
    </xf>
    <xf numFmtId="43" fontId="0" fillId="0" borderId="0">
      <alignment vertical="center"/>
    </xf>
    <xf numFmtId="0" fontId="9" fillId="19" borderId="0">
      <alignment vertical="center"/>
    </xf>
    <xf numFmtId="0" fontId="22" fillId="0" borderId="0">
      <alignment vertical="center"/>
    </xf>
    <xf numFmtId="9" fontId="0" fillId="0" borderId="0">
      <alignment vertical="center"/>
    </xf>
    <xf numFmtId="0" fontId="19" fillId="0" borderId="0">
      <alignment vertical="center"/>
    </xf>
    <xf numFmtId="0" fontId="0" fillId="36" borderId="9">
      <alignment vertical="center"/>
    </xf>
    <xf numFmtId="0" fontId="9" fillId="11" borderId="0">
      <alignment vertical="center"/>
    </xf>
    <xf numFmtId="0" fontId="18" fillId="0" borderId="0">
      <alignment vertical="center"/>
    </xf>
    <xf numFmtId="0" fontId="14" fillId="0" borderId="0">
      <alignment vertical="center"/>
    </xf>
    <xf numFmtId="0" fontId="21" fillId="0" borderId="0">
      <alignment vertical="center"/>
    </xf>
    <xf numFmtId="0" fontId="17" fillId="0" borderId="0">
      <alignment vertical="center"/>
    </xf>
    <xf numFmtId="0" fontId="24" fillId="0" borderId="5">
      <alignment vertical="center"/>
    </xf>
    <xf numFmtId="0" fontId="13" fillId="0" borderId="5">
      <alignment vertical="center"/>
    </xf>
    <xf numFmtId="0" fontId="9" fillId="26" borderId="0">
      <alignment vertical="center"/>
    </xf>
    <xf numFmtId="0" fontId="18" fillId="0" borderId="8">
      <alignment vertical="center"/>
    </xf>
    <xf numFmtId="0" fontId="9" fillId="35" borderId="0">
      <alignment vertical="center"/>
    </xf>
    <xf numFmtId="0" fontId="20" fillId="14" borderId="7">
      <alignment vertical="center"/>
    </xf>
    <xf numFmtId="0" fontId="11" fillId="14" borderId="3">
      <alignment vertical="center"/>
    </xf>
    <xf numFmtId="0" fontId="12" fillId="23" borderId="4">
      <alignment vertical="center"/>
    </xf>
    <xf numFmtId="0" fontId="8" fillId="22" borderId="0">
      <alignment vertical="center"/>
    </xf>
    <xf numFmtId="0" fontId="9" fillId="21" borderId="0">
      <alignment vertical="center"/>
    </xf>
    <xf numFmtId="0" fontId="10" fillId="0" borderId="2">
      <alignment vertical="center"/>
    </xf>
    <xf numFmtId="0" fontId="16" fillId="0" borderId="6">
      <alignment vertical="center"/>
    </xf>
    <xf numFmtId="0" fontId="23" fillId="32" borderId="0">
      <alignment vertical="center"/>
    </xf>
    <xf numFmtId="0" fontId="3" fillId="5" borderId="0">
      <alignment vertical="center"/>
    </xf>
    <xf numFmtId="0" fontId="8" fillId="20" borderId="0">
      <alignment vertical="center"/>
    </xf>
    <xf numFmtId="0" fontId="9" fillId="29" borderId="0">
      <alignment vertical="center"/>
    </xf>
    <xf numFmtId="0" fontId="8" fillId="18" borderId="0">
      <alignment vertical="center"/>
    </xf>
    <xf numFmtId="0" fontId="8" fillId="34" borderId="0">
      <alignment vertical="center"/>
    </xf>
    <xf numFmtId="0" fontId="8" fillId="28" borderId="0">
      <alignment vertical="center"/>
    </xf>
    <xf numFmtId="0" fontId="8" fillId="17" borderId="0">
      <alignment vertical="center"/>
    </xf>
    <xf numFmtId="0" fontId="9" fillId="31" borderId="0">
      <alignment vertical="center"/>
    </xf>
    <xf numFmtId="0" fontId="9" fillId="10" borderId="0">
      <alignment vertical="center"/>
    </xf>
    <xf numFmtId="0" fontId="8" fillId="9" borderId="0">
      <alignment vertical="center"/>
    </xf>
    <xf numFmtId="0" fontId="8" fillId="27" borderId="0">
      <alignment vertical="center"/>
    </xf>
    <xf numFmtId="0" fontId="9" fillId="25" borderId="0">
      <alignment vertical="center"/>
    </xf>
    <xf numFmtId="0" fontId="8" fillId="30" borderId="0">
      <alignment vertical="center"/>
    </xf>
    <xf numFmtId="0" fontId="9" fillId="13" borderId="0">
      <alignment vertical="center"/>
    </xf>
    <xf numFmtId="0" fontId="9" fillId="33" borderId="0">
      <alignment vertical="center"/>
    </xf>
    <xf numFmtId="0" fontId="8" fillId="16" borderId="0">
      <alignment vertical="center"/>
    </xf>
    <xf numFmtId="0" fontId="9" fillId="12" borderId="0">
      <alignment vertical="center"/>
    </xf>
    <xf numFmtId="0" fontId="0" fillId="0" borderId="0">
      <alignment vertical="center"/>
    </xf>
  </cellStyleXfs>
  <cellXfs count="23">
    <xf numFmtId="0" fontId="0" fillId="0" borderId="0" xfId="0" applyAlignment="1">
      <alignment vertical="center"/>
    </xf>
    <xf numFmtId="0" fontId="0" fillId="0" borderId="0" xfId="49" applyAlignment="1">
      <alignment vertical="center"/>
    </xf>
    <xf numFmtId="0" fontId="0" fillId="0" borderId="0" xfId="0" applyAlignment="1"/>
    <xf numFmtId="49" fontId="0" fillId="0" borderId="0" xfId="0" applyNumberFormat="1" applyAlignment="1">
      <alignment vertical="center"/>
    </xf>
    <xf numFmtId="0" fontId="1" fillId="2" borderId="0" xfId="0" applyFont="1" applyFill="1" applyAlignment="1">
      <alignment vertical="center"/>
    </xf>
    <xf numFmtId="0" fontId="0" fillId="3" borderId="0" xfId="0" applyFill="1" applyAlignment="1">
      <alignment vertical="center"/>
    </xf>
    <xf numFmtId="0" fontId="2" fillId="0" borderId="0" xfId="0" applyFont="1" applyAlignment="1">
      <alignment vertical="center"/>
    </xf>
    <xf numFmtId="0" fontId="0" fillId="4" borderId="0" xfId="2" applyAlignment="1">
      <alignment vertical="center"/>
    </xf>
    <xf numFmtId="0" fontId="3" fillId="5" borderId="0" xfId="32" applyAlignment="1">
      <alignment vertical="center"/>
    </xf>
    <xf numFmtId="0" fontId="4" fillId="0" borderId="0" xfId="0" applyFont="1" applyAlignment="1">
      <alignment vertical="center"/>
    </xf>
    <xf numFmtId="0" fontId="5" fillId="6" borderId="0" xfId="7" applyAlignment="1">
      <alignment vertical="center"/>
    </xf>
    <xf numFmtId="0" fontId="2" fillId="7" borderId="1" xfId="0" applyFont="1" applyFill="1" applyBorder="1" applyAlignment="1">
      <alignment vertical="center"/>
    </xf>
    <xf numFmtId="0" fontId="2" fillId="7" borderId="0" xfId="0" applyFont="1" applyFill="1" applyAlignment="1">
      <alignment vertical="center"/>
    </xf>
    <xf numFmtId="0" fontId="6" fillId="0" borderId="0" xfId="0" applyFont="1" applyAlignment="1">
      <alignment vertical="center"/>
    </xf>
    <xf numFmtId="0" fontId="0" fillId="8" borderId="0" xfId="2" applyAlignment="1">
      <alignment vertical="center"/>
    </xf>
    <xf numFmtId="0" fontId="2" fillId="5" borderId="1" xfId="32" applyFont="1" applyBorder="1" applyAlignment="1">
      <alignment vertical="center"/>
    </xf>
    <xf numFmtId="0" fontId="2" fillId="5" borderId="0" xfId="32" applyFont="1" applyAlignment="1">
      <alignment vertical="center"/>
    </xf>
    <xf numFmtId="0" fontId="2" fillId="6" borderId="1" xfId="0" applyFont="1" applyFill="1" applyBorder="1" applyAlignment="1">
      <alignment vertical="center"/>
    </xf>
    <xf numFmtId="0" fontId="2" fillId="6" borderId="0" xfId="0" applyFont="1" applyFill="1" applyAlignment="1">
      <alignment vertical="center"/>
    </xf>
    <xf numFmtId="0" fontId="0" fillId="7" borderId="0" xfId="2" applyFill="1" applyAlignment="1">
      <alignment vertical="center"/>
    </xf>
    <xf numFmtId="0" fontId="2" fillId="3" borderId="0" xfId="0" applyFont="1" applyFill="1" applyAlignment="1">
      <alignment vertical="center"/>
    </xf>
    <xf numFmtId="0" fontId="4" fillId="3" borderId="0" xfId="0" applyFont="1" applyFill="1" applyAlignment="1">
      <alignment vertical="center"/>
    </xf>
    <xf numFmtId="0" fontId="7" fillId="0" borderId="0" xfId="0" applyFont="1" applyAlignment="1">
      <alignment vertical="center"/>
    </xf>
    <xf numFmtId="0" fontId="0" fillId="0" borderId="0" xfId="49" applyAlignment="1" quotePrefix="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89"/>
  <sheetViews>
    <sheetView topLeftCell="A37" workbookViewId="0">
      <selection activeCell="BL1823" sqref="BL1823"/>
    </sheetView>
  </sheetViews>
  <sheetFormatPr defaultColWidth="9" defaultRowHeight="14" outlineLevelCol="1"/>
  <cols>
    <col min="2" max="2" width="9" style="2" customWidth="1"/>
  </cols>
  <sheetData>
    <row r="2" spans="1:2">
      <c r="A2" t="s">
        <v>0</v>
      </c>
      <c r="B2" t="s">
        <v>1</v>
      </c>
    </row>
    <row r="3" spans="1:2">
      <c r="A3" t="s">
        <v>2</v>
      </c>
      <c r="B3" t="s">
        <v>3</v>
      </c>
    </row>
    <row r="4" spans="1:2">
      <c r="A4" t="s">
        <v>4</v>
      </c>
      <c r="B4" t="s">
        <v>4</v>
      </c>
    </row>
    <row r="5" spans="1:2">
      <c r="A5" t="s">
        <v>5</v>
      </c>
      <c r="B5" t="s">
        <v>5</v>
      </c>
    </row>
    <row r="6" spans="1:2">
      <c r="A6" t="s">
        <v>6</v>
      </c>
      <c r="B6" t="s">
        <v>6</v>
      </c>
    </row>
    <row r="7" spans="1:2">
      <c r="A7" t="s">
        <v>7</v>
      </c>
      <c r="B7" t="s">
        <v>7</v>
      </c>
    </row>
    <row r="8" spans="1:2">
      <c r="A8" t="s">
        <v>8</v>
      </c>
      <c r="B8" t="s">
        <v>8</v>
      </c>
    </row>
    <row r="10" spans="1:2">
      <c r="A10" t="s">
        <v>9</v>
      </c>
      <c r="B10" t="s">
        <v>9</v>
      </c>
    </row>
    <row r="11" spans="1:2">
      <c r="A11" t="s">
        <v>10</v>
      </c>
      <c r="B11" t="s">
        <v>10</v>
      </c>
    </row>
    <row r="12" spans="1:2">
      <c r="A12" t="s">
        <v>11</v>
      </c>
      <c r="B12" t="s">
        <v>11</v>
      </c>
    </row>
    <row r="13" spans="1:2">
      <c r="A13" t="s">
        <v>12</v>
      </c>
      <c r="B13" t="s">
        <v>12</v>
      </c>
    </row>
    <row r="14" spans="1:2">
      <c r="A14" t="s">
        <v>13</v>
      </c>
      <c r="B14" t="s">
        <v>13</v>
      </c>
    </row>
    <row r="15" spans="1:2">
      <c r="A15" t="s">
        <v>14</v>
      </c>
      <c r="B15" t="s">
        <v>14</v>
      </c>
    </row>
    <row r="16" spans="1:2">
      <c r="A16" t="s">
        <v>15</v>
      </c>
      <c r="B16" t="s">
        <v>15</v>
      </c>
    </row>
    <row r="17" spans="1:2">
      <c r="A17" t="s">
        <v>16</v>
      </c>
      <c r="B17" t="s">
        <v>16</v>
      </c>
    </row>
    <row r="18" spans="1:2">
      <c r="A18" t="s">
        <v>17</v>
      </c>
      <c r="B18" t="s">
        <v>17</v>
      </c>
    </row>
    <row r="19" spans="1:2">
      <c r="A19" t="s">
        <v>18</v>
      </c>
      <c r="B19" t="s">
        <v>18</v>
      </c>
    </row>
    <row r="20" spans="1:2">
      <c r="A20" t="s">
        <v>19</v>
      </c>
      <c r="B20" t="s">
        <v>19</v>
      </c>
    </row>
    <row r="21" spans="1:2">
      <c r="A21" t="s">
        <v>20</v>
      </c>
      <c r="B21" t="s">
        <v>20</v>
      </c>
    </row>
    <row r="22" spans="1:2">
      <c r="A22" t="s">
        <v>21</v>
      </c>
      <c r="B22" t="s">
        <v>21</v>
      </c>
    </row>
    <row r="23" spans="1:2">
      <c r="A23" t="s">
        <v>22</v>
      </c>
      <c r="B23" t="s">
        <v>22</v>
      </c>
    </row>
    <row r="25" spans="1:1">
      <c r="A25" t="s">
        <v>23</v>
      </c>
    </row>
    <row r="26" spans="1:2">
      <c r="A26" t="s">
        <v>24</v>
      </c>
      <c r="B26" t="s">
        <v>24</v>
      </c>
    </row>
    <row r="27" spans="1:2">
      <c r="A27" t="s">
        <v>25</v>
      </c>
      <c r="B27" t="s">
        <v>25</v>
      </c>
    </row>
    <row r="28" spans="1:2">
      <c r="A28" t="s">
        <v>26</v>
      </c>
      <c r="B28" t="s">
        <v>26</v>
      </c>
    </row>
    <row r="29" spans="1:2">
      <c r="A29" t="s">
        <v>27</v>
      </c>
      <c r="B29" t="s">
        <v>27</v>
      </c>
    </row>
    <row r="30" spans="1:2">
      <c r="A30" t="s">
        <v>28</v>
      </c>
      <c r="B30" t="s">
        <v>28</v>
      </c>
    </row>
    <row r="31" spans="1:2">
      <c r="A31" t="s">
        <v>29</v>
      </c>
      <c r="B31" t="s">
        <v>29</v>
      </c>
    </row>
    <row r="32" spans="1:2">
      <c r="A32" t="s">
        <v>30</v>
      </c>
      <c r="B32" t="s">
        <v>30</v>
      </c>
    </row>
    <row r="33" spans="1:2">
      <c r="A33" t="s">
        <v>31</v>
      </c>
      <c r="B33" t="s">
        <v>31</v>
      </c>
    </row>
    <row r="34" spans="1:2">
      <c r="A34" t="s">
        <v>32</v>
      </c>
      <c r="B34" t="s">
        <v>32</v>
      </c>
    </row>
    <row r="35" spans="1:2">
      <c r="A35" t="s">
        <v>33</v>
      </c>
      <c r="B35" t="s">
        <v>33</v>
      </c>
    </row>
    <row r="36" spans="1:2">
      <c r="A36" t="s">
        <v>34</v>
      </c>
      <c r="B36" t="s">
        <v>34</v>
      </c>
    </row>
    <row r="37" spans="1:2">
      <c r="A37" t="s">
        <v>35</v>
      </c>
      <c r="B37" t="s">
        <v>35</v>
      </c>
    </row>
    <row r="38" spans="1:2">
      <c r="A38" t="s">
        <v>36</v>
      </c>
      <c r="B38" t="s">
        <v>36</v>
      </c>
    </row>
    <row r="39" spans="1:2">
      <c r="A39" t="s">
        <v>37</v>
      </c>
      <c r="B39" t="s">
        <v>37</v>
      </c>
    </row>
    <row r="40" spans="1:2">
      <c r="A40" t="s">
        <v>38</v>
      </c>
      <c r="B40" t="s">
        <v>38</v>
      </c>
    </row>
    <row r="41" spans="1:2">
      <c r="A41" t="s">
        <v>39</v>
      </c>
      <c r="B41" t="s">
        <v>39</v>
      </c>
    </row>
    <row r="42" spans="1:2">
      <c r="A42" t="s">
        <v>40</v>
      </c>
      <c r="B42" t="s">
        <v>40</v>
      </c>
    </row>
    <row r="43" spans="1:2">
      <c r="A43" t="s">
        <v>41</v>
      </c>
      <c r="B43" t="s">
        <v>41</v>
      </c>
    </row>
    <row r="44" spans="1:2">
      <c r="A44" t="s">
        <v>42</v>
      </c>
      <c r="B44" t="s">
        <v>42</v>
      </c>
    </row>
    <row r="45" spans="1:2">
      <c r="A45" t="s">
        <v>43</v>
      </c>
      <c r="B45" t="s">
        <v>43</v>
      </c>
    </row>
    <row r="46" spans="1:2">
      <c r="A46" t="s">
        <v>44</v>
      </c>
      <c r="B46" t="s">
        <v>44</v>
      </c>
    </row>
    <row r="48" spans="1:1">
      <c r="A48" t="s">
        <v>45</v>
      </c>
    </row>
    <row r="49" spans="1:2">
      <c r="A49" t="s">
        <v>46</v>
      </c>
      <c r="B49" t="s">
        <v>46</v>
      </c>
    </row>
    <row r="50" spans="1:2">
      <c r="A50" t="s">
        <v>47</v>
      </c>
      <c r="B50" t="s">
        <v>47</v>
      </c>
    </row>
    <row r="51" spans="1:2">
      <c r="A51" t="s">
        <v>48</v>
      </c>
      <c r="B51" t="s">
        <v>48</v>
      </c>
    </row>
    <row r="52" spans="1:2">
      <c r="A52" t="s">
        <v>49</v>
      </c>
      <c r="B52" t="s">
        <v>49</v>
      </c>
    </row>
    <row r="53" spans="1:2">
      <c r="A53" t="s">
        <v>50</v>
      </c>
      <c r="B53" t="s">
        <v>50</v>
      </c>
    </row>
    <row r="54" spans="1:2">
      <c r="A54" t="s">
        <v>51</v>
      </c>
      <c r="B54" t="s">
        <v>51</v>
      </c>
    </row>
    <row r="55" spans="1:2">
      <c r="A55" t="s">
        <v>52</v>
      </c>
      <c r="B55" t="s">
        <v>52</v>
      </c>
    </row>
    <row r="56" spans="1:2">
      <c r="A56" t="s">
        <v>53</v>
      </c>
      <c r="B56" t="s">
        <v>53</v>
      </c>
    </row>
    <row r="57" spans="1:2">
      <c r="A57" t="s">
        <v>54</v>
      </c>
      <c r="B57" t="s">
        <v>54</v>
      </c>
    </row>
    <row r="58" spans="1:2">
      <c r="A58" t="s">
        <v>55</v>
      </c>
      <c r="B58" t="s">
        <v>55</v>
      </c>
    </row>
    <row r="59" spans="1:2">
      <c r="A59" t="s">
        <v>56</v>
      </c>
      <c r="B59" t="s">
        <v>56</v>
      </c>
    </row>
    <row r="60" spans="1:2">
      <c r="A60" t="s">
        <v>57</v>
      </c>
      <c r="B60" t="s">
        <v>57</v>
      </c>
    </row>
    <row r="61" spans="1:2">
      <c r="A61" t="s">
        <v>58</v>
      </c>
      <c r="B61" t="s">
        <v>58</v>
      </c>
    </row>
    <row r="62" spans="1:2">
      <c r="A62" t="s">
        <v>59</v>
      </c>
      <c r="B62" t="s">
        <v>59</v>
      </c>
    </row>
    <row r="63" spans="1:2">
      <c r="A63" t="s">
        <v>60</v>
      </c>
      <c r="B63" t="s">
        <v>60</v>
      </c>
    </row>
    <row r="64" spans="1:2">
      <c r="A64" t="s">
        <v>61</v>
      </c>
      <c r="B64" t="s">
        <v>61</v>
      </c>
    </row>
    <row r="65" spans="1:2">
      <c r="A65" t="s">
        <v>62</v>
      </c>
      <c r="B65" t="s">
        <v>62</v>
      </c>
    </row>
    <row r="66" spans="1:2">
      <c r="A66" t="s">
        <v>63</v>
      </c>
      <c r="B66" t="s">
        <v>63</v>
      </c>
    </row>
    <row r="67" spans="1:2">
      <c r="A67" t="s">
        <v>64</v>
      </c>
      <c r="B67" t="s">
        <v>64</v>
      </c>
    </row>
    <row r="68" spans="1:2">
      <c r="A68" t="s">
        <v>65</v>
      </c>
      <c r="B68" t="s">
        <v>65</v>
      </c>
    </row>
    <row r="69" spans="1:2">
      <c r="A69" t="s">
        <v>66</v>
      </c>
      <c r="B69" t="s">
        <v>66</v>
      </c>
    </row>
    <row r="70" spans="1:2">
      <c r="A70" t="s">
        <v>67</v>
      </c>
      <c r="B70" t="s">
        <v>67</v>
      </c>
    </row>
    <row r="71" spans="1:2">
      <c r="A71" t="s">
        <v>68</v>
      </c>
      <c r="B71" t="s">
        <v>68</v>
      </c>
    </row>
    <row r="72" spans="1:2">
      <c r="A72" t="s">
        <v>69</v>
      </c>
      <c r="B72" t="s">
        <v>69</v>
      </c>
    </row>
    <row r="73" spans="1:2">
      <c r="A73" t="s">
        <v>70</v>
      </c>
      <c r="B73" t="s">
        <v>70</v>
      </c>
    </row>
    <row r="74" spans="1:2">
      <c r="A74" t="s">
        <v>71</v>
      </c>
      <c r="B74" t="s">
        <v>71</v>
      </c>
    </row>
    <row r="77" spans="1:1">
      <c r="A77" t="s">
        <v>72</v>
      </c>
    </row>
    <row r="78" spans="1:2">
      <c r="A78" t="s">
        <v>73</v>
      </c>
      <c r="B78" t="s">
        <v>74</v>
      </c>
    </row>
    <row r="79" spans="1:2">
      <c r="A79" t="s">
        <v>75</v>
      </c>
      <c r="B79" t="s">
        <v>75</v>
      </c>
    </row>
    <row r="80" spans="1:2">
      <c r="A80" t="s">
        <v>76</v>
      </c>
      <c r="B80" t="s">
        <v>76</v>
      </c>
    </row>
    <row r="81" spans="1:2">
      <c r="A81" t="s">
        <v>77</v>
      </c>
      <c r="B81" t="s">
        <v>77</v>
      </c>
    </row>
    <row r="82" spans="1:2">
      <c r="A82" t="s">
        <v>78</v>
      </c>
      <c r="B82" t="s">
        <v>78</v>
      </c>
    </row>
    <row r="83" spans="1:2">
      <c r="A83" t="s">
        <v>79</v>
      </c>
      <c r="B83" t="s">
        <v>79</v>
      </c>
    </row>
    <row r="84" spans="1:2">
      <c r="A84" t="s">
        <v>80</v>
      </c>
      <c r="B84" t="s">
        <v>80</v>
      </c>
    </row>
    <row r="85" spans="1:2">
      <c r="A85" t="s">
        <v>81</v>
      </c>
      <c r="B85" t="s">
        <v>81</v>
      </c>
    </row>
    <row r="86" spans="1:2">
      <c r="A86" t="s">
        <v>82</v>
      </c>
      <c r="B86" t="s">
        <v>82</v>
      </c>
    </row>
    <row r="87" spans="1:2">
      <c r="A87" t="s">
        <v>83</v>
      </c>
      <c r="B87" t="s">
        <v>83</v>
      </c>
    </row>
    <row r="88" spans="1:2">
      <c r="A88" t="s">
        <v>84</v>
      </c>
      <c r="B88" t="s">
        <v>84</v>
      </c>
    </row>
    <row r="89" spans="1:2">
      <c r="A89" t="s">
        <v>85</v>
      </c>
      <c r="B89" t="s">
        <v>85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824"/>
  <sheetViews>
    <sheetView tabSelected="1" workbookViewId="0">
      <pane xSplit="1" ySplit="3" topLeftCell="X1512" activePane="bottomRight" state="frozen"/>
      <selection/>
      <selection pane="topRight"/>
      <selection pane="bottomLeft"/>
      <selection pane="bottomRight" activeCell="AK1541" sqref="AK1541"/>
    </sheetView>
  </sheetViews>
  <sheetFormatPr defaultColWidth="9" defaultRowHeight="14"/>
  <cols>
    <col min="1" max="1" width="22.4545454545455" style="1" customWidth="1"/>
    <col min="2" max="3" width="9" style="1" customWidth="1"/>
    <col min="4" max="4" width="8.45454545454546" style="1" customWidth="1"/>
    <col min="5" max="5" width="5.36363636363636" style="1" customWidth="1"/>
    <col min="6" max="6" width="19.4545454545455" style="1" customWidth="1"/>
    <col min="7" max="7" width="8.27272727272727" style="1" customWidth="1"/>
    <col min="8" max="10" width="9" style="1" customWidth="1"/>
    <col min="11" max="11" width="6" style="1" customWidth="1"/>
    <col min="12" max="12" width="4.09090909090909" style="1" customWidth="1"/>
    <col min="13" max="13" width="8.18181818181818" style="1" customWidth="1"/>
    <col min="14" max="14" width="4" style="1" customWidth="1"/>
    <col min="15" max="15" width="7.72727272727273" style="1" customWidth="1"/>
    <col min="16" max="16" width="10.8181818181818" style="1" customWidth="1"/>
    <col min="17" max="17" width="14.4545454545455" style="1" customWidth="1"/>
    <col min="18" max="18" width="3.81818181818182" style="1" customWidth="1"/>
    <col min="19" max="20" width="3.45454545454545" style="1" customWidth="1"/>
    <col min="21" max="21" width="10.2727272727273" style="1" customWidth="1"/>
    <col min="22" max="22" width="9.45454545454546" style="1" customWidth="1"/>
    <col min="23" max="23" width="10.7272727272727" style="1" customWidth="1"/>
    <col min="24" max="24" width="12.8181818181818" style="1" customWidth="1"/>
    <col min="25" max="25" width="13.0909090909091" style="1" customWidth="1"/>
    <col min="26" max="26" width="8" style="1" customWidth="1"/>
    <col min="27" max="28" width="9" style="1" customWidth="1"/>
    <col min="29" max="29" width="14" style="1" customWidth="1"/>
    <col min="30" max="32" width="17.0909090909091" style="1" customWidth="1"/>
    <col min="33" max="33" width="9.72727272727273" style="1" customWidth="1"/>
    <col min="34" max="34" width="7.81818181818182" style="1" customWidth="1"/>
    <col min="35" max="35" width="15.8181818181818" style="1" customWidth="1"/>
    <col min="36" max="36" width="13.8181818181818" style="1" customWidth="1"/>
    <col min="37" max="37" width="34.4545454545455" style="1" customWidth="1"/>
    <col min="38" max="39" width="9.81818181818182" style="1" customWidth="1"/>
    <col min="40" max="45" width="9" style="1" customWidth="1"/>
    <col min="46" max="46" width="10.4545454545455" style="1" customWidth="1"/>
    <col min="47" max="50" width="9" style="1" customWidth="1"/>
    <col min="51" max="51" width="8.45454545454546" style="1" customWidth="1"/>
    <col min="52" max="52" width="9" style="1" customWidth="1"/>
    <col min="53" max="53" width="17.7272727272727" style="1" customWidth="1"/>
    <col min="54" max="54" width="7.81818181818182" style="1" customWidth="1"/>
    <col min="55" max="56" width="9" style="1" customWidth="1"/>
    <col min="57" max="57" width="24.2727272727273" style="1" customWidth="1"/>
    <col min="58" max="58" width="13.2727272727273" style="1" customWidth="1"/>
    <col min="59" max="59" width="16.0909090909091" style="1" customWidth="1"/>
    <col min="60" max="60" width="8" style="1" customWidth="1"/>
    <col min="61" max="62" width="9" style="1" customWidth="1"/>
    <col min="63" max="63" width="28" style="1" customWidth="1"/>
    <col min="64" max="64" width="9" style="1" customWidth="1"/>
    <col min="65" max="65" width="39.4545454545455" style="1" customWidth="1"/>
    <col min="66" max="66" width="14" style="1" customWidth="1"/>
    <col min="67" max="67" width="14.8181818181818" style="1" customWidth="1"/>
    <col min="68" max="71" width="14" style="1" customWidth="1"/>
    <col min="72" max="72" width="12" style="1" customWidth="1"/>
    <col min="73" max="16384" width="9" style="1" customWidth="1"/>
  </cols>
  <sheetData>
    <row r="1" spans="4:73">
      <c r="D1" s="1" t="s">
        <v>86</v>
      </c>
      <c r="E1" s="1" t="s">
        <v>86</v>
      </c>
      <c r="G1" s="1" t="s">
        <v>87</v>
      </c>
      <c r="I1" s="1" t="s">
        <v>88</v>
      </c>
      <c r="J1" s="1" t="s">
        <v>89</v>
      </c>
      <c r="K1" s="1" t="s">
        <v>90</v>
      </c>
      <c r="M1" s="1" t="s">
        <v>91</v>
      </c>
      <c r="O1" s="1" t="s">
        <v>92</v>
      </c>
      <c r="Q1" s="1" t="s">
        <v>93</v>
      </c>
      <c r="S1" s="1" t="s">
        <v>94</v>
      </c>
      <c r="U1" s="1" t="s">
        <v>95</v>
      </c>
      <c r="V1" s="1" t="s">
        <v>96</v>
      </c>
      <c r="X1" s="1" t="s">
        <v>97</v>
      </c>
      <c r="Y1" s="1" t="s">
        <v>98</v>
      </c>
      <c r="Z1" s="1" t="s">
        <v>99</v>
      </c>
      <c r="AA1" s="1" t="s">
        <v>100</v>
      </c>
      <c r="AB1" s="1" t="s">
        <v>101</v>
      </c>
      <c r="AC1" s="1" t="s">
        <v>102</v>
      </c>
      <c r="AD1" s="1" t="s">
        <v>103</v>
      </c>
      <c r="AE1" s="1" t="s">
        <v>104</v>
      </c>
      <c r="AF1" s="1" t="s">
        <v>105</v>
      </c>
      <c r="AG1" s="1" t="s">
        <v>106</v>
      </c>
      <c r="AJ1" s="1" t="s">
        <v>107</v>
      </c>
      <c r="AK1" s="1" t="s">
        <v>108</v>
      </c>
      <c r="AL1" s="1" t="s">
        <v>109</v>
      </c>
      <c r="AM1" s="1" t="s">
        <v>110</v>
      </c>
      <c r="AN1" s="1" t="s">
        <v>111</v>
      </c>
      <c r="AO1" s="1" t="s">
        <v>112</v>
      </c>
      <c r="AP1" s="1" t="s">
        <v>113</v>
      </c>
      <c r="AQ1" s="1" t="s">
        <v>114</v>
      </c>
      <c r="AR1" s="1" t="s">
        <v>115</v>
      </c>
      <c r="AT1" s="1" t="s">
        <v>116</v>
      </c>
      <c r="AU1" s="1" t="s">
        <v>117</v>
      </c>
      <c r="AV1" s="1" t="s">
        <v>118</v>
      </c>
      <c r="AW1" s="1" t="s">
        <v>119</v>
      </c>
      <c r="AX1" s="1" t="s">
        <v>120</v>
      </c>
      <c r="AY1" s="1" t="s">
        <v>121</v>
      </c>
      <c r="AZ1" s="1" t="s">
        <v>122</v>
      </c>
      <c r="BA1" s="1" t="s">
        <v>123</v>
      </c>
      <c r="BB1" s="1" t="s">
        <v>124</v>
      </c>
      <c r="BE1" s="1" t="s">
        <v>125</v>
      </c>
      <c r="BF1" s="1" t="s">
        <v>126</v>
      </c>
      <c r="BG1" s="1" t="s">
        <v>127</v>
      </c>
      <c r="BH1" s="1" t="s">
        <v>128</v>
      </c>
      <c r="BI1" s="1" t="s">
        <v>129</v>
      </c>
      <c r="BU1" t="s">
        <v>130</v>
      </c>
    </row>
    <row r="2" spans="1:73">
      <c r="A2" s="1" t="s">
        <v>0</v>
      </c>
      <c r="B2" s="1" t="s">
        <v>131</v>
      </c>
      <c r="C2" s="1" t="s">
        <v>132</v>
      </c>
      <c r="F2" s="1" t="s">
        <v>133</v>
      </c>
      <c r="G2" s="1" t="s">
        <v>134</v>
      </c>
      <c r="H2" s="1" t="s">
        <v>135</v>
      </c>
      <c r="I2" s="1" t="s">
        <v>136</v>
      </c>
      <c r="J2" s="1" t="s">
        <v>137</v>
      </c>
      <c r="K2" s="1" t="s">
        <v>138</v>
      </c>
      <c r="L2" s="1" t="s">
        <v>139</v>
      </c>
      <c r="M2" s="1" t="s">
        <v>140</v>
      </c>
      <c r="N2" s="1" t="s">
        <v>141</v>
      </c>
      <c r="O2" s="1" t="s">
        <v>142</v>
      </c>
      <c r="P2" s="1" t="s">
        <v>143</v>
      </c>
      <c r="Q2" s="1" t="s">
        <v>144</v>
      </c>
      <c r="R2" s="1" t="s">
        <v>145</v>
      </c>
      <c r="S2" s="1" t="s">
        <v>146</v>
      </c>
      <c r="T2" s="1" t="s">
        <v>147</v>
      </c>
      <c r="U2" s="1" t="s">
        <v>148</v>
      </c>
      <c r="V2" s="1" t="s">
        <v>149</v>
      </c>
      <c r="W2" s="1" t="s">
        <v>150</v>
      </c>
      <c r="X2" s="1" t="s">
        <v>151</v>
      </c>
      <c r="Y2" s="1" t="s">
        <v>152</v>
      </c>
      <c r="Z2" s="1" t="s">
        <v>153</v>
      </c>
      <c r="AA2" s="1" t="s">
        <v>154</v>
      </c>
      <c r="AB2" s="1" t="s">
        <v>155</v>
      </c>
      <c r="AC2" s="1" t="s">
        <v>156</v>
      </c>
      <c r="AD2" s="1" t="s">
        <v>157</v>
      </c>
      <c r="AE2" s="1" t="s">
        <v>158</v>
      </c>
      <c r="AF2" s="1" t="s">
        <v>159</v>
      </c>
      <c r="AG2" s="1" t="s">
        <v>160</v>
      </c>
      <c r="AH2" s="1" t="s">
        <v>161</v>
      </c>
      <c r="AI2" s="1" t="s">
        <v>162</v>
      </c>
      <c r="AJ2" s="1" t="s">
        <v>163</v>
      </c>
      <c r="AK2" s="1" t="s">
        <v>164</v>
      </c>
      <c r="AL2" s="1" t="s">
        <v>165</v>
      </c>
      <c r="AM2" s="1" t="s">
        <v>166</v>
      </c>
      <c r="AN2" s="1" t="s">
        <v>167</v>
      </c>
      <c r="AO2" s="1" t="s">
        <v>168</v>
      </c>
      <c r="AP2" s="1" t="s">
        <v>169</v>
      </c>
      <c r="AQ2" s="1" t="s">
        <v>170</v>
      </c>
      <c r="AR2" s="1" t="s">
        <v>171</v>
      </c>
      <c r="AS2" s="1" t="s">
        <v>172</v>
      </c>
      <c r="AT2" s="1" t="s">
        <v>173</v>
      </c>
      <c r="AU2" s="1" t="s">
        <v>174</v>
      </c>
      <c r="AV2" s="1" t="s">
        <v>175</v>
      </c>
      <c r="AW2" s="1" t="s">
        <v>176</v>
      </c>
      <c r="AX2" s="1" t="s">
        <v>177</v>
      </c>
      <c r="AY2" s="1" t="s">
        <v>178</v>
      </c>
      <c r="AZ2" s="1" t="s">
        <v>179</v>
      </c>
      <c r="BA2" s="1" t="s">
        <v>180</v>
      </c>
      <c r="BB2" s="1" t="s">
        <v>181</v>
      </c>
      <c r="BC2" s="1" t="s">
        <v>182</v>
      </c>
      <c r="BD2" s="1" t="s">
        <v>183</v>
      </c>
      <c r="BE2" s="1" t="s">
        <v>184</v>
      </c>
      <c r="BF2" s="1" t="s">
        <v>185</v>
      </c>
      <c r="BG2" s="1" t="s">
        <v>186</v>
      </c>
      <c r="BH2" s="1" t="s">
        <v>187</v>
      </c>
      <c r="BI2" s="1" t="s">
        <v>188</v>
      </c>
      <c r="BJ2" s="1" t="s">
        <v>189</v>
      </c>
      <c r="BK2" s="1" t="s">
        <v>190</v>
      </c>
      <c r="BL2" s="1" t="s">
        <v>191</v>
      </c>
      <c r="BM2" s="1" t="s">
        <v>192</v>
      </c>
      <c r="BN2" s="1" t="s">
        <v>193</v>
      </c>
      <c r="BO2" s="1" t="s">
        <v>194</v>
      </c>
      <c r="BP2" s="1" t="s">
        <v>195</v>
      </c>
      <c r="BQ2" s="1" t="s">
        <v>196</v>
      </c>
      <c r="BR2" s="1" t="s">
        <v>197</v>
      </c>
      <c r="BS2" s="1" t="s">
        <v>198</v>
      </c>
      <c r="BT2" s="1" t="s">
        <v>199</v>
      </c>
      <c r="BU2" t="s">
        <v>197</v>
      </c>
    </row>
    <row r="3" spans="1:73">
      <c r="A3" s="1" t="s">
        <v>2</v>
      </c>
      <c r="B3" s="1" t="s">
        <v>2</v>
      </c>
      <c r="C3" s="1" t="s">
        <v>200</v>
      </c>
      <c r="F3" s="1" t="s">
        <v>2</v>
      </c>
      <c r="G3" s="1" t="s">
        <v>201</v>
      </c>
      <c r="H3" s="1" t="s">
        <v>2</v>
      </c>
      <c r="I3" s="1" t="s">
        <v>202</v>
      </c>
      <c r="J3" s="1" t="s">
        <v>202</v>
      </c>
      <c r="K3" s="1" t="s">
        <v>202</v>
      </c>
      <c r="L3" s="1" t="s">
        <v>202</v>
      </c>
      <c r="M3" s="1" t="s">
        <v>202</v>
      </c>
      <c r="N3" s="1" t="s">
        <v>202</v>
      </c>
      <c r="O3" s="1" t="s">
        <v>202</v>
      </c>
      <c r="P3" s="1" t="s">
        <v>202</v>
      </c>
      <c r="Q3" s="1" t="s">
        <v>202</v>
      </c>
      <c r="R3" s="1" t="s">
        <v>202</v>
      </c>
      <c r="S3" s="1" t="s">
        <v>202</v>
      </c>
      <c r="T3" s="1" t="s">
        <v>202</v>
      </c>
      <c r="U3" s="1" t="s">
        <v>201</v>
      </c>
      <c r="V3" s="1" t="s">
        <v>202</v>
      </c>
      <c r="W3" s="1" t="s">
        <v>202</v>
      </c>
      <c r="X3" s="1" t="s">
        <v>201</v>
      </c>
      <c r="Y3" s="1" t="s">
        <v>201</v>
      </c>
      <c r="Z3" s="1" t="s">
        <v>201</v>
      </c>
      <c r="AA3" s="1" t="s">
        <v>202</v>
      </c>
      <c r="AB3" s="1" t="s">
        <v>201</v>
      </c>
      <c r="AC3" s="1" t="s">
        <v>202</v>
      </c>
      <c r="AD3" s="1" t="s">
        <v>200</v>
      </c>
      <c r="AE3" s="1" t="s">
        <v>2</v>
      </c>
      <c r="AF3" s="1" t="s">
        <v>202</v>
      </c>
      <c r="AG3" s="1" t="s">
        <v>202</v>
      </c>
      <c r="AH3" s="1" t="s">
        <v>202</v>
      </c>
      <c r="AI3" s="1" t="s">
        <v>2</v>
      </c>
      <c r="AJ3" s="1" t="s">
        <v>2</v>
      </c>
      <c r="AK3" s="1" t="s">
        <v>203</v>
      </c>
      <c r="AL3" s="1" t="s">
        <v>203</v>
      </c>
      <c r="AM3" s="1" t="s">
        <v>202</v>
      </c>
      <c r="AN3" s="1" t="s">
        <v>201</v>
      </c>
      <c r="AO3" s="1" t="s">
        <v>204</v>
      </c>
      <c r="AP3" s="1" t="s">
        <v>202</v>
      </c>
      <c r="AQ3" s="1" t="s">
        <v>201</v>
      </c>
      <c r="AR3" s="1" t="s">
        <v>200</v>
      </c>
      <c r="AT3" s="1" t="s">
        <v>201</v>
      </c>
      <c r="AU3" s="1" t="s">
        <v>200</v>
      </c>
      <c r="AV3" s="1" t="s">
        <v>202</v>
      </c>
      <c r="AW3" s="1" t="s">
        <v>205</v>
      </c>
      <c r="AX3" s="1" t="s">
        <v>201</v>
      </c>
      <c r="AY3" s="1" t="s">
        <v>206</v>
      </c>
      <c r="AZ3" s="1" t="s">
        <v>200</v>
      </c>
      <c r="BA3" s="1" t="s">
        <v>200</v>
      </c>
      <c r="BB3" s="1" t="s">
        <v>201</v>
      </c>
      <c r="BC3" s="1" t="s">
        <v>207</v>
      </c>
      <c r="BD3" s="1" t="s">
        <v>2</v>
      </c>
      <c r="BE3" s="1" t="s">
        <v>2</v>
      </c>
      <c r="BF3" s="1" t="s">
        <v>2</v>
      </c>
      <c r="BG3" s="1" t="s">
        <v>2</v>
      </c>
      <c r="BH3" s="1" t="s">
        <v>208</v>
      </c>
      <c r="BI3" s="1" t="s">
        <v>202</v>
      </c>
      <c r="BJ3" s="1" t="s">
        <v>2</v>
      </c>
      <c r="BK3" s="1" t="s">
        <v>204</v>
      </c>
      <c r="BL3" s="1" t="s">
        <v>2</v>
      </c>
      <c r="BM3" s="1" t="s">
        <v>209</v>
      </c>
      <c r="BN3" s="1" t="s">
        <v>204</v>
      </c>
      <c r="BO3" s="1" t="s">
        <v>204</v>
      </c>
      <c r="BP3" s="1" t="s">
        <v>204</v>
      </c>
      <c r="BQ3" s="1" t="s">
        <v>204</v>
      </c>
      <c r="BR3" s="1" t="s">
        <v>204</v>
      </c>
      <c r="BS3" s="1" t="s">
        <v>204</v>
      </c>
      <c r="BT3" s="1" t="s">
        <v>201</v>
      </c>
      <c r="BU3" t="s">
        <v>204</v>
      </c>
    </row>
    <row r="4" spans="1:11">
      <c r="A4" s="1">
        <v>0</v>
      </c>
      <c r="D4" s="1" t="s">
        <v>210</v>
      </c>
      <c r="K4" s="1">
        <v>1</v>
      </c>
    </row>
    <row r="5" spans="1:1">
      <c r="A5" s="1" t="s">
        <v>211</v>
      </c>
    </row>
    <row r="6" spans="1:72">
      <c r="A6" s="1" t="s">
        <v>212</v>
      </c>
      <c r="B6" s="1" t="s">
        <v>213</v>
      </c>
      <c r="D6" s="1" t="s">
        <v>214</v>
      </c>
      <c r="E6" s="1" t="s">
        <v>215</v>
      </c>
      <c r="F6" s="1" t="str">
        <f t="shared" ref="F6:F22" si="0">"enemy_"&amp;E6&amp;"_"&amp;D6</f>
        <v>enemy_1007_slime_2</v>
      </c>
      <c r="G6" s="1">
        <v>1</v>
      </c>
      <c r="K6" s="1">
        <v>1550</v>
      </c>
      <c r="M6" s="1">
        <v>240</v>
      </c>
      <c r="O6" s="1">
        <v>0</v>
      </c>
      <c r="Q6" s="1">
        <v>0</v>
      </c>
      <c r="Y6" s="1">
        <v>0.05</v>
      </c>
      <c r="Z6" s="1">
        <v>1</v>
      </c>
      <c r="AB6" s="1">
        <v>1</v>
      </c>
      <c r="AH6" s="1">
        <v>1</v>
      </c>
      <c r="AI6" s="1" t="s">
        <v>212</v>
      </c>
      <c r="AJ6" s="1" t="s">
        <v>216</v>
      </c>
      <c r="AM6" s="1">
        <v>1</v>
      </c>
      <c r="AV6" s="1">
        <v>1</v>
      </c>
      <c r="AX6" s="1">
        <v>0.25</v>
      </c>
      <c r="BE6" s="1" t="str">
        <f t="shared" ref="BE6:BE38" si="1">"enemy_"&amp;E6&amp;"_"&amp;D6</f>
        <v>enemy_1007_slime_2</v>
      </c>
      <c r="BN6" s="1" t="s">
        <v>217</v>
      </c>
      <c r="BO6" s="1" t="s">
        <v>218</v>
      </c>
      <c r="BP6" s="1" t="s">
        <v>219</v>
      </c>
      <c r="BQ6" s="1" t="s">
        <v>220</v>
      </c>
      <c r="BT6" s="1">
        <v>1</v>
      </c>
    </row>
    <row r="7" spans="1:72">
      <c r="A7" s="1" t="s">
        <v>221</v>
      </c>
      <c r="B7" s="1" t="s">
        <v>213</v>
      </c>
      <c r="D7" s="1" t="s">
        <v>222</v>
      </c>
      <c r="E7" s="1" t="s">
        <v>223</v>
      </c>
      <c r="F7" s="1" t="str">
        <f t="shared" si="0"/>
        <v>enemy_1000_gopro</v>
      </c>
      <c r="G7" s="1">
        <v>1</v>
      </c>
      <c r="K7" s="1">
        <v>1700</v>
      </c>
      <c r="M7" s="1">
        <v>260</v>
      </c>
      <c r="O7" s="1">
        <v>0</v>
      </c>
      <c r="Q7" s="1">
        <v>20</v>
      </c>
      <c r="Y7" s="1">
        <v>0.05</v>
      </c>
      <c r="Z7" s="1">
        <v>1</v>
      </c>
      <c r="AB7" s="1">
        <v>1.9</v>
      </c>
      <c r="AH7" s="1">
        <v>1</v>
      </c>
      <c r="AI7" s="1" t="s">
        <v>224</v>
      </c>
      <c r="AJ7" s="1" t="s">
        <v>225</v>
      </c>
      <c r="AK7" s="1" t="s">
        <v>226</v>
      </c>
      <c r="AM7" s="1">
        <v>1</v>
      </c>
      <c r="AV7" s="1">
        <v>1</v>
      </c>
      <c r="AX7" s="1">
        <v>0.25</v>
      </c>
      <c r="BE7" s="1" t="str">
        <f t="shared" si="1"/>
        <v>enemy_1000_gopro</v>
      </c>
      <c r="BN7" s="1" t="s">
        <v>217</v>
      </c>
      <c r="BO7" s="1" t="s">
        <v>218</v>
      </c>
      <c r="BP7" s="1" t="s">
        <v>227</v>
      </c>
      <c r="BQ7" s="1" t="s">
        <v>220</v>
      </c>
      <c r="BT7" s="1">
        <v>1</v>
      </c>
    </row>
    <row r="8" spans="1:72">
      <c r="A8" s="1" t="s">
        <v>228</v>
      </c>
      <c r="B8" s="1" t="s">
        <v>213</v>
      </c>
      <c r="D8" s="1" t="s">
        <v>222</v>
      </c>
      <c r="E8" s="1" t="s">
        <v>223</v>
      </c>
      <c r="F8" s="1" t="str">
        <f t="shared" si="0"/>
        <v>enemy_1000_gopro</v>
      </c>
      <c r="G8" s="1">
        <v>1</v>
      </c>
      <c r="K8" s="1">
        <v>170000</v>
      </c>
      <c r="M8" s="1">
        <v>26000</v>
      </c>
      <c r="O8" s="1">
        <v>0</v>
      </c>
      <c r="Q8" s="1">
        <v>20</v>
      </c>
      <c r="Y8" s="1">
        <v>0.05</v>
      </c>
      <c r="Z8" s="1">
        <v>1</v>
      </c>
      <c r="AB8" s="1">
        <v>1.9</v>
      </c>
      <c r="AH8" s="1">
        <v>1</v>
      </c>
      <c r="AI8" s="1" t="s">
        <v>228</v>
      </c>
      <c r="AJ8" s="1" t="s">
        <v>225</v>
      </c>
      <c r="AK8" s="1" t="s">
        <v>229</v>
      </c>
      <c r="AM8" s="1">
        <v>1</v>
      </c>
      <c r="AV8" s="1">
        <v>1</v>
      </c>
      <c r="AX8" s="1">
        <v>0.25</v>
      </c>
      <c r="BE8" s="1" t="str">
        <f t="shared" si="1"/>
        <v>enemy_1000_gopro</v>
      </c>
      <c r="BN8" s="1" t="s">
        <v>217</v>
      </c>
      <c r="BO8" s="1" t="s">
        <v>218</v>
      </c>
      <c r="BP8" s="1" t="s">
        <v>227</v>
      </c>
      <c r="BQ8" s="1" t="s">
        <v>220</v>
      </c>
      <c r="BT8" s="1">
        <v>1</v>
      </c>
    </row>
    <row r="9" spans="1:72">
      <c r="A9" s="1" t="s">
        <v>230</v>
      </c>
      <c r="B9" s="1" t="s">
        <v>213</v>
      </c>
      <c r="D9" s="1" t="s">
        <v>231</v>
      </c>
      <c r="E9" s="1" t="s">
        <v>232</v>
      </c>
      <c r="F9" s="1" t="str">
        <f t="shared" si="0"/>
        <v>enemy_1006_shield_2</v>
      </c>
      <c r="G9" s="1">
        <v>1</v>
      </c>
      <c r="K9" s="1">
        <v>6000</v>
      </c>
      <c r="M9" s="1">
        <v>600</v>
      </c>
      <c r="O9" s="1">
        <v>800</v>
      </c>
      <c r="Q9" s="1">
        <v>0</v>
      </c>
      <c r="Y9" s="1">
        <v>0.05</v>
      </c>
      <c r="Z9" s="1">
        <v>1</v>
      </c>
      <c r="AA9" s="1">
        <v>1</v>
      </c>
      <c r="AB9" s="1">
        <v>0.75</v>
      </c>
      <c r="AH9" s="1">
        <v>1</v>
      </c>
      <c r="AI9" s="1" t="s">
        <v>233</v>
      </c>
      <c r="AJ9" s="1" t="s">
        <v>216</v>
      </c>
      <c r="AK9" s="1" t="s">
        <v>226</v>
      </c>
      <c r="AM9" s="1">
        <v>1</v>
      </c>
      <c r="AV9" s="1">
        <v>1</v>
      </c>
      <c r="AX9" s="1">
        <v>0.25</v>
      </c>
      <c r="BE9" s="1" t="str">
        <f t="shared" si="1"/>
        <v>enemy_1006_shield_2</v>
      </c>
      <c r="BN9" s="1" t="s">
        <v>217</v>
      </c>
      <c r="BO9" s="1" t="s">
        <v>218</v>
      </c>
      <c r="BP9" s="1" t="s">
        <v>219</v>
      </c>
      <c r="BQ9" s="1" t="s">
        <v>220</v>
      </c>
      <c r="BT9" s="1">
        <v>1</v>
      </c>
    </row>
    <row r="10" spans="1:72">
      <c r="A10" s="1" t="s">
        <v>234</v>
      </c>
      <c r="B10" s="1" t="s">
        <v>213</v>
      </c>
      <c r="D10" s="1" t="s">
        <v>222</v>
      </c>
      <c r="E10" s="1" t="s">
        <v>223</v>
      </c>
      <c r="F10" s="1" t="str">
        <f t="shared" si="0"/>
        <v>enemy_1000_gopro</v>
      </c>
      <c r="G10" s="1">
        <v>1</v>
      </c>
      <c r="K10" s="1">
        <v>1700</v>
      </c>
      <c r="M10" s="1">
        <v>260</v>
      </c>
      <c r="O10" s="1">
        <v>0</v>
      </c>
      <c r="Q10" s="1">
        <v>20</v>
      </c>
      <c r="Y10" s="1">
        <v>0.05</v>
      </c>
      <c r="Z10" s="1">
        <v>1</v>
      </c>
      <c r="AB10" s="1">
        <v>1.9</v>
      </c>
      <c r="AH10" s="1">
        <v>1</v>
      </c>
      <c r="AI10" s="1" t="s">
        <v>234</v>
      </c>
      <c r="AJ10" s="1" t="s">
        <v>225</v>
      </c>
      <c r="AK10" s="1" t="s">
        <v>226</v>
      </c>
      <c r="AM10" s="1">
        <v>1</v>
      </c>
      <c r="AV10" s="1">
        <v>1</v>
      </c>
      <c r="AX10" s="1">
        <v>0.25</v>
      </c>
      <c r="BE10" s="1" t="str">
        <f t="shared" si="1"/>
        <v>enemy_1000_gopro</v>
      </c>
      <c r="BN10" s="1" t="s">
        <v>217</v>
      </c>
      <c r="BO10" s="1" t="s">
        <v>218</v>
      </c>
      <c r="BP10" s="1" t="s">
        <v>227</v>
      </c>
      <c r="BQ10" s="1" t="s">
        <v>220</v>
      </c>
      <c r="BT10" s="1">
        <v>1</v>
      </c>
    </row>
    <row r="11" spans="1:72">
      <c r="A11" s="1" t="s">
        <v>235</v>
      </c>
      <c r="B11" s="1" t="s">
        <v>213</v>
      </c>
      <c r="D11" s="1" t="s">
        <v>236</v>
      </c>
      <c r="E11" s="1" t="s">
        <v>237</v>
      </c>
      <c r="F11" s="1" t="str">
        <f t="shared" si="0"/>
        <v>enemy_1015_litamr_2</v>
      </c>
      <c r="G11" s="1">
        <v>1</v>
      </c>
      <c r="K11" s="1">
        <v>3700</v>
      </c>
      <c r="M11" s="1">
        <v>600</v>
      </c>
      <c r="O11" s="1">
        <v>500</v>
      </c>
      <c r="Q11" s="1">
        <v>0</v>
      </c>
      <c r="Y11" s="1">
        <v>0.05</v>
      </c>
      <c r="Z11" s="1">
        <v>2</v>
      </c>
      <c r="AA11" s="1">
        <v>1</v>
      </c>
      <c r="AB11" s="1">
        <v>1</v>
      </c>
      <c r="AH11" s="1">
        <v>1</v>
      </c>
      <c r="AI11" s="1" t="s">
        <v>235</v>
      </c>
      <c r="AJ11" s="1" t="s">
        <v>225</v>
      </c>
      <c r="AK11" s="1" t="s">
        <v>238</v>
      </c>
      <c r="AM11" s="1">
        <v>1</v>
      </c>
      <c r="AV11" s="1">
        <v>1</v>
      </c>
      <c r="AX11" s="1">
        <v>0.25</v>
      </c>
      <c r="BE11" s="1" t="str">
        <f t="shared" si="1"/>
        <v>enemy_1015_litamr_2</v>
      </c>
      <c r="BN11" s="1" t="s">
        <v>217</v>
      </c>
      <c r="BO11" s="1" t="s">
        <v>218</v>
      </c>
      <c r="BP11" s="1" t="s">
        <v>239</v>
      </c>
      <c r="BQ11" s="1" t="s">
        <v>220</v>
      </c>
      <c r="BT11" s="1">
        <v>1</v>
      </c>
    </row>
    <row r="12" spans="1:72">
      <c r="A12" s="1" t="s">
        <v>240</v>
      </c>
      <c r="B12" s="1" t="s">
        <v>213</v>
      </c>
      <c r="D12" s="1" t="s">
        <v>241</v>
      </c>
      <c r="E12" s="1" t="s">
        <v>242</v>
      </c>
      <c r="F12" s="1" t="str">
        <f t="shared" si="0"/>
        <v>enemy_1510_frstar2</v>
      </c>
      <c r="G12" s="1">
        <v>1</v>
      </c>
      <c r="K12" s="1">
        <v>45000</v>
      </c>
      <c r="M12" s="1">
        <v>530</v>
      </c>
      <c r="O12" s="1">
        <v>440</v>
      </c>
      <c r="Q12" s="1">
        <v>50</v>
      </c>
      <c r="Y12" s="1">
        <v>0.05</v>
      </c>
      <c r="Z12" s="1">
        <v>1</v>
      </c>
      <c r="AA12" s="1">
        <v>6</v>
      </c>
      <c r="AB12" s="1">
        <v>0.5</v>
      </c>
      <c r="AH12" s="1">
        <v>1</v>
      </c>
      <c r="AI12" s="1" t="s">
        <v>240</v>
      </c>
      <c r="AJ12" s="1" t="s">
        <v>243</v>
      </c>
      <c r="AK12" s="1" t="s">
        <v>244</v>
      </c>
      <c r="AM12" s="1">
        <v>4</v>
      </c>
      <c r="AV12" s="1">
        <v>2</v>
      </c>
      <c r="AX12" s="1">
        <v>0.25</v>
      </c>
      <c r="BE12" s="1" t="str">
        <f t="shared" si="1"/>
        <v>enemy_1510_frstar2</v>
      </c>
      <c r="BN12" s="1" t="s">
        <v>217</v>
      </c>
      <c r="BO12" s="1" t="s">
        <v>218</v>
      </c>
      <c r="BP12" s="1" t="s">
        <v>239</v>
      </c>
      <c r="BQ12" s="1" t="s">
        <v>220</v>
      </c>
      <c r="BT12" s="1">
        <v>1</v>
      </c>
    </row>
    <row r="13" spans="1:72">
      <c r="A13" s="1" t="s">
        <v>245</v>
      </c>
      <c r="B13" s="1" t="s">
        <v>213</v>
      </c>
      <c r="D13" s="1" t="s">
        <v>246</v>
      </c>
      <c r="E13" s="1" t="s">
        <v>247</v>
      </c>
      <c r="F13" s="1" t="str">
        <f t="shared" si="0"/>
        <v>enemy_1064_snsbr</v>
      </c>
      <c r="G13" s="1">
        <v>1</v>
      </c>
      <c r="K13" s="1">
        <v>5000</v>
      </c>
      <c r="M13" s="1">
        <v>380</v>
      </c>
      <c r="O13" s="1">
        <v>135</v>
      </c>
      <c r="Q13" s="1">
        <v>0</v>
      </c>
      <c r="Y13" s="1">
        <v>0.05</v>
      </c>
      <c r="Z13" s="1">
        <v>2</v>
      </c>
      <c r="AA13" s="1">
        <v>1</v>
      </c>
      <c r="AB13" s="1">
        <v>1.1</v>
      </c>
      <c r="AH13" s="1">
        <v>1</v>
      </c>
      <c r="AI13" s="1" t="s">
        <v>245</v>
      </c>
      <c r="AJ13" s="1" t="s">
        <v>216</v>
      </c>
      <c r="AK13" s="1" t="s">
        <v>248</v>
      </c>
      <c r="AM13" s="1">
        <v>1</v>
      </c>
      <c r="AV13" s="1">
        <v>1</v>
      </c>
      <c r="AX13" s="1">
        <v>0.25</v>
      </c>
      <c r="BE13" s="1" t="str">
        <f t="shared" si="1"/>
        <v>enemy_1064_snsbr</v>
      </c>
      <c r="BN13" s="1" t="s">
        <v>217</v>
      </c>
      <c r="BO13" s="1" t="s">
        <v>218</v>
      </c>
      <c r="BP13" s="1" t="s">
        <v>249</v>
      </c>
      <c r="BQ13" s="1" t="s">
        <v>220</v>
      </c>
      <c r="BT13" s="1">
        <v>1</v>
      </c>
    </row>
    <row r="14" spans="1:72">
      <c r="A14" s="1" t="s">
        <v>250</v>
      </c>
      <c r="B14" s="1" t="s">
        <v>213</v>
      </c>
      <c r="D14" s="1" t="s">
        <v>251</v>
      </c>
      <c r="E14" s="1" t="s">
        <v>252</v>
      </c>
      <c r="F14" s="1" t="str">
        <f t="shared" si="0"/>
        <v>enemy_1065_snwolf_2</v>
      </c>
      <c r="G14" s="1">
        <v>1</v>
      </c>
      <c r="K14" s="1">
        <v>4650</v>
      </c>
      <c r="M14" s="1">
        <v>430</v>
      </c>
      <c r="O14" s="1">
        <v>0</v>
      </c>
      <c r="Q14" s="1">
        <v>30</v>
      </c>
      <c r="Y14" s="1">
        <v>0.05</v>
      </c>
      <c r="Z14" s="1">
        <v>1</v>
      </c>
      <c r="AB14" s="1">
        <v>1.9</v>
      </c>
      <c r="AH14" s="1">
        <v>1</v>
      </c>
      <c r="AI14" s="1" t="s">
        <v>253</v>
      </c>
      <c r="AJ14" s="1" t="s">
        <v>254</v>
      </c>
      <c r="AK14" s="1" t="s">
        <v>226</v>
      </c>
      <c r="AM14" s="1">
        <v>1</v>
      </c>
      <c r="AV14" s="1">
        <v>1</v>
      </c>
      <c r="AX14" s="1">
        <v>0.25</v>
      </c>
      <c r="BE14" s="1" t="str">
        <f t="shared" si="1"/>
        <v>enemy_1065_snwolf_2</v>
      </c>
      <c r="BN14" s="1" t="s">
        <v>217</v>
      </c>
      <c r="BO14" s="1" t="s">
        <v>218</v>
      </c>
      <c r="BP14" s="1" t="s">
        <v>249</v>
      </c>
      <c r="BQ14" s="1" t="s">
        <v>220</v>
      </c>
      <c r="BT14" s="1">
        <v>1</v>
      </c>
    </row>
    <row r="15" spans="1:72">
      <c r="A15" s="1" t="s">
        <v>255</v>
      </c>
      <c r="B15" s="1" t="s">
        <v>213</v>
      </c>
      <c r="D15" s="1" t="s">
        <v>256</v>
      </c>
      <c r="E15" s="1" t="s">
        <v>257</v>
      </c>
      <c r="F15" s="1" t="str">
        <f t="shared" si="0"/>
        <v>enemy_1067_snslime_2</v>
      </c>
      <c r="G15" s="1">
        <v>1</v>
      </c>
      <c r="K15" s="1">
        <v>4850</v>
      </c>
      <c r="M15" s="1">
        <v>370</v>
      </c>
      <c r="O15" s="1">
        <v>0</v>
      </c>
      <c r="Q15" s="1">
        <v>0</v>
      </c>
      <c r="Y15" s="1">
        <v>0.05</v>
      </c>
      <c r="Z15" s="1">
        <v>1</v>
      </c>
      <c r="AB15" s="1">
        <v>1</v>
      </c>
      <c r="AH15" s="1">
        <v>1</v>
      </c>
      <c r="AI15" s="1" t="s">
        <v>258</v>
      </c>
      <c r="AJ15" s="1" t="s">
        <v>259</v>
      </c>
      <c r="AK15" s="1" t="s">
        <v>260</v>
      </c>
      <c r="AM15" s="1">
        <v>1</v>
      </c>
      <c r="AV15" s="1">
        <v>1</v>
      </c>
      <c r="AX15" s="1">
        <v>0.25</v>
      </c>
      <c r="BE15" s="1" t="str">
        <f t="shared" si="1"/>
        <v>enemy_1067_snslime_2</v>
      </c>
      <c r="BN15" s="1" t="s">
        <v>217</v>
      </c>
      <c r="BO15" s="1" t="s">
        <v>218</v>
      </c>
      <c r="BP15" s="1" t="s">
        <v>239</v>
      </c>
      <c r="BQ15" s="1" t="s">
        <v>220</v>
      </c>
      <c r="BT15" s="1">
        <v>1</v>
      </c>
    </row>
    <row r="16" spans="1:72">
      <c r="A16" s="1" t="s">
        <v>261</v>
      </c>
      <c r="B16" s="1" t="s">
        <v>213</v>
      </c>
      <c r="D16" s="1" t="s">
        <v>262</v>
      </c>
      <c r="E16" s="1" t="s">
        <v>263</v>
      </c>
      <c r="F16" s="1" t="str">
        <f t="shared" si="0"/>
        <v>enemy_1068_snmage_2</v>
      </c>
      <c r="G16" s="1">
        <v>1</v>
      </c>
      <c r="K16" s="1">
        <v>8000</v>
      </c>
      <c r="M16" s="1">
        <v>400</v>
      </c>
      <c r="O16" s="1">
        <v>250</v>
      </c>
      <c r="Q16" s="1">
        <v>50</v>
      </c>
      <c r="Y16" s="1">
        <v>0.05</v>
      </c>
      <c r="Z16" s="1">
        <v>1</v>
      </c>
      <c r="AA16" s="1">
        <v>2</v>
      </c>
      <c r="AB16" s="1">
        <v>0.8</v>
      </c>
      <c r="AH16" s="1">
        <v>1</v>
      </c>
      <c r="AI16" s="1" t="s">
        <v>264</v>
      </c>
      <c r="AJ16" s="1" t="s">
        <v>243</v>
      </c>
      <c r="AK16" s="1" t="s">
        <v>265</v>
      </c>
      <c r="AM16" s="1">
        <v>1</v>
      </c>
      <c r="AV16" s="1">
        <v>1</v>
      </c>
      <c r="AX16" s="1">
        <v>0.25</v>
      </c>
      <c r="BE16" s="1" t="str">
        <f t="shared" si="1"/>
        <v>enemy_1068_snmage_2</v>
      </c>
      <c r="BN16" s="1" t="s">
        <v>217</v>
      </c>
      <c r="BO16" s="1" t="s">
        <v>218</v>
      </c>
      <c r="BP16" s="1" t="s">
        <v>239</v>
      </c>
      <c r="BQ16" s="1" t="s">
        <v>220</v>
      </c>
      <c r="BT16" s="1">
        <v>1</v>
      </c>
    </row>
    <row r="17" spans="1:72">
      <c r="A17" s="1" t="s">
        <v>266</v>
      </c>
      <c r="B17" s="1" t="s">
        <v>213</v>
      </c>
      <c r="D17" s="1" t="s">
        <v>267</v>
      </c>
      <c r="E17" s="1" t="s">
        <v>268</v>
      </c>
      <c r="F17" s="1" t="str">
        <f t="shared" si="0"/>
        <v>enemy_1066_snbow_2</v>
      </c>
      <c r="G17" s="1">
        <v>1</v>
      </c>
      <c r="K17" s="1">
        <v>3500</v>
      </c>
      <c r="M17" s="1">
        <v>360</v>
      </c>
      <c r="O17" s="1">
        <v>100</v>
      </c>
      <c r="Q17" s="1">
        <v>0</v>
      </c>
      <c r="Y17" s="1">
        <v>0.05</v>
      </c>
      <c r="Z17" s="1">
        <v>1</v>
      </c>
      <c r="AA17" s="1">
        <v>2</v>
      </c>
      <c r="AB17" s="1">
        <v>0.9</v>
      </c>
      <c r="AH17" s="1">
        <v>1</v>
      </c>
      <c r="AI17" s="1" t="s">
        <v>269</v>
      </c>
      <c r="AJ17" s="1" t="s">
        <v>225</v>
      </c>
      <c r="AK17" s="1" t="s">
        <v>270</v>
      </c>
      <c r="AM17" s="1">
        <v>1</v>
      </c>
      <c r="AV17" s="1">
        <v>1</v>
      </c>
      <c r="AX17" s="1">
        <v>0.25</v>
      </c>
      <c r="BE17" s="1" t="str">
        <f t="shared" si="1"/>
        <v>enemy_1066_snbow_2</v>
      </c>
      <c r="BN17" s="1" t="s">
        <v>217</v>
      </c>
      <c r="BO17" s="1" t="s">
        <v>218</v>
      </c>
      <c r="BP17" s="1" t="s">
        <v>239</v>
      </c>
      <c r="BQ17" s="1" t="s">
        <v>220</v>
      </c>
      <c r="BT17" s="1">
        <v>1</v>
      </c>
    </row>
    <row r="18" spans="1:72">
      <c r="A18" s="1" t="s">
        <v>271</v>
      </c>
      <c r="B18" s="1" t="s">
        <v>213</v>
      </c>
      <c r="D18" s="1" t="s">
        <v>272</v>
      </c>
      <c r="E18" s="1" t="s">
        <v>273</v>
      </c>
      <c r="F18" s="1" t="str">
        <f t="shared" si="0"/>
        <v>enemy_1069_icebrk_2</v>
      </c>
      <c r="G18" s="1">
        <v>1</v>
      </c>
      <c r="K18" s="1">
        <v>25000</v>
      </c>
      <c r="M18" s="1">
        <v>1100</v>
      </c>
      <c r="O18" s="1">
        <v>600</v>
      </c>
      <c r="Q18" s="1">
        <v>20</v>
      </c>
      <c r="Y18" s="1">
        <v>0.05</v>
      </c>
      <c r="Z18" s="1">
        <v>1</v>
      </c>
      <c r="AA18" s="1">
        <v>3</v>
      </c>
      <c r="AB18" s="1">
        <v>0.7</v>
      </c>
      <c r="AH18" s="1">
        <v>1</v>
      </c>
      <c r="AI18" s="1" t="s">
        <v>274</v>
      </c>
      <c r="AJ18" s="1" t="s">
        <v>275</v>
      </c>
      <c r="AK18" s="1" t="s">
        <v>276</v>
      </c>
      <c r="AM18" s="1">
        <v>1</v>
      </c>
      <c r="AV18" s="1">
        <v>1</v>
      </c>
      <c r="AX18" s="1">
        <v>0.25</v>
      </c>
      <c r="BE18" s="1" t="str">
        <f t="shared" si="1"/>
        <v>enemy_1069_icebrk_2</v>
      </c>
      <c r="BN18" s="1" t="s">
        <v>217</v>
      </c>
      <c r="BO18" s="1" t="s">
        <v>218</v>
      </c>
      <c r="BP18" s="1" t="s">
        <v>239</v>
      </c>
      <c r="BQ18" s="1" t="s">
        <v>220</v>
      </c>
      <c r="BT18" s="1">
        <v>1</v>
      </c>
    </row>
    <row r="19" spans="1:72">
      <c r="A19" s="1" t="s">
        <v>277</v>
      </c>
      <c r="B19" s="1" t="s">
        <v>213</v>
      </c>
      <c r="D19" s="1" t="s">
        <v>278</v>
      </c>
      <c r="E19" s="1" t="s">
        <v>279</v>
      </c>
      <c r="F19" s="1" t="str">
        <f t="shared" si="0"/>
        <v>enemy_1024_mortar_2</v>
      </c>
      <c r="G19" s="1">
        <v>1</v>
      </c>
      <c r="K19" s="1">
        <v>5000</v>
      </c>
      <c r="M19" s="1">
        <v>550</v>
      </c>
      <c r="O19" s="1">
        <v>150</v>
      </c>
      <c r="Q19" s="1">
        <v>0</v>
      </c>
      <c r="Y19" s="1">
        <v>0.05</v>
      </c>
      <c r="Z19" s="1">
        <v>1</v>
      </c>
      <c r="AA19" s="1">
        <v>2</v>
      </c>
      <c r="AB19" s="1">
        <v>0.8</v>
      </c>
      <c r="AH19" s="1">
        <v>1</v>
      </c>
      <c r="AI19" s="1" t="s">
        <v>277</v>
      </c>
      <c r="AJ19" s="1" t="s">
        <v>259</v>
      </c>
      <c r="AK19" s="1" t="s">
        <v>280</v>
      </c>
      <c r="AM19" s="1">
        <v>1</v>
      </c>
      <c r="AV19" s="1">
        <v>1</v>
      </c>
      <c r="AX19" s="1">
        <v>0.25</v>
      </c>
      <c r="BE19" s="1" t="str">
        <f t="shared" si="1"/>
        <v>enemy_1024_mortar_2</v>
      </c>
      <c r="BN19" s="1" t="s">
        <v>217</v>
      </c>
      <c r="BO19" s="1" t="s">
        <v>281</v>
      </c>
      <c r="BP19" s="1" t="s">
        <v>239</v>
      </c>
      <c r="BQ19" s="1" t="s">
        <v>220</v>
      </c>
      <c r="BT19" s="1">
        <v>1</v>
      </c>
    </row>
    <row r="20" spans="1:72">
      <c r="A20" s="1" t="s">
        <v>282</v>
      </c>
      <c r="B20" s="1" t="s">
        <v>213</v>
      </c>
      <c r="D20" s="1" t="s">
        <v>283</v>
      </c>
      <c r="E20" s="1" t="s">
        <v>284</v>
      </c>
      <c r="F20" s="1" t="str">
        <f t="shared" si="0"/>
        <v>enemy_1005_yokai</v>
      </c>
      <c r="G20" s="1">
        <v>0.5</v>
      </c>
      <c r="K20" s="1">
        <v>800</v>
      </c>
      <c r="M20" s="1">
        <v>0</v>
      </c>
      <c r="O20" s="1">
        <v>50</v>
      </c>
      <c r="Q20" s="1">
        <v>0</v>
      </c>
      <c r="Y20" s="1">
        <v>0.05</v>
      </c>
      <c r="Z20" s="1">
        <v>2.3</v>
      </c>
      <c r="AA20" s="1">
        <v>0</v>
      </c>
      <c r="AB20" s="1">
        <v>0.9</v>
      </c>
      <c r="AH20" s="1">
        <v>1</v>
      </c>
      <c r="AI20" s="1" t="s">
        <v>285</v>
      </c>
      <c r="AJ20" s="1" t="s">
        <v>216</v>
      </c>
      <c r="AM20" s="1">
        <v>1</v>
      </c>
      <c r="AN20" s="1">
        <v>1</v>
      </c>
      <c r="AV20" s="1">
        <v>1</v>
      </c>
      <c r="AX20" s="1">
        <v>0.25</v>
      </c>
      <c r="BE20" s="1" t="str">
        <f t="shared" si="1"/>
        <v>enemy_1005_yokai</v>
      </c>
      <c r="BN20" s="1" t="s">
        <v>217</v>
      </c>
      <c r="BO20" s="1" t="s">
        <v>218</v>
      </c>
      <c r="BP20" s="1" t="s">
        <v>219</v>
      </c>
      <c r="BQ20" s="1" t="s">
        <v>220</v>
      </c>
      <c r="BT20" s="1">
        <v>1</v>
      </c>
    </row>
    <row r="21" spans="1:72">
      <c r="A21" s="1" t="s">
        <v>286</v>
      </c>
      <c r="B21" s="1" t="s">
        <v>213</v>
      </c>
      <c r="D21" s="1" t="s">
        <v>283</v>
      </c>
      <c r="E21" s="1" t="s">
        <v>284</v>
      </c>
      <c r="F21" s="1" t="str">
        <f t="shared" si="0"/>
        <v>enemy_1005_yokai</v>
      </c>
      <c r="G21" s="1">
        <v>0.5</v>
      </c>
      <c r="K21" s="1">
        <v>1550</v>
      </c>
      <c r="M21" s="1">
        <v>220</v>
      </c>
      <c r="O21" s="1">
        <v>50</v>
      </c>
      <c r="Q21" s="1">
        <v>0</v>
      </c>
      <c r="Y21" s="1">
        <v>0.05</v>
      </c>
      <c r="Z21" s="1">
        <v>3</v>
      </c>
      <c r="AA21" s="1">
        <v>0</v>
      </c>
      <c r="AB21" s="1">
        <v>0.9</v>
      </c>
      <c r="AH21" s="1">
        <v>1</v>
      </c>
      <c r="AI21" s="1" t="s">
        <v>287</v>
      </c>
      <c r="AJ21" s="1" t="s">
        <v>216</v>
      </c>
      <c r="AK21" s="1" t="s">
        <v>288</v>
      </c>
      <c r="AM21" s="1">
        <v>1</v>
      </c>
      <c r="AN21" s="1">
        <v>1</v>
      </c>
      <c r="AV21" s="1">
        <v>1</v>
      </c>
      <c r="AX21" s="1">
        <v>0.25</v>
      </c>
      <c r="BE21" s="1" t="str">
        <f t="shared" si="1"/>
        <v>enemy_1005_yokai</v>
      </c>
      <c r="BN21" s="1" t="s">
        <v>217</v>
      </c>
      <c r="BO21" s="1" t="s">
        <v>218</v>
      </c>
      <c r="BP21" s="1" t="s">
        <v>219</v>
      </c>
      <c r="BQ21" s="1" t="s">
        <v>220</v>
      </c>
      <c r="BT21" s="1">
        <v>1</v>
      </c>
    </row>
    <row r="22" spans="1:72">
      <c r="A22" s="1" t="s">
        <v>289</v>
      </c>
      <c r="B22" s="1" t="s">
        <v>213</v>
      </c>
      <c r="D22" s="1" t="s">
        <v>290</v>
      </c>
      <c r="E22" s="1" t="s">
        <v>291</v>
      </c>
      <c r="F22" s="1" t="str">
        <f t="shared" si="0"/>
        <v>enemy_1502_crowns</v>
      </c>
      <c r="G22" s="1">
        <v>1</v>
      </c>
      <c r="K22" s="1">
        <v>6000</v>
      </c>
      <c r="M22" s="1">
        <v>400</v>
      </c>
      <c r="O22" s="1">
        <v>120</v>
      </c>
      <c r="Q22" s="1">
        <v>50</v>
      </c>
      <c r="Y22" s="1">
        <v>0.05</v>
      </c>
      <c r="Z22" s="1">
        <v>2.8</v>
      </c>
      <c r="AA22" s="1">
        <v>1</v>
      </c>
      <c r="AB22" s="1">
        <v>1.4</v>
      </c>
      <c r="AH22" s="1">
        <v>1</v>
      </c>
      <c r="AI22" s="1" t="s">
        <v>289</v>
      </c>
      <c r="AJ22" s="1" t="s">
        <v>243</v>
      </c>
      <c r="AK22" s="1" t="s">
        <v>292</v>
      </c>
      <c r="AM22" s="1">
        <v>5</v>
      </c>
      <c r="AV22" s="1">
        <v>2</v>
      </c>
      <c r="AX22" s="1">
        <v>0.25</v>
      </c>
      <c r="BE22" s="1" t="str">
        <f t="shared" si="1"/>
        <v>enemy_1502_crowns</v>
      </c>
      <c r="BN22" s="1" t="s">
        <v>217</v>
      </c>
      <c r="BO22" s="1" t="s">
        <v>218</v>
      </c>
      <c r="BP22" s="1" t="s">
        <v>239</v>
      </c>
      <c r="BQ22" s="1" t="s">
        <v>220</v>
      </c>
      <c r="BT22" s="1">
        <v>1</v>
      </c>
    </row>
    <row r="23" spans="57:57">
      <c r="BE23" s="1" t="str">
        <f t="shared" si="1"/>
        <v>enemy__</v>
      </c>
    </row>
    <row r="24" spans="1:72">
      <c r="A24" s="1" t="s">
        <v>293</v>
      </c>
      <c r="B24" s="1" t="s">
        <v>213</v>
      </c>
      <c r="D24" s="1" t="s">
        <v>294</v>
      </c>
      <c r="E24" s="1" t="s">
        <v>237</v>
      </c>
      <c r="F24" s="1" t="str">
        <f t="shared" ref="F24:F29" si="2">"enemy_"&amp;E24&amp;"_"&amp;D24</f>
        <v>enemy_1015_litamr</v>
      </c>
      <c r="G24" s="1">
        <v>1</v>
      </c>
      <c r="K24" s="1">
        <v>2500</v>
      </c>
      <c r="M24" s="1">
        <v>250</v>
      </c>
      <c r="O24" s="1">
        <v>400</v>
      </c>
      <c r="Q24" s="1">
        <v>0</v>
      </c>
      <c r="Y24" s="1">
        <v>0.05</v>
      </c>
      <c r="Z24" s="1">
        <v>2</v>
      </c>
      <c r="AA24" s="1">
        <v>1</v>
      </c>
      <c r="AB24" s="1">
        <v>1</v>
      </c>
      <c r="AH24" s="1">
        <v>1</v>
      </c>
      <c r="AI24" s="1" t="s">
        <v>293</v>
      </c>
      <c r="AJ24" s="1" t="s">
        <v>225</v>
      </c>
      <c r="AK24" s="1" t="s">
        <v>238</v>
      </c>
      <c r="AM24" s="1">
        <v>1</v>
      </c>
      <c r="AV24" s="1">
        <v>1</v>
      </c>
      <c r="AX24" s="1">
        <v>0.25</v>
      </c>
      <c r="BE24" s="1" t="str">
        <f t="shared" si="1"/>
        <v>enemy_1015_litamr</v>
      </c>
      <c r="BN24" s="1" t="s">
        <v>217</v>
      </c>
      <c r="BO24" s="1" t="s">
        <v>218</v>
      </c>
      <c r="BP24" s="1" t="s">
        <v>239</v>
      </c>
      <c r="BQ24" s="1" t="s">
        <v>220</v>
      </c>
      <c r="BT24" s="1">
        <v>1</v>
      </c>
    </row>
    <row r="25" spans="1:72">
      <c r="A25" s="1" t="s">
        <v>295</v>
      </c>
      <c r="B25" s="1" t="s">
        <v>213</v>
      </c>
      <c r="D25" s="1" t="s">
        <v>296</v>
      </c>
      <c r="E25" s="1" t="s">
        <v>297</v>
      </c>
      <c r="F25" s="1" t="str">
        <f t="shared" si="2"/>
        <v>enemy_1035_haxe</v>
      </c>
      <c r="G25" s="1">
        <v>1</v>
      </c>
      <c r="K25" s="1">
        <v>12000</v>
      </c>
      <c r="M25" s="1">
        <v>1050</v>
      </c>
      <c r="O25" s="1">
        <v>700</v>
      </c>
      <c r="Q25" s="1">
        <v>30</v>
      </c>
      <c r="Y25" s="1">
        <v>0.05</v>
      </c>
      <c r="Z25" s="1">
        <v>3.5</v>
      </c>
      <c r="AA25" s="1">
        <v>3</v>
      </c>
      <c r="AB25" s="1">
        <v>0.65</v>
      </c>
      <c r="AH25" s="1">
        <v>1</v>
      </c>
      <c r="AI25" s="1" t="s">
        <v>295</v>
      </c>
      <c r="AJ25" s="1" t="s">
        <v>275</v>
      </c>
      <c r="AK25" s="1" t="s">
        <v>238</v>
      </c>
      <c r="AM25" s="1">
        <v>1</v>
      </c>
      <c r="AV25" s="1">
        <v>1</v>
      </c>
      <c r="AX25" s="1">
        <v>0.25</v>
      </c>
      <c r="BE25" s="1" t="str">
        <f t="shared" si="1"/>
        <v>enemy_1035_haxe</v>
      </c>
      <c r="BN25" s="1" t="s">
        <v>217</v>
      </c>
      <c r="BO25" s="1" t="s">
        <v>218</v>
      </c>
      <c r="BP25" s="1" t="s">
        <v>239</v>
      </c>
      <c r="BQ25" s="1" t="s">
        <v>220</v>
      </c>
      <c r="BT25" s="1">
        <v>1</v>
      </c>
    </row>
    <row r="26" spans="1:72">
      <c r="A26" s="1" t="s">
        <v>298</v>
      </c>
      <c r="B26" s="1" t="s">
        <v>213</v>
      </c>
      <c r="D26" s="1" t="s">
        <v>299</v>
      </c>
      <c r="E26" s="1" t="s">
        <v>300</v>
      </c>
      <c r="F26" s="1" t="str">
        <f t="shared" si="2"/>
        <v>enemy_1025_reveng</v>
      </c>
      <c r="G26" s="1">
        <v>1</v>
      </c>
      <c r="K26" s="1">
        <v>5000</v>
      </c>
      <c r="M26" s="1">
        <v>300</v>
      </c>
      <c r="O26" s="1">
        <v>200</v>
      </c>
      <c r="Q26" s="1">
        <v>50</v>
      </c>
      <c r="Y26" s="1">
        <v>0.05</v>
      </c>
      <c r="Z26" s="1">
        <v>2.3</v>
      </c>
      <c r="AA26" s="1">
        <v>2</v>
      </c>
      <c r="AB26" s="1">
        <v>0.65</v>
      </c>
      <c r="AH26" s="1">
        <v>1</v>
      </c>
      <c r="AI26" s="1" t="s">
        <v>298</v>
      </c>
      <c r="AJ26" s="1" t="s">
        <v>275</v>
      </c>
      <c r="AK26" s="1" t="s">
        <v>301</v>
      </c>
      <c r="AM26" s="1">
        <v>1</v>
      </c>
      <c r="AV26" s="1">
        <v>1</v>
      </c>
      <c r="AX26" s="1">
        <v>0.25</v>
      </c>
      <c r="BE26" s="1" t="str">
        <f t="shared" si="1"/>
        <v>enemy_1025_reveng</v>
      </c>
      <c r="BN26" s="1" t="s">
        <v>217</v>
      </c>
      <c r="BO26" s="1" t="s">
        <v>218</v>
      </c>
      <c r="BP26" s="1" t="s">
        <v>239</v>
      </c>
      <c r="BQ26" s="1" t="s">
        <v>220</v>
      </c>
      <c r="BT26" s="1">
        <v>1</v>
      </c>
    </row>
    <row r="27" spans="1:72">
      <c r="A27" s="1" t="s">
        <v>302</v>
      </c>
      <c r="B27" s="1" t="s">
        <v>213</v>
      </c>
      <c r="D27" s="1" t="s">
        <v>303</v>
      </c>
      <c r="E27" s="1" t="s">
        <v>300</v>
      </c>
      <c r="F27" s="1" t="str">
        <f t="shared" si="2"/>
        <v>enemy_1025_reveng_2</v>
      </c>
      <c r="G27" s="1">
        <v>1</v>
      </c>
      <c r="K27" s="1">
        <v>18000</v>
      </c>
      <c r="M27" s="1">
        <v>480</v>
      </c>
      <c r="O27" s="1">
        <v>230</v>
      </c>
      <c r="Q27" s="1">
        <v>50</v>
      </c>
      <c r="Y27" s="1">
        <v>0.05</v>
      </c>
      <c r="Z27" s="1">
        <v>2.3</v>
      </c>
      <c r="AA27" s="1">
        <v>2</v>
      </c>
      <c r="AB27" s="1">
        <v>0.65</v>
      </c>
      <c r="AH27" s="1">
        <v>1</v>
      </c>
      <c r="AI27" s="1" t="s">
        <v>302</v>
      </c>
      <c r="AJ27" s="1" t="s">
        <v>275</v>
      </c>
      <c r="AK27" s="1" t="s">
        <v>304</v>
      </c>
      <c r="AM27" s="1">
        <v>1</v>
      </c>
      <c r="AV27" s="1">
        <v>1</v>
      </c>
      <c r="AX27" s="1">
        <v>0.25</v>
      </c>
      <c r="BE27" s="1" t="str">
        <f t="shared" si="1"/>
        <v>enemy_1025_reveng_2</v>
      </c>
      <c r="BN27" s="1" t="s">
        <v>217</v>
      </c>
      <c r="BO27" s="1" t="s">
        <v>218</v>
      </c>
      <c r="BP27" s="1" t="s">
        <v>239</v>
      </c>
      <c r="BQ27" s="1" t="s">
        <v>220</v>
      </c>
      <c r="BT27" s="1">
        <v>1</v>
      </c>
    </row>
    <row r="28" spans="1:72">
      <c r="A28" s="1" t="s">
        <v>305</v>
      </c>
      <c r="B28" s="1" t="s">
        <v>213</v>
      </c>
      <c r="D28" s="1" t="s">
        <v>306</v>
      </c>
      <c r="E28" s="1" t="s">
        <v>232</v>
      </c>
      <c r="F28" s="1" t="str">
        <f t="shared" si="2"/>
        <v>enemy_1006_shield</v>
      </c>
      <c r="G28" s="1">
        <v>1</v>
      </c>
      <c r="K28" s="1">
        <v>6000</v>
      </c>
      <c r="M28" s="1">
        <v>600</v>
      </c>
      <c r="O28" s="1">
        <v>800</v>
      </c>
      <c r="Q28" s="1">
        <v>0</v>
      </c>
      <c r="Y28" s="1">
        <v>0.05</v>
      </c>
      <c r="Z28" s="1">
        <v>2.6</v>
      </c>
      <c r="AA28" s="1">
        <v>3</v>
      </c>
      <c r="AB28" s="1">
        <v>0.75</v>
      </c>
      <c r="AH28" s="1">
        <v>1</v>
      </c>
      <c r="AI28" s="1" t="s">
        <v>305</v>
      </c>
      <c r="AJ28" s="1" t="s">
        <v>216</v>
      </c>
      <c r="AK28" s="1" t="s">
        <v>238</v>
      </c>
      <c r="AM28" s="1">
        <v>1</v>
      </c>
      <c r="AV28" s="1">
        <v>1</v>
      </c>
      <c r="AX28" s="1">
        <v>0.25</v>
      </c>
      <c r="BE28" s="1" t="str">
        <f t="shared" si="1"/>
        <v>enemy_1006_shield</v>
      </c>
      <c r="BN28" s="1" t="s">
        <v>217</v>
      </c>
      <c r="BO28" s="1" t="s">
        <v>218</v>
      </c>
      <c r="BP28" s="1" t="s">
        <v>219</v>
      </c>
      <c r="BQ28" s="1" t="s">
        <v>220</v>
      </c>
      <c r="BT28" s="1">
        <v>1</v>
      </c>
    </row>
    <row r="29" spans="1:72">
      <c r="A29" s="1" t="s">
        <v>307</v>
      </c>
      <c r="B29" s="1" t="s">
        <v>213</v>
      </c>
      <c r="D29" s="1" t="s">
        <v>308</v>
      </c>
      <c r="E29" s="1" t="s">
        <v>309</v>
      </c>
      <c r="F29" s="1" t="str">
        <f t="shared" si="2"/>
        <v>enemy_1023_jmage_2</v>
      </c>
      <c r="G29" s="1">
        <v>1</v>
      </c>
      <c r="K29" s="1">
        <v>4200</v>
      </c>
      <c r="M29" s="1">
        <v>400</v>
      </c>
      <c r="O29" s="1">
        <v>130</v>
      </c>
      <c r="Q29" s="1">
        <v>50</v>
      </c>
      <c r="Y29" s="1">
        <v>0.05</v>
      </c>
      <c r="Z29" s="1">
        <v>4</v>
      </c>
      <c r="AA29" s="1">
        <v>2</v>
      </c>
      <c r="AB29" s="1">
        <v>0.8</v>
      </c>
      <c r="AH29" s="1">
        <v>1</v>
      </c>
      <c r="AI29" s="1" t="s">
        <v>307</v>
      </c>
      <c r="AJ29" s="1" t="s">
        <v>216</v>
      </c>
      <c r="AK29" s="1" t="s">
        <v>310</v>
      </c>
      <c r="AM29" s="1">
        <v>1</v>
      </c>
      <c r="AV29" s="1">
        <v>1</v>
      </c>
      <c r="AX29" s="1">
        <v>0.25</v>
      </c>
      <c r="BE29" s="1" t="str">
        <f t="shared" si="1"/>
        <v>enemy_1023_jmage_2</v>
      </c>
      <c r="BN29" s="1" t="s">
        <v>217</v>
      </c>
      <c r="BO29" s="1" t="s">
        <v>218</v>
      </c>
      <c r="BP29" s="1" t="s">
        <v>239</v>
      </c>
      <c r="BQ29" s="1" t="s">
        <v>220</v>
      </c>
      <c r="BT29" s="1">
        <v>1</v>
      </c>
    </row>
    <row r="30" spans="34:57">
      <c r="AH30" s="1">
        <v>1</v>
      </c>
      <c r="BE30" s="1" t="str">
        <f t="shared" si="1"/>
        <v>enemy__</v>
      </c>
    </row>
    <row r="31" spans="1:72">
      <c r="A31" s="1" t="s">
        <v>311</v>
      </c>
      <c r="B31" s="1" t="s">
        <v>213</v>
      </c>
      <c r="D31" s="1" t="s">
        <v>294</v>
      </c>
      <c r="E31" s="1" t="s">
        <v>237</v>
      </c>
      <c r="F31" s="1" t="s">
        <v>312</v>
      </c>
      <c r="G31" s="1">
        <v>1</v>
      </c>
      <c r="K31" s="1">
        <v>2500</v>
      </c>
      <c r="M31" s="1">
        <v>200</v>
      </c>
      <c r="O31" s="1">
        <v>400</v>
      </c>
      <c r="Q31" s="1">
        <v>0</v>
      </c>
      <c r="Y31" s="1">
        <v>0.05</v>
      </c>
      <c r="Z31" s="1">
        <v>2</v>
      </c>
      <c r="AA31" s="1">
        <v>1</v>
      </c>
      <c r="AB31" s="1">
        <v>1</v>
      </c>
      <c r="AH31" s="1">
        <v>1</v>
      </c>
      <c r="AI31" s="1" t="s">
        <v>311</v>
      </c>
      <c r="AJ31" s="1" t="s">
        <v>225</v>
      </c>
      <c r="AK31" s="1" t="s">
        <v>238</v>
      </c>
      <c r="AM31" s="1">
        <v>1</v>
      </c>
      <c r="AV31" s="1">
        <v>1</v>
      </c>
      <c r="AX31" s="1">
        <v>0.25</v>
      </c>
      <c r="BE31" s="1" t="str">
        <f t="shared" si="1"/>
        <v>enemy_1015_litamr</v>
      </c>
      <c r="BN31" s="1" t="s">
        <v>217</v>
      </c>
      <c r="BO31" s="1" t="s">
        <v>218</v>
      </c>
      <c r="BP31" s="1" t="s">
        <v>239</v>
      </c>
      <c r="BQ31" s="1" t="s">
        <v>220</v>
      </c>
      <c r="BT31" s="1">
        <v>1</v>
      </c>
    </row>
    <row r="32" spans="1:72">
      <c r="A32" s="1" t="s">
        <v>313</v>
      </c>
      <c r="B32" s="1" t="s">
        <v>213</v>
      </c>
      <c r="D32" s="1" t="s">
        <v>294</v>
      </c>
      <c r="E32" s="1" t="s">
        <v>237</v>
      </c>
      <c r="F32" s="1" t="s">
        <v>314</v>
      </c>
      <c r="G32" s="1">
        <v>1</v>
      </c>
      <c r="K32" s="1">
        <v>10000</v>
      </c>
      <c r="M32" s="1">
        <v>1000</v>
      </c>
      <c r="O32" s="1">
        <v>1000</v>
      </c>
      <c r="Q32" s="1">
        <v>0</v>
      </c>
      <c r="Y32" s="1">
        <v>0.05</v>
      </c>
      <c r="Z32" s="1">
        <v>3.5</v>
      </c>
      <c r="AA32" s="1">
        <v>4</v>
      </c>
      <c r="AB32" s="1">
        <v>0.5</v>
      </c>
      <c r="AH32" s="1">
        <v>1</v>
      </c>
      <c r="AI32" s="1" t="s">
        <v>313</v>
      </c>
      <c r="AJ32" s="1" t="s">
        <v>225</v>
      </c>
      <c r="AK32" s="1" t="s">
        <v>315</v>
      </c>
      <c r="AM32" s="1">
        <v>1</v>
      </c>
      <c r="AV32" s="1">
        <v>1</v>
      </c>
      <c r="AX32" s="1">
        <v>0.25</v>
      </c>
      <c r="BE32" s="1" t="str">
        <f t="shared" si="1"/>
        <v>enemy_1015_litamr</v>
      </c>
      <c r="BN32" s="1" t="s">
        <v>217</v>
      </c>
      <c r="BO32" s="1" t="s">
        <v>218</v>
      </c>
      <c r="BP32" s="1" t="s">
        <v>239</v>
      </c>
      <c r="BQ32" s="1" t="s">
        <v>220</v>
      </c>
      <c r="BT32" s="1">
        <v>1</v>
      </c>
    </row>
    <row r="33" spans="1:72">
      <c r="A33" s="1" t="s">
        <v>316</v>
      </c>
      <c r="B33" s="1" t="s">
        <v>213</v>
      </c>
      <c r="D33" s="1" t="s">
        <v>317</v>
      </c>
      <c r="E33" s="1" t="s">
        <v>318</v>
      </c>
      <c r="F33" s="1" t="str">
        <f>"enemy_"&amp;E33&amp;"_"&amp;D33</f>
        <v>enemy_1008_ghost</v>
      </c>
      <c r="G33" s="1">
        <v>1</v>
      </c>
      <c r="K33" s="1">
        <v>2300</v>
      </c>
      <c r="M33" s="1">
        <v>100</v>
      </c>
      <c r="O33" s="1">
        <v>120</v>
      </c>
      <c r="Q33" s="1">
        <v>35</v>
      </c>
      <c r="Y33" s="1">
        <v>0.05</v>
      </c>
      <c r="Z33" s="1">
        <v>1</v>
      </c>
      <c r="AA33" s="1">
        <v>1</v>
      </c>
      <c r="AB33" s="1">
        <v>1.2</v>
      </c>
      <c r="AH33" s="1">
        <v>1</v>
      </c>
      <c r="AI33" s="1" t="s">
        <v>316</v>
      </c>
      <c r="AJ33" s="1" t="s">
        <v>216</v>
      </c>
      <c r="AK33" s="1" t="s">
        <v>319</v>
      </c>
      <c r="AM33" s="1">
        <v>1</v>
      </c>
      <c r="AV33" s="1">
        <v>1</v>
      </c>
      <c r="AX33" s="1">
        <v>0.25</v>
      </c>
      <c r="BE33" s="1" t="str">
        <f t="shared" si="1"/>
        <v>enemy_1008_ghost</v>
      </c>
      <c r="BN33" s="1" t="s">
        <v>217</v>
      </c>
      <c r="BO33" s="1" t="s">
        <v>218</v>
      </c>
      <c r="BP33" s="1" t="s">
        <v>219</v>
      </c>
      <c r="BQ33" s="1" t="s">
        <v>220</v>
      </c>
      <c r="BT33" s="1">
        <v>1</v>
      </c>
    </row>
    <row r="34" spans="1:72">
      <c r="A34" s="1" t="s">
        <v>320</v>
      </c>
      <c r="B34" s="1" t="s">
        <v>213</v>
      </c>
      <c r="D34" s="1" t="s">
        <v>317</v>
      </c>
      <c r="E34" s="1" t="s">
        <v>318</v>
      </c>
      <c r="F34" s="1" t="s">
        <v>321</v>
      </c>
      <c r="G34" s="1">
        <v>1</v>
      </c>
      <c r="K34" s="1">
        <v>3800</v>
      </c>
      <c r="M34" s="1">
        <v>100</v>
      </c>
      <c r="O34" s="1">
        <v>350</v>
      </c>
      <c r="Q34" s="1">
        <v>35</v>
      </c>
      <c r="Y34" s="1">
        <v>0.05</v>
      </c>
      <c r="Z34" s="1">
        <v>1</v>
      </c>
      <c r="AA34" s="1">
        <v>1</v>
      </c>
      <c r="AB34" s="1">
        <v>1.2</v>
      </c>
      <c r="AH34" s="1">
        <v>1</v>
      </c>
      <c r="AI34" s="1" t="s">
        <v>320</v>
      </c>
      <c r="AJ34" s="1" t="s">
        <v>216</v>
      </c>
      <c r="AK34" s="1" t="s">
        <v>319</v>
      </c>
      <c r="AM34" s="1">
        <v>1</v>
      </c>
      <c r="AV34" s="1">
        <v>1</v>
      </c>
      <c r="AX34" s="1">
        <v>0.25</v>
      </c>
      <c r="BE34" s="1" t="str">
        <f t="shared" si="1"/>
        <v>enemy_1008_ghost</v>
      </c>
      <c r="BN34" s="1" t="s">
        <v>217</v>
      </c>
      <c r="BO34" s="1" t="s">
        <v>218</v>
      </c>
      <c r="BP34" s="1" t="s">
        <v>219</v>
      </c>
      <c r="BQ34" s="1" t="s">
        <v>220</v>
      </c>
      <c r="BT34" s="1">
        <v>1</v>
      </c>
    </row>
    <row r="35" spans="1:72">
      <c r="A35" s="1" t="s">
        <v>322</v>
      </c>
      <c r="B35" s="1" t="s">
        <v>213</v>
      </c>
      <c r="D35" s="1" t="s">
        <v>290</v>
      </c>
      <c r="E35" s="1" t="s">
        <v>291</v>
      </c>
      <c r="F35" s="1" t="str">
        <f>"enemy_"&amp;E35&amp;"_"&amp;D35</f>
        <v>enemy_1502_crowns</v>
      </c>
      <c r="G35" s="1">
        <v>1</v>
      </c>
      <c r="K35" s="1">
        <v>27000</v>
      </c>
      <c r="M35" s="1">
        <v>700</v>
      </c>
      <c r="O35" s="1">
        <v>250</v>
      </c>
      <c r="Q35" s="1">
        <v>50</v>
      </c>
      <c r="Y35" s="1">
        <v>0.05</v>
      </c>
      <c r="Z35" s="1">
        <v>2.8</v>
      </c>
      <c r="AA35" s="1">
        <v>1</v>
      </c>
      <c r="AB35" s="1">
        <v>1.4</v>
      </c>
      <c r="AH35" s="1">
        <v>1</v>
      </c>
      <c r="AI35" s="1" t="s">
        <v>322</v>
      </c>
      <c r="AJ35" s="1" t="s">
        <v>243</v>
      </c>
      <c r="AK35" s="1" t="s">
        <v>292</v>
      </c>
      <c r="AM35" s="1">
        <v>1</v>
      </c>
      <c r="AV35" s="1">
        <v>2</v>
      </c>
      <c r="AX35" s="1">
        <v>0.25</v>
      </c>
      <c r="BE35" s="1" t="str">
        <f t="shared" si="1"/>
        <v>enemy_1502_crowns</v>
      </c>
      <c r="BN35" s="1" t="s">
        <v>217</v>
      </c>
      <c r="BO35" s="1" t="s">
        <v>218</v>
      </c>
      <c r="BP35" s="1" t="s">
        <v>239</v>
      </c>
      <c r="BQ35" s="1" t="s">
        <v>220</v>
      </c>
      <c r="BT35" s="1">
        <v>1</v>
      </c>
    </row>
    <row r="36" spans="1:72">
      <c r="A36" s="1" t="s">
        <v>323</v>
      </c>
      <c r="B36" s="1" t="s">
        <v>213</v>
      </c>
      <c r="D36" s="1" t="s">
        <v>294</v>
      </c>
      <c r="E36" s="1" t="s">
        <v>237</v>
      </c>
      <c r="F36" s="1" t="str">
        <f>"enemy_"&amp;E36&amp;"_"&amp;D36</f>
        <v>enemy_1015_litamr</v>
      </c>
      <c r="G36" s="1">
        <v>1</v>
      </c>
      <c r="K36" s="1">
        <v>3500</v>
      </c>
      <c r="M36" s="1">
        <v>410</v>
      </c>
      <c r="O36" s="1">
        <v>50</v>
      </c>
      <c r="Q36" s="1">
        <v>25</v>
      </c>
      <c r="Y36" s="1">
        <v>0.05</v>
      </c>
      <c r="Z36" s="1">
        <v>1.4</v>
      </c>
      <c r="AA36" s="1">
        <v>1</v>
      </c>
      <c r="AB36" s="1">
        <v>1.9</v>
      </c>
      <c r="AH36" s="1">
        <v>1</v>
      </c>
      <c r="AI36" s="1" t="s">
        <v>323</v>
      </c>
      <c r="AJ36" s="1" t="s">
        <v>225</v>
      </c>
      <c r="AK36" s="1" t="s">
        <v>238</v>
      </c>
      <c r="AM36" s="1">
        <v>1</v>
      </c>
      <c r="AV36" s="1">
        <v>1</v>
      </c>
      <c r="AX36" s="1">
        <v>0.25</v>
      </c>
      <c r="BE36" s="1" t="str">
        <f t="shared" si="1"/>
        <v>enemy_1015_litamr</v>
      </c>
      <c r="BN36" s="1" t="s">
        <v>217</v>
      </c>
      <c r="BO36" s="1" t="s">
        <v>218</v>
      </c>
      <c r="BP36" s="1" t="s">
        <v>239</v>
      </c>
      <c r="BQ36" s="1" t="s">
        <v>220</v>
      </c>
      <c r="BT36" s="1">
        <v>1</v>
      </c>
    </row>
    <row r="37" spans="1:72">
      <c r="A37" s="1" t="s">
        <v>324</v>
      </c>
      <c r="B37" s="1" t="s">
        <v>213</v>
      </c>
      <c r="D37" s="1" t="s">
        <v>325</v>
      </c>
      <c r="E37" s="1" t="s">
        <v>326</v>
      </c>
      <c r="F37" s="1" t="str">
        <f>"enemy_"&amp;E37&amp;"_"&amp;D37</f>
        <v>enemy_1047_sagent</v>
      </c>
      <c r="G37" s="1">
        <v>1</v>
      </c>
      <c r="K37" s="1">
        <v>3500</v>
      </c>
      <c r="M37" s="1">
        <v>360</v>
      </c>
      <c r="O37" s="1">
        <v>100</v>
      </c>
      <c r="Q37" s="1">
        <v>0</v>
      </c>
      <c r="Y37" s="1">
        <v>0.05</v>
      </c>
      <c r="Z37" s="1">
        <v>1</v>
      </c>
      <c r="AA37" s="1">
        <v>2</v>
      </c>
      <c r="AB37" s="1">
        <v>0.9</v>
      </c>
      <c r="AH37" s="1">
        <v>1</v>
      </c>
      <c r="AI37" s="1" t="s">
        <v>324</v>
      </c>
      <c r="AJ37" s="1" t="s">
        <v>225</v>
      </c>
      <c r="AK37" s="1" t="s">
        <v>327</v>
      </c>
      <c r="AM37" s="1">
        <v>1</v>
      </c>
      <c r="AV37" s="1">
        <v>1</v>
      </c>
      <c r="AX37" s="1">
        <v>0.25</v>
      </c>
      <c r="BE37" s="1" t="str">
        <f t="shared" si="1"/>
        <v>enemy_1047_sagent</v>
      </c>
      <c r="BN37" s="1" t="s">
        <v>217</v>
      </c>
      <c r="BO37" s="1" t="s">
        <v>218</v>
      </c>
      <c r="BP37" s="1" t="s">
        <v>239</v>
      </c>
      <c r="BQ37" s="1" t="s">
        <v>220</v>
      </c>
      <c r="BT37" s="1">
        <v>1</v>
      </c>
    </row>
    <row r="38" spans="1:72">
      <c r="A38" s="1" t="s">
        <v>328</v>
      </c>
      <c r="B38" s="1" t="s">
        <v>213</v>
      </c>
      <c r="D38" s="1" t="s">
        <v>329</v>
      </c>
      <c r="E38" s="1" t="s">
        <v>330</v>
      </c>
      <c r="F38" s="1" t="str">
        <f>"enemy_"&amp;E38&amp;"_"&amp;D38</f>
        <v>enemy_1057_gansho_2</v>
      </c>
      <c r="G38" s="1">
        <v>1</v>
      </c>
      <c r="K38" s="1">
        <v>3500</v>
      </c>
      <c r="M38" s="1">
        <v>360</v>
      </c>
      <c r="O38" s="1">
        <v>100</v>
      </c>
      <c r="Q38" s="1">
        <v>0</v>
      </c>
      <c r="Y38" s="1">
        <v>0.05</v>
      </c>
      <c r="Z38" s="1">
        <v>1</v>
      </c>
      <c r="AA38" s="1">
        <v>2</v>
      </c>
      <c r="AB38" s="1">
        <v>0.9</v>
      </c>
      <c r="AH38" s="1">
        <v>1</v>
      </c>
      <c r="AI38" s="1" t="s">
        <v>328</v>
      </c>
      <c r="AJ38" s="1" t="s">
        <v>225</v>
      </c>
      <c r="AK38" s="1" t="s">
        <v>331</v>
      </c>
      <c r="AM38" s="1">
        <v>1</v>
      </c>
      <c r="AV38" s="1">
        <v>1</v>
      </c>
      <c r="AX38" s="1">
        <v>0.25</v>
      </c>
      <c r="BE38" s="1" t="str">
        <f t="shared" si="1"/>
        <v>enemy_1057_gansho_2</v>
      </c>
      <c r="BN38" s="1" t="s">
        <v>217</v>
      </c>
      <c r="BO38" s="1" t="s">
        <v>218</v>
      </c>
      <c r="BP38" s="1" t="s">
        <v>239</v>
      </c>
      <c r="BQ38" s="1" t="s">
        <v>220</v>
      </c>
      <c r="BT38" s="1">
        <v>1</v>
      </c>
    </row>
    <row r="41" spans="1:65">
      <c r="A41" s="1" t="s">
        <v>86</v>
      </c>
      <c r="BM41" s="1" t="s">
        <v>332</v>
      </c>
    </row>
    <row r="42" spans="1:1">
      <c r="A42" s="1" t="s">
        <v>333</v>
      </c>
    </row>
    <row r="43" spans="1:72">
      <c r="A43" s="1" t="s">
        <v>4</v>
      </c>
      <c r="B43" s="1" t="s">
        <v>334</v>
      </c>
      <c r="D43" s="1" t="s">
        <v>335</v>
      </c>
      <c r="E43" s="1">
        <v>285</v>
      </c>
      <c r="F43" s="1" t="str">
        <f>"char_"&amp;E43&amp;"_"&amp;D43</f>
        <v>char_285_medic2</v>
      </c>
      <c r="G43" s="1">
        <v>1</v>
      </c>
      <c r="I43" s="1">
        <v>0</v>
      </c>
      <c r="J43" s="1">
        <v>30</v>
      </c>
      <c r="K43" s="1">
        <v>435</v>
      </c>
      <c r="L43" s="1">
        <v>100</v>
      </c>
      <c r="M43" s="1">
        <v>70</v>
      </c>
      <c r="N43" s="1">
        <v>40</v>
      </c>
      <c r="O43" s="1">
        <v>27</v>
      </c>
      <c r="Q43" s="1">
        <v>0</v>
      </c>
      <c r="S43" s="1">
        <v>3</v>
      </c>
      <c r="U43" s="1">
        <v>0.5</v>
      </c>
      <c r="V43" s="1">
        <v>200</v>
      </c>
      <c r="Y43" s="1">
        <v>0.05</v>
      </c>
      <c r="Z43" s="1">
        <v>2.85</v>
      </c>
      <c r="AC43" s="1">
        <v>0</v>
      </c>
      <c r="AI43" s="1" t="s">
        <v>4</v>
      </c>
      <c r="AJ43" s="1" t="s">
        <v>216</v>
      </c>
      <c r="AK43" s="1" t="s">
        <v>336</v>
      </c>
      <c r="AO43" s="1" t="s">
        <v>337</v>
      </c>
      <c r="AP43" s="1">
        <v>1</v>
      </c>
      <c r="AQ43" s="1">
        <v>0.5</v>
      </c>
      <c r="AX43" s="1">
        <v>0.25</v>
      </c>
      <c r="BC43" s="1" t="s">
        <v>338</v>
      </c>
      <c r="BD43" s="1" t="s">
        <v>339</v>
      </c>
      <c r="BE43" s="1" t="str">
        <f>"icon_"&amp;D43</f>
        <v>icon_medic2</v>
      </c>
      <c r="BF43" s="1" t="str">
        <f>"half_"&amp;D43</f>
        <v>half_medic2</v>
      </c>
      <c r="BG43" s="1" t="str">
        <f>D43</f>
        <v>medic2</v>
      </c>
      <c r="BH43" s="1" t="s">
        <v>340</v>
      </c>
      <c r="BI43" s="1">
        <v>1</v>
      </c>
      <c r="BJ43" s="1" t="s">
        <v>341</v>
      </c>
      <c r="BK43" s="1" t="s">
        <v>342</v>
      </c>
      <c r="BL43" s="1" t="s">
        <v>343</v>
      </c>
      <c r="BM43" s="1" t="s">
        <v>344</v>
      </c>
      <c r="BN43" s="1" t="s">
        <v>217</v>
      </c>
      <c r="BO43" s="1" t="s">
        <v>218</v>
      </c>
      <c r="BQ43" s="1" t="s">
        <v>220</v>
      </c>
      <c r="BR43" s="1" t="s">
        <v>220</v>
      </c>
      <c r="BT43" s="1">
        <v>1</v>
      </c>
    </row>
    <row r="44" spans="1:72">
      <c r="A44" s="1" t="s">
        <v>5</v>
      </c>
      <c r="B44" s="1" t="s">
        <v>334</v>
      </c>
      <c r="D44" s="1" t="s">
        <v>345</v>
      </c>
      <c r="E44" s="1">
        <v>286</v>
      </c>
      <c r="F44" s="1" t="str">
        <f>"char_"&amp;E44&amp;"_"&amp;D44</f>
        <v>char_286_cast3</v>
      </c>
      <c r="G44" s="1">
        <v>1</v>
      </c>
      <c r="I44" s="1">
        <v>0</v>
      </c>
      <c r="J44" s="1">
        <v>30</v>
      </c>
      <c r="K44" s="1">
        <v>1191</v>
      </c>
      <c r="L44" s="1">
        <v>200</v>
      </c>
      <c r="M44" s="1">
        <v>353</v>
      </c>
      <c r="N44" s="1">
        <v>60</v>
      </c>
      <c r="O44" s="1">
        <v>90</v>
      </c>
      <c r="Q44" s="1">
        <v>0</v>
      </c>
      <c r="S44" s="1">
        <v>3</v>
      </c>
      <c r="U44" s="1">
        <v>0.5</v>
      </c>
      <c r="V44" s="1">
        <v>200</v>
      </c>
      <c r="Y44" s="1">
        <v>0.05</v>
      </c>
      <c r="Z44" s="1">
        <v>1.5</v>
      </c>
      <c r="AC44" s="1">
        <v>0</v>
      </c>
      <c r="AI44" s="1" t="s">
        <v>5</v>
      </c>
      <c r="AJ44" s="1" t="s">
        <v>216</v>
      </c>
      <c r="AK44" s="1" t="s">
        <v>346</v>
      </c>
      <c r="AO44" s="1" t="s">
        <v>347</v>
      </c>
      <c r="AP44" s="1">
        <v>1</v>
      </c>
      <c r="AQ44" s="1">
        <v>0.5</v>
      </c>
      <c r="AX44" s="1">
        <v>0.25</v>
      </c>
      <c r="BC44" s="1" t="s">
        <v>348</v>
      </c>
      <c r="BD44" s="1" t="s">
        <v>349</v>
      </c>
      <c r="BE44" s="1" t="str">
        <f>"icon_"&amp;D44</f>
        <v>icon_cast3</v>
      </c>
      <c r="BF44" s="1" t="str">
        <f>"half_"&amp;D44</f>
        <v>half_cast3</v>
      </c>
      <c r="BG44" s="1" t="str">
        <f>D44</f>
        <v>cast3</v>
      </c>
      <c r="BH44" s="1" t="s">
        <v>340</v>
      </c>
      <c r="BI44" s="1">
        <v>1</v>
      </c>
      <c r="BJ44" s="1" t="s">
        <v>350</v>
      </c>
      <c r="BK44" s="1" t="s">
        <v>351</v>
      </c>
      <c r="BL44" s="1" t="s">
        <v>352</v>
      </c>
      <c r="BM44" s="1" t="s">
        <v>353</v>
      </c>
      <c r="BN44" s="1" t="s">
        <v>217</v>
      </c>
      <c r="BO44" s="1" t="s">
        <v>218</v>
      </c>
      <c r="BQ44" s="1" t="s">
        <v>220</v>
      </c>
      <c r="BR44" s="1" t="s">
        <v>220</v>
      </c>
      <c r="BT44" s="1">
        <v>1</v>
      </c>
    </row>
    <row r="45" spans="1:72">
      <c r="A45" s="1" t="s">
        <v>6</v>
      </c>
      <c r="B45" s="1" t="s">
        <v>334</v>
      </c>
      <c r="D45" s="1" t="s">
        <v>354</v>
      </c>
      <c r="E45" s="1">
        <v>500</v>
      </c>
      <c r="F45" s="1" t="str">
        <f>"char_"&amp;E45&amp;"_"&amp;D45</f>
        <v>char_500_noirc</v>
      </c>
      <c r="G45" s="1">
        <v>1</v>
      </c>
      <c r="I45" s="1">
        <v>0</v>
      </c>
      <c r="J45" s="1">
        <v>30</v>
      </c>
      <c r="K45" s="1">
        <v>1760</v>
      </c>
      <c r="L45" s="1">
        <v>90</v>
      </c>
      <c r="M45" s="1">
        <v>240</v>
      </c>
      <c r="O45" s="1">
        <v>315</v>
      </c>
      <c r="P45" s="1">
        <v>40</v>
      </c>
      <c r="Q45" s="1">
        <v>0</v>
      </c>
      <c r="S45" s="1">
        <v>14</v>
      </c>
      <c r="T45" s="1">
        <v>-2</v>
      </c>
      <c r="U45" s="1">
        <v>0.5</v>
      </c>
      <c r="V45" s="1">
        <v>70</v>
      </c>
      <c r="W45" s="1">
        <v>-5</v>
      </c>
      <c r="Y45" s="1">
        <v>0.05</v>
      </c>
      <c r="Z45" s="1">
        <v>1.2</v>
      </c>
      <c r="AC45" s="1">
        <v>1</v>
      </c>
      <c r="AI45" s="1" t="s">
        <v>6</v>
      </c>
      <c r="AJ45" s="1" t="s">
        <v>216</v>
      </c>
      <c r="AK45" s="1" t="s">
        <v>355</v>
      </c>
      <c r="AO45" s="1" t="s">
        <v>347</v>
      </c>
      <c r="AP45" s="1">
        <v>3</v>
      </c>
      <c r="AQ45" s="1">
        <v>0.5</v>
      </c>
      <c r="AX45" s="1">
        <v>0.25</v>
      </c>
      <c r="BC45" s="1" t="s">
        <v>356</v>
      </c>
      <c r="BD45" s="1" t="s">
        <v>357</v>
      </c>
      <c r="BE45" s="1" t="str">
        <f>"icon_"&amp;D45</f>
        <v>icon_noirc</v>
      </c>
      <c r="BF45" s="1" t="str">
        <f>"half_"&amp;D45</f>
        <v>half_noirc</v>
      </c>
      <c r="BG45" s="1" t="str">
        <f>D45</f>
        <v>noirc</v>
      </c>
      <c r="BH45" s="1" t="s">
        <v>340</v>
      </c>
      <c r="BI45" s="1">
        <v>2</v>
      </c>
      <c r="BJ45" s="1" t="s">
        <v>350</v>
      </c>
      <c r="BK45" s="1" t="s">
        <v>358</v>
      </c>
      <c r="BL45" s="1" t="s">
        <v>359</v>
      </c>
      <c r="BM45" s="1" t="s">
        <v>360</v>
      </c>
      <c r="BN45" s="1" t="s">
        <v>217</v>
      </c>
      <c r="BO45" s="1" t="s">
        <v>218</v>
      </c>
      <c r="BQ45" s="1" t="s">
        <v>220</v>
      </c>
      <c r="BR45" s="1" t="s">
        <v>220</v>
      </c>
      <c r="BT45" s="1">
        <v>1</v>
      </c>
    </row>
    <row r="46" spans="1:72">
      <c r="A46" s="1" t="s">
        <v>7</v>
      </c>
      <c r="B46" s="1" t="s">
        <v>334</v>
      </c>
      <c r="D46" s="1" t="s">
        <v>361</v>
      </c>
      <c r="E46" s="1">
        <v>503</v>
      </c>
      <c r="F46" s="1" t="str">
        <f>"char_"&amp;E46&amp;"_"&amp;D46</f>
        <v>char_503_rang</v>
      </c>
      <c r="G46" s="1">
        <v>1</v>
      </c>
      <c r="I46" s="1">
        <v>0</v>
      </c>
      <c r="J46" s="1">
        <v>30</v>
      </c>
      <c r="K46" s="1">
        <v>780</v>
      </c>
      <c r="M46" s="1">
        <v>269</v>
      </c>
      <c r="N46" s="1">
        <v>30</v>
      </c>
      <c r="O46" s="1">
        <v>66</v>
      </c>
      <c r="Q46" s="1">
        <v>0</v>
      </c>
      <c r="S46" s="1">
        <v>7</v>
      </c>
      <c r="T46" s="1">
        <v>-2</v>
      </c>
      <c r="U46" s="1">
        <v>0.5</v>
      </c>
      <c r="V46" s="1">
        <v>70</v>
      </c>
      <c r="W46" s="1">
        <v>-5</v>
      </c>
      <c r="X46" s="1">
        <v>12</v>
      </c>
      <c r="Y46" s="1">
        <v>0.05</v>
      </c>
      <c r="Z46" s="1">
        <v>1</v>
      </c>
      <c r="AC46" s="1">
        <v>1</v>
      </c>
      <c r="AI46" s="1" t="s">
        <v>7</v>
      </c>
      <c r="AJ46" s="1" t="s">
        <v>216</v>
      </c>
      <c r="AK46" s="1" t="s">
        <v>362</v>
      </c>
      <c r="AO46" s="1" t="s">
        <v>337</v>
      </c>
      <c r="AP46" s="1">
        <v>1</v>
      </c>
      <c r="AQ46" s="1">
        <v>0.5</v>
      </c>
      <c r="AX46" s="1">
        <v>0.25</v>
      </c>
      <c r="BC46" s="1" t="s">
        <v>363</v>
      </c>
      <c r="BD46" s="1" t="s">
        <v>364</v>
      </c>
      <c r="BE46" s="1" t="str">
        <f>"icon_"&amp;D46</f>
        <v>icon_rang</v>
      </c>
      <c r="BF46" s="1" t="str">
        <f>"half_"&amp;D46</f>
        <v>half_rang</v>
      </c>
      <c r="BG46" s="1" t="str">
        <f>D46</f>
        <v>rang</v>
      </c>
      <c r="BH46" s="1" t="s">
        <v>340</v>
      </c>
      <c r="BI46" s="1">
        <v>2</v>
      </c>
      <c r="BJ46" s="1" t="s">
        <v>341</v>
      </c>
      <c r="BK46" s="1" t="s">
        <v>365</v>
      </c>
      <c r="BL46" s="1" t="s">
        <v>366</v>
      </c>
      <c r="BM46" s="1" t="s">
        <v>367</v>
      </c>
      <c r="BN46" s="1" t="s">
        <v>217</v>
      </c>
      <c r="BO46" s="1" t="s">
        <v>218</v>
      </c>
      <c r="BQ46" s="1" t="s">
        <v>220</v>
      </c>
      <c r="BR46" s="1" t="s">
        <v>220</v>
      </c>
      <c r="BT46" s="1">
        <v>1</v>
      </c>
    </row>
    <row r="47" spans="1:72">
      <c r="A47" s="1" t="s">
        <v>8</v>
      </c>
      <c r="B47" s="1" t="s">
        <v>334</v>
      </c>
      <c r="D47" s="1" t="s">
        <v>368</v>
      </c>
      <c r="E47" s="1">
        <v>501</v>
      </c>
      <c r="F47" s="1" t="str">
        <f>"char_"&amp;E47&amp;"_"&amp;D47</f>
        <v>char_501_durin</v>
      </c>
      <c r="G47" s="1">
        <v>1</v>
      </c>
      <c r="I47" s="1">
        <v>0</v>
      </c>
      <c r="J47" s="1">
        <v>30</v>
      </c>
      <c r="K47" s="1">
        <v>952</v>
      </c>
      <c r="L47" s="1">
        <v>100</v>
      </c>
      <c r="M47" s="1">
        <v>340</v>
      </c>
      <c r="N47" s="1">
        <v>30</v>
      </c>
      <c r="O47" s="1">
        <v>62</v>
      </c>
      <c r="Q47" s="1">
        <v>10</v>
      </c>
      <c r="S47" s="1">
        <v>12</v>
      </c>
      <c r="T47" s="1">
        <v>-2</v>
      </c>
      <c r="U47" s="1">
        <v>0.5</v>
      </c>
      <c r="V47" s="1">
        <v>70</v>
      </c>
      <c r="W47" s="1">
        <v>-5</v>
      </c>
      <c r="Y47" s="1">
        <v>0.05</v>
      </c>
      <c r="Z47" s="1">
        <v>1.6</v>
      </c>
      <c r="AC47" s="1">
        <v>1</v>
      </c>
      <c r="AI47" s="1" t="s">
        <v>8</v>
      </c>
      <c r="AJ47" s="1" t="s">
        <v>216</v>
      </c>
      <c r="AK47" s="1" t="s">
        <v>369</v>
      </c>
      <c r="AO47" s="1" t="s">
        <v>337</v>
      </c>
      <c r="AP47" s="1">
        <v>1</v>
      </c>
      <c r="AQ47" s="1">
        <v>0.5</v>
      </c>
      <c r="AX47" s="1">
        <v>0.25</v>
      </c>
      <c r="BC47" s="1" t="s">
        <v>370</v>
      </c>
      <c r="BD47" s="1" t="s">
        <v>371</v>
      </c>
      <c r="BE47" s="1" t="str">
        <f>"icon_"&amp;D47</f>
        <v>icon_durin</v>
      </c>
      <c r="BF47" s="1" t="str">
        <f>"half_"&amp;D47</f>
        <v>half_durin</v>
      </c>
      <c r="BG47" s="1" t="str">
        <f>D47</f>
        <v>durin</v>
      </c>
      <c r="BH47" s="1" t="s">
        <v>340</v>
      </c>
      <c r="BI47" s="1">
        <v>2</v>
      </c>
      <c r="BJ47" s="1" t="s">
        <v>341</v>
      </c>
      <c r="BK47" s="1" t="s">
        <v>365</v>
      </c>
      <c r="BL47" s="1" t="s">
        <v>372</v>
      </c>
      <c r="BM47" s="1" t="s">
        <v>373</v>
      </c>
      <c r="BN47" s="1" t="s">
        <v>217</v>
      </c>
      <c r="BO47" s="1" t="s">
        <v>218</v>
      </c>
      <c r="BQ47" s="1" t="s">
        <v>220</v>
      </c>
      <c r="BR47" s="1" t="s">
        <v>220</v>
      </c>
      <c r="BT47" s="1">
        <v>1</v>
      </c>
    </row>
    <row r="49" spans="1:72">
      <c r="A49" s="1" t="s">
        <v>9</v>
      </c>
      <c r="B49" s="1" t="s">
        <v>334</v>
      </c>
      <c r="D49" s="1" t="s">
        <v>374</v>
      </c>
      <c r="E49" s="1">
        <v>284</v>
      </c>
      <c r="F49" s="1" t="str">
        <f t="shared" ref="F49:F61" si="3">"char_"&amp;E49&amp;"_"&amp;D49</f>
        <v>char_284_spot</v>
      </c>
      <c r="G49" s="1">
        <v>1</v>
      </c>
      <c r="I49" s="1">
        <v>1</v>
      </c>
      <c r="J49" s="1">
        <v>55</v>
      </c>
      <c r="K49" s="1">
        <v>1833</v>
      </c>
      <c r="M49" s="1">
        <v>320</v>
      </c>
      <c r="N49" s="1">
        <v>30</v>
      </c>
      <c r="O49" s="1">
        <v>442</v>
      </c>
      <c r="P49" s="1">
        <v>54</v>
      </c>
      <c r="Q49" s="1">
        <v>10</v>
      </c>
      <c r="S49" s="1">
        <v>17</v>
      </c>
      <c r="T49" s="1">
        <v>-2</v>
      </c>
      <c r="U49" s="1">
        <v>0.5</v>
      </c>
      <c r="V49" s="1">
        <v>70</v>
      </c>
      <c r="W49" s="1">
        <v>-4</v>
      </c>
      <c r="Y49" s="1">
        <v>0.05</v>
      </c>
      <c r="Z49" s="1">
        <v>1.2</v>
      </c>
      <c r="AC49" s="1">
        <v>1</v>
      </c>
      <c r="AI49" s="1" t="s">
        <v>9</v>
      </c>
      <c r="AJ49" s="1" t="s">
        <v>216</v>
      </c>
      <c r="AK49" s="1" t="s">
        <v>375</v>
      </c>
      <c r="AL49" s="1" t="s">
        <v>376</v>
      </c>
      <c r="AO49" s="1" t="s">
        <v>347</v>
      </c>
      <c r="AP49" s="1">
        <v>3</v>
      </c>
      <c r="AQ49" s="1">
        <v>0.5</v>
      </c>
      <c r="AX49" s="1">
        <v>0.25</v>
      </c>
      <c r="BC49" s="1" t="s">
        <v>356</v>
      </c>
      <c r="BD49" s="1" t="s">
        <v>377</v>
      </c>
      <c r="BE49" s="1" t="str">
        <f t="shared" ref="BE49:BE62" si="4">"icon_"&amp;D49</f>
        <v>icon_spot</v>
      </c>
      <c r="BF49" s="1" t="str">
        <f t="shared" ref="BF49:BF62" si="5">"half_"&amp;D49</f>
        <v>half_spot</v>
      </c>
      <c r="BG49" s="1" t="str">
        <f t="shared" ref="BG49:BG62" si="6">D49</f>
        <v>spot</v>
      </c>
      <c r="BH49" s="1" t="s">
        <v>340</v>
      </c>
      <c r="BI49" s="1">
        <v>3</v>
      </c>
      <c r="BJ49" s="1" t="s">
        <v>350</v>
      </c>
      <c r="BK49" s="1" t="s">
        <v>378</v>
      </c>
      <c r="BL49" s="1" t="s">
        <v>379</v>
      </c>
      <c r="BM49" s="1" t="s">
        <v>380</v>
      </c>
      <c r="BN49" s="1" t="s">
        <v>217</v>
      </c>
      <c r="BO49" s="1" t="s">
        <v>218</v>
      </c>
      <c r="BQ49" s="1" t="s">
        <v>220</v>
      </c>
      <c r="BR49" s="1" t="s">
        <v>220</v>
      </c>
      <c r="BT49" s="1">
        <v>1</v>
      </c>
    </row>
    <row r="50" spans="1:72">
      <c r="A50" s="1" t="s">
        <v>10</v>
      </c>
      <c r="B50" s="1" t="s">
        <v>334</v>
      </c>
      <c r="D50" s="1" t="s">
        <v>381</v>
      </c>
      <c r="E50" s="1">
        <v>281</v>
      </c>
      <c r="F50" s="1" t="str">
        <f t="shared" si="3"/>
        <v>char_281_popka</v>
      </c>
      <c r="G50" s="1">
        <v>1</v>
      </c>
      <c r="I50" s="1">
        <v>1</v>
      </c>
      <c r="J50" s="1">
        <v>55</v>
      </c>
      <c r="K50" s="1">
        <v>1858</v>
      </c>
      <c r="M50" s="1">
        <v>495</v>
      </c>
      <c r="N50" s="1">
        <v>73</v>
      </c>
      <c r="O50" s="1">
        <v>245</v>
      </c>
      <c r="Q50" s="1">
        <v>0</v>
      </c>
      <c r="S50" s="1">
        <v>19</v>
      </c>
      <c r="T50" s="1">
        <v>-2</v>
      </c>
      <c r="U50" s="1">
        <v>0.5</v>
      </c>
      <c r="V50" s="1">
        <v>70</v>
      </c>
      <c r="W50" s="1">
        <v>-4</v>
      </c>
      <c r="Y50" s="1">
        <v>0.05</v>
      </c>
      <c r="Z50" s="1">
        <v>1.2</v>
      </c>
      <c r="AC50" s="1">
        <v>1</v>
      </c>
      <c r="AI50" s="1" t="s">
        <v>10</v>
      </c>
      <c r="AJ50" s="1" t="s">
        <v>216</v>
      </c>
      <c r="AK50" s="1" t="s">
        <v>382</v>
      </c>
      <c r="AL50" s="1" t="s">
        <v>383</v>
      </c>
      <c r="AO50" s="1" t="s">
        <v>347</v>
      </c>
      <c r="AP50" s="1">
        <v>2</v>
      </c>
      <c r="AQ50" s="1">
        <v>0.5</v>
      </c>
      <c r="AX50" s="1">
        <v>0.25</v>
      </c>
      <c r="BC50" s="1" t="s">
        <v>348</v>
      </c>
      <c r="BD50" s="1" t="s">
        <v>384</v>
      </c>
      <c r="BE50" s="1" t="str">
        <f t="shared" si="4"/>
        <v>icon_popka</v>
      </c>
      <c r="BF50" s="1" t="str">
        <f t="shared" si="5"/>
        <v>half_popka</v>
      </c>
      <c r="BG50" s="1" t="str">
        <f t="shared" si="6"/>
        <v>popka</v>
      </c>
      <c r="BH50" s="1" t="s">
        <v>340</v>
      </c>
      <c r="BI50" s="1">
        <v>3</v>
      </c>
      <c r="BJ50" s="1" t="s">
        <v>350</v>
      </c>
      <c r="BK50" s="1" t="s">
        <v>385</v>
      </c>
      <c r="BL50" s="1" t="s">
        <v>386</v>
      </c>
      <c r="BM50" s="1" t="s">
        <v>387</v>
      </c>
      <c r="BN50" s="1" t="s">
        <v>217</v>
      </c>
      <c r="BO50" s="1" t="s">
        <v>218</v>
      </c>
      <c r="BQ50" s="1" t="s">
        <v>220</v>
      </c>
      <c r="BR50" s="1" t="s">
        <v>220</v>
      </c>
      <c r="BT50" s="1">
        <v>1</v>
      </c>
    </row>
    <row r="51" spans="1:72">
      <c r="A51" s="1" t="s">
        <v>11</v>
      </c>
      <c r="B51" s="1" t="s">
        <v>334</v>
      </c>
      <c r="D51" s="1" t="s">
        <v>388</v>
      </c>
      <c r="E51" s="1">
        <v>283</v>
      </c>
      <c r="F51" s="1" t="str">
        <f t="shared" si="3"/>
        <v>char_283_midn</v>
      </c>
      <c r="G51" s="1">
        <v>1</v>
      </c>
      <c r="I51" s="1">
        <v>1</v>
      </c>
      <c r="J51" s="1">
        <v>55</v>
      </c>
      <c r="K51" s="1">
        <v>1653</v>
      </c>
      <c r="M51" s="1">
        <v>497</v>
      </c>
      <c r="N51" s="1">
        <v>72</v>
      </c>
      <c r="O51" s="1">
        <v>282</v>
      </c>
      <c r="Q51" s="1">
        <v>10</v>
      </c>
      <c r="S51" s="1">
        <v>16</v>
      </c>
      <c r="T51" s="1">
        <v>-2</v>
      </c>
      <c r="U51" s="1">
        <v>0.5</v>
      </c>
      <c r="V51" s="1">
        <v>70</v>
      </c>
      <c r="W51" s="1">
        <v>-4</v>
      </c>
      <c r="Y51" s="1">
        <v>0.05</v>
      </c>
      <c r="Z51" s="1">
        <v>1.3</v>
      </c>
      <c r="AC51" s="1">
        <v>1</v>
      </c>
      <c r="AI51" s="1" t="s">
        <v>11</v>
      </c>
      <c r="AJ51" s="1" t="s">
        <v>216</v>
      </c>
      <c r="AK51" s="1" t="s">
        <v>389</v>
      </c>
      <c r="AL51" s="1" t="s">
        <v>390</v>
      </c>
      <c r="AO51" s="1" t="s">
        <v>347</v>
      </c>
      <c r="AP51" s="1">
        <v>2</v>
      </c>
      <c r="AQ51" s="1">
        <v>0.5</v>
      </c>
      <c r="AX51" s="1">
        <v>0.25</v>
      </c>
      <c r="BC51" s="1" t="s">
        <v>348</v>
      </c>
      <c r="BD51" s="1" t="s">
        <v>391</v>
      </c>
      <c r="BE51" s="1" t="str">
        <f t="shared" si="4"/>
        <v>icon_midn</v>
      </c>
      <c r="BF51" s="1" t="str">
        <f t="shared" si="5"/>
        <v>half_midn</v>
      </c>
      <c r="BG51" s="1" t="str">
        <f t="shared" si="6"/>
        <v>midn</v>
      </c>
      <c r="BH51" s="1" t="s">
        <v>340</v>
      </c>
      <c r="BI51" s="1">
        <v>3</v>
      </c>
      <c r="BJ51" s="1" t="s">
        <v>350</v>
      </c>
      <c r="BK51" s="1" t="s">
        <v>392</v>
      </c>
      <c r="BL51" s="1" t="s">
        <v>393</v>
      </c>
      <c r="BM51" s="1" t="s">
        <v>394</v>
      </c>
      <c r="BN51" s="1" t="s">
        <v>217</v>
      </c>
      <c r="BO51" s="1" t="s">
        <v>218</v>
      </c>
      <c r="BQ51" s="1" t="s">
        <v>220</v>
      </c>
      <c r="BR51" s="1" t="s">
        <v>220</v>
      </c>
      <c r="BT51" s="1">
        <v>2</v>
      </c>
    </row>
    <row r="52" spans="1:72">
      <c r="A52" s="1" t="s">
        <v>12</v>
      </c>
      <c r="B52" s="1" t="s">
        <v>334</v>
      </c>
      <c r="D52" s="1" t="s">
        <v>395</v>
      </c>
      <c r="E52" s="1">
        <v>282</v>
      </c>
      <c r="F52" s="1" t="str">
        <f t="shared" si="3"/>
        <v>char_282_catap</v>
      </c>
      <c r="G52" s="1">
        <v>1</v>
      </c>
      <c r="I52" s="1">
        <v>1</v>
      </c>
      <c r="J52" s="1">
        <v>55</v>
      </c>
      <c r="K52" s="1">
        <v>1150</v>
      </c>
      <c r="M52" s="1">
        <v>617</v>
      </c>
      <c r="N52" s="1">
        <v>82</v>
      </c>
      <c r="O52" s="1">
        <v>85</v>
      </c>
      <c r="Q52" s="1">
        <v>0</v>
      </c>
      <c r="S52" s="1">
        <v>23</v>
      </c>
      <c r="T52" s="1">
        <v>-2</v>
      </c>
      <c r="U52" s="1">
        <v>0.5</v>
      </c>
      <c r="V52" s="1">
        <v>70</v>
      </c>
      <c r="W52" s="1">
        <v>-10</v>
      </c>
      <c r="Y52" s="1">
        <v>0.05</v>
      </c>
      <c r="Z52" s="1">
        <v>2.8</v>
      </c>
      <c r="AC52" s="1">
        <v>1</v>
      </c>
      <c r="AI52" s="1" t="s">
        <v>12</v>
      </c>
      <c r="AJ52" s="1" t="s">
        <v>216</v>
      </c>
      <c r="AK52" s="1" t="s">
        <v>396</v>
      </c>
      <c r="AL52" s="1" t="s">
        <v>397</v>
      </c>
      <c r="AO52" s="1" t="s">
        <v>337</v>
      </c>
      <c r="AP52" s="1">
        <v>1</v>
      </c>
      <c r="AQ52" s="1">
        <v>0.5</v>
      </c>
      <c r="AX52" s="1">
        <v>0.25</v>
      </c>
      <c r="BC52" s="1" t="s">
        <v>363</v>
      </c>
      <c r="BD52" s="1" t="s">
        <v>398</v>
      </c>
      <c r="BE52" s="1" t="str">
        <f t="shared" si="4"/>
        <v>icon_catap</v>
      </c>
      <c r="BF52" s="1" t="str">
        <f t="shared" si="5"/>
        <v>half_catap</v>
      </c>
      <c r="BG52" s="1" t="str">
        <f t="shared" si="6"/>
        <v>catap</v>
      </c>
      <c r="BH52" s="1" t="s">
        <v>340</v>
      </c>
      <c r="BI52" s="1">
        <v>3</v>
      </c>
      <c r="BJ52" s="1" t="s">
        <v>341</v>
      </c>
      <c r="BK52" s="1" t="s">
        <v>399</v>
      </c>
      <c r="BL52" s="1" t="s">
        <v>400</v>
      </c>
      <c r="BM52" s="1" t="s">
        <v>401</v>
      </c>
      <c r="BN52" s="1" t="s">
        <v>217</v>
      </c>
      <c r="BO52" s="1" t="s">
        <v>218</v>
      </c>
      <c r="BQ52" s="1" t="s">
        <v>220</v>
      </c>
      <c r="BR52" s="1" t="s">
        <v>220</v>
      </c>
      <c r="BT52" s="1">
        <v>1</v>
      </c>
    </row>
    <row r="53" spans="1:72">
      <c r="A53" s="1" t="s">
        <v>13</v>
      </c>
      <c r="B53" s="1" t="s">
        <v>334</v>
      </c>
      <c r="D53" s="1" t="s">
        <v>402</v>
      </c>
      <c r="E53" s="1">
        <v>278</v>
      </c>
      <c r="F53" s="1" t="str">
        <f t="shared" si="3"/>
        <v>char_278_orchid</v>
      </c>
      <c r="G53" s="1">
        <v>1</v>
      </c>
      <c r="I53" s="1">
        <v>1</v>
      </c>
      <c r="J53" s="1">
        <v>55</v>
      </c>
      <c r="K53" s="1">
        <v>935</v>
      </c>
      <c r="M53" s="1">
        <v>378</v>
      </c>
      <c r="N53" s="1">
        <v>59</v>
      </c>
      <c r="O53" s="1">
        <v>83</v>
      </c>
      <c r="Q53" s="1">
        <v>15</v>
      </c>
      <c r="S53" s="1">
        <v>12</v>
      </c>
      <c r="T53" s="1">
        <v>-2</v>
      </c>
      <c r="U53" s="1">
        <v>0.5</v>
      </c>
      <c r="V53" s="1">
        <v>70</v>
      </c>
      <c r="W53" s="1">
        <v>-10</v>
      </c>
      <c r="Y53" s="1">
        <v>0.05</v>
      </c>
      <c r="Z53" s="1">
        <v>1.9</v>
      </c>
      <c r="AC53" s="1">
        <v>1</v>
      </c>
      <c r="AI53" s="1" t="s">
        <v>13</v>
      </c>
      <c r="AJ53" s="1" t="s">
        <v>216</v>
      </c>
      <c r="AK53" s="1" t="s">
        <v>403</v>
      </c>
      <c r="AL53" s="1" t="s">
        <v>404</v>
      </c>
      <c r="AO53" s="1" t="s">
        <v>337</v>
      </c>
      <c r="AP53" s="1">
        <v>1</v>
      </c>
      <c r="AQ53" s="1">
        <v>0.5</v>
      </c>
      <c r="AX53" s="1">
        <v>0.25</v>
      </c>
      <c r="BC53" s="1" t="s">
        <v>405</v>
      </c>
      <c r="BD53" s="1" t="s">
        <v>406</v>
      </c>
      <c r="BE53" s="1" t="str">
        <f t="shared" si="4"/>
        <v>icon_orchid</v>
      </c>
      <c r="BF53" s="1" t="str">
        <f t="shared" si="5"/>
        <v>half_orchid</v>
      </c>
      <c r="BG53" s="1" t="str">
        <f t="shared" si="6"/>
        <v>orchid</v>
      </c>
      <c r="BH53" s="1" t="s">
        <v>340</v>
      </c>
      <c r="BI53" s="1">
        <v>3</v>
      </c>
      <c r="BJ53" s="1" t="s">
        <v>341</v>
      </c>
      <c r="BK53" s="1" t="s">
        <v>407</v>
      </c>
      <c r="BL53" s="1" t="s">
        <v>408</v>
      </c>
      <c r="BM53" s="1" t="s">
        <v>409</v>
      </c>
      <c r="BN53" s="1" t="s">
        <v>217</v>
      </c>
      <c r="BO53" s="1" t="s">
        <v>218</v>
      </c>
      <c r="BQ53" s="1" t="s">
        <v>220</v>
      </c>
      <c r="BR53" s="1" t="s">
        <v>220</v>
      </c>
      <c r="BT53" s="1">
        <v>1</v>
      </c>
    </row>
    <row r="54" spans="1:72">
      <c r="A54" s="1" t="s">
        <v>14</v>
      </c>
      <c r="B54" s="1" t="s">
        <v>334</v>
      </c>
      <c r="D54" s="1" t="s">
        <v>410</v>
      </c>
      <c r="E54" s="1">
        <v>210</v>
      </c>
      <c r="F54" s="1" t="str">
        <f t="shared" si="3"/>
        <v>char_210_stward</v>
      </c>
      <c r="G54" s="1">
        <v>1</v>
      </c>
      <c r="I54" s="1">
        <v>1</v>
      </c>
      <c r="J54" s="1">
        <v>55</v>
      </c>
      <c r="K54" s="1">
        <v>1100</v>
      </c>
      <c r="M54" s="1">
        <v>470</v>
      </c>
      <c r="N54" s="1">
        <v>73</v>
      </c>
      <c r="O54" s="1">
        <v>90</v>
      </c>
      <c r="Q54" s="1">
        <v>15</v>
      </c>
      <c r="S54" s="1">
        <v>18</v>
      </c>
      <c r="T54" s="1">
        <v>-2</v>
      </c>
      <c r="U54" s="1">
        <v>0.5</v>
      </c>
      <c r="V54" s="1">
        <v>70</v>
      </c>
      <c r="W54" s="1">
        <v>-10</v>
      </c>
      <c r="Y54" s="1">
        <v>0.05</v>
      </c>
      <c r="Z54" s="1">
        <v>1.6</v>
      </c>
      <c r="AC54" s="1">
        <v>1</v>
      </c>
      <c r="AI54" s="1" t="s">
        <v>14</v>
      </c>
      <c r="AJ54" s="1" t="s">
        <v>216</v>
      </c>
      <c r="AK54" s="1" t="s">
        <v>411</v>
      </c>
      <c r="AL54" s="1" t="s">
        <v>412</v>
      </c>
      <c r="AO54" s="1" t="s">
        <v>337</v>
      </c>
      <c r="AP54" s="1">
        <v>1</v>
      </c>
      <c r="AQ54" s="1">
        <v>0.5</v>
      </c>
      <c r="AX54" s="1">
        <v>0.25</v>
      </c>
      <c r="BC54" s="1" t="s">
        <v>370</v>
      </c>
      <c r="BD54" s="1" t="s">
        <v>371</v>
      </c>
      <c r="BE54" s="1" t="str">
        <f t="shared" si="4"/>
        <v>icon_stward</v>
      </c>
      <c r="BF54" s="1" t="str">
        <f t="shared" si="5"/>
        <v>half_stward</v>
      </c>
      <c r="BG54" s="1" t="str">
        <f t="shared" si="6"/>
        <v>stward</v>
      </c>
      <c r="BH54" s="1" t="s">
        <v>340</v>
      </c>
      <c r="BI54" s="1">
        <v>3</v>
      </c>
      <c r="BJ54" s="1" t="s">
        <v>341</v>
      </c>
      <c r="BK54" s="1" t="s">
        <v>413</v>
      </c>
      <c r="BL54" s="1" t="s">
        <v>372</v>
      </c>
      <c r="BM54" s="1" t="s">
        <v>414</v>
      </c>
      <c r="BN54" s="1" t="s">
        <v>217</v>
      </c>
      <c r="BO54" s="1" t="s">
        <v>218</v>
      </c>
      <c r="BQ54" s="1" t="s">
        <v>220</v>
      </c>
      <c r="BR54" s="1" t="s">
        <v>220</v>
      </c>
      <c r="BT54" s="1">
        <v>1</v>
      </c>
    </row>
    <row r="55" spans="1:72">
      <c r="A55" s="1" t="s">
        <v>15</v>
      </c>
      <c r="B55" s="1" t="s">
        <v>334</v>
      </c>
      <c r="D55" s="1" t="s">
        <v>415</v>
      </c>
      <c r="E55" s="1">
        <v>212</v>
      </c>
      <c r="F55" s="1" t="str">
        <f t="shared" si="3"/>
        <v>char_212_ansel</v>
      </c>
      <c r="G55" s="1">
        <v>1</v>
      </c>
      <c r="I55" s="1">
        <v>1</v>
      </c>
      <c r="J55" s="1">
        <v>55</v>
      </c>
      <c r="K55" s="1">
        <v>1135</v>
      </c>
      <c r="M55" s="1">
        <v>362</v>
      </c>
      <c r="N55" s="1">
        <v>65</v>
      </c>
      <c r="O55" s="1">
        <v>109</v>
      </c>
      <c r="Q55" s="1">
        <v>0</v>
      </c>
      <c r="S55" s="1">
        <v>17</v>
      </c>
      <c r="T55" s="1">
        <v>-2</v>
      </c>
      <c r="U55" s="1">
        <v>0.5</v>
      </c>
      <c r="V55" s="1">
        <v>70</v>
      </c>
      <c r="W55" s="1">
        <v>-4</v>
      </c>
      <c r="Y55" s="1">
        <v>0.05</v>
      </c>
      <c r="Z55" s="1">
        <v>2.85</v>
      </c>
      <c r="AC55" s="1">
        <v>1</v>
      </c>
      <c r="AI55" s="1" t="s">
        <v>15</v>
      </c>
      <c r="AJ55" s="1" t="s">
        <v>216</v>
      </c>
      <c r="AK55" s="1" t="s">
        <v>416</v>
      </c>
      <c r="AL55" s="1" t="s">
        <v>417</v>
      </c>
      <c r="AO55" s="1" t="s">
        <v>337</v>
      </c>
      <c r="AP55" s="1">
        <v>1</v>
      </c>
      <c r="AQ55" s="1">
        <v>0.5</v>
      </c>
      <c r="AX55" s="1">
        <v>0.25</v>
      </c>
      <c r="BC55" s="1" t="s">
        <v>338</v>
      </c>
      <c r="BD55" s="1" t="s">
        <v>339</v>
      </c>
      <c r="BE55" s="1" t="str">
        <f t="shared" si="4"/>
        <v>icon_ansel</v>
      </c>
      <c r="BF55" s="1" t="str">
        <f t="shared" si="5"/>
        <v>half_ansel</v>
      </c>
      <c r="BG55" s="1" t="str">
        <f t="shared" si="6"/>
        <v>ansel</v>
      </c>
      <c r="BH55" s="1" t="s">
        <v>340</v>
      </c>
      <c r="BI55" s="1">
        <v>3</v>
      </c>
      <c r="BJ55" s="1" t="s">
        <v>341</v>
      </c>
      <c r="BK55" s="1" t="s">
        <v>418</v>
      </c>
      <c r="BL55" s="1" t="s">
        <v>419</v>
      </c>
      <c r="BM55" s="1" t="s">
        <v>420</v>
      </c>
      <c r="BN55" s="1" t="s">
        <v>217</v>
      </c>
      <c r="BO55" s="1" t="s">
        <v>218</v>
      </c>
      <c r="BQ55" s="1" t="s">
        <v>220</v>
      </c>
      <c r="BR55" s="1" t="s">
        <v>220</v>
      </c>
      <c r="BT55" s="1">
        <v>1</v>
      </c>
    </row>
    <row r="56" spans="1:72">
      <c r="A56" s="1" t="s">
        <v>16</v>
      </c>
      <c r="B56" s="1" t="s">
        <v>334</v>
      </c>
      <c r="D56" s="1" t="s">
        <v>421</v>
      </c>
      <c r="E56" s="1">
        <v>120</v>
      </c>
      <c r="F56" s="1" t="str">
        <f t="shared" si="3"/>
        <v>char_120_hibisc</v>
      </c>
      <c r="G56" s="1">
        <v>1</v>
      </c>
      <c r="I56" s="1">
        <v>1</v>
      </c>
      <c r="J56" s="1">
        <v>55</v>
      </c>
      <c r="K56" s="1">
        <v>1220</v>
      </c>
      <c r="M56" s="1">
        <v>345</v>
      </c>
      <c r="N56" s="1">
        <v>63</v>
      </c>
      <c r="O56" s="1">
        <v>110</v>
      </c>
      <c r="Q56" s="1">
        <v>0</v>
      </c>
      <c r="S56" s="1">
        <v>17</v>
      </c>
      <c r="T56" s="1">
        <v>-2</v>
      </c>
      <c r="U56" s="1">
        <v>0.5</v>
      </c>
      <c r="V56" s="1">
        <v>70</v>
      </c>
      <c r="W56" s="1">
        <v>-10</v>
      </c>
      <c r="Y56" s="1">
        <v>0.05</v>
      </c>
      <c r="Z56" s="1">
        <v>2.85</v>
      </c>
      <c r="AC56" s="1">
        <v>1</v>
      </c>
      <c r="AI56" s="1" t="s">
        <v>16</v>
      </c>
      <c r="AJ56" s="1" t="s">
        <v>216</v>
      </c>
      <c r="AK56" s="1" t="s">
        <v>422</v>
      </c>
      <c r="AL56" s="1" t="s">
        <v>423</v>
      </c>
      <c r="AO56" s="1" t="s">
        <v>337</v>
      </c>
      <c r="AP56" s="1">
        <v>1</v>
      </c>
      <c r="AQ56" s="1">
        <v>0.5</v>
      </c>
      <c r="AX56" s="1">
        <v>0.25</v>
      </c>
      <c r="BC56" s="1" t="s">
        <v>338</v>
      </c>
      <c r="BD56" s="1" t="s">
        <v>339</v>
      </c>
      <c r="BE56" s="1" t="str">
        <f t="shared" si="4"/>
        <v>icon_hibisc</v>
      </c>
      <c r="BF56" s="1" t="str">
        <f t="shared" si="5"/>
        <v>half_hibisc</v>
      </c>
      <c r="BG56" s="1" t="str">
        <f t="shared" si="6"/>
        <v>hibisc</v>
      </c>
      <c r="BH56" s="1" t="s">
        <v>340</v>
      </c>
      <c r="BI56" s="1">
        <v>3</v>
      </c>
      <c r="BJ56" s="1" t="s">
        <v>341</v>
      </c>
      <c r="BK56" s="1" t="s">
        <v>424</v>
      </c>
      <c r="BL56" s="1" t="s">
        <v>419</v>
      </c>
      <c r="BM56" s="1" t="s">
        <v>425</v>
      </c>
      <c r="BN56" s="1" t="s">
        <v>217</v>
      </c>
      <c r="BO56" s="1" t="s">
        <v>218</v>
      </c>
      <c r="BQ56" s="1" t="s">
        <v>220</v>
      </c>
      <c r="BR56" s="1" t="s">
        <v>220</v>
      </c>
      <c r="BT56" s="1">
        <v>1</v>
      </c>
    </row>
    <row r="57" spans="1:72">
      <c r="A57" s="1" t="s">
        <v>17</v>
      </c>
      <c r="B57" s="1" t="s">
        <v>334</v>
      </c>
      <c r="D57" s="1" t="s">
        <v>426</v>
      </c>
      <c r="E57" s="1">
        <v>121</v>
      </c>
      <c r="F57" s="1" t="str">
        <f t="shared" si="3"/>
        <v>char_121_lava</v>
      </c>
      <c r="G57" s="1">
        <v>1</v>
      </c>
      <c r="I57" s="1">
        <v>1</v>
      </c>
      <c r="J57" s="1">
        <v>55</v>
      </c>
      <c r="K57" s="1">
        <v>1141</v>
      </c>
      <c r="M57" s="1">
        <v>582</v>
      </c>
      <c r="N57" s="1">
        <v>60</v>
      </c>
      <c r="O57" s="1">
        <v>95</v>
      </c>
      <c r="Q57" s="1">
        <v>15</v>
      </c>
      <c r="S57" s="1">
        <v>30</v>
      </c>
      <c r="T57" s="1">
        <v>-2</v>
      </c>
      <c r="U57" s="1">
        <v>0.5</v>
      </c>
      <c r="V57" s="1">
        <v>70</v>
      </c>
      <c r="W57" s="1">
        <v>-4</v>
      </c>
      <c r="Y57" s="1">
        <v>0.05</v>
      </c>
      <c r="Z57" s="1">
        <v>2.9</v>
      </c>
      <c r="AC57" s="1">
        <v>1</v>
      </c>
      <c r="AI57" s="1" t="s">
        <v>17</v>
      </c>
      <c r="AJ57" s="1" t="s">
        <v>216</v>
      </c>
      <c r="AK57" s="1" t="s">
        <v>427</v>
      </c>
      <c r="AL57" s="1" t="s">
        <v>428</v>
      </c>
      <c r="AO57" s="1" t="s">
        <v>337</v>
      </c>
      <c r="AP57" s="1">
        <v>1</v>
      </c>
      <c r="AQ57" s="1">
        <v>0.5</v>
      </c>
      <c r="AX57" s="1">
        <v>0.25</v>
      </c>
      <c r="BC57" s="1" t="s">
        <v>370</v>
      </c>
      <c r="BD57" s="1" t="s">
        <v>429</v>
      </c>
      <c r="BE57" s="1" t="str">
        <f t="shared" si="4"/>
        <v>icon_lava</v>
      </c>
      <c r="BF57" s="1" t="str">
        <f t="shared" si="5"/>
        <v>half_lava</v>
      </c>
      <c r="BG57" s="1" t="str">
        <f t="shared" si="6"/>
        <v>lava</v>
      </c>
      <c r="BH57" s="1" t="s">
        <v>340</v>
      </c>
      <c r="BI57" s="1">
        <v>3</v>
      </c>
      <c r="BJ57" s="1" t="s">
        <v>341</v>
      </c>
      <c r="BK57" s="1" t="s">
        <v>424</v>
      </c>
      <c r="BL57" s="1" t="s">
        <v>430</v>
      </c>
      <c r="BM57" s="1" t="s">
        <v>431</v>
      </c>
      <c r="BN57" s="1" t="s">
        <v>217</v>
      </c>
      <c r="BO57" s="1" t="s">
        <v>218</v>
      </c>
      <c r="BQ57" s="1" t="s">
        <v>220</v>
      </c>
      <c r="BR57" s="1" t="s">
        <v>220</v>
      </c>
      <c r="BT57" s="1">
        <v>1</v>
      </c>
    </row>
    <row r="58" spans="1:72">
      <c r="A58" s="1" t="s">
        <v>18</v>
      </c>
      <c r="B58" s="1" t="s">
        <v>334</v>
      </c>
      <c r="D58" s="1" t="s">
        <v>432</v>
      </c>
      <c r="E58" s="1">
        <v>211</v>
      </c>
      <c r="F58" s="1" t="str">
        <f t="shared" si="3"/>
        <v>char_211_adnach</v>
      </c>
      <c r="G58" s="1">
        <v>1</v>
      </c>
      <c r="I58" s="1">
        <v>1</v>
      </c>
      <c r="J58" s="1">
        <v>55</v>
      </c>
      <c r="K58" s="1">
        <v>1080</v>
      </c>
      <c r="M58" s="1">
        <v>365</v>
      </c>
      <c r="N58" s="1">
        <v>73</v>
      </c>
      <c r="O58" s="1">
        <v>134</v>
      </c>
      <c r="Q58" s="1">
        <v>0</v>
      </c>
      <c r="S58" s="1">
        <v>11</v>
      </c>
      <c r="T58" s="1">
        <v>-2</v>
      </c>
      <c r="U58" s="1">
        <v>0.5</v>
      </c>
      <c r="V58" s="1">
        <v>70</v>
      </c>
      <c r="W58" s="1">
        <v>-10</v>
      </c>
      <c r="Y58" s="1">
        <v>0.05</v>
      </c>
      <c r="Z58" s="1">
        <v>1</v>
      </c>
      <c r="AC58" s="1">
        <v>1</v>
      </c>
      <c r="AI58" s="1" t="s">
        <v>18</v>
      </c>
      <c r="AJ58" s="1" t="s">
        <v>216</v>
      </c>
      <c r="AK58" s="1" t="s">
        <v>433</v>
      </c>
      <c r="AL58" s="1" t="s">
        <v>383</v>
      </c>
      <c r="AO58" s="1" t="s">
        <v>337</v>
      </c>
      <c r="AP58" s="1">
        <v>1</v>
      </c>
      <c r="AQ58" s="1">
        <v>0.5</v>
      </c>
      <c r="AX58" s="1">
        <v>0.25</v>
      </c>
      <c r="BC58" s="1" t="s">
        <v>363</v>
      </c>
      <c r="BD58" s="1" t="s">
        <v>364</v>
      </c>
      <c r="BE58" s="1" t="str">
        <f t="shared" si="4"/>
        <v>icon_adnach</v>
      </c>
      <c r="BF58" s="1" t="str">
        <f t="shared" si="5"/>
        <v>half_adnach</v>
      </c>
      <c r="BG58" s="1" t="str">
        <f t="shared" si="6"/>
        <v>adnach</v>
      </c>
      <c r="BH58" s="1" t="s">
        <v>340</v>
      </c>
      <c r="BI58" s="1">
        <v>3</v>
      </c>
      <c r="BJ58" s="1" t="s">
        <v>341</v>
      </c>
      <c r="BK58" s="1" t="s">
        <v>434</v>
      </c>
      <c r="BL58" s="1" t="s">
        <v>366</v>
      </c>
      <c r="BM58" s="1" t="s">
        <v>435</v>
      </c>
      <c r="BN58" s="1" t="s">
        <v>217</v>
      </c>
      <c r="BO58" s="1" t="s">
        <v>218</v>
      </c>
      <c r="BQ58" s="1" t="s">
        <v>220</v>
      </c>
      <c r="BR58" s="1" t="s">
        <v>220</v>
      </c>
      <c r="BT58" s="1">
        <v>1</v>
      </c>
    </row>
    <row r="59" spans="1:72">
      <c r="A59" s="1" t="s">
        <v>19</v>
      </c>
      <c r="B59" s="1" t="s">
        <v>334</v>
      </c>
      <c r="D59" s="1" t="s">
        <v>436</v>
      </c>
      <c r="E59" s="1" t="s">
        <v>437</v>
      </c>
      <c r="F59" s="1" t="str">
        <f t="shared" si="3"/>
        <v>char_124_kroos</v>
      </c>
      <c r="G59" s="1">
        <v>1</v>
      </c>
      <c r="I59" s="1">
        <v>1</v>
      </c>
      <c r="J59" s="1">
        <v>55</v>
      </c>
      <c r="K59" s="1">
        <v>1060</v>
      </c>
      <c r="M59" s="1">
        <v>375</v>
      </c>
      <c r="N59" s="1">
        <v>71</v>
      </c>
      <c r="O59" s="1">
        <v>126</v>
      </c>
      <c r="Q59" s="1">
        <v>0</v>
      </c>
      <c r="S59" s="1">
        <v>11</v>
      </c>
      <c r="T59" s="1">
        <v>-2</v>
      </c>
      <c r="U59" s="1">
        <v>0.5</v>
      </c>
      <c r="V59" s="1">
        <v>70</v>
      </c>
      <c r="W59" s="1">
        <v>-4</v>
      </c>
      <c r="Y59" s="1">
        <v>0.05</v>
      </c>
      <c r="Z59" s="1">
        <v>1</v>
      </c>
      <c r="AC59" s="1">
        <v>1</v>
      </c>
      <c r="AI59" s="1" t="s">
        <v>19</v>
      </c>
      <c r="AJ59" s="1" t="s">
        <v>216</v>
      </c>
      <c r="AK59" s="1" t="s">
        <v>438</v>
      </c>
      <c r="AL59" s="1" t="s">
        <v>439</v>
      </c>
      <c r="AO59" s="1" t="s">
        <v>337</v>
      </c>
      <c r="AP59" s="1">
        <v>1</v>
      </c>
      <c r="AQ59" s="1">
        <v>0.5</v>
      </c>
      <c r="AX59" s="1">
        <v>0.25</v>
      </c>
      <c r="BC59" s="1" t="s">
        <v>363</v>
      </c>
      <c r="BD59" s="1" t="s">
        <v>364</v>
      </c>
      <c r="BE59" s="1" t="str">
        <f t="shared" si="4"/>
        <v>icon_kroos</v>
      </c>
      <c r="BF59" s="1" t="str">
        <f t="shared" si="5"/>
        <v>half_kroos</v>
      </c>
      <c r="BG59" s="1" t="str">
        <f t="shared" si="6"/>
        <v>kroos</v>
      </c>
      <c r="BH59" s="1" t="s">
        <v>340</v>
      </c>
      <c r="BI59" s="1">
        <v>3</v>
      </c>
      <c r="BJ59" s="1" t="s">
        <v>341</v>
      </c>
      <c r="BK59" s="1" t="s">
        <v>440</v>
      </c>
      <c r="BL59" s="1" t="s">
        <v>366</v>
      </c>
      <c r="BM59" s="1" t="s">
        <v>394</v>
      </c>
      <c r="BN59" s="1" t="s">
        <v>217</v>
      </c>
      <c r="BO59" s="1" t="s">
        <v>218</v>
      </c>
      <c r="BQ59" s="1" t="s">
        <v>220</v>
      </c>
      <c r="BR59" s="1" t="s">
        <v>220</v>
      </c>
      <c r="BT59" s="1">
        <v>1</v>
      </c>
    </row>
    <row r="60" spans="1:72">
      <c r="A60" s="1" t="s">
        <v>20</v>
      </c>
      <c r="B60" s="1" t="s">
        <v>334</v>
      </c>
      <c r="D60" s="1" t="s">
        <v>441</v>
      </c>
      <c r="E60" s="1">
        <v>122</v>
      </c>
      <c r="F60" s="1" t="str">
        <f t="shared" si="3"/>
        <v>char_122_beagle</v>
      </c>
      <c r="G60" s="1">
        <v>1</v>
      </c>
      <c r="I60" s="1">
        <v>1</v>
      </c>
      <c r="J60" s="1">
        <v>55</v>
      </c>
      <c r="K60" s="1">
        <v>2035</v>
      </c>
      <c r="M60" s="1">
        <v>295</v>
      </c>
      <c r="O60" s="1">
        <v>490</v>
      </c>
      <c r="P60" s="1">
        <v>88</v>
      </c>
      <c r="Q60" s="1">
        <v>0</v>
      </c>
      <c r="S60" s="1">
        <v>18</v>
      </c>
      <c r="T60" s="1">
        <v>-2</v>
      </c>
      <c r="U60" s="1">
        <v>0.5</v>
      </c>
      <c r="V60" s="1">
        <v>70</v>
      </c>
      <c r="W60" s="1">
        <v>-10</v>
      </c>
      <c r="Y60" s="1">
        <v>0.05</v>
      </c>
      <c r="Z60" s="1">
        <v>1.2</v>
      </c>
      <c r="AC60" s="1">
        <v>1</v>
      </c>
      <c r="AI60" s="1" t="s">
        <v>20</v>
      </c>
      <c r="AJ60" s="1" t="s">
        <v>216</v>
      </c>
      <c r="AK60" s="1" t="s">
        <v>442</v>
      </c>
      <c r="AL60" s="1" t="s">
        <v>443</v>
      </c>
      <c r="AO60" s="1" t="s">
        <v>347</v>
      </c>
      <c r="AP60" s="1">
        <v>3</v>
      </c>
      <c r="AQ60" s="1">
        <v>0.5</v>
      </c>
      <c r="AX60" s="1">
        <v>0.25</v>
      </c>
      <c r="BC60" s="1" t="s">
        <v>356</v>
      </c>
      <c r="BD60" s="1" t="s">
        <v>357</v>
      </c>
      <c r="BE60" s="1" t="str">
        <f t="shared" si="4"/>
        <v>icon_beagle</v>
      </c>
      <c r="BF60" s="1" t="str">
        <f t="shared" si="5"/>
        <v>half_beagle</v>
      </c>
      <c r="BG60" s="1" t="str">
        <f t="shared" si="6"/>
        <v>beagle</v>
      </c>
      <c r="BH60" s="1" t="s">
        <v>340</v>
      </c>
      <c r="BI60" s="1">
        <v>3</v>
      </c>
      <c r="BJ60" s="1" t="s">
        <v>350</v>
      </c>
      <c r="BK60" s="1" t="s">
        <v>444</v>
      </c>
      <c r="BL60" s="1" t="s">
        <v>359</v>
      </c>
      <c r="BM60" s="1" t="s">
        <v>445</v>
      </c>
      <c r="BN60" s="1" t="s">
        <v>217</v>
      </c>
      <c r="BO60" s="1" t="s">
        <v>218</v>
      </c>
      <c r="BQ60" s="1" t="s">
        <v>220</v>
      </c>
      <c r="BR60" s="1" t="s">
        <v>220</v>
      </c>
      <c r="BT60" s="1">
        <v>1</v>
      </c>
    </row>
    <row r="61" spans="1:72">
      <c r="A61" s="1" t="s">
        <v>21</v>
      </c>
      <c r="B61" s="1" t="s">
        <v>334</v>
      </c>
      <c r="D61" s="1" t="s">
        <v>446</v>
      </c>
      <c r="E61" s="1">
        <v>209</v>
      </c>
      <c r="F61" s="1" t="str">
        <f t="shared" si="3"/>
        <v>char_209_ardign</v>
      </c>
      <c r="G61" s="1">
        <v>1</v>
      </c>
      <c r="I61" s="1">
        <v>1</v>
      </c>
      <c r="J61" s="1">
        <v>55</v>
      </c>
      <c r="K61" s="1">
        <v>2130</v>
      </c>
      <c r="L61" s="1">
        <v>500</v>
      </c>
      <c r="M61" s="1">
        <v>305</v>
      </c>
      <c r="O61" s="1">
        <v>475</v>
      </c>
      <c r="Q61" s="1">
        <v>0</v>
      </c>
      <c r="S61" s="1">
        <v>18</v>
      </c>
      <c r="T61" s="1">
        <v>-2</v>
      </c>
      <c r="U61" s="1">
        <v>0.5</v>
      </c>
      <c r="V61" s="1">
        <v>70</v>
      </c>
      <c r="W61" s="1">
        <v>-10</v>
      </c>
      <c r="Y61" s="1">
        <v>0.05</v>
      </c>
      <c r="Z61" s="1">
        <v>1.2</v>
      </c>
      <c r="AC61" s="1">
        <v>1</v>
      </c>
      <c r="AI61" s="1" t="s">
        <v>21</v>
      </c>
      <c r="AJ61" s="1" t="s">
        <v>216</v>
      </c>
      <c r="AK61" s="1" t="s">
        <v>447</v>
      </c>
      <c r="AL61" s="1" t="s">
        <v>448</v>
      </c>
      <c r="AO61" s="1" t="s">
        <v>347</v>
      </c>
      <c r="AP61" s="1">
        <v>3</v>
      </c>
      <c r="AQ61" s="1">
        <v>0.5</v>
      </c>
      <c r="AX61" s="1">
        <v>0.25</v>
      </c>
      <c r="BC61" s="1" t="s">
        <v>356</v>
      </c>
      <c r="BD61" s="1" t="s">
        <v>357</v>
      </c>
      <c r="BE61" s="1" t="str">
        <f t="shared" si="4"/>
        <v>icon_ardign</v>
      </c>
      <c r="BF61" s="1" t="str">
        <f t="shared" si="5"/>
        <v>half_ardign</v>
      </c>
      <c r="BG61" s="1" t="str">
        <f t="shared" si="6"/>
        <v>ardign</v>
      </c>
      <c r="BH61" s="1" t="s">
        <v>340</v>
      </c>
      <c r="BI61" s="1">
        <v>3</v>
      </c>
      <c r="BJ61" s="1" t="s">
        <v>350</v>
      </c>
      <c r="BK61" s="1" t="s">
        <v>449</v>
      </c>
      <c r="BL61" s="1" t="s">
        <v>359</v>
      </c>
      <c r="BM61" s="1" t="s">
        <v>450</v>
      </c>
      <c r="BN61" s="1" t="s">
        <v>217</v>
      </c>
      <c r="BO61" s="1" t="s">
        <v>218</v>
      </c>
      <c r="BQ61" s="1" t="s">
        <v>220</v>
      </c>
      <c r="BR61" s="1" t="s">
        <v>220</v>
      </c>
      <c r="BT61" s="1">
        <v>1</v>
      </c>
    </row>
    <row r="62" spans="1:72">
      <c r="A62" s="1" t="s">
        <v>22</v>
      </c>
      <c r="B62" s="1" t="s">
        <v>334</v>
      </c>
      <c r="D62" s="1" t="s">
        <v>451</v>
      </c>
      <c r="E62" s="1">
        <v>208</v>
      </c>
      <c r="F62" t="s">
        <v>452</v>
      </c>
      <c r="G62" s="1">
        <v>1</v>
      </c>
      <c r="I62" s="1">
        <v>1</v>
      </c>
      <c r="J62" s="1">
        <v>55</v>
      </c>
      <c r="K62" s="1">
        <v>2745</v>
      </c>
      <c r="M62" s="1">
        <v>738000</v>
      </c>
      <c r="N62" s="1">
        <v>90</v>
      </c>
      <c r="O62" s="1">
        <v>155</v>
      </c>
      <c r="Q62" s="1">
        <v>0</v>
      </c>
      <c r="S62" s="1">
        <v>15</v>
      </c>
      <c r="T62" s="1">
        <v>-2</v>
      </c>
      <c r="U62" s="1">
        <v>0.5</v>
      </c>
      <c r="V62" s="1">
        <v>70</v>
      </c>
      <c r="W62" s="1">
        <v>-10</v>
      </c>
      <c r="Y62" s="1">
        <v>0.05</v>
      </c>
      <c r="Z62" s="1">
        <v>1.5</v>
      </c>
      <c r="AC62" s="1">
        <v>1</v>
      </c>
      <c r="AI62" s="1" t="s">
        <v>22</v>
      </c>
      <c r="AJ62" s="1" t="s">
        <v>216</v>
      </c>
      <c r="AK62" s="1" t="s">
        <v>453</v>
      </c>
      <c r="AL62" s="1" t="s">
        <v>383</v>
      </c>
      <c r="AO62" s="1" t="s">
        <v>347</v>
      </c>
      <c r="AP62" s="1">
        <v>1</v>
      </c>
      <c r="AQ62" s="1">
        <v>0.5</v>
      </c>
      <c r="AX62" s="1">
        <v>0.25</v>
      </c>
      <c r="BC62" s="1" t="s">
        <v>348</v>
      </c>
      <c r="BD62" s="1" t="s">
        <v>349</v>
      </c>
      <c r="BE62" s="1" t="str">
        <f t="shared" si="4"/>
        <v>icon_melan</v>
      </c>
      <c r="BF62" s="1" t="str">
        <f t="shared" si="5"/>
        <v>half_melan</v>
      </c>
      <c r="BG62" s="1" t="str">
        <f t="shared" si="6"/>
        <v>melan</v>
      </c>
      <c r="BH62" s="1" t="s">
        <v>340</v>
      </c>
      <c r="BI62" s="1">
        <v>3</v>
      </c>
      <c r="BJ62" s="1" t="s">
        <v>350</v>
      </c>
      <c r="BK62" s="1" t="s">
        <v>454</v>
      </c>
      <c r="BL62" s="1" t="s">
        <v>455</v>
      </c>
      <c r="BM62" s="1" t="s">
        <v>456</v>
      </c>
      <c r="BN62" s="1" t="s">
        <v>217</v>
      </c>
      <c r="BO62" s="1" t="s">
        <v>218</v>
      </c>
      <c r="BQ62" s="1" t="s">
        <v>220</v>
      </c>
      <c r="BR62" s="1" t="s">
        <v>220</v>
      </c>
      <c r="BT62" s="1">
        <v>2</v>
      </c>
    </row>
    <row r="64" spans="1:1">
      <c r="A64" s="1" t="s">
        <v>23</v>
      </c>
    </row>
    <row r="65" spans="1:72">
      <c r="A65" s="1" t="s">
        <v>24</v>
      </c>
      <c r="B65" s="1" t="s">
        <v>334</v>
      </c>
      <c r="D65" s="1" t="s">
        <v>457</v>
      </c>
      <c r="E65" s="1">
        <v>141</v>
      </c>
      <c r="F65" s="1" t="str">
        <f t="shared" ref="F65:F84" si="7">"char_"&amp;E65&amp;"_"&amp;D65</f>
        <v>char_141_nights</v>
      </c>
      <c r="G65" s="1">
        <v>1</v>
      </c>
      <c r="I65" s="1">
        <v>2</v>
      </c>
      <c r="J65" s="1">
        <v>70</v>
      </c>
      <c r="K65" s="1">
        <v>1420</v>
      </c>
      <c r="L65" s="1">
        <v>100</v>
      </c>
      <c r="M65" s="1">
        <v>583</v>
      </c>
      <c r="N65" s="1">
        <v>60</v>
      </c>
      <c r="O65" s="1">
        <v>110</v>
      </c>
      <c r="Q65" s="1">
        <v>20</v>
      </c>
      <c r="S65" s="1">
        <v>19</v>
      </c>
      <c r="T65" s="1">
        <v>-2</v>
      </c>
      <c r="U65" s="1">
        <v>0.5</v>
      </c>
      <c r="V65" s="1">
        <v>70</v>
      </c>
      <c r="W65" s="1">
        <v>-4</v>
      </c>
      <c r="Y65" s="1">
        <v>0.05</v>
      </c>
      <c r="Z65" s="1">
        <v>1.6</v>
      </c>
      <c r="AC65" s="1">
        <v>1</v>
      </c>
      <c r="AI65" s="1" t="s">
        <v>24</v>
      </c>
      <c r="AJ65" s="1" t="s">
        <v>216</v>
      </c>
      <c r="AK65" s="1" t="s">
        <v>458</v>
      </c>
      <c r="AL65" s="1" t="s">
        <v>459</v>
      </c>
      <c r="AO65" s="1" t="s">
        <v>337</v>
      </c>
      <c r="AP65" s="1">
        <v>1</v>
      </c>
      <c r="AQ65" s="1">
        <v>0.5</v>
      </c>
      <c r="AX65" s="1">
        <v>0.25</v>
      </c>
      <c r="BC65" s="1" t="s">
        <v>370</v>
      </c>
      <c r="BD65" s="1" t="s">
        <v>371</v>
      </c>
      <c r="BE65" s="1" t="str">
        <f t="shared" ref="BE65:BE84" si="8">"icon_"&amp;D65</f>
        <v>icon_nights</v>
      </c>
      <c r="BF65" s="1" t="str">
        <f t="shared" ref="BF65:BF86" si="9">"half_"&amp;D65</f>
        <v>half_nights</v>
      </c>
      <c r="BG65" s="1" t="str">
        <f t="shared" ref="BG65:BG86" si="10">D65</f>
        <v>nights</v>
      </c>
      <c r="BH65" s="1" t="s">
        <v>340</v>
      </c>
      <c r="BI65" s="1">
        <v>4</v>
      </c>
      <c r="BJ65" s="1" t="s">
        <v>341</v>
      </c>
      <c r="BK65" s="1" t="s">
        <v>460</v>
      </c>
      <c r="BL65" s="1" t="s">
        <v>372</v>
      </c>
      <c r="BM65" s="1" t="s">
        <v>461</v>
      </c>
      <c r="BN65" s="1" t="s">
        <v>217</v>
      </c>
      <c r="BO65" s="1" t="s">
        <v>218</v>
      </c>
      <c r="BQ65" s="1" t="s">
        <v>220</v>
      </c>
      <c r="BR65" s="1" t="s">
        <v>220</v>
      </c>
      <c r="BT65" s="1">
        <v>1</v>
      </c>
    </row>
    <row r="66" spans="1:72">
      <c r="A66" s="1" t="s">
        <v>25</v>
      </c>
      <c r="B66" s="1" t="s">
        <v>334</v>
      </c>
      <c r="D66" s="1" t="s">
        <v>462</v>
      </c>
      <c r="E66" s="1">
        <v>109</v>
      </c>
      <c r="F66" s="1" t="str">
        <f t="shared" si="7"/>
        <v>char_109_fmout</v>
      </c>
      <c r="G66" s="1">
        <v>1</v>
      </c>
      <c r="I66" s="1">
        <v>2</v>
      </c>
      <c r="J66" s="1">
        <v>70</v>
      </c>
      <c r="K66" s="1">
        <v>1598</v>
      </c>
      <c r="M66" s="1">
        <v>715</v>
      </c>
      <c r="N66" s="1">
        <v>97</v>
      </c>
      <c r="O66" s="1">
        <v>118</v>
      </c>
      <c r="Q66" s="1">
        <v>20</v>
      </c>
      <c r="S66" s="1">
        <v>32</v>
      </c>
      <c r="T66" s="1">
        <v>-2</v>
      </c>
      <c r="U66" s="1">
        <v>0.5</v>
      </c>
      <c r="V66" s="1">
        <v>70</v>
      </c>
      <c r="W66" s="1">
        <v>-4</v>
      </c>
      <c r="Y66" s="1">
        <v>0.05</v>
      </c>
      <c r="Z66" s="1">
        <v>2.9</v>
      </c>
      <c r="AC66" s="1">
        <v>1</v>
      </c>
      <c r="AI66" s="1" t="s">
        <v>25</v>
      </c>
      <c r="AJ66" s="1" t="s">
        <v>216</v>
      </c>
      <c r="AK66" s="1" t="s">
        <v>463</v>
      </c>
      <c r="AL66" s="1" t="s">
        <v>464</v>
      </c>
      <c r="AO66" s="1" t="s">
        <v>337</v>
      </c>
      <c r="AP66" s="1">
        <v>1</v>
      </c>
      <c r="AQ66" s="1">
        <v>0.5</v>
      </c>
      <c r="AX66" s="1">
        <v>0.25</v>
      </c>
      <c r="BC66" s="1" t="s">
        <v>370</v>
      </c>
      <c r="BD66" s="1" t="s">
        <v>429</v>
      </c>
      <c r="BE66" s="1" t="str">
        <f t="shared" si="8"/>
        <v>icon_fmout</v>
      </c>
      <c r="BF66" s="1" t="str">
        <f t="shared" si="9"/>
        <v>half_fmout</v>
      </c>
      <c r="BG66" s="1" t="str">
        <f t="shared" si="10"/>
        <v>fmout</v>
      </c>
      <c r="BH66" s="1" t="s">
        <v>340</v>
      </c>
      <c r="BI66" s="1">
        <v>4</v>
      </c>
      <c r="BJ66" s="1" t="s">
        <v>341</v>
      </c>
      <c r="BK66" s="1" t="s">
        <v>465</v>
      </c>
      <c r="BL66" s="1" t="s">
        <v>430</v>
      </c>
      <c r="BM66" s="1" t="s">
        <v>466</v>
      </c>
      <c r="BN66" s="1" t="s">
        <v>217</v>
      </c>
      <c r="BO66" s="1" t="s">
        <v>218</v>
      </c>
      <c r="BQ66" s="1" t="s">
        <v>220</v>
      </c>
      <c r="BR66" s="1" t="s">
        <v>220</v>
      </c>
      <c r="BT66" s="1">
        <v>1</v>
      </c>
    </row>
    <row r="67" spans="1:72">
      <c r="A67" s="1" t="s">
        <v>26</v>
      </c>
      <c r="B67" s="1" t="s">
        <v>334</v>
      </c>
      <c r="D67" s="1" t="s">
        <v>467</v>
      </c>
      <c r="E67" s="1">
        <v>235</v>
      </c>
      <c r="F67" s="1" t="str">
        <f t="shared" si="7"/>
        <v>char_235_jesica</v>
      </c>
      <c r="G67" s="1">
        <v>1</v>
      </c>
      <c r="I67" s="1">
        <v>2</v>
      </c>
      <c r="J67" s="1">
        <v>70</v>
      </c>
      <c r="K67" s="1">
        <v>1320</v>
      </c>
      <c r="M67" s="1">
        <v>475</v>
      </c>
      <c r="N67" s="1">
        <v>88</v>
      </c>
      <c r="O67" s="1">
        <v>154</v>
      </c>
      <c r="Q67" s="1">
        <v>0</v>
      </c>
      <c r="S67" s="1">
        <v>12</v>
      </c>
      <c r="T67" s="1">
        <v>-2</v>
      </c>
      <c r="U67" s="1">
        <v>0.5</v>
      </c>
      <c r="V67" s="1">
        <v>70</v>
      </c>
      <c r="W67" s="1">
        <v>-10</v>
      </c>
      <c r="X67" s="1">
        <v>12</v>
      </c>
      <c r="Y67" s="1">
        <v>0.05</v>
      </c>
      <c r="Z67" s="1">
        <v>1</v>
      </c>
      <c r="AC67" s="1">
        <v>1</v>
      </c>
      <c r="AI67" s="1" t="s">
        <v>26</v>
      </c>
      <c r="AJ67" s="1" t="s">
        <v>216</v>
      </c>
      <c r="AK67" s="1" t="s">
        <v>468</v>
      </c>
      <c r="AL67" s="1" t="s">
        <v>469</v>
      </c>
      <c r="AO67" s="1" t="s">
        <v>337</v>
      </c>
      <c r="AP67" s="1">
        <v>1</v>
      </c>
      <c r="AQ67" s="1">
        <v>0.5</v>
      </c>
      <c r="AX67" s="1">
        <v>0.25</v>
      </c>
      <c r="BC67" s="1" t="s">
        <v>363</v>
      </c>
      <c r="BD67" s="1" t="s">
        <v>364</v>
      </c>
      <c r="BE67" s="1" t="str">
        <f t="shared" si="8"/>
        <v>icon_jesica</v>
      </c>
      <c r="BF67" s="1" t="str">
        <f t="shared" si="9"/>
        <v>half_jesica</v>
      </c>
      <c r="BG67" s="1" t="str">
        <f t="shared" si="10"/>
        <v>jesica</v>
      </c>
      <c r="BH67" s="1" t="s">
        <v>340</v>
      </c>
      <c r="BI67" s="1">
        <v>4</v>
      </c>
      <c r="BJ67" s="1" t="s">
        <v>341</v>
      </c>
      <c r="BK67" s="1" t="s">
        <v>470</v>
      </c>
      <c r="BL67" s="1" t="s">
        <v>366</v>
      </c>
      <c r="BM67" s="1" t="s">
        <v>471</v>
      </c>
      <c r="BN67" s="1" t="s">
        <v>217</v>
      </c>
      <c r="BO67" s="1" t="s">
        <v>218</v>
      </c>
      <c r="BQ67" s="1" t="s">
        <v>220</v>
      </c>
      <c r="BR67" s="1" t="s">
        <v>220</v>
      </c>
      <c r="BT67" s="1">
        <v>1</v>
      </c>
    </row>
    <row r="68" spans="1:72">
      <c r="A68" s="1" t="s">
        <v>27</v>
      </c>
      <c r="B68" s="1" t="s">
        <v>334</v>
      </c>
      <c r="D68" s="1" t="s">
        <v>472</v>
      </c>
      <c r="E68" s="1">
        <v>126</v>
      </c>
      <c r="F68" s="1" t="str">
        <f t="shared" si="7"/>
        <v>char_126_shotst</v>
      </c>
      <c r="G68" s="1">
        <v>1</v>
      </c>
      <c r="I68" s="1">
        <v>2</v>
      </c>
      <c r="J68" s="1">
        <v>70</v>
      </c>
      <c r="K68" s="1">
        <v>1370</v>
      </c>
      <c r="M68" s="1">
        <v>465</v>
      </c>
      <c r="N68" s="1">
        <v>88</v>
      </c>
      <c r="O68" s="1">
        <v>165</v>
      </c>
      <c r="Q68" s="1">
        <v>0</v>
      </c>
      <c r="S68" s="1">
        <v>12</v>
      </c>
      <c r="T68" s="1">
        <v>-2</v>
      </c>
      <c r="U68" s="1">
        <v>0.5</v>
      </c>
      <c r="V68" s="1">
        <v>70</v>
      </c>
      <c r="W68" s="1">
        <v>-4</v>
      </c>
      <c r="Y68" s="1">
        <v>0.05</v>
      </c>
      <c r="Z68" s="1">
        <v>1</v>
      </c>
      <c r="AC68" s="1">
        <v>1</v>
      </c>
      <c r="AI68" s="1" t="s">
        <v>27</v>
      </c>
      <c r="AJ68" s="1" t="s">
        <v>216</v>
      </c>
      <c r="AK68" s="1" t="s">
        <v>473</v>
      </c>
      <c r="AL68" s="1" t="s">
        <v>474</v>
      </c>
      <c r="AO68" s="1" t="s">
        <v>337</v>
      </c>
      <c r="AP68" s="1">
        <v>1</v>
      </c>
      <c r="AQ68" s="1">
        <v>0.5</v>
      </c>
      <c r="AX68" s="1">
        <v>0.25</v>
      </c>
      <c r="BC68" s="1" t="s">
        <v>363</v>
      </c>
      <c r="BD68" s="1" t="s">
        <v>364</v>
      </c>
      <c r="BE68" s="1" t="str">
        <f t="shared" si="8"/>
        <v>icon_shotst</v>
      </c>
      <c r="BF68" s="1" t="str">
        <f t="shared" si="9"/>
        <v>half_shotst</v>
      </c>
      <c r="BG68" s="1" t="str">
        <f t="shared" si="10"/>
        <v>shotst</v>
      </c>
      <c r="BH68" s="1" t="s">
        <v>340</v>
      </c>
      <c r="BI68" s="1">
        <v>4</v>
      </c>
      <c r="BJ68" s="1" t="s">
        <v>341</v>
      </c>
      <c r="BK68" s="1" t="s">
        <v>475</v>
      </c>
      <c r="BL68" s="1" t="s">
        <v>366</v>
      </c>
      <c r="BM68" s="1" t="s">
        <v>476</v>
      </c>
      <c r="BN68" s="1" t="s">
        <v>217</v>
      </c>
      <c r="BO68" s="1" t="s">
        <v>218</v>
      </c>
      <c r="BQ68" s="1" t="s">
        <v>220</v>
      </c>
      <c r="BR68" s="1" t="s">
        <v>220</v>
      </c>
      <c r="BT68" s="1">
        <v>1</v>
      </c>
    </row>
    <row r="69" spans="1:72">
      <c r="A69" s="1" t="s">
        <v>28</v>
      </c>
      <c r="B69" s="1" t="s">
        <v>334</v>
      </c>
      <c r="D69" s="1" t="s">
        <v>477</v>
      </c>
      <c r="E69" s="1">
        <v>118</v>
      </c>
      <c r="F69" s="1" t="str">
        <f t="shared" si="7"/>
        <v>char_118_yuki</v>
      </c>
      <c r="G69" s="1">
        <v>1</v>
      </c>
      <c r="I69" s="1">
        <v>2</v>
      </c>
      <c r="J69" s="1">
        <v>70</v>
      </c>
      <c r="K69" s="1">
        <v>1630</v>
      </c>
      <c r="M69" s="1">
        <v>797</v>
      </c>
      <c r="N69" s="1">
        <v>100</v>
      </c>
      <c r="O69" s="1">
        <v>100</v>
      </c>
      <c r="Q69" s="1">
        <v>0</v>
      </c>
      <c r="S69" s="1">
        <v>27</v>
      </c>
      <c r="T69" s="1">
        <v>-2</v>
      </c>
      <c r="U69" s="1">
        <v>0.5</v>
      </c>
      <c r="V69" s="1">
        <v>70</v>
      </c>
      <c r="W69" s="1">
        <v>-10</v>
      </c>
      <c r="Y69" s="1">
        <v>0.05</v>
      </c>
      <c r="Z69" s="1">
        <v>2.8</v>
      </c>
      <c r="AC69" s="1">
        <v>1</v>
      </c>
      <c r="AI69" s="1" t="s">
        <v>28</v>
      </c>
      <c r="AJ69" s="1" t="s">
        <v>216</v>
      </c>
      <c r="AK69" s="1" t="s">
        <v>478</v>
      </c>
      <c r="AL69" s="1" t="s">
        <v>479</v>
      </c>
      <c r="AO69" s="1" t="s">
        <v>337</v>
      </c>
      <c r="AP69" s="1">
        <v>1</v>
      </c>
      <c r="AQ69" s="1">
        <v>0.5</v>
      </c>
      <c r="AX69" s="1">
        <v>0.25</v>
      </c>
      <c r="BC69" s="1" t="s">
        <v>363</v>
      </c>
      <c r="BD69" s="1" t="s">
        <v>398</v>
      </c>
      <c r="BE69" s="1" t="str">
        <f t="shared" si="8"/>
        <v>icon_yuki</v>
      </c>
      <c r="BF69" s="1" t="str">
        <f t="shared" si="9"/>
        <v>half_yuki</v>
      </c>
      <c r="BG69" s="1" t="str">
        <f t="shared" si="10"/>
        <v>yuki</v>
      </c>
      <c r="BH69" s="1" t="s">
        <v>340</v>
      </c>
      <c r="BI69" s="1">
        <v>4</v>
      </c>
      <c r="BJ69" s="1" t="s">
        <v>341</v>
      </c>
      <c r="BK69" s="1" t="s">
        <v>480</v>
      </c>
      <c r="BL69" s="1" t="s">
        <v>400</v>
      </c>
      <c r="BM69" s="1" t="s">
        <v>481</v>
      </c>
      <c r="BN69" s="1" t="s">
        <v>217</v>
      </c>
      <c r="BO69" s="1" t="s">
        <v>218</v>
      </c>
      <c r="BQ69" s="1" t="s">
        <v>220</v>
      </c>
      <c r="BR69" s="1" t="s">
        <v>220</v>
      </c>
      <c r="BT69" s="1">
        <v>1</v>
      </c>
    </row>
    <row r="70" spans="1:72">
      <c r="A70" s="1" t="s">
        <v>29</v>
      </c>
      <c r="B70" s="1" t="s">
        <v>334</v>
      </c>
      <c r="D70" s="1" t="s">
        <v>482</v>
      </c>
      <c r="E70" s="1">
        <v>130</v>
      </c>
      <c r="F70" s="1" t="str">
        <f t="shared" si="7"/>
        <v>char_130_doberm</v>
      </c>
      <c r="G70" s="1">
        <v>1</v>
      </c>
      <c r="I70" s="1">
        <v>2</v>
      </c>
      <c r="J70" s="1">
        <v>70</v>
      </c>
      <c r="K70" s="1">
        <v>2024</v>
      </c>
      <c r="L70" s="1">
        <v>150</v>
      </c>
      <c r="M70" s="1">
        <v>602</v>
      </c>
      <c r="N70" s="1">
        <v>30</v>
      </c>
      <c r="O70" s="1">
        <v>382</v>
      </c>
      <c r="P70" s="1">
        <v>30</v>
      </c>
      <c r="Q70" s="1">
        <v>0</v>
      </c>
      <c r="S70" s="1">
        <v>15</v>
      </c>
      <c r="T70" s="1">
        <v>-2</v>
      </c>
      <c r="U70" s="1">
        <v>0.5</v>
      </c>
      <c r="V70" s="1">
        <v>70</v>
      </c>
      <c r="W70" s="1">
        <v>-4</v>
      </c>
      <c r="Y70" s="1">
        <v>0.05</v>
      </c>
      <c r="Z70" s="1">
        <v>1.05</v>
      </c>
      <c r="AC70" s="1">
        <v>1</v>
      </c>
      <c r="AI70" s="1" t="s">
        <v>29</v>
      </c>
      <c r="AJ70" s="1" t="s">
        <v>216</v>
      </c>
      <c r="AK70" s="1" t="s">
        <v>483</v>
      </c>
      <c r="AL70" s="1" t="s">
        <v>484</v>
      </c>
      <c r="AO70" s="1" t="s">
        <v>347</v>
      </c>
      <c r="AP70" s="1">
        <v>2</v>
      </c>
      <c r="AQ70" s="1">
        <v>0.5</v>
      </c>
      <c r="AX70" s="1">
        <v>0.25</v>
      </c>
      <c r="BC70" s="1" t="s">
        <v>348</v>
      </c>
      <c r="BD70" s="1" t="s">
        <v>485</v>
      </c>
      <c r="BE70" s="1" t="str">
        <f t="shared" si="8"/>
        <v>icon_doberm</v>
      </c>
      <c r="BF70" s="1" t="str">
        <f t="shared" si="9"/>
        <v>half_doberm</v>
      </c>
      <c r="BG70" s="1" t="str">
        <f t="shared" si="10"/>
        <v>doberm</v>
      </c>
      <c r="BH70" s="1" t="s">
        <v>340</v>
      </c>
      <c r="BI70" s="1">
        <v>4</v>
      </c>
      <c r="BJ70" s="1" t="s">
        <v>350</v>
      </c>
      <c r="BK70" s="1" t="s">
        <v>486</v>
      </c>
      <c r="BL70" s="1" t="s">
        <v>487</v>
      </c>
      <c r="BM70" s="1" t="s">
        <v>488</v>
      </c>
      <c r="BN70" s="1" t="s">
        <v>217</v>
      </c>
      <c r="BO70" s="1" t="s">
        <v>218</v>
      </c>
      <c r="BQ70" s="1" t="s">
        <v>220</v>
      </c>
      <c r="BR70" s="1" t="s">
        <v>220</v>
      </c>
      <c r="BT70" s="1">
        <v>1</v>
      </c>
    </row>
    <row r="71" spans="1:72">
      <c r="A71" s="1" t="s">
        <v>30</v>
      </c>
      <c r="B71" s="1" t="s">
        <v>334</v>
      </c>
      <c r="D71" s="1" t="s">
        <v>489</v>
      </c>
      <c r="E71" s="1">
        <v>289</v>
      </c>
      <c r="F71" s="1" t="str">
        <f t="shared" si="7"/>
        <v>char_289_gyuki</v>
      </c>
      <c r="G71" s="1">
        <v>1</v>
      </c>
      <c r="I71" s="1">
        <v>2</v>
      </c>
      <c r="J71" s="1">
        <v>70</v>
      </c>
      <c r="K71" s="1">
        <v>3640</v>
      </c>
      <c r="L71" s="1">
        <v>630</v>
      </c>
      <c r="M71" s="1">
        <v>916</v>
      </c>
      <c r="O71" s="1">
        <v>156</v>
      </c>
      <c r="Q71" s="1">
        <v>0</v>
      </c>
      <c r="S71" s="1">
        <v>17</v>
      </c>
      <c r="T71" s="1">
        <v>-2</v>
      </c>
      <c r="U71" s="1">
        <v>0.5</v>
      </c>
      <c r="V71" s="1">
        <v>70</v>
      </c>
      <c r="W71" s="1">
        <v>-4</v>
      </c>
      <c r="Y71" s="1">
        <v>0.05</v>
      </c>
      <c r="Z71" s="1">
        <v>1.5</v>
      </c>
      <c r="AC71" s="1">
        <v>1</v>
      </c>
      <c r="AI71" s="1" t="s">
        <v>30</v>
      </c>
      <c r="AJ71" s="1" t="s">
        <v>216</v>
      </c>
      <c r="AK71" s="1" t="s">
        <v>490</v>
      </c>
      <c r="AL71" s="1" t="s">
        <v>491</v>
      </c>
      <c r="AO71" s="1" t="s">
        <v>347</v>
      </c>
      <c r="AP71" s="1">
        <v>1</v>
      </c>
      <c r="AQ71" s="1">
        <v>0.5</v>
      </c>
      <c r="AX71" s="1">
        <v>0.25</v>
      </c>
      <c r="BC71" s="1" t="s">
        <v>348</v>
      </c>
      <c r="BD71" s="1" t="s">
        <v>349</v>
      </c>
      <c r="BE71" s="1" t="str">
        <f t="shared" si="8"/>
        <v>icon_gyuki</v>
      </c>
      <c r="BF71" s="1" t="str">
        <f t="shared" si="9"/>
        <v>half_gyuki</v>
      </c>
      <c r="BG71" s="1" t="str">
        <f t="shared" si="10"/>
        <v>gyuki</v>
      </c>
      <c r="BH71" s="1" t="s">
        <v>340</v>
      </c>
      <c r="BI71" s="1">
        <v>4</v>
      </c>
      <c r="BJ71" s="1" t="s">
        <v>350</v>
      </c>
      <c r="BK71" s="1" t="s">
        <v>492</v>
      </c>
      <c r="BL71" s="1" t="s">
        <v>455</v>
      </c>
      <c r="BM71" s="1" t="s">
        <v>493</v>
      </c>
      <c r="BN71" s="1" t="s">
        <v>217</v>
      </c>
      <c r="BO71" s="1" t="s">
        <v>218</v>
      </c>
      <c r="BQ71" s="1" t="s">
        <v>220</v>
      </c>
      <c r="BR71" s="1" t="s">
        <v>220</v>
      </c>
      <c r="BT71" s="1">
        <v>1</v>
      </c>
    </row>
    <row r="72" spans="1:72">
      <c r="A72" s="1" t="s">
        <v>31</v>
      </c>
      <c r="B72" s="1" t="s">
        <v>334</v>
      </c>
      <c r="D72" s="1" t="s">
        <v>494</v>
      </c>
      <c r="E72" s="1">
        <v>193</v>
      </c>
      <c r="F72" s="1" t="str">
        <f t="shared" si="7"/>
        <v>char_193_frostl</v>
      </c>
      <c r="G72" s="1">
        <v>1</v>
      </c>
      <c r="I72" s="1">
        <v>2</v>
      </c>
      <c r="J72" s="1">
        <v>70</v>
      </c>
      <c r="K72" s="1">
        <v>2260</v>
      </c>
      <c r="M72" s="1">
        <v>660</v>
      </c>
      <c r="O72" s="1">
        <v>323</v>
      </c>
      <c r="P72" s="1">
        <v>55</v>
      </c>
      <c r="Q72" s="1">
        <v>10</v>
      </c>
      <c r="S72" s="1">
        <v>18</v>
      </c>
      <c r="T72" s="1">
        <v>-2</v>
      </c>
      <c r="U72" s="1">
        <v>0.5</v>
      </c>
      <c r="V72" s="1">
        <v>70</v>
      </c>
      <c r="W72" s="1">
        <v>-10</v>
      </c>
      <c r="Y72" s="1">
        <v>0.05</v>
      </c>
      <c r="Z72" s="1">
        <v>1.45</v>
      </c>
      <c r="AC72" s="1">
        <v>1</v>
      </c>
      <c r="AI72" s="1" t="s">
        <v>31</v>
      </c>
      <c r="AJ72" s="1" t="s">
        <v>216</v>
      </c>
      <c r="AK72" s="1" t="s">
        <v>495</v>
      </c>
      <c r="AL72" s="1" t="s">
        <v>496</v>
      </c>
      <c r="AO72" s="1" t="s">
        <v>347</v>
      </c>
      <c r="AP72" s="1">
        <v>2</v>
      </c>
      <c r="AQ72" s="1">
        <v>0.5</v>
      </c>
      <c r="AX72" s="1">
        <v>0.25</v>
      </c>
      <c r="BC72" s="1" t="s">
        <v>348</v>
      </c>
      <c r="BD72" s="1" t="s">
        <v>391</v>
      </c>
      <c r="BE72" s="1" t="str">
        <f t="shared" si="8"/>
        <v>icon_frostl</v>
      </c>
      <c r="BF72" s="1" t="str">
        <f t="shared" si="9"/>
        <v>half_frostl</v>
      </c>
      <c r="BG72" s="1" t="str">
        <f t="shared" si="10"/>
        <v>frostl</v>
      </c>
      <c r="BH72" s="1" t="s">
        <v>340</v>
      </c>
      <c r="BI72" s="1">
        <v>4</v>
      </c>
      <c r="BJ72" s="1" t="s">
        <v>350</v>
      </c>
      <c r="BK72" s="1" t="s">
        <v>497</v>
      </c>
      <c r="BL72" s="1" t="s">
        <v>393</v>
      </c>
      <c r="BM72" s="1" t="s">
        <v>498</v>
      </c>
      <c r="BN72" s="1" t="s">
        <v>217</v>
      </c>
      <c r="BO72" s="1" t="s">
        <v>218</v>
      </c>
      <c r="BQ72" s="1" t="s">
        <v>220</v>
      </c>
      <c r="BR72" s="1" t="s">
        <v>220</v>
      </c>
      <c r="BT72" s="1">
        <v>1</v>
      </c>
    </row>
    <row r="73" spans="1:72">
      <c r="A73" s="1" t="s">
        <v>32</v>
      </c>
      <c r="B73" s="1" t="s">
        <v>334</v>
      </c>
      <c r="D73" s="1" t="s">
        <v>499</v>
      </c>
      <c r="E73" s="1">
        <v>127</v>
      </c>
      <c r="F73" s="1" t="str">
        <f t="shared" si="7"/>
        <v>char_127_estell</v>
      </c>
      <c r="G73" s="1">
        <v>1</v>
      </c>
      <c r="I73" s="1">
        <v>2</v>
      </c>
      <c r="J73" s="1">
        <v>70</v>
      </c>
      <c r="K73" s="1">
        <v>2500</v>
      </c>
      <c r="L73" s="1">
        <v>550</v>
      </c>
      <c r="M73" s="1">
        <v>690</v>
      </c>
      <c r="O73" s="1">
        <v>315</v>
      </c>
      <c r="Q73" s="1">
        <v>0</v>
      </c>
      <c r="S73" s="1">
        <v>22</v>
      </c>
      <c r="T73" s="1">
        <v>-2</v>
      </c>
      <c r="U73" s="1">
        <v>0.5</v>
      </c>
      <c r="V73" s="1">
        <v>70</v>
      </c>
      <c r="W73" s="1">
        <v>-4</v>
      </c>
      <c r="Y73" s="1">
        <v>0.05</v>
      </c>
      <c r="Z73" s="1">
        <v>1.2</v>
      </c>
      <c r="AC73" s="1">
        <v>1</v>
      </c>
      <c r="AI73" s="1" t="s">
        <v>500</v>
      </c>
      <c r="AJ73" s="1" t="s">
        <v>216</v>
      </c>
      <c r="AK73" s="1" t="s">
        <v>501</v>
      </c>
      <c r="AL73" s="1" t="s">
        <v>502</v>
      </c>
      <c r="AO73" s="1" t="s">
        <v>347</v>
      </c>
      <c r="AP73" s="1">
        <v>2</v>
      </c>
      <c r="AQ73" s="1">
        <v>0.5</v>
      </c>
      <c r="AX73" s="1">
        <v>0.25</v>
      </c>
      <c r="BC73" s="1" t="s">
        <v>348</v>
      </c>
      <c r="BD73" s="1" t="s">
        <v>384</v>
      </c>
      <c r="BE73" s="1" t="str">
        <f t="shared" si="8"/>
        <v>icon_estell</v>
      </c>
      <c r="BF73" s="1" t="str">
        <f t="shared" si="9"/>
        <v>half_estell</v>
      </c>
      <c r="BG73" s="1" t="str">
        <f t="shared" si="10"/>
        <v>estell</v>
      </c>
      <c r="BH73" s="1" t="s">
        <v>340</v>
      </c>
      <c r="BI73" s="1">
        <v>4</v>
      </c>
      <c r="BJ73" s="1" t="s">
        <v>350</v>
      </c>
      <c r="BK73" s="1" t="s">
        <v>503</v>
      </c>
      <c r="BL73" s="1" t="s">
        <v>386</v>
      </c>
      <c r="BM73" s="1" t="s">
        <v>504</v>
      </c>
      <c r="BN73" s="1" t="s">
        <v>217</v>
      </c>
      <c r="BO73" s="1" t="s">
        <v>218</v>
      </c>
      <c r="BQ73" s="1" t="s">
        <v>220</v>
      </c>
      <c r="BR73" s="1" t="s">
        <v>220</v>
      </c>
      <c r="BT73" s="1">
        <v>1</v>
      </c>
    </row>
    <row r="74" spans="1:72">
      <c r="A74" s="1" t="s">
        <v>33</v>
      </c>
      <c r="B74" s="1" t="s">
        <v>334</v>
      </c>
      <c r="D74" s="1" t="s">
        <v>505</v>
      </c>
      <c r="E74" s="1">
        <v>185</v>
      </c>
      <c r="F74" s="1" t="str">
        <f t="shared" si="7"/>
        <v>char_185_frncat</v>
      </c>
      <c r="G74" s="1">
        <v>1</v>
      </c>
      <c r="I74" s="1">
        <v>2</v>
      </c>
      <c r="J74" s="1">
        <v>70</v>
      </c>
      <c r="K74" s="1">
        <v>2345</v>
      </c>
      <c r="M74" s="1">
        <v>644</v>
      </c>
      <c r="N74" s="1">
        <v>61</v>
      </c>
      <c r="O74" s="1">
        <v>357</v>
      </c>
      <c r="P74" s="1">
        <v>35</v>
      </c>
      <c r="Q74" s="1">
        <v>15</v>
      </c>
      <c r="S74" s="1">
        <v>20</v>
      </c>
      <c r="T74" s="1">
        <v>-2</v>
      </c>
      <c r="U74" s="1">
        <v>0.5</v>
      </c>
      <c r="V74" s="1">
        <v>70</v>
      </c>
      <c r="W74" s="1">
        <v>-4</v>
      </c>
      <c r="Y74" s="1">
        <v>0.05</v>
      </c>
      <c r="Z74" s="1">
        <v>1.25</v>
      </c>
      <c r="AC74" s="1">
        <v>1</v>
      </c>
      <c r="AI74" s="1" t="s">
        <v>33</v>
      </c>
      <c r="AJ74" s="1" t="s">
        <v>216</v>
      </c>
      <c r="AK74" s="1" t="s">
        <v>506</v>
      </c>
      <c r="AL74" s="1" t="s">
        <v>507</v>
      </c>
      <c r="AO74" s="1" t="s">
        <v>347</v>
      </c>
      <c r="AP74" s="1">
        <v>1</v>
      </c>
      <c r="AQ74" s="1">
        <v>0.5</v>
      </c>
      <c r="AX74" s="1">
        <v>0.25</v>
      </c>
      <c r="BC74" s="1" t="s">
        <v>348</v>
      </c>
      <c r="BD74" s="1" t="s">
        <v>508</v>
      </c>
      <c r="BE74" s="1" t="str">
        <f t="shared" si="8"/>
        <v>icon_frncat</v>
      </c>
      <c r="BF74" s="1" t="str">
        <f t="shared" si="9"/>
        <v>half_frncat</v>
      </c>
      <c r="BG74" s="1" t="str">
        <f t="shared" si="10"/>
        <v>frncat</v>
      </c>
      <c r="BH74" s="1" t="s">
        <v>340</v>
      </c>
      <c r="BI74" s="1">
        <v>4</v>
      </c>
      <c r="BJ74" s="1" t="s">
        <v>350</v>
      </c>
      <c r="BK74" s="1" t="s">
        <v>509</v>
      </c>
      <c r="BL74" s="1" t="s">
        <v>372</v>
      </c>
      <c r="BM74" s="1" t="s">
        <v>510</v>
      </c>
      <c r="BN74" s="1" t="s">
        <v>217</v>
      </c>
      <c r="BO74" s="1" t="s">
        <v>218</v>
      </c>
      <c r="BQ74" s="1" t="s">
        <v>220</v>
      </c>
      <c r="BR74" s="1" t="s">
        <v>220</v>
      </c>
      <c r="BT74" s="1">
        <v>1</v>
      </c>
    </row>
    <row r="75" spans="1:72">
      <c r="A75" s="1" t="s">
        <v>34</v>
      </c>
      <c r="B75" s="1" t="s">
        <v>334</v>
      </c>
      <c r="D75" s="1" t="s">
        <v>511</v>
      </c>
      <c r="E75" s="1">
        <v>237</v>
      </c>
      <c r="F75" s="1" t="str">
        <f t="shared" si="7"/>
        <v>char_237_gravel</v>
      </c>
      <c r="G75" s="1">
        <v>1</v>
      </c>
      <c r="I75" s="1">
        <v>2</v>
      </c>
      <c r="J75" s="1">
        <v>70</v>
      </c>
      <c r="K75" s="1">
        <v>1420</v>
      </c>
      <c r="L75" s="1">
        <v>460</v>
      </c>
      <c r="M75" s="1">
        <v>452</v>
      </c>
      <c r="O75" s="1">
        <v>335</v>
      </c>
      <c r="Q75" s="1">
        <v>0</v>
      </c>
      <c r="S75" s="1">
        <v>8</v>
      </c>
      <c r="T75" s="1">
        <v>-4</v>
      </c>
      <c r="U75" s="1">
        <v>0.5</v>
      </c>
      <c r="V75" s="1">
        <v>18</v>
      </c>
      <c r="W75" s="1">
        <v>-2</v>
      </c>
      <c r="Y75" s="1">
        <v>0.05</v>
      </c>
      <c r="Z75" s="1">
        <v>0.93</v>
      </c>
      <c r="AC75" s="1">
        <v>1</v>
      </c>
      <c r="AI75" s="1" t="s">
        <v>34</v>
      </c>
      <c r="AJ75" s="1" t="s">
        <v>216</v>
      </c>
      <c r="AK75" s="1" t="s">
        <v>512</v>
      </c>
      <c r="AL75" s="1" t="s">
        <v>513</v>
      </c>
      <c r="AO75" s="1" t="s">
        <v>347</v>
      </c>
      <c r="AP75" s="1">
        <v>1</v>
      </c>
      <c r="AQ75" s="1">
        <v>0.5</v>
      </c>
      <c r="AX75" s="1">
        <v>0.25</v>
      </c>
      <c r="BC75" s="1" t="s">
        <v>514</v>
      </c>
      <c r="BD75" s="1" t="s">
        <v>515</v>
      </c>
      <c r="BE75" s="1" t="str">
        <f t="shared" si="8"/>
        <v>icon_gravel</v>
      </c>
      <c r="BF75" s="1" t="str">
        <f t="shared" si="9"/>
        <v>half_gravel</v>
      </c>
      <c r="BG75" s="1" t="str">
        <f t="shared" si="10"/>
        <v>gravel</v>
      </c>
      <c r="BH75" s="1" t="s">
        <v>340</v>
      </c>
      <c r="BI75" s="1">
        <v>4</v>
      </c>
      <c r="BJ75" s="1" t="s">
        <v>350</v>
      </c>
      <c r="BK75" s="1" t="s">
        <v>516</v>
      </c>
      <c r="BL75" s="1" t="s">
        <v>517</v>
      </c>
      <c r="BM75" s="1" t="s">
        <v>518</v>
      </c>
      <c r="BN75" s="1" t="s">
        <v>217</v>
      </c>
      <c r="BO75" s="1" t="s">
        <v>218</v>
      </c>
      <c r="BQ75" s="1" t="s">
        <v>220</v>
      </c>
      <c r="BR75" s="1" t="s">
        <v>220</v>
      </c>
      <c r="BT75" s="1">
        <v>1</v>
      </c>
    </row>
    <row r="76" spans="1:72">
      <c r="A76" s="1" t="s">
        <v>35</v>
      </c>
      <c r="B76" s="1" t="s">
        <v>334</v>
      </c>
      <c r="D76" s="1" t="s">
        <v>519</v>
      </c>
      <c r="E76" s="1">
        <v>236</v>
      </c>
      <c r="F76" s="1" t="str">
        <f t="shared" si="7"/>
        <v>char_236_rope</v>
      </c>
      <c r="G76" s="1">
        <v>1</v>
      </c>
      <c r="I76" s="1">
        <v>2</v>
      </c>
      <c r="J76" s="1">
        <v>70</v>
      </c>
      <c r="K76" s="1">
        <v>1720</v>
      </c>
      <c r="M76" s="1">
        <v>728</v>
      </c>
      <c r="O76" s="1">
        <v>325</v>
      </c>
      <c r="P76" s="1">
        <v>82</v>
      </c>
      <c r="Q76" s="1">
        <v>0</v>
      </c>
      <c r="S76" s="1">
        <v>12</v>
      </c>
      <c r="T76" s="1">
        <v>-2</v>
      </c>
      <c r="U76" s="1">
        <v>0.5</v>
      </c>
      <c r="V76" s="1">
        <v>70</v>
      </c>
      <c r="W76" s="1">
        <v>-4</v>
      </c>
      <c r="Y76" s="1">
        <v>0.05</v>
      </c>
      <c r="Z76" s="1">
        <v>1.8</v>
      </c>
      <c r="AC76" s="1">
        <v>1</v>
      </c>
      <c r="AI76" s="1" t="s">
        <v>35</v>
      </c>
      <c r="AJ76" s="1" t="s">
        <v>216</v>
      </c>
      <c r="AK76" s="1" t="s">
        <v>520</v>
      </c>
      <c r="AL76" s="1" t="s">
        <v>521</v>
      </c>
      <c r="AO76" s="1" t="s">
        <v>522</v>
      </c>
      <c r="AP76" s="1">
        <v>2</v>
      </c>
      <c r="AQ76" s="1">
        <v>0.5</v>
      </c>
      <c r="AX76" s="1">
        <v>0.25</v>
      </c>
      <c r="BC76" s="1" t="s">
        <v>514</v>
      </c>
      <c r="BD76" s="1" t="s">
        <v>523</v>
      </c>
      <c r="BE76" s="1" t="str">
        <f t="shared" si="8"/>
        <v>icon_rope</v>
      </c>
      <c r="BF76" s="1" t="str">
        <f t="shared" si="9"/>
        <v>half_rope</v>
      </c>
      <c r="BG76" s="1" t="str">
        <f t="shared" si="10"/>
        <v>rope</v>
      </c>
      <c r="BH76" s="1" t="s">
        <v>340</v>
      </c>
      <c r="BI76" s="1">
        <v>4</v>
      </c>
      <c r="BJ76" s="1" t="s">
        <v>350</v>
      </c>
      <c r="BK76" s="1" t="s">
        <v>524</v>
      </c>
      <c r="BL76" s="1" t="s">
        <v>525</v>
      </c>
      <c r="BM76" s="1" t="s">
        <v>526</v>
      </c>
      <c r="BN76" s="1" t="s">
        <v>217</v>
      </c>
      <c r="BO76" s="1" t="s">
        <v>218</v>
      </c>
      <c r="BQ76" s="1" t="s">
        <v>220</v>
      </c>
      <c r="BR76" s="1" t="s">
        <v>220</v>
      </c>
      <c r="BS76" s="1" t="s">
        <v>527</v>
      </c>
      <c r="BT76" s="1">
        <v>1</v>
      </c>
    </row>
    <row r="77" spans="1:72">
      <c r="A77" s="1" t="s">
        <v>36</v>
      </c>
      <c r="B77" s="1" t="s">
        <v>334</v>
      </c>
      <c r="D77" s="1" t="s">
        <v>528</v>
      </c>
      <c r="E77" s="1">
        <v>277</v>
      </c>
      <c r="F77" s="1" t="str">
        <f t="shared" si="7"/>
        <v>char_277_sqrrel</v>
      </c>
      <c r="G77" s="1">
        <v>1</v>
      </c>
      <c r="I77" s="1">
        <v>2</v>
      </c>
      <c r="J77" s="1">
        <v>70</v>
      </c>
      <c r="K77" s="1">
        <v>1785</v>
      </c>
      <c r="L77" s="1">
        <v>340</v>
      </c>
      <c r="M77" s="1">
        <v>580</v>
      </c>
      <c r="N77" s="1">
        <v>35</v>
      </c>
      <c r="O77" s="1">
        <v>365</v>
      </c>
      <c r="Q77" s="1">
        <v>0</v>
      </c>
      <c r="S77" s="1">
        <v>19</v>
      </c>
      <c r="T77" s="1">
        <v>-2</v>
      </c>
      <c r="U77" s="1">
        <v>0.5</v>
      </c>
      <c r="V77" s="1">
        <v>70</v>
      </c>
      <c r="W77" s="1">
        <v>-4</v>
      </c>
      <c r="Y77" s="1">
        <v>0.05</v>
      </c>
      <c r="Z77" s="1">
        <v>1.2</v>
      </c>
      <c r="AC77" s="1">
        <v>1</v>
      </c>
      <c r="AI77" s="1" t="s">
        <v>36</v>
      </c>
      <c r="AJ77" s="1" t="s">
        <v>216</v>
      </c>
      <c r="AK77" s="1" t="s">
        <v>529</v>
      </c>
      <c r="AL77" s="1" t="s">
        <v>530</v>
      </c>
      <c r="AO77" s="1" t="s">
        <v>522</v>
      </c>
      <c r="AP77" s="1">
        <v>2</v>
      </c>
      <c r="AQ77" s="1">
        <v>0.5</v>
      </c>
      <c r="AX77" s="1">
        <v>0.25</v>
      </c>
      <c r="BC77" s="1" t="s">
        <v>514</v>
      </c>
      <c r="BD77" s="1" t="s">
        <v>531</v>
      </c>
      <c r="BE77" s="1" t="str">
        <f t="shared" si="8"/>
        <v>icon_sqrrel</v>
      </c>
      <c r="BF77" s="1" t="str">
        <f t="shared" si="9"/>
        <v>half_sqrrel</v>
      </c>
      <c r="BG77" s="1" t="str">
        <f t="shared" si="10"/>
        <v>sqrrel</v>
      </c>
      <c r="BH77" s="1" t="s">
        <v>340</v>
      </c>
      <c r="BI77" s="1">
        <v>4</v>
      </c>
      <c r="BJ77" s="1" t="s">
        <v>350</v>
      </c>
      <c r="BK77" s="1" t="s">
        <v>532</v>
      </c>
      <c r="BL77" s="1" t="s">
        <v>533</v>
      </c>
      <c r="BM77" s="1" t="s">
        <v>534</v>
      </c>
      <c r="BN77" s="1" t="s">
        <v>217</v>
      </c>
      <c r="BO77" s="1" t="s">
        <v>218</v>
      </c>
      <c r="BQ77" s="1" t="s">
        <v>220</v>
      </c>
      <c r="BR77" s="1" t="s">
        <v>220</v>
      </c>
      <c r="BS77" s="1" t="s">
        <v>527</v>
      </c>
      <c r="BT77" s="1">
        <v>1</v>
      </c>
    </row>
    <row r="78" spans="1:72">
      <c r="A78" s="1" t="s">
        <v>37</v>
      </c>
      <c r="B78" s="1" t="s">
        <v>334</v>
      </c>
      <c r="D78" s="1" t="s">
        <v>535</v>
      </c>
      <c r="E78" s="1">
        <v>117</v>
      </c>
      <c r="F78" s="1" t="str">
        <f t="shared" si="7"/>
        <v>char_117_myrrh</v>
      </c>
      <c r="G78" s="1">
        <v>1</v>
      </c>
      <c r="I78" s="1">
        <v>2</v>
      </c>
      <c r="J78" s="1">
        <v>70</v>
      </c>
      <c r="K78" s="1">
        <v>1420</v>
      </c>
      <c r="M78" s="1">
        <v>465</v>
      </c>
      <c r="N78" s="1">
        <v>83</v>
      </c>
      <c r="O78" s="1">
        <v>131</v>
      </c>
      <c r="Q78" s="1">
        <v>0</v>
      </c>
      <c r="S78" s="1">
        <v>18</v>
      </c>
      <c r="T78" s="1">
        <v>-2</v>
      </c>
      <c r="U78" s="1">
        <v>0.5</v>
      </c>
      <c r="V78" s="1">
        <v>70</v>
      </c>
      <c r="W78" s="1">
        <v>-4</v>
      </c>
      <c r="Y78" s="1">
        <v>0.05</v>
      </c>
      <c r="Z78" s="1">
        <v>2.85</v>
      </c>
      <c r="AC78" s="1">
        <v>1</v>
      </c>
      <c r="AI78" s="1" t="s">
        <v>37</v>
      </c>
      <c r="AJ78" s="1" t="s">
        <v>216</v>
      </c>
      <c r="AK78" s="1" t="s">
        <v>536</v>
      </c>
      <c r="AL78" s="1" t="s">
        <v>537</v>
      </c>
      <c r="AO78" s="1" t="s">
        <v>337</v>
      </c>
      <c r="AP78" s="1">
        <v>1</v>
      </c>
      <c r="AQ78" s="1">
        <v>0.5</v>
      </c>
      <c r="AX78" s="1">
        <v>0.25</v>
      </c>
      <c r="BC78" s="1" t="s">
        <v>338</v>
      </c>
      <c r="BD78" s="1" t="s">
        <v>339</v>
      </c>
      <c r="BE78" s="1" t="str">
        <f t="shared" si="8"/>
        <v>icon_myrrh</v>
      </c>
      <c r="BF78" s="1" t="str">
        <f t="shared" si="9"/>
        <v>half_myrrh</v>
      </c>
      <c r="BG78" s="1" t="str">
        <f t="shared" si="10"/>
        <v>myrrh</v>
      </c>
      <c r="BH78" s="1" t="s">
        <v>340</v>
      </c>
      <c r="BI78" s="1">
        <v>4</v>
      </c>
      <c r="BJ78" s="1" t="s">
        <v>341</v>
      </c>
      <c r="BK78" s="1" t="s">
        <v>342</v>
      </c>
      <c r="BL78" s="1" t="s">
        <v>419</v>
      </c>
      <c r="BM78" s="1" t="s">
        <v>538</v>
      </c>
      <c r="BN78" s="1" t="s">
        <v>217</v>
      </c>
      <c r="BO78" s="1" t="s">
        <v>218</v>
      </c>
      <c r="BQ78" s="1" t="s">
        <v>220</v>
      </c>
      <c r="BR78" s="1" t="s">
        <v>220</v>
      </c>
      <c r="BT78" s="1">
        <v>1</v>
      </c>
    </row>
    <row r="79" spans="1:72">
      <c r="A79" s="1" t="s">
        <v>38</v>
      </c>
      <c r="B79" s="1" t="s">
        <v>334</v>
      </c>
      <c r="D79" s="1" t="s">
        <v>539</v>
      </c>
      <c r="E79" s="1">
        <v>187</v>
      </c>
      <c r="F79" s="1" t="str">
        <f t="shared" si="7"/>
        <v>char_187_ccheal</v>
      </c>
      <c r="G79" s="1">
        <v>1</v>
      </c>
      <c r="I79" s="1">
        <v>2</v>
      </c>
      <c r="J79" s="1">
        <v>70</v>
      </c>
      <c r="K79" s="1">
        <v>1580</v>
      </c>
      <c r="M79" s="1">
        <v>450</v>
      </c>
      <c r="N79" s="1">
        <v>53</v>
      </c>
      <c r="O79" s="1">
        <v>152</v>
      </c>
      <c r="P79" s="1">
        <v>30</v>
      </c>
      <c r="Q79" s="1">
        <v>0</v>
      </c>
      <c r="S79" s="1">
        <v>18</v>
      </c>
      <c r="T79" s="1">
        <v>-2</v>
      </c>
      <c r="U79" s="1">
        <v>0.5</v>
      </c>
      <c r="V79" s="1">
        <v>70</v>
      </c>
      <c r="W79" s="1">
        <v>-4</v>
      </c>
      <c r="Y79" s="1">
        <v>0.05</v>
      </c>
      <c r="Z79" s="1">
        <v>2.85</v>
      </c>
      <c r="AC79" s="1">
        <v>1</v>
      </c>
      <c r="AI79" s="1" t="s">
        <v>38</v>
      </c>
      <c r="AJ79" s="1" t="s">
        <v>216</v>
      </c>
      <c r="AK79" s="1" t="s">
        <v>540</v>
      </c>
      <c r="AL79" s="1" t="s">
        <v>541</v>
      </c>
      <c r="AO79" s="1" t="s">
        <v>337</v>
      </c>
      <c r="AP79" s="1">
        <v>1</v>
      </c>
      <c r="AQ79" s="1">
        <v>0.5</v>
      </c>
      <c r="AX79" s="1">
        <v>0.25</v>
      </c>
      <c r="BC79" s="1" t="s">
        <v>338</v>
      </c>
      <c r="BD79" s="1" t="s">
        <v>339</v>
      </c>
      <c r="BE79" s="1" t="str">
        <f t="shared" si="8"/>
        <v>icon_ccheal</v>
      </c>
      <c r="BF79" s="1" t="str">
        <f t="shared" si="9"/>
        <v>half_ccheal</v>
      </c>
      <c r="BG79" s="1" t="str">
        <f t="shared" si="10"/>
        <v>ccheal</v>
      </c>
      <c r="BH79" s="1" t="s">
        <v>340</v>
      </c>
      <c r="BI79" s="1">
        <v>4</v>
      </c>
      <c r="BJ79" s="1" t="s">
        <v>341</v>
      </c>
      <c r="BK79" s="1" t="s">
        <v>342</v>
      </c>
      <c r="BL79" s="1" t="s">
        <v>419</v>
      </c>
      <c r="BM79" s="1" t="s">
        <v>542</v>
      </c>
      <c r="BN79" s="1" t="s">
        <v>217</v>
      </c>
      <c r="BO79" s="1" t="s">
        <v>218</v>
      </c>
      <c r="BQ79" s="1" t="s">
        <v>220</v>
      </c>
      <c r="BR79" s="1" t="s">
        <v>220</v>
      </c>
      <c r="BT79" s="1">
        <v>1</v>
      </c>
    </row>
    <row r="80" spans="1:72">
      <c r="A80" s="1" t="s">
        <v>39</v>
      </c>
      <c r="B80" s="1" t="s">
        <v>334</v>
      </c>
      <c r="D80" s="1" t="s">
        <v>543</v>
      </c>
      <c r="E80" s="1">
        <v>181</v>
      </c>
      <c r="F80" s="1" t="str">
        <f t="shared" si="7"/>
        <v>char_181_flower</v>
      </c>
      <c r="G80" s="1">
        <v>1</v>
      </c>
      <c r="I80" s="1">
        <v>2</v>
      </c>
      <c r="J80" s="1">
        <v>70</v>
      </c>
      <c r="K80" s="1">
        <v>1560</v>
      </c>
      <c r="L80" s="1">
        <v>150</v>
      </c>
      <c r="M80" s="1">
        <v>320</v>
      </c>
      <c r="N80" s="1">
        <v>44</v>
      </c>
      <c r="O80" s="1">
        <v>145</v>
      </c>
      <c r="Q80" s="1">
        <v>0</v>
      </c>
      <c r="S80" s="1">
        <v>16</v>
      </c>
      <c r="T80" s="1">
        <v>-2</v>
      </c>
      <c r="U80" s="1">
        <v>0.5</v>
      </c>
      <c r="V80" s="1">
        <v>70</v>
      </c>
      <c r="W80" s="1">
        <v>-4</v>
      </c>
      <c r="Y80" s="1">
        <v>0.05</v>
      </c>
      <c r="Z80" s="1">
        <v>2.85</v>
      </c>
      <c r="AC80" s="1">
        <v>1</v>
      </c>
      <c r="AI80" s="1" t="s">
        <v>39</v>
      </c>
      <c r="AJ80" s="1" t="s">
        <v>216</v>
      </c>
      <c r="AK80" s="1" t="s">
        <v>544</v>
      </c>
      <c r="AL80" s="1" t="s">
        <v>545</v>
      </c>
      <c r="AO80" s="1" t="s">
        <v>337</v>
      </c>
      <c r="AP80" s="1">
        <v>1</v>
      </c>
      <c r="AQ80" s="1">
        <v>0.5</v>
      </c>
      <c r="AX80" s="1">
        <v>0.25</v>
      </c>
      <c r="BC80" s="1" t="s">
        <v>338</v>
      </c>
      <c r="BD80" s="1" t="s">
        <v>546</v>
      </c>
      <c r="BE80" s="1" t="str">
        <f t="shared" si="8"/>
        <v>icon_flower</v>
      </c>
      <c r="BF80" s="1" t="str">
        <f t="shared" si="9"/>
        <v>half_flower</v>
      </c>
      <c r="BG80" s="1" t="str">
        <f t="shared" si="10"/>
        <v>flower</v>
      </c>
      <c r="BH80" s="1" t="s">
        <v>340</v>
      </c>
      <c r="BI80" s="1">
        <v>4</v>
      </c>
      <c r="BJ80" s="1" t="s">
        <v>341</v>
      </c>
      <c r="BK80" s="1" t="s">
        <v>547</v>
      </c>
      <c r="BL80" s="1" t="s">
        <v>548</v>
      </c>
      <c r="BM80" s="1" t="s">
        <v>549</v>
      </c>
      <c r="BN80" s="1" t="s">
        <v>217</v>
      </c>
      <c r="BO80" s="1" t="s">
        <v>218</v>
      </c>
      <c r="BQ80" s="1" t="s">
        <v>220</v>
      </c>
      <c r="BR80" s="1" t="s">
        <v>220</v>
      </c>
      <c r="BT80" s="1">
        <v>1</v>
      </c>
    </row>
    <row r="81" spans="1:72">
      <c r="A81" s="1" t="s">
        <v>40</v>
      </c>
      <c r="B81" s="1" t="s">
        <v>334</v>
      </c>
      <c r="D81" s="1" t="s">
        <v>550</v>
      </c>
      <c r="E81" s="1">
        <v>199</v>
      </c>
      <c r="F81" s="1" t="str">
        <f t="shared" si="7"/>
        <v>char_199_yak</v>
      </c>
      <c r="G81" s="1">
        <v>1</v>
      </c>
      <c r="I81" s="1">
        <v>2</v>
      </c>
      <c r="J81" s="1">
        <v>70</v>
      </c>
      <c r="K81" s="1">
        <v>3235</v>
      </c>
      <c r="L81" s="1">
        <v>635</v>
      </c>
      <c r="M81" s="1">
        <v>375</v>
      </c>
      <c r="O81" s="1">
        <v>670</v>
      </c>
      <c r="Q81" s="1">
        <v>5</v>
      </c>
      <c r="S81" s="1">
        <v>21</v>
      </c>
      <c r="T81" s="1">
        <v>-2</v>
      </c>
      <c r="U81" s="1">
        <v>0.5</v>
      </c>
      <c r="V81" s="1">
        <v>70</v>
      </c>
      <c r="W81" s="1">
        <v>-10</v>
      </c>
      <c r="Y81" s="1">
        <v>0.05</v>
      </c>
      <c r="Z81" s="1">
        <v>1.2</v>
      </c>
      <c r="AC81" s="1">
        <v>1</v>
      </c>
      <c r="AI81" s="1" t="s">
        <v>40</v>
      </c>
      <c r="AJ81" s="1" t="s">
        <v>216</v>
      </c>
      <c r="AK81" s="1" t="s">
        <v>551</v>
      </c>
      <c r="AL81" s="1" t="s">
        <v>552</v>
      </c>
      <c r="AO81" s="1" t="s">
        <v>347</v>
      </c>
      <c r="AP81" s="1">
        <v>3</v>
      </c>
      <c r="AQ81" s="1">
        <v>0.5</v>
      </c>
      <c r="AX81" s="1">
        <v>0.25</v>
      </c>
      <c r="BC81" s="1" t="s">
        <v>356</v>
      </c>
      <c r="BD81" s="1" t="s">
        <v>357</v>
      </c>
      <c r="BE81" s="1" t="str">
        <f t="shared" si="8"/>
        <v>icon_yak</v>
      </c>
      <c r="BF81" s="1" t="str">
        <f t="shared" si="9"/>
        <v>half_yak</v>
      </c>
      <c r="BG81" s="1" t="str">
        <f t="shared" si="10"/>
        <v>yak</v>
      </c>
      <c r="BH81" s="1" t="s">
        <v>340</v>
      </c>
      <c r="BI81" s="1">
        <v>4</v>
      </c>
      <c r="BJ81" s="1" t="s">
        <v>350</v>
      </c>
      <c r="BK81" s="1" t="s">
        <v>553</v>
      </c>
      <c r="BL81" s="1" t="s">
        <v>359</v>
      </c>
      <c r="BM81" s="1" t="s">
        <v>554</v>
      </c>
      <c r="BN81" s="1" t="s">
        <v>217</v>
      </c>
      <c r="BO81" s="1" t="s">
        <v>218</v>
      </c>
      <c r="BQ81" s="1" t="s">
        <v>220</v>
      </c>
      <c r="BR81" s="1" t="s">
        <v>220</v>
      </c>
      <c r="BT81" s="1">
        <v>1</v>
      </c>
    </row>
    <row r="82" spans="1:72">
      <c r="A82" s="1" t="s">
        <v>41</v>
      </c>
      <c r="B82" s="1" t="s">
        <v>334</v>
      </c>
      <c r="D82" s="1" t="s">
        <v>555</v>
      </c>
      <c r="E82" s="1">
        <v>150</v>
      </c>
      <c r="F82" s="1" t="str">
        <f t="shared" si="7"/>
        <v>char_150_snakek</v>
      </c>
      <c r="G82" s="1">
        <v>1</v>
      </c>
      <c r="I82" s="1">
        <v>2</v>
      </c>
      <c r="J82" s="1">
        <v>70</v>
      </c>
      <c r="K82" s="1">
        <v>3105</v>
      </c>
      <c r="M82" s="1">
        <v>365</v>
      </c>
      <c r="O82" s="1">
        <v>690</v>
      </c>
      <c r="P82" s="1">
        <v>102</v>
      </c>
      <c r="Q82" s="1">
        <v>0</v>
      </c>
      <c r="S82" s="1">
        <v>21</v>
      </c>
      <c r="T82" s="1">
        <v>-2</v>
      </c>
      <c r="U82" s="1">
        <v>0.5</v>
      </c>
      <c r="V82" s="1">
        <v>70</v>
      </c>
      <c r="W82" s="1">
        <v>-10</v>
      </c>
      <c r="Y82" s="1">
        <v>0.05</v>
      </c>
      <c r="Z82" s="1">
        <v>1.2</v>
      </c>
      <c r="AC82" s="1">
        <v>1</v>
      </c>
      <c r="AI82" s="1" t="s">
        <v>41</v>
      </c>
      <c r="AJ82" s="1" t="s">
        <v>216</v>
      </c>
      <c r="AK82" s="1" t="s">
        <v>556</v>
      </c>
      <c r="AL82" s="1" t="s">
        <v>557</v>
      </c>
      <c r="AO82" s="1" t="s">
        <v>347</v>
      </c>
      <c r="AP82" s="1">
        <v>3</v>
      </c>
      <c r="AQ82" s="1">
        <v>0.5</v>
      </c>
      <c r="AX82" s="1">
        <v>0.25</v>
      </c>
      <c r="BC82" s="1" t="s">
        <v>356</v>
      </c>
      <c r="BD82" s="1" t="s">
        <v>357</v>
      </c>
      <c r="BE82" s="1" t="str">
        <f t="shared" si="8"/>
        <v>icon_snakek</v>
      </c>
      <c r="BF82" s="1" t="str">
        <f t="shared" si="9"/>
        <v>half_snakek</v>
      </c>
      <c r="BG82" s="1" t="str">
        <f t="shared" si="10"/>
        <v>snakek</v>
      </c>
      <c r="BH82" s="1" t="s">
        <v>340</v>
      </c>
      <c r="BI82" s="1">
        <v>4</v>
      </c>
      <c r="BJ82" s="1" t="s">
        <v>350</v>
      </c>
      <c r="BK82" s="1" t="s">
        <v>558</v>
      </c>
      <c r="BL82" s="1" t="s">
        <v>359</v>
      </c>
      <c r="BM82" s="1" t="s">
        <v>559</v>
      </c>
      <c r="BN82" s="1" t="s">
        <v>217</v>
      </c>
      <c r="BO82" s="1" t="s">
        <v>218</v>
      </c>
      <c r="BQ82" s="1" t="s">
        <v>220</v>
      </c>
      <c r="BR82" s="1" t="s">
        <v>220</v>
      </c>
      <c r="BT82" s="1">
        <v>1</v>
      </c>
    </row>
    <row r="83" spans="1:72">
      <c r="A83" s="1" t="s">
        <v>42</v>
      </c>
      <c r="B83" s="1" t="s">
        <v>334</v>
      </c>
      <c r="D83" s="1" t="s">
        <v>560</v>
      </c>
      <c r="E83" s="1">
        <v>196</v>
      </c>
      <c r="F83" s="1" t="str">
        <f t="shared" si="7"/>
        <v>char_196_sunbr</v>
      </c>
      <c r="G83" s="1">
        <v>1</v>
      </c>
      <c r="I83" s="1">
        <v>2</v>
      </c>
      <c r="J83" s="1">
        <v>70</v>
      </c>
      <c r="K83" s="1">
        <v>2550</v>
      </c>
      <c r="L83" s="1">
        <v>400</v>
      </c>
      <c r="M83" s="1">
        <v>435</v>
      </c>
      <c r="N83" s="1">
        <v>21</v>
      </c>
      <c r="O83" s="1">
        <v>562</v>
      </c>
      <c r="Q83" s="1">
        <v>10</v>
      </c>
      <c r="S83" s="1">
        <v>20</v>
      </c>
      <c r="T83" s="1">
        <v>-2</v>
      </c>
      <c r="U83" s="1">
        <v>0.5</v>
      </c>
      <c r="V83" s="1">
        <v>70</v>
      </c>
      <c r="W83" s="1">
        <v>-4</v>
      </c>
      <c r="Y83" s="1">
        <v>0.05</v>
      </c>
      <c r="Z83" s="1">
        <v>1.2</v>
      </c>
      <c r="AC83" s="1">
        <v>1</v>
      </c>
      <c r="AI83" s="1" t="s">
        <v>42</v>
      </c>
      <c r="AJ83" s="1" t="s">
        <v>216</v>
      </c>
      <c r="AK83" s="1" t="s">
        <v>561</v>
      </c>
      <c r="AL83" s="1" t="s">
        <v>562</v>
      </c>
      <c r="AO83" s="1" t="s">
        <v>347</v>
      </c>
      <c r="AP83" s="1">
        <v>3</v>
      </c>
      <c r="AQ83" s="1">
        <v>0.5</v>
      </c>
      <c r="AX83" s="1">
        <v>0.25</v>
      </c>
      <c r="BC83" s="1" t="s">
        <v>356</v>
      </c>
      <c r="BD83" s="1" t="s">
        <v>377</v>
      </c>
      <c r="BE83" s="1" t="str">
        <f t="shared" si="8"/>
        <v>icon_sunbr</v>
      </c>
      <c r="BF83" s="1" t="str">
        <f t="shared" si="9"/>
        <v>half_sunbr</v>
      </c>
      <c r="BG83" s="1" t="str">
        <f t="shared" si="10"/>
        <v>sunbr</v>
      </c>
      <c r="BH83" s="1" t="s">
        <v>340</v>
      </c>
      <c r="BI83" s="1">
        <v>4</v>
      </c>
      <c r="BJ83" s="1" t="s">
        <v>350</v>
      </c>
      <c r="BK83" s="1" t="s">
        <v>563</v>
      </c>
      <c r="BL83" s="1" t="s">
        <v>379</v>
      </c>
      <c r="BM83" s="1" t="s">
        <v>564</v>
      </c>
      <c r="BN83" s="1" t="s">
        <v>217</v>
      </c>
      <c r="BO83" s="1" t="s">
        <v>218</v>
      </c>
      <c r="BQ83" s="1" t="s">
        <v>220</v>
      </c>
      <c r="BR83" s="1" t="s">
        <v>220</v>
      </c>
      <c r="BT83" s="1">
        <v>1</v>
      </c>
    </row>
    <row r="84" spans="1:72">
      <c r="A84" s="1" t="s">
        <v>43</v>
      </c>
      <c r="B84" s="1" t="s">
        <v>334</v>
      </c>
      <c r="D84" s="1" t="s">
        <v>565</v>
      </c>
      <c r="E84" s="1">
        <v>110</v>
      </c>
      <c r="F84" s="1" t="str">
        <f t="shared" si="7"/>
        <v>char_110_deepcl</v>
      </c>
      <c r="G84" s="1">
        <v>1</v>
      </c>
      <c r="I84" s="1">
        <v>2</v>
      </c>
      <c r="J84" s="1">
        <v>70</v>
      </c>
      <c r="K84" s="1">
        <v>1050</v>
      </c>
      <c r="L84" s="1">
        <v>300</v>
      </c>
      <c r="M84" s="1">
        <v>403</v>
      </c>
      <c r="O84" s="1">
        <v>125</v>
      </c>
      <c r="Q84" s="1">
        <v>15</v>
      </c>
      <c r="S84" s="1">
        <v>10</v>
      </c>
      <c r="T84" s="1">
        <v>-2</v>
      </c>
      <c r="U84" s="1">
        <v>0.5</v>
      </c>
      <c r="V84" s="1">
        <v>70</v>
      </c>
      <c r="W84" s="1">
        <v>-10</v>
      </c>
      <c r="Y84" s="1">
        <v>0.05</v>
      </c>
      <c r="Z84" s="1">
        <v>1.6</v>
      </c>
      <c r="AC84" s="1">
        <v>1</v>
      </c>
      <c r="AI84" s="1" t="s">
        <v>43</v>
      </c>
      <c r="AJ84" s="1" t="s">
        <v>216</v>
      </c>
      <c r="AK84" s="1" t="s">
        <v>566</v>
      </c>
      <c r="AL84" s="1" t="s">
        <v>567</v>
      </c>
      <c r="AO84" s="1" t="s">
        <v>337</v>
      </c>
      <c r="AP84" s="1">
        <v>1</v>
      </c>
      <c r="AQ84" s="1">
        <v>0.5</v>
      </c>
      <c r="AX84" s="1">
        <v>0.25</v>
      </c>
      <c r="BC84" s="1" t="s">
        <v>405</v>
      </c>
      <c r="BD84" s="1" t="s">
        <v>568</v>
      </c>
      <c r="BE84" s="1" t="str">
        <f t="shared" si="8"/>
        <v>icon_deepcl</v>
      </c>
      <c r="BF84" s="1" t="str">
        <f t="shared" si="9"/>
        <v>half_deepcl</v>
      </c>
      <c r="BG84" s="1" t="str">
        <f t="shared" si="10"/>
        <v>deepcl</v>
      </c>
      <c r="BH84" s="1" t="s">
        <v>340</v>
      </c>
      <c r="BI84" s="1">
        <v>4</v>
      </c>
      <c r="BJ84" s="1" t="s">
        <v>341</v>
      </c>
      <c r="BK84" s="1" t="s">
        <v>569</v>
      </c>
      <c r="BL84" s="1" t="s">
        <v>570</v>
      </c>
      <c r="BM84" s="1" t="s">
        <v>571</v>
      </c>
      <c r="BN84" s="1" t="s">
        <v>217</v>
      </c>
      <c r="BO84" s="1" t="s">
        <v>218</v>
      </c>
      <c r="BQ84" s="1" t="s">
        <v>220</v>
      </c>
      <c r="BR84" s="1" t="s">
        <v>220</v>
      </c>
      <c r="BT84" s="1">
        <v>1</v>
      </c>
    </row>
    <row r="85" spans="1:72">
      <c r="A85" s="1" t="s">
        <v>572</v>
      </c>
      <c r="B85" s="1" t="s">
        <v>334</v>
      </c>
      <c r="D85" s="1" t="s">
        <v>565</v>
      </c>
      <c r="E85" s="1" t="s">
        <v>573</v>
      </c>
      <c r="F85" s="1" t="s">
        <v>574</v>
      </c>
      <c r="G85" s="1">
        <v>1</v>
      </c>
      <c r="I85" s="1">
        <v>2</v>
      </c>
      <c r="J85" s="1">
        <v>70</v>
      </c>
      <c r="K85" s="1">
        <v>2016</v>
      </c>
      <c r="M85" s="1">
        <v>462</v>
      </c>
      <c r="O85" s="1">
        <v>335</v>
      </c>
      <c r="Q85" s="1">
        <v>0</v>
      </c>
      <c r="S85" s="1">
        <v>5</v>
      </c>
      <c r="U85" s="1">
        <v>0</v>
      </c>
      <c r="V85" s="1">
        <v>10</v>
      </c>
      <c r="Y85" s="1">
        <v>0.05</v>
      </c>
      <c r="Z85" s="1">
        <v>1.25</v>
      </c>
      <c r="AC85" s="1">
        <v>1</v>
      </c>
      <c r="AI85" s="1" t="s">
        <v>572</v>
      </c>
      <c r="AJ85" s="1" t="s">
        <v>216</v>
      </c>
      <c r="AK85" s="1" t="s">
        <v>575</v>
      </c>
      <c r="AM85" s="1">
        <v>1</v>
      </c>
      <c r="AO85" s="1" t="s">
        <v>347</v>
      </c>
      <c r="AP85" s="1">
        <v>1</v>
      </c>
      <c r="AQ85" s="1">
        <v>0.5</v>
      </c>
      <c r="AX85" s="1">
        <v>0.25</v>
      </c>
      <c r="BC85" s="1" t="s">
        <v>348</v>
      </c>
      <c r="BE85" s="1" t="s">
        <v>576</v>
      </c>
      <c r="BF85" s="1" t="str">
        <f t="shared" si="9"/>
        <v>half_deepcl</v>
      </c>
      <c r="BG85" s="1" t="str">
        <f t="shared" si="10"/>
        <v>deepcl</v>
      </c>
      <c r="BH85" s="1" t="s">
        <v>340</v>
      </c>
      <c r="BI85" s="1">
        <v>4</v>
      </c>
      <c r="BJ85" s="1" t="s">
        <v>350</v>
      </c>
      <c r="BK85" s="1" t="s">
        <v>577</v>
      </c>
      <c r="BN85" s="1" t="s">
        <v>217</v>
      </c>
      <c r="BO85" s="1" t="s">
        <v>218</v>
      </c>
      <c r="BQ85" s="1" t="s">
        <v>220</v>
      </c>
      <c r="BR85" s="1" t="s">
        <v>220</v>
      </c>
      <c r="BT85" s="1">
        <v>1</v>
      </c>
    </row>
    <row r="86" spans="1:72">
      <c r="A86" s="1" t="s">
        <v>44</v>
      </c>
      <c r="B86" s="1" t="s">
        <v>334</v>
      </c>
      <c r="D86" s="1" t="s">
        <v>578</v>
      </c>
      <c r="E86" s="1">
        <v>183</v>
      </c>
      <c r="F86" s="1" t="str">
        <f>"char_"&amp;E86&amp;"_"&amp;D86</f>
        <v>char_183_skgoat</v>
      </c>
      <c r="G86" s="1">
        <v>1</v>
      </c>
      <c r="I86" s="1">
        <v>2</v>
      </c>
      <c r="J86" s="1">
        <v>70</v>
      </c>
      <c r="K86" s="1">
        <v>1205</v>
      </c>
      <c r="M86" s="1">
        <v>480</v>
      </c>
      <c r="N86" s="1">
        <v>50</v>
      </c>
      <c r="O86" s="1">
        <v>101</v>
      </c>
      <c r="Q86" s="1">
        <v>20</v>
      </c>
      <c r="S86" s="1">
        <v>14</v>
      </c>
      <c r="T86" s="1">
        <v>-2</v>
      </c>
      <c r="U86" s="1">
        <v>0.5</v>
      </c>
      <c r="V86" s="1">
        <v>70</v>
      </c>
      <c r="W86" s="1">
        <v>-10</v>
      </c>
      <c r="Y86" s="1">
        <v>0.05</v>
      </c>
      <c r="Z86" s="1">
        <v>1.9</v>
      </c>
      <c r="AC86" s="1">
        <v>1</v>
      </c>
      <c r="AI86" s="1" t="s">
        <v>44</v>
      </c>
      <c r="AJ86" s="1" t="s">
        <v>216</v>
      </c>
      <c r="AK86" s="1" t="s">
        <v>579</v>
      </c>
      <c r="AL86" s="1" t="s">
        <v>580</v>
      </c>
      <c r="AO86" s="1" t="s">
        <v>337</v>
      </c>
      <c r="AP86" s="1">
        <v>1</v>
      </c>
      <c r="AQ86" s="1">
        <v>0.5</v>
      </c>
      <c r="AX86" s="1">
        <v>0.25</v>
      </c>
      <c r="BC86" s="1" t="s">
        <v>405</v>
      </c>
      <c r="BD86" s="1" t="s">
        <v>406</v>
      </c>
      <c r="BE86" s="1" t="str">
        <f>"icon_"&amp;D86</f>
        <v>icon_skgoat</v>
      </c>
      <c r="BF86" s="1" t="str">
        <f t="shared" si="9"/>
        <v>half_skgoat</v>
      </c>
      <c r="BG86" s="1" t="str">
        <f t="shared" si="10"/>
        <v>skgoat</v>
      </c>
      <c r="BH86" s="1" t="s">
        <v>340</v>
      </c>
      <c r="BI86" s="1">
        <v>4</v>
      </c>
      <c r="BJ86" s="1" t="s">
        <v>341</v>
      </c>
      <c r="BK86" s="1" t="s">
        <v>581</v>
      </c>
      <c r="BL86" s="1" t="s">
        <v>408</v>
      </c>
      <c r="BM86" s="1" t="s">
        <v>582</v>
      </c>
      <c r="BN86" s="1" t="s">
        <v>217</v>
      </c>
      <c r="BO86" s="1" t="s">
        <v>218</v>
      </c>
      <c r="BQ86" s="1" t="s">
        <v>220</v>
      </c>
      <c r="BR86" s="1" t="s">
        <v>220</v>
      </c>
      <c r="BT86" s="1">
        <v>1</v>
      </c>
    </row>
    <row r="88" spans="1:1">
      <c r="A88" s="1" t="s">
        <v>45</v>
      </c>
    </row>
    <row r="89" spans="1:72">
      <c r="A89" s="1" t="s">
        <v>46</v>
      </c>
      <c r="B89" s="1" t="s">
        <v>334</v>
      </c>
      <c r="D89" s="1" t="s">
        <v>583</v>
      </c>
      <c r="E89" s="1">
        <v>128</v>
      </c>
      <c r="F89" s="1" t="str">
        <f t="shared" ref="F89:F99" si="11">"char_"&amp;E89&amp;"_"&amp;D89</f>
        <v>char_128_plosis</v>
      </c>
      <c r="G89" s="1">
        <v>1</v>
      </c>
      <c r="I89" s="1">
        <v>2</v>
      </c>
      <c r="J89" s="1">
        <v>80</v>
      </c>
      <c r="K89" s="1">
        <v>1610</v>
      </c>
      <c r="M89" s="1">
        <v>335</v>
      </c>
      <c r="N89" s="1">
        <v>76</v>
      </c>
      <c r="O89" s="1">
        <v>150</v>
      </c>
      <c r="Q89" s="1">
        <v>0</v>
      </c>
      <c r="S89" s="1">
        <v>17</v>
      </c>
      <c r="T89" s="1">
        <v>-2</v>
      </c>
      <c r="U89" s="1">
        <v>0.5</v>
      </c>
      <c r="V89" s="1">
        <v>70</v>
      </c>
      <c r="W89" s="1">
        <v>-10</v>
      </c>
      <c r="Y89" s="1">
        <v>0.05</v>
      </c>
      <c r="Z89" s="1">
        <v>2.85</v>
      </c>
      <c r="AC89" s="1">
        <v>1</v>
      </c>
      <c r="AI89" s="1" t="s">
        <v>46</v>
      </c>
      <c r="AJ89" s="1" t="s">
        <v>216</v>
      </c>
      <c r="AK89" s="1" t="s">
        <v>584</v>
      </c>
      <c r="AL89" s="1" t="s">
        <v>585</v>
      </c>
      <c r="AO89" s="1" t="s">
        <v>337</v>
      </c>
      <c r="AP89" s="1">
        <v>1</v>
      </c>
      <c r="AQ89" s="1">
        <v>0.5</v>
      </c>
      <c r="AX89" s="1">
        <v>0.25</v>
      </c>
      <c r="BC89" s="1" t="s">
        <v>338</v>
      </c>
      <c r="BD89" s="1" t="s">
        <v>546</v>
      </c>
      <c r="BE89" s="1" t="str">
        <f t="shared" ref="BE89:BE99" si="12">"icon_"&amp;D89</f>
        <v>icon_plosis</v>
      </c>
      <c r="BF89" s="1" t="str">
        <f t="shared" ref="BF89:BF116" si="13">"half_"&amp;D89</f>
        <v>half_plosis</v>
      </c>
      <c r="BG89" s="1" t="str">
        <f t="shared" ref="BG89:BG116" si="14">D89</f>
        <v>plosis</v>
      </c>
      <c r="BH89" s="1" t="s">
        <v>340</v>
      </c>
      <c r="BI89" s="1">
        <v>5</v>
      </c>
      <c r="BJ89" s="1" t="s">
        <v>341</v>
      </c>
      <c r="BK89" s="1" t="s">
        <v>586</v>
      </c>
      <c r="BL89" s="1" t="s">
        <v>548</v>
      </c>
      <c r="BM89" s="1" t="s">
        <v>587</v>
      </c>
      <c r="BN89" s="1" t="s">
        <v>217</v>
      </c>
      <c r="BO89" s="1" t="s">
        <v>218</v>
      </c>
      <c r="BQ89" s="1" t="s">
        <v>220</v>
      </c>
      <c r="BR89" s="1" t="s">
        <v>220</v>
      </c>
      <c r="BT89" s="1">
        <v>1</v>
      </c>
    </row>
    <row r="90" spans="1:72">
      <c r="A90" s="1" t="s">
        <v>47</v>
      </c>
      <c r="B90" s="1" t="s">
        <v>334</v>
      </c>
      <c r="D90" s="1" t="s">
        <v>588</v>
      </c>
      <c r="E90" s="1">
        <v>106</v>
      </c>
      <c r="F90" s="1" t="str">
        <f t="shared" si="11"/>
        <v>char_106_franka</v>
      </c>
      <c r="G90" s="1">
        <v>1</v>
      </c>
      <c r="I90" s="1">
        <v>2</v>
      </c>
      <c r="J90" s="1">
        <v>80</v>
      </c>
      <c r="K90" s="1">
        <v>3768</v>
      </c>
      <c r="M90" s="1">
        <v>936</v>
      </c>
      <c r="N90" s="1">
        <v>105</v>
      </c>
      <c r="O90" s="1">
        <v>235</v>
      </c>
      <c r="P90" s="1">
        <v>25</v>
      </c>
      <c r="Q90" s="1">
        <v>0</v>
      </c>
      <c r="S90" s="1">
        <v>18</v>
      </c>
      <c r="T90" s="1">
        <v>-2</v>
      </c>
      <c r="U90" s="1">
        <v>0.5</v>
      </c>
      <c r="V90" s="1">
        <v>70</v>
      </c>
      <c r="W90" s="1">
        <v>-10</v>
      </c>
      <c r="Y90" s="1">
        <v>0.05</v>
      </c>
      <c r="Z90" s="1">
        <v>1.5</v>
      </c>
      <c r="AC90" s="1">
        <v>1</v>
      </c>
      <c r="AI90" s="1" t="s">
        <v>47</v>
      </c>
      <c r="AJ90" s="1" t="s">
        <v>216</v>
      </c>
      <c r="AK90" s="1" t="s">
        <v>589</v>
      </c>
      <c r="AL90" s="1" t="s">
        <v>590</v>
      </c>
      <c r="AO90" s="1" t="s">
        <v>347</v>
      </c>
      <c r="AP90" s="1">
        <v>1</v>
      </c>
      <c r="AQ90" s="1">
        <v>0.5</v>
      </c>
      <c r="AX90" s="1">
        <v>0.25</v>
      </c>
      <c r="BC90" s="1" t="s">
        <v>348</v>
      </c>
      <c r="BD90" s="1" t="s">
        <v>349</v>
      </c>
      <c r="BE90" s="1" t="str">
        <f t="shared" si="12"/>
        <v>icon_franka</v>
      </c>
      <c r="BF90" s="1" t="str">
        <f t="shared" si="13"/>
        <v>half_franka</v>
      </c>
      <c r="BG90" s="1" t="str">
        <f t="shared" si="14"/>
        <v>franka</v>
      </c>
      <c r="BH90" s="1" t="s">
        <v>340</v>
      </c>
      <c r="BI90" s="1">
        <v>5</v>
      </c>
      <c r="BJ90" s="1" t="s">
        <v>350</v>
      </c>
      <c r="BK90" s="1" t="s">
        <v>591</v>
      </c>
      <c r="BL90" s="1" t="s">
        <v>455</v>
      </c>
      <c r="BM90" s="1" t="s">
        <v>592</v>
      </c>
      <c r="BN90" s="1" t="s">
        <v>217</v>
      </c>
      <c r="BO90" s="1" t="s">
        <v>218</v>
      </c>
      <c r="BQ90" s="1" t="s">
        <v>220</v>
      </c>
      <c r="BR90" s="1" t="s">
        <v>220</v>
      </c>
      <c r="BT90" s="1">
        <v>1</v>
      </c>
    </row>
    <row r="91" spans="1:72">
      <c r="A91" s="1" t="s">
        <v>48</v>
      </c>
      <c r="B91" s="1" t="s">
        <v>334</v>
      </c>
      <c r="D91" s="1" t="s">
        <v>593</v>
      </c>
      <c r="E91" s="1">
        <v>155</v>
      </c>
      <c r="F91" s="1" t="str">
        <f t="shared" si="11"/>
        <v>char_155_tiger</v>
      </c>
      <c r="G91" s="1">
        <v>1</v>
      </c>
      <c r="I91" s="1">
        <v>2</v>
      </c>
      <c r="J91" s="1">
        <v>80</v>
      </c>
      <c r="K91" s="1">
        <v>2565</v>
      </c>
      <c r="M91" s="1">
        <v>530</v>
      </c>
      <c r="N91" s="1">
        <v>98</v>
      </c>
      <c r="O91" s="1">
        <v>350</v>
      </c>
      <c r="Q91" s="1">
        <v>0</v>
      </c>
      <c r="S91" s="1">
        <v>10</v>
      </c>
      <c r="T91" s="1">
        <v>-2</v>
      </c>
      <c r="U91" s="1">
        <v>0.5</v>
      </c>
      <c r="V91" s="1">
        <v>70</v>
      </c>
      <c r="W91" s="1">
        <v>-4</v>
      </c>
      <c r="Y91" s="1">
        <v>0.05</v>
      </c>
      <c r="Z91" s="1">
        <v>0.78</v>
      </c>
      <c r="AC91" s="1">
        <v>1</v>
      </c>
      <c r="AI91" s="1" t="s">
        <v>48</v>
      </c>
      <c r="AJ91" s="1" t="s">
        <v>216</v>
      </c>
      <c r="AK91" s="1" t="s">
        <v>594</v>
      </c>
      <c r="AL91" s="1" t="s">
        <v>595</v>
      </c>
      <c r="AO91" s="1" t="s">
        <v>347</v>
      </c>
      <c r="AP91" s="1">
        <v>1</v>
      </c>
      <c r="AQ91" s="1">
        <v>0.5</v>
      </c>
      <c r="AX91" s="1">
        <v>0.25</v>
      </c>
      <c r="BC91" s="1" t="s">
        <v>348</v>
      </c>
      <c r="BD91" s="1" t="s">
        <v>596</v>
      </c>
      <c r="BE91" s="1" t="str">
        <f t="shared" si="12"/>
        <v>icon_tiger</v>
      </c>
      <c r="BF91" s="1" t="str">
        <f t="shared" si="13"/>
        <v>half_tiger</v>
      </c>
      <c r="BG91" s="1" t="str">
        <f t="shared" si="14"/>
        <v>tiger</v>
      </c>
      <c r="BH91" s="1" t="s">
        <v>340</v>
      </c>
      <c r="BI91" s="1">
        <v>5</v>
      </c>
      <c r="BJ91" s="1" t="s">
        <v>350</v>
      </c>
      <c r="BK91" s="1" t="s">
        <v>597</v>
      </c>
      <c r="BL91" s="1" t="s">
        <v>455</v>
      </c>
      <c r="BM91" s="1" t="s">
        <v>598</v>
      </c>
      <c r="BN91" s="1" t="s">
        <v>217</v>
      </c>
      <c r="BO91" s="1" t="s">
        <v>218</v>
      </c>
      <c r="BQ91" s="1" t="s">
        <v>220</v>
      </c>
      <c r="BR91" s="1" t="s">
        <v>220</v>
      </c>
      <c r="BT91" s="1">
        <v>1</v>
      </c>
    </row>
    <row r="92" spans="1:72">
      <c r="A92" s="1" t="s">
        <v>49</v>
      </c>
      <c r="B92" s="1" t="s">
        <v>334</v>
      </c>
      <c r="D92" s="1" t="s">
        <v>599</v>
      </c>
      <c r="E92" s="1">
        <v>140</v>
      </c>
      <c r="F92" s="1" t="str">
        <f t="shared" si="11"/>
        <v>char_140_whitew</v>
      </c>
      <c r="G92" s="1">
        <v>1</v>
      </c>
      <c r="I92" s="1">
        <v>2</v>
      </c>
      <c r="J92" s="1">
        <v>80</v>
      </c>
      <c r="K92" s="1">
        <v>2350</v>
      </c>
      <c r="M92" s="1">
        <v>685</v>
      </c>
      <c r="N92" s="1">
        <v>75</v>
      </c>
      <c r="O92" s="1">
        <v>365</v>
      </c>
      <c r="Q92" s="1">
        <v>15</v>
      </c>
      <c r="S92" s="1">
        <v>19</v>
      </c>
      <c r="T92" s="1">
        <v>-2</v>
      </c>
      <c r="U92" s="1">
        <v>0.5</v>
      </c>
      <c r="V92" s="1">
        <v>70</v>
      </c>
      <c r="W92" s="1">
        <v>-4</v>
      </c>
      <c r="Y92" s="1">
        <v>0.05</v>
      </c>
      <c r="Z92" s="1">
        <v>1.3</v>
      </c>
      <c r="AC92" s="1">
        <v>1</v>
      </c>
      <c r="AI92" s="1" t="s">
        <v>49</v>
      </c>
      <c r="AJ92" s="1" t="s">
        <v>216</v>
      </c>
      <c r="AK92" s="1" t="s">
        <v>600</v>
      </c>
      <c r="AL92" s="1" t="s">
        <v>601</v>
      </c>
      <c r="AO92" s="1" t="s">
        <v>347</v>
      </c>
      <c r="AP92" s="1">
        <v>2</v>
      </c>
      <c r="AQ92" s="1">
        <v>0.5</v>
      </c>
      <c r="AX92" s="1">
        <v>0.25</v>
      </c>
      <c r="BC92" s="1" t="s">
        <v>348</v>
      </c>
      <c r="BD92" s="1" t="s">
        <v>391</v>
      </c>
      <c r="BE92" s="1" t="str">
        <f t="shared" si="12"/>
        <v>icon_whitew</v>
      </c>
      <c r="BF92" s="1" t="str">
        <f t="shared" si="13"/>
        <v>half_whitew</v>
      </c>
      <c r="BG92" s="1" t="str">
        <f t="shared" si="14"/>
        <v>whitew</v>
      </c>
      <c r="BH92" s="1" t="s">
        <v>340</v>
      </c>
      <c r="BI92" s="1">
        <v>5</v>
      </c>
      <c r="BJ92" s="1" t="s">
        <v>350</v>
      </c>
      <c r="BK92" s="1" t="s">
        <v>602</v>
      </c>
      <c r="BL92" s="1" t="s">
        <v>393</v>
      </c>
      <c r="BM92" s="1" t="s">
        <v>603</v>
      </c>
      <c r="BN92" s="1" t="s">
        <v>217</v>
      </c>
      <c r="BO92" s="1" t="s">
        <v>218</v>
      </c>
      <c r="BQ92" s="1" t="s">
        <v>220</v>
      </c>
      <c r="BR92" s="1" t="s">
        <v>220</v>
      </c>
      <c r="BT92" s="1">
        <v>1</v>
      </c>
    </row>
    <row r="93" spans="1:72">
      <c r="A93" s="1" t="s">
        <v>50</v>
      </c>
      <c r="B93" s="1" t="s">
        <v>334</v>
      </c>
      <c r="D93" s="1" t="s">
        <v>317</v>
      </c>
      <c r="E93" s="1">
        <v>143</v>
      </c>
      <c r="F93" s="1" t="str">
        <f t="shared" si="11"/>
        <v>char_143_ghost</v>
      </c>
      <c r="G93" s="1">
        <v>1</v>
      </c>
      <c r="I93" s="1">
        <v>2</v>
      </c>
      <c r="J93" s="1">
        <v>80</v>
      </c>
      <c r="K93" s="1">
        <v>2630</v>
      </c>
      <c r="M93" s="1">
        <v>725</v>
      </c>
      <c r="N93" s="1">
        <v>107</v>
      </c>
      <c r="O93" s="1">
        <v>355</v>
      </c>
      <c r="Q93" s="1">
        <v>0</v>
      </c>
      <c r="S93" s="1">
        <v>23</v>
      </c>
      <c r="T93" s="1">
        <v>-2</v>
      </c>
      <c r="U93" s="1">
        <v>0.5</v>
      </c>
      <c r="V93" s="1">
        <v>70</v>
      </c>
      <c r="W93" s="1">
        <v>-4</v>
      </c>
      <c r="Y93" s="1">
        <v>0.05</v>
      </c>
      <c r="Z93" s="1">
        <v>1.2</v>
      </c>
      <c r="AC93" s="1">
        <v>1</v>
      </c>
      <c r="AI93" s="1" t="s">
        <v>50</v>
      </c>
      <c r="AJ93" s="1" t="s">
        <v>216</v>
      </c>
      <c r="AK93" s="1" t="s">
        <v>604</v>
      </c>
      <c r="AL93" s="1" t="s">
        <v>605</v>
      </c>
      <c r="AO93" s="1" t="s">
        <v>347</v>
      </c>
      <c r="AP93" s="1">
        <v>3</v>
      </c>
      <c r="AQ93" s="1">
        <v>0.5</v>
      </c>
      <c r="AX93" s="1">
        <v>0.25</v>
      </c>
      <c r="BC93" s="1" t="s">
        <v>348</v>
      </c>
      <c r="BD93" s="1" t="s">
        <v>384</v>
      </c>
      <c r="BE93" s="1" t="str">
        <f t="shared" si="12"/>
        <v>icon_ghost</v>
      </c>
      <c r="BF93" s="1" t="str">
        <f t="shared" si="13"/>
        <v>half_ghost</v>
      </c>
      <c r="BG93" s="1" t="str">
        <f t="shared" si="14"/>
        <v>ghost</v>
      </c>
      <c r="BH93" s="1" t="s">
        <v>340</v>
      </c>
      <c r="BI93" s="1">
        <v>5</v>
      </c>
      <c r="BJ93" s="1" t="s">
        <v>350</v>
      </c>
      <c r="BK93" s="1" t="s">
        <v>606</v>
      </c>
      <c r="BL93" s="1" t="s">
        <v>386</v>
      </c>
      <c r="BM93" s="1" t="s">
        <v>607</v>
      </c>
      <c r="BN93" s="1" t="s">
        <v>217</v>
      </c>
      <c r="BO93" s="1" t="s">
        <v>218</v>
      </c>
      <c r="BQ93" s="1" t="s">
        <v>220</v>
      </c>
      <c r="BR93" s="1" t="s">
        <v>220</v>
      </c>
      <c r="BT93" s="1">
        <v>1</v>
      </c>
    </row>
    <row r="94" spans="1:72">
      <c r="A94" s="1" t="s">
        <v>51</v>
      </c>
      <c r="B94" s="1" t="s">
        <v>334</v>
      </c>
      <c r="D94" s="1" t="s">
        <v>608</v>
      </c>
      <c r="E94" s="1">
        <v>129</v>
      </c>
      <c r="F94" s="1" t="str">
        <f t="shared" si="11"/>
        <v>char_129_bluep</v>
      </c>
      <c r="G94" s="1">
        <v>1</v>
      </c>
      <c r="I94" s="1">
        <v>2</v>
      </c>
      <c r="J94" s="1">
        <v>80</v>
      </c>
      <c r="K94" s="1">
        <v>1230</v>
      </c>
      <c r="M94" s="1">
        <v>535</v>
      </c>
      <c r="N94" s="1">
        <v>99</v>
      </c>
      <c r="O94" s="1">
        <v>130</v>
      </c>
      <c r="Q94" s="1">
        <v>0</v>
      </c>
      <c r="S94" s="1">
        <v>13</v>
      </c>
      <c r="T94" s="1">
        <v>-2</v>
      </c>
      <c r="U94" s="1">
        <v>0.5</v>
      </c>
      <c r="V94" s="1">
        <v>70</v>
      </c>
      <c r="W94" s="1">
        <v>-4</v>
      </c>
      <c r="Y94" s="1">
        <v>0.05</v>
      </c>
      <c r="Z94" s="1">
        <v>1</v>
      </c>
      <c r="AC94" s="1">
        <v>1</v>
      </c>
      <c r="AI94" s="1" t="s">
        <v>51</v>
      </c>
      <c r="AJ94" s="1" t="s">
        <v>216</v>
      </c>
      <c r="AK94" s="1" t="s">
        <v>609</v>
      </c>
      <c r="AL94" s="1" t="s">
        <v>610</v>
      </c>
      <c r="AO94" s="1" t="s">
        <v>337</v>
      </c>
      <c r="AP94" s="1">
        <v>1</v>
      </c>
      <c r="AQ94" s="1">
        <v>0.5</v>
      </c>
      <c r="AX94" s="1">
        <v>0.25</v>
      </c>
      <c r="BC94" s="1" t="s">
        <v>363</v>
      </c>
      <c r="BD94" s="1" t="s">
        <v>364</v>
      </c>
      <c r="BE94" s="1" t="str">
        <f t="shared" si="12"/>
        <v>icon_bluep</v>
      </c>
      <c r="BF94" s="1" t="str">
        <f t="shared" si="13"/>
        <v>half_bluep</v>
      </c>
      <c r="BG94" s="1" t="str">
        <f t="shared" si="14"/>
        <v>bluep</v>
      </c>
      <c r="BH94" s="1" t="s">
        <v>340</v>
      </c>
      <c r="BI94" s="1">
        <v>5</v>
      </c>
      <c r="BJ94" s="1" t="s">
        <v>341</v>
      </c>
      <c r="BK94" s="1" t="s">
        <v>611</v>
      </c>
      <c r="BL94" s="1" t="s">
        <v>366</v>
      </c>
      <c r="BM94" s="1" t="s">
        <v>612</v>
      </c>
      <c r="BN94" s="1" t="s">
        <v>217</v>
      </c>
      <c r="BO94" s="1" t="s">
        <v>218</v>
      </c>
      <c r="BQ94" s="1" t="s">
        <v>220</v>
      </c>
      <c r="BR94" s="1" t="s">
        <v>220</v>
      </c>
      <c r="BT94" s="1">
        <v>1</v>
      </c>
    </row>
    <row r="95" spans="1:72">
      <c r="A95" s="1" t="s">
        <v>52</v>
      </c>
      <c r="B95" s="1" t="s">
        <v>334</v>
      </c>
      <c r="D95" s="1" t="s">
        <v>613</v>
      </c>
      <c r="E95" s="1">
        <v>204</v>
      </c>
      <c r="F95" s="1" t="str">
        <f t="shared" si="11"/>
        <v>char_204_platnm</v>
      </c>
      <c r="G95" s="1">
        <v>1</v>
      </c>
      <c r="I95" s="1">
        <v>2</v>
      </c>
      <c r="J95" s="1">
        <v>80</v>
      </c>
      <c r="K95" s="1">
        <v>1550</v>
      </c>
      <c r="M95" s="1">
        <v>505</v>
      </c>
      <c r="N95" s="1">
        <v>98</v>
      </c>
      <c r="O95" s="1">
        <v>165</v>
      </c>
      <c r="Q95" s="1">
        <v>0</v>
      </c>
      <c r="S95" s="1">
        <v>13</v>
      </c>
      <c r="T95" s="1">
        <v>-2</v>
      </c>
      <c r="U95" s="1">
        <v>0.5</v>
      </c>
      <c r="V95" s="1">
        <v>70</v>
      </c>
      <c r="W95" s="1">
        <v>-4</v>
      </c>
      <c r="Y95" s="1">
        <v>0.05</v>
      </c>
      <c r="Z95" s="1">
        <v>1</v>
      </c>
      <c r="AC95" s="1">
        <v>1</v>
      </c>
      <c r="AI95" s="1" t="s">
        <v>52</v>
      </c>
      <c r="AJ95" s="1" t="s">
        <v>216</v>
      </c>
      <c r="AK95" s="1" t="s">
        <v>614</v>
      </c>
      <c r="AL95" s="1" t="s">
        <v>615</v>
      </c>
      <c r="AO95" s="1" t="s">
        <v>337</v>
      </c>
      <c r="AP95" s="1">
        <v>1</v>
      </c>
      <c r="AQ95" s="1">
        <v>0.5</v>
      </c>
      <c r="AX95" s="1">
        <v>0.25</v>
      </c>
      <c r="BC95" s="1" t="s">
        <v>363</v>
      </c>
      <c r="BD95" s="1" t="s">
        <v>364</v>
      </c>
      <c r="BE95" s="1" t="str">
        <f t="shared" si="12"/>
        <v>icon_platnm</v>
      </c>
      <c r="BF95" s="1" t="str">
        <f t="shared" si="13"/>
        <v>half_platnm</v>
      </c>
      <c r="BG95" s="1" t="str">
        <f t="shared" si="14"/>
        <v>platnm</v>
      </c>
      <c r="BH95" s="1" t="s">
        <v>340</v>
      </c>
      <c r="BI95" s="1">
        <v>5</v>
      </c>
      <c r="BJ95" s="1" t="s">
        <v>341</v>
      </c>
      <c r="BK95" s="1" t="s">
        <v>475</v>
      </c>
      <c r="BL95" s="1" t="s">
        <v>366</v>
      </c>
      <c r="BM95" s="1" t="s">
        <v>616</v>
      </c>
      <c r="BN95" s="1" t="s">
        <v>217</v>
      </c>
      <c r="BO95" s="1" t="s">
        <v>218</v>
      </c>
      <c r="BQ95" s="1" t="s">
        <v>220</v>
      </c>
      <c r="BR95" s="1" t="s">
        <v>220</v>
      </c>
      <c r="BT95" s="1">
        <v>1</v>
      </c>
    </row>
    <row r="96" spans="1:72">
      <c r="A96" s="1" t="s">
        <v>53</v>
      </c>
      <c r="B96" s="1" t="s">
        <v>334</v>
      </c>
      <c r="D96" s="1" t="s">
        <v>617</v>
      </c>
      <c r="E96" s="1">
        <v>219</v>
      </c>
      <c r="F96" s="1" t="str">
        <f t="shared" si="11"/>
        <v>char_219_meteo</v>
      </c>
      <c r="G96" s="1">
        <v>1</v>
      </c>
      <c r="I96" s="1">
        <v>2</v>
      </c>
      <c r="J96" s="1">
        <v>80</v>
      </c>
      <c r="K96" s="1">
        <v>1505</v>
      </c>
      <c r="M96" s="1">
        <v>865</v>
      </c>
      <c r="N96" s="1">
        <v>120</v>
      </c>
      <c r="O96" s="1">
        <v>116</v>
      </c>
      <c r="Q96" s="1">
        <v>0</v>
      </c>
      <c r="S96" s="1">
        <v>28</v>
      </c>
      <c r="T96" s="1">
        <v>-2</v>
      </c>
      <c r="U96" s="1">
        <v>0.5</v>
      </c>
      <c r="V96" s="1">
        <v>70</v>
      </c>
      <c r="W96" s="1">
        <v>-10</v>
      </c>
      <c r="Y96" s="1">
        <v>0.05</v>
      </c>
      <c r="Z96" s="1">
        <v>2.8</v>
      </c>
      <c r="AC96" s="1">
        <v>1</v>
      </c>
      <c r="AI96" s="1" t="s">
        <v>53</v>
      </c>
      <c r="AJ96" s="1" t="s">
        <v>216</v>
      </c>
      <c r="AK96" s="1" t="s">
        <v>618</v>
      </c>
      <c r="AL96" s="1" t="s">
        <v>619</v>
      </c>
      <c r="AO96" s="1" t="s">
        <v>337</v>
      </c>
      <c r="AP96" s="1">
        <v>1</v>
      </c>
      <c r="AQ96" s="1">
        <v>0.5</v>
      </c>
      <c r="AX96" s="1">
        <v>0.25</v>
      </c>
      <c r="BC96" s="1" t="s">
        <v>363</v>
      </c>
      <c r="BD96" s="1" t="s">
        <v>398</v>
      </c>
      <c r="BE96" s="1" t="str">
        <f t="shared" si="12"/>
        <v>icon_meteo</v>
      </c>
      <c r="BF96" s="1" t="str">
        <f t="shared" si="13"/>
        <v>half_meteo</v>
      </c>
      <c r="BG96" s="1" t="str">
        <f t="shared" si="14"/>
        <v>meteo</v>
      </c>
      <c r="BH96" s="1" t="s">
        <v>340</v>
      </c>
      <c r="BI96" s="1">
        <v>5</v>
      </c>
      <c r="BJ96" s="1" t="s">
        <v>341</v>
      </c>
      <c r="BK96" s="1" t="s">
        <v>620</v>
      </c>
      <c r="BL96" s="1" t="s">
        <v>400</v>
      </c>
      <c r="BM96" s="1" t="s">
        <v>621</v>
      </c>
      <c r="BN96" s="1" t="s">
        <v>217</v>
      </c>
      <c r="BO96" s="1" t="s">
        <v>218</v>
      </c>
      <c r="BQ96" s="1" t="s">
        <v>220</v>
      </c>
      <c r="BR96" s="1" t="s">
        <v>220</v>
      </c>
      <c r="BT96" s="1">
        <v>1</v>
      </c>
    </row>
    <row r="97" spans="1:72">
      <c r="A97" s="1" t="s">
        <v>54</v>
      </c>
      <c r="B97" s="1" t="s">
        <v>334</v>
      </c>
      <c r="D97" s="1" t="s">
        <v>622</v>
      </c>
      <c r="E97" s="1" t="s">
        <v>623</v>
      </c>
      <c r="F97" s="1" t="str">
        <f t="shared" si="11"/>
        <v>char_002_amiya</v>
      </c>
      <c r="G97" s="1">
        <v>1</v>
      </c>
      <c r="I97" s="1">
        <v>2</v>
      </c>
      <c r="J97" s="1">
        <v>80</v>
      </c>
      <c r="K97" s="1">
        <v>1480</v>
      </c>
      <c r="L97" s="1">
        <v>400</v>
      </c>
      <c r="M97" s="1">
        <v>612</v>
      </c>
      <c r="N97" s="1">
        <v>100</v>
      </c>
      <c r="O97" s="1">
        <v>121</v>
      </c>
      <c r="Q97" s="1">
        <v>20</v>
      </c>
      <c r="S97" s="1">
        <v>20</v>
      </c>
      <c r="T97" s="1">
        <v>-2</v>
      </c>
      <c r="U97" s="1">
        <v>0.5</v>
      </c>
      <c r="V97" s="1">
        <v>70</v>
      </c>
      <c r="Y97" s="1">
        <v>0.05</v>
      </c>
      <c r="Z97" s="1">
        <v>1.6</v>
      </c>
      <c r="AC97" s="1">
        <v>1</v>
      </c>
      <c r="AI97" s="1" t="s">
        <v>54</v>
      </c>
      <c r="AJ97" s="1" t="s">
        <v>216</v>
      </c>
      <c r="AK97" s="1" t="s">
        <v>624</v>
      </c>
      <c r="AL97" s="1" t="s">
        <v>625</v>
      </c>
      <c r="AO97" s="1" t="s">
        <v>337</v>
      </c>
      <c r="AP97" s="1">
        <v>1</v>
      </c>
      <c r="AQ97" s="1">
        <v>0.5</v>
      </c>
      <c r="AX97" s="1">
        <v>0.25</v>
      </c>
      <c r="BC97" s="1" t="s">
        <v>370</v>
      </c>
      <c r="BD97" s="1" t="s">
        <v>371</v>
      </c>
      <c r="BE97" s="1" t="str">
        <f t="shared" si="12"/>
        <v>icon_amiya</v>
      </c>
      <c r="BF97" s="1" t="str">
        <f t="shared" si="13"/>
        <v>half_amiya</v>
      </c>
      <c r="BG97" s="1" t="str">
        <f t="shared" si="14"/>
        <v>amiya</v>
      </c>
      <c r="BH97" s="1" t="s">
        <v>340</v>
      </c>
      <c r="BI97" s="1">
        <v>5</v>
      </c>
      <c r="BJ97" s="1" t="s">
        <v>341</v>
      </c>
      <c r="BK97" s="1" t="s">
        <v>626</v>
      </c>
      <c r="BL97" s="1" t="s">
        <v>372</v>
      </c>
      <c r="BM97" s="1" t="s">
        <v>627</v>
      </c>
      <c r="BN97" s="1" t="s">
        <v>217</v>
      </c>
      <c r="BO97" s="1" t="s">
        <v>218</v>
      </c>
      <c r="BQ97" s="1" t="s">
        <v>220</v>
      </c>
      <c r="BR97" s="1" t="s">
        <v>220</v>
      </c>
      <c r="BT97" s="1">
        <v>1</v>
      </c>
    </row>
    <row r="98" spans="1:72">
      <c r="A98" s="1" t="s">
        <v>55</v>
      </c>
      <c r="B98" s="1" t="s">
        <v>334</v>
      </c>
      <c r="D98" s="1" t="s">
        <v>628</v>
      </c>
      <c r="E98" s="1" t="s">
        <v>629</v>
      </c>
      <c r="F98" s="1" t="str">
        <f t="shared" si="11"/>
        <v>char_166_skfire</v>
      </c>
      <c r="G98" s="1">
        <v>1</v>
      </c>
      <c r="I98" s="1">
        <v>2</v>
      </c>
      <c r="J98" s="1">
        <v>80</v>
      </c>
      <c r="K98" s="1">
        <v>1620</v>
      </c>
      <c r="M98" s="1">
        <v>784</v>
      </c>
      <c r="N98" s="1">
        <v>123</v>
      </c>
      <c r="O98" s="1">
        <v>122</v>
      </c>
      <c r="Q98" s="1">
        <v>20</v>
      </c>
      <c r="S98" s="1">
        <v>33</v>
      </c>
      <c r="T98" s="1">
        <v>-2</v>
      </c>
      <c r="U98" s="1">
        <v>0.5</v>
      </c>
      <c r="V98" s="1">
        <v>70</v>
      </c>
      <c r="W98" s="1">
        <v>-4</v>
      </c>
      <c r="Y98" s="1">
        <v>0.05</v>
      </c>
      <c r="Z98" s="1">
        <v>2.9</v>
      </c>
      <c r="AC98" s="1">
        <v>1</v>
      </c>
      <c r="AI98" s="1" t="s">
        <v>55</v>
      </c>
      <c r="AJ98" s="1" t="s">
        <v>216</v>
      </c>
      <c r="AK98" s="1" t="s">
        <v>630</v>
      </c>
      <c r="AL98" s="1" t="s">
        <v>631</v>
      </c>
      <c r="AO98" s="1" t="s">
        <v>337</v>
      </c>
      <c r="AP98" s="1">
        <v>1</v>
      </c>
      <c r="AQ98" s="1">
        <v>0.5</v>
      </c>
      <c r="AX98" s="1">
        <v>0.25</v>
      </c>
      <c r="BC98" s="1" t="s">
        <v>370</v>
      </c>
      <c r="BD98" s="1" t="s">
        <v>429</v>
      </c>
      <c r="BE98" s="1" t="str">
        <f t="shared" si="12"/>
        <v>icon_skfire</v>
      </c>
      <c r="BF98" s="1" t="str">
        <f t="shared" si="13"/>
        <v>half_skfire</v>
      </c>
      <c r="BG98" s="1" t="str">
        <f t="shared" si="14"/>
        <v>skfire</v>
      </c>
      <c r="BH98" s="1" t="s">
        <v>340</v>
      </c>
      <c r="BI98" s="1">
        <v>5</v>
      </c>
      <c r="BJ98" s="1" t="s">
        <v>341</v>
      </c>
      <c r="BK98" s="1" t="s">
        <v>460</v>
      </c>
      <c r="BL98" s="1" t="s">
        <v>430</v>
      </c>
      <c r="BM98" s="1" t="s">
        <v>632</v>
      </c>
      <c r="BN98" s="1" t="s">
        <v>217</v>
      </c>
      <c r="BO98" s="1" t="s">
        <v>218</v>
      </c>
      <c r="BQ98" s="1" t="s">
        <v>220</v>
      </c>
      <c r="BR98" s="1" t="s">
        <v>220</v>
      </c>
      <c r="BT98" s="1">
        <v>1</v>
      </c>
    </row>
    <row r="99" spans="1:72">
      <c r="A99" s="1" t="s">
        <v>56</v>
      </c>
      <c r="B99" s="1" t="s">
        <v>334</v>
      </c>
      <c r="D99" s="1" t="s">
        <v>633</v>
      </c>
      <c r="E99" s="1" t="s">
        <v>634</v>
      </c>
      <c r="F99" s="1" t="str">
        <f t="shared" si="11"/>
        <v>char_242_otter</v>
      </c>
      <c r="G99" s="1">
        <v>1</v>
      </c>
      <c r="I99" s="1">
        <v>2</v>
      </c>
      <c r="J99" s="1">
        <v>80</v>
      </c>
      <c r="K99" s="1">
        <v>1068</v>
      </c>
      <c r="L99" s="1">
        <v>200</v>
      </c>
      <c r="M99" s="1">
        <v>443</v>
      </c>
      <c r="N99" s="1">
        <v>35</v>
      </c>
      <c r="O99" s="1">
        <v>130</v>
      </c>
      <c r="Q99" s="1">
        <v>28</v>
      </c>
      <c r="S99" s="1">
        <v>11</v>
      </c>
      <c r="T99" s="1">
        <v>-2</v>
      </c>
      <c r="U99" s="1">
        <v>0.5</v>
      </c>
      <c r="V99" s="1">
        <v>70</v>
      </c>
      <c r="W99" s="1">
        <v>-10</v>
      </c>
      <c r="Y99" s="1">
        <v>0.05</v>
      </c>
      <c r="Z99" s="1">
        <v>1.6</v>
      </c>
      <c r="AC99" s="1">
        <v>1</v>
      </c>
      <c r="AI99" s="1" t="s">
        <v>56</v>
      </c>
      <c r="AJ99" s="1" t="s">
        <v>216</v>
      </c>
      <c r="AK99" s="1" t="s">
        <v>635</v>
      </c>
      <c r="AL99" s="1" t="s">
        <v>636</v>
      </c>
      <c r="AO99" s="1" t="s">
        <v>337</v>
      </c>
      <c r="AP99" s="1">
        <v>1</v>
      </c>
      <c r="AQ99" s="1">
        <v>0.5</v>
      </c>
      <c r="AX99" s="1">
        <v>0.25</v>
      </c>
      <c r="BC99" s="1" t="s">
        <v>405</v>
      </c>
      <c r="BD99" s="1" t="s">
        <v>568</v>
      </c>
      <c r="BE99" s="1" t="str">
        <f t="shared" si="12"/>
        <v>icon_otter</v>
      </c>
      <c r="BF99" s="1" t="str">
        <f t="shared" si="13"/>
        <v>half_otter</v>
      </c>
      <c r="BG99" s="1" t="str">
        <f t="shared" si="14"/>
        <v>otter</v>
      </c>
      <c r="BH99" s="1" t="s">
        <v>340</v>
      </c>
      <c r="BI99" s="1">
        <v>5</v>
      </c>
      <c r="BJ99" s="1" t="s">
        <v>341</v>
      </c>
      <c r="BK99" s="1" t="s">
        <v>586</v>
      </c>
      <c r="BL99" s="1" t="s">
        <v>570</v>
      </c>
      <c r="BM99" s="1" t="s">
        <v>637</v>
      </c>
      <c r="BN99" s="1" t="s">
        <v>217</v>
      </c>
      <c r="BO99" s="1" t="s">
        <v>218</v>
      </c>
      <c r="BQ99" s="1" t="s">
        <v>220</v>
      </c>
      <c r="BR99" s="1" t="s">
        <v>220</v>
      </c>
      <c r="BS99" s="1" t="s">
        <v>638</v>
      </c>
      <c r="BT99" s="1">
        <v>1</v>
      </c>
    </row>
    <row r="100" spans="1:72">
      <c r="A100" s="1" t="s">
        <v>639</v>
      </c>
      <c r="B100" s="1" t="s">
        <v>334</v>
      </c>
      <c r="D100" s="1" t="s">
        <v>633</v>
      </c>
      <c r="E100" s="1" t="s">
        <v>634</v>
      </c>
      <c r="F100" s="1" t="s">
        <v>640</v>
      </c>
      <c r="G100" s="1">
        <v>1</v>
      </c>
      <c r="I100" s="1">
        <v>2</v>
      </c>
      <c r="J100" s="1">
        <v>80</v>
      </c>
      <c r="K100" s="1">
        <v>1950</v>
      </c>
      <c r="M100" s="1">
        <v>444</v>
      </c>
      <c r="O100" s="1">
        <v>415</v>
      </c>
      <c r="Q100" s="1">
        <v>0</v>
      </c>
      <c r="S100" s="1">
        <v>5</v>
      </c>
      <c r="U100" s="1">
        <v>0.5</v>
      </c>
      <c r="V100" s="1">
        <v>10</v>
      </c>
      <c r="Y100" s="1">
        <v>0.05</v>
      </c>
      <c r="Z100" s="1">
        <v>1.25</v>
      </c>
      <c r="AC100" s="1">
        <v>1</v>
      </c>
      <c r="AI100" s="1" t="s">
        <v>639</v>
      </c>
      <c r="AJ100" s="1" t="s">
        <v>216</v>
      </c>
      <c r="AK100" s="1" t="s">
        <v>641</v>
      </c>
      <c r="AM100" s="1">
        <v>1</v>
      </c>
      <c r="AO100" s="1" t="s">
        <v>347</v>
      </c>
      <c r="AP100" s="1">
        <v>1</v>
      </c>
      <c r="AQ100" s="1">
        <v>0.5</v>
      </c>
      <c r="AX100" s="1">
        <v>0.25</v>
      </c>
      <c r="BC100" s="1" t="s">
        <v>405</v>
      </c>
      <c r="BE100" s="1" t="s">
        <v>642</v>
      </c>
      <c r="BF100" s="1" t="str">
        <f t="shared" si="13"/>
        <v>half_otter</v>
      </c>
      <c r="BG100" s="1" t="str">
        <f t="shared" si="14"/>
        <v>otter</v>
      </c>
      <c r="BH100" s="1" t="s">
        <v>340</v>
      </c>
      <c r="BI100" s="1">
        <v>5</v>
      </c>
      <c r="BJ100" s="1" t="s">
        <v>350</v>
      </c>
      <c r="BK100" s="1" t="s">
        <v>577</v>
      </c>
      <c r="BN100" s="1" t="s">
        <v>217</v>
      </c>
      <c r="BO100" s="1" t="s">
        <v>218</v>
      </c>
      <c r="BQ100" s="1" t="s">
        <v>220</v>
      </c>
      <c r="BR100" s="1" t="s">
        <v>220</v>
      </c>
      <c r="BT100" s="1">
        <v>1</v>
      </c>
    </row>
    <row r="101" spans="1:72">
      <c r="A101" s="1" t="s">
        <v>57</v>
      </c>
      <c r="B101" s="1" t="s">
        <v>334</v>
      </c>
      <c r="D101" s="1" t="s">
        <v>643</v>
      </c>
      <c r="E101" s="1">
        <v>148</v>
      </c>
      <c r="F101" s="1" t="str">
        <f>"char_"&amp;E101&amp;"_"&amp;D101</f>
        <v>char_148_nearl</v>
      </c>
      <c r="G101" s="1">
        <v>1</v>
      </c>
      <c r="I101" s="1">
        <v>2</v>
      </c>
      <c r="J101" s="1">
        <v>80</v>
      </c>
      <c r="K101" s="1">
        <v>2780</v>
      </c>
      <c r="M101" s="1">
        <v>462</v>
      </c>
      <c r="N101" s="1">
        <v>40</v>
      </c>
      <c r="O101" s="1">
        <v>575</v>
      </c>
      <c r="P101" s="1">
        <v>75</v>
      </c>
      <c r="Q101" s="1">
        <v>10</v>
      </c>
      <c r="S101" s="1">
        <v>21</v>
      </c>
      <c r="T101" s="1">
        <v>-2</v>
      </c>
      <c r="U101" s="1">
        <v>0.5</v>
      </c>
      <c r="V101" s="1">
        <v>70</v>
      </c>
      <c r="W101" s="1">
        <v>-4</v>
      </c>
      <c r="Y101" s="1">
        <v>0.05</v>
      </c>
      <c r="Z101" s="1">
        <v>1.2</v>
      </c>
      <c r="AC101" s="1">
        <v>1</v>
      </c>
      <c r="AI101" s="1" t="s">
        <v>57</v>
      </c>
      <c r="AJ101" s="1" t="s">
        <v>216</v>
      </c>
      <c r="AK101" s="1" t="s">
        <v>644</v>
      </c>
      <c r="AL101" s="1" t="s">
        <v>645</v>
      </c>
      <c r="AO101" s="1" t="s">
        <v>347</v>
      </c>
      <c r="AP101" s="1">
        <v>3</v>
      </c>
      <c r="AQ101" s="1">
        <v>0.5</v>
      </c>
      <c r="AX101" s="1">
        <v>0.25</v>
      </c>
      <c r="BC101" s="1" t="s">
        <v>356</v>
      </c>
      <c r="BD101" s="1" t="s">
        <v>377</v>
      </c>
      <c r="BE101" s="1" t="str">
        <f>"icon_"&amp;D101</f>
        <v>icon_nearl</v>
      </c>
      <c r="BF101" s="1" t="str">
        <f t="shared" si="13"/>
        <v>half_nearl</v>
      </c>
      <c r="BG101" s="1" t="str">
        <f t="shared" si="14"/>
        <v>nearl</v>
      </c>
      <c r="BH101" s="1" t="s">
        <v>340</v>
      </c>
      <c r="BI101" s="1">
        <v>5</v>
      </c>
      <c r="BJ101" s="1" t="s">
        <v>350</v>
      </c>
      <c r="BK101" s="1" t="s">
        <v>646</v>
      </c>
      <c r="BL101" s="1" t="s">
        <v>379</v>
      </c>
      <c r="BM101" s="1" t="s">
        <v>647</v>
      </c>
      <c r="BN101" s="1" t="s">
        <v>217</v>
      </c>
      <c r="BO101" s="1" t="s">
        <v>218</v>
      </c>
      <c r="BQ101" s="1" t="s">
        <v>220</v>
      </c>
      <c r="BR101" s="1" t="s">
        <v>220</v>
      </c>
      <c r="BT101" s="1">
        <v>1</v>
      </c>
    </row>
    <row r="102" spans="1:72">
      <c r="A102" s="1" t="s">
        <v>58</v>
      </c>
      <c r="B102" s="1" t="s">
        <v>334</v>
      </c>
      <c r="D102" s="1" t="s">
        <v>648</v>
      </c>
      <c r="E102" s="1">
        <v>108</v>
      </c>
      <c r="F102" s="1" t="str">
        <f>"char_"&amp;E102&amp;"_"&amp;D102</f>
        <v>char_108_silent</v>
      </c>
      <c r="G102" s="1">
        <v>1</v>
      </c>
      <c r="I102" s="1">
        <v>2</v>
      </c>
      <c r="J102" s="1">
        <v>80</v>
      </c>
      <c r="K102" s="1">
        <v>1595</v>
      </c>
      <c r="M102" s="1">
        <v>482</v>
      </c>
      <c r="N102" s="1">
        <v>99</v>
      </c>
      <c r="O102" s="1">
        <v>142</v>
      </c>
      <c r="Q102" s="1">
        <v>0</v>
      </c>
      <c r="S102" s="1">
        <v>19</v>
      </c>
      <c r="T102" s="1">
        <v>-2</v>
      </c>
      <c r="U102" s="1">
        <v>0.5</v>
      </c>
      <c r="V102" s="1">
        <v>70</v>
      </c>
      <c r="W102" s="1">
        <v>-4</v>
      </c>
      <c r="Y102" s="1">
        <v>0.05</v>
      </c>
      <c r="Z102" s="1">
        <v>2.85</v>
      </c>
      <c r="AC102" s="1">
        <v>1</v>
      </c>
      <c r="AI102" s="1" t="s">
        <v>58</v>
      </c>
      <c r="AJ102" s="1" t="s">
        <v>216</v>
      </c>
      <c r="AK102" s="1" t="s">
        <v>649</v>
      </c>
      <c r="AL102" s="1" t="s">
        <v>650</v>
      </c>
      <c r="AO102" s="1" t="s">
        <v>337</v>
      </c>
      <c r="AP102" s="1">
        <v>1</v>
      </c>
      <c r="AQ102" s="1">
        <v>0.5</v>
      </c>
      <c r="AX102" s="1">
        <v>0.25</v>
      </c>
      <c r="BC102" s="1" t="s">
        <v>338</v>
      </c>
      <c r="BD102" s="1" t="s">
        <v>339</v>
      </c>
      <c r="BE102" s="1" t="str">
        <f>"icon_"&amp;D102</f>
        <v>icon_silent</v>
      </c>
      <c r="BF102" s="1" t="str">
        <f t="shared" si="13"/>
        <v>half_silent</v>
      </c>
      <c r="BG102" s="1" t="str">
        <f t="shared" si="14"/>
        <v>silent</v>
      </c>
      <c r="BH102" s="1" t="s">
        <v>340</v>
      </c>
      <c r="BI102" s="1">
        <v>5</v>
      </c>
      <c r="BJ102" s="1" t="s">
        <v>341</v>
      </c>
      <c r="BK102" s="1" t="s">
        <v>586</v>
      </c>
      <c r="BL102" s="1" t="s">
        <v>419</v>
      </c>
      <c r="BM102" s="1" t="s">
        <v>651</v>
      </c>
      <c r="BN102" s="1" t="s">
        <v>217</v>
      </c>
      <c r="BO102" s="1" t="s">
        <v>218</v>
      </c>
      <c r="BQ102" s="1" t="s">
        <v>220</v>
      </c>
      <c r="BR102" s="1" t="s">
        <v>220</v>
      </c>
      <c r="BT102" s="1">
        <v>1</v>
      </c>
    </row>
    <row r="103" spans="1:72">
      <c r="A103" s="1" t="s">
        <v>652</v>
      </c>
      <c r="B103" s="1" t="s">
        <v>334</v>
      </c>
      <c r="D103" s="1" t="s">
        <v>648</v>
      </c>
      <c r="E103" s="1">
        <v>108</v>
      </c>
      <c r="F103" s="1" t="s">
        <v>653</v>
      </c>
      <c r="G103" s="1">
        <v>1</v>
      </c>
      <c r="I103" s="1">
        <v>2</v>
      </c>
      <c r="J103" s="1">
        <v>80</v>
      </c>
      <c r="K103" s="1">
        <v>1000</v>
      </c>
      <c r="M103" s="1">
        <v>125</v>
      </c>
      <c r="O103" s="1">
        <v>0</v>
      </c>
      <c r="Q103" s="1">
        <v>0</v>
      </c>
      <c r="S103" s="1">
        <v>5</v>
      </c>
      <c r="U103" s="1">
        <v>0.5</v>
      </c>
      <c r="V103" s="1">
        <v>5</v>
      </c>
      <c r="Y103" s="1">
        <v>0.05</v>
      </c>
      <c r="Z103" s="1">
        <v>0.5</v>
      </c>
      <c r="AC103" s="1">
        <v>0</v>
      </c>
      <c r="AD103" s="1">
        <v>1</v>
      </c>
      <c r="AI103" s="1" t="s">
        <v>652</v>
      </c>
      <c r="AJ103" s="1" t="s">
        <v>216</v>
      </c>
      <c r="AK103" s="1" t="s">
        <v>654</v>
      </c>
      <c r="AM103" s="1">
        <v>1</v>
      </c>
      <c r="AO103" s="1" t="s">
        <v>347</v>
      </c>
      <c r="AP103" s="1">
        <v>0</v>
      </c>
      <c r="AQ103" s="1">
        <v>0.5</v>
      </c>
      <c r="AX103" s="1">
        <v>0.25</v>
      </c>
      <c r="BB103" s="1">
        <v>10</v>
      </c>
      <c r="BC103" s="1" t="s">
        <v>338</v>
      </c>
      <c r="BE103" s="1" t="s">
        <v>655</v>
      </c>
      <c r="BF103" s="1" t="str">
        <f t="shared" si="13"/>
        <v>half_silent</v>
      </c>
      <c r="BG103" s="1" t="str">
        <f t="shared" si="14"/>
        <v>silent</v>
      </c>
      <c r="BH103" s="1" t="s">
        <v>340</v>
      </c>
      <c r="BI103" s="1">
        <v>5</v>
      </c>
      <c r="BJ103" s="1" t="s">
        <v>350</v>
      </c>
      <c r="BK103" s="1" t="s">
        <v>656</v>
      </c>
      <c r="BN103" s="1" t="s">
        <v>217</v>
      </c>
      <c r="BO103" s="1" t="s">
        <v>218</v>
      </c>
      <c r="BT103" s="1">
        <v>1</v>
      </c>
    </row>
    <row r="104" spans="1:72">
      <c r="A104" s="1" t="s">
        <v>59</v>
      </c>
      <c r="B104" s="1" t="s">
        <v>334</v>
      </c>
      <c r="D104" s="1" t="s">
        <v>657</v>
      </c>
      <c r="E104" s="1">
        <v>171</v>
      </c>
      <c r="F104" s="1" t="str">
        <f>"char_"&amp;E104&amp;"_"&amp;D104</f>
        <v>char_171_bldsk</v>
      </c>
      <c r="G104" s="1">
        <v>1</v>
      </c>
      <c r="I104" s="1">
        <v>2</v>
      </c>
      <c r="J104" s="1">
        <v>80</v>
      </c>
      <c r="K104" s="1">
        <v>1520</v>
      </c>
      <c r="M104" s="1">
        <v>505</v>
      </c>
      <c r="N104" s="1">
        <v>102</v>
      </c>
      <c r="O104" s="1">
        <v>125</v>
      </c>
      <c r="Q104" s="1">
        <v>0</v>
      </c>
      <c r="S104" s="1">
        <v>19</v>
      </c>
      <c r="T104" s="1">
        <v>-2</v>
      </c>
      <c r="U104" s="1">
        <v>0.5</v>
      </c>
      <c r="V104" s="1">
        <v>70</v>
      </c>
      <c r="W104" s="1">
        <v>-10</v>
      </c>
      <c r="Y104" s="1">
        <v>0.05</v>
      </c>
      <c r="Z104" s="1">
        <v>2.85</v>
      </c>
      <c r="AC104" s="1">
        <v>1</v>
      </c>
      <c r="AI104" s="1" t="s">
        <v>59</v>
      </c>
      <c r="AJ104" s="1" t="s">
        <v>216</v>
      </c>
      <c r="AK104" s="1" t="s">
        <v>658</v>
      </c>
      <c r="AL104" s="1" t="s">
        <v>659</v>
      </c>
      <c r="AO104" s="1" t="s">
        <v>337</v>
      </c>
      <c r="AP104" s="1">
        <v>1</v>
      </c>
      <c r="AQ104" s="1">
        <v>0.5</v>
      </c>
      <c r="AX104" s="1">
        <v>0.25</v>
      </c>
      <c r="BC104" s="1" t="s">
        <v>338</v>
      </c>
      <c r="BD104" s="1" t="s">
        <v>339</v>
      </c>
      <c r="BE104" s="1" t="str">
        <f t="shared" ref="BE104:BE116" si="15">"icon_"&amp;D104</f>
        <v>icon_bldsk</v>
      </c>
      <c r="BF104" s="1" t="str">
        <f t="shared" si="13"/>
        <v>half_bldsk</v>
      </c>
      <c r="BG104" s="1" t="str">
        <f t="shared" si="14"/>
        <v>bldsk</v>
      </c>
      <c r="BH104" s="1" t="s">
        <v>340</v>
      </c>
      <c r="BI104" s="1">
        <v>5</v>
      </c>
      <c r="BJ104" s="1" t="s">
        <v>341</v>
      </c>
      <c r="BK104" s="1" t="s">
        <v>620</v>
      </c>
      <c r="BL104" s="1" t="s">
        <v>419</v>
      </c>
      <c r="BM104" s="1" t="s">
        <v>660</v>
      </c>
      <c r="BN104" s="1" t="s">
        <v>217</v>
      </c>
      <c r="BO104" s="1" t="s">
        <v>218</v>
      </c>
      <c r="BQ104" s="1" t="s">
        <v>220</v>
      </c>
      <c r="BR104" s="1" t="s">
        <v>220</v>
      </c>
      <c r="BT104" s="1">
        <v>1</v>
      </c>
    </row>
    <row r="105" spans="1:72">
      <c r="A105" s="1" t="s">
        <v>60</v>
      </c>
      <c r="B105" s="1" t="s">
        <v>334</v>
      </c>
      <c r="D105" s="1" t="s">
        <v>661</v>
      </c>
      <c r="E105" s="1">
        <v>144</v>
      </c>
      <c r="F105" s="1" t="str">
        <f>"char_"&amp;E105&amp;"_"&amp;D105</f>
        <v>char_144_red</v>
      </c>
      <c r="G105" s="1">
        <v>1</v>
      </c>
      <c r="I105" s="1">
        <v>2</v>
      </c>
      <c r="J105" s="1">
        <v>80</v>
      </c>
      <c r="K105" s="1">
        <v>1505</v>
      </c>
      <c r="M105" s="1">
        <v>530</v>
      </c>
      <c r="N105" s="1">
        <v>95</v>
      </c>
      <c r="O105" s="1">
        <v>302</v>
      </c>
      <c r="Q105" s="1">
        <v>0</v>
      </c>
      <c r="S105" s="1">
        <v>9</v>
      </c>
      <c r="T105" s="1">
        <v>-2</v>
      </c>
      <c r="U105" s="1">
        <v>0.5</v>
      </c>
      <c r="V105" s="1">
        <v>18</v>
      </c>
      <c r="W105" s="1">
        <v>-2</v>
      </c>
      <c r="Y105" s="1">
        <v>0.33</v>
      </c>
      <c r="Z105" s="1">
        <v>0.93</v>
      </c>
      <c r="AC105" s="1">
        <v>1</v>
      </c>
      <c r="AI105" s="1" t="s">
        <v>60</v>
      </c>
      <c r="AJ105" s="1" t="s">
        <v>216</v>
      </c>
      <c r="AK105" s="1" t="s">
        <v>662</v>
      </c>
      <c r="AL105" s="1" t="s">
        <v>663</v>
      </c>
      <c r="AO105" s="1" t="s">
        <v>347</v>
      </c>
      <c r="AP105" s="1">
        <v>1</v>
      </c>
      <c r="AQ105" s="1">
        <v>0.5</v>
      </c>
      <c r="AX105" s="1">
        <v>0.25</v>
      </c>
      <c r="BC105" s="1" t="s">
        <v>514</v>
      </c>
      <c r="BD105" s="1" t="s">
        <v>515</v>
      </c>
      <c r="BE105" s="1" t="str">
        <f t="shared" si="15"/>
        <v>icon_red</v>
      </c>
      <c r="BF105" s="1" t="str">
        <f t="shared" si="13"/>
        <v>half_red</v>
      </c>
      <c r="BG105" s="1" t="str">
        <f t="shared" si="14"/>
        <v>red</v>
      </c>
      <c r="BH105" s="1" t="s">
        <v>340</v>
      </c>
      <c r="BI105" s="1">
        <v>5</v>
      </c>
      <c r="BJ105" s="1" t="s">
        <v>350</v>
      </c>
      <c r="BK105" s="1" t="s">
        <v>664</v>
      </c>
      <c r="BL105" s="1" t="s">
        <v>517</v>
      </c>
      <c r="BM105" s="1" t="s">
        <v>665</v>
      </c>
      <c r="BN105" s="1" t="s">
        <v>217</v>
      </c>
      <c r="BO105" s="1" t="s">
        <v>218</v>
      </c>
      <c r="BQ105" s="1" t="s">
        <v>220</v>
      </c>
      <c r="BR105" s="1" t="s">
        <v>220</v>
      </c>
      <c r="BT105" s="1">
        <v>1</v>
      </c>
    </row>
    <row r="106" spans="1:72">
      <c r="A106" s="1" t="s">
        <v>61</v>
      </c>
      <c r="B106" s="1" t="s">
        <v>334</v>
      </c>
      <c r="D106" s="1" t="s">
        <v>666</v>
      </c>
      <c r="E106" s="1">
        <v>107</v>
      </c>
      <c r="F106" s="1" t="s">
        <v>667</v>
      </c>
      <c r="G106" s="1">
        <v>1</v>
      </c>
      <c r="I106" s="1">
        <v>2</v>
      </c>
      <c r="J106" s="1">
        <v>80</v>
      </c>
      <c r="K106" s="1">
        <v>3240</v>
      </c>
      <c r="M106" s="1">
        <v>425</v>
      </c>
      <c r="N106" s="1">
        <v>45</v>
      </c>
      <c r="O106" s="1">
        <v>710</v>
      </c>
      <c r="P106" s="1">
        <v>72</v>
      </c>
      <c r="Q106" s="1">
        <v>13</v>
      </c>
      <c r="S106" s="1">
        <v>22</v>
      </c>
      <c r="T106" s="1">
        <v>-2</v>
      </c>
      <c r="U106" s="1">
        <v>0.5</v>
      </c>
      <c r="V106" s="1">
        <v>70</v>
      </c>
      <c r="W106" s="1">
        <v>-4</v>
      </c>
      <c r="Y106" s="1">
        <v>0.05</v>
      </c>
      <c r="Z106" s="1">
        <v>1.2</v>
      </c>
      <c r="AC106" s="1">
        <v>1</v>
      </c>
      <c r="AI106" s="1" t="s">
        <v>61</v>
      </c>
      <c r="AJ106" s="1" t="s">
        <v>216</v>
      </c>
      <c r="AK106" s="1" t="s">
        <v>668</v>
      </c>
      <c r="AL106" s="1" t="s">
        <v>669</v>
      </c>
      <c r="AO106" s="1" t="s">
        <v>347</v>
      </c>
      <c r="AP106" s="1">
        <v>3</v>
      </c>
      <c r="AQ106" s="1">
        <v>0.5</v>
      </c>
      <c r="AX106" s="1">
        <v>0.25</v>
      </c>
      <c r="BC106" s="1" t="s">
        <v>356</v>
      </c>
      <c r="BD106" s="1" t="s">
        <v>357</v>
      </c>
      <c r="BE106" s="1" t="str">
        <f t="shared" si="15"/>
        <v>icon_liskam</v>
      </c>
      <c r="BF106" s="1" t="str">
        <f t="shared" si="13"/>
        <v>half_liskam</v>
      </c>
      <c r="BG106" s="1" t="str">
        <f t="shared" si="14"/>
        <v>liskam</v>
      </c>
      <c r="BH106" s="1" t="s">
        <v>340</v>
      </c>
      <c r="BI106" s="1">
        <v>5</v>
      </c>
      <c r="BJ106" s="1" t="s">
        <v>350</v>
      </c>
      <c r="BK106" s="1" t="s">
        <v>591</v>
      </c>
      <c r="BL106" s="1" t="s">
        <v>359</v>
      </c>
      <c r="BM106" s="1" t="s">
        <v>670</v>
      </c>
      <c r="BN106" s="1" t="s">
        <v>217</v>
      </c>
      <c r="BO106" s="1" t="s">
        <v>218</v>
      </c>
      <c r="BQ106" s="1" t="s">
        <v>220</v>
      </c>
      <c r="BR106" s="1" t="s">
        <v>220</v>
      </c>
      <c r="BT106" s="1">
        <v>1</v>
      </c>
    </row>
    <row r="107" spans="1:72">
      <c r="A107" s="1" t="s">
        <v>62</v>
      </c>
      <c r="B107" s="1" t="s">
        <v>334</v>
      </c>
      <c r="D107" s="1" t="s">
        <v>671</v>
      </c>
      <c r="E107" s="1">
        <v>201</v>
      </c>
      <c r="F107" s="1" t="str">
        <f t="shared" ref="F107:F116" si="16">"char_"&amp;E107&amp;"_"&amp;D107</f>
        <v>char_201_moeshd</v>
      </c>
      <c r="G107" s="1">
        <v>1</v>
      </c>
      <c r="I107" s="1">
        <v>2</v>
      </c>
      <c r="J107" s="1">
        <v>80</v>
      </c>
      <c r="K107" s="1">
        <v>3520</v>
      </c>
      <c r="M107" s="1">
        <v>380</v>
      </c>
      <c r="O107" s="1">
        <v>710</v>
      </c>
      <c r="P107" s="1">
        <v>86</v>
      </c>
      <c r="Q107" s="1">
        <v>0</v>
      </c>
      <c r="S107" s="1">
        <v>22</v>
      </c>
      <c r="T107" s="1">
        <v>-2</v>
      </c>
      <c r="U107" s="1">
        <v>0.5</v>
      </c>
      <c r="V107" s="1">
        <v>70</v>
      </c>
      <c r="W107" s="1">
        <v>-4</v>
      </c>
      <c r="Y107" s="1">
        <v>0.05</v>
      </c>
      <c r="Z107" s="1">
        <v>1.2</v>
      </c>
      <c r="AC107" s="1">
        <v>1</v>
      </c>
      <c r="AI107" s="1" t="s">
        <v>62</v>
      </c>
      <c r="AJ107" s="1" t="s">
        <v>216</v>
      </c>
      <c r="AK107" s="1" t="s">
        <v>672</v>
      </c>
      <c r="AL107" s="1" t="s">
        <v>673</v>
      </c>
      <c r="AO107" s="1" t="s">
        <v>347</v>
      </c>
      <c r="AP107" s="1">
        <v>3</v>
      </c>
      <c r="AQ107" s="1">
        <v>0.5</v>
      </c>
      <c r="AX107" s="1">
        <v>0.25</v>
      </c>
      <c r="BC107" s="1" t="s">
        <v>356</v>
      </c>
      <c r="BD107" s="1" t="s">
        <v>357</v>
      </c>
      <c r="BE107" s="1" t="str">
        <f t="shared" si="15"/>
        <v>icon_moeshd</v>
      </c>
      <c r="BF107" s="1" t="str">
        <f t="shared" si="13"/>
        <v>half_moeshd</v>
      </c>
      <c r="BG107" s="1" t="str">
        <f t="shared" si="14"/>
        <v>moeshd</v>
      </c>
      <c r="BH107" s="1" t="s">
        <v>340</v>
      </c>
      <c r="BI107" s="1">
        <v>5</v>
      </c>
      <c r="BJ107" s="1" t="s">
        <v>350</v>
      </c>
      <c r="BK107" s="1" t="s">
        <v>674</v>
      </c>
      <c r="BL107" s="1" t="s">
        <v>359</v>
      </c>
      <c r="BM107" s="1" t="s">
        <v>675</v>
      </c>
      <c r="BN107" s="1" t="s">
        <v>217</v>
      </c>
      <c r="BO107" s="1" t="s">
        <v>218</v>
      </c>
      <c r="BQ107" s="1" t="s">
        <v>220</v>
      </c>
      <c r="BR107" s="1" t="s">
        <v>220</v>
      </c>
      <c r="BS107" s="1" t="s">
        <v>638</v>
      </c>
      <c r="BT107" s="1">
        <v>1</v>
      </c>
    </row>
    <row r="108" spans="1:72">
      <c r="A108" s="1" t="s">
        <v>63</v>
      </c>
      <c r="B108" s="1" t="s">
        <v>334</v>
      </c>
      <c r="D108" s="1" t="s">
        <v>676</v>
      </c>
      <c r="E108" s="1">
        <v>163</v>
      </c>
      <c r="F108" s="1" t="str">
        <f t="shared" si="16"/>
        <v>char_163_hpsts</v>
      </c>
      <c r="G108" s="1">
        <v>1</v>
      </c>
      <c r="I108" s="1">
        <v>2</v>
      </c>
      <c r="J108" s="1">
        <v>80</v>
      </c>
      <c r="K108" s="1">
        <v>3688</v>
      </c>
      <c r="L108" s="1">
        <v>650</v>
      </c>
      <c r="M108" s="1">
        <v>820</v>
      </c>
      <c r="N108" s="1">
        <v>50</v>
      </c>
      <c r="O108" s="1">
        <v>585</v>
      </c>
      <c r="P108" s="1">
        <v>10</v>
      </c>
      <c r="Q108" s="1">
        <v>0</v>
      </c>
      <c r="S108" s="1">
        <v>35</v>
      </c>
      <c r="T108" s="1">
        <v>-2</v>
      </c>
      <c r="U108" s="1">
        <v>0.5</v>
      </c>
      <c r="V108" s="1">
        <v>70</v>
      </c>
      <c r="W108" s="1">
        <v>-4</v>
      </c>
      <c r="Y108" s="1">
        <v>0.05</v>
      </c>
      <c r="Z108" s="1">
        <v>1.6</v>
      </c>
      <c r="AC108" s="1">
        <v>1</v>
      </c>
      <c r="AI108" s="1" t="s">
        <v>63</v>
      </c>
      <c r="AJ108" s="1" t="s">
        <v>216</v>
      </c>
      <c r="AK108" s="1" t="s">
        <v>677</v>
      </c>
      <c r="AL108" s="1" t="s">
        <v>678</v>
      </c>
      <c r="AO108" s="1" t="s">
        <v>347</v>
      </c>
      <c r="AP108" s="1">
        <v>3</v>
      </c>
      <c r="AQ108" s="1">
        <v>0.5</v>
      </c>
      <c r="AX108" s="1">
        <v>0.25</v>
      </c>
      <c r="BC108" s="1" t="s">
        <v>356</v>
      </c>
      <c r="BD108" s="1" t="s">
        <v>679</v>
      </c>
      <c r="BE108" s="1" t="str">
        <f t="shared" si="15"/>
        <v>icon_hpsts</v>
      </c>
      <c r="BF108" s="1" t="str">
        <f t="shared" si="13"/>
        <v>half_hpsts</v>
      </c>
      <c r="BG108" s="1" t="str">
        <f t="shared" si="14"/>
        <v>hpsts</v>
      </c>
      <c r="BH108" s="1" t="s">
        <v>340</v>
      </c>
      <c r="BI108" s="1">
        <v>5</v>
      </c>
      <c r="BJ108" s="1" t="s">
        <v>350</v>
      </c>
      <c r="BK108" s="1" t="s">
        <v>680</v>
      </c>
      <c r="BL108" s="1" t="s">
        <v>681</v>
      </c>
      <c r="BM108" s="1" t="s">
        <v>682</v>
      </c>
      <c r="BN108" s="1" t="s">
        <v>217</v>
      </c>
      <c r="BO108" s="1" t="s">
        <v>218</v>
      </c>
      <c r="BQ108" s="1" t="s">
        <v>220</v>
      </c>
      <c r="BR108" s="1" t="s">
        <v>220</v>
      </c>
      <c r="BT108" s="1">
        <v>1</v>
      </c>
    </row>
    <row r="109" spans="1:72">
      <c r="A109" s="1" t="s">
        <v>64</v>
      </c>
      <c r="B109" s="1" t="s">
        <v>334</v>
      </c>
      <c r="D109" s="1" t="s">
        <v>683</v>
      </c>
      <c r="E109" s="1">
        <v>145</v>
      </c>
      <c r="F109" s="1" t="str">
        <f t="shared" si="16"/>
        <v>char_145_prove</v>
      </c>
      <c r="G109" s="1">
        <v>1</v>
      </c>
      <c r="I109" s="1">
        <v>2</v>
      </c>
      <c r="J109" s="1">
        <v>80</v>
      </c>
      <c r="K109" s="1">
        <v>1680</v>
      </c>
      <c r="M109" s="1">
        <v>781</v>
      </c>
      <c r="N109" s="1">
        <v>120</v>
      </c>
      <c r="O109" s="1">
        <v>215</v>
      </c>
      <c r="Q109" s="1">
        <v>0</v>
      </c>
      <c r="S109" s="1">
        <v>19</v>
      </c>
      <c r="T109" s="1">
        <v>-2</v>
      </c>
      <c r="U109" s="1">
        <v>0.5</v>
      </c>
      <c r="V109" s="1">
        <v>70</v>
      </c>
      <c r="W109" s="1">
        <v>-4</v>
      </c>
      <c r="Y109" s="1">
        <v>0.05</v>
      </c>
      <c r="Z109" s="1">
        <v>1.6</v>
      </c>
      <c r="AC109" s="1">
        <v>1</v>
      </c>
      <c r="AI109" s="1" t="s">
        <v>64</v>
      </c>
      <c r="AJ109" s="1" t="s">
        <v>216</v>
      </c>
      <c r="AK109" s="1" t="s">
        <v>684</v>
      </c>
      <c r="AL109" s="1" t="s">
        <v>685</v>
      </c>
      <c r="AO109" s="1" t="s">
        <v>337</v>
      </c>
      <c r="AP109" s="1">
        <v>1</v>
      </c>
      <c r="AQ109" s="1">
        <v>0.5</v>
      </c>
      <c r="AX109" s="1">
        <v>0.25</v>
      </c>
      <c r="BC109" s="1" t="s">
        <v>363</v>
      </c>
      <c r="BD109" s="1" t="s">
        <v>686</v>
      </c>
      <c r="BE109" s="1" t="str">
        <f t="shared" si="15"/>
        <v>icon_prove</v>
      </c>
      <c r="BF109" s="1" t="str">
        <f t="shared" si="13"/>
        <v>half_prove</v>
      </c>
      <c r="BG109" s="1" t="str">
        <f t="shared" si="14"/>
        <v>prove</v>
      </c>
      <c r="BH109" s="1" t="s">
        <v>340</v>
      </c>
      <c r="BI109" s="1">
        <v>5</v>
      </c>
      <c r="BJ109" s="1" t="s">
        <v>341</v>
      </c>
      <c r="BK109" s="1" t="s">
        <v>687</v>
      </c>
      <c r="BL109" s="1" t="s">
        <v>688</v>
      </c>
      <c r="BM109" s="1" t="s">
        <v>689</v>
      </c>
      <c r="BN109" s="1" t="s">
        <v>217</v>
      </c>
      <c r="BO109" s="1" t="s">
        <v>218</v>
      </c>
      <c r="BQ109" s="1" t="s">
        <v>220</v>
      </c>
      <c r="BR109" s="1" t="s">
        <v>220</v>
      </c>
      <c r="BT109" s="1">
        <v>1</v>
      </c>
    </row>
    <row r="110" spans="1:72">
      <c r="A110" s="1" t="s">
        <v>65</v>
      </c>
      <c r="B110" s="1" t="s">
        <v>334</v>
      </c>
      <c r="D110" s="1" t="s">
        <v>690</v>
      </c>
      <c r="E110" s="1">
        <v>158</v>
      </c>
      <c r="F110" s="1" t="str">
        <f t="shared" si="16"/>
        <v>char_158_milu</v>
      </c>
      <c r="G110" s="1">
        <v>1</v>
      </c>
      <c r="I110" s="1">
        <v>2</v>
      </c>
      <c r="J110" s="1">
        <v>80</v>
      </c>
      <c r="K110" s="1">
        <v>1450</v>
      </c>
      <c r="M110" s="1">
        <v>1085</v>
      </c>
      <c r="N110" s="1">
        <v>125</v>
      </c>
      <c r="O110" s="1">
        <v>131</v>
      </c>
      <c r="Q110" s="1">
        <v>0</v>
      </c>
      <c r="S110" s="1">
        <v>21</v>
      </c>
      <c r="T110" s="1">
        <v>-2</v>
      </c>
      <c r="U110" s="1">
        <v>0.5</v>
      </c>
      <c r="V110" s="1">
        <v>70</v>
      </c>
      <c r="W110" s="1">
        <v>-4</v>
      </c>
      <c r="Y110" s="1">
        <v>0.05</v>
      </c>
      <c r="Z110" s="1">
        <v>2.7</v>
      </c>
      <c r="AC110" s="1">
        <v>1</v>
      </c>
      <c r="AI110" s="1" t="s">
        <v>65</v>
      </c>
      <c r="AJ110" s="1" t="s">
        <v>216</v>
      </c>
      <c r="AK110" s="1" t="s">
        <v>691</v>
      </c>
      <c r="AL110" s="1" t="s">
        <v>692</v>
      </c>
      <c r="AO110" s="1" t="s">
        <v>337</v>
      </c>
      <c r="AP110" s="1">
        <v>1</v>
      </c>
      <c r="AQ110" s="1">
        <v>0.5</v>
      </c>
      <c r="AX110" s="1">
        <v>0.25</v>
      </c>
      <c r="BC110" s="1" t="s">
        <v>363</v>
      </c>
      <c r="BD110" s="1" t="s">
        <v>328</v>
      </c>
      <c r="BE110" s="1" t="str">
        <f t="shared" si="15"/>
        <v>icon_milu</v>
      </c>
      <c r="BF110" s="1" t="str">
        <f t="shared" si="13"/>
        <v>half_milu</v>
      </c>
      <c r="BG110" s="1" t="str">
        <f t="shared" si="14"/>
        <v>milu</v>
      </c>
      <c r="BH110" s="1" t="s">
        <v>340</v>
      </c>
      <c r="BI110" s="1">
        <v>5</v>
      </c>
      <c r="BJ110" s="1" t="s">
        <v>341</v>
      </c>
      <c r="BK110" s="1" t="s">
        <v>342</v>
      </c>
      <c r="BL110" s="1" t="s">
        <v>693</v>
      </c>
      <c r="BM110" s="1" t="s">
        <v>694</v>
      </c>
      <c r="BN110" s="1" t="s">
        <v>217</v>
      </c>
      <c r="BO110" s="1" t="s">
        <v>218</v>
      </c>
      <c r="BQ110" s="1" t="s">
        <v>220</v>
      </c>
      <c r="BR110" s="1" t="s">
        <v>220</v>
      </c>
      <c r="BS110" s="1" t="s">
        <v>638</v>
      </c>
      <c r="BT110" s="1">
        <v>1</v>
      </c>
    </row>
    <row r="111" spans="1:72">
      <c r="A111" s="1" t="s">
        <v>66</v>
      </c>
      <c r="B111" s="1" t="s">
        <v>334</v>
      </c>
      <c r="D111" s="1" t="s">
        <v>695</v>
      </c>
      <c r="E111" s="1">
        <v>173</v>
      </c>
      <c r="F111" s="1" t="str">
        <f t="shared" si="16"/>
        <v>char_173_slchan</v>
      </c>
      <c r="G111" s="1">
        <v>1</v>
      </c>
      <c r="I111" s="1">
        <v>2</v>
      </c>
      <c r="J111" s="1">
        <v>80</v>
      </c>
      <c r="K111" s="1">
        <v>1970</v>
      </c>
      <c r="M111" s="1">
        <v>765</v>
      </c>
      <c r="N111" s="1">
        <v>70</v>
      </c>
      <c r="O111" s="1">
        <v>340</v>
      </c>
      <c r="Q111" s="1">
        <v>0</v>
      </c>
      <c r="S111" s="1">
        <v>13</v>
      </c>
      <c r="T111" s="1">
        <v>-2</v>
      </c>
      <c r="U111" s="1">
        <v>0.5</v>
      </c>
      <c r="V111" s="1">
        <v>70</v>
      </c>
      <c r="W111" s="1">
        <v>-4</v>
      </c>
      <c r="Y111" s="1">
        <v>0.05</v>
      </c>
      <c r="Z111" s="1">
        <v>1.8</v>
      </c>
      <c r="AC111" s="1">
        <v>1</v>
      </c>
      <c r="AI111" s="1" t="s">
        <v>66</v>
      </c>
      <c r="AJ111" s="1" t="s">
        <v>216</v>
      </c>
      <c r="AK111" s="1" t="s">
        <v>696</v>
      </c>
      <c r="AL111" s="1" t="s">
        <v>697</v>
      </c>
      <c r="AO111" s="1" t="s">
        <v>522</v>
      </c>
      <c r="AP111" s="1">
        <v>2</v>
      </c>
      <c r="AQ111" s="1">
        <v>0.5</v>
      </c>
      <c r="AX111" s="1">
        <v>0.25</v>
      </c>
      <c r="BC111" s="1" t="s">
        <v>514</v>
      </c>
      <c r="BD111" s="1" t="s">
        <v>523</v>
      </c>
      <c r="BE111" s="1" t="str">
        <f t="shared" si="15"/>
        <v>icon_slchan</v>
      </c>
      <c r="BF111" s="1" t="str">
        <f t="shared" si="13"/>
        <v>half_slchan</v>
      </c>
      <c r="BG111" s="1" t="str">
        <f t="shared" si="14"/>
        <v>slchan</v>
      </c>
      <c r="BH111" s="1" t="s">
        <v>340</v>
      </c>
      <c r="BI111" s="1">
        <v>5</v>
      </c>
      <c r="BJ111" s="1" t="s">
        <v>350</v>
      </c>
      <c r="BK111" s="1" t="s">
        <v>553</v>
      </c>
      <c r="BL111" s="1" t="s">
        <v>525</v>
      </c>
      <c r="BM111" s="1" t="s">
        <v>698</v>
      </c>
      <c r="BN111" s="1" t="s">
        <v>217</v>
      </c>
      <c r="BO111" s="1" t="s">
        <v>218</v>
      </c>
      <c r="BQ111" s="1" t="s">
        <v>220</v>
      </c>
      <c r="BR111" s="1" t="s">
        <v>220</v>
      </c>
      <c r="BT111" s="1">
        <v>1</v>
      </c>
    </row>
    <row r="112" spans="1:72">
      <c r="A112" s="1" t="s">
        <v>67</v>
      </c>
      <c r="B112" s="1" t="s">
        <v>334</v>
      </c>
      <c r="D112" s="1" t="s">
        <v>699</v>
      </c>
      <c r="E112" s="1">
        <v>174</v>
      </c>
      <c r="F112" s="1" t="str">
        <f t="shared" si="16"/>
        <v>char_174_slbell</v>
      </c>
      <c r="G112" s="1">
        <v>1</v>
      </c>
      <c r="I112" s="1">
        <v>2</v>
      </c>
      <c r="J112" s="1">
        <v>80</v>
      </c>
      <c r="K112" s="1">
        <v>1605</v>
      </c>
      <c r="M112" s="1">
        <v>430</v>
      </c>
      <c r="N112" s="1">
        <v>65</v>
      </c>
      <c r="O112" s="1">
        <v>102</v>
      </c>
      <c r="Q112" s="1">
        <v>33</v>
      </c>
      <c r="S112" s="1">
        <v>12</v>
      </c>
      <c r="T112" s="1">
        <v>-2</v>
      </c>
      <c r="U112" s="1">
        <v>0.5</v>
      </c>
      <c r="V112" s="1">
        <v>70</v>
      </c>
      <c r="W112" s="1">
        <v>-4</v>
      </c>
      <c r="Y112" s="1">
        <v>0.05</v>
      </c>
      <c r="Z112" s="1">
        <v>1.6</v>
      </c>
      <c r="AC112" s="1">
        <v>1</v>
      </c>
      <c r="AI112" s="1" t="s">
        <v>67</v>
      </c>
      <c r="AJ112" s="1" t="s">
        <v>216</v>
      </c>
      <c r="AK112" s="1" t="s">
        <v>700</v>
      </c>
      <c r="AL112" s="1" t="s">
        <v>701</v>
      </c>
      <c r="AO112" s="1" t="s">
        <v>337</v>
      </c>
      <c r="AP112" s="1">
        <v>1</v>
      </c>
      <c r="AQ112" s="1">
        <v>0.5</v>
      </c>
      <c r="AX112" s="1">
        <v>0.25</v>
      </c>
      <c r="BC112" s="1" t="s">
        <v>405</v>
      </c>
      <c r="BD112" s="1" t="s">
        <v>702</v>
      </c>
      <c r="BE112" s="1" t="str">
        <f t="shared" si="15"/>
        <v>icon_slbell</v>
      </c>
      <c r="BF112" s="1" t="str">
        <f t="shared" si="13"/>
        <v>half_slbell</v>
      </c>
      <c r="BG112" s="1" t="str">
        <f t="shared" si="14"/>
        <v>slbell</v>
      </c>
      <c r="BH112" s="1" t="s">
        <v>340</v>
      </c>
      <c r="BI112" s="1">
        <v>5</v>
      </c>
      <c r="BJ112" s="1" t="s">
        <v>341</v>
      </c>
      <c r="BK112" s="1" t="s">
        <v>703</v>
      </c>
      <c r="BL112" s="1" t="s">
        <v>372</v>
      </c>
      <c r="BM112" s="1" t="s">
        <v>704</v>
      </c>
      <c r="BN112" s="1" t="s">
        <v>217</v>
      </c>
      <c r="BO112" s="1" t="s">
        <v>218</v>
      </c>
      <c r="BQ112" s="1" t="s">
        <v>220</v>
      </c>
      <c r="BR112" s="1" t="s">
        <v>220</v>
      </c>
      <c r="BT112" s="1">
        <v>1</v>
      </c>
    </row>
    <row r="113" spans="1:72">
      <c r="A113" s="1" t="s">
        <v>68</v>
      </c>
      <c r="B113" s="1" t="s">
        <v>334</v>
      </c>
      <c r="D113" s="1" t="s">
        <v>705</v>
      </c>
      <c r="E113" s="1">
        <v>195</v>
      </c>
      <c r="F113" s="1" t="str">
        <f t="shared" si="16"/>
        <v>char_195_glassb</v>
      </c>
      <c r="G113" s="1">
        <v>1</v>
      </c>
      <c r="I113" s="1">
        <v>2</v>
      </c>
      <c r="J113" s="1">
        <v>80</v>
      </c>
      <c r="K113" s="1">
        <v>1280</v>
      </c>
      <c r="M113" s="1">
        <v>518</v>
      </c>
      <c r="N113" s="1">
        <v>88</v>
      </c>
      <c r="O113" s="1">
        <v>104</v>
      </c>
      <c r="Q113" s="1">
        <v>20</v>
      </c>
      <c r="S113" s="1">
        <v>15</v>
      </c>
      <c r="T113" s="1">
        <v>-2</v>
      </c>
      <c r="U113" s="1">
        <v>0.5</v>
      </c>
      <c r="V113" s="1">
        <v>70</v>
      </c>
      <c r="W113" s="1">
        <v>-4</v>
      </c>
      <c r="Y113" s="1">
        <v>0.05</v>
      </c>
      <c r="Z113" s="1">
        <v>1.9</v>
      </c>
      <c r="AC113" s="1">
        <v>1</v>
      </c>
      <c r="AI113" s="1" t="s">
        <v>68</v>
      </c>
      <c r="AJ113" s="1" t="s">
        <v>216</v>
      </c>
      <c r="AK113" s="1" t="s">
        <v>706</v>
      </c>
      <c r="AL113" s="1" t="s">
        <v>707</v>
      </c>
      <c r="AO113" s="1" t="s">
        <v>337</v>
      </c>
      <c r="AP113" s="1">
        <v>1</v>
      </c>
      <c r="AQ113" s="1">
        <v>0.5</v>
      </c>
      <c r="AX113" s="1">
        <v>0.25</v>
      </c>
      <c r="BC113" s="1" t="s">
        <v>405</v>
      </c>
      <c r="BD113" s="1" t="s">
        <v>406</v>
      </c>
      <c r="BE113" s="1" t="str">
        <f t="shared" si="15"/>
        <v>icon_glassb</v>
      </c>
      <c r="BF113" s="1" t="str">
        <f t="shared" si="13"/>
        <v>half_glassb</v>
      </c>
      <c r="BG113" s="1" t="str">
        <f t="shared" si="14"/>
        <v>glassb</v>
      </c>
      <c r="BH113" s="1" t="s">
        <v>340</v>
      </c>
      <c r="BI113" s="1">
        <v>5</v>
      </c>
      <c r="BJ113" s="1" t="s">
        <v>341</v>
      </c>
      <c r="BK113" s="1" t="s">
        <v>708</v>
      </c>
      <c r="BL113" s="1" t="s">
        <v>408</v>
      </c>
      <c r="BM113" s="1" t="s">
        <v>709</v>
      </c>
      <c r="BN113" s="1" t="s">
        <v>217</v>
      </c>
      <c r="BO113" s="1" t="s">
        <v>218</v>
      </c>
      <c r="BQ113" s="1" t="s">
        <v>220</v>
      </c>
      <c r="BR113" s="1" t="s">
        <v>220</v>
      </c>
      <c r="BS113" s="1" t="s">
        <v>527</v>
      </c>
      <c r="BT113" s="1">
        <v>2</v>
      </c>
    </row>
    <row r="114" spans="1:72">
      <c r="A114" s="1" t="s">
        <v>69</v>
      </c>
      <c r="B114" s="1" t="s">
        <v>334</v>
      </c>
      <c r="D114" s="1" t="s">
        <v>710</v>
      </c>
      <c r="E114" s="1">
        <v>101</v>
      </c>
      <c r="F114" s="1" t="str">
        <f t="shared" si="16"/>
        <v>char_101_sora</v>
      </c>
      <c r="G114" s="1">
        <v>1</v>
      </c>
      <c r="I114" s="1">
        <v>2</v>
      </c>
      <c r="J114" s="1">
        <v>80</v>
      </c>
      <c r="K114" s="1">
        <v>1356</v>
      </c>
      <c r="M114" s="1">
        <v>335</v>
      </c>
      <c r="N114" s="1">
        <v>50</v>
      </c>
      <c r="O114" s="1">
        <v>238</v>
      </c>
      <c r="Q114" s="1">
        <v>0</v>
      </c>
      <c r="S114" s="1">
        <v>7</v>
      </c>
      <c r="T114" s="1">
        <v>-2</v>
      </c>
      <c r="U114" s="1">
        <v>0.5</v>
      </c>
      <c r="V114" s="1">
        <v>70</v>
      </c>
      <c r="W114" s="1">
        <v>-4</v>
      </c>
      <c r="Y114" s="1">
        <v>0.05</v>
      </c>
      <c r="Z114" s="1">
        <v>1</v>
      </c>
      <c r="AC114" s="1">
        <v>1</v>
      </c>
      <c r="AI114" s="1" t="s">
        <v>69</v>
      </c>
      <c r="AJ114" s="1" t="s">
        <v>216</v>
      </c>
      <c r="AK114" s="1" t="s">
        <v>711</v>
      </c>
      <c r="AL114" s="1" t="s">
        <v>712</v>
      </c>
      <c r="AO114" s="1" t="s">
        <v>337</v>
      </c>
      <c r="AP114" s="1">
        <v>1</v>
      </c>
      <c r="AQ114" s="1">
        <v>0.5</v>
      </c>
      <c r="AX114" s="1">
        <v>0.25</v>
      </c>
      <c r="BC114" s="1" t="s">
        <v>405</v>
      </c>
      <c r="BD114" s="1" t="s">
        <v>713</v>
      </c>
      <c r="BE114" s="1" t="str">
        <f t="shared" si="15"/>
        <v>icon_sora</v>
      </c>
      <c r="BF114" s="1" t="str">
        <f t="shared" si="13"/>
        <v>half_sora</v>
      </c>
      <c r="BG114" s="1" t="str">
        <f t="shared" si="14"/>
        <v>sora</v>
      </c>
      <c r="BH114" s="1" t="s">
        <v>340</v>
      </c>
      <c r="BI114" s="1">
        <v>5</v>
      </c>
      <c r="BJ114" s="1" t="s">
        <v>350</v>
      </c>
      <c r="BK114" s="1" t="s">
        <v>714</v>
      </c>
      <c r="BL114" s="1" t="s">
        <v>715</v>
      </c>
      <c r="BM114" s="1" t="s">
        <v>716</v>
      </c>
      <c r="BN114" s="1" t="s">
        <v>217</v>
      </c>
      <c r="BO114" s="1" t="s">
        <v>218</v>
      </c>
      <c r="BQ114" s="1" t="s">
        <v>220</v>
      </c>
      <c r="BR114" s="1" t="s">
        <v>220</v>
      </c>
      <c r="BT114" s="1">
        <v>1</v>
      </c>
    </row>
    <row r="115" spans="1:72">
      <c r="A115" s="1" t="s">
        <v>70</v>
      </c>
      <c r="B115" s="1" t="s">
        <v>334</v>
      </c>
      <c r="D115" s="1" t="s">
        <v>717</v>
      </c>
      <c r="E115" s="1">
        <v>215</v>
      </c>
      <c r="F115" s="1" t="str">
        <f t="shared" si="16"/>
        <v>char_215_mantic</v>
      </c>
      <c r="G115" s="1">
        <v>1</v>
      </c>
      <c r="I115" s="1">
        <v>2</v>
      </c>
      <c r="J115" s="1">
        <v>80</v>
      </c>
      <c r="K115" s="1">
        <v>1630</v>
      </c>
      <c r="M115" s="1">
        <v>811</v>
      </c>
      <c r="N115" s="1">
        <v>90</v>
      </c>
      <c r="O115" s="1">
        <v>343</v>
      </c>
      <c r="P115" s="1">
        <v>30</v>
      </c>
      <c r="Q115" s="1">
        <v>30</v>
      </c>
      <c r="S115" s="1">
        <v>20</v>
      </c>
      <c r="T115" s="1">
        <v>-2</v>
      </c>
      <c r="U115" s="1">
        <v>0.5</v>
      </c>
      <c r="V115" s="1">
        <v>70</v>
      </c>
      <c r="W115" s="1">
        <v>-4</v>
      </c>
      <c r="Y115" s="1">
        <v>0.05</v>
      </c>
      <c r="Z115" s="1">
        <v>3.5</v>
      </c>
      <c r="AC115" s="1">
        <v>1</v>
      </c>
      <c r="AG115" s="1">
        <v>-1</v>
      </c>
      <c r="AI115" s="1" t="s">
        <v>70</v>
      </c>
      <c r="AJ115" s="1" t="s">
        <v>216</v>
      </c>
      <c r="AK115" s="1" t="s">
        <v>718</v>
      </c>
      <c r="AL115" s="1" t="s">
        <v>719</v>
      </c>
      <c r="AO115" s="1" t="s">
        <v>347</v>
      </c>
      <c r="AP115" s="1">
        <v>0</v>
      </c>
      <c r="AQ115" s="1">
        <v>0.5</v>
      </c>
      <c r="AX115" s="1">
        <v>0.25</v>
      </c>
      <c r="BC115" s="1" t="s">
        <v>514</v>
      </c>
      <c r="BD115" s="1" t="s">
        <v>720</v>
      </c>
      <c r="BE115" s="1" t="str">
        <f t="shared" si="15"/>
        <v>icon_mantic</v>
      </c>
      <c r="BF115" s="1" t="str">
        <f t="shared" si="13"/>
        <v>half_mantic</v>
      </c>
      <c r="BG115" s="1" t="str">
        <f t="shared" si="14"/>
        <v>mantic</v>
      </c>
      <c r="BH115" s="1" t="s">
        <v>340</v>
      </c>
      <c r="BI115" s="1">
        <v>5</v>
      </c>
      <c r="BJ115" s="1" t="s">
        <v>350</v>
      </c>
      <c r="BK115" s="1" t="s">
        <v>503</v>
      </c>
      <c r="BL115" s="1" t="s">
        <v>721</v>
      </c>
      <c r="BM115" s="1" t="s">
        <v>722</v>
      </c>
      <c r="BN115" s="1" t="s">
        <v>217</v>
      </c>
      <c r="BO115" s="1" t="s">
        <v>218</v>
      </c>
      <c r="BQ115" s="1" t="s">
        <v>220</v>
      </c>
      <c r="BR115" s="1" t="s">
        <v>220</v>
      </c>
      <c r="BT115" s="1">
        <v>1</v>
      </c>
    </row>
    <row r="116" spans="1:72">
      <c r="A116" s="1" t="s">
        <v>71</v>
      </c>
      <c r="B116" s="1" t="s">
        <v>334</v>
      </c>
      <c r="D116" s="1" t="s">
        <v>723</v>
      </c>
      <c r="E116" s="1">
        <v>241</v>
      </c>
      <c r="F116" s="1" t="str">
        <f t="shared" si="16"/>
        <v>char_241_panda</v>
      </c>
      <c r="G116" s="1">
        <v>1</v>
      </c>
      <c r="I116" s="1">
        <v>2</v>
      </c>
      <c r="J116" s="1">
        <v>80</v>
      </c>
      <c r="K116" s="1">
        <v>1845</v>
      </c>
      <c r="L116" s="1">
        <v>300</v>
      </c>
      <c r="M116" s="1">
        <v>640</v>
      </c>
      <c r="N116" s="1">
        <v>45</v>
      </c>
      <c r="O116" s="1">
        <v>382</v>
      </c>
      <c r="Q116" s="1">
        <v>0</v>
      </c>
      <c r="S116" s="1">
        <v>20</v>
      </c>
      <c r="T116" s="1">
        <v>-2</v>
      </c>
      <c r="U116" s="1">
        <v>0.5</v>
      </c>
      <c r="V116" s="1">
        <v>70</v>
      </c>
      <c r="W116" s="1">
        <v>-4</v>
      </c>
      <c r="Y116" s="1">
        <v>0.05</v>
      </c>
      <c r="Z116" s="1">
        <v>1.2</v>
      </c>
      <c r="AC116" s="1">
        <v>1</v>
      </c>
      <c r="AI116" s="1" t="s">
        <v>71</v>
      </c>
      <c r="AJ116" s="1" t="s">
        <v>216</v>
      </c>
      <c r="AK116" s="1" t="s">
        <v>724</v>
      </c>
      <c r="AL116" s="1" t="s">
        <v>725</v>
      </c>
      <c r="AO116" s="1" t="s">
        <v>522</v>
      </c>
      <c r="AP116" s="1">
        <v>2</v>
      </c>
      <c r="AQ116" s="1">
        <v>0.5</v>
      </c>
      <c r="AX116" s="1">
        <v>0.25</v>
      </c>
      <c r="BC116" s="1" t="s">
        <v>514</v>
      </c>
      <c r="BD116" s="1" t="s">
        <v>531</v>
      </c>
      <c r="BE116" s="1" t="str">
        <f t="shared" si="15"/>
        <v>icon_panda</v>
      </c>
      <c r="BF116" s="1" t="str">
        <f t="shared" si="13"/>
        <v>half_panda</v>
      </c>
      <c r="BG116" s="1" t="str">
        <f t="shared" si="14"/>
        <v>panda</v>
      </c>
      <c r="BH116" s="1" t="s">
        <v>340</v>
      </c>
      <c r="BI116" s="1">
        <v>5</v>
      </c>
      <c r="BJ116" s="1" t="s">
        <v>350</v>
      </c>
      <c r="BK116" s="1" t="s">
        <v>532</v>
      </c>
      <c r="BL116" s="1" t="s">
        <v>533</v>
      </c>
      <c r="BM116" s="1" t="s">
        <v>726</v>
      </c>
      <c r="BN116" s="1" t="s">
        <v>217</v>
      </c>
      <c r="BO116" s="1" t="s">
        <v>218</v>
      </c>
      <c r="BQ116" s="1" t="s">
        <v>220</v>
      </c>
      <c r="BR116" s="1" t="s">
        <v>220</v>
      </c>
      <c r="BS116" s="1" t="s">
        <v>527</v>
      </c>
      <c r="BT116" s="1">
        <v>1</v>
      </c>
    </row>
    <row r="118" spans="1:25">
      <c r="A118" s="1" t="s">
        <v>72</v>
      </c>
      <c r="Y118" s="1">
        <v>0.05</v>
      </c>
    </row>
    <row r="119" spans="1:72">
      <c r="A119" s="1" t="s">
        <v>727</v>
      </c>
      <c r="B119" s="1" t="s">
        <v>334</v>
      </c>
      <c r="D119" s="1" t="s">
        <v>728</v>
      </c>
      <c r="E119" s="1" t="s">
        <v>729</v>
      </c>
      <c r="F119" s="1" t="str">
        <f>"char_"&amp;E119&amp;"_"&amp;D119</f>
        <v>char_172_svrash</v>
      </c>
      <c r="G119" s="1">
        <v>1</v>
      </c>
      <c r="I119" s="1">
        <v>1</v>
      </c>
      <c r="J119" s="1">
        <v>80</v>
      </c>
      <c r="K119" s="1">
        <v>2022</v>
      </c>
      <c r="M119" s="1">
        <v>653</v>
      </c>
      <c r="N119" s="1">
        <v>76</v>
      </c>
      <c r="O119" s="1">
        <v>379</v>
      </c>
      <c r="P119" s="1">
        <v>50</v>
      </c>
      <c r="Q119" s="1">
        <v>10</v>
      </c>
      <c r="S119" s="1">
        <v>20</v>
      </c>
      <c r="T119" s="1">
        <v>-2</v>
      </c>
      <c r="U119" s="1">
        <v>0.5</v>
      </c>
      <c r="V119" s="1">
        <v>70</v>
      </c>
      <c r="W119" s="1">
        <v>-4</v>
      </c>
      <c r="Y119" s="1">
        <v>0.05</v>
      </c>
      <c r="Z119" s="1">
        <v>1</v>
      </c>
      <c r="AC119" s="1">
        <v>1</v>
      </c>
      <c r="AI119" s="1" t="s">
        <v>73</v>
      </c>
      <c r="AJ119" s="1" t="s">
        <v>216</v>
      </c>
      <c r="AK119" s="1" t="s">
        <v>730</v>
      </c>
      <c r="AL119" s="1" t="s">
        <v>731</v>
      </c>
      <c r="AO119" s="1" t="s">
        <v>347</v>
      </c>
      <c r="AP119" s="1">
        <v>2</v>
      </c>
      <c r="AQ119" s="1">
        <v>0.5</v>
      </c>
      <c r="AX119" s="1">
        <v>0.25</v>
      </c>
      <c r="BC119" s="1" t="s">
        <v>348</v>
      </c>
      <c r="BD119" s="1" t="s">
        <v>391</v>
      </c>
      <c r="BE119" s="1" t="str">
        <f>"icon_"&amp;D119</f>
        <v>icon_svrash</v>
      </c>
      <c r="BF119" s="1" t="str">
        <f t="shared" ref="BF119:BF129" si="17">"half_"&amp;D119</f>
        <v>half_svrash</v>
      </c>
      <c r="BG119" s="1" t="str">
        <f t="shared" ref="BG119:BG129" si="18">D119</f>
        <v>svrash</v>
      </c>
      <c r="BH119" s="1" t="s">
        <v>340</v>
      </c>
      <c r="BI119" s="1">
        <v>6</v>
      </c>
      <c r="BJ119" s="1" t="s">
        <v>350</v>
      </c>
      <c r="BK119" s="1" t="s">
        <v>553</v>
      </c>
      <c r="BL119" s="1" t="s">
        <v>393</v>
      </c>
      <c r="BM119" s="1" t="s">
        <v>732</v>
      </c>
      <c r="BN119" s="1" t="s">
        <v>217</v>
      </c>
      <c r="BO119" s="1" t="s">
        <v>218</v>
      </c>
      <c r="BQ119" s="1" t="s">
        <v>220</v>
      </c>
      <c r="BR119" s="1" t="s">
        <v>220</v>
      </c>
      <c r="BT119" s="1">
        <v>1</v>
      </c>
    </row>
    <row r="120" spans="1:72">
      <c r="A120" s="1" t="s">
        <v>733</v>
      </c>
      <c r="B120" s="1" t="s">
        <v>334</v>
      </c>
      <c r="D120" s="1" t="s">
        <v>728</v>
      </c>
      <c r="E120" s="1" t="s">
        <v>729</v>
      </c>
      <c r="F120" s="1" t="str">
        <f>"char_"&amp;E120&amp;"_"&amp;D120</f>
        <v>char_172_svrash</v>
      </c>
      <c r="G120" s="1">
        <v>1</v>
      </c>
      <c r="I120" s="1">
        <v>2</v>
      </c>
      <c r="J120" s="1">
        <v>90</v>
      </c>
      <c r="K120" s="1">
        <v>2560</v>
      </c>
      <c r="M120" s="1">
        <v>713</v>
      </c>
      <c r="N120" s="1">
        <v>76</v>
      </c>
      <c r="O120" s="1">
        <v>397</v>
      </c>
      <c r="P120" s="1">
        <v>50</v>
      </c>
      <c r="Q120" s="1">
        <v>10</v>
      </c>
      <c r="S120" s="1">
        <v>20</v>
      </c>
      <c r="T120" s="1">
        <v>-2</v>
      </c>
      <c r="U120" s="1">
        <v>0.5</v>
      </c>
      <c r="V120" s="1">
        <v>70</v>
      </c>
      <c r="W120" s="1">
        <v>-4</v>
      </c>
      <c r="Y120" s="1">
        <v>0.05</v>
      </c>
      <c r="Z120" s="1">
        <v>1</v>
      </c>
      <c r="AC120" s="1">
        <v>1</v>
      </c>
      <c r="AI120" s="1" t="s">
        <v>73</v>
      </c>
      <c r="AJ120" s="1" t="s">
        <v>216</v>
      </c>
      <c r="AK120" s="1" t="s">
        <v>730</v>
      </c>
      <c r="AL120" s="1" t="s">
        <v>731</v>
      </c>
      <c r="AO120" s="1" t="s">
        <v>347</v>
      </c>
      <c r="AP120" s="1">
        <v>2</v>
      </c>
      <c r="AQ120" s="1">
        <v>0.5</v>
      </c>
      <c r="AX120" s="1">
        <v>0.25</v>
      </c>
      <c r="BC120" s="1" t="s">
        <v>348</v>
      </c>
      <c r="BD120" s="1" t="s">
        <v>391</v>
      </c>
      <c r="BE120" s="1" t="str">
        <f>"icon_"&amp;D120</f>
        <v>icon_svrash</v>
      </c>
      <c r="BF120" s="1" t="str">
        <f t="shared" si="17"/>
        <v>half_svrash</v>
      </c>
      <c r="BG120" s="1" t="str">
        <f t="shared" si="18"/>
        <v>svrash</v>
      </c>
      <c r="BH120" s="1" t="s">
        <v>340</v>
      </c>
      <c r="BI120" s="1">
        <v>6</v>
      </c>
      <c r="BJ120" s="1" t="s">
        <v>350</v>
      </c>
      <c r="BK120" s="1" t="s">
        <v>553</v>
      </c>
      <c r="BL120" s="1" t="s">
        <v>393</v>
      </c>
      <c r="BM120" s="1" t="s">
        <v>732</v>
      </c>
      <c r="BN120" s="1" t="s">
        <v>217</v>
      </c>
      <c r="BO120" s="1" t="s">
        <v>218</v>
      </c>
      <c r="BQ120" s="1" t="s">
        <v>220</v>
      </c>
      <c r="BR120" s="1" t="s">
        <v>220</v>
      </c>
      <c r="BT120" s="1">
        <v>1</v>
      </c>
    </row>
    <row r="121" spans="1:72">
      <c r="A121" s="1" t="s">
        <v>74</v>
      </c>
      <c r="B121" s="1" t="s">
        <v>334</v>
      </c>
      <c r="D121" s="1" t="s">
        <v>728</v>
      </c>
      <c r="E121" s="1" t="s">
        <v>729</v>
      </c>
      <c r="F121" s="1" t="str">
        <f>"char_"&amp;E121&amp;"_"&amp;D121</f>
        <v>char_172_svrash</v>
      </c>
      <c r="G121" s="1">
        <v>1</v>
      </c>
      <c r="I121" s="1">
        <v>2</v>
      </c>
      <c r="J121" s="1">
        <v>90</v>
      </c>
      <c r="K121" s="1">
        <v>2560</v>
      </c>
      <c r="M121" s="1">
        <v>713</v>
      </c>
      <c r="N121" s="1">
        <v>76</v>
      </c>
      <c r="O121" s="1">
        <v>397</v>
      </c>
      <c r="P121" s="1">
        <v>50</v>
      </c>
      <c r="Q121" s="1">
        <v>10</v>
      </c>
      <c r="S121" s="1">
        <v>20</v>
      </c>
      <c r="T121" s="1">
        <v>-2</v>
      </c>
      <c r="U121" s="1">
        <v>0.5</v>
      </c>
      <c r="V121" s="1">
        <v>70</v>
      </c>
      <c r="W121" s="1">
        <v>-4</v>
      </c>
      <c r="Y121" s="1">
        <v>0.05</v>
      </c>
      <c r="Z121" s="1">
        <v>1</v>
      </c>
      <c r="AC121" s="1">
        <v>1</v>
      </c>
      <c r="AI121" s="1" t="s">
        <v>73</v>
      </c>
      <c r="AJ121" s="1" t="s">
        <v>216</v>
      </c>
      <c r="AK121" s="1" t="s">
        <v>734</v>
      </c>
      <c r="AL121" s="1" t="s">
        <v>735</v>
      </c>
      <c r="AO121" s="1" t="s">
        <v>347</v>
      </c>
      <c r="AP121" s="1">
        <v>2</v>
      </c>
      <c r="AQ121" s="1">
        <v>0.5</v>
      </c>
      <c r="AX121" s="1">
        <v>0.25</v>
      </c>
      <c r="BC121" s="1" t="s">
        <v>348</v>
      </c>
      <c r="BD121" s="1" t="s">
        <v>391</v>
      </c>
      <c r="BE121" s="1" t="str">
        <f>"icon_"&amp;D121</f>
        <v>icon_svrash</v>
      </c>
      <c r="BF121" s="1" t="str">
        <f t="shared" si="17"/>
        <v>half_svrash</v>
      </c>
      <c r="BG121" s="1" t="str">
        <f t="shared" si="18"/>
        <v>svrash</v>
      </c>
      <c r="BH121" s="1" t="s">
        <v>340</v>
      </c>
      <c r="BI121" s="1">
        <v>6</v>
      </c>
      <c r="BJ121" s="1" t="s">
        <v>350</v>
      </c>
      <c r="BK121" s="1" t="s">
        <v>553</v>
      </c>
      <c r="BL121" s="1" t="s">
        <v>393</v>
      </c>
      <c r="BM121" s="1" t="s">
        <v>732</v>
      </c>
      <c r="BN121" s="1" t="s">
        <v>217</v>
      </c>
      <c r="BO121" s="1" t="s">
        <v>218</v>
      </c>
      <c r="BQ121" s="1" t="s">
        <v>220</v>
      </c>
      <c r="BR121" s="1" t="s">
        <v>220</v>
      </c>
      <c r="BT121" s="1">
        <v>1</v>
      </c>
    </row>
    <row r="122" spans="1:72">
      <c r="A122" s="1" t="s">
        <v>75</v>
      </c>
      <c r="B122" s="1" t="s">
        <v>334</v>
      </c>
      <c r="D122" s="1" t="s">
        <v>736</v>
      </c>
      <c r="E122" s="1" t="s">
        <v>737</v>
      </c>
      <c r="F122" s="1" t="str">
        <f>"char_"&amp;E122&amp;"_"&amp;D122</f>
        <v>char_350_surtr</v>
      </c>
      <c r="G122" s="1">
        <v>1</v>
      </c>
      <c r="I122" s="1">
        <v>2</v>
      </c>
      <c r="J122" s="1">
        <v>90</v>
      </c>
      <c r="K122" s="1">
        <v>2916</v>
      </c>
      <c r="M122" s="1">
        <v>672</v>
      </c>
      <c r="N122" s="1">
        <v>128</v>
      </c>
      <c r="O122" s="1">
        <v>414</v>
      </c>
      <c r="P122" s="1">
        <v>0</v>
      </c>
      <c r="Q122" s="1">
        <v>15</v>
      </c>
      <c r="S122" s="1">
        <v>21</v>
      </c>
      <c r="T122" s="1">
        <v>-2</v>
      </c>
      <c r="U122" s="1">
        <v>0.5</v>
      </c>
      <c r="V122" s="1">
        <v>70</v>
      </c>
      <c r="Y122" s="1">
        <v>0.05</v>
      </c>
      <c r="Z122" s="1">
        <v>1.25</v>
      </c>
      <c r="AC122" s="1">
        <v>1</v>
      </c>
      <c r="AI122" s="1" t="s">
        <v>75</v>
      </c>
      <c r="AJ122" s="1" t="s">
        <v>216</v>
      </c>
      <c r="AK122" s="1" t="s">
        <v>738</v>
      </c>
      <c r="AL122" s="1" t="s">
        <v>739</v>
      </c>
      <c r="AO122" s="1" t="s">
        <v>347</v>
      </c>
      <c r="AP122" s="1">
        <v>1</v>
      </c>
      <c r="AQ122" s="1">
        <v>0.5</v>
      </c>
      <c r="AX122" s="1">
        <v>0.25</v>
      </c>
      <c r="BC122" s="1" t="s">
        <v>348</v>
      </c>
      <c r="BD122" s="1" t="s">
        <v>508</v>
      </c>
      <c r="BE122" s="1" t="str">
        <f>"icon_"&amp;D122</f>
        <v>icon_surtr</v>
      </c>
      <c r="BF122" s="1" t="str">
        <f t="shared" si="17"/>
        <v>half_surtr</v>
      </c>
      <c r="BG122" s="1" t="str">
        <f t="shared" si="18"/>
        <v>surtr</v>
      </c>
      <c r="BH122" s="1" t="s">
        <v>740</v>
      </c>
      <c r="BI122" s="1">
        <v>6</v>
      </c>
      <c r="BJ122" s="1" t="s">
        <v>350</v>
      </c>
      <c r="BK122" s="1" t="s">
        <v>351</v>
      </c>
      <c r="BL122" s="1" t="s">
        <v>372</v>
      </c>
      <c r="BM122" s="1" t="s">
        <v>741</v>
      </c>
      <c r="BN122" s="1" t="s">
        <v>217</v>
      </c>
      <c r="BO122" s="1" t="s">
        <v>218</v>
      </c>
      <c r="BQ122" s="1" t="s">
        <v>220</v>
      </c>
      <c r="BR122" s="1" t="s">
        <v>220</v>
      </c>
      <c r="BT122" s="1">
        <v>1</v>
      </c>
    </row>
    <row r="123" spans="1:72">
      <c r="A123" s="1" t="s">
        <v>76</v>
      </c>
      <c r="B123" s="1" t="s">
        <v>334</v>
      </c>
      <c r="D123" s="1" t="s">
        <v>742</v>
      </c>
      <c r="E123" s="1" t="s">
        <v>743</v>
      </c>
      <c r="F123" s="1" t="str">
        <f>"char_"&amp;E123&amp;"_"&amp;D123</f>
        <v>char_003_kalts</v>
      </c>
      <c r="G123" s="1">
        <v>1</v>
      </c>
      <c r="I123" s="1">
        <v>2</v>
      </c>
      <c r="J123" s="1">
        <v>90</v>
      </c>
      <c r="K123" s="1">
        <v>1633</v>
      </c>
      <c r="L123" s="1">
        <v>400</v>
      </c>
      <c r="M123" s="1">
        <v>490</v>
      </c>
      <c r="N123" s="1">
        <v>25</v>
      </c>
      <c r="O123" s="1">
        <v>215</v>
      </c>
      <c r="P123" s="1">
        <v>40</v>
      </c>
      <c r="Q123" s="1">
        <v>0</v>
      </c>
      <c r="S123" s="1">
        <v>20</v>
      </c>
      <c r="T123" s="1">
        <v>-2</v>
      </c>
      <c r="U123" s="1">
        <v>0.5</v>
      </c>
      <c r="V123" s="1">
        <v>70</v>
      </c>
      <c r="W123" s="1">
        <v>-4</v>
      </c>
      <c r="Y123" s="1">
        <v>0.05</v>
      </c>
      <c r="Z123" s="1">
        <v>2.85</v>
      </c>
      <c r="AC123" s="1">
        <v>1</v>
      </c>
      <c r="AI123" s="1" t="s">
        <v>76</v>
      </c>
      <c r="AJ123" s="1" t="s">
        <v>216</v>
      </c>
      <c r="AK123" s="1" t="s">
        <v>744</v>
      </c>
      <c r="AL123" s="1" t="s">
        <v>745</v>
      </c>
      <c r="AO123" s="1" t="s">
        <v>337</v>
      </c>
      <c r="AP123" s="1">
        <v>1</v>
      </c>
      <c r="AQ123" s="1">
        <v>0.5</v>
      </c>
      <c r="AX123" s="1">
        <v>0.25</v>
      </c>
      <c r="BC123" s="1" t="s">
        <v>338</v>
      </c>
      <c r="BD123" s="1" t="s">
        <v>339</v>
      </c>
      <c r="BE123" s="1" t="str">
        <f>"icon_"&amp;D123</f>
        <v>icon_kalts</v>
      </c>
      <c r="BF123" s="1" t="str">
        <f t="shared" si="17"/>
        <v>half_kalts</v>
      </c>
      <c r="BG123" s="1" t="str">
        <f t="shared" si="18"/>
        <v>kalts</v>
      </c>
      <c r="BH123" s="1" t="s">
        <v>340</v>
      </c>
      <c r="BI123" s="1">
        <v>6</v>
      </c>
      <c r="BJ123" s="1" t="s">
        <v>341</v>
      </c>
      <c r="BK123" s="1" t="s">
        <v>342</v>
      </c>
      <c r="BL123" s="1" t="s">
        <v>419</v>
      </c>
      <c r="BM123" s="1" t="s">
        <v>746</v>
      </c>
      <c r="BN123" s="1" t="s">
        <v>217</v>
      </c>
      <c r="BO123" s="1" t="s">
        <v>218</v>
      </c>
      <c r="BQ123" s="1" t="s">
        <v>220</v>
      </c>
      <c r="BR123" s="1" t="s">
        <v>220</v>
      </c>
      <c r="BT123" s="1">
        <v>1</v>
      </c>
    </row>
    <row r="124" spans="1:72">
      <c r="A124" s="1" t="s">
        <v>747</v>
      </c>
      <c r="B124" s="1" t="s">
        <v>334</v>
      </c>
      <c r="D124" s="1" t="s">
        <v>742</v>
      </c>
      <c r="E124" s="1" t="s">
        <v>737</v>
      </c>
      <c r="F124" s="1" t="s">
        <v>748</v>
      </c>
      <c r="G124" s="1">
        <v>1</v>
      </c>
      <c r="I124" s="1">
        <v>2</v>
      </c>
      <c r="J124" s="1">
        <v>90</v>
      </c>
      <c r="K124" s="1">
        <v>5433</v>
      </c>
      <c r="M124" s="1">
        <v>1402</v>
      </c>
      <c r="O124" s="1">
        <v>405</v>
      </c>
      <c r="P124" s="1">
        <v>0</v>
      </c>
      <c r="Q124" s="1">
        <v>0</v>
      </c>
      <c r="S124" s="1">
        <v>10</v>
      </c>
      <c r="U124" s="1">
        <v>0</v>
      </c>
      <c r="V124" s="1">
        <v>25</v>
      </c>
      <c r="Y124" s="1">
        <v>0.05</v>
      </c>
      <c r="Z124" s="1">
        <v>2</v>
      </c>
      <c r="AC124" s="1">
        <v>1</v>
      </c>
      <c r="AI124" s="1" t="s">
        <v>747</v>
      </c>
      <c r="AJ124" s="1" t="s">
        <v>749</v>
      </c>
      <c r="AK124" s="1" t="s">
        <v>750</v>
      </c>
      <c r="AM124" s="1">
        <v>1</v>
      </c>
      <c r="AO124" s="1" t="s">
        <v>347</v>
      </c>
      <c r="AP124" s="1">
        <v>3</v>
      </c>
      <c r="AQ124" s="1">
        <v>0</v>
      </c>
      <c r="AX124" s="1">
        <v>0.25</v>
      </c>
      <c r="BC124" s="1" t="s">
        <v>348</v>
      </c>
      <c r="BE124" s="1" t="s">
        <v>751</v>
      </c>
      <c r="BF124" s="1" t="str">
        <f t="shared" si="17"/>
        <v>half_kalts</v>
      </c>
      <c r="BG124" s="1" t="str">
        <f t="shared" si="18"/>
        <v>kalts</v>
      </c>
      <c r="BH124" s="1" t="s">
        <v>340</v>
      </c>
      <c r="BI124" s="1">
        <v>6</v>
      </c>
      <c r="BJ124" s="1" t="s">
        <v>350</v>
      </c>
      <c r="BK124" s="1" t="s">
        <v>577</v>
      </c>
      <c r="BN124" s="1" t="s">
        <v>217</v>
      </c>
      <c r="BO124" s="1" t="s">
        <v>218</v>
      </c>
      <c r="BQ124" s="1" t="s">
        <v>220</v>
      </c>
      <c r="BR124" s="1" t="s">
        <v>220</v>
      </c>
      <c r="BT124" s="1">
        <v>1</v>
      </c>
    </row>
    <row r="125" spans="1:72">
      <c r="A125" s="1" t="s">
        <v>77</v>
      </c>
      <c r="B125" s="1" t="s">
        <v>334</v>
      </c>
      <c r="D125" s="1" t="s">
        <v>752</v>
      </c>
      <c r="E125" s="1" t="s">
        <v>753</v>
      </c>
      <c r="F125" s="1" t="str">
        <f t="shared" ref="F125:F131" si="19">"char_"&amp;E125&amp;"_"&amp;D125</f>
        <v>char_293_thorns</v>
      </c>
      <c r="G125" s="1">
        <v>1</v>
      </c>
      <c r="I125" s="1">
        <v>2</v>
      </c>
      <c r="J125" s="1">
        <v>90</v>
      </c>
      <c r="K125" s="1">
        <v>2612</v>
      </c>
      <c r="M125" s="1">
        <v>711</v>
      </c>
      <c r="N125" s="1">
        <v>56</v>
      </c>
      <c r="O125" s="1">
        <v>402</v>
      </c>
      <c r="P125" s="1">
        <v>70</v>
      </c>
      <c r="Q125" s="1">
        <v>10</v>
      </c>
      <c r="S125" s="1">
        <v>20</v>
      </c>
      <c r="T125" s="1">
        <v>-2</v>
      </c>
      <c r="U125" s="1">
        <v>0.5</v>
      </c>
      <c r="V125" s="1">
        <v>70</v>
      </c>
      <c r="Y125" s="1">
        <v>0.05</v>
      </c>
      <c r="Z125" s="1">
        <v>1.3</v>
      </c>
      <c r="AC125" s="1">
        <v>1</v>
      </c>
      <c r="AI125" s="1" t="s">
        <v>77</v>
      </c>
      <c r="AJ125" s="1" t="s">
        <v>216</v>
      </c>
      <c r="AK125" s="1" t="s">
        <v>754</v>
      </c>
      <c r="AL125" s="1" t="s">
        <v>755</v>
      </c>
      <c r="AO125" s="1" t="s">
        <v>347</v>
      </c>
      <c r="AP125" s="1">
        <v>2</v>
      </c>
      <c r="AQ125" s="1">
        <v>0.5</v>
      </c>
      <c r="AX125" s="1">
        <v>0.25</v>
      </c>
      <c r="BC125" s="1" t="s">
        <v>348</v>
      </c>
      <c r="BD125" s="1" t="s">
        <v>391</v>
      </c>
      <c r="BE125" s="1" t="str">
        <f>"icon_"&amp;D125</f>
        <v>icon_thorns</v>
      </c>
      <c r="BF125" s="1" t="str">
        <f t="shared" si="17"/>
        <v>half_thorns</v>
      </c>
      <c r="BG125" s="1" t="str">
        <f t="shared" si="18"/>
        <v>thorns</v>
      </c>
      <c r="BH125" s="1" t="s">
        <v>340</v>
      </c>
      <c r="BI125" s="1">
        <v>6</v>
      </c>
      <c r="BJ125" s="1" t="s">
        <v>350</v>
      </c>
      <c r="BK125" s="1" t="s">
        <v>756</v>
      </c>
      <c r="BL125" s="1" t="s">
        <v>393</v>
      </c>
      <c r="BM125" s="1" t="s">
        <v>757</v>
      </c>
      <c r="BN125" s="1" t="s">
        <v>217</v>
      </c>
      <c r="BO125" s="1" t="s">
        <v>218</v>
      </c>
      <c r="BQ125" s="1" t="s">
        <v>220</v>
      </c>
      <c r="BR125" s="1" t="s">
        <v>220</v>
      </c>
      <c r="BS125" s="1" t="s">
        <v>758</v>
      </c>
      <c r="BT125" s="1">
        <v>1</v>
      </c>
    </row>
    <row r="126" spans="1:72">
      <c r="A126" s="1" t="s">
        <v>78</v>
      </c>
      <c r="B126" s="1" t="s">
        <v>334</v>
      </c>
      <c r="D126" s="1" t="s">
        <v>759</v>
      </c>
      <c r="E126" s="1" t="s">
        <v>760</v>
      </c>
      <c r="F126" s="1" t="str">
        <f t="shared" si="19"/>
        <v>char_103_angel</v>
      </c>
      <c r="G126" s="1">
        <v>1</v>
      </c>
      <c r="I126" s="1">
        <v>2</v>
      </c>
      <c r="J126" s="1">
        <v>90</v>
      </c>
      <c r="K126" s="1">
        <v>1673</v>
      </c>
      <c r="M126" s="1">
        <v>540</v>
      </c>
      <c r="N126" s="1">
        <v>117</v>
      </c>
      <c r="O126" s="1">
        <v>161</v>
      </c>
      <c r="Q126" s="1">
        <v>0</v>
      </c>
      <c r="S126" s="1">
        <v>14</v>
      </c>
      <c r="T126" s="1">
        <v>-2</v>
      </c>
      <c r="U126" s="1">
        <v>0.5</v>
      </c>
      <c r="V126" s="1">
        <v>70</v>
      </c>
      <c r="Y126" s="1">
        <v>0.05</v>
      </c>
      <c r="Z126" s="1">
        <v>1</v>
      </c>
      <c r="AC126" s="1">
        <v>1</v>
      </c>
      <c r="AI126" s="1" t="s">
        <v>78</v>
      </c>
      <c r="AJ126" s="1" t="s">
        <v>216</v>
      </c>
      <c r="AK126" s="1" t="s">
        <v>761</v>
      </c>
      <c r="AL126" s="1" t="s">
        <v>762</v>
      </c>
      <c r="AO126" s="1" t="s">
        <v>337</v>
      </c>
      <c r="AP126" s="1">
        <v>1</v>
      </c>
      <c r="AQ126" s="1">
        <v>0.5</v>
      </c>
      <c r="AX126" s="1">
        <v>0.25</v>
      </c>
      <c r="BC126" s="1" t="s">
        <v>363</v>
      </c>
      <c r="BD126" s="1" t="s">
        <v>364</v>
      </c>
      <c r="BE126" s="1" t="str">
        <f>"icon_"&amp;D126</f>
        <v>icon_angel</v>
      </c>
      <c r="BF126" s="1" t="str">
        <f t="shared" si="17"/>
        <v>half_angel</v>
      </c>
      <c r="BG126" s="1" t="str">
        <f t="shared" si="18"/>
        <v>angel</v>
      </c>
      <c r="BH126" s="1" t="s">
        <v>340</v>
      </c>
      <c r="BI126" s="1">
        <v>6</v>
      </c>
      <c r="BJ126" s="1" t="s">
        <v>350</v>
      </c>
      <c r="BK126" s="1" t="s">
        <v>714</v>
      </c>
      <c r="BL126" s="1" t="s">
        <v>366</v>
      </c>
      <c r="BM126" s="1" t="s">
        <v>763</v>
      </c>
      <c r="BN126" s="1" t="s">
        <v>217</v>
      </c>
      <c r="BO126" s="1" t="s">
        <v>218</v>
      </c>
      <c r="BQ126" s="1" t="s">
        <v>220</v>
      </c>
      <c r="BR126" s="1" t="s">
        <v>220</v>
      </c>
      <c r="BT126" s="1">
        <v>1</v>
      </c>
    </row>
    <row r="127" spans="1:72">
      <c r="A127" s="1" t="s">
        <v>79</v>
      </c>
      <c r="B127" s="1" t="s">
        <v>334</v>
      </c>
      <c r="D127" s="1" t="s">
        <v>764</v>
      </c>
      <c r="E127" s="1" t="s">
        <v>765</v>
      </c>
      <c r="F127" s="1" t="str">
        <f t="shared" si="19"/>
        <v>char_134_ifrit</v>
      </c>
      <c r="G127" s="1">
        <v>1</v>
      </c>
      <c r="I127" s="1">
        <v>2</v>
      </c>
      <c r="J127" s="1">
        <v>90</v>
      </c>
      <c r="K127" s="1">
        <v>1680</v>
      </c>
      <c r="M127" s="1">
        <v>870</v>
      </c>
      <c r="N127" s="1">
        <v>145</v>
      </c>
      <c r="O127" s="1">
        <v>130</v>
      </c>
      <c r="Q127" s="1">
        <v>20</v>
      </c>
      <c r="S127" s="1">
        <v>34</v>
      </c>
      <c r="T127" s="1">
        <v>-2</v>
      </c>
      <c r="U127" s="1">
        <v>0.5</v>
      </c>
      <c r="V127" s="1">
        <v>70</v>
      </c>
      <c r="Y127" s="1">
        <v>0.05</v>
      </c>
      <c r="Z127" s="1">
        <v>2.9</v>
      </c>
      <c r="AC127" s="1">
        <v>1</v>
      </c>
      <c r="AI127" s="1" t="s">
        <v>79</v>
      </c>
      <c r="AJ127" s="1" t="s">
        <v>216</v>
      </c>
      <c r="AK127" s="1" t="s">
        <v>766</v>
      </c>
      <c r="AL127" s="1" t="s">
        <v>767</v>
      </c>
      <c r="AO127" s="1" t="s">
        <v>337</v>
      </c>
      <c r="AP127" s="1">
        <v>1</v>
      </c>
      <c r="AQ127" s="1">
        <v>0.5</v>
      </c>
      <c r="AX127" s="1">
        <v>0.25</v>
      </c>
      <c r="BC127" s="1" t="s">
        <v>370</v>
      </c>
      <c r="BD127" s="1" t="s">
        <v>768</v>
      </c>
      <c r="BE127" s="1" t="str">
        <f>"icon_"&amp;D127</f>
        <v>icon_ifrit</v>
      </c>
      <c r="BF127" s="1" t="str">
        <f t="shared" si="17"/>
        <v>half_ifrit</v>
      </c>
      <c r="BG127" s="1" t="str">
        <f t="shared" si="18"/>
        <v>ifrit</v>
      </c>
      <c r="BH127" s="1" t="s">
        <v>340</v>
      </c>
      <c r="BI127" s="1">
        <v>6</v>
      </c>
      <c r="BJ127" s="1" t="s">
        <v>341</v>
      </c>
      <c r="BK127" s="1" t="s">
        <v>586</v>
      </c>
      <c r="BL127" s="1" t="s">
        <v>769</v>
      </c>
      <c r="BM127" s="1" t="s">
        <v>770</v>
      </c>
      <c r="BN127" s="1" t="s">
        <v>217</v>
      </c>
      <c r="BO127" s="1" t="s">
        <v>218</v>
      </c>
      <c r="BQ127" s="1" t="s">
        <v>220</v>
      </c>
      <c r="BR127" s="1" t="s">
        <v>220</v>
      </c>
      <c r="BT127" s="1">
        <v>1</v>
      </c>
    </row>
    <row r="128" spans="1:72">
      <c r="A128" s="1" t="s">
        <v>80</v>
      </c>
      <c r="B128" s="1" t="s">
        <v>334</v>
      </c>
      <c r="D128" s="1" t="s">
        <v>771</v>
      </c>
      <c r="E128" s="1" t="s">
        <v>772</v>
      </c>
      <c r="F128" s="1" t="str">
        <f t="shared" si="19"/>
        <v>char_180_amgoat</v>
      </c>
      <c r="G128" s="1">
        <v>1</v>
      </c>
      <c r="I128" s="1">
        <v>2</v>
      </c>
      <c r="J128" s="1">
        <v>90</v>
      </c>
      <c r="K128" s="1">
        <v>1743</v>
      </c>
      <c r="M128" s="1">
        <v>645</v>
      </c>
      <c r="N128" s="1">
        <v>117</v>
      </c>
      <c r="O128" s="1">
        <v>122</v>
      </c>
      <c r="Q128" s="1">
        <v>20</v>
      </c>
      <c r="S128" s="1">
        <v>21</v>
      </c>
      <c r="T128" s="1">
        <v>-2</v>
      </c>
      <c r="U128" s="1">
        <v>0.5</v>
      </c>
      <c r="V128" s="1">
        <v>70</v>
      </c>
      <c r="Y128" s="1">
        <v>0.05</v>
      </c>
      <c r="Z128" s="1">
        <v>1.6</v>
      </c>
      <c r="AC128" s="1">
        <v>1</v>
      </c>
      <c r="AI128" s="1" t="s">
        <v>80</v>
      </c>
      <c r="AJ128" s="1" t="s">
        <v>216</v>
      </c>
      <c r="AK128" s="1" t="s">
        <v>773</v>
      </c>
      <c r="AL128" s="1" t="s">
        <v>774</v>
      </c>
      <c r="AO128" s="1" t="s">
        <v>337</v>
      </c>
      <c r="AP128" s="1">
        <v>1</v>
      </c>
      <c r="AQ128" s="1">
        <v>0.5</v>
      </c>
      <c r="AX128" s="1">
        <v>0.25</v>
      </c>
      <c r="BC128" s="1" t="s">
        <v>370</v>
      </c>
      <c r="BD128" s="1" t="s">
        <v>371</v>
      </c>
      <c r="BE128" s="1" t="str">
        <f>"icon_"&amp;D128</f>
        <v>icon_amgoat</v>
      </c>
      <c r="BF128" s="1" t="str">
        <f t="shared" si="17"/>
        <v>half_amgoat</v>
      </c>
      <c r="BG128" s="1" t="str">
        <f t="shared" si="18"/>
        <v>amgoat</v>
      </c>
      <c r="BH128" s="1" t="s">
        <v>340</v>
      </c>
      <c r="BI128" s="1">
        <v>6</v>
      </c>
      <c r="BJ128" s="1" t="s">
        <v>341</v>
      </c>
      <c r="BK128" s="1" t="s">
        <v>581</v>
      </c>
      <c r="BL128" s="1" t="s">
        <v>372</v>
      </c>
      <c r="BM128" s="1" t="s">
        <v>775</v>
      </c>
      <c r="BN128" s="1" t="s">
        <v>217</v>
      </c>
      <c r="BO128" s="1" t="s">
        <v>218</v>
      </c>
      <c r="BQ128" s="1" t="s">
        <v>220</v>
      </c>
      <c r="BR128" s="1" t="s">
        <v>220</v>
      </c>
      <c r="BS128" s="1" t="s">
        <v>527</v>
      </c>
      <c r="BT128" s="1">
        <v>1</v>
      </c>
    </row>
    <row r="129" spans="1:72">
      <c r="A129" s="1" t="s">
        <v>81</v>
      </c>
      <c r="B129" s="1" t="s">
        <v>334</v>
      </c>
      <c r="D129" s="1" t="s">
        <v>776</v>
      </c>
      <c r="E129" s="1" t="s">
        <v>777</v>
      </c>
      <c r="F129" s="1" t="str">
        <f t="shared" si="19"/>
        <v>char_291_aglina</v>
      </c>
      <c r="G129" s="1">
        <v>1</v>
      </c>
      <c r="I129" s="1">
        <v>2</v>
      </c>
      <c r="J129" s="1">
        <v>90</v>
      </c>
      <c r="K129" s="1">
        <v>1385</v>
      </c>
      <c r="M129" s="1">
        <v>542</v>
      </c>
      <c r="N129" s="1">
        <v>100</v>
      </c>
      <c r="O129" s="1">
        <v>120</v>
      </c>
      <c r="Q129" s="1">
        <v>25</v>
      </c>
      <c r="S129" s="1">
        <v>16</v>
      </c>
      <c r="T129" s="1">
        <v>-2</v>
      </c>
      <c r="U129" s="1">
        <v>0.5</v>
      </c>
      <c r="V129" s="1">
        <v>70</v>
      </c>
      <c r="Y129" s="1">
        <v>0.05</v>
      </c>
      <c r="Z129" s="1">
        <v>1.9</v>
      </c>
      <c r="AC129" s="1">
        <v>1</v>
      </c>
      <c r="AI129" s="1" t="s">
        <v>81</v>
      </c>
      <c r="AJ129" s="1" t="s">
        <v>216</v>
      </c>
      <c r="AK129" s="1" t="s">
        <v>778</v>
      </c>
      <c r="AL129" s="1" t="s">
        <v>779</v>
      </c>
      <c r="AO129" s="1" t="s">
        <v>337</v>
      </c>
      <c r="AP129" s="1">
        <v>1</v>
      </c>
      <c r="AQ129" s="1">
        <v>0.5</v>
      </c>
      <c r="AX129" s="1">
        <v>0.25</v>
      </c>
      <c r="BC129" s="1" t="s">
        <v>405</v>
      </c>
      <c r="BD129" s="1" t="s">
        <v>406</v>
      </c>
      <c r="BE129" s="1" t="str">
        <f>"icon_"&amp;D129</f>
        <v>icon_aglina</v>
      </c>
      <c r="BF129" s="1" t="str">
        <f t="shared" si="17"/>
        <v>half_aglina</v>
      </c>
      <c r="BG129" s="1" t="str">
        <f t="shared" si="18"/>
        <v>aglina</v>
      </c>
      <c r="BH129" s="1" t="s">
        <v>340</v>
      </c>
      <c r="BI129" s="1">
        <v>6</v>
      </c>
      <c r="BJ129" s="1" t="s">
        <v>341</v>
      </c>
      <c r="BK129" s="1" t="s">
        <v>687</v>
      </c>
      <c r="BL129" s="1" t="s">
        <v>408</v>
      </c>
      <c r="BM129" s="1" t="s">
        <v>780</v>
      </c>
      <c r="BN129" s="1" t="s">
        <v>217</v>
      </c>
      <c r="BO129" s="1" t="s">
        <v>218</v>
      </c>
      <c r="BQ129" s="1" t="s">
        <v>220</v>
      </c>
      <c r="BR129" s="1" t="s">
        <v>220</v>
      </c>
      <c r="BT129" s="1">
        <v>1</v>
      </c>
    </row>
    <row r="130" spans="1:72">
      <c r="A130" s="1" t="s">
        <v>82</v>
      </c>
      <c r="B130" s="1" t="s">
        <v>334</v>
      </c>
      <c r="D130" s="1" t="s">
        <v>781</v>
      </c>
      <c r="E130" s="1" t="s">
        <v>782</v>
      </c>
      <c r="F130" s="1" t="str">
        <f t="shared" si="19"/>
        <v>char_147_shining</v>
      </c>
      <c r="G130" s="1">
        <v>1</v>
      </c>
      <c r="I130" s="1">
        <v>2</v>
      </c>
      <c r="J130" s="1">
        <v>90</v>
      </c>
      <c r="K130" s="1">
        <v>1613</v>
      </c>
      <c r="M130" s="1">
        <v>530</v>
      </c>
      <c r="N130" s="1">
        <v>80</v>
      </c>
      <c r="O130" s="1">
        <v>138</v>
      </c>
      <c r="P130" s="1">
        <v>45</v>
      </c>
      <c r="Q130" s="1">
        <v>0</v>
      </c>
      <c r="S130" s="1">
        <v>20</v>
      </c>
      <c r="T130" s="1">
        <v>-2</v>
      </c>
      <c r="U130" s="1">
        <v>0.5</v>
      </c>
      <c r="V130" s="1">
        <v>70</v>
      </c>
      <c r="Y130" s="1">
        <v>0.05</v>
      </c>
      <c r="Z130" s="1">
        <v>2.85</v>
      </c>
      <c r="AC130" s="1">
        <v>1</v>
      </c>
      <c r="AI130" s="1" t="s">
        <v>82</v>
      </c>
      <c r="AJ130" s="1" t="s">
        <v>216</v>
      </c>
      <c r="AK130" s="1" t="s">
        <v>783</v>
      </c>
      <c r="AL130" s="1" t="s">
        <v>784</v>
      </c>
      <c r="AO130" s="1" t="s">
        <v>337</v>
      </c>
      <c r="AP130" s="1">
        <v>1</v>
      </c>
      <c r="AQ130" s="1">
        <v>0.5</v>
      </c>
      <c r="AX130" s="1">
        <v>0.25</v>
      </c>
      <c r="BC130" s="1" t="s">
        <v>338</v>
      </c>
      <c r="BD130" s="1" t="s">
        <v>339</v>
      </c>
      <c r="BE130" s="1" t="str">
        <f>"icon_"&amp;"shining"</f>
        <v>icon_shining</v>
      </c>
      <c r="BF130" s="1" t="str">
        <f>"half_"&amp;"shining"</f>
        <v>half_shining</v>
      </c>
      <c r="BG130" s="1" t="str">
        <f>"shining"</f>
        <v>shining</v>
      </c>
      <c r="BH130" s="1" t="s">
        <v>340</v>
      </c>
      <c r="BI130" s="1">
        <v>6</v>
      </c>
      <c r="BJ130" s="1" t="s">
        <v>341</v>
      </c>
      <c r="BK130" s="1" t="s">
        <v>785</v>
      </c>
      <c r="BL130" s="1" t="s">
        <v>419</v>
      </c>
      <c r="BM130" s="1" t="s">
        <v>786</v>
      </c>
      <c r="BN130" s="1" t="s">
        <v>217</v>
      </c>
      <c r="BO130" s="1" t="s">
        <v>218</v>
      </c>
      <c r="BQ130" s="1" t="s">
        <v>220</v>
      </c>
      <c r="BR130" s="1" t="s">
        <v>220</v>
      </c>
      <c r="BT130" s="1">
        <v>1</v>
      </c>
    </row>
    <row r="131" spans="1:72">
      <c r="A131" s="1" t="s">
        <v>83</v>
      </c>
      <c r="B131" s="1" t="s">
        <v>334</v>
      </c>
      <c r="D131" s="1" t="s">
        <v>787</v>
      </c>
      <c r="E131" s="1" t="s">
        <v>788</v>
      </c>
      <c r="F131" s="1" t="str">
        <f t="shared" si="19"/>
        <v>char_179_cgbird</v>
      </c>
      <c r="G131" s="1">
        <v>1</v>
      </c>
      <c r="I131" s="1">
        <v>2</v>
      </c>
      <c r="J131" s="1">
        <v>90</v>
      </c>
      <c r="K131" s="1">
        <v>1705</v>
      </c>
      <c r="M131" s="1">
        <v>350</v>
      </c>
      <c r="N131" s="1">
        <v>70</v>
      </c>
      <c r="O131" s="1">
        <v>169</v>
      </c>
      <c r="Q131" s="1">
        <v>5</v>
      </c>
      <c r="R131" s="1">
        <v>10</v>
      </c>
      <c r="S131" s="1">
        <v>18</v>
      </c>
      <c r="T131" s="1">
        <v>-2</v>
      </c>
      <c r="U131" s="1">
        <v>0.5</v>
      </c>
      <c r="V131" s="1">
        <v>70</v>
      </c>
      <c r="W131" s="1">
        <v>-4</v>
      </c>
      <c r="Y131" s="1">
        <v>0.05</v>
      </c>
      <c r="Z131" s="1">
        <v>2.85</v>
      </c>
      <c r="AC131" s="1">
        <v>1</v>
      </c>
      <c r="AI131" s="1" t="s">
        <v>83</v>
      </c>
      <c r="AJ131" s="1" t="s">
        <v>216</v>
      </c>
      <c r="AK131" s="1" t="s">
        <v>789</v>
      </c>
      <c r="AL131" s="1" t="s">
        <v>790</v>
      </c>
      <c r="AO131" s="1" t="s">
        <v>337</v>
      </c>
      <c r="AP131" s="1">
        <v>1</v>
      </c>
      <c r="AQ131" s="1">
        <v>0.5</v>
      </c>
      <c r="AX131" s="1">
        <v>0.25</v>
      </c>
      <c r="BC131" s="1" t="s">
        <v>338</v>
      </c>
      <c r="BD131" s="1" t="s">
        <v>546</v>
      </c>
      <c r="BE131" s="1" t="s">
        <v>791</v>
      </c>
      <c r="BF131" s="1" t="s">
        <v>792</v>
      </c>
      <c r="BG131" s="1" t="s">
        <v>787</v>
      </c>
      <c r="BH131" s="1" t="s">
        <v>340</v>
      </c>
      <c r="BI131" s="1">
        <v>6</v>
      </c>
      <c r="BJ131" s="1" t="s">
        <v>341</v>
      </c>
      <c r="BK131" s="1" t="s">
        <v>785</v>
      </c>
      <c r="BL131" s="1" t="s">
        <v>548</v>
      </c>
      <c r="BM131" s="1" t="s">
        <v>793</v>
      </c>
      <c r="BN131" s="1" t="s">
        <v>217</v>
      </c>
      <c r="BO131" s="1" t="s">
        <v>218</v>
      </c>
      <c r="BQ131" s="1" t="s">
        <v>220</v>
      </c>
      <c r="BR131" s="1" t="s">
        <v>220</v>
      </c>
      <c r="BT131" s="1">
        <v>1</v>
      </c>
    </row>
    <row r="132" spans="1:72">
      <c r="A132" s="1" t="s">
        <v>794</v>
      </c>
      <c r="B132" s="1" t="s">
        <v>334</v>
      </c>
      <c r="D132" s="1" t="s">
        <v>787</v>
      </c>
      <c r="E132" s="1" t="s">
        <v>795</v>
      </c>
      <c r="F132" s="1" t="s">
        <v>796</v>
      </c>
      <c r="G132" s="1">
        <v>1</v>
      </c>
      <c r="I132" s="1">
        <v>2</v>
      </c>
      <c r="J132" s="1">
        <v>90</v>
      </c>
      <c r="K132" s="1">
        <v>6000</v>
      </c>
      <c r="M132" s="1">
        <v>0</v>
      </c>
      <c r="O132" s="1">
        <v>0</v>
      </c>
      <c r="P132" s="1">
        <v>0</v>
      </c>
      <c r="Q132" s="1">
        <v>75</v>
      </c>
      <c r="S132" s="1">
        <v>5</v>
      </c>
      <c r="U132" s="1">
        <v>0</v>
      </c>
      <c r="V132" s="1">
        <v>20</v>
      </c>
      <c r="Y132" s="1">
        <v>0.05</v>
      </c>
      <c r="Z132" s="1">
        <v>1</v>
      </c>
      <c r="AC132" s="1">
        <v>0</v>
      </c>
      <c r="AD132" s="1">
        <v>1</v>
      </c>
      <c r="AG132" s="1">
        <v>1</v>
      </c>
      <c r="AI132" s="1" t="s">
        <v>797</v>
      </c>
      <c r="AJ132" s="1" t="s">
        <v>216</v>
      </c>
      <c r="AK132" s="1" t="s">
        <v>798</v>
      </c>
      <c r="AM132" s="1">
        <v>1</v>
      </c>
      <c r="AO132" s="1" t="s">
        <v>347</v>
      </c>
      <c r="AP132" s="1">
        <v>0</v>
      </c>
      <c r="AQ132" s="1">
        <v>0</v>
      </c>
      <c r="AX132" s="1">
        <v>0.25</v>
      </c>
      <c r="BC132" s="1" t="s">
        <v>348</v>
      </c>
      <c r="BE132" s="1" t="s">
        <v>799</v>
      </c>
      <c r="BF132" s="1" t="str">
        <f>"half_"&amp;D132</f>
        <v>half_cgbird</v>
      </c>
      <c r="BG132" s="1" t="str">
        <f>D132</f>
        <v>cgbird</v>
      </c>
      <c r="BH132" s="1" t="s">
        <v>340</v>
      </c>
      <c r="BI132" s="1">
        <v>6</v>
      </c>
      <c r="BJ132" s="1" t="s">
        <v>350</v>
      </c>
      <c r="BK132" s="1" t="s">
        <v>577</v>
      </c>
      <c r="BN132" s="1" t="s">
        <v>217</v>
      </c>
      <c r="BO132" s="1" t="s">
        <v>218</v>
      </c>
      <c r="BT132" s="1">
        <v>1</v>
      </c>
    </row>
    <row r="133" spans="1:72">
      <c r="A133" s="1" t="s">
        <v>800</v>
      </c>
      <c r="B133" s="1" t="s">
        <v>334</v>
      </c>
      <c r="D133" s="1" t="s">
        <v>801</v>
      </c>
      <c r="E133" s="1" t="s">
        <v>802</v>
      </c>
      <c r="F133" s="1" t="str">
        <f>"char_"&amp;E133&amp;"_"&amp;D133</f>
        <v>char_136_hsguma</v>
      </c>
      <c r="G133" s="1">
        <v>1</v>
      </c>
      <c r="I133" s="1">
        <v>2</v>
      </c>
      <c r="J133" s="1">
        <v>90</v>
      </c>
      <c r="K133" s="1">
        <v>3850</v>
      </c>
      <c r="M133" s="1">
        <v>430</v>
      </c>
      <c r="N133" s="1">
        <v>60</v>
      </c>
      <c r="O133" s="1">
        <v>723</v>
      </c>
      <c r="P133" s="1">
        <v>90</v>
      </c>
      <c r="Q133" s="1">
        <v>0</v>
      </c>
      <c r="S133" s="1">
        <v>23</v>
      </c>
      <c r="T133" s="1">
        <v>-2</v>
      </c>
      <c r="U133" s="1">
        <v>0.5</v>
      </c>
      <c r="V133" s="1">
        <v>70</v>
      </c>
      <c r="Y133" s="1">
        <v>0.05</v>
      </c>
      <c r="Z133" s="1">
        <v>1.2</v>
      </c>
      <c r="AC133" s="1">
        <v>1</v>
      </c>
      <c r="AI133" s="1" t="s">
        <v>800</v>
      </c>
      <c r="AJ133" s="1" t="s">
        <v>216</v>
      </c>
      <c r="AK133" s="1" t="s">
        <v>803</v>
      </c>
      <c r="AL133" s="1" t="s">
        <v>804</v>
      </c>
      <c r="AO133" s="1" t="s">
        <v>347</v>
      </c>
      <c r="AP133" s="1">
        <v>3</v>
      </c>
      <c r="AQ133" s="1">
        <v>0.5</v>
      </c>
      <c r="AX133" s="1">
        <v>0.25</v>
      </c>
      <c r="BC133" s="1" t="s">
        <v>356</v>
      </c>
      <c r="BD133" s="1" t="s">
        <v>357</v>
      </c>
      <c r="BE133" s="1" t="str">
        <f>"icon_"&amp;D133</f>
        <v>icon_hsguma</v>
      </c>
      <c r="BF133" s="1" t="str">
        <f>"half_"&amp;D133</f>
        <v>half_hsguma</v>
      </c>
      <c r="BG133" s="1" t="str">
        <f>D133</f>
        <v>hsguma</v>
      </c>
      <c r="BH133" s="1" t="s">
        <v>340</v>
      </c>
      <c r="BI133" s="1">
        <v>6</v>
      </c>
      <c r="BJ133" s="1" t="s">
        <v>350</v>
      </c>
      <c r="BK133" s="1" t="s">
        <v>805</v>
      </c>
      <c r="BL133" s="1" t="s">
        <v>359</v>
      </c>
      <c r="BM133" s="1" t="s">
        <v>806</v>
      </c>
      <c r="BN133" s="1" t="s">
        <v>217</v>
      </c>
      <c r="BO133" s="1" t="s">
        <v>218</v>
      </c>
      <c r="BQ133" s="1" t="s">
        <v>220</v>
      </c>
      <c r="BR133" s="1" t="s">
        <v>220</v>
      </c>
      <c r="BT133" s="1">
        <v>1</v>
      </c>
    </row>
    <row r="134" spans="1:72">
      <c r="A134" s="1" t="s">
        <v>84</v>
      </c>
      <c r="B134" s="1" t="s">
        <v>334</v>
      </c>
      <c r="D134" s="1" t="s">
        <v>807</v>
      </c>
      <c r="E134" s="1" t="s">
        <v>808</v>
      </c>
      <c r="F134" s="1" t="str">
        <f>"char_"&amp;E134&amp;"_"&amp;D134</f>
        <v>char_202_demkni</v>
      </c>
      <c r="G134" s="1">
        <v>1</v>
      </c>
      <c r="I134" s="1">
        <v>2</v>
      </c>
      <c r="J134" s="1">
        <v>90</v>
      </c>
      <c r="K134" s="1">
        <v>3150</v>
      </c>
      <c r="M134" s="1">
        <v>485</v>
      </c>
      <c r="N134" s="1">
        <v>50</v>
      </c>
      <c r="O134" s="1">
        <v>595</v>
      </c>
      <c r="P134" s="1">
        <v>87</v>
      </c>
      <c r="Q134" s="1">
        <v>10</v>
      </c>
      <c r="S134" s="1">
        <v>22</v>
      </c>
      <c r="T134" s="1">
        <v>-2</v>
      </c>
      <c r="U134" s="1">
        <v>0.5</v>
      </c>
      <c r="V134" s="1">
        <v>70</v>
      </c>
      <c r="W134" s="1">
        <v>-4</v>
      </c>
      <c r="Y134" s="1">
        <v>0.05</v>
      </c>
      <c r="Z134" s="1">
        <v>1.2</v>
      </c>
      <c r="AC134" s="1">
        <v>1</v>
      </c>
      <c r="AI134" s="1" t="s">
        <v>84</v>
      </c>
      <c r="AJ134" s="1" t="s">
        <v>216</v>
      </c>
      <c r="AK134" s="1" t="s">
        <v>809</v>
      </c>
      <c r="AL134" s="1" t="s">
        <v>810</v>
      </c>
      <c r="AO134" s="1" t="s">
        <v>347</v>
      </c>
      <c r="AP134" s="1">
        <v>3</v>
      </c>
      <c r="AQ134" s="1">
        <v>0.5</v>
      </c>
      <c r="AX134" s="1">
        <v>0.25</v>
      </c>
      <c r="BC134" s="1" t="s">
        <v>356</v>
      </c>
      <c r="BD134" s="1" t="s">
        <v>377</v>
      </c>
      <c r="BE134" s="1" t="str">
        <f>"icon_"&amp;D134</f>
        <v>icon_demkni</v>
      </c>
      <c r="BF134" s="1" t="str">
        <f>"half_"&amp;D134</f>
        <v>half_demkni</v>
      </c>
      <c r="BG134" s="1" t="str">
        <f>D134</f>
        <v>demkni</v>
      </c>
      <c r="BH134" s="1" t="s">
        <v>340</v>
      </c>
      <c r="BI134" s="1">
        <v>6</v>
      </c>
      <c r="BJ134" s="1" t="s">
        <v>350</v>
      </c>
      <c r="BK134" s="1" t="s">
        <v>811</v>
      </c>
      <c r="BL134" s="1" t="s">
        <v>379</v>
      </c>
      <c r="BM134" s="1" t="s">
        <v>812</v>
      </c>
      <c r="BN134" s="1" t="s">
        <v>217</v>
      </c>
      <c r="BO134" s="1" t="s">
        <v>218</v>
      </c>
      <c r="BQ134" s="1" t="s">
        <v>220</v>
      </c>
      <c r="BR134" s="1" t="s">
        <v>220</v>
      </c>
      <c r="BS134" s="1" t="s">
        <v>813</v>
      </c>
      <c r="BT134" s="1">
        <v>1</v>
      </c>
    </row>
    <row r="135" spans="1:72">
      <c r="A135" s="1" t="s">
        <v>85</v>
      </c>
      <c r="B135" s="1" t="s">
        <v>334</v>
      </c>
      <c r="D135" s="1" t="s">
        <v>814</v>
      </c>
      <c r="E135" s="1" t="s">
        <v>815</v>
      </c>
      <c r="F135" s="1" t="str">
        <f>"char_"&amp;E135&amp;"_"&amp;D135</f>
        <v>char_264_f12yin</v>
      </c>
      <c r="G135" s="1">
        <v>1</v>
      </c>
      <c r="I135" s="1">
        <v>2</v>
      </c>
      <c r="J135" s="1">
        <v>90</v>
      </c>
      <c r="K135" s="1">
        <v>2745</v>
      </c>
      <c r="M135" s="1">
        <v>587</v>
      </c>
      <c r="N135" s="1">
        <v>69</v>
      </c>
      <c r="O135" s="1">
        <v>357</v>
      </c>
      <c r="P135" s="1">
        <v>45</v>
      </c>
      <c r="Q135" s="1">
        <v>0</v>
      </c>
      <c r="S135" s="1">
        <v>11</v>
      </c>
      <c r="T135" s="1">
        <v>-2</v>
      </c>
      <c r="U135" s="1">
        <v>0.5</v>
      </c>
      <c r="V135" s="1">
        <v>70</v>
      </c>
      <c r="W135" s="1">
        <v>-4</v>
      </c>
      <c r="Y135" s="1">
        <v>0.05</v>
      </c>
      <c r="Z135" s="1">
        <v>0.78</v>
      </c>
      <c r="AC135" s="1">
        <v>1</v>
      </c>
      <c r="AI135" s="1" t="s">
        <v>85</v>
      </c>
      <c r="AJ135" s="1" t="s">
        <v>216</v>
      </c>
      <c r="AK135" s="1" t="s">
        <v>816</v>
      </c>
      <c r="AL135" s="1" t="s">
        <v>817</v>
      </c>
      <c r="AO135" s="1" t="s">
        <v>347</v>
      </c>
      <c r="AP135" s="1">
        <v>1</v>
      </c>
      <c r="AQ135" s="1">
        <v>1</v>
      </c>
      <c r="AX135" s="1">
        <v>0.25</v>
      </c>
      <c r="BC135" s="1" t="s">
        <v>348</v>
      </c>
      <c r="BD135" s="1" t="s">
        <v>596</v>
      </c>
      <c r="BE135" s="1" t="str">
        <f>"icon_"&amp;D135</f>
        <v>icon_f12yin</v>
      </c>
      <c r="BF135" s="1" t="str">
        <f>"half_"&amp;D135</f>
        <v>half_f12yin</v>
      </c>
      <c r="BG135" s="1" t="str">
        <f>D135</f>
        <v>f12yin</v>
      </c>
      <c r="BH135" s="1" t="s">
        <v>340</v>
      </c>
      <c r="BI135" s="1">
        <v>6</v>
      </c>
      <c r="BJ135" s="1" t="s">
        <v>350</v>
      </c>
      <c r="BK135" s="1" t="s">
        <v>558</v>
      </c>
      <c r="BL135" s="1" t="s">
        <v>455</v>
      </c>
      <c r="BM135" s="1" t="s">
        <v>818</v>
      </c>
      <c r="BN135" s="1" t="s">
        <v>217</v>
      </c>
      <c r="BO135" s="1" t="s">
        <v>218</v>
      </c>
      <c r="BQ135" s="1" t="s">
        <v>220</v>
      </c>
      <c r="BR135" s="1" t="s">
        <v>220</v>
      </c>
      <c r="BT135" s="1">
        <v>2</v>
      </c>
    </row>
    <row r="137" spans="1:72">
      <c r="A137" s="1" t="s">
        <v>819</v>
      </c>
      <c r="B137" s="1" t="s">
        <v>334</v>
      </c>
      <c r="D137" s="1" t="s">
        <v>807</v>
      </c>
      <c r="E137" s="1" t="s">
        <v>808</v>
      </c>
      <c r="F137" s="1" t="s">
        <v>820</v>
      </c>
      <c r="G137" s="1">
        <v>1</v>
      </c>
      <c r="I137" s="1">
        <v>0</v>
      </c>
      <c r="J137" s="1">
        <v>1</v>
      </c>
      <c r="K137" s="1">
        <v>100</v>
      </c>
      <c r="M137" s="1">
        <v>0</v>
      </c>
      <c r="O137" s="1">
        <v>0</v>
      </c>
      <c r="Q137" s="1">
        <v>0</v>
      </c>
      <c r="S137" s="1">
        <v>5</v>
      </c>
      <c r="V137" s="1">
        <v>10</v>
      </c>
      <c r="Y137" s="1">
        <v>0.05</v>
      </c>
      <c r="Z137" s="1">
        <v>1</v>
      </c>
      <c r="AC137" s="1">
        <v>0</v>
      </c>
      <c r="AD137" s="1">
        <v>1</v>
      </c>
      <c r="AI137" s="1" t="s">
        <v>819</v>
      </c>
      <c r="AJ137" s="1" t="s">
        <v>216</v>
      </c>
      <c r="AK137" s="1" t="s">
        <v>821</v>
      </c>
      <c r="AO137" s="1" t="s">
        <v>347</v>
      </c>
      <c r="AP137" s="1">
        <v>3</v>
      </c>
      <c r="AQ137" s="1">
        <v>0</v>
      </c>
      <c r="AX137" s="1">
        <v>0.25</v>
      </c>
      <c r="BA137" s="1">
        <v>1</v>
      </c>
      <c r="BC137" s="1" t="s">
        <v>356</v>
      </c>
      <c r="BE137" s="1" t="s">
        <v>822</v>
      </c>
      <c r="BH137" s="1" t="s">
        <v>340</v>
      </c>
      <c r="BJ137" s="1" t="s">
        <v>350</v>
      </c>
      <c r="BL137" s="1" t="s">
        <v>823</v>
      </c>
      <c r="BN137" s="1" t="s">
        <v>217</v>
      </c>
      <c r="BO137" s="1" t="s">
        <v>218</v>
      </c>
      <c r="BR137" s="1" t="s">
        <v>824</v>
      </c>
      <c r="BT137" s="1">
        <v>1</v>
      </c>
    </row>
    <row r="139" spans="1:25">
      <c r="A139" s="1" t="s">
        <v>825</v>
      </c>
      <c r="Y139" s="1">
        <v>0.05</v>
      </c>
    </row>
    <row r="140" spans="1:66">
      <c r="A140" s="1" t="s">
        <v>826</v>
      </c>
      <c r="B140" s="1" t="s">
        <v>827</v>
      </c>
      <c r="F140" s="1" t="s">
        <v>828</v>
      </c>
      <c r="G140" s="1">
        <v>1</v>
      </c>
      <c r="K140" s="1">
        <v>100</v>
      </c>
      <c r="Y140" s="1">
        <v>0.05</v>
      </c>
      <c r="AH140" s="1">
        <v>2</v>
      </c>
      <c r="AI140" s="1" t="s">
        <v>826</v>
      </c>
      <c r="AM140" s="1">
        <v>3</v>
      </c>
      <c r="AX140" s="1">
        <v>0.25</v>
      </c>
      <c r="BL140" s="1" t="s">
        <v>829</v>
      </c>
      <c r="BN140" s="1" t="s">
        <v>217</v>
      </c>
    </row>
    <row r="141" spans="1:66">
      <c r="A141" s="1" t="s">
        <v>830</v>
      </c>
      <c r="B141" s="1" t="s">
        <v>827</v>
      </c>
      <c r="F141" s="1" t="s">
        <v>830</v>
      </c>
      <c r="G141" s="1">
        <v>1</v>
      </c>
      <c r="K141" s="1">
        <v>100</v>
      </c>
      <c r="Y141" s="1">
        <v>0.05</v>
      </c>
      <c r="AH141" s="1">
        <v>2</v>
      </c>
      <c r="AI141" s="1" t="s">
        <v>830</v>
      </c>
      <c r="AM141" s="1">
        <v>3</v>
      </c>
      <c r="AX141" s="1">
        <v>0.25</v>
      </c>
      <c r="BL141" s="1" t="s">
        <v>829</v>
      </c>
      <c r="BN141" s="1" t="s">
        <v>217</v>
      </c>
    </row>
    <row r="142" spans="1:66">
      <c r="A142" s="1" t="s">
        <v>831</v>
      </c>
      <c r="B142" s="1" t="s">
        <v>827</v>
      </c>
      <c r="F142" s="1" t="s">
        <v>832</v>
      </c>
      <c r="G142" s="1">
        <v>1</v>
      </c>
      <c r="K142" s="1">
        <v>100</v>
      </c>
      <c r="Y142" s="1">
        <v>0.05</v>
      </c>
      <c r="AH142" s="1">
        <v>2</v>
      </c>
      <c r="AI142" s="1" t="s">
        <v>831</v>
      </c>
      <c r="AM142" s="1">
        <v>3</v>
      </c>
      <c r="AX142" s="1">
        <v>0.25</v>
      </c>
      <c r="BL142" s="1" t="s">
        <v>829</v>
      </c>
      <c r="BN142" s="1" t="s">
        <v>217</v>
      </c>
    </row>
    <row r="143" spans="1:66">
      <c r="A143" s="1" t="s">
        <v>833</v>
      </c>
      <c r="B143" s="1" t="s">
        <v>827</v>
      </c>
      <c r="F143" s="1" t="s">
        <v>833</v>
      </c>
      <c r="G143" s="1">
        <v>1</v>
      </c>
      <c r="K143" s="1">
        <v>100</v>
      </c>
      <c r="Y143" s="1">
        <v>0.05</v>
      </c>
      <c r="AH143" s="1">
        <v>2</v>
      </c>
      <c r="AI143" s="1" t="s">
        <v>834</v>
      </c>
      <c r="AM143" s="1">
        <v>3</v>
      </c>
      <c r="AX143" s="1">
        <v>0.25</v>
      </c>
      <c r="BL143" s="1" t="s">
        <v>829</v>
      </c>
      <c r="BN143" s="1" t="s">
        <v>217</v>
      </c>
    </row>
    <row r="144" spans="1:66">
      <c r="A144" s="1" t="s">
        <v>835</v>
      </c>
      <c r="B144" s="1" t="s">
        <v>827</v>
      </c>
      <c r="F144" s="1" t="s">
        <v>835</v>
      </c>
      <c r="G144" s="1">
        <v>1</v>
      </c>
      <c r="K144" s="1">
        <v>100</v>
      </c>
      <c r="Y144" s="1">
        <v>0.05</v>
      </c>
      <c r="AH144" s="1">
        <v>2</v>
      </c>
      <c r="AI144" s="1" t="s">
        <v>836</v>
      </c>
      <c r="AM144" s="1">
        <v>3</v>
      </c>
      <c r="AX144" s="1">
        <v>0.25</v>
      </c>
      <c r="BL144" s="1" t="s">
        <v>829</v>
      </c>
      <c r="BN144" s="1" t="s">
        <v>217</v>
      </c>
    </row>
    <row r="145" spans="1:66">
      <c r="A145" s="1" t="s">
        <v>837</v>
      </c>
      <c r="B145" s="1" t="s">
        <v>827</v>
      </c>
      <c r="F145" s="1" t="s">
        <v>837</v>
      </c>
      <c r="G145" s="1">
        <v>1</v>
      </c>
      <c r="K145" s="1">
        <v>100</v>
      </c>
      <c r="Y145" s="1">
        <v>0.05</v>
      </c>
      <c r="AH145" s="1">
        <v>2</v>
      </c>
      <c r="AI145" s="1" t="s">
        <v>838</v>
      </c>
      <c r="AM145" s="1">
        <v>3</v>
      </c>
      <c r="AX145" s="1">
        <v>0.25</v>
      </c>
      <c r="BL145" s="1" t="s">
        <v>829</v>
      </c>
      <c r="BN145" s="1" t="s">
        <v>217</v>
      </c>
    </row>
    <row r="146" spans="1:66">
      <c r="A146" s="1" t="s">
        <v>839</v>
      </c>
      <c r="B146" s="1" t="s">
        <v>827</v>
      </c>
      <c r="F146" s="1" t="s">
        <v>839</v>
      </c>
      <c r="G146" s="1">
        <v>1</v>
      </c>
      <c r="K146" s="1">
        <v>100</v>
      </c>
      <c r="Y146" s="1">
        <v>0.05</v>
      </c>
      <c r="AH146" s="1">
        <v>2</v>
      </c>
      <c r="AI146" s="1" t="s">
        <v>840</v>
      </c>
      <c r="AM146" s="1">
        <v>3</v>
      </c>
      <c r="AX146" s="1">
        <v>0.25</v>
      </c>
      <c r="BL146" s="1" t="s">
        <v>829</v>
      </c>
      <c r="BN146" s="1" t="s">
        <v>217</v>
      </c>
    </row>
    <row r="147" spans="1:66">
      <c r="A147" s="1" t="s">
        <v>841</v>
      </c>
      <c r="B147" s="1" t="s">
        <v>827</v>
      </c>
      <c r="F147" s="1" t="s">
        <v>842</v>
      </c>
      <c r="G147" s="1">
        <v>1</v>
      </c>
      <c r="Y147" s="1">
        <v>0.05</v>
      </c>
      <c r="AH147" s="1">
        <v>2</v>
      </c>
      <c r="AI147" s="1" t="s">
        <v>841</v>
      </c>
      <c r="AK147" s="1" t="s">
        <v>843</v>
      </c>
      <c r="AM147" s="1">
        <v>3</v>
      </c>
      <c r="AX147" s="1">
        <v>0.25</v>
      </c>
      <c r="BL147" s="1" t="s">
        <v>844</v>
      </c>
      <c r="BN147" s="1" t="s">
        <v>217</v>
      </c>
    </row>
    <row r="148" spans="1:72">
      <c r="A148" s="1" t="s">
        <v>845</v>
      </c>
      <c r="B148" s="1" t="s">
        <v>827</v>
      </c>
      <c r="F148" s="1" t="s">
        <v>820</v>
      </c>
      <c r="G148" s="1">
        <v>1</v>
      </c>
      <c r="K148" s="1">
        <v>100</v>
      </c>
      <c r="M148" s="1">
        <v>200</v>
      </c>
      <c r="Y148" s="1">
        <v>0.05</v>
      </c>
      <c r="AH148" s="1">
        <v>2</v>
      </c>
      <c r="AI148" s="1" t="s">
        <v>845</v>
      </c>
      <c r="AK148" s="1" t="s">
        <v>846</v>
      </c>
      <c r="AL148" s="1" t="s">
        <v>847</v>
      </c>
      <c r="AM148" s="1">
        <v>2</v>
      </c>
      <c r="AX148" s="1">
        <v>0.25</v>
      </c>
      <c r="BL148" s="1" t="s">
        <v>848</v>
      </c>
      <c r="BN148" s="1" t="s">
        <v>217</v>
      </c>
      <c r="BO148" s="1" t="s">
        <v>218</v>
      </c>
      <c r="BR148" s="1" t="s">
        <v>824</v>
      </c>
      <c r="BT148" s="1">
        <v>1</v>
      </c>
    </row>
    <row r="149" spans="1:72">
      <c r="A149" s="1" t="s">
        <v>849</v>
      </c>
      <c r="B149" s="1" t="s">
        <v>827</v>
      </c>
      <c r="F149" s="1" t="s">
        <v>850</v>
      </c>
      <c r="G149" s="1">
        <v>1</v>
      </c>
      <c r="K149" s="1">
        <v>100</v>
      </c>
      <c r="M149" s="1">
        <v>200</v>
      </c>
      <c r="Y149" s="1">
        <v>0.05</v>
      </c>
      <c r="AH149" s="1">
        <v>2</v>
      </c>
      <c r="AI149" s="1" t="s">
        <v>849</v>
      </c>
      <c r="AK149" s="1" t="s">
        <v>846</v>
      </c>
      <c r="AL149" s="1" t="s">
        <v>851</v>
      </c>
      <c r="AM149" s="1">
        <v>2</v>
      </c>
      <c r="AX149" s="1">
        <v>0.25</v>
      </c>
      <c r="BL149" s="1" t="s">
        <v>852</v>
      </c>
      <c r="BN149" s="1" t="s">
        <v>217</v>
      </c>
      <c r="BO149" s="1" t="s">
        <v>218</v>
      </c>
      <c r="BR149" s="1" t="s">
        <v>824</v>
      </c>
      <c r="BT149" s="1">
        <v>1</v>
      </c>
    </row>
    <row r="150" spans="1:72">
      <c r="A150" s="1" t="s">
        <v>853</v>
      </c>
      <c r="B150" s="1" t="s">
        <v>827</v>
      </c>
      <c r="F150" s="1" t="s">
        <v>854</v>
      </c>
      <c r="G150" s="1">
        <v>1</v>
      </c>
      <c r="K150" s="1">
        <v>100</v>
      </c>
      <c r="M150" s="1">
        <v>200</v>
      </c>
      <c r="Y150" s="1">
        <v>0.05</v>
      </c>
      <c r="AH150" s="1">
        <v>2</v>
      </c>
      <c r="AI150" s="1" t="s">
        <v>853</v>
      </c>
      <c r="AK150" s="1" t="s">
        <v>846</v>
      </c>
      <c r="AL150" s="1" t="s">
        <v>855</v>
      </c>
      <c r="AM150" s="1">
        <v>2</v>
      </c>
      <c r="AX150" s="1">
        <v>0.25</v>
      </c>
      <c r="BL150" s="1" t="s">
        <v>856</v>
      </c>
      <c r="BN150" s="1" t="s">
        <v>217</v>
      </c>
      <c r="BO150" s="1" t="s">
        <v>218</v>
      </c>
      <c r="BQ150" s="1" t="s">
        <v>218</v>
      </c>
      <c r="BR150" s="1" t="s">
        <v>824</v>
      </c>
      <c r="BT150" s="1">
        <v>1</v>
      </c>
    </row>
    <row r="151" spans="1:72">
      <c r="A151" s="1" t="s">
        <v>857</v>
      </c>
      <c r="B151" s="1" t="s">
        <v>827</v>
      </c>
      <c r="F151" s="1" t="s">
        <v>858</v>
      </c>
      <c r="G151" s="1">
        <v>1</v>
      </c>
      <c r="K151" s="1">
        <v>100</v>
      </c>
      <c r="M151" s="1">
        <v>20000</v>
      </c>
      <c r="Y151" s="1">
        <v>0.05</v>
      </c>
      <c r="AH151" s="1">
        <v>2</v>
      </c>
      <c r="AI151" s="1" t="s">
        <v>857</v>
      </c>
      <c r="AK151" s="1" t="s">
        <v>859</v>
      </c>
      <c r="AL151" s="1" t="s">
        <v>860</v>
      </c>
      <c r="AM151" s="1">
        <v>2</v>
      </c>
      <c r="AX151" s="1">
        <v>0.25</v>
      </c>
      <c r="BL151" s="1" t="s">
        <v>861</v>
      </c>
      <c r="BN151" s="1" t="s">
        <v>217</v>
      </c>
      <c r="BO151" s="1" t="s">
        <v>218</v>
      </c>
      <c r="BQ151" s="1" t="s">
        <v>220</v>
      </c>
      <c r="BR151" s="1" t="s">
        <v>824</v>
      </c>
      <c r="BT151" s="1">
        <v>1</v>
      </c>
    </row>
    <row r="152" spans="1:66">
      <c r="A152" s="1" t="s">
        <v>862</v>
      </c>
      <c r="B152" s="1" t="s">
        <v>827</v>
      </c>
      <c r="F152" s="1" t="s">
        <v>862</v>
      </c>
      <c r="K152" s="1">
        <v>100</v>
      </c>
      <c r="M152" s="1">
        <v>200</v>
      </c>
      <c r="AH152" s="1">
        <v>2</v>
      </c>
      <c r="AI152" s="1" t="s">
        <v>862</v>
      </c>
      <c r="AK152" s="1" t="s">
        <v>863</v>
      </c>
      <c r="AM152" s="1">
        <v>3</v>
      </c>
      <c r="AR152" s="1">
        <v>1</v>
      </c>
      <c r="AX152" s="1">
        <v>0.25</v>
      </c>
      <c r="BL152" s="1" t="s">
        <v>864</v>
      </c>
      <c r="BN152" s="1" t="s">
        <v>217</v>
      </c>
    </row>
    <row r="153" spans="1:66">
      <c r="A153" s="1" t="s">
        <v>865</v>
      </c>
      <c r="B153" s="1" t="s">
        <v>827</v>
      </c>
      <c r="F153" s="1" t="s">
        <v>866</v>
      </c>
      <c r="K153" s="1">
        <v>100</v>
      </c>
      <c r="M153" s="1">
        <v>200</v>
      </c>
      <c r="AH153" s="1">
        <v>2</v>
      </c>
      <c r="AI153" s="1" t="s">
        <v>867</v>
      </c>
      <c r="AK153" s="1" t="s">
        <v>868</v>
      </c>
      <c r="AM153" s="1">
        <v>3</v>
      </c>
      <c r="AR153" s="1">
        <v>1</v>
      </c>
      <c r="AX153" s="1">
        <v>0.25</v>
      </c>
      <c r="BL153" s="1" t="s">
        <v>869</v>
      </c>
      <c r="BN153" s="1" t="s">
        <v>217</v>
      </c>
    </row>
    <row r="154" spans="1:66">
      <c r="A154" s="1" t="s">
        <v>870</v>
      </c>
      <c r="B154" s="1" t="s">
        <v>827</v>
      </c>
      <c r="F154" s="1" t="s">
        <v>871</v>
      </c>
      <c r="K154" s="1">
        <v>100</v>
      </c>
      <c r="M154" s="1">
        <v>200</v>
      </c>
      <c r="AH154" s="1">
        <v>2</v>
      </c>
      <c r="AI154" s="1" t="s">
        <v>870</v>
      </c>
      <c r="AM154" s="1">
        <v>3</v>
      </c>
      <c r="AX154" s="1">
        <v>0.25</v>
      </c>
      <c r="BL154" s="1" t="s">
        <v>872</v>
      </c>
      <c r="BN154" s="1" t="s">
        <v>217</v>
      </c>
    </row>
    <row r="155" spans="1:72">
      <c r="A155" s="1" t="s">
        <v>873</v>
      </c>
      <c r="B155" s="1" t="s">
        <v>827</v>
      </c>
      <c r="F155" s="1" t="s">
        <v>873</v>
      </c>
      <c r="G155" s="1">
        <v>1</v>
      </c>
      <c r="K155" s="1">
        <v>2500</v>
      </c>
      <c r="M155" s="1">
        <v>0</v>
      </c>
      <c r="O155" s="1">
        <v>100</v>
      </c>
      <c r="Q155" s="1">
        <v>10</v>
      </c>
      <c r="Y155" s="1">
        <v>0.05</v>
      </c>
      <c r="AH155" s="1">
        <v>0</v>
      </c>
      <c r="AI155" s="1" t="s">
        <v>873</v>
      </c>
      <c r="AK155" s="1" t="s">
        <v>874</v>
      </c>
      <c r="AL155" s="1" t="s">
        <v>873</v>
      </c>
      <c r="AP155" s="1">
        <v>3</v>
      </c>
      <c r="AX155" s="1">
        <v>0.25</v>
      </c>
      <c r="BL155" s="1" t="s">
        <v>875</v>
      </c>
      <c r="BN155" s="1" t="s">
        <v>217</v>
      </c>
      <c r="BO155" s="1" t="s">
        <v>218</v>
      </c>
      <c r="BR155" s="1" t="s">
        <v>824</v>
      </c>
      <c r="BT155" s="1">
        <v>1</v>
      </c>
    </row>
    <row r="156" spans="1:72">
      <c r="A156" s="1" t="s">
        <v>876</v>
      </c>
      <c r="B156" s="1" t="s">
        <v>827</v>
      </c>
      <c r="F156" s="1" t="s">
        <v>876</v>
      </c>
      <c r="G156" s="1">
        <v>1</v>
      </c>
      <c r="K156" s="1">
        <v>100</v>
      </c>
      <c r="M156" s="1">
        <v>0</v>
      </c>
      <c r="Y156" s="1">
        <v>0.05</v>
      </c>
      <c r="AH156" s="1">
        <v>2</v>
      </c>
      <c r="AI156" s="1" t="s">
        <v>876</v>
      </c>
      <c r="AK156" s="1" t="s">
        <v>846</v>
      </c>
      <c r="AL156" s="1" t="s">
        <v>877</v>
      </c>
      <c r="AM156" s="1">
        <v>2</v>
      </c>
      <c r="AX156" s="1">
        <v>0.25</v>
      </c>
      <c r="BL156" s="1" t="s">
        <v>878</v>
      </c>
      <c r="BN156" s="1" t="s">
        <v>217</v>
      </c>
      <c r="BO156" s="1" t="s">
        <v>218</v>
      </c>
      <c r="BR156" s="1" t="s">
        <v>824</v>
      </c>
      <c r="BT156" s="1">
        <v>1</v>
      </c>
    </row>
    <row r="157" spans="1:66">
      <c r="A157" s="1" t="s">
        <v>879</v>
      </c>
      <c r="B157" s="1" t="s">
        <v>827</v>
      </c>
      <c r="F157" s="1" t="s">
        <v>879</v>
      </c>
      <c r="K157" s="1">
        <v>100</v>
      </c>
      <c r="M157" s="1">
        <v>100</v>
      </c>
      <c r="AH157" s="1">
        <v>2</v>
      </c>
      <c r="AI157" s="1" t="s">
        <v>879</v>
      </c>
      <c r="AK157" s="1" t="s">
        <v>880</v>
      </c>
      <c r="AM157" s="1">
        <v>3</v>
      </c>
      <c r="AR157" s="1">
        <v>1</v>
      </c>
      <c r="AX157" s="1">
        <v>0.25</v>
      </c>
      <c r="BL157" s="1" t="s">
        <v>881</v>
      </c>
      <c r="BN157" s="1" t="s">
        <v>217</v>
      </c>
    </row>
    <row r="158" spans="1:66">
      <c r="A158" s="1" t="s">
        <v>882</v>
      </c>
      <c r="B158" s="1" t="s">
        <v>827</v>
      </c>
      <c r="F158" s="1" t="s">
        <v>882</v>
      </c>
      <c r="K158" s="1">
        <v>100</v>
      </c>
      <c r="M158" s="1">
        <v>100</v>
      </c>
      <c r="AH158" s="1">
        <v>2</v>
      </c>
      <c r="AI158" s="1" t="s">
        <v>882</v>
      </c>
      <c r="AK158" s="1" t="s">
        <v>883</v>
      </c>
      <c r="AM158" s="1">
        <v>3</v>
      </c>
      <c r="AR158" s="1">
        <v>1</v>
      </c>
      <c r="AX158" s="1">
        <v>0.25</v>
      </c>
      <c r="BL158" s="1" t="s">
        <v>884</v>
      </c>
      <c r="BN158" s="1" t="s">
        <v>217</v>
      </c>
    </row>
    <row r="159" spans="1:66">
      <c r="A159" s="1" t="s">
        <v>885</v>
      </c>
      <c r="B159" s="1" t="s">
        <v>827</v>
      </c>
      <c r="F159" s="1" t="s">
        <v>886</v>
      </c>
      <c r="K159" s="1">
        <v>100</v>
      </c>
      <c r="M159" s="1">
        <v>100</v>
      </c>
      <c r="AH159" s="1">
        <v>2</v>
      </c>
      <c r="AI159" s="1" t="s">
        <v>885</v>
      </c>
      <c r="AK159" s="1" t="s">
        <v>887</v>
      </c>
      <c r="AM159" s="1">
        <v>3</v>
      </c>
      <c r="AR159" s="1">
        <v>1</v>
      </c>
      <c r="AX159" s="1">
        <v>0.25</v>
      </c>
      <c r="BL159" s="1" t="s">
        <v>888</v>
      </c>
      <c r="BN159" s="1" t="s">
        <v>217</v>
      </c>
    </row>
    <row r="160" spans="1:66">
      <c r="A160" s="1" t="s">
        <v>889</v>
      </c>
      <c r="B160" s="1" t="s">
        <v>827</v>
      </c>
      <c r="F160" s="1" t="s">
        <v>890</v>
      </c>
      <c r="K160" s="1">
        <v>100</v>
      </c>
      <c r="M160" s="1">
        <v>100</v>
      </c>
      <c r="AH160" s="1">
        <v>2</v>
      </c>
      <c r="AI160" s="1" t="s">
        <v>889</v>
      </c>
      <c r="AK160" s="1" t="s">
        <v>891</v>
      </c>
      <c r="AM160" s="1">
        <v>3</v>
      </c>
      <c r="AR160" s="1">
        <v>1</v>
      </c>
      <c r="AX160" s="1">
        <v>0.25</v>
      </c>
      <c r="BL160" s="1" t="s">
        <v>892</v>
      </c>
      <c r="BN160" s="1" t="s">
        <v>217</v>
      </c>
    </row>
    <row r="161" spans="1:66">
      <c r="A161" s="1" t="s">
        <v>893</v>
      </c>
      <c r="B161" s="1" t="s">
        <v>827</v>
      </c>
      <c r="F161" s="1" t="s">
        <v>893</v>
      </c>
      <c r="G161" s="1">
        <v>2</v>
      </c>
      <c r="K161" s="1">
        <v>100</v>
      </c>
      <c r="M161" s="1">
        <v>100</v>
      </c>
      <c r="AH161" s="1">
        <v>2</v>
      </c>
      <c r="AI161" s="1" t="s">
        <v>893</v>
      </c>
      <c r="AK161" s="1" t="s">
        <v>894</v>
      </c>
      <c r="AM161" s="1">
        <v>3</v>
      </c>
      <c r="AR161" s="1">
        <v>1</v>
      </c>
      <c r="AX161" s="1">
        <v>0.25</v>
      </c>
      <c r="BL161" s="1" t="s">
        <v>895</v>
      </c>
      <c r="BN161" s="1" t="s">
        <v>217</v>
      </c>
    </row>
    <row r="162" spans="1:66">
      <c r="A162" s="1" t="s">
        <v>896</v>
      </c>
      <c r="B162" s="1" t="s">
        <v>827</v>
      </c>
      <c r="F162" s="1" t="s">
        <v>896</v>
      </c>
      <c r="K162" s="1">
        <v>100</v>
      </c>
      <c r="M162" s="1">
        <v>100</v>
      </c>
      <c r="AH162" s="1">
        <v>2</v>
      </c>
      <c r="AI162" s="1" t="s">
        <v>896</v>
      </c>
      <c r="AK162" s="1" t="s">
        <v>897</v>
      </c>
      <c r="AM162" s="1">
        <v>3</v>
      </c>
      <c r="AR162" s="1">
        <v>1</v>
      </c>
      <c r="AX162" s="1">
        <v>0.25</v>
      </c>
      <c r="BL162" s="1" t="s">
        <v>898</v>
      </c>
      <c r="BN162" s="1" t="s">
        <v>217</v>
      </c>
    </row>
    <row r="163" spans="1:72">
      <c r="A163" s="1" t="s">
        <v>899</v>
      </c>
      <c r="B163" s="1" t="s">
        <v>827</v>
      </c>
      <c r="F163" s="1" t="s">
        <v>899</v>
      </c>
      <c r="G163" s="1">
        <v>1</v>
      </c>
      <c r="K163" s="1">
        <v>8000</v>
      </c>
      <c r="M163" s="1">
        <v>0</v>
      </c>
      <c r="O163" s="1">
        <v>0</v>
      </c>
      <c r="Q163" s="1">
        <v>0</v>
      </c>
      <c r="Y163" s="1">
        <v>0.05</v>
      </c>
      <c r="AI163" s="1" t="s">
        <v>899</v>
      </c>
      <c r="AK163" s="1" t="s">
        <v>900</v>
      </c>
      <c r="AO163" s="1" t="s">
        <v>347</v>
      </c>
      <c r="AP163" s="1">
        <v>3</v>
      </c>
      <c r="AX163" s="1">
        <v>0.25</v>
      </c>
      <c r="BA163" s="1">
        <v>1</v>
      </c>
      <c r="BL163" s="1" t="s">
        <v>901</v>
      </c>
      <c r="BN163" s="1" t="s">
        <v>217</v>
      </c>
      <c r="BT163" s="1">
        <v>1</v>
      </c>
    </row>
    <row r="164" s="1" customFormat="1" spans="1:66">
      <c r="A164" s="1" t="s">
        <v>902</v>
      </c>
      <c r="B164" s="1" t="s">
        <v>827</v>
      </c>
      <c r="F164" s="1" t="s">
        <v>902</v>
      </c>
      <c r="G164" s="1">
        <v>1</v>
      </c>
      <c r="K164" s="1">
        <v>5000</v>
      </c>
      <c r="M164" s="1">
        <v>0</v>
      </c>
      <c r="O164" s="1">
        <v>0</v>
      </c>
      <c r="Q164" s="1">
        <v>0</v>
      </c>
      <c r="Y164" s="1">
        <v>0.05</v>
      </c>
      <c r="AH164" s="1">
        <v>1</v>
      </c>
      <c r="AI164" s="1" t="s">
        <v>902</v>
      </c>
      <c r="AK164" s="1" t="s">
        <v>821</v>
      </c>
      <c r="AM164" s="1">
        <v>3</v>
      </c>
      <c r="AO164" s="1" t="s">
        <v>347</v>
      </c>
      <c r="AP164" s="1">
        <v>3</v>
      </c>
      <c r="AX164" s="1">
        <v>0.25</v>
      </c>
      <c r="BL164" s="1" t="s">
        <v>901</v>
      </c>
      <c r="BN164" s="1" t="s">
        <v>217</v>
      </c>
    </row>
    <row r="165" spans="1:66">
      <c r="A165" s="1" t="s">
        <v>903</v>
      </c>
      <c r="B165" s="1" t="s">
        <v>827</v>
      </c>
      <c r="F165" s="1" t="s">
        <v>903</v>
      </c>
      <c r="G165" s="1">
        <v>1</v>
      </c>
      <c r="K165" s="1">
        <v>5000</v>
      </c>
      <c r="M165" s="1">
        <v>0</v>
      </c>
      <c r="O165" s="1">
        <v>0</v>
      </c>
      <c r="Q165" s="1">
        <v>0</v>
      </c>
      <c r="Y165" s="1">
        <v>0.05</v>
      </c>
      <c r="AH165" s="1">
        <v>1</v>
      </c>
      <c r="AI165" s="1" t="s">
        <v>903</v>
      </c>
      <c r="AK165" s="1" t="s">
        <v>904</v>
      </c>
      <c r="AM165" s="1">
        <v>3</v>
      </c>
      <c r="AO165" s="1" t="s">
        <v>347</v>
      </c>
      <c r="AP165" s="1">
        <v>3</v>
      </c>
      <c r="AX165" s="1">
        <v>0.25</v>
      </c>
      <c r="BL165" s="1" t="s">
        <v>901</v>
      </c>
      <c r="BN165" s="1" t="s">
        <v>217</v>
      </c>
    </row>
    <row r="166" spans="1:72">
      <c r="A166" s="1" t="s">
        <v>905</v>
      </c>
      <c r="B166" s="1" t="s">
        <v>827</v>
      </c>
      <c r="F166" s="1" t="s">
        <v>899</v>
      </c>
      <c r="G166" s="1">
        <v>1</v>
      </c>
      <c r="K166" s="1">
        <v>5000</v>
      </c>
      <c r="M166" s="1">
        <v>500</v>
      </c>
      <c r="O166" s="1">
        <v>30</v>
      </c>
      <c r="Q166" s="1">
        <v>0</v>
      </c>
      <c r="Y166" s="1">
        <v>0.05</v>
      </c>
      <c r="AG166" s="1">
        <v>0</v>
      </c>
      <c r="AH166" s="1">
        <v>1</v>
      </c>
      <c r="AI166" s="1" t="s">
        <v>906</v>
      </c>
      <c r="AK166" s="1" t="s">
        <v>907</v>
      </c>
      <c r="AM166" s="1">
        <v>1</v>
      </c>
      <c r="AX166" s="1">
        <v>0.25</v>
      </c>
      <c r="BC166" s="1" t="s">
        <v>356</v>
      </c>
      <c r="BL166" s="1" t="s">
        <v>901</v>
      </c>
      <c r="BN166" s="1" t="s">
        <v>217</v>
      </c>
      <c r="BT166" s="1">
        <v>1</v>
      </c>
    </row>
    <row r="168" spans="1:72">
      <c r="A168" s="1" t="s">
        <v>908</v>
      </c>
      <c r="B168" s="1" t="s">
        <v>213</v>
      </c>
      <c r="D168" s="1" t="s">
        <v>909</v>
      </c>
      <c r="E168" s="1">
        <v>1007</v>
      </c>
      <c r="F168" s="1" t="str">
        <f t="shared" ref="F168:F231" si="20">"enemy_"&amp;E168&amp;"_"&amp;D168</f>
        <v>enemy_1007_slime</v>
      </c>
      <c r="G168" s="1">
        <v>1</v>
      </c>
      <c r="K168" s="1">
        <v>550</v>
      </c>
      <c r="M168" s="1">
        <v>130</v>
      </c>
      <c r="O168" s="1">
        <v>0</v>
      </c>
      <c r="Q168" s="1">
        <v>0</v>
      </c>
      <c r="Y168" s="1">
        <v>0.05</v>
      </c>
      <c r="Z168" s="1">
        <v>1.7</v>
      </c>
      <c r="AA168" s="1">
        <v>0</v>
      </c>
      <c r="AB168" s="1">
        <v>1</v>
      </c>
      <c r="AG168" s="1">
        <v>0</v>
      </c>
      <c r="AH168" s="1">
        <v>1</v>
      </c>
      <c r="AI168" s="1" t="s">
        <v>212</v>
      </c>
      <c r="AJ168" s="1" t="s">
        <v>216</v>
      </c>
      <c r="AK168" s="1" t="s">
        <v>910</v>
      </c>
      <c r="AM168" s="1">
        <v>1</v>
      </c>
      <c r="AV168" s="1">
        <v>1</v>
      </c>
      <c r="AX168" s="1">
        <v>0.25</v>
      </c>
      <c r="BE168" s="1" t="str">
        <f t="shared" ref="BE168:BE231" si="21">"enemy_"&amp;E168&amp;"_"&amp;D168</f>
        <v>enemy_1007_slime</v>
      </c>
      <c r="BK168" s="1" t="s">
        <v>911</v>
      </c>
      <c r="BL168" s="1" t="s">
        <v>912</v>
      </c>
      <c r="BN168" s="1" t="s">
        <v>217</v>
      </c>
      <c r="BO168" s="1" t="s">
        <v>218</v>
      </c>
      <c r="BP168" s="1" t="s">
        <v>219</v>
      </c>
      <c r="BQ168" s="1" t="s">
        <v>220</v>
      </c>
      <c r="BT168" s="1">
        <v>1</v>
      </c>
    </row>
    <row r="169" spans="1:72">
      <c r="A169" s="1" t="s">
        <v>913</v>
      </c>
      <c r="B169" s="1" t="s">
        <v>213</v>
      </c>
      <c r="D169" s="1" t="s">
        <v>214</v>
      </c>
      <c r="E169" s="1">
        <v>1007</v>
      </c>
      <c r="F169" s="1" t="str">
        <f t="shared" si="20"/>
        <v>enemy_1007_slime_2</v>
      </c>
      <c r="G169" s="1">
        <v>1</v>
      </c>
      <c r="K169" s="1">
        <v>1050</v>
      </c>
      <c r="M169" s="1">
        <v>185</v>
      </c>
      <c r="O169" s="1">
        <v>0</v>
      </c>
      <c r="Q169" s="1">
        <v>0</v>
      </c>
      <c r="Y169" s="1">
        <v>0.05</v>
      </c>
      <c r="Z169" s="1">
        <v>1.7</v>
      </c>
      <c r="AA169" s="1">
        <v>0</v>
      </c>
      <c r="AB169" s="1">
        <v>1</v>
      </c>
      <c r="AG169" s="1">
        <v>0</v>
      </c>
      <c r="AH169" s="1">
        <v>1</v>
      </c>
      <c r="AI169" s="1" t="s">
        <v>914</v>
      </c>
      <c r="AJ169" s="1" t="s">
        <v>216</v>
      </c>
      <c r="AK169" s="1" t="s">
        <v>238</v>
      </c>
      <c r="AM169" s="1">
        <v>1</v>
      </c>
      <c r="AV169" s="1">
        <v>1</v>
      </c>
      <c r="AX169" s="1">
        <v>0.25</v>
      </c>
      <c r="BE169" s="1" t="str">
        <f t="shared" si="21"/>
        <v>enemy_1007_slime_2</v>
      </c>
      <c r="BK169" s="1" t="s">
        <v>911</v>
      </c>
      <c r="BL169" s="1" t="s">
        <v>915</v>
      </c>
      <c r="BN169" s="1" t="s">
        <v>217</v>
      </c>
      <c r="BO169" s="1" t="s">
        <v>218</v>
      </c>
      <c r="BP169" s="1" t="s">
        <v>219</v>
      </c>
      <c r="BQ169" s="1" t="s">
        <v>220</v>
      </c>
      <c r="BT169" s="1">
        <v>1</v>
      </c>
    </row>
    <row r="170" spans="1:72">
      <c r="A170" s="1" t="s">
        <v>916</v>
      </c>
      <c r="B170" s="1" t="s">
        <v>213</v>
      </c>
      <c r="D170" s="1" t="s">
        <v>917</v>
      </c>
      <c r="E170" s="1">
        <v>1007</v>
      </c>
      <c r="F170" s="1" t="str">
        <f t="shared" si="20"/>
        <v>enemy_1007_slime_3</v>
      </c>
      <c r="G170" s="1">
        <v>1</v>
      </c>
      <c r="K170" s="1">
        <v>1550</v>
      </c>
      <c r="M170" s="1">
        <v>240</v>
      </c>
      <c r="O170" s="1">
        <v>0</v>
      </c>
      <c r="Q170" s="1">
        <v>0</v>
      </c>
      <c r="Y170" s="1">
        <v>0.05</v>
      </c>
      <c r="Z170" s="1">
        <v>1.7</v>
      </c>
      <c r="AA170" s="1">
        <v>0</v>
      </c>
      <c r="AB170" s="1">
        <v>1</v>
      </c>
      <c r="AG170" s="1">
        <v>0</v>
      </c>
      <c r="AH170" s="1">
        <v>1</v>
      </c>
      <c r="AI170" s="1" t="s">
        <v>918</v>
      </c>
      <c r="AJ170" s="1" t="s">
        <v>216</v>
      </c>
      <c r="AK170" s="1" t="s">
        <v>238</v>
      </c>
      <c r="AM170" s="1">
        <v>1</v>
      </c>
      <c r="AV170" s="1">
        <v>1</v>
      </c>
      <c r="AX170" s="1">
        <v>0.25</v>
      </c>
      <c r="BE170" s="1" t="str">
        <f t="shared" si="21"/>
        <v>enemy_1007_slime_3</v>
      </c>
      <c r="BK170" s="1" t="s">
        <v>911</v>
      </c>
      <c r="BL170" s="1" t="s">
        <v>919</v>
      </c>
      <c r="BN170" s="1" t="s">
        <v>217</v>
      </c>
      <c r="BO170" s="1" t="s">
        <v>218</v>
      </c>
      <c r="BP170" s="1" t="s">
        <v>219</v>
      </c>
      <c r="BQ170" s="1" t="s">
        <v>220</v>
      </c>
      <c r="BT170" s="1">
        <v>1</v>
      </c>
    </row>
    <row r="171" spans="1:72">
      <c r="A171" s="1" t="s">
        <v>920</v>
      </c>
      <c r="B171" s="1" t="s">
        <v>213</v>
      </c>
      <c r="D171" s="1" t="s">
        <v>921</v>
      </c>
      <c r="E171" s="1">
        <v>1004</v>
      </c>
      <c r="F171" s="1" t="str">
        <f t="shared" si="20"/>
        <v>enemy_1004_mslime</v>
      </c>
      <c r="G171" s="1">
        <v>1</v>
      </c>
      <c r="K171" s="1">
        <v>2080</v>
      </c>
      <c r="M171" s="1">
        <v>180</v>
      </c>
      <c r="O171" s="1">
        <v>80</v>
      </c>
      <c r="Q171" s="1">
        <v>0</v>
      </c>
      <c r="Y171" s="1">
        <v>0.05</v>
      </c>
      <c r="Z171" s="1">
        <v>3</v>
      </c>
      <c r="AA171" s="1">
        <v>0</v>
      </c>
      <c r="AB171" s="1">
        <v>1</v>
      </c>
      <c r="AG171" s="1">
        <v>0</v>
      </c>
      <c r="AH171" s="1">
        <v>1</v>
      </c>
      <c r="AI171" s="1" t="s">
        <v>922</v>
      </c>
      <c r="AJ171" s="1" t="s">
        <v>216</v>
      </c>
      <c r="AK171" s="1" t="s">
        <v>923</v>
      </c>
      <c r="AM171" s="1">
        <v>1</v>
      </c>
      <c r="AV171" s="1">
        <v>1</v>
      </c>
      <c r="AX171" s="1">
        <v>0.25</v>
      </c>
      <c r="BE171" s="1" t="str">
        <f t="shared" si="21"/>
        <v>enemy_1004_mslime</v>
      </c>
      <c r="BK171" s="1" t="s">
        <v>924</v>
      </c>
      <c r="BL171" s="1" t="s">
        <v>925</v>
      </c>
      <c r="BN171" s="1" t="s">
        <v>217</v>
      </c>
      <c r="BO171" s="1" t="s">
        <v>218</v>
      </c>
      <c r="BP171" s="1" t="s">
        <v>219</v>
      </c>
      <c r="BQ171" s="1" t="s">
        <v>220</v>
      </c>
      <c r="BT171" s="1">
        <v>1</v>
      </c>
    </row>
    <row r="172" spans="1:72">
      <c r="A172" s="1" t="s">
        <v>926</v>
      </c>
      <c r="B172" s="1" t="s">
        <v>213</v>
      </c>
      <c r="D172" s="1" t="s">
        <v>927</v>
      </c>
      <c r="E172" s="1">
        <v>1004</v>
      </c>
      <c r="F172" s="1" t="str">
        <f t="shared" si="20"/>
        <v>enemy_1004_mslime_2</v>
      </c>
      <c r="G172" s="1">
        <v>1</v>
      </c>
      <c r="K172" s="1">
        <v>2780</v>
      </c>
      <c r="M172" s="1">
        <v>290</v>
      </c>
      <c r="O172" s="1">
        <v>0</v>
      </c>
      <c r="Q172" s="1">
        <v>0</v>
      </c>
      <c r="Y172" s="1">
        <v>0.05</v>
      </c>
      <c r="Z172" s="1">
        <v>3.3</v>
      </c>
      <c r="AA172" s="1">
        <v>0</v>
      </c>
      <c r="AB172" s="1">
        <v>1</v>
      </c>
      <c r="AG172" s="1">
        <v>0</v>
      </c>
      <c r="AH172" s="1">
        <v>1</v>
      </c>
      <c r="AI172" s="1" t="s">
        <v>928</v>
      </c>
      <c r="AJ172" s="1" t="s">
        <v>216</v>
      </c>
      <c r="AK172" s="1" t="s">
        <v>929</v>
      </c>
      <c r="AM172" s="1">
        <v>1</v>
      </c>
      <c r="AV172" s="1">
        <v>1</v>
      </c>
      <c r="AX172" s="1">
        <v>0.25</v>
      </c>
      <c r="BE172" s="1" t="str">
        <f t="shared" si="21"/>
        <v>enemy_1004_mslime_2</v>
      </c>
      <c r="BK172" s="1" t="s">
        <v>924</v>
      </c>
      <c r="BL172" s="1" t="s">
        <v>930</v>
      </c>
      <c r="BN172" s="1" t="s">
        <v>217</v>
      </c>
      <c r="BO172" s="1" t="s">
        <v>218</v>
      </c>
      <c r="BP172" s="1" t="s">
        <v>219</v>
      </c>
      <c r="BQ172" s="1" t="s">
        <v>220</v>
      </c>
      <c r="BT172" s="1">
        <v>1</v>
      </c>
    </row>
    <row r="173" spans="1:72">
      <c r="A173" s="1" t="s">
        <v>931</v>
      </c>
      <c r="B173" s="1" t="s">
        <v>213</v>
      </c>
      <c r="D173" s="1" t="s">
        <v>932</v>
      </c>
      <c r="E173" s="1">
        <v>1021</v>
      </c>
      <c r="F173" s="1" t="str">
        <f t="shared" si="20"/>
        <v>enemy_1021_bslime</v>
      </c>
      <c r="G173" s="1">
        <v>1</v>
      </c>
      <c r="K173" s="1">
        <v>2460</v>
      </c>
      <c r="M173" s="1">
        <v>260</v>
      </c>
      <c r="O173" s="1">
        <v>0</v>
      </c>
      <c r="Q173" s="1">
        <v>0</v>
      </c>
      <c r="Y173" s="1">
        <v>0.05</v>
      </c>
      <c r="Z173" s="1">
        <v>1.7</v>
      </c>
      <c r="AA173" s="1">
        <v>0</v>
      </c>
      <c r="AB173" s="1">
        <v>1</v>
      </c>
      <c r="AG173" s="1">
        <v>0</v>
      </c>
      <c r="AH173" s="1">
        <v>1</v>
      </c>
      <c r="AI173" s="1" t="s">
        <v>933</v>
      </c>
      <c r="AJ173" s="1" t="s">
        <v>216</v>
      </c>
      <c r="AK173" s="1" t="s">
        <v>934</v>
      </c>
      <c r="AM173" s="1">
        <v>1</v>
      </c>
      <c r="AV173" s="1">
        <v>1</v>
      </c>
      <c r="AX173" s="1">
        <v>0.25</v>
      </c>
      <c r="BE173" s="1" t="str">
        <f t="shared" si="21"/>
        <v>enemy_1021_bslime</v>
      </c>
      <c r="BK173" s="1" t="s">
        <v>911</v>
      </c>
      <c r="BL173" s="1" t="s">
        <v>935</v>
      </c>
      <c r="BN173" s="1" t="s">
        <v>217</v>
      </c>
      <c r="BO173" s="1" t="s">
        <v>218</v>
      </c>
      <c r="BP173" s="1" t="s">
        <v>239</v>
      </c>
      <c r="BQ173" s="1" t="s">
        <v>220</v>
      </c>
      <c r="BT173" s="1">
        <v>1</v>
      </c>
    </row>
    <row r="174" spans="1:72">
      <c r="A174" s="1" t="s">
        <v>936</v>
      </c>
      <c r="B174" s="1" t="s">
        <v>213</v>
      </c>
      <c r="D174" s="1" t="s">
        <v>937</v>
      </c>
      <c r="E174" s="1">
        <v>1021</v>
      </c>
      <c r="F174" s="1" t="str">
        <f t="shared" si="20"/>
        <v>enemy_1021_bslime_2</v>
      </c>
      <c r="G174" s="1">
        <v>1</v>
      </c>
      <c r="K174" s="1">
        <v>3700</v>
      </c>
      <c r="M174" s="1">
        <v>350</v>
      </c>
      <c r="O174" s="1">
        <v>0</v>
      </c>
      <c r="Q174" s="1">
        <v>0</v>
      </c>
      <c r="Y174" s="1">
        <v>0.05</v>
      </c>
      <c r="Z174" s="1">
        <v>1.7</v>
      </c>
      <c r="AA174" s="1">
        <v>0</v>
      </c>
      <c r="AB174" s="1">
        <v>1</v>
      </c>
      <c r="AG174" s="1">
        <v>0</v>
      </c>
      <c r="AH174" s="1">
        <v>1</v>
      </c>
      <c r="AI174" s="1" t="s">
        <v>938</v>
      </c>
      <c r="AJ174" s="1" t="s">
        <v>216</v>
      </c>
      <c r="AK174" s="1" t="s">
        <v>934</v>
      </c>
      <c r="AM174" s="1">
        <v>1</v>
      </c>
      <c r="AV174" s="1">
        <v>1</v>
      </c>
      <c r="AX174" s="1">
        <v>0.25</v>
      </c>
      <c r="BE174" s="1" t="str">
        <f t="shared" si="21"/>
        <v>enemy_1021_bslime_2</v>
      </c>
      <c r="BK174" s="1" t="s">
        <v>911</v>
      </c>
      <c r="BL174" s="1" t="s">
        <v>939</v>
      </c>
      <c r="BN174" s="1" t="s">
        <v>217</v>
      </c>
      <c r="BO174" s="1" t="s">
        <v>218</v>
      </c>
      <c r="BP174" s="1" t="s">
        <v>239</v>
      </c>
      <c r="BQ174" s="1" t="s">
        <v>220</v>
      </c>
      <c r="BT174" s="1">
        <v>1</v>
      </c>
    </row>
    <row r="175" spans="1:72">
      <c r="A175" s="1" t="s">
        <v>940</v>
      </c>
      <c r="B175" s="1" t="s">
        <v>213</v>
      </c>
      <c r="D175" s="1" t="s">
        <v>222</v>
      </c>
      <c r="E175" s="1">
        <v>1000</v>
      </c>
      <c r="F175" s="1" t="str">
        <f t="shared" si="20"/>
        <v>enemy_1000_gopro</v>
      </c>
      <c r="G175" s="1">
        <v>1</v>
      </c>
      <c r="K175" s="1">
        <v>820</v>
      </c>
      <c r="M175" s="1">
        <v>190</v>
      </c>
      <c r="O175" s="1">
        <v>0</v>
      </c>
      <c r="Q175" s="1">
        <v>20</v>
      </c>
      <c r="Y175" s="1">
        <v>0.05</v>
      </c>
      <c r="Z175" s="1">
        <v>1.4</v>
      </c>
      <c r="AA175" s="1">
        <v>0</v>
      </c>
      <c r="AB175" s="1">
        <v>1.9</v>
      </c>
      <c r="AG175" s="1">
        <v>0</v>
      </c>
      <c r="AH175" s="1">
        <v>1</v>
      </c>
      <c r="AI175" s="1" t="s">
        <v>224</v>
      </c>
      <c r="AJ175" s="1" t="s">
        <v>216</v>
      </c>
      <c r="AK175" s="1" t="s">
        <v>238</v>
      </c>
      <c r="AM175" s="1">
        <v>1</v>
      </c>
      <c r="AV175" s="1">
        <v>1</v>
      </c>
      <c r="AX175" s="1">
        <v>0.25</v>
      </c>
      <c r="BE175" s="1" t="str">
        <f t="shared" si="21"/>
        <v>enemy_1000_gopro</v>
      </c>
      <c r="BK175" s="1" t="s">
        <v>911</v>
      </c>
      <c r="BL175" s="1" t="s">
        <v>941</v>
      </c>
      <c r="BN175" s="1" t="s">
        <v>217</v>
      </c>
      <c r="BO175" s="1" t="s">
        <v>218</v>
      </c>
      <c r="BP175" s="1" t="s">
        <v>227</v>
      </c>
      <c r="BQ175" s="1" t="s">
        <v>220</v>
      </c>
      <c r="BT175" s="1">
        <v>1</v>
      </c>
    </row>
    <row r="176" spans="1:72">
      <c r="A176" s="1" t="s">
        <v>942</v>
      </c>
      <c r="B176" s="1" t="s">
        <v>213</v>
      </c>
      <c r="D176" s="1" t="s">
        <v>943</v>
      </c>
      <c r="E176" s="1">
        <v>1000</v>
      </c>
      <c r="F176" s="1" t="str">
        <f t="shared" si="20"/>
        <v>enemy_1000_gopro_2</v>
      </c>
      <c r="G176" s="1">
        <v>1</v>
      </c>
      <c r="K176" s="1">
        <v>1700</v>
      </c>
      <c r="M176" s="1">
        <v>260</v>
      </c>
      <c r="O176" s="1">
        <v>0</v>
      </c>
      <c r="Q176" s="1">
        <v>20</v>
      </c>
      <c r="Y176" s="1">
        <v>0.05</v>
      </c>
      <c r="Z176" s="1">
        <v>1.4</v>
      </c>
      <c r="AA176" s="1">
        <v>0</v>
      </c>
      <c r="AB176" s="1">
        <v>1.9</v>
      </c>
      <c r="AG176" s="1">
        <v>0</v>
      </c>
      <c r="AH176" s="1">
        <v>1</v>
      </c>
      <c r="AI176" s="1" t="s">
        <v>944</v>
      </c>
      <c r="AJ176" s="1" t="s">
        <v>216</v>
      </c>
      <c r="AK176" s="1" t="s">
        <v>238</v>
      </c>
      <c r="AM176" s="1">
        <v>1</v>
      </c>
      <c r="AV176" s="1">
        <v>1</v>
      </c>
      <c r="AX176" s="1">
        <v>0.25</v>
      </c>
      <c r="BE176" s="1" t="str">
        <f t="shared" si="21"/>
        <v>enemy_1000_gopro_2</v>
      </c>
      <c r="BK176" s="1" t="s">
        <v>911</v>
      </c>
      <c r="BL176" s="1" t="s">
        <v>945</v>
      </c>
      <c r="BN176" s="1" t="s">
        <v>217</v>
      </c>
      <c r="BO176" s="1" t="s">
        <v>218</v>
      </c>
      <c r="BP176" s="1" t="s">
        <v>227</v>
      </c>
      <c r="BQ176" s="1" t="s">
        <v>220</v>
      </c>
      <c r="BT176" s="1">
        <v>1</v>
      </c>
    </row>
    <row r="177" spans="1:72">
      <c r="A177" s="1" t="s">
        <v>946</v>
      </c>
      <c r="B177" s="1" t="s">
        <v>213</v>
      </c>
      <c r="D177" s="1" t="s">
        <v>947</v>
      </c>
      <c r="E177" s="1">
        <v>1000</v>
      </c>
      <c r="F177" s="1" t="str">
        <f t="shared" si="20"/>
        <v>enemy_1000_gopro_3</v>
      </c>
      <c r="G177" s="1">
        <v>1</v>
      </c>
      <c r="K177" s="1">
        <v>3000</v>
      </c>
      <c r="M177" s="1">
        <v>370</v>
      </c>
      <c r="O177" s="1">
        <v>0</v>
      </c>
      <c r="Q177" s="1">
        <v>20</v>
      </c>
      <c r="Y177" s="1">
        <v>0.05</v>
      </c>
      <c r="Z177" s="1">
        <v>1.4</v>
      </c>
      <c r="AA177" s="1">
        <v>0</v>
      </c>
      <c r="AB177" s="1">
        <v>1.9</v>
      </c>
      <c r="AG177" s="1">
        <v>0</v>
      </c>
      <c r="AH177" s="1">
        <v>1</v>
      </c>
      <c r="AI177" s="1" t="s">
        <v>948</v>
      </c>
      <c r="AJ177" s="1" t="s">
        <v>216</v>
      </c>
      <c r="AK177" s="1" t="s">
        <v>238</v>
      </c>
      <c r="AM177" s="1">
        <v>1</v>
      </c>
      <c r="AV177" s="1">
        <v>1</v>
      </c>
      <c r="AX177" s="1">
        <v>0.25</v>
      </c>
      <c r="BE177" s="1" t="str">
        <f t="shared" si="21"/>
        <v>enemy_1000_gopro_3</v>
      </c>
      <c r="BK177" s="1" t="s">
        <v>911</v>
      </c>
      <c r="BL177" s="1" t="s">
        <v>949</v>
      </c>
      <c r="BN177" s="1" t="s">
        <v>217</v>
      </c>
      <c r="BO177" s="1" t="s">
        <v>218</v>
      </c>
      <c r="BP177" s="1" t="s">
        <v>227</v>
      </c>
      <c r="BQ177" s="1" t="s">
        <v>220</v>
      </c>
      <c r="BT177" s="1">
        <v>1</v>
      </c>
    </row>
    <row r="178" spans="1:72">
      <c r="A178" s="1" t="s">
        <v>950</v>
      </c>
      <c r="B178" s="1" t="s">
        <v>213</v>
      </c>
      <c r="D178" s="1" t="s">
        <v>951</v>
      </c>
      <c r="E178" s="1">
        <v>1002</v>
      </c>
      <c r="F178" s="1" t="str">
        <f t="shared" si="20"/>
        <v>enemy_1002_nsabr</v>
      </c>
      <c r="G178" s="1">
        <v>1</v>
      </c>
      <c r="K178" s="1">
        <v>1650</v>
      </c>
      <c r="M178" s="1">
        <v>200</v>
      </c>
      <c r="O178" s="1">
        <v>100</v>
      </c>
      <c r="Q178" s="1">
        <v>0</v>
      </c>
      <c r="Y178" s="1">
        <v>0.05</v>
      </c>
      <c r="Z178" s="1">
        <v>2</v>
      </c>
      <c r="AA178" s="1">
        <v>1</v>
      </c>
      <c r="AB178" s="1">
        <v>1.1</v>
      </c>
      <c r="AG178" s="1">
        <v>0</v>
      </c>
      <c r="AH178" s="1">
        <v>1</v>
      </c>
      <c r="AI178" s="1" t="s">
        <v>952</v>
      </c>
      <c r="AJ178" s="1" t="s">
        <v>216</v>
      </c>
      <c r="AK178" s="1" t="s">
        <v>238</v>
      </c>
      <c r="AM178" s="1">
        <v>1</v>
      </c>
      <c r="AV178" s="1">
        <v>1</v>
      </c>
      <c r="AX178" s="1">
        <v>0.25</v>
      </c>
      <c r="BE178" s="1" t="str">
        <f t="shared" si="21"/>
        <v>enemy_1002_nsabr</v>
      </c>
      <c r="BK178" s="1" t="s">
        <v>953</v>
      </c>
      <c r="BL178" s="1" t="s">
        <v>954</v>
      </c>
      <c r="BN178" s="1" t="s">
        <v>217</v>
      </c>
      <c r="BO178" s="1" t="s">
        <v>218</v>
      </c>
      <c r="BP178" s="1" t="s">
        <v>249</v>
      </c>
      <c r="BQ178" s="1" t="s">
        <v>220</v>
      </c>
      <c r="BT178" s="1">
        <v>1</v>
      </c>
    </row>
    <row r="179" spans="1:72">
      <c r="A179" s="1" t="s">
        <v>955</v>
      </c>
      <c r="B179" s="1" t="s">
        <v>213</v>
      </c>
      <c r="D179" s="1" t="s">
        <v>956</v>
      </c>
      <c r="E179" s="1">
        <v>1003</v>
      </c>
      <c r="F179" s="1" t="str">
        <f t="shared" si="20"/>
        <v>enemy_1003_ncbow</v>
      </c>
      <c r="G179" s="1">
        <v>1</v>
      </c>
      <c r="K179" s="1">
        <v>1400</v>
      </c>
      <c r="M179" s="1">
        <v>240</v>
      </c>
      <c r="O179" s="1">
        <v>100</v>
      </c>
      <c r="Q179" s="1">
        <v>0</v>
      </c>
      <c r="Y179" s="1">
        <v>0.05</v>
      </c>
      <c r="Z179" s="1">
        <v>2.4</v>
      </c>
      <c r="AA179" s="1">
        <v>1</v>
      </c>
      <c r="AB179" s="1">
        <v>0.9</v>
      </c>
      <c r="AG179" s="1">
        <v>0</v>
      </c>
      <c r="AH179" s="1">
        <v>1</v>
      </c>
      <c r="AI179" s="1" t="s">
        <v>957</v>
      </c>
      <c r="AJ179" s="1" t="s">
        <v>216</v>
      </c>
      <c r="AK179" s="1" t="s">
        <v>958</v>
      </c>
      <c r="AM179" s="1">
        <v>1</v>
      </c>
      <c r="AV179" s="1">
        <v>1</v>
      </c>
      <c r="AX179" s="1">
        <v>0.25</v>
      </c>
      <c r="BE179" s="1" t="str">
        <f t="shared" si="21"/>
        <v>enemy_1003_ncbow</v>
      </c>
      <c r="BK179" s="1" t="s">
        <v>959</v>
      </c>
      <c r="BL179" s="1" t="s">
        <v>960</v>
      </c>
      <c r="BN179" s="1" t="s">
        <v>217</v>
      </c>
      <c r="BO179" s="1" t="s">
        <v>218</v>
      </c>
      <c r="BP179" s="1" t="s">
        <v>961</v>
      </c>
      <c r="BQ179" s="1" t="s">
        <v>220</v>
      </c>
      <c r="BT179" s="1">
        <v>1</v>
      </c>
    </row>
    <row r="180" spans="1:72">
      <c r="A180" s="1" t="s">
        <v>962</v>
      </c>
      <c r="B180" s="1" t="s">
        <v>213</v>
      </c>
      <c r="D180" s="1" t="s">
        <v>963</v>
      </c>
      <c r="E180" s="1">
        <v>1003</v>
      </c>
      <c r="F180" s="1" t="str">
        <f t="shared" si="20"/>
        <v>enemy_1003_ncbow_2</v>
      </c>
      <c r="G180" s="1">
        <v>1</v>
      </c>
      <c r="K180" s="1">
        <v>1900</v>
      </c>
      <c r="M180" s="1">
        <v>310</v>
      </c>
      <c r="O180" s="1">
        <v>150</v>
      </c>
      <c r="Q180" s="1">
        <v>0</v>
      </c>
      <c r="Y180" s="1">
        <v>0.05</v>
      </c>
      <c r="Z180" s="1">
        <v>2.4</v>
      </c>
      <c r="AA180" s="1">
        <v>1</v>
      </c>
      <c r="AB180" s="1">
        <v>0.9</v>
      </c>
      <c r="AG180" s="1">
        <v>0</v>
      </c>
      <c r="AH180" s="1">
        <v>1</v>
      </c>
      <c r="AI180" s="1" t="s">
        <v>964</v>
      </c>
      <c r="AJ180" s="1" t="s">
        <v>216</v>
      </c>
      <c r="AK180" s="1" t="s">
        <v>958</v>
      </c>
      <c r="AM180" s="1">
        <v>1</v>
      </c>
      <c r="AV180" s="1">
        <v>1</v>
      </c>
      <c r="AX180" s="1">
        <v>0.25</v>
      </c>
      <c r="BE180" s="1" t="str">
        <f t="shared" si="21"/>
        <v>enemy_1003_ncbow_2</v>
      </c>
      <c r="BK180" s="1" t="s">
        <v>959</v>
      </c>
      <c r="BL180" s="1" t="s">
        <v>965</v>
      </c>
      <c r="BN180" s="1" t="s">
        <v>217</v>
      </c>
      <c r="BO180" s="1" t="s">
        <v>218</v>
      </c>
      <c r="BP180" s="1" t="s">
        <v>961</v>
      </c>
      <c r="BQ180" s="1" t="s">
        <v>220</v>
      </c>
      <c r="BT180" s="1">
        <v>1</v>
      </c>
    </row>
    <row r="181" spans="1:72">
      <c r="A181" s="1" t="s">
        <v>966</v>
      </c>
      <c r="B181" s="1" t="s">
        <v>213</v>
      </c>
      <c r="D181" s="1" t="s">
        <v>967</v>
      </c>
      <c r="E181" s="1">
        <v>1011</v>
      </c>
      <c r="F181" s="1" t="str">
        <f t="shared" si="20"/>
        <v>enemy_1011_wizard</v>
      </c>
      <c r="G181" s="1">
        <v>1</v>
      </c>
      <c r="K181" s="1">
        <v>1600</v>
      </c>
      <c r="M181" s="1">
        <v>200</v>
      </c>
      <c r="O181" s="1">
        <v>50</v>
      </c>
      <c r="Q181" s="1">
        <v>50</v>
      </c>
      <c r="Y181" s="1">
        <v>0.05</v>
      </c>
      <c r="Z181" s="1">
        <v>4</v>
      </c>
      <c r="AA181" s="1">
        <v>1</v>
      </c>
      <c r="AB181" s="1">
        <v>0.8</v>
      </c>
      <c r="AG181" s="1">
        <v>0</v>
      </c>
      <c r="AH181" s="1">
        <v>1</v>
      </c>
      <c r="AI181" s="1" t="s">
        <v>968</v>
      </c>
      <c r="AJ181" s="1" t="s">
        <v>216</v>
      </c>
      <c r="AK181" s="1" t="s">
        <v>969</v>
      </c>
      <c r="AM181" s="1">
        <v>1</v>
      </c>
      <c r="AV181" s="1">
        <v>1</v>
      </c>
      <c r="AX181" s="1">
        <v>0.25</v>
      </c>
      <c r="BE181" s="1" t="str">
        <f t="shared" si="21"/>
        <v>enemy_1011_wizard</v>
      </c>
      <c r="BK181" s="1" t="s">
        <v>959</v>
      </c>
      <c r="BL181" s="1" t="s">
        <v>970</v>
      </c>
      <c r="BN181" s="1" t="s">
        <v>217</v>
      </c>
      <c r="BO181" s="1" t="s">
        <v>218</v>
      </c>
      <c r="BP181" s="1" t="s">
        <v>219</v>
      </c>
      <c r="BQ181" s="1" t="s">
        <v>220</v>
      </c>
      <c r="BT181" s="1">
        <v>1</v>
      </c>
    </row>
    <row r="182" spans="1:72">
      <c r="A182" s="1" t="s">
        <v>971</v>
      </c>
      <c r="B182" s="1" t="s">
        <v>213</v>
      </c>
      <c r="D182" s="1" t="s">
        <v>972</v>
      </c>
      <c r="E182" s="1">
        <v>1011</v>
      </c>
      <c r="F182" s="1" t="str">
        <f t="shared" si="20"/>
        <v>enemy_1011_wizard_2</v>
      </c>
      <c r="G182" s="1">
        <v>1</v>
      </c>
      <c r="K182" s="1">
        <v>2400</v>
      </c>
      <c r="M182" s="1">
        <v>300</v>
      </c>
      <c r="O182" s="1">
        <v>80</v>
      </c>
      <c r="Q182" s="1">
        <v>50</v>
      </c>
      <c r="Y182" s="1">
        <v>0.05</v>
      </c>
      <c r="Z182" s="1">
        <v>4</v>
      </c>
      <c r="AA182" s="1">
        <v>1</v>
      </c>
      <c r="AB182" s="1">
        <v>0.8</v>
      </c>
      <c r="AG182" s="1">
        <v>0</v>
      </c>
      <c r="AH182" s="1">
        <v>1</v>
      </c>
      <c r="AI182" s="1" t="s">
        <v>973</v>
      </c>
      <c r="AJ182" s="1" t="s">
        <v>216</v>
      </c>
      <c r="AK182" s="1" t="s">
        <v>974</v>
      </c>
      <c r="AM182" s="1">
        <v>1</v>
      </c>
      <c r="AV182" s="1">
        <v>1</v>
      </c>
      <c r="AX182" s="1">
        <v>0.25</v>
      </c>
      <c r="BE182" s="1" t="str">
        <f t="shared" si="21"/>
        <v>enemy_1011_wizard_2</v>
      </c>
      <c r="BK182" s="1" t="s">
        <v>959</v>
      </c>
      <c r="BL182" s="1" t="s">
        <v>975</v>
      </c>
      <c r="BN182" s="1" t="s">
        <v>217</v>
      </c>
      <c r="BO182" s="1" t="s">
        <v>218</v>
      </c>
      <c r="BP182" s="1" t="s">
        <v>219</v>
      </c>
      <c r="BQ182" s="1" t="s">
        <v>220</v>
      </c>
      <c r="BT182" s="1">
        <v>1</v>
      </c>
    </row>
    <row r="183" spans="1:72">
      <c r="A183" s="1" t="s">
        <v>976</v>
      </c>
      <c r="B183" s="1" t="s">
        <v>213</v>
      </c>
      <c r="D183" s="1" t="s">
        <v>977</v>
      </c>
      <c r="E183" s="1">
        <v>1018</v>
      </c>
      <c r="F183" s="1" t="str">
        <f t="shared" si="20"/>
        <v>enemy_1018_aoemag</v>
      </c>
      <c r="G183" s="1">
        <v>1</v>
      </c>
      <c r="K183" s="1">
        <v>7000</v>
      </c>
      <c r="M183" s="1">
        <v>240</v>
      </c>
      <c r="O183" s="1">
        <v>120</v>
      </c>
      <c r="Q183" s="1">
        <v>50</v>
      </c>
      <c r="Y183" s="1">
        <v>0.05</v>
      </c>
      <c r="Z183" s="1">
        <v>3.8</v>
      </c>
      <c r="AA183" s="1">
        <v>1</v>
      </c>
      <c r="AB183" s="1">
        <v>0.7</v>
      </c>
      <c r="AG183" s="1">
        <v>0</v>
      </c>
      <c r="AH183" s="1">
        <v>1</v>
      </c>
      <c r="AI183" s="1" t="s">
        <v>978</v>
      </c>
      <c r="AJ183" s="1" t="s">
        <v>216</v>
      </c>
      <c r="AK183" s="1" t="s">
        <v>979</v>
      </c>
      <c r="AM183" s="1">
        <v>1</v>
      </c>
      <c r="AV183" s="1">
        <v>1</v>
      </c>
      <c r="AX183" s="1">
        <v>0.25</v>
      </c>
      <c r="BE183" s="1" t="str">
        <f t="shared" si="21"/>
        <v>enemy_1018_aoemag</v>
      </c>
      <c r="BK183" s="1" t="s">
        <v>980</v>
      </c>
      <c r="BL183" s="1" t="s">
        <v>981</v>
      </c>
      <c r="BN183" s="1" t="s">
        <v>217</v>
      </c>
      <c r="BO183" s="1" t="s">
        <v>218</v>
      </c>
      <c r="BP183" s="1" t="s">
        <v>239</v>
      </c>
      <c r="BQ183" s="1" t="s">
        <v>220</v>
      </c>
      <c r="BT183" s="1">
        <v>1</v>
      </c>
    </row>
    <row r="184" spans="1:72">
      <c r="A184" s="1" t="s">
        <v>982</v>
      </c>
      <c r="B184" s="1" t="s">
        <v>213</v>
      </c>
      <c r="D184" s="1" t="s">
        <v>983</v>
      </c>
      <c r="E184" s="1">
        <v>1018</v>
      </c>
      <c r="F184" s="1" t="str">
        <f t="shared" si="20"/>
        <v>enemy_1018_aoemag_2</v>
      </c>
      <c r="G184" s="1">
        <v>1</v>
      </c>
      <c r="K184" s="1">
        <v>13500</v>
      </c>
      <c r="M184" s="1">
        <v>380</v>
      </c>
      <c r="O184" s="1">
        <v>160</v>
      </c>
      <c r="Q184" s="1">
        <v>50</v>
      </c>
      <c r="Y184" s="1">
        <v>0.05</v>
      </c>
      <c r="Z184" s="1">
        <v>3.8</v>
      </c>
      <c r="AA184" s="1">
        <v>1</v>
      </c>
      <c r="AB184" s="1">
        <v>0.7</v>
      </c>
      <c r="AG184" s="1">
        <v>0</v>
      </c>
      <c r="AH184" s="1">
        <v>1</v>
      </c>
      <c r="AI184" s="1" t="s">
        <v>984</v>
      </c>
      <c r="AJ184" s="1" t="s">
        <v>216</v>
      </c>
      <c r="AK184" s="1" t="s">
        <v>979</v>
      </c>
      <c r="AM184" s="1">
        <v>1</v>
      </c>
      <c r="AV184" s="1">
        <v>1</v>
      </c>
      <c r="AX184" s="1">
        <v>0.25</v>
      </c>
      <c r="BE184" s="1" t="str">
        <f t="shared" si="21"/>
        <v>enemy_1018_aoemag_2</v>
      </c>
      <c r="BK184" s="1" t="s">
        <v>980</v>
      </c>
      <c r="BL184" s="1" t="s">
        <v>985</v>
      </c>
      <c r="BN184" s="1" t="s">
        <v>217</v>
      </c>
      <c r="BO184" s="1" t="s">
        <v>218</v>
      </c>
      <c r="BP184" s="1" t="s">
        <v>239</v>
      </c>
      <c r="BQ184" s="1" t="s">
        <v>220</v>
      </c>
      <c r="BT184" s="1">
        <v>1</v>
      </c>
    </row>
    <row r="185" spans="1:72">
      <c r="A185" s="1" t="s">
        <v>986</v>
      </c>
      <c r="B185" s="1" t="s">
        <v>213</v>
      </c>
      <c r="D185" s="1" t="s">
        <v>987</v>
      </c>
      <c r="E185" s="1">
        <v>1013</v>
      </c>
      <c r="F185" s="1" t="str">
        <f t="shared" si="20"/>
        <v>enemy_1013_airdrp</v>
      </c>
      <c r="G185" s="1">
        <v>1</v>
      </c>
      <c r="K185" s="1">
        <v>1450</v>
      </c>
      <c r="M185" s="1">
        <v>220</v>
      </c>
      <c r="O185" s="1">
        <v>100</v>
      </c>
      <c r="Q185" s="1">
        <v>0</v>
      </c>
      <c r="Y185" s="1">
        <v>0.05</v>
      </c>
      <c r="Z185" s="1">
        <v>1.9</v>
      </c>
      <c r="AA185" s="1">
        <v>0</v>
      </c>
      <c r="AB185" s="1">
        <v>1</v>
      </c>
      <c r="AG185" s="1">
        <v>0</v>
      </c>
      <c r="AH185" s="1">
        <v>1</v>
      </c>
      <c r="AI185" s="1" t="s">
        <v>988</v>
      </c>
      <c r="AJ185" s="1" t="s">
        <v>216</v>
      </c>
      <c r="AK185" s="1" t="s">
        <v>238</v>
      </c>
      <c r="AM185" s="1">
        <v>1</v>
      </c>
      <c r="AV185" s="1">
        <v>1</v>
      </c>
      <c r="AX185" s="1">
        <v>0.25</v>
      </c>
      <c r="BE185" s="1" t="str">
        <f t="shared" si="21"/>
        <v>enemy_1013_airdrp</v>
      </c>
      <c r="BK185" s="1" t="s">
        <v>953</v>
      </c>
      <c r="BL185" s="1" t="s">
        <v>989</v>
      </c>
      <c r="BN185" s="1" t="s">
        <v>217</v>
      </c>
      <c r="BO185" s="1" t="s">
        <v>218</v>
      </c>
      <c r="BP185" s="1" t="s">
        <v>239</v>
      </c>
      <c r="BQ185" s="1" t="s">
        <v>220</v>
      </c>
      <c r="BT185" s="1">
        <v>1</v>
      </c>
    </row>
    <row r="186" spans="1:72">
      <c r="A186" s="1" t="s">
        <v>990</v>
      </c>
      <c r="B186" s="1" t="s">
        <v>213</v>
      </c>
      <c r="D186" s="1" t="s">
        <v>991</v>
      </c>
      <c r="E186" s="1">
        <v>1013</v>
      </c>
      <c r="F186" s="1" t="str">
        <f t="shared" si="20"/>
        <v>enemy_1013_airdrp_2</v>
      </c>
      <c r="G186" s="1">
        <v>1</v>
      </c>
      <c r="K186" s="1">
        <v>2300</v>
      </c>
      <c r="M186" s="1">
        <v>300</v>
      </c>
      <c r="O186" s="1">
        <v>150</v>
      </c>
      <c r="Q186" s="1">
        <v>0</v>
      </c>
      <c r="Y186" s="1">
        <v>0.05</v>
      </c>
      <c r="Z186" s="1">
        <v>1.9</v>
      </c>
      <c r="AA186" s="1">
        <v>0</v>
      </c>
      <c r="AB186" s="1">
        <v>1</v>
      </c>
      <c r="AG186" s="1">
        <v>0</v>
      </c>
      <c r="AH186" s="1">
        <v>1</v>
      </c>
      <c r="AI186" s="1" t="s">
        <v>992</v>
      </c>
      <c r="AJ186" s="1" t="s">
        <v>216</v>
      </c>
      <c r="AK186" s="1" t="s">
        <v>238</v>
      </c>
      <c r="AM186" s="1">
        <v>1</v>
      </c>
      <c r="AV186" s="1">
        <v>1</v>
      </c>
      <c r="AX186" s="1">
        <v>0.25</v>
      </c>
      <c r="BE186" s="1" t="str">
        <f t="shared" si="21"/>
        <v>enemy_1013_airdrp_2</v>
      </c>
      <c r="BK186" s="1" t="s">
        <v>953</v>
      </c>
      <c r="BL186" s="1" t="s">
        <v>993</v>
      </c>
      <c r="BN186" s="1" t="s">
        <v>217</v>
      </c>
      <c r="BO186" s="1" t="s">
        <v>218</v>
      </c>
      <c r="BP186" s="1" t="s">
        <v>239</v>
      </c>
      <c r="BQ186" s="1" t="s">
        <v>220</v>
      </c>
      <c r="BT186" s="1">
        <v>1</v>
      </c>
    </row>
    <row r="187" spans="1:72">
      <c r="A187" s="1" t="s">
        <v>994</v>
      </c>
      <c r="B187" s="1" t="s">
        <v>213</v>
      </c>
      <c r="D187" s="1" t="s">
        <v>995</v>
      </c>
      <c r="E187" s="1">
        <v>1024</v>
      </c>
      <c r="F187" s="1" t="str">
        <f t="shared" si="20"/>
        <v>enemy_1024_mortar</v>
      </c>
      <c r="G187" s="1">
        <v>1</v>
      </c>
      <c r="K187" s="1">
        <v>3300</v>
      </c>
      <c r="M187" s="1">
        <v>400</v>
      </c>
      <c r="O187" s="1">
        <v>150</v>
      </c>
      <c r="Q187" s="1">
        <v>0</v>
      </c>
      <c r="Y187" s="1">
        <v>0.05</v>
      </c>
      <c r="Z187" s="1">
        <v>4.5</v>
      </c>
      <c r="AA187" s="1">
        <v>2</v>
      </c>
      <c r="AB187" s="1">
        <v>0.8</v>
      </c>
      <c r="AG187" s="1">
        <v>0</v>
      </c>
      <c r="AH187" s="1">
        <v>1</v>
      </c>
      <c r="AI187" s="1" t="s">
        <v>398</v>
      </c>
      <c r="AJ187" s="1" t="s">
        <v>216</v>
      </c>
      <c r="AK187" s="1" t="s">
        <v>280</v>
      </c>
      <c r="AM187" s="1">
        <v>1</v>
      </c>
      <c r="AV187" s="1">
        <v>1</v>
      </c>
      <c r="AX187" s="1">
        <v>0.25</v>
      </c>
      <c r="BE187" s="1" t="str">
        <f t="shared" si="21"/>
        <v>enemy_1024_mortar</v>
      </c>
      <c r="BK187" s="1" t="s">
        <v>959</v>
      </c>
      <c r="BL187" s="1" t="s">
        <v>996</v>
      </c>
      <c r="BN187" s="1" t="s">
        <v>217</v>
      </c>
      <c r="BO187" s="1" t="s">
        <v>281</v>
      </c>
      <c r="BP187" s="1" t="s">
        <v>239</v>
      </c>
      <c r="BQ187" s="1" t="s">
        <v>220</v>
      </c>
      <c r="BT187" s="1">
        <v>1</v>
      </c>
    </row>
    <row r="188" spans="1:72">
      <c r="A188" s="1" t="s">
        <v>997</v>
      </c>
      <c r="B188" s="1" t="s">
        <v>213</v>
      </c>
      <c r="D188" s="1" t="s">
        <v>278</v>
      </c>
      <c r="E188" s="1">
        <v>1024</v>
      </c>
      <c r="F188" s="1" t="str">
        <f t="shared" si="20"/>
        <v>enemy_1024_mortar_2</v>
      </c>
      <c r="G188" s="1">
        <v>1</v>
      </c>
      <c r="K188" s="1">
        <v>5000</v>
      </c>
      <c r="M188" s="1">
        <v>550</v>
      </c>
      <c r="O188" s="1">
        <v>150</v>
      </c>
      <c r="Q188" s="1">
        <v>0</v>
      </c>
      <c r="Y188" s="1">
        <v>0.05</v>
      </c>
      <c r="Z188" s="1">
        <v>4.5</v>
      </c>
      <c r="AA188" s="1">
        <v>2</v>
      </c>
      <c r="AB188" s="1">
        <v>0.8</v>
      </c>
      <c r="AG188" s="1">
        <v>0</v>
      </c>
      <c r="AH188" s="1">
        <v>1</v>
      </c>
      <c r="AI188" s="1" t="s">
        <v>277</v>
      </c>
      <c r="AJ188" s="1" t="s">
        <v>216</v>
      </c>
      <c r="AK188" s="1" t="s">
        <v>280</v>
      </c>
      <c r="AM188" s="1">
        <v>1</v>
      </c>
      <c r="AV188" s="1">
        <v>1</v>
      </c>
      <c r="AX188" s="1">
        <v>0.25</v>
      </c>
      <c r="BE188" s="1" t="str">
        <f t="shared" si="21"/>
        <v>enemy_1024_mortar_2</v>
      </c>
      <c r="BK188" s="1" t="s">
        <v>959</v>
      </c>
      <c r="BL188" s="1" t="s">
        <v>998</v>
      </c>
      <c r="BN188" s="1" t="s">
        <v>217</v>
      </c>
      <c r="BO188" s="1" t="s">
        <v>281</v>
      </c>
      <c r="BP188" s="1" t="s">
        <v>239</v>
      </c>
      <c r="BQ188" s="1" t="s">
        <v>220</v>
      </c>
      <c r="BT188" s="1">
        <v>1</v>
      </c>
    </row>
    <row r="189" spans="1:72">
      <c r="A189" s="1" t="s">
        <v>999</v>
      </c>
      <c r="B189" s="1" t="s">
        <v>213</v>
      </c>
      <c r="D189" s="1" t="s">
        <v>1000</v>
      </c>
      <c r="E189" s="1">
        <v>1014</v>
      </c>
      <c r="F189" s="1" t="str">
        <f t="shared" si="20"/>
        <v>enemy_1014_rogue</v>
      </c>
      <c r="G189" s="1">
        <v>1</v>
      </c>
      <c r="K189" s="1">
        <v>2000</v>
      </c>
      <c r="M189" s="1">
        <v>350</v>
      </c>
      <c r="O189" s="1">
        <v>100</v>
      </c>
      <c r="Q189" s="1">
        <v>0</v>
      </c>
      <c r="Y189" s="1">
        <v>0.05</v>
      </c>
      <c r="Z189" s="1">
        <v>1.2</v>
      </c>
      <c r="AA189" s="1">
        <v>1</v>
      </c>
      <c r="AB189" s="1">
        <v>1.1</v>
      </c>
      <c r="AG189" s="1">
        <v>0</v>
      </c>
      <c r="AH189" s="1">
        <v>1</v>
      </c>
      <c r="AI189" s="1" t="s">
        <v>1001</v>
      </c>
      <c r="AJ189" s="1" t="s">
        <v>216</v>
      </c>
      <c r="AK189" s="1" t="s">
        <v>238</v>
      </c>
      <c r="AM189" s="1">
        <v>1</v>
      </c>
      <c r="AV189" s="1">
        <v>1</v>
      </c>
      <c r="AX189" s="1">
        <v>0.25</v>
      </c>
      <c r="BE189" s="1" t="str">
        <f t="shared" si="21"/>
        <v>enemy_1014_rogue</v>
      </c>
      <c r="BK189" s="1" t="s">
        <v>953</v>
      </c>
      <c r="BL189" s="1" t="s">
        <v>1002</v>
      </c>
      <c r="BN189" s="1" t="s">
        <v>217</v>
      </c>
      <c r="BO189" s="1" t="s">
        <v>218</v>
      </c>
      <c r="BP189" s="1" t="s">
        <v>239</v>
      </c>
      <c r="BQ189" s="1" t="s">
        <v>220</v>
      </c>
      <c r="BT189" s="1">
        <v>1</v>
      </c>
    </row>
    <row r="190" spans="1:72">
      <c r="A190" s="1" t="s">
        <v>1003</v>
      </c>
      <c r="B190" s="1" t="s">
        <v>213</v>
      </c>
      <c r="D190" s="1" t="s">
        <v>1004</v>
      </c>
      <c r="E190" s="1">
        <v>1014</v>
      </c>
      <c r="F190" s="1" t="str">
        <f t="shared" si="20"/>
        <v>enemy_1014_rogue_2</v>
      </c>
      <c r="G190" s="1">
        <v>1</v>
      </c>
      <c r="K190" s="1">
        <v>3000</v>
      </c>
      <c r="M190" s="1">
        <v>450</v>
      </c>
      <c r="O190" s="1">
        <v>120</v>
      </c>
      <c r="Q190" s="1">
        <v>0</v>
      </c>
      <c r="Y190" s="1">
        <v>0.05</v>
      </c>
      <c r="Z190" s="1">
        <v>1.2</v>
      </c>
      <c r="AA190" s="1">
        <v>1</v>
      </c>
      <c r="AB190" s="1">
        <v>1.1</v>
      </c>
      <c r="AG190" s="1">
        <v>0</v>
      </c>
      <c r="AH190" s="1">
        <v>1</v>
      </c>
      <c r="AI190" s="1" t="s">
        <v>1005</v>
      </c>
      <c r="AJ190" s="1" t="s">
        <v>216</v>
      </c>
      <c r="AK190" s="1" t="s">
        <v>238</v>
      </c>
      <c r="AM190" s="1">
        <v>1</v>
      </c>
      <c r="AV190" s="1">
        <v>1</v>
      </c>
      <c r="AX190" s="1">
        <v>0.25</v>
      </c>
      <c r="BE190" s="1" t="str">
        <f t="shared" si="21"/>
        <v>enemy_1014_rogue_2</v>
      </c>
      <c r="BK190" s="1" t="s">
        <v>953</v>
      </c>
      <c r="BL190" s="1" t="s">
        <v>1006</v>
      </c>
      <c r="BN190" s="1" t="s">
        <v>217</v>
      </c>
      <c r="BO190" s="1" t="s">
        <v>218</v>
      </c>
      <c r="BP190" s="1" t="s">
        <v>239</v>
      </c>
      <c r="BQ190" s="1" t="s">
        <v>220</v>
      </c>
      <c r="BT190" s="1">
        <v>1</v>
      </c>
    </row>
    <row r="191" spans="1:72">
      <c r="A191" s="1" t="s">
        <v>1007</v>
      </c>
      <c r="B191" s="1" t="s">
        <v>213</v>
      </c>
      <c r="D191" s="1" t="s">
        <v>294</v>
      </c>
      <c r="E191" s="1">
        <v>1015</v>
      </c>
      <c r="F191" s="1" t="str">
        <f t="shared" si="20"/>
        <v>enemy_1015_litamr</v>
      </c>
      <c r="G191" s="1">
        <v>1</v>
      </c>
      <c r="K191" s="1">
        <v>2500</v>
      </c>
      <c r="M191" s="1">
        <v>250</v>
      </c>
      <c r="O191" s="1">
        <v>400</v>
      </c>
      <c r="Q191" s="1">
        <v>0</v>
      </c>
      <c r="Y191" s="1">
        <v>0.05</v>
      </c>
      <c r="Z191" s="1">
        <v>2</v>
      </c>
      <c r="AA191" s="1">
        <v>1</v>
      </c>
      <c r="AB191" s="1">
        <v>1</v>
      </c>
      <c r="AG191" s="1">
        <v>0</v>
      </c>
      <c r="AH191" s="1">
        <v>1</v>
      </c>
      <c r="AI191" s="1" t="s">
        <v>293</v>
      </c>
      <c r="AJ191" s="1" t="s">
        <v>216</v>
      </c>
      <c r="AK191" s="1" t="s">
        <v>238</v>
      </c>
      <c r="AM191" s="1">
        <v>1</v>
      </c>
      <c r="AV191" s="1">
        <v>1</v>
      </c>
      <c r="AX191" s="1">
        <v>0.25</v>
      </c>
      <c r="BE191" s="1" t="str">
        <f t="shared" si="21"/>
        <v>enemy_1015_litamr</v>
      </c>
      <c r="BK191" s="1" t="s">
        <v>953</v>
      </c>
      <c r="BL191" s="1" t="s">
        <v>1008</v>
      </c>
      <c r="BN191" s="1" t="s">
        <v>217</v>
      </c>
      <c r="BO191" s="1" t="s">
        <v>218</v>
      </c>
      <c r="BP191" s="1" t="s">
        <v>239</v>
      </c>
      <c r="BQ191" s="1" t="s">
        <v>220</v>
      </c>
      <c r="BT191" s="1">
        <v>1</v>
      </c>
    </row>
    <row r="192" spans="1:72">
      <c r="A192" s="1" t="s">
        <v>1009</v>
      </c>
      <c r="B192" s="1" t="s">
        <v>213</v>
      </c>
      <c r="D192" s="1" t="s">
        <v>236</v>
      </c>
      <c r="E192" s="1">
        <v>1015</v>
      </c>
      <c r="F192" s="1" t="str">
        <f t="shared" si="20"/>
        <v>enemy_1015_litamr_2</v>
      </c>
      <c r="G192" s="1">
        <v>1</v>
      </c>
      <c r="K192" s="1">
        <v>3700</v>
      </c>
      <c r="M192" s="1">
        <v>300</v>
      </c>
      <c r="O192" s="1">
        <v>500</v>
      </c>
      <c r="Q192" s="1">
        <v>0</v>
      </c>
      <c r="Y192" s="1">
        <v>0.05</v>
      </c>
      <c r="Z192" s="1">
        <v>2</v>
      </c>
      <c r="AA192" s="1">
        <v>1</v>
      </c>
      <c r="AB192" s="1">
        <v>1</v>
      </c>
      <c r="AG192" s="1">
        <v>0</v>
      </c>
      <c r="AH192" s="1">
        <v>1</v>
      </c>
      <c r="AI192" s="1" t="s">
        <v>235</v>
      </c>
      <c r="AJ192" s="1" t="s">
        <v>216</v>
      </c>
      <c r="AK192" s="1" t="s">
        <v>238</v>
      </c>
      <c r="AM192" s="1">
        <v>1</v>
      </c>
      <c r="AV192" s="1">
        <v>1</v>
      </c>
      <c r="AX192" s="1">
        <v>0.25</v>
      </c>
      <c r="BE192" s="1" t="str">
        <f t="shared" si="21"/>
        <v>enemy_1015_litamr_2</v>
      </c>
      <c r="BK192" s="1" t="s">
        <v>953</v>
      </c>
      <c r="BL192" s="1" t="s">
        <v>1010</v>
      </c>
      <c r="BN192" s="1" t="s">
        <v>217</v>
      </c>
      <c r="BO192" s="1" t="s">
        <v>218</v>
      </c>
      <c r="BP192" s="1" t="s">
        <v>239</v>
      </c>
      <c r="BQ192" s="1" t="s">
        <v>220</v>
      </c>
      <c r="BT192" s="1">
        <v>1</v>
      </c>
    </row>
    <row r="193" spans="1:72">
      <c r="A193" s="1" t="s">
        <v>1011</v>
      </c>
      <c r="B193" s="1" t="s">
        <v>213</v>
      </c>
      <c r="D193" s="1" t="s">
        <v>306</v>
      </c>
      <c r="E193" s="1">
        <v>1006</v>
      </c>
      <c r="F193" s="1" t="str">
        <f t="shared" si="20"/>
        <v>enemy_1006_shield</v>
      </c>
      <c r="G193" s="1">
        <v>1</v>
      </c>
      <c r="K193" s="1">
        <v>6000</v>
      </c>
      <c r="M193" s="1">
        <v>600</v>
      </c>
      <c r="O193" s="1">
        <v>800</v>
      </c>
      <c r="Q193" s="1">
        <v>0</v>
      </c>
      <c r="Y193" s="1">
        <v>0.05</v>
      </c>
      <c r="Z193" s="1">
        <v>2.6</v>
      </c>
      <c r="AA193" s="1">
        <v>3</v>
      </c>
      <c r="AB193" s="1">
        <v>0.75</v>
      </c>
      <c r="AG193" s="1">
        <v>0</v>
      </c>
      <c r="AH193" s="1">
        <v>1</v>
      </c>
      <c r="AI193" s="1" t="s">
        <v>305</v>
      </c>
      <c r="AJ193" s="1" t="s">
        <v>216</v>
      </c>
      <c r="AK193" s="1" t="s">
        <v>238</v>
      </c>
      <c r="AM193" s="1">
        <v>1</v>
      </c>
      <c r="AV193" s="1">
        <v>1</v>
      </c>
      <c r="AX193" s="1">
        <v>0.25</v>
      </c>
      <c r="BE193" s="1" t="str">
        <f t="shared" si="21"/>
        <v>enemy_1006_shield</v>
      </c>
      <c r="BK193" s="1" t="s">
        <v>1012</v>
      </c>
      <c r="BL193" s="1" t="s">
        <v>1013</v>
      </c>
      <c r="BN193" s="1" t="s">
        <v>217</v>
      </c>
      <c r="BO193" s="1" t="s">
        <v>218</v>
      </c>
      <c r="BP193" s="1" t="s">
        <v>219</v>
      </c>
      <c r="BQ193" s="1" t="s">
        <v>220</v>
      </c>
      <c r="BT193" s="1">
        <v>1</v>
      </c>
    </row>
    <row r="194" spans="1:72">
      <c r="A194" s="1" t="s">
        <v>1014</v>
      </c>
      <c r="B194" s="1" t="s">
        <v>213</v>
      </c>
      <c r="D194" s="1" t="s">
        <v>231</v>
      </c>
      <c r="E194" s="1">
        <v>1006</v>
      </c>
      <c r="F194" s="1" t="str">
        <f t="shared" si="20"/>
        <v>enemy_1006_shield_2</v>
      </c>
      <c r="G194" s="1">
        <v>1</v>
      </c>
      <c r="K194" s="1">
        <v>10000</v>
      </c>
      <c r="M194" s="1">
        <v>600</v>
      </c>
      <c r="O194" s="1">
        <v>1000</v>
      </c>
      <c r="Q194" s="1">
        <v>0</v>
      </c>
      <c r="Y194" s="1">
        <v>0.05</v>
      </c>
      <c r="Z194" s="1">
        <v>2.6</v>
      </c>
      <c r="AA194" s="1">
        <v>3</v>
      </c>
      <c r="AB194" s="1">
        <v>0.75</v>
      </c>
      <c r="AG194" s="1">
        <v>0</v>
      </c>
      <c r="AH194" s="1">
        <v>1</v>
      </c>
      <c r="AI194" s="1" t="s">
        <v>233</v>
      </c>
      <c r="AJ194" s="1" t="s">
        <v>216</v>
      </c>
      <c r="AK194" s="1" t="s">
        <v>238</v>
      </c>
      <c r="AM194" s="1">
        <v>1</v>
      </c>
      <c r="AV194" s="1">
        <v>1</v>
      </c>
      <c r="AX194" s="1">
        <v>0.25</v>
      </c>
      <c r="BE194" s="1" t="str">
        <f t="shared" si="21"/>
        <v>enemy_1006_shield_2</v>
      </c>
      <c r="BK194" s="1" t="s">
        <v>1012</v>
      </c>
      <c r="BL194" s="1" t="s">
        <v>1015</v>
      </c>
      <c r="BN194" s="1" t="s">
        <v>217</v>
      </c>
      <c r="BO194" s="1" t="s">
        <v>218</v>
      </c>
      <c r="BP194" s="1" t="s">
        <v>219</v>
      </c>
      <c r="BQ194" s="1" t="s">
        <v>220</v>
      </c>
      <c r="BT194" s="1">
        <v>1</v>
      </c>
    </row>
    <row r="195" spans="1:72">
      <c r="A195" s="1" t="s">
        <v>1016</v>
      </c>
      <c r="B195" s="1" t="s">
        <v>213</v>
      </c>
      <c r="D195" s="1" t="s">
        <v>1017</v>
      </c>
      <c r="E195" s="1">
        <v>1006</v>
      </c>
      <c r="F195" s="1" t="str">
        <f t="shared" si="20"/>
        <v>enemy_1006_shield_3</v>
      </c>
      <c r="G195" s="1">
        <v>1</v>
      </c>
      <c r="K195" s="1">
        <v>40000</v>
      </c>
      <c r="M195" s="1">
        <v>1000</v>
      </c>
      <c r="O195" s="1">
        <v>1200</v>
      </c>
      <c r="Q195" s="1">
        <v>0</v>
      </c>
      <c r="Y195" s="1">
        <v>0.05</v>
      </c>
      <c r="Z195" s="1">
        <v>2.6</v>
      </c>
      <c r="AA195" s="1">
        <v>4</v>
      </c>
      <c r="AB195" s="1">
        <v>0.75</v>
      </c>
      <c r="AG195" s="1">
        <v>0</v>
      </c>
      <c r="AH195" s="1">
        <v>1</v>
      </c>
      <c r="AI195" s="1" t="s">
        <v>1018</v>
      </c>
      <c r="AJ195" s="1" t="s">
        <v>216</v>
      </c>
      <c r="AK195" s="1" t="s">
        <v>238</v>
      </c>
      <c r="AM195" s="1">
        <v>1</v>
      </c>
      <c r="AV195" s="1">
        <v>1</v>
      </c>
      <c r="AX195" s="1">
        <v>0.25</v>
      </c>
      <c r="BE195" s="1" t="str">
        <f t="shared" si="21"/>
        <v>enemy_1006_shield_3</v>
      </c>
      <c r="BK195" s="1" t="s">
        <v>1019</v>
      </c>
      <c r="BL195" s="1" t="s">
        <v>1020</v>
      </c>
      <c r="BN195" s="1" t="s">
        <v>217</v>
      </c>
      <c r="BO195" s="1" t="s">
        <v>218</v>
      </c>
      <c r="BP195" s="1" t="s">
        <v>219</v>
      </c>
      <c r="BQ195" s="1" t="s">
        <v>220</v>
      </c>
      <c r="BT195" s="1">
        <v>1</v>
      </c>
    </row>
    <row r="196" spans="1:72">
      <c r="A196" s="1" t="s">
        <v>1021</v>
      </c>
      <c r="B196" s="1" t="s">
        <v>213</v>
      </c>
      <c r="D196" s="1" t="s">
        <v>1022</v>
      </c>
      <c r="E196" s="1">
        <v>1001</v>
      </c>
      <c r="F196" s="1" t="str">
        <f t="shared" si="20"/>
        <v>enemy_1001_bigbo</v>
      </c>
      <c r="G196" s="1">
        <v>1</v>
      </c>
      <c r="K196" s="1">
        <v>22000</v>
      </c>
      <c r="M196" s="1">
        <v>1900</v>
      </c>
      <c r="O196" s="1">
        <v>800</v>
      </c>
      <c r="Q196" s="1">
        <v>30</v>
      </c>
      <c r="Y196" s="1">
        <v>0.05</v>
      </c>
      <c r="Z196" s="1">
        <v>6</v>
      </c>
      <c r="AA196" s="1">
        <v>4</v>
      </c>
      <c r="AB196" s="1">
        <v>0.5</v>
      </c>
      <c r="AG196" s="1">
        <v>0</v>
      </c>
      <c r="AH196" s="1">
        <v>1</v>
      </c>
      <c r="AI196" s="1" t="s">
        <v>1023</v>
      </c>
      <c r="AJ196" s="1" t="s">
        <v>216</v>
      </c>
      <c r="AK196" s="1" t="s">
        <v>238</v>
      </c>
      <c r="AM196" s="1">
        <v>1</v>
      </c>
      <c r="AV196" s="1">
        <v>1</v>
      </c>
      <c r="AX196" s="1">
        <v>0.25</v>
      </c>
      <c r="BE196" s="1" t="str">
        <f t="shared" si="21"/>
        <v>enemy_1001_bigbo</v>
      </c>
      <c r="BK196" s="1" t="s">
        <v>1019</v>
      </c>
      <c r="BL196" s="1" t="s">
        <v>1024</v>
      </c>
      <c r="BN196" s="1" t="s">
        <v>217</v>
      </c>
      <c r="BO196" s="1" t="s">
        <v>218</v>
      </c>
      <c r="BP196" s="1" t="s">
        <v>219</v>
      </c>
      <c r="BQ196" s="1" t="s">
        <v>220</v>
      </c>
      <c r="BT196" s="1">
        <v>1</v>
      </c>
    </row>
    <row r="197" spans="1:72">
      <c r="A197" s="1" t="s">
        <v>1025</v>
      </c>
      <c r="B197" s="1" t="s">
        <v>213</v>
      </c>
      <c r="D197" s="1" t="s">
        <v>1026</v>
      </c>
      <c r="E197" s="1">
        <v>1001</v>
      </c>
      <c r="F197" s="1" t="str">
        <f t="shared" si="20"/>
        <v>enemy_1001_bigbo_2</v>
      </c>
      <c r="G197" s="1">
        <v>1</v>
      </c>
      <c r="K197" s="1">
        <v>30000</v>
      </c>
      <c r="M197" s="1">
        <v>2700</v>
      </c>
      <c r="O197" s="1">
        <v>1000</v>
      </c>
      <c r="Q197" s="1">
        <v>30</v>
      </c>
      <c r="Y197" s="1">
        <v>0.05</v>
      </c>
      <c r="Z197" s="1">
        <v>6</v>
      </c>
      <c r="AA197" s="1">
        <v>4</v>
      </c>
      <c r="AB197" s="1">
        <v>0.5</v>
      </c>
      <c r="AG197" s="1">
        <v>0</v>
      </c>
      <c r="AH197" s="1">
        <v>1</v>
      </c>
      <c r="AI197" s="1" t="s">
        <v>1027</v>
      </c>
      <c r="AJ197" s="1" t="s">
        <v>216</v>
      </c>
      <c r="AK197" s="1" t="s">
        <v>238</v>
      </c>
      <c r="AM197" s="1">
        <v>1</v>
      </c>
      <c r="AV197" s="1">
        <v>1</v>
      </c>
      <c r="AX197" s="1">
        <v>0.25</v>
      </c>
      <c r="BE197" s="1" t="str">
        <f t="shared" si="21"/>
        <v>enemy_1001_bigbo_2</v>
      </c>
      <c r="BK197" s="1" t="s">
        <v>1019</v>
      </c>
      <c r="BL197" s="1" t="s">
        <v>1028</v>
      </c>
      <c r="BN197" s="1" t="s">
        <v>217</v>
      </c>
      <c r="BO197" s="1" t="s">
        <v>218</v>
      </c>
      <c r="BP197" s="1" t="s">
        <v>219</v>
      </c>
      <c r="BQ197" s="1" t="s">
        <v>220</v>
      </c>
      <c r="BT197" s="1">
        <v>1</v>
      </c>
    </row>
    <row r="198" spans="1:72">
      <c r="A198" s="1" t="s">
        <v>1029</v>
      </c>
      <c r="B198" s="1" t="s">
        <v>213</v>
      </c>
      <c r="D198" s="1" t="s">
        <v>1030</v>
      </c>
      <c r="E198" s="1">
        <v>1016</v>
      </c>
      <c r="F198" s="1" t="str">
        <f t="shared" si="20"/>
        <v>enemy_1016_diaman</v>
      </c>
      <c r="G198" s="1">
        <v>1</v>
      </c>
      <c r="K198" s="1">
        <v>3000</v>
      </c>
      <c r="M198" s="1">
        <v>300</v>
      </c>
      <c r="O198" s="1">
        <v>500</v>
      </c>
      <c r="Q198" s="1">
        <v>85</v>
      </c>
      <c r="Y198" s="1">
        <v>0.05</v>
      </c>
      <c r="Z198" s="1">
        <v>2.3</v>
      </c>
      <c r="AA198" s="1">
        <v>1</v>
      </c>
      <c r="AB198" s="1">
        <v>0.75</v>
      </c>
      <c r="AG198" s="1">
        <v>0</v>
      </c>
      <c r="AH198" s="1">
        <v>1</v>
      </c>
      <c r="AI198" s="1" t="s">
        <v>1031</v>
      </c>
      <c r="AJ198" s="1" t="s">
        <v>216</v>
      </c>
      <c r="AK198" s="1" t="s">
        <v>238</v>
      </c>
      <c r="AM198" s="1">
        <v>1</v>
      </c>
      <c r="AV198" s="1">
        <v>1</v>
      </c>
      <c r="AX198" s="1">
        <v>0.25</v>
      </c>
      <c r="BE198" s="1" t="str">
        <f t="shared" si="21"/>
        <v>enemy_1016_diaman</v>
      </c>
      <c r="BK198" s="1" t="s">
        <v>911</v>
      </c>
      <c r="BL198" s="1" t="s">
        <v>1032</v>
      </c>
      <c r="BN198" s="1" t="s">
        <v>217</v>
      </c>
      <c r="BO198" s="1" t="s">
        <v>218</v>
      </c>
      <c r="BP198" s="1" t="s">
        <v>239</v>
      </c>
      <c r="BQ198" s="1" t="s">
        <v>220</v>
      </c>
      <c r="BT198" s="1">
        <v>1</v>
      </c>
    </row>
    <row r="199" spans="1:72">
      <c r="A199" s="1" t="s">
        <v>1033</v>
      </c>
      <c r="B199" s="1" t="s">
        <v>213</v>
      </c>
      <c r="D199" s="1" t="s">
        <v>1034</v>
      </c>
      <c r="E199" s="1">
        <v>1009</v>
      </c>
      <c r="F199" s="1" t="str">
        <f t="shared" si="20"/>
        <v>enemy_1009_lurker</v>
      </c>
      <c r="G199" s="1">
        <v>1</v>
      </c>
      <c r="K199" s="1">
        <v>2200</v>
      </c>
      <c r="M199" s="1">
        <v>300</v>
      </c>
      <c r="O199" s="1">
        <v>90</v>
      </c>
      <c r="Q199" s="1">
        <v>20</v>
      </c>
      <c r="Y199" s="1">
        <v>0.05</v>
      </c>
      <c r="Z199" s="1">
        <v>2</v>
      </c>
      <c r="AA199" s="1">
        <v>1</v>
      </c>
      <c r="AB199" s="1">
        <v>1</v>
      </c>
      <c r="AG199" s="1">
        <v>0</v>
      </c>
      <c r="AH199" s="1">
        <v>1</v>
      </c>
      <c r="AI199" s="1" t="s">
        <v>1035</v>
      </c>
      <c r="AJ199" s="1" t="s">
        <v>216</v>
      </c>
      <c r="AK199" s="1" t="s">
        <v>1036</v>
      </c>
      <c r="AM199" s="1">
        <v>1</v>
      </c>
      <c r="AV199" s="1">
        <v>1</v>
      </c>
      <c r="AX199" s="1">
        <v>0.25</v>
      </c>
      <c r="BE199" s="1" t="str">
        <f t="shared" si="21"/>
        <v>enemy_1009_lurker</v>
      </c>
      <c r="BK199" s="1" t="s">
        <v>953</v>
      </c>
      <c r="BL199" s="1" t="s">
        <v>1037</v>
      </c>
      <c r="BN199" s="1" t="s">
        <v>217</v>
      </c>
      <c r="BO199" s="1" t="s">
        <v>218</v>
      </c>
      <c r="BP199" s="1" t="s">
        <v>219</v>
      </c>
      <c r="BQ199" s="1" t="s">
        <v>220</v>
      </c>
      <c r="BT199" s="1">
        <v>1</v>
      </c>
    </row>
    <row r="200" spans="1:72">
      <c r="A200" s="1" t="s">
        <v>1038</v>
      </c>
      <c r="B200" s="1" t="s">
        <v>213</v>
      </c>
      <c r="D200" s="1" t="s">
        <v>317</v>
      </c>
      <c r="E200" s="1">
        <v>1008</v>
      </c>
      <c r="F200" s="1" t="str">
        <f t="shared" si="20"/>
        <v>enemy_1008_ghost</v>
      </c>
      <c r="G200" s="1">
        <v>1</v>
      </c>
      <c r="K200" s="1">
        <v>2300</v>
      </c>
      <c r="M200" s="1">
        <v>100</v>
      </c>
      <c r="O200" s="1">
        <v>120</v>
      </c>
      <c r="Q200" s="1">
        <v>35</v>
      </c>
      <c r="Y200" s="1">
        <v>0.05</v>
      </c>
      <c r="Z200" s="1">
        <v>1</v>
      </c>
      <c r="AA200" s="1">
        <v>1</v>
      </c>
      <c r="AB200" s="1">
        <v>1.2</v>
      </c>
      <c r="AG200" s="1">
        <v>0</v>
      </c>
      <c r="AH200" s="1">
        <v>1</v>
      </c>
      <c r="AI200" s="1" t="s">
        <v>316</v>
      </c>
      <c r="AJ200" s="1" t="s">
        <v>216</v>
      </c>
      <c r="AK200" s="1" t="s">
        <v>1039</v>
      </c>
      <c r="AM200" s="1">
        <v>1</v>
      </c>
      <c r="AV200" s="1">
        <v>1</v>
      </c>
      <c r="AX200" s="1">
        <v>0.25</v>
      </c>
      <c r="BE200" s="1" t="str">
        <f t="shared" si="21"/>
        <v>enemy_1008_ghost</v>
      </c>
      <c r="BK200" s="1" t="s">
        <v>1040</v>
      </c>
      <c r="BL200" s="1" t="s">
        <v>1041</v>
      </c>
      <c r="BN200" s="1" t="s">
        <v>217</v>
      </c>
      <c r="BO200" s="1" t="s">
        <v>218</v>
      </c>
      <c r="BP200" s="1" t="s">
        <v>219</v>
      </c>
      <c r="BQ200" s="1" t="s">
        <v>220</v>
      </c>
      <c r="BT200" s="1">
        <v>1</v>
      </c>
    </row>
    <row r="201" spans="1:72">
      <c r="A201" s="1" t="s">
        <v>321</v>
      </c>
      <c r="B201" s="1" t="s">
        <v>213</v>
      </c>
      <c r="D201" s="1" t="s">
        <v>1042</v>
      </c>
      <c r="E201" s="1">
        <v>1026</v>
      </c>
      <c r="F201" s="1" t="str">
        <f t="shared" si="20"/>
        <v>enemy_1026_aghost</v>
      </c>
      <c r="G201" s="1">
        <v>1</v>
      </c>
      <c r="K201" s="1">
        <v>3800</v>
      </c>
      <c r="M201" s="1">
        <v>100</v>
      </c>
      <c r="O201" s="1">
        <v>350</v>
      </c>
      <c r="Q201" s="1">
        <v>35</v>
      </c>
      <c r="Y201" s="1">
        <v>0.05</v>
      </c>
      <c r="Z201" s="1">
        <v>1</v>
      </c>
      <c r="AA201" s="1">
        <v>1</v>
      </c>
      <c r="AB201" s="1">
        <v>1.2</v>
      </c>
      <c r="AG201" s="1">
        <v>0</v>
      </c>
      <c r="AH201" s="1">
        <v>1</v>
      </c>
      <c r="AI201" s="1" t="s">
        <v>320</v>
      </c>
      <c r="AJ201" s="1" t="s">
        <v>216</v>
      </c>
      <c r="AK201" s="1" t="s">
        <v>1039</v>
      </c>
      <c r="AM201" s="1">
        <v>1</v>
      </c>
      <c r="AV201" s="1">
        <v>1</v>
      </c>
      <c r="AX201" s="1">
        <v>0.25</v>
      </c>
      <c r="BE201" s="1" t="str">
        <f t="shared" si="21"/>
        <v>enemy_1026_aghost</v>
      </c>
      <c r="BK201" s="1" t="s">
        <v>1040</v>
      </c>
      <c r="BL201" s="1" t="s">
        <v>1043</v>
      </c>
      <c r="BN201" s="1" t="s">
        <v>217</v>
      </c>
      <c r="BO201" s="1" t="s">
        <v>218</v>
      </c>
      <c r="BP201" s="1" t="s">
        <v>239</v>
      </c>
      <c r="BQ201" s="1" t="s">
        <v>220</v>
      </c>
      <c r="BT201" s="1">
        <v>1</v>
      </c>
    </row>
    <row r="202" spans="1:72">
      <c r="A202" s="1" t="s">
        <v>1044</v>
      </c>
      <c r="B202" s="1" t="s">
        <v>213</v>
      </c>
      <c r="D202" s="1" t="s">
        <v>283</v>
      </c>
      <c r="E202" s="1">
        <v>1005</v>
      </c>
      <c r="F202" s="1" t="str">
        <f t="shared" si="20"/>
        <v>enemy_1005_yokai</v>
      </c>
      <c r="G202" s="1">
        <v>0.7</v>
      </c>
      <c r="K202" s="1">
        <v>800</v>
      </c>
      <c r="M202" s="1">
        <v>0</v>
      </c>
      <c r="O202" s="1">
        <v>50</v>
      </c>
      <c r="Q202" s="1">
        <v>0</v>
      </c>
      <c r="Y202" s="1">
        <v>0.05</v>
      </c>
      <c r="Z202" s="1">
        <v>2.3</v>
      </c>
      <c r="AA202" s="1">
        <v>0</v>
      </c>
      <c r="AB202" s="1">
        <v>0.9</v>
      </c>
      <c r="AG202" s="1">
        <v>0</v>
      </c>
      <c r="AH202" s="1">
        <v>1</v>
      </c>
      <c r="AI202" s="1" t="s">
        <v>285</v>
      </c>
      <c r="AJ202" s="1" t="s">
        <v>216</v>
      </c>
      <c r="AM202" s="1">
        <v>1</v>
      </c>
      <c r="AN202" s="1">
        <v>1</v>
      </c>
      <c r="AV202" s="1">
        <v>1</v>
      </c>
      <c r="AX202" s="1">
        <v>0.25</v>
      </c>
      <c r="BE202" s="1" t="str">
        <f t="shared" si="21"/>
        <v>enemy_1005_yokai</v>
      </c>
      <c r="BK202" s="1" t="s">
        <v>1045</v>
      </c>
      <c r="BL202" s="1" t="s">
        <v>1046</v>
      </c>
      <c r="BN202" s="1" t="s">
        <v>217</v>
      </c>
      <c r="BO202" s="1" t="s">
        <v>218</v>
      </c>
      <c r="BP202" s="1" t="s">
        <v>219</v>
      </c>
      <c r="BQ202" s="1" t="s">
        <v>220</v>
      </c>
      <c r="BT202" s="1">
        <v>1</v>
      </c>
    </row>
    <row r="203" spans="1:72">
      <c r="A203" s="1" t="s">
        <v>1047</v>
      </c>
      <c r="B203" s="1" t="s">
        <v>213</v>
      </c>
      <c r="D203" s="1" t="s">
        <v>1048</v>
      </c>
      <c r="E203" s="1">
        <v>1005</v>
      </c>
      <c r="F203" s="1" t="str">
        <f t="shared" si="20"/>
        <v>enemy_1005_yokai_2</v>
      </c>
      <c r="G203" s="1">
        <v>0.7</v>
      </c>
      <c r="K203" s="1">
        <v>1550</v>
      </c>
      <c r="M203" s="1">
        <v>220</v>
      </c>
      <c r="O203" s="1">
        <v>50</v>
      </c>
      <c r="Q203" s="1">
        <v>0</v>
      </c>
      <c r="Y203" s="1">
        <v>0.05</v>
      </c>
      <c r="Z203" s="1">
        <v>3</v>
      </c>
      <c r="AA203" s="1">
        <v>0</v>
      </c>
      <c r="AB203" s="1">
        <v>0.9</v>
      </c>
      <c r="AG203" s="1">
        <v>0</v>
      </c>
      <c r="AH203" s="1">
        <v>1</v>
      </c>
      <c r="AI203" s="1" t="s">
        <v>287</v>
      </c>
      <c r="AJ203" s="1" t="s">
        <v>216</v>
      </c>
      <c r="AK203" s="1" t="s">
        <v>1049</v>
      </c>
      <c r="AM203" s="1">
        <v>1</v>
      </c>
      <c r="AN203" s="1">
        <v>1</v>
      </c>
      <c r="AV203" s="1">
        <v>1</v>
      </c>
      <c r="AX203" s="1">
        <v>0.25</v>
      </c>
      <c r="BE203" s="1" t="str">
        <f t="shared" si="21"/>
        <v>enemy_1005_yokai_2</v>
      </c>
      <c r="BK203" s="1" t="s">
        <v>1050</v>
      </c>
      <c r="BL203" s="1" t="s">
        <v>1051</v>
      </c>
      <c r="BN203" s="1" t="s">
        <v>217</v>
      </c>
      <c r="BO203" s="1" t="s">
        <v>218</v>
      </c>
      <c r="BP203" s="1" t="s">
        <v>219</v>
      </c>
      <c r="BQ203" s="1" t="s">
        <v>220</v>
      </c>
      <c r="BT203" s="1">
        <v>1</v>
      </c>
    </row>
    <row r="204" spans="1:72">
      <c r="A204" s="1" t="s">
        <v>1052</v>
      </c>
      <c r="B204" s="1" t="s">
        <v>213</v>
      </c>
      <c r="D204" s="1" t="s">
        <v>1053</v>
      </c>
      <c r="E204" s="1">
        <v>1005</v>
      </c>
      <c r="F204" s="1" t="str">
        <f t="shared" si="20"/>
        <v>enemy_1005_yokai_3</v>
      </c>
      <c r="G204" s="1">
        <v>0.7</v>
      </c>
      <c r="K204" s="1">
        <v>30000</v>
      </c>
      <c r="M204" s="1">
        <v>660</v>
      </c>
      <c r="O204" s="1">
        <v>170</v>
      </c>
      <c r="Q204" s="1">
        <v>0</v>
      </c>
      <c r="Y204" s="1">
        <v>0.05</v>
      </c>
      <c r="Z204" s="1">
        <v>3.8</v>
      </c>
      <c r="AA204" s="1">
        <v>0</v>
      </c>
      <c r="AB204" s="1">
        <v>0.5</v>
      </c>
      <c r="AG204" s="1">
        <v>0</v>
      </c>
      <c r="AH204" s="1">
        <v>1</v>
      </c>
      <c r="AI204" s="1" t="s">
        <v>1054</v>
      </c>
      <c r="AJ204" s="1" t="s">
        <v>216</v>
      </c>
      <c r="AK204" s="1" t="s">
        <v>1049</v>
      </c>
      <c r="AM204" s="1">
        <v>1</v>
      </c>
      <c r="AN204" s="1">
        <v>1</v>
      </c>
      <c r="AV204" s="1">
        <v>1</v>
      </c>
      <c r="AX204" s="1">
        <v>0.25</v>
      </c>
      <c r="BE204" s="1" t="str">
        <f t="shared" si="21"/>
        <v>enemy_1005_yokai_3</v>
      </c>
      <c r="BK204" s="1" t="s">
        <v>1055</v>
      </c>
      <c r="BL204" s="1" t="s">
        <v>1056</v>
      </c>
      <c r="BN204" s="1" t="s">
        <v>217</v>
      </c>
      <c r="BO204" s="1" t="s">
        <v>218</v>
      </c>
      <c r="BP204" s="1" t="s">
        <v>961</v>
      </c>
      <c r="BQ204" s="1" t="s">
        <v>220</v>
      </c>
      <c r="BT204" s="1">
        <v>1</v>
      </c>
    </row>
    <row r="205" spans="1:72">
      <c r="A205" s="1" t="s">
        <v>1057</v>
      </c>
      <c r="B205" s="1" t="s">
        <v>213</v>
      </c>
      <c r="D205" s="1" t="s">
        <v>1058</v>
      </c>
      <c r="E205" s="1">
        <v>1017</v>
      </c>
      <c r="F205" s="1" t="str">
        <f t="shared" si="20"/>
        <v>enemy_1017_defdrn</v>
      </c>
      <c r="G205" s="1">
        <v>0.7</v>
      </c>
      <c r="K205" s="1">
        <v>4000</v>
      </c>
      <c r="M205" s="1">
        <v>0</v>
      </c>
      <c r="O205" s="1">
        <v>150</v>
      </c>
      <c r="Q205" s="1">
        <v>20</v>
      </c>
      <c r="Y205" s="1">
        <v>0.05</v>
      </c>
      <c r="Z205" s="1">
        <v>2</v>
      </c>
      <c r="AA205" s="1">
        <v>0</v>
      </c>
      <c r="AB205" s="1">
        <v>0.8</v>
      </c>
      <c r="AG205" s="1">
        <v>0</v>
      </c>
      <c r="AH205" s="1">
        <v>1</v>
      </c>
      <c r="AI205" s="1" t="s">
        <v>1059</v>
      </c>
      <c r="AJ205" s="1" t="s">
        <v>216</v>
      </c>
      <c r="AK205" s="1" t="s">
        <v>1060</v>
      </c>
      <c r="AM205" s="1">
        <v>1</v>
      </c>
      <c r="AN205" s="1">
        <v>1</v>
      </c>
      <c r="AV205" s="1">
        <v>1</v>
      </c>
      <c r="AX205" s="1">
        <v>0.25</v>
      </c>
      <c r="BE205" s="1" t="str">
        <f t="shared" si="21"/>
        <v>enemy_1017_defdrn</v>
      </c>
      <c r="BK205" s="1" t="s">
        <v>1045</v>
      </c>
      <c r="BL205" s="1" t="s">
        <v>1061</v>
      </c>
      <c r="BN205" s="1" t="s">
        <v>217</v>
      </c>
      <c r="BO205" s="1" t="s">
        <v>218</v>
      </c>
      <c r="BP205" s="1" t="s">
        <v>239</v>
      </c>
      <c r="BQ205" s="1" t="s">
        <v>220</v>
      </c>
      <c r="BT205" s="1">
        <v>1</v>
      </c>
    </row>
    <row r="206" spans="1:72">
      <c r="A206" s="1" t="s">
        <v>1062</v>
      </c>
      <c r="B206" s="1" t="s">
        <v>213</v>
      </c>
      <c r="D206" s="1" t="s">
        <v>1063</v>
      </c>
      <c r="E206" s="1">
        <v>1019</v>
      </c>
      <c r="F206" s="1" t="str">
        <f t="shared" si="20"/>
        <v>enemy_1019_jshoot</v>
      </c>
      <c r="G206" s="1">
        <v>1</v>
      </c>
      <c r="K206" s="1">
        <v>1800</v>
      </c>
      <c r="M206" s="1">
        <v>260</v>
      </c>
      <c r="O206" s="1">
        <v>100</v>
      </c>
      <c r="Q206" s="1">
        <v>20</v>
      </c>
      <c r="Y206" s="1">
        <v>0.05</v>
      </c>
      <c r="Z206" s="1">
        <v>2.7</v>
      </c>
      <c r="AA206" s="1">
        <v>1</v>
      </c>
      <c r="AB206" s="1">
        <v>0.9</v>
      </c>
      <c r="AG206" s="1">
        <v>0</v>
      </c>
      <c r="AH206" s="1">
        <v>1</v>
      </c>
      <c r="AI206" s="1" t="s">
        <v>1064</v>
      </c>
      <c r="AJ206" s="1" t="s">
        <v>216</v>
      </c>
      <c r="AK206" s="1" t="s">
        <v>1065</v>
      </c>
      <c r="AM206" s="1">
        <v>1</v>
      </c>
      <c r="AV206" s="1">
        <v>1</v>
      </c>
      <c r="AX206" s="1">
        <v>0.25</v>
      </c>
      <c r="BE206" s="1" t="str">
        <f t="shared" si="21"/>
        <v>enemy_1019_jshoot</v>
      </c>
      <c r="BK206" s="1" t="s">
        <v>959</v>
      </c>
      <c r="BL206" s="1" t="s">
        <v>1066</v>
      </c>
      <c r="BN206" s="1" t="s">
        <v>217</v>
      </c>
      <c r="BO206" s="1" t="s">
        <v>218</v>
      </c>
      <c r="BP206" s="1" t="s">
        <v>239</v>
      </c>
      <c r="BQ206" s="1" t="s">
        <v>220</v>
      </c>
      <c r="BT206" s="1">
        <v>1</v>
      </c>
    </row>
    <row r="207" spans="1:72">
      <c r="A207" s="1" t="s">
        <v>1067</v>
      </c>
      <c r="B207" s="1" t="s">
        <v>213</v>
      </c>
      <c r="D207" s="1" t="s">
        <v>1068</v>
      </c>
      <c r="E207" s="1">
        <v>1019</v>
      </c>
      <c r="F207" s="1" t="str">
        <f t="shared" si="20"/>
        <v>enemy_1019_jshoot_2</v>
      </c>
      <c r="G207" s="1">
        <v>1</v>
      </c>
      <c r="K207" s="1">
        <v>2700</v>
      </c>
      <c r="M207" s="1">
        <v>310</v>
      </c>
      <c r="O207" s="1">
        <v>130</v>
      </c>
      <c r="Q207" s="1">
        <v>20</v>
      </c>
      <c r="Y207" s="1">
        <v>0.05</v>
      </c>
      <c r="Z207" s="1">
        <v>2.7</v>
      </c>
      <c r="AA207" s="1">
        <v>1</v>
      </c>
      <c r="AB207" s="1">
        <v>0.9</v>
      </c>
      <c r="AG207" s="1">
        <v>0</v>
      </c>
      <c r="AH207" s="1">
        <v>1</v>
      </c>
      <c r="AI207" s="1" t="s">
        <v>1069</v>
      </c>
      <c r="AJ207" s="1" t="s">
        <v>216</v>
      </c>
      <c r="AK207" s="1" t="s">
        <v>1065</v>
      </c>
      <c r="AM207" s="1">
        <v>1</v>
      </c>
      <c r="AV207" s="1">
        <v>1</v>
      </c>
      <c r="AX207" s="1">
        <v>0.25</v>
      </c>
      <c r="BE207" s="1" t="str">
        <f t="shared" si="21"/>
        <v>enemy_1019_jshoot_2</v>
      </c>
      <c r="BK207" s="1" t="s">
        <v>959</v>
      </c>
      <c r="BL207" s="1" t="s">
        <v>1070</v>
      </c>
      <c r="BN207" s="1" t="s">
        <v>217</v>
      </c>
      <c r="BO207" s="1" t="s">
        <v>218</v>
      </c>
      <c r="BP207" s="1" t="s">
        <v>239</v>
      </c>
      <c r="BQ207" s="1" t="s">
        <v>220</v>
      </c>
      <c r="BT207" s="1">
        <v>1</v>
      </c>
    </row>
    <row r="208" spans="1:72">
      <c r="A208" s="1" t="s">
        <v>1071</v>
      </c>
      <c r="B208" s="1" t="s">
        <v>213</v>
      </c>
      <c r="D208" s="1" t="s">
        <v>1072</v>
      </c>
      <c r="E208" s="1">
        <v>1023</v>
      </c>
      <c r="F208" s="1" t="str">
        <f t="shared" si="20"/>
        <v>enemy_1023_jmage</v>
      </c>
      <c r="G208" s="1">
        <v>1</v>
      </c>
      <c r="K208" s="1">
        <v>2200</v>
      </c>
      <c r="M208" s="1">
        <v>350</v>
      </c>
      <c r="O208" s="1">
        <v>80</v>
      </c>
      <c r="Q208" s="1">
        <v>50</v>
      </c>
      <c r="Y208" s="1">
        <v>0.05</v>
      </c>
      <c r="Z208" s="1">
        <v>4</v>
      </c>
      <c r="AA208" s="1">
        <v>1</v>
      </c>
      <c r="AB208" s="1">
        <v>0.8</v>
      </c>
      <c r="AG208" s="1">
        <v>0</v>
      </c>
      <c r="AH208" s="1">
        <v>1</v>
      </c>
      <c r="AI208" s="1" t="s">
        <v>1073</v>
      </c>
      <c r="AJ208" s="1" t="s">
        <v>216</v>
      </c>
      <c r="AK208" s="1" t="s">
        <v>1074</v>
      </c>
      <c r="AM208" s="1">
        <v>1</v>
      </c>
      <c r="AV208" s="1">
        <v>1</v>
      </c>
      <c r="AX208" s="1">
        <v>0.25</v>
      </c>
      <c r="BE208" s="1" t="str">
        <f t="shared" si="21"/>
        <v>enemy_1023_jmage</v>
      </c>
      <c r="BK208" s="1" t="s">
        <v>959</v>
      </c>
      <c r="BL208" s="1" t="s">
        <v>1075</v>
      </c>
      <c r="BN208" s="1" t="s">
        <v>217</v>
      </c>
      <c r="BO208" s="1" t="s">
        <v>218</v>
      </c>
      <c r="BP208" s="1" t="s">
        <v>239</v>
      </c>
      <c r="BQ208" s="1" t="s">
        <v>220</v>
      </c>
      <c r="BT208" s="1">
        <v>1</v>
      </c>
    </row>
    <row r="209" spans="1:72">
      <c r="A209" s="1" t="s">
        <v>1076</v>
      </c>
      <c r="B209" s="1" t="s">
        <v>213</v>
      </c>
      <c r="D209" s="1" t="s">
        <v>308</v>
      </c>
      <c r="E209" s="1">
        <v>1023</v>
      </c>
      <c r="F209" s="1" t="str">
        <f t="shared" si="20"/>
        <v>enemy_1023_jmage_2</v>
      </c>
      <c r="G209" s="1">
        <v>1</v>
      </c>
      <c r="K209" s="1">
        <v>4200</v>
      </c>
      <c r="M209" s="1">
        <v>400</v>
      </c>
      <c r="O209" s="1">
        <v>130</v>
      </c>
      <c r="Q209" s="1">
        <v>50</v>
      </c>
      <c r="Y209" s="1">
        <v>0.05</v>
      </c>
      <c r="Z209" s="1">
        <v>4</v>
      </c>
      <c r="AA209" s="1">
        <v>1</v>
      </c>
      <c r="AB209" s="1">
        <v>0.8</v>
      </c>
      <c r="AG209" s="1">
        <v>0</v>
      </c>
      <c r="AH209" s="1">
        <v>1</v>
      </c>
      <c r="AI209" s="1" t="s">
        <v>307</v>
      </c>
      <c r="AJ209" s="1" t="s">
        <v>216</v>
      </c>
      <c r="AK209" s="1" t="s">
        <v>310</v>
      </c>
      <c r="AM209" s="1">
        <v>1</v>
      </c>
      <c r="AV209" s="1">
        <v>1</v>
      </c>
      <c r="AX209" s="1">
        <v>0.25</v>
      </c>
      <c r="BE209" s="1" t="str">
        <f t="shared" si="21"/>
        <v>enemy_1023_jmage_2</v>
      </c>
      <c r="BK209" s="1" t="s">
        <v>959</v>
      </c>
      <c r="BL209" s="1" t="s">
        <v>1077</v>
      </c>
      <c r="BN209" s="1" t="s">
        <v>217</v>
      </c>
      <c r="BO209" s="1" t="s">
        <v>218</v>
      </c>
      <c r="BP209" s="1" t="s">
        <v>239</v>
      </c>
      <c r="BQ209" s="1" t="s">
        <v>220</v>
      </c>
      <c r="BT209" s="1">
        <v>1</v>
      </c>
    </row>
    <row r="210" spans="1:72">
      <c r="A210" s="1" t="s">
        <v>1078</v>
      </c>
      <c r="B210" s="1" t="s">
        <v>213</v>
      </c>
      <c r="D210" s="1" t="s">
        <v>1079</v>
      </c>
      <c r="E210" s="1">
        <v>1020</v>
      </c>
      <c r="F210" s="1" t="str">
        <f t="shared" si="20"/>
        <v>enemy_1020_obsv</v>
      </c>
      <c r="G210" s="1">
        <v>1</v>
      </c>
      <c r="K210" s="1">
        <v>7000</v>
      </c>
      <c r="M210" s="1">
        <v>270</v>
      </c>
      <c r="O210" s="1">
        <v>100</v>
      </c>
      <c r="Q210" s="1">
        <v>20</v>
      </c>
      <c r="Y210" s="1">
        <v>0.05</v>
      </c>
      <c r="Z210" s="1">
        <v>2.5</v>
      </c>
      <c r="AA210" s="1">
        <v>1</v>
      </c>
      <c r="AB210" s="1">
        <v>1</v>
      </c>
      <c r="AG210" s="1">
        <v>0</v>
      </c>
      <c r="AH210" s="1">
        <v>1</v>
      </c>
      <c r="AI210" s="1" t="s">
        <v>1080</v>
      </c>
      <c r="AJ210" s="1" t="s">
        <v>216</v>
      </c>
      <c r="AK210" s="1" t="s">
        <v>1081</v>
      </c>
      <c r="AM210" s="1">
        <v>1</v>
      </c>
      <c r="AV210" s="1">
        <v>1</v>
      </c>
      <c r="AX210" s="1">
        <v>0.25</v>
      </c>
      <c r="BE210" s="1" t="str">
        <f t="shared" si="21"/>
        <v>enemy_1020_obsv</v>
      </c>
      <c r="BK210" s="1" t="s">
        <v>953</v>
      </c>
      <c r="BL210" s="1" t="s">
        <v>1082</v>
      </c>
      <c r="BN210" s="1" t="s">
        <v>217</v>
      </c>
      <c r="BO210" s="1" t="s">
        <v>218</v>
      </c>
      <c r="BP210" s="1" t="s">
        <v>239</v>
      </c>
      <c r="BQ210" s="1" t="s">
        <v>220</v>
      </c>
      <c r="BT210" s="1">
        <v>1</v>
      </c>
    </row>
    <row r="211" spans="1:72">
      <c r="A211" s="1" t="s">
        <v>1083</v>
      </c>
      <c r="B211" s="1" t="s">
        <v>213</v>
      </c>
      <c r="D211" s="1" t="s">
        <v>1084</v>
      </c>
      <c r="E211" s="1">
        <v>1010</v>
      </c>
      <c r="F211" s="1" t="str">
        <f t="shared" si="20"/>
        <v>enemy_1010_demon</v>
      </c>
      <c r="G211" s="1">
        <v>1</v>
      </c>
      <c r="K211" s="1">
        <v>7500</v>
      </c>
      <c r="M211" s="1">
        <v>600</v>
      </c>
      <c r="O211" s="1">
        <v>230</v>
      </c>
      <c r="Q211" s="1">
        <v>50</v>
      </c>
      <c r="Y211" s="1">
        <v>0.05</v>
      </c>
      <c r="Z211" s="1">
        <v>2</v>
      </c>
      <c r="AA211" s="1">
        <v>2</v>
      </c>
      <c r="AB211" s="1">
        <v>0.85</v>
      </c>
      <c r="AG211" s="1">
        <v>0</v>
      </c>
      <c r="AH211" s="1">
        <v>1</v>
      </c>
      <c r="AI211" s="1" t="s">
        <v>1085</v>
      </c>
      <c r="AJ211" s="1" t="s">
        <v>216</v>
      </c>
      <c r="AK211" s="1" t="s">
        <v>238</v>
      </c>
      <c r="AM211" s="1">
        <v>1</v>
      </c>
      <c r="AV211" s="1">
        <v>1</v>
      </c>
      <c r="AX211" s="1">
        <v>0.25</v>
      </c>
      <c r="BE211" s="1" t="str">
        <f t="shared" si="21"/>
        <v>enemy_1010_demon</v>
      </c>
      <c r="BK211" s="1" t="s">
        <v>1086</v>
      </c>
      <c r="BL211" s="1" t="s">
        <v>1087</v>
      </c>
      <c r="BN211" s="1" t="s">
        <v>217</v>
      </c>
      <c r="BO211" s="1" t="s">
        <v>218</v>
      </c>
      <c r="BP211" s="1" t="s">
        <v>961</v>
      </c>
      <c r="BQ211" s="1" t="s">
        <v>220</v>
      </c>
      <c r="BT211" s="1">
        <v>1</v>
      </c>
    </row>
    <row r="212" spans="1:72">
      <c r="A212" s="1" t="s">
        <v>1088</v>
      </c>
      <c r="B212" s="1" t="s">
        <v>213</v>
      </c>
      <c r="D212" s="1" t="s">
        <v>1089</v>
      </c>
      <c r="E212" s="1">
        <v>1010</v>
      </c>
      <c r="F212" s="1" t="str">
        <f t="shared" si="20"/>
        <v>enemy_1010_demon_2</v>
      </c>
      <c r="G212" s="1">
        <v>1</v>
      </c>
      <c r="K212" s="1">
        <v>15000</v>
      </c>
      <c r="M212" s="1">
        <v>750</v>
      </c>
      <c r="O212" s="1">
        <v>250</v>
      </c>
      <c r="Q212" s="1">
        <v>50</v>
      </c>
      <c r="Y212" s="1">
        <v>0.05</v>
      </c>
      <c r="Z212" s="1">
        <v>2</v>
      </c>
      <c r="AA212" s="1">
        <v>2</v>
      </c>
      <c r="AB212" s="1">
        <v>0.85</v>
      </c>
      <c r="AG212" s="1">
        <v>0</v>
      </c>
      <c r="AH212" s="1">
        <v>1</v>
      </c>
      <c r="AI212" s="1" t="s">
        <v>1090</v>
      </c>
      <c r="AJ212" s="1" t="s">
        <v>216</v>
      </c>
      <c r="AK212" s="1" t="s">
        <v>238</v>
      </c>
      <c r="AM212" s="1">
        <v>1</v>
      </c>
      <c r="AV212" s="1">
        <v>1</v>
      </c>
      <c r="AX212" s="1">
        <v>0.25</v>
      </c>
      <c r="BE212" s="1" t="str">
        <f t="shared" si="21"/>
        <v>enemy_1010_demon_2</v>
      </c>
      <c r="BK212" s="1" t="s">
        <v>1086</v>
      </c>
      <c r="BL212" s="1" t="s">
        <v>1091</v>
      </c>
      <c r="BN212" s="1" t="s">
        <v>217</v>
      </c>
      <c r="BO212" s="1" t="s">
        <v>218</v>
      </c>
      <c r="BP212" s="1" t="s">
        <v>961</v>
      </c>
      <c r="BQ212" s="1" t="s">
        <v>220</v>
      </c>
      <c r="BT212" s="1">
        <v>1</v>
      </c>
    </row>
    <row r="213" spans="1:72">
      <c r="A213" s="1" t="s">
        <v>1092</v>
      </c>
      <c r="B213" s="1" t="s">
        <v>213</v>
      </c>
      <c r="D213" s="1" t="s">
        <v>1093</v>
      </c>
      <c r="E213" s="1">
        <v>1012</v>
      </c>
      <c r="F213" s="1" t="str">
        <f t="shared" si="20"/>
        <v>enemy_1012_dcross</v>
      </c>
      <c r="G213" s="1">
        <v>1</v>
      </c>
      <c r="K213" s="1">
        <v>6000</v>
      </c>
      <c r="M213" s="1">
        <v>450</v>
      </c>
      <c r="O213" s="1">
        <v>200</v>
      </c>
      <c r="Q213" s="1">
        <v>50</v>
      </c>
      <c r="Y213" s="1">
        <v>0.05</v>
      </c>
      <c r="Z213" s="1">
        <v>3</v>
      </c>
      <c r="AA213" s="1">
        <v>2</v>
      </c>
      <c r="AB213" s="1">
        <v>0.8</v>
      </c>
      <c r="AG213" s="1">
        <v>0</v>
      </c>
      <c r="AH213" s="1">
        <v>1</v>
      </c>
      <c r="AI213" s="1" t="s">
        <v>1094</v>
      </c>
      <c r="AJ213" s="1" t="s">
        <v>216</v>
      </c>
      <c r="AK213" s="1" t="s">
        <v>1095</v>
      </c>
      <c r="AM213" s="1">
        <v>1</v>
      </c>
      <c r="AV213" s="1">
        <v>1</v>
      </c>
      <c r="AX213" s="1">
        <v>0.25</v>
      </c>
      <c r="BE213" s="1" t="str">
        <f t="shared" si="21"/>
        <v>enemy_1012_dcross</v>
      </c>
      <c r="BK213" s="1" t="s">
        <v>1096</v>
      </c>
      <c r="BL213" s="1" t="s">
        <v>1097</v>
      </c>
      <c r="BN213" s="1" t="s">
        <v>217</v>
      </c>
      <c r="BO213" s="1" t="s">
        <v>218</v>
      </c>
      <c r="BP213" s="1" t="s">
        <v>961</v>
      </c>
      <c r="BQ213" s="1" t="s">
        <v>220</v>
      </c>
      <c r="BT213" s="1">
        <v>1</v>
      </c>
    </row>
    <row r="214" spans="1:72">
      <c r="A214" s="1" t="s">
        <v>1098</v>
      </c>
      <c r="B214" s="1" t="s">
        <v>213</v>
      </c>
      <c r="D214" s="1" t="s">
        <v>1099</v>
      </c>
      <c r="E214" s="1">
        <v>1012</v>
      </c>
      <c r="F214" s="1" t="str">
        <f t="shared" si="20"/>
        <v>enemy_1012_dcross_2</v>
      </c>
      <c r="G214" s="1">
        <v>1</v>
      </c>
      <c r="K214" s="1">
        <v>12000</v>
      </c>
      <c r="M214" s="1">
        <v>570</v>
      </c>
      <c r="O214" s="1">
        <v>200</v>
      </c>
      <c r="Q214" s="1">
        <v>50</v>
      </c>
      <c r="Y214" s="1">
        <v>0.05</v>
      </c>
      <c r="Z214" s="1">
        <v>3</v>
      </c>
      <c r="AA214" s="1">
        <v>2</v>
      </c>
      <c r="AB214" s="1">
        <v>0.8</v>
      </c>
      <c r="AG214" s="1">
        <v>0</v>
      </c>
      <c r="AH214" s="1">
        <v>1</v>
      </c>
      <c r="AI214" s="1" t="s">
        <v>1100</v>
      </c>
      <c r="AJ214" s="1" t="s">
        <v>216</v>
      </c>
      <c r="AK214" s="1" t="s">
        <v>1095</v>
      </c>
      <c r="AM214" s="1">
        <v>1</v>
      </c>
      <c r="AV214" s="1">
        <v>1</v>
      </c>
      <c r="AX214" s="1">
        <v>0.25</v>
      </c>
      <c r="BE214" s="1" t="str">
        <f t="shared" si="21"/>
        <v>enemy_1012_dcross_2</v>
      </c>
      <c r="BK214" s="1" t="s">
        <v>1096</v>
      </c>
      <c r="BL214" s="1" t="s">
        <v>1101</v>
      </c>
      <c r="BN214" s="1" t="s">
        <v>217</v>
      </c>
      <c r="BO214" s="1" t="s">
        <v>218</v>
      </c>
      <c r="BP214" s="1" t="s">
        <v>961</v>
      </c>
      <c r="BQ214" s="1" t="s">
        <v>220</v>
      </c>
      <c r="BT214" s="1">
        <v>1</v>
      </c>
    </row>
    <row r="215" spans="1:72">
      <c r="A215" s="1" t="s">
        <v>1102</v>
      </c>
      <c r="B215" s="1" t="s">
        <v>213</v>
      </c>
      <c r="D215" s="1" t="s">
        <v>1103</v>
      </c>
      <c r="E215" s="1">
        <v>1022</v>
      </c>
      <c r="F215" s="1" t="str">
        <f t="shared" si="20"/>
        <v>enemy_1022_dmage</v>
      </c>
      <c r="G215" s="1">
        <v>1</v>
      </c>
      <c r="K215" s="1">
        <v>12000</v>
      </c>
      <c r="M215" s="1">
        <v>500</v>
      </c>
      <c r="O215" s="1">
        <v>200</v>
      </c>
      <c r="Q215" s="1">
        <v>50</v>
      </c>
      <c r="Y215" s="1">
        <v>0.05</v>
      </c>
      <c r="Z215" s="1">
        <v>4</v>
      </c>
      <c r="AA215" s="1">
        <v>2</v>
      </c>
      <c r="AB215" s="1">
        <v>0.8</v>
      </c>
      <c r="AG215" s="1">
        <v>0</v>
      </c>
      <c r="AH215" s="1">
        <v>1</v>
      </c>
      <c r="AI215" s="1" t="s">
        <v>1104</v>
      </c>
      <c r="AJ215" s="1" t="s">
        <v>216</v>
      </c>
      <c r="AK215" s="1" t="s">
        <v>1105</v>
      </c>
      <c r="AM215" s="1">
        <v>1</v>
      </c>
      <c r="AV215" s="1">
        <v>1</v>
      </c>
      <c r="AX215" s="1">
        <v>0.25</v>
      </c>
      <c r="BE215" s="1" t="str">
        <f t="shared" si="21"/>
        <v>enemy_1022_dmage</v>
      </c>
      <c r="BK215" s="1" t="s">
        <v>1096</v>
      </c>
      <c r="BL215" s="1" t="s">
        <v>1106</v>
      </c>
      <c r="BN215" s="1" t="s">
        <v>217</v>
      </c>
      <c r="BO215" s="1" t="s">
        <v>218</v>
      </c>
      <c r="BP215" s="1" t="s">
        <v>239</v>
      </c>
      <c r="BQ215" s="1" t="s">
        <v>220</v>
      </c>
      <c r="BT215" s="1">
        <v>1</v>
      </c>
    </row>
    <row r="216" spans="1:72">
      <c r="A216" s="1" t="s">
        <v>1107</v>
      </c>
      <c r="B216" s="1" t="s">
        <v>213</v>
      </c>
      <c r="D216" s="1" t="s">
        <v>1108</v>
      </c>
      <c r="E216" s="1">
        <v>1022</v>
      </c>
      <c r="F216" s="1" t="str">
        <f t="shared" si="20"/>
        <v>enemy_1022_dmage_2</v>
      </c>
      <c r="G216" s="1">
        <v>1</v>
      </c>
      <c r="K216" s="1">
        <v>18000</v>
      </c>
      <c r="M216" s="1">
        <v>700</v>
      </c>
      <c r="O216" s="1">
        <v>200</v>
      </c>
      <c r="Q216" s="1">
        <v>50</v>
      </c>
      <c r="Y216" s="1">
        <v>0.05</v>
      </c>
      <c r="Z216" s="1">
        <v>4</v>
      </c>
      <c r="AA216" s="1">
        <v>2</v>
      </c>
      <c r="AB216" s="1">
        <v>0.8</v>
      </c>
      <c r="AG216" s="1">
        <v>0</v>
      </c>
      <c r="AH216" s="1">
        <v>1</v>
      </c>
      <c r="AI216" s="1" t="s">
        <v>1109</v>
      </c>
      <c r="AJ216" s="1" t="s">
        <v>216</v>
      </c>
      <c r="AK216" s="1" t="s">
        <v>1105</v>
      </c>
      <c r="AM216" s="1">
        <v>1</v>
      </c>
      <c r="AV216" s="1">
        <v>1</v>
      </c>
      <c r="AX216" s="1">
        <v>0.25</v>
      </c>
      <c r="BE216" s="1" t="str">
        <f t="shared" si="21"/>
        <v>enemy_1022_dmage_2</v>
      </c>
      <c r="BK216" s="1" t="s">
        <v>1096</v>
      </c>
      <c r="BL216" s="1" t="s">
        <v>1106</v>
      </c>
      <c r="BN216" s="1" t="s">
        <v>217</v>
      </c>
      <c r="BO216" s="1" t="s">
        <v>218</v>
      </c>
      <c r="BP216" s="1" t="s">
        <v>239</v>
      </c>
      <c r="BQ216" s="1" t="s">
        <v>220</v>
      </c>
      <c r="BT216" s="1">
        <v>1</v>
      </c>
    </row>
    <row r="217" spans="1:72">
      <c r="A217" s="1" t="s">
        <v>1110</v>
      </c>
      <c r="B217" s="1" t="s">
        <v>213</v>
      </c>
      <c r="D217" s="1" t="s">
        <v>1111</v>
      </c>
      <c r="E217" s="1">
        <v>1501</v>
      </c>
      <c r="F217" s="1" t="str">
        <f t="shared" si="20"/>
        <v>enemy_1501_demonk</v>
      </c>
      <c r="G217" s="1">
        <v>1</v>
      </c>
      <c r="K217" s="1">
        <v>15000</v>
      </c>
      <c r="M217" s="1">
        <v>700</v>
      </c>
      <c r="O217" s="1">
        <v>250</v>
      </c>
      <c r="Q217" s="1">
        <v>35</v>
      </c>
      <c r="Y217" s="1">
        <v>0.05</v>
      </c>
      <c r="Z217" s="1">
        <v>5</v>
      </c>
      <c r="AA217" s="1">
        <v>5</v>
      </c>
      <c r="AB217" s="1">
        <v>0.78</v>
      </c>
      <c r="AG217" s="1">
        <v>0</v>
      </c>
      <c r="AH217" s="1">
        <v>1</v>
      </c>
      <c r="AI217" s="1" t="s">
        <v>1112</v>
      </c>
      <c r="AJ217" s="1" t="s">
        <v>216</v>
      </c>
      <c r="AK217" s="1" t="s">
        <v>1113</v>
      </c>
      <c r="AM217" s="1">
        <v>1</v>
      </c>
      <c r="AV217" s="1">
        <v>1</v>
      </c>
      <c r="AX217" s="1">
        <v>0.25</v>
      </c>
      <c r="BE217" s="1" t="str">
        <f t="shared" si="21"/>
        <v>enemy_1501_demonk</v>
      </c>
      <c r="BK217" s="1" t="s">
        <v>1114</v>
      </c>
      <c r="BL217" s="1" t="s">
        <v>1115</v>
      </c>
      <c r="BN217" s="1" t="s">
        <v>217</v>
      </c>
      <c r="BO217" s="1" t="s">
        <v>218</v>
      </c>
      <c r="BP217" s="1" t="s">
        <v>961</v>
      </c>
      <c r="BQ217" s="1" t="s">
        <v>220</v>
      </c>
      <c r="BT217" s="1">
        <v>1</v>
      </c>
    </row>
    <row r="218" spans="1:72">
      <c r="A218" s="1" t="s">
        <v>1116</v>
      </c>
      <c r="B218" s="1" t="s">
        <v>213</v>
      </c>
      <c r="D218" s="1" t="s">
        <v>299</v>
      </c>
      <c r="E218" s="1">
        <v>1025</v>
      </c>
      <c r="F218" s="1" t="str">
        <f t="shared" si="20"/>
        <v>enemy_1025_reveng</v>
      </c>
      <c r="G218" s="1">
        <v>1</v>
      </c>
      <c r="K218" s="1">
        <v>5000</v>
      </c>
      <c r="M218" s="1">
        <v>300</v>
      </c>
      <c r="O218" s="1">
        <v>200</v>
      </c>
      <c r="Q218" s="1">
        <v>50</v>
      </c>
      <c r="Y218" s="1">
        <v>0.05</v>
      </c>
      <c r="Z218" s="1">
        <v>2.3</v>
      </c>
      <c r="AA218" s="1">
        <v>2</v>
      </c>
      <c r="AB218" s="1">
        <v>0.65</v>
      </c>
      <c r="AG218" s="1">
        <v>0</v>
      </c>
      <c r="AH218" s="1">
        <v>1</v>
      </c>
      <c r="AI218" s="1" t="s">
        <v>298</v>
      </c>
      <c r="AJ218" s="1" t="s">
        <v>275</v>
      </c>
      <c r="AK218" s="1" t="s">
        <v>301</v>
      </c>
      <c r="AM218" s="1">
        <v>1</v>
      </c>
      <c r="AV218" s="1">
        <v>1</v>
      </c>
      <c r="AX218" s="1">
        <v>0.25</v>
      </c>
      <c r="BE218" s="1" t="str">
        <f t="shared" si="21"/>
        <v>enemy_1025_reveng</v>
      </c>
      <c r="BK218" s="1" t="s">
        <v>1012</v>
      </c>
      <c r="BL218" s="1" t="s">
        <v>1117</v>
      </c>
      <c r="BN218" s="1" t="s">
        <v>217</v>
      </c>
      <c r="BO218" s="1" t="s">
        <v>218</v>
      </c>
      <c r="BP218" s="1" t="s">
        <v>239</v>
      </c>
      <c r="BQ218" s="1" t="s">
        <v>220</v>
      </c>
      <c r="BT218" s="1">
        <v>1</v>
      </c>
    </row>
    <row r="219" spans="1:72">
      <c r="A219" s="1" t="s">
        <v>1118</v>
      </c>
      <c r="B219" s="1" t="s">
        <v>213</v>
      </c>
      <c r="D219" s="1" t="s">
        <v>303</v>
      </c>
      <c r="E219" s="1">
        <v>1025</v>
      </c>
      <c r="F219" s="1" t="str">
        <f t="shared" si="20"/>
        <v>enemy_1025_reveng_2</v>
      </c>
      <c r="G219" s="1">
        <v>1</v>
      </c>
      <c r="K219" s="1">
        <v>18000</v>
      </c>
      <c r="M219" s="1">
        <v>480</v>
      </c>
      <c r="O219" s="1">
        <v>230</v>
      </c>
      <c r="Q219" s="1">
        <v>50</v>
      </c>
      <c r="Y219" s="1">
        <v>0.05</v>
      </c>
      <c r="Z219" s="1">
        <v>2.3</v>
      </c>
      <c r="AA219" s="1">
        <v>2</v>
      </c>
      <c r="AB219" s="1">
        <v>0.65</v>
      </c>
      <c r="AG219" s="1">
        <v>0</v>
      </c>
      <c r="AH219" s="1">
        <v>1</v>
      </c>
      <c r="AI219" s="1" t="s">
        <v>302</v>
      </c>
      <c r="AJ219" s="1" t="s">
        <v>275</v>
      </c>
      <c r="AK219" s="1" t="s">
        <v>304</v>
      </c>
      <c r="AM219" s="1">
        <v>1</v>
      </c>
      <c r="AV219" s="1">
        <v>1</v>
      </c>
      <c r="AX219" s="1">
        <v>0.25</v>
      </c>
      <c r="BE219" s="1" t="str">
        <f t="shared" si="21"/>
        <v>enemy_1025_reveng_2</v>
      </c>
      <c r="BK219" s="1" t="s">
        <v>1012</v>
      </c>
      <c r="BL219" s="1" t="s">
        <v>1117</v>
      </c>
      <c r="BN219" s="1" t="s">
        <v>217</v>
      </c>
      <c r="BO219" s="1" t="s">
        <v>218</v>
      </c>
      <c r="BP219" s="1" t="s">
        <v>239</v>
      </c>
      <c r="BQ219" s="1" t="s">
        <v>220</v>
      </c>
      <c r="BT219" s="1">
        <v>1</v>
      </c>
    </row>
    <row r="220" spans="1:72">
      <c r="A220" s="1" t="s">
        <v>1119</v>
      </c>
      <c r="B220" s="1" t="s">
        <v>213</v>
      </c>
      <c r="D220" s="1" t="s">
        <v>1120</v>
      </c>
      <c r="E220" s="1">
        <v>1027</v>
      </c>
      <c r="F220" s="1" t="str">
        <f t="shared" si="20"/>
        <v>enemy_1027_mob</v>
      </c>
      <c r="G220" s="1">
        <v>1</v>
      </c>
      <c r="K220" s="1">
        <v>1700</v>
      </c>
      <c r="M220" s="1">
        <v>250</v>
      </c>
      <c r="O220" s="1">
        <v>50</v>
      </c>
      <c r="Q220" s="1">
        <v>0</v>
      </c>
      <c r="Y220" s="1">
        <v>0.05</v>
      </c>
      <c r="Z220" s="1">
        <v>2</v>
      </c>
      <c r="AA220" s="1">
        <v>0</v>
      </c>
      <c r="AB220" s="1">
        <v>1.1</v>
      </c>
      <c r="AG220" s="1">
        <v>0</v>
      </c>
      <c r="AH220" s="1">
        <v>1</v>
      </c>
      <c r="AI220" s="1" t="s">
        <v>1121</v>
      </c>
      <c r="AJ220" s="1" t="s">
        <v>216</v>
      </c>
      <c r="AK220" s="1" t="s">
        <v>238</v>
      </c>
      <c r="AM220" s="1">
        <v>1</v>
      </c>
      <c r="AV220" s="1">
        <v>1</v>
      </c>
      <c r="AX220" s="1">
        <v>0.25</v>
      </c>
      <c r="BE220" s="1" t="str">
        <f t="shared" si="21"/>
        <v>enemy_1027_mob</v>
      </c>
      <c r="BK220" s="1" t="s">
        <v>953</v>
      </c>
      <c r="BL220" s="1" t="s">
        <v>1122</v>
      </c>
      <c r="BN220" s="1" t="s">
        <v>217</v>
      </c>
      <c r="BO220" s="1" t="s">
        <v>218</v>
      </c>
      <c r="BP220" s="1" t="s">
        <v>239</v>
      </c>
      <c r="BQ220" s="1" t="s">
        <v>220</v>
      </c>
      <c r="BT220" s="1">
        <v>1</v>
      </c>
    </row>
    <row r="221" spans="1:72">
      <c r="A221" s="1" t="s">
        <v>1123</v>
      </c>
      <c r="B221" s="1" t="s">
        <v>213</v>
      </c>
      <c r="D221" s="1" t="s">
        <v>1124</v>
      </c>
      <c r="E221" s="1">
        <v>1027</v>
      </c>
      <c r="F221" s="1" t="str">
        <f t="shared" si="20"/>
        <v>enemy_1027_mob_2</v>
      </c>
      <c r="G221" s="1">
        <v>1</v>
      </c>
      <c r="K221" s="1">
        <v>2650</v>
      </c>
      <c r="M221" s="1">
        <v>350</v>
      </c>
      <c r="O221" s="1">
        <v>85</v>
      </c>
      <c r="Q221" s="1">
        <v>0</v>
      </c>
      <c r="Y221" s="1">
        <v>0.05</v>
      </c>
      <c r="Z221" s="1">
        <v>2</v>
      </c>
      <c r="AA221" s="1">
        <v>0</v>
      </c>
      <c r="AB221" s="1">
        <v>1.1</v>
      </c>
      <c r="AG221" s="1">
        <v>0</v>
      </c>
      <c r="AH221" s="1">
        <v>1</v>
      </c>
      <c r="AI221" s="1" t="s">
        <v>1125</v>
      </c>
      <c r="AJ221" s="1" t="s">
        <v>216</v>
      </c>
      <c r="AK221" s="1" t="s">
        <v>238</v>
      </c>
      <c r="AM221" s="1">
        <v>1</v>
      </c>
      <c r="AV221" s="1">
        <v>1</v>
      </c>
      <c r="AX221" s="1">
        <v>0.25</v>
      </c>
      <c r="BE221" s="1" t="str">
        <f t="shared" si="21"/>
        <v>enemy_1027_mob_2</v>
      </c>
      <c r="BK221" s="1" t="s">
        <v>953</v>
      </c>
      <c r="BL221" s="1" t="s">
        <v>1126</v>
      </c>
      <c r="BN221" s="1" t="s">
        <v>217</v>
      </c>
      <c r="BO221" s="1" t="s">
        <v>218</v>
      </c>
      <c r="BP221" s="1" t="s">
        <v>239</v>
      </c>
      <c r="BQ221" s="1" t="s">
        <v>220</v>
      </c>
      <c r="BT221" s="1">
        <v>1</v>
      </c>
    </row>
    <row r="222" spans="1:72">
      <c r="A222" s="1" t="s">
        <v>1127</v>
      </c>
      <c r="B222" s="1" t="s">
        <v>213</v>
      </c>
      <c r="D222" s="1" t="s">
        <v>1128</v>
      </c>
      <c r="E222" s="1">
        <v>1028</v>
      </c>
      <c r="F222" s="1" t="str">
        <f t="shared" si="20"/>
        <v>enemy_1028_mocock</v>
      </c>
      <c r="G222" s="1">
        <v>1</v>
      </c>
      <c r="K222" s="1">
        <v>1550</v>
      </c>
      <c r="M222" s="1">
        <v>180</v>
      </c>
      <c r="O222" s="1">
        <v>50</v>
      </c>
      <c r="Q222" s="1">
        <v>0</v>
      </c>
      <c r="Y222" s="1">
        <v>0.05</v>
      </c>
      <c r="Z222" s="1">
        <v>2.7</v>
      </c>
      <c r="AA222" s="1">
        <v>0</v>
      </c>
      <c r="AB222" s="1">
        <v>1</v>
      </c>
      <c r="AG222" s="1">
        <v>0</v>
      </c>
      <c r="AH222" s="1">
        <v>1</v>
      </c>
      <c r="AI222" s="1" t="s">
        <v>1129</v>
      </c>
      <c r="AJ222" s="1" t="s">
        <v>216</v>
      </c>
      <c r="AK222" s="1" t="s">
        <v>1130</v>
      </c>
      <c r="AM222" s="1">
        <v>1</v>
      </c>
      <c r="AV222" s="1">
        <v>1</v>
      </c>
      <c r="AX222" s="1">
        <v>0.25</v>
      </c>
      <c r="BE222" s="1" t="str">
        <f t="shared" si="21"/>
        <v>enemy_1028_mocock</v>
      </c>
      <c r="BK222" s="1" t="s">
        <v>959</v>
      </c>
      <c r="BL222" s="1" t="s">
        <v>1131</v>
      </c>
      <c r="BN222" s="1" t="s">
        <v>217</v>
      </c>
      <c r="BO222" s="1" t="s">
        <v>218</v>
      </c>
      <c r="BP222" s="1" t="s">
        <v>239</v>
      </c>
      <c r="BQ222" s="1" t="s">
        <v>220</v>
      </c>
      <c r="BT222" s="1">
        <v>1</v>
      </c>
    </row>
    <row r="223" spans="1:72">
      <c r="A223" s="1" t="s">
        <v>1132</v>
      </c>
      <c r="B223" s="1" t="s">
        <v>213</v>
      </c>
      <c r="D223" s="1" t="s">
        <v>1133</v>
      </c>
      <c r="E223" s="1">
        <v>1028</v>
      </c>
      <c r="F223" s="1" t="str">
        <f t="shared" si="20"/>
        <v>enemy_1028_mocock_2</v>
      </c>
      <c r="G223" s="1">
        <v>1</v>
      </c>
      <c r="K223" s="1">
        <v>2000</v>
      </c>
      <c r="M223" s="1">
        <v>250</v>
      </c>
      <c r="O223" s="1">
        <v>85</v>
      </c>
      <c r="Q223" s="1">
        <v>0</v>
      </c>
      <c r="Y223" s="1">
        <v>0.05</v>
      </c>
      <c r="Z223" s="1">
        <v>2.2</v>
      </c>
      <c r="AA223" s="1">
        <v>0</v>
      </c>
      <c r="AB223" s="1">
        <v>1</v>
      </c>
      <c r="AG223" s="1">
        <v>0</v>
      </c>
      <c r="AH223" s="1">
        <v>1</v>
      </c>
      <c r="AI223" s="1" t="s">
        <v>1134</v>
      </c>
      <c r="AJ223" s="1" t="s">
        <v>216</v>
      </c>
      <c r="AK223" s="1" t="s">
        <v>1130</v>
      </c>
      <c r="AM223" s="1">
        <v>1</v>
      </c>
      <c r="AV223" s="1">
        <v>1</v>
      </c>
      <c r="AX223" s="1">
        <v>0.25</v>
      </c>
      <c r="BE223" s="1" t="str">
        <f t="shared" si="21"/>
        <v>enemy_1028_mocock_2</v>
      </c>
      <c r="BK223" s="1" t="s">
        <v>959</v>
      </c>
      <c r="BL223" s="1" t="s">
        <v>1135</v>
      </c>
      <c r="BN223" s="1" t="s">
        <v>217</v>
      </c>
      <c r="BO223" s="1" t="s">
        <v>218</v>
      </c>
      <c r="BP223" s="1" t="s">
        <v>239</v>
      </c>
      <c r="BQ223" s="1" t="s">
        <v>220</v>
      </c>
      <c r="BT223" s="1">
        <v>1</v>
      </c>
    </row>
    <row r="224" spans="1:72">
      <c r="A224" s="1" t="s">
        <v>1136</v>
      </c>
      <c r="B224" s="1" t="s">
        <v>213</v>
      </c>
      <c r="D224" s="1" t="s">
        <v>1137</v>
      </c>
      <c r="E224" s="1">
        <v>1029</v>
      </c>
      <c r="F224" s="1" t="str">
        <f t="shared" si="20"/>
        <v>enemy_1029_shdsbr</v>
      </c>
      <c r="G224" s="1">
        <v>1</v>
      </c>
      <c r="K224" s="1">
        <v>2050</v>
      </c>
      <c r="M224" s="1">
        <v>240</v>
      </c>
      <c r="O224" s="1">
        <v>250</v>
      </c>
      <c r="Q224" s="1">
        <v>0</v>
      </c>
      <c r="Y224" s="1">
        <v>0.05</v>
      </c>
      <c r="Z224" s="1">
        <v>2</v>
      </c>
      <c r="AA224" s="1">
        <v>1</v>
      </c>
      <c r="AB224" s="1">
        <v>1</v>
      </c>
      <c r="AG224" s="1">
        <v>0</v>
      </c>
      <c r="AH224" s="1">
        <v>1</v>
      </c>
      <c r="AI224" s="1" t="s">
        <v>1138</v>
      </c>
      <c r="AJ224" s="1" t="s">
        <v>216</v>
      </c>
      <c r="AK224" s="1" t="s">
        <v>238</v>
      </c>
      <c r="AM224" s="1">
        <v>1</v>
      </c>
      <c r="AV224" s="1">
        <v>1</v>
      </c>
      <c r="AX224" s="1">
        <v>0.25</v>
      </c>
      <c r="BE224" s="1" t="str">
        <f t="shared" si="21"/>
        <v>enemy_1029_shdsbr</v>
      </c>
      <c r="BK224" s="1" t="s">
        <v>953</v>
      </c>
      <c r="BL224" s="1" t="s">
        <v>1139</v>
      </c>
      <c r="BN224" s="1" t="s">
        <v>217</v>
      </c>
      <c r="BO224" s="1" t="s">
        <v>218</v>
      </c>
      <c r="BP224" s="1" t="s">
        <v>249</v>
      </c>
      <c r="BQ224" s="1" t="s">
        <v>220</v>
      </c>
      <c r="BT224" s="1">
        <v>1</v>
      </c>
    </row>
    <row r="225" spans="1:72">
      <c r="A225" s="1" t="s">
        <v>1140</v>
      </c>
      <c r="B225" s="1" t="s">
        <v>213</v>
      </c>
      <c r="D225" s="1" t="s">
        <v>1141</v>
      </c>
      <c r="E225" s="1">
        <v>1029</v>
      </c>
      <c r="F225" s="1" t="str">
        <f t="shared" si="20"/>
        <v>enemy_1029_shdsbr_2</v>
      </c>
      <c r="G225" s="1">
        <v>1</v>
      </c>
      <c r="K225" s="1">
        <v>3000</v>
      </c>
      <c r="M225" s="1">
        <v>280</v>
      </c>
      <c r="O225" s="1">
        <v>300</v>
      </c>
      <c r="Q225" s="1">
        <v>0</v>
      </c>
      <c r="Y225" s="1">
        <v>0.05</v>
      </c>
      <c r="Z225" s="1">
        <v>2</v>
      </c>
      <c r="AA225" s="1">
        <v>1</v>
      </c>
      <c r="AB225" s="1">
        <v>1</v>
      </c>
      <c r="AG225" s="1">
        <v>0</v>
      </c>
      <c r="AH225" s="1">
        <v>1</v>
      </c>
      <c r="AI225" s="1" t="s">
        <v>1142</v>
      </c>
      <c r="AJ225" s="1" t="s">
        <v>216</v>
      </c>
      <c r="AK225" s="1" t="s">
        <v>238</v>
      </c>
      <c r="AM225" s="1">
        <v>1</v>
      </c>
      <c r="AV225" s="1">
        <v>1</v>
      </c>
      <c r="AX225" s="1">
        <v>0.25</v>
      </c>
      <c r="BE225" s="1" t="str">
        <f t="shared" si="21"/>
        <v>enemy_1029_shdsbr_2</v>
      </c>
      <c r="BK225" s="1" t="s">
        <v>953</v>
      </c>
      <c r="BL225" s="1" t="s">
        <v>1143</v>
      </c>
      <c r="BN225" s="1" t="s">
        <v>217</v>
      </c>
      <c r="BO225" s="1" t="s">
        <v>218</v>
      </c>
      <c r="BP225" s="1" t="s">
        <v>249</v>
      </c>
      <c r="BQ225" s="1" t="s">
        <v>220</v>
      </c>
      <c r="BT225" s="1">
        <v>1</v>
      </c>
    </row>
    <row r="226" spans="1:72">
      <c r="A226" s="1" t="s">
        <v>1144</v>
      </c>
      <c r="B226" s="1" t="s">
        <v>213</v>
      </c>
      <c r="D226" s="1" t="s">
        <v>1145</v>
      </c>
      <c r="E226" s="1">
        <v>1030</v>
      </c>
      <c r="F226" s="1" t="str">
        <f t="shared" si="20"/>
        <v>enemy_1030_wteeth</v>
      </c>
      <c r="G226" s="1">
        <v>1</v>
      </c>
      <c r="K226" s="1">
        <v>5000</v>
      </c>
      <c r="M226" s="1">
        <v>500</v>
      </c>
      <c r="O226" s="1">
        <v>50</v>
      </c>
      <c r="Q226" s="1">
        <v>20</v>
      </c>
      <c r="Y226" s="1">
        <v>0.05</v>
      </c>
      <c r="Z226" s="1">
        <v>3</v>
      </c>
      <c r="AA226" s="1">
        <v>2</v>
      </c>
      <c r="AB226" s="1">
        <v>0.8</v>
      </c>
      <c r="AG226" s="1">
        <v>0</v>
      </c>
      <c r="AH226" s="1">
        <v>1</v>
      </c>
      <c r="AI226" s="1" t="s">
        <v>1146</v>
      </c>
      <c r="AJ226" s="1" t="s">
        <v>216</v>
      </c>
      <c r="AK226" s="1" t="s">
        <v>238</v>
      </c>
      <c r="AM226" s="1">
        <v>1</v>
      </c>
      <c r="AV226" s="1">
        <v>1</v>
      </c>
      <c r="AX226" s="1">
        <v>0.25</v>
      </c>
      <c r="BE226" s="1" t="str">
        <f t="shared" si="21"/>
        <v>enemy_1030_wteeth</v>
      </c>
      <c r="BK226" s="1" t="s">
        <v>953</v>
      </c>
      <c r="BL226" s="1" t="s">
        <v>1147</v>
      </c>
      <c r="BN226" s="1" t="s">
        <v>217</v>
      </c>
      <c r="BO226" s="1" t="s">
        <v>218</v>
      </c>
      <c r="BP226" s="1" t="s">
        <v>239</v>
      </c>
      <c r="BQ226" s="1" t="s">
        <v>220</v>
      </c>
      <c r="BT226" s="1">
        <v>1</v>
      </c>
    </row>
    <row r="227" spans="1:72">
      <c r="A227" s="1" t="s">
        <v>1148</v>
      </c>
      <c r="B227" s="1" t="s">
        <v>213</v>
      </c>
      <c r="D227" s="1" t="s">
        <v>1149</v>
      </c>
      <c r="E227" s="1">
        <v>1030</v>
      </c>
      <c r="F227" s="1" t="str">
        <f t="shared" si="20"/>
        <v>enemy_1030_wteeth_2</v>
      </c>
      <c r="G227" s="1">
        <v>1</v>
      </c>
      <c r="K227" s="1">
        <v>7500</v>
      </c>
      <c r="M227" s="1">
        <v>600</v>
      </c>
      <c r="O227" s="1">
        <v>70</v>
      </c>
      <c r="Q227" s="1">
        <v>20</v>
      </c>
      <c r="Y227" s="1">
        <v>0.05</v>
      </c>
      <c r="Z227" s="1">
        <v>3</v>
      </c>
      <c r="AA227" s="1">
        <v>2</v>
      </c>
      <c r="AB227" s="1">
        <v>0.8</v>
      </c>
      <c r="AG227" s="1">
        <v>0</v>
      </c>
      <c r="AH227" s="1">
        <v>1</v>
      </c>
      <c r="AI227" s="1" t="s">
        <v>1150</v>
      </c>
      <c r="AJ227" s="1" t="s">
        <v>216</v>
      </c>
      <c r="AK227" s="1" t="s">
        <v>238</v>
      </c>
      <c r="AM227" s="1">
        <v>1</v>
      </c>
      <c r="AV227" s="1">
        <v>1</v>
      </c>
      <c r="AX227" s="1">
        <v>0.25</v>
      </c>
      <c r="BE227" s="1" t="str">
        <f t="shared" si="21"/>
        <v>enemy_1030_wteeth_2</v>
      </c>
      <c r="BK227" s="1" t="s">
        <v>953</v>
      </c>
      <c r="BL227" s="1" t="s">
        <v>1151</v>
      </c>
      <c r="BN227" s="1" t="s">
        <v>217</v>
      </c>
      <c r="BO227" s="1" t="s">
        <v>218</v>
      </c>
      <c r="BP227" s="1" t="s">
        <v>239</v>
      </c>
      <c r="BQ227" s="1" t="s">
        <v>220</v>
      </c>
      <c r="BT227" s="1">
        <v>1</v>
      </c>
    </row>
    <row r="228" spans="1:72">
      <c r="A228" s="1" t="s">
        <v>1152</v>
      </c>
      <c r="B228" s="1" t="s">
        <v>213</v>
      </c>
      <c r="D228" s="1" t="s">
        <v>1153</v>
      </c>
      <c r="E228" s="1">
        <v>1031</v>
      </c>
      <c r="F228" s="1" t="str">
        <f t="shared" si="20"/>
        <v>enemy_1031_mrogue</v>
      </c>
      <c r="G228" s="1">
        <v>1</v>
      </c>
      <c r="K228" s="1">
        <v>4000</v>
      </c>
      <c r="M228" s="1">
        <v>350</v>
      </c>
      <c r="O228" s="1">
        <v>200</v>
      </c>
      <c r="Q228" s="1">
        <v>50</v>
      </c>
      <c r="Y228" s="1">
        <v>0.05</v>
      </c>
      <c r="Z228" s="1">
        <v>2.5</v>
      </c>
      <c r="AA228" s="1">
        <v>1</v>
      </c>
      <c r="AB228" s="1">
        <v>0.75</v>
      </c>
      <c r="AG228" s="1">
        <v>0</v>
      </c>
      <c r="AH228" s="1">
        <v>1</v>
      </c>
      <c r="AI228" s="1" t="s">
        <v>1154</v>
      </c>
      <c r="AJ228" s="1" t="s">
        <v>216</v>
      </c>
      <c r="AK228" s="1" t="s">
        <v>1155</v>
      </c>
      <c r="AM228" s="1">
        <v>1</v>
      </c>
      <c r="AV228" s="1">
        <v>1</v>
      </c>
      <c r="AX228" s="1">
        <v>0.25</v>
      </c>
      <c r="BE228" s="1" t="str">
        <f t="shared" si="21"/>
        <v>enemy_1031_mrogue</v>
      </c>
      <c r="BK228" s="1" t="s">
        <v>953</v>
      </c>
      <c r="BL228" s="1" t="s">
        <v>1156</v>
      </c>
      <c r="BN228" s="1" t="s">
        <v>217</v>
      </c>
      <c r="BO228" s="1" t="s">
        <v>218</v>
      </c>
      <c r="BP228" s="1" t="s">
        <v>239</v>
      </c>
      <c r="BQ228" s="1" t="s">
        <v>220</v>
      </c>
      <c r="BT228" s="1">
        <v>1</v>
      </c>
    </row>
    <row r="229" spans="1:72">
      <c r="A229" s="1" t="s">
        <v>1157</v>
      </c>
      <c r="B229" s="1" t="s">
        <v>213</v>
      </c>
      <c r="D229" s="1" t="s">
        <v>1158</v>
      </c>
      <c r="E229" s="1">
        <v>1031</v>
      </c>
      <c r="F229" s="1" t="str">
        <f t="shared" si="20"/>
        <v>enemy_1031_mrogue_2</v>
      </c>
      <c r="G229" s="1">
        <v>1</v>
      </c>
      <c r="K229" s="1">
        <v>6500</v>
      </c>
      <c r="M229" s="1">
        <v>500</v>
      </c>
      <c r="O229" s="1">
        <v>250</v>
      </c>
      <c r="Q229" s="1">
        <v>50</v>
      </c>
      <c r="Y229" s="1">
        <v>0.05</v>
      </c>
      <c r="Z229" s="1">
        <v>2.5</v>
      </c>
      <c r="AA229" s="1">
        <v>1</v>
      </c>
      <c r="AB229" s="1">
        <v>0.75</v>
      </c>
      <c r="AG229" s="1">
        <v>0</v>
      </c>
      <c r="AH229" s="1">
        <v>1</v>
      </c>
      <c r="AI229" s="1" t="s">
        <v>1159</v>
      </c>
      <c r="AJ229" s="1" t="s">
        <v>216</v>
      </c>
      <c r="AK229" s="1" t="s">
        <v>1155</v>
      </c>
      <c r="AM229" s="1">
        <v>1</v>
      </c>
      <c r="AV229" s="1">
        <v>1</v>
      </c>
      <c r="AX229" s="1">
        <v>0.25</v>
      </c>
      <c r="BE229" s="1" t="str">
        <f t="shared" si="21"/>
        <v>enemy_1031_mrogue_2</v>
      </c>
      <c r="BK229" s="1" t="s">
        <v>953</v>
      </c>
      <c r="BL229" s="1" t="s">
        <v>1160</v>
      </c>
      <c r="BN229" s="1" t="s">
        <v>217</v>
      </c>
      <c r="BO229" s="1" t="s">
        <v>218</v>
      </c>
      <c r="BP229" s="1" t="s">
        <v>239</v>
      </c>
      <c r="BQ229" s="1" t="s">
        <v>220</v>
      </c>
      <c r="BT229" s="1">
        <v>1</v>
      </c>
    </row>
    <row r="230" spans="1:72">
      <c r="A230" s="1" t="s">
        <v>1161</v>
      </c>
      <c r="B230" s="1" t="s">
        <v>213</v>
      </c>
      <c r="D230" s="1" t="s">
        <v>1162</v>
      </c>
      <c r="E230" s="1">
        <v>1032</v>
      </c>
      <c r="F230" s="1" t="str">
        <f t="shared" si="20"/>
        <v>enemy_1032_katar</v>
      </c>
      <c r="G230" s="1">
        <v>1</v>
      </c>
      <c r="K230" s="1">
        <v>4000</v>
      </c>
      <c r="M230" s="1">
        <v>450</v>
      </c>
      <c r="O230" s="1">
        <v>300</v>
      </c>
      <c r="Q230" s="1">
        <v>0</v>
      </c>
      <c r="Y230" s="1">
        <v>0.05</v>
      </c>
      <c r="Z230" s="1">
        <v>1.5</v>
      </c>
      <c r="AA230" s="1">
        <v>1</v>
      </c>
      <c r="AB230" s="1">
        <v>1</v>
      </c>
      <c r="AG230" s="1">
        <v>0</v>
      </c>
      <c r="AH230" s="1">
        <v>1</v>
      </c>
      <c r="AI230" s="1" t="s">
        <v>1163</v>
      </c>
      <c r="AJ230" s="1" t="s">
        <v>216</v>
      </c>
      <c r="AK230" s="1" t="s">
        <v>238</v>
      </c>
      <c r="AM230" s="1">
        <v>1</v>
      </c>
      <c r="AV230" s="1">
        <v>1</v>
      </c>
      <c r="AX230" s="1">
        <v>0.25</v>
      </c>
      <c r="BE230" s="1" t="str">
        <f t="shared" si="21"/>
        <v>enemy_1032_katar</v>
      </c>
      <c r="BK230" s="1" t="s">
        <v>953</v>
      </c>
      <c r="BL230" s="1" t="s">
        <v>1164</v>
      </c>
      <c r="BN230" s="1" t="s">
        <v>217</v>
      </c>
      <c r="BO230" s="1" t="s">
        <v>218</v>
      </c>
      <c r="BP230" s="1" t="s">
        <v>239</v>
      </c>
      <c r="BQ230" s="1" t="s">
        <v>220</v>
      </c>
      <c r="BT230" s="1">
        <v>1</v>
      </c>
    </row>
    <row r="231" spans="1:72">
      <c r="A231" s="1" t="s">
        <v>1165</v>
      </c>
      <c r="B231" s="1" t="s">
        <v>213</v>
      </c>
      <c r="D231" s="1" t="s">
        <v>1166</v>
      </c>
      <c r="E231" s="1">
        <v>1032</v>
      </c>
      <c r="F231" s="1" t="str">
        <f t="shared" si="20"/>
        <v>enemy_1032_katar_2</v>
      </c>
      <c r="G231" s="1">
        <v>1</v>
      </c>
      <c r="K231" s="1">
        <v>6500</v>
      </c>
      <c r="M231" s="1">
        <v>550</v>
      </c>
      <c r="O231" s="1">
        <v>350</v>
      </c>
      <c r="Q231" s="1">
        <v>0</v>
      </c>
      <c r="Y231" s="1">
        <v>0.05</v>
      </c>
      <c r="Z231" s="1">
        <v>1.5</v>
      </c>
      <c r="AA231" s="1">
        <v>1</v>
      </c>
      <c r="AB231" s="1">
        <v>1</v>
      </c>
      <c r="AG231" s="1">
        <v>0</v>
      </c>
      <c r="AH231" s="1">
        <v>1</v>
      </c>
      <c r="AI231" s="1" t="s">
        <v>1167</v>
      </c>
      <c r="AJ231" s="1" t="s">
        <v>216</v>
      </c>
      <c r="AK231" s="1" t="s">
        <v>238</v>
      </c>
      <c r="AM231" s="1">
        <v>1</v>
      </c>
      <c r="AV231" s="1">
        <v>1</v>
      </c>
      <c r="AX231" s="1">
        <v>0.25</v>
      </c>
      <c r="BE231" s="1" t="str">
        <f t="shared" si="21"/>
        <v>enemy_1032_katar_2</v>
      </c>
      <c r="BK231" s="1" t="s">
        <v>953</v>
      </c>
      <c r="BL231" s="1" t="s">
        <v>1168</v>
      </c>
      <c r="BN231" s="1" t="s">
        <v>217</v>
      </c>
      <c r="BO231" s="1" t="s">
        <v>218</v>
      </c>
      <c r="BP231" s="1" t="s">
        <v>239</v>
      </c>
      <c r="BQ231" s="1" t="s">
        <v>220</v>
      </c>
      <c r="BT231" s="1">
        <v>1</v>
      </c>
    </row>
    <row r="232" spans="1:72">
      <c r="A232" s="1" t="s">
        <v>1169</v>
      </c>
      <c r="B232" s="1" t="s">
        <v>213</v>
      </c>
      <c r="D232" s="1" t="s">
        <v>1170</v>
      </c>
      <c r="E232" s="1">
        <v>1033</v>
      </c>
      <c r="F232" s="1" t="str">
        <f t="shared" ref="F232:F238" si="22">"enemy_"&amp;E232&amp;"_"&amp;D232</f>
        <v>enemy_1033_handax</v>
      </c>
      <c r="G232" s="1">
        <v>1</v>
      </c>
      <c r="K232" s="1">
        <v>8000</v>
      </c>
      <c r="M232" s="1">
        <v>750</v>
      </c>
      <c r="O232" s="1">
        <v>80</v>
      </c>
      <c r="Q232" s="1">
        <v>30</v>
      </c>
      <c r="Y232" s="1">
        <v>0.05</v>
      </c>
      <c r="Z232" s="1">
        <v>3.3</v>
      </c>
      <c r="AA232" s="1">
        <v>3</v>
      </c>
      <c r="AB232" s="1">
        <v>0.75</v>
      </c>
      <c r="AG232" s="1">
        <v>0</v>
      </c>
      <c r="AH232" s="1">
        <v>1</v>
      </c>
      <c r="AI232" s="1" t="s">
        <v>1171</v>
      </c>
      <c r="AJ232" s="1" t="s">
        <v>216</v>
      </c>
      <c r="AK232" s="1" t="s">
        <v>238</v>
      </c>
      <c r="AM232" s="1">
        <v>1</v>
      </c>
      <c r="AV232" s="1">
        <v>1</v>
      </c>
      <c r="AX232" s="1">
        <v>0.25</v>
      </c>
      <c r="BE232" s="1" t="str">
        <f t="shared" ref="BE232:BE295" si="23">"enemy_"&amp;E232&amp;"_"&amp;D232</f>
        <v>enemy_1033_handax</v>
      </c>
      <c r="BK232" s="1" t="s">
        <v>1012</v>
      </c>
      <c r="BL232" s="1" t="s">
        <v>1172</v>
      </c>
      <c r="BN232" s="1" t="s">
        <v>217</v>
      </c>
      <c r="BO232" s="1" t="s">
        <v>218</v>
      </c>
      <c r="BP232" s="1" t="s">
        <v>239</v>
      </c>
      <c r="BQ232" s="1" t="s">
        <v>220</v>
      </c>
      <c r="BT232" s="1">
        <v>1</v>
      </c>
    </row>
    <row r="233" spans="1:72">
      <c r="A233" s="1" t="s">
        <v>1173</v>
      </c>
      <c r="B233" s="1" t="s">
        <v>213</v>
      </c>
      <c r="D233" s="1" t="s">
        <v>1174</v>
      </c>
      <c r="E233" s="1">
        <v>1033</v>
      </c>
      <c r="F233" s="1" t="str">
        <f t="shared" si="22"/>
        <v>enemy_1033_handax_2</v>
      </c>
      <c r="G233" s="1">
        <v>1</v>
      </c>
      <c r="K233" s="1">
        <v>12000</v>
      </c>
      <c r="M233" s="1">
        <v>850</v>
      </c>
      <c r="O233" s="1">
        <v>100</v>
      </c>
      <c r="Q233" s="1">
        <v>30</v>
      </c>
      <c r="Y233" s="1">
        <v>0.05</v>
      </c>
      <c r="Z233" s="1">
        <v>3.3</v>
      </c>
      <c r="AA233" s="1">
        <v>3</v>
      </c>
      <c r="AB233" s="1">
        <v>0.75</v>
      </c>
      <c r="AG233" s="1">
        <v>0</v>
      </c>
      <c r="AH233" s="1">
        <v>1</v>
      </c>
      <c r="AI233" s="1" t="s">
        <v>1175</v>
      </c>
      <c r="AJ233" s="1" t="s">
        <v>216</v>
      </c>
      <c r="AK233" s="1" t="s">
        <v>238</v>
      </c>
      <c r="AM233" s="1">
        <v>1</v>
      </c>
      <c r="AV233" s="1">
        <v>1</v>
      </c>
      <c r="AX233" s="1">
        <v>0.25</v>
      </c>
      <c r="BE233" s="1" t="str">
        <f t="shared" si="23"/>
        <v>enemy_1033_handax_2</v>
      </c>
      <c r="BK233" s="1" t="s">
        <v>1012</v>
      </c>
      <c r="BL233" s="1" t="s">
        <v>1176</v>
      </c>
      <c r="BN233" s="1" t="s">
        <v>217</v>
      </c>
      <c r="BO233" s="1" t="s">
        <v>218</v>
      </c>
      <c r="BP233" s="1" t="s">
        <v>239</v>
      </c>
      <c r="BQ233" s="1" t="s">
        <v>220</v>
      </c>
      <c r="BT233" s="1">
        <v>1</v>
      </c>
    </row>
    <row r="234" spans="1:72">
      <c r="A234" s="1" t="s">
        <v>1177</v>
      </c>
      <c r="B234" s="1" t="s">
        <v>213</v>
      </c>
      <c r="D234" s="1" t="s">
        <v>1178</v>
      </c>
      <c r="E234" s="1">
        <v>1034</v>
      </c>
      <c r="F234" s="1" t="str">
        <f t="shared" si="22"/>
        <v>enemy_1034_laxe</v>
      </c>
      <c r="G234" s="1">
        <v>1</v>
      </c>
      <c r="K234" s="1">
        <v>9000</v>
      </c>
      <c r="M234" s="1">
        <v>850</v>
      </c>
      <c r="O234" s="1">
        <v>230</v>
      </c>
      <c r="Q234" s="1">
        <v>30</v>
      </c>
      <c r="Y234" s="1">
        <v>0.05</v>
      </c>
      <c r="Z234" s="1">
        <v>3.5</v>
      </c>
      <c r="AA234" s="1">
        <v>3</v>
      </c>
      <c r="AB234" s="1">
        <v>0.7</v>
      </c>
      <c r="AG234" s="1">
        <v>0</v>
      </c>
      <c r="AH234" s="1">
        <v>1</v>
      </c>
      <c r="AI234" s="1" t="s">
        <v>1179</v>
      </c>
      <c r="AJ234" s="1" t="s">
        <v>216</v>
      </c>
      <c r="AK234" s="1" t="s">
        <v>238</v>
      </c>
      <c r="AM234" s="1">
        <v>1</v>
      </c>
      <c r="AV234" s="1">
        <v>1</v>
      </c>
      <c r="AX234" s="1">
        <v>0.25</v>
      </c>
      <c r="BE234" s="1" t="str">
        <f t="shared" si="23"/>
        <v>enemy_1034_laxe</v>
      </c>
      <c r="BK234" s="1" t="s">
        <v>1012</v>
      </c>
      <c r="BL234" s="1" t="s">
        <v>1180</v>
      </c>
      <c r="BN234" s="1" t="s">
        <v>217</v>
      </c>
      <c r="BO234" s="1" t="s">
        <v>218</v>
      </c>
      <c r="BP234" s="1" t="s">
        <v>239</v>
      </c>
      <c r="BQ234" s="1" t="s">
        <v>220</v>
      </c>
      <c r="BT234" s="1">
        <v>1</v>
      </c>
    </row>
    <row r="235" spans="1:72">
      <c r="A235" s="1" t="s">
        <v>1181</v>
      </c>
      <c r="B235" s="1" t="s">
        <v>213</v>
      </c>
      <c r="D235" s="1" t="s">
        <v>1182</v>
      </c>
      <c r="E235" s="1">
        <v>1034</v>
      </c>
      <c r="F235" s="1" t="str">
        <f t="shared" si="22"/>
        <v>enemy_1034_laxe_2</v>
      </c>
      <c r="G235" s="1">
        <v>1</v>
      </c>
      <c r="K235" s="1">
        <v>14000</v>
      </c>
      <c r="M235" s="1">
        <v>950</v>
      </c>
      <c r="O235" s="1">
        <v>270</v>
      </c>
      <c r="Q235" s="1">
        <v>30</v>
      </c>
      <c r="Y235" s="1">
        <v>0.05</v>
      </c>
      <c r="Z235" s="1">
        <v>3.5</v>
      </c>
      <c r="AA235" s="1">
        <v>3</v>
      </c>
      <c r="AB235" s="1">
        <v>0.7</v>
      </c>
      <c r="AG235" s="1">
        <v>0</v>
      </c>
      <c r="AH235" s="1">
        <v>1</v>
      </c>
      <c r="AI235" s="1" t="s">
        <v>1183</v>
      </c>
      <c r="AJ235" s="1" t="s">
        <v>216</v>
      </c>
      <c r="AK235" s="1" t="s">
        <v>238</v>
      </c>
      <c r="AM235" s="1">
        <v>1</v>
      </c>
      <c r="AV235" s="1">
        <v>1</v>
      </c>
      <c r="AX235" s="1">
        <v>0.25</v>
      </c>
      <c r="BE235" s="1" t="str">
        <f t="shared" si="23"/>
        <v>enemy_1034_laxe_2</v>
      </c>
      <c r="BK235" s="1" t="s">
        <v>1012</v>
      </c>
      <c r="BL235" s="1" t="s">
        <v>1184</v>
      </c>
      <c r="BN235" s="1" t="s">
        <v>217</v>
      </c>
      <c r="BO235" s="1" t="s">
        <v>218</v>
      </c>
      <c r="BP235" s="1" t="s">
        <v>239</v>
      </c>
      <c r="BQ235" s="1" t="s">
        <v>220</v>
      </c>
      <c r="BT235" s="1">
        <v>1</v>
      </c>
    </row>
    <row r="236" spans="1:72">
      <c r="A236" s="1" t="s">
        <v>1185</v>
      </c>
      <c r="B236" s="1" t="s">
        <v>213</v>
      </c>
      <c r="D236" s="1" t="s">
        <v>296</v>
      </c>
      <c r="E236" s="1">
        <v>1035</v>
      </c>
      <c r="F236" s="1" t="str">
        <f t="shared" si="22"/>
        <v>enemy_1035_haxe</v>
      </c>
      <c r="G236" s="1">
        <v>1</v>
      </c>
      <c r="K236" s="1">
        <v>12000</v>
      </c>
      <c r="M236" s="1">
        <v>1050</v>
      </c>
      <c r="O236" s="1">
        <v>700</v>
      </c>
      <c r="Q236" s="1">
        <v>30</v>
      </c>
      <c r="Y236" s="1">
        <v>0.05</v>
      </c>
      <c r="Z236" s="1">
        <v>3.5</v>
      </c>
      <c r="AA236" s="1">
        <v>3</v>
      </c>
      <c r="AB236" s="1">
        <v>0.65</v>
      </c>
      <c r="AG236" s="1">
        <v>0</v>
      </c>
      <c r="AH236" s="1">
        <v>1</v>
      </c>
      <c r="AI236" s="1" t="s">
        <v>295</v>
      </c>
      <c r="AJ236" s="1" t="s">
        <v>216</v>
      </c>
      <c r="AK236" s="1" t="s">
        <v>238</v>
      </c>
      <c r="AM236" s="1">
        <v>1</v>
      </c>
      <c r="AV236" s="1">
        <v>1</v>
      </c>
      <c r="AX236" s="1">
        <v>0.25</v>
      </c>
      <c r="BE236" s="1" t="str">
        <f t="shared" si="23"/>
        <v>enemy_1035_haxe</v>
      </c>
      <c r="BK236" s="1" t="s">
        <v>1012</v>
      </c>
      <c r="BL236" s="1" t="s">
        <v>1186</v>
      </c>
      <c r="BN236" s="1" t="s">
        <v>217</v>
      </c>
      <c r="BO236" s="1" t="s">
        <v>218</v>
      </c>
      <c r="BP236" s="1" t="s">
        <v>239</v>
      </c>
      <c r="BQ236" s="1" t="s">
        <v>220</v>
      </c>
      <c r="BT236" s="1">
        <v>1</v>
      </c>
    </row>
    <row r="237" spans="1:72">
      <c r="A237" s="1" t="s">
        <v>1187</v>
      </c>
      <c r="B237" s="1" t="s">
        <v>213</v>
      </c>
      <c r="D237" s="1" t="s">
        <v>1188</v>
      </c>
      <c r="E237" s="1">
        <v>1035</v>
      </c>
      <c r="F237" s="1" t="str">
        <f t="shared" si="22"/>
        <v>enemy_1035_haxe_2</v>
      </c>
      <c r="G237" s="1">
        <v>1</v>
      </c>
      <c r="K237" s="1">
        <v>18000</v>
      </c>
      <c r="M237" s="1">
        <v>1500</v>
      </c>
      <c r="O237" s="1">
        <v>800</v>
      </c>
      <c r="Q237" s="1">
        <v>30</v>
      </c>
      <c r="Y237" s="1">
        <v>0.05</v>
      </c>
      <c r="Z237" s="1">
        <v>3.5</v>
      </c>
      <c r="AA237" s="1">
        <v>3</v>
      </c>
      <c r="AB237" s="1">
        <v>0.65</v>
      </c>
      <c r="AG237" s="1">
        <v>0</v>
      </c>
      <c r="AH237" s="1">
        <v>1</v>
      </c>
      <c r="AI237" s="1" t="s">
        <v>1189</v>
      </c>
      <c r="AJ237" s="1" t="s">
        <v>216</v>
      </c>
      <c r="AK237" s="1" t="s">
        <v>238</v>
      </c>
      <c r="AM237" s="1">
        <v>1</v>
      </c>
      <c r="AV237" s="1">
        <v>1</v>
      </c>
      <c r="AX237" s="1">
        <v>0.25</v>
      </c>
      <c r="BE237" s="1" t="str">
        <f t="shared" si="23"/>
        <v>enemy_1035_haxe_2</v>
      </c>
      <c r="BK237" s="1" t="s">
        <v>1012</v>
      </c>
      <c r="BL237" s="1" t="s">
        <v>1190</v>
      </c>
      <c r="BN237" s="1" t="s">
        <v>217</v>
      </c>
      <c r="BO237" s="1" t="s">
        <v>218</v>
      </c>
      <c r="BP237" s="1" t="s">
        <v>239</v>
      </c>
      <c r="BQ237" s="1" t="s">
        <v>220</v>
      </c>
      <c r="BT237" s="1">
        <v>1</v>
      </c>
    </row>
    <row r="238" spans="1:72">
      <c r="A238" s="1" t="s">
        <v>1191</v>
      </c>
      <c r="B238" s="1" t="s">
        <v>213</v>
      </c>
      <c r="D238" s="1" t="s">
        <v>1192</v>
      </c>
      <c r="E238" s="1">
        <v>1036</v>
      </c>
      <c r="F238" s="1" t="str">
        <f t="shared" si="22"/>
        <v>enemy_1036_amraoe</v>
      </c>
      <c r="G238" s="1">
        <v>1</v>
      </c>
      <c r="K238" s="1">
        <v>8500</v>
      </c>
      <c r="M238" s="1">
        <v>380</v>
      </c>
      <c r="O238" s="1">
        <v>400</v>
      </c>
      <c r="Q238" s="1">
        <v>20</v>
      </c>
      <c r="Y238" s="1">
        <v>0.05</v>
      </c>
      <c r="Z238" s="1">
        <v>3.8</v>
      </c>
      <c r="AA238" s="1">
        <v>1</v>
      </c>
      <c r="AB238" s="1">
        <v>0.7</v>
      </c>
      <c r="AG238" s="1">
        <v>0</v>
      </c>
      <c r="AH238" s="1">
        <v>1</v>
      </c>
      <c r="AI238" s="1" t="s">
        <v>1193</v>
      </c>
      <c r="AJ238" s="1" t="s">
        <v>216</v>
      </c>
      <c r="AK238" s="1" t="s">
        <v>979</v>
      </c>
      <c r="AM238" s="1">
        <v>1</v>
      </c>
      <c r="AV238" s="1">
        <v>1</v>
      </c>
      <c r="AX238" s="1">
        <v>0.25</v>
      </c>
      <c r="BE238" s="1" t="str">
        <f t="shared" si="23"/>
        <v>enemy_1036_amraoe</v>
      </c>
      <c r="BK238" s="1" t="s">
        <v>980</v>
      </c>
      <c r="BL238" s="1" t="s">
        <v>1194</v>
      </c>
      <c r="BN238" s="1" t="s">
        <v>217</v>
      </c>
      <c r="BO238" s="1" t="s">
        <v>218</v>
      </c>
      <c r="BP238" s="1" t="s">
        <v>239</v>
      </c>
      <c r="BQ238" s="1" t="s">
        <v>220</v>
      </c>
      <c r="BT238" s="1">
        <v>1</v>
      </c>
    </row>
    <row r="239" spans="1:72">
      <c r="A239" s="1" t="s">
        <v>1195</v>
      </c>
      <c r="B239" s="1" t="s">
        <v>213</v>
      </c>
      <c r="D239" s="1" t="s">
        <v>1196</v>
      </c>
      <c r="E239" s="1">
        <v>1037</v>
      </c>
      <c r="F239" s="1" t="s">
        <v>1197</v>
      </c>
      <c r="G239" s="1">
        <v>1</v>
      </c>
      <c r="K239" s="1">
        <v>3200</v>
      </c>
      <c r="M239" s="1">
        <v>350</v>
      </c>
      <c r="O239" s="1">
        <v>50</v>
      </c>
      <c r="Q239" s="1">
        <v>0</v>
      </c>
      <c r="Y239" s="1">
        <v>0.05</v>
      </c>
      <c r="Z239" s="1">
        <v>2</v>
      </c>
      <c r="AA239" s="1">
        <v>1</v>
      </c>
      <c r="AB239" s="1">
        <v>1.1</v>
      </c>
      <c r="AG239" s="1">
        <v>0</v>
      </c>
      <c r="AH239" s="1">
        <v>1</v>
      </c>
      <c r="AI239" s="1" t="s">
        <v>1198</v>
      </c>
      <c r="AJ239" s="1" t="s">
        <v>216</v>
      </c>
      <c r="AK239" s="1" t="s">
        <v>238</v>
      </c>
      <c r="AM239" s="1">
        <v>1</v>
      </c>
      <c r="AV239" s="1">
        <v>1</v>
      </c>
      <c r="AX239" s="1">
        <v>0.25</v>
      </c>
      <c r="BE239" s="1" t="str">
        <f t="shared" si="23"/>
        <v>enemy_1037_lunsbr</v>
      </c>
      <c r="BK239" s="1" t="s">
        <v>953</v>
      </c>
      <c r="BL239" s="1" t="s">
        <v>1199</v>
      </c>
      <c r="BN239" s="1" t="s">
        <v>217</v>
      </c>
      <c r="BO239" s="1" t="s">
        <v>218</v>
      </c>
      <c r="BP239" s="1" t="s">
        <v>249</v>
      </c>
      <c r="BQ239" s="1" t="s">
        <v>220</v>
      </c>
      <c r="BT239" s="1">
        <v>1</v>
      </c>
    </row>
    <row r="240" spans="1:72">
      <c r="A240" s="1" t="s">
        <v>1200</v>
      </c>
      <c r="B240" s="1" t="s">
        <v>213</v>
      </c>
      <c r="D240" s="1" t="s">
        <v>1201</v>
      </c>
      <c r="E240" s="1">
        <v>1038</v>
      </c>
      <c r="F240" s="1" t="str">
        <f t="shared" ref="F240:F248" si="24">"enemy_"&amp;E240&amp;"_"&amp;D240</f>
        <v>enemy_1038_lunmag</v>
      </c>
      <c r="G240" s="1">
        <v>1</v>
      </c>
      <c r="K240" s="1">
        <v>4000</v>
      </c>
      <c r="M240" s="1">
        <v>400</v>
      </c>
      <c r="O240" s="1">
        <v>250</v>
      </c>
      <c r="Q240" s="1">
        <v>50</v>
      </c>
      <c r="Y240" s="1">
        <v>0.05</v>
      </c>
      <c r="Z240" s="1">
        <v>4</v>
      </c>
      <c r="AA240" s="1">
        <v>2</v>
      </c>
      <c r="AB240" s="1">
        <v>0.8</v>
      </c>
      <c r="AG240" s="1">
        <v>0</v>
      </c>
      <c r="AH240" s="1">
        <v>1</v>
      </c>
      <c r="AI240" s="1" t="s">
        <v>1202</v>
      </c>
      <c r="AJ240" s="1" t="s">
        <v>216</v>
      </c>
      <c r="AK240" s="1" t="s">
        <v>974</v>
      </c>
      <c r="AM240" s="1">
        <v>1</v>
      </c>
      <c r="AV240" s="1">
        <v>1</v>
      </c>
      <c r="AX240" s="1">
        <v>0.25</v>
      </c>
      <c r="BE240" s="1" t="str">
        <f t="shared" si="23"/>
        <v>enemy_1038_lunmag</v>
      </c>
      <c r="BK240" s="1" t="s">
        <v>959</v>
      </c>
      <c r="BL240" s="1" t="s">
        <v>1203</v>
      </c>
      <c r="BN240" s="1" t="s">
        <v>217</v>
      </c>
      <c r="BO240" s="1" t="s">
        <v>218</v>
      </c>
      <c r="BP240" s="1" t="s">
        <v>239</v>
      </c>
      <c r="BQ240" s="1" t="s">
        <v>220</v>
      </c>
      <c r="BT240" s="1">
        <v>1</v>
      </c>
    </row>
    <row r="241" spans="1:72">
      <c r="A241" s="1" t="s">
        <v>1204</v>
      </c>
      <c r="B241" s="1" t="s">
        <v>213</v>
      </c>
      <c r="D241" s="1" t="s">
        <v>1205</v>
      </c>
      <c r="E241" s="1">
        <v>1038</v>
      </c>
      <c r="F241" s="1" t="str">
        <f t="shared" si="24"/>
        <v>enemy_1038_lunmag_2</v>
      </c>
      <c r="G241" s="1">
        <v>1</v>
      </c>
      <c r="K241" s="1">
        <v>6000</v>
      </c>
      <c r="M241" s="1">
        <v>450</v>
      </c>
      <c r="O241" s="1">
        <v>300</v>
      </c>
      <c r="Q241" s="1">
        <v>50</v>
      </c>
      <c r="Y241" s="1">
        <v>0.05</v>
      </c>
      <c r="Z241" s="1">
        <v>4</v>
      </c>
      <c r="AA241" s="1">
        <v>2</v>
      </c>
      <c r="AB241" s="1">
        <v>0.8</v>
      </c>
      <c r="AG241" s="1">
        <v>0</v>
      </c>
      <c r="AH241" s="1">
        <v>1</v>
      </c>
      <c r="AI241" s="1" t="s">
        <v>1206</v>
      </c>
      <c r="AJ241" s="1" t="s">
        <v>216</v>
      </c>
      <c r="AK241" s="1" t="s">
        <v>1207</v>
      </c>
      <c r="AM241" s="1">
        <v>1</v>
      </c>
      <c r="AV241" s="1">
        <v>1</v>
      </c>
      <c r="AX241" s="1">
        <v>0.25</v>
      </c>
      <c r="BE241" s="1" t="str">
        <f t="shared" si="23"/>
        <v>enemy_1038_lunmag_2</v>
      </c>
      <c r="BK241" s="1" t="s">
        <v>959</v>
      </c>
      <c r="BL241" s="1" t="s">
        <v>1208</v>
      </c>
      <c r="BN241" s="1" t="s">
        <v>217</v>
      </c>
      <c r="BO241" s="1" t="s">
        <v>218</v>
      </c>
      <c r="BP241" s="1" t="s">
        <v>239</v>
      </c>
      <c r="BQ241" s="1" t="s">
        <v>220</v>
      </c>
      <c r="BT241" s="1">
        <v>1</v>
      </c>
    </row>
    <row r="242" spans="1:72">
      <c r="A242" s="1" t="s">
        <v>1209</v>
      </c>
      <c r="B242" s="1" t="s">
        <v>213</v>
      </c>
      <c r="D242" s="1" t="s">
        <v>1210</v>
      </c>
      <c r="E242" s="1">
        <v>1039</v>
      </c>
      <c r="F242" s="1" t="str">
        <f t="shared" si="24"/>
        <v>enemy_1039_breakr</v>
      </c>
      <c r="G242" s="1">
        <v>1</v>
      </c>
      <c r="K242" s="1">
        <v>3500</v>
      </c>
      <c r="M242" s="1">
        <v>410</v>
      </c>
      <c r="O242" s="1">
        <v>50</v>
      </c>
      <c r="Q242" s="1">
        <v>25</v>
      </c>
      <c r="Y242" s="1">
        <v>0.05</v>
      </c>
      <c r="Z242" s="1">
        <v>1.4</v>
      </c>
      <c r="AA242" s="1">
        <v>1</v>
      </c>
      <c r="AB242" s="1">
        <v>1.9</v>
      </c>
      <c r="AG242" s="1">
        <v>0</v>
      </c>
      <c r="AH242" s="1">
        <v>1</v>
      </c>
      <c r="AI242" s="1" t="s">
        <v>323</v>
      </c>
      <c r="AJ242" s="1" t="s">
        <v>216</v>
      </c>
      <c r="AK242" s="1" t="s">
        <v>238</v>
      </c>
      <c r="AM242" s="1">
        <v>1</v>
      </c>
      <c r="AV242" s="1">
        <v>1</v>
      </c>
      <c r="AX242" s="1">
        <v>0.25</v>
      </c>
      <c r="BE242" s="1" t="str">
        <f t="shared" si="23"/>
        <v>enemy_1039_breakr</v>
      </c>
      <c r="BK242" s="1" t="s">
        <v>953</v>
      </c>
      <c r="BL242" s="1" t="s">
        <v>1211</v>
      </c>
      <c r="BN242" s="1" t="s">
        <v>217</v>
      </c>
      <c r="BO242" s="1" t="s">
        <v>218</v>
      </c>
      <c r="BP242" s="1" t="s">
        <v>239</v>
      </c>
      <c r="BQ242" s="1" t="s">
        <v>220</v>
      </c>
      <c r="BT242" s="1">
        <v>1</v>
      </c>
    </row>
    <row r="243" spans="1:72">
      <c r="A243" s="1" t="s">
        <v>1212</v>
      </c>
      <c r="B243" s="1" t="s">
        <v>213</v>
      </c>
      <c r="D243" s="1" t="s">
        <v>1213</v>
      </c>
      <c r="E243" s="1">
        <v>1039</v>
      </c>
      <c r="F243" s="1" t="str">
        <f t="shared" si="24"/>
        <v>enemy_1039_breakr_2</v>
      </c>
      <c r="G243" s="1">
        <v>1</v>
      </c>
      <c r="K243" s="1">
        <v>5000</v>
      </c>
      <c r="M243" s="1">
        <v>500</v>
      </c>
      <c r="O243" s="1">
        <v>80</v>
      </c>
      <c r="Q243" s="1">
        <v>25</v>
      </c>
      <c r="Y243" s="1">
        <v>0.05</v>
      </c>
      <c r="Z243" s="1">
        <v>1.4</v>
      </c>
      <c r="AA243" s="1">
        <v>1</v>
      </c>
      <c r="AB243" s="1">
        <v>1.9</v>
      </c>
      <c r="AG243" s="1">
        <v>0</v>
      </c>
      <c r="AH243" s="1">
        <v>1</v>
      </c>
      <c r="AI243" s="1" t="s">
        <v>1214</v>
      </c>
      <c r="AJ243" s="1" t="s">
        <v>216</v>
      </c>
      <c r="AK243" s="1" t="s">
        <v>238</v>
      </c>
      <c r="AM243" s="1">
        <v>1</v>
      </c>
      <c r="AV243" s="1">
        <v>1</v>
      </c>
      <c r="AX243" s="1">
        <v>0.25</v>
      </c>
      <c r="BE243" s="1" t="str">
        <f t="shared" si="23"/>
        <v>enemy_1039_breakr_2</v>
      </c>
      <c r="BK243" s="1" t="s">
        <v>953</v>
      </c>
      <c r="BL243" s="1" t="s">
        <v>1215</v>
      </c>
      <c r="BN243" s="1" t="s">
        <v>217</v>
      </c>
      <c r="BO243" s="1" t="s">
        <v>218</v>
      </c>
      <c r="BP243" s="1" t="s">
        <v>239</v>
      </c>
      <c r="BQ243" s="1" t="s">
        <v>220</v>
      </c>
      <c r="BT243" s="1">
        <v>1</v>
      </c>
    </row>
    <row r="244" spans="1:72">
      <c r="A244" s="1" t="s">
        <v>1216</v>
      </c>
      <c r="B244" s="1" t="s">
        <v>213</v>
      </c>
      <c r="D244" s="1" t="s">
        <v>1217</v>
      </c>
      <c r="E244" s="1">
        <v>1040</v>
      </c>
      <c r="F244" s="1" t="str">
        <f t="shared" si="24"/>
        <v>enemy_1040_bombd</v>
      </c>
      <c r="G244" s="1">
        <v>0.7</v>
      </c>
      <c r="K244" s="1">
        <v>4000</v>
      </c>
      <c r="M244" s="1">
        <v>800</v>
      </c>
      <c r="O244" s="1">
        <v>150</v>
      </c>
      <c r="Q244" s="1">
        <v>30</v>
      </c>
      <c r="Y244" s="1">
        <v>0.05</v>
      </c>
      <c r="Z244" s="1">
        <v>5</v>
      </c>
      <c r="AA244" s="1">
        <v>1</v>
      </c>
      <c r="AB244" s="1">
        <v>0.6</v>
      </c>
      <c r="AG244" s="1">
        <v>0</v>
      </c>
      <c r="AH244" s="1">
        <v>1</v>
      </c>
      <c r="AI244" s="1" t="s">
        <v>1218</v>
      </c>
      <c r="AJ244" s="1" t="s">
        <v>216</v>
      </c>
      <c r="AK244" s="1" t="s">
        <v>1219</v>
      </c>
      <c r="AM244" s="1">
        <v>1</v>
      </c>
      <c r="AN244" s="1">
        <v>1</v>
      </c>
      <c r="AV244" s="1">
        <v>1</v>
      </c>
      <c r="AX244" s="1">
        <v>0.25</v>
      </c>
      <c r="BE244" s="1" t="str">
        <f t="shared" si="23"/>
        <v>enemy_1040_bombd</v>
      </c>
      <c r="BK244" s="1" t="s">
        <v>1050</v>
      </c>
      <c r="BL244" s="1" t="s">
        <v>1220</v>
      </c>
      <c r="BN244" s="1" t="s">
        <v>217</v>
      </c>
      <c r="BO244" s="1" t="s">
        <v>218</v>
      </c>
      <c r="BP244" s="1" t="s">
        <v>219</v>
      </c>
      <c r="BQ244" s="1" t="s">
        <v>220</v>
      </c>
      <c r="BT244" s="1">
        <v>1</v>
      </c>
    </row>
    <row r="245" spans="1:72">
      <c r="A245" s="1" t="s">
        <v>1221</v>
      </c>
      <c r="B245" s="1" t="s">
        <v>213</v>
      </c>
      <c r="D245" s="1" t="s">
        <v>1222</v>
      </c>
      <c r="E245" s="1">
        <v>1040</v>
      </c>
      <c r="F245" s="1" t="str">
        <f t="shared" si="24"/>
        <v>enemy_1040_bombd_2</v>
      </c>
      <c r="G245" s="1">
        <v>0.7</v>
      </c>
      <c r="K245" s="1">
        <v>6000</v>
      </c>
      <c r="M245" s="1">
        <v>1500</v>
      </c>
      <c r="O245" s="1">
        <v>220</v>
      </c>
      <c r="Q245" s="1">
        <v>30</v>
      </c>
      <c r="Y245" s="1">
        <v>0.05</v>
      </c>
      <c r="Z245" s="1">
        <v>5</v>
      </c>
      <c r="AA245" s="1">
        <v>1</v>
      </c>
      <c r="AB245" s="1">
        <v>0.6</v>
      </c>
      <c r="AG245" s="1">
        <v>0</v>
      </c>
      <c r="AH245" s="1">
        <v>1</v>
      </c>
      <c r="AI245" s="1" t="s">
        <v>1223</v>
      </c>
      <c r="AJ245" s="1" t="s">
        <v>216</v>
      </c>
      <c r="AK245" s="1" t="s">
        <v>1219</v>
      </c>
      <c r="AM245" s="1">
        <v>1</v>
      </c>
      <c r="AN245" s="1">
        <v>1</v>
      </c>
      <c r="AV245" s="1">
        <v>1</v>
      </c>
      <c r="AX245" s="1">
        <v>0.25</v>
      </c>
      <c r="BE245" s="1" t="str">
        <f t="shared" si="23"/>
        <v>enemy_1040_bombd_2</v>
      </c>
      <c r="BK245" s="1" t="s">
        <v>1050</v>
      </c>
      <c r="BL245" s="1" t="s">
        <v>1224</v>
      </c>
      <c r="BN245" s="1" t="s">
        <v>217</v>
      </c>
      <c r="BO245" s="1" t="s">
        <v>218</v>
      </c>
      <c r="BP245" s="1" t="s">
        <v>219</v>
      </c>
      <c r="BQ245" s="1" t="s">
        <v>220</v>
      </c>
      <c r="BT245" s="1">
        <v>1</v>
      </c>
    </row>
    <row r="246" spans="1:72">
      <c r="A246" s="1" t="s">
        <v>1225</v>
      </c>
      <c r="B246" s="1" t="s">
        <v>213</v>
      </c>
      <c r="D246" s="1" t="s">
        <v>1226</v>
      </c>
      <c r="E246" s="1">
        <v>1041</v>
      </c>
      <c r="F246" s="1" t="str">
        <f t="shared" si="24"/>
        <v>enemy_1041_lazerd</v>
      </c>
      <c r="G246" s="1">
        <v>0.7</v>
      </c>
      <c r="K246" s="1">
        <v>2700</v>
      </c>
      <c r="M246" s="1">
        <v>220</v>
      </c>
      <c r="O246" s="1">
        <v>100</v>
      </c>
      <c r="Q246" s="1">
        <v>65</v>
      </c>
      <c r="Y246" s="1">
        <v>0.05</v>
      </c>
      <c r="Z246" s="1">
        <v>2.15</v>
      </c>
      <c r="AA246" s="1">
        <v>1</v>
      </c>
      <c r="AB246" s="1">
        <v>1.5</v>
      </c>
      <c r="AG246" s="1">
        <v>0</v>
      </c>
      <c r="AH246" s="1">
        <v>1</v>
      </c>
      <c r="AI246" s="1" t="s">
        <v>1227</v>
      </c>
      <c r="AJ246" s="1" t="s">
        <v>216</v>
      </c>
      <c r="AK246" s="1" t="s">
        <v>1228</v>
      </c>
      <c r="AM246" s="1">
        <v>1</v>
      </c>
      <c r="AN246" s="1">
        <v>1</v>
      </c>
      <c r="AV246" s="1">
        <v>1</v>
      </c>
      <c r="AX246" s="1">
        <v>0.25</v>
      </c>
      <c r="BE246" s="1" t="str">
        <f t="shared" si="23"/>
        <v>enemy_1041_lazerd</v>
      </c>
      <c r="BK246" s="1" t="s">
        <v>1050</v>
      </c>
      <c r="BL246" s="1" t="s">
        <v>1229</v>
      </c>
      <c r="BN246" s="1" t="s">
        <v>217</v>
      </c>
      <c r="BO246" s="1" t="s">
        <v>218</v>
      </c>
      <c r="BP246" s="1" t="s">
        <v>219</v>
      </c>
      <c r="BQ246" s="1" t="s">
        <v>220</v>
      </c>
      <c r="BT246" s="1">
        <v>1</v>
      </c>
    </row>
    <row r="247" spans="1:72">
      <c r="A247" s="1" t="s">
        <v>1230</v>
      </c>
      <c r="B247" s="1" t="s">
        <v>213</v>
      </c>
      <c r="D247" s="1" t="s">
        <v>1231</v>
      </c>
      <c r="E247" s="1">
        <v>1041</v>
      </c>
      <c r="F247" s="1" t="str">
        <f t="shared" si="24"/>
        <v>enemy_1041_lazerd_2</v>
      </c>
      <c r="G247" s="1">
        <v>0.7</v>
      </c>
      <c r="K247" s="1">
        <v>6000</v>
      </c>
      <c r="M247" s="1">
        <v>600</v>
      </c>
      <c r="O247" s="1">
        <v>140</v>
      </c>
      <c r="Q247" s="1">
        <v>65</v>
      </c>
      <c r="Y247" s="1">
        <v>0.05</v>
      </c>
      <c r="Z247" s="1">
        <v>3.5</v>
      </c>
      <c r="AA247" s="1">
        <v>1</v>
      </c>
      <c r="AB247" s="1">
        <v>0.8</v>
      </c>
      <c r="AG247" s="1">
        <v>0</v>
      </c>
      <c r="AH247" s="1">
        <v>1</v>
      </c>
      <c r="AI247" s="1" t="s">
        <v>1232</v>
      </c>
      <c r="AJ247" s="1" t="s">
        <v>216</v>
      </c>
      <c r="AK247" s="1" t="s">
        <v>1233</v>
      </c>
      <c r="AM247" s="1">
        <v>1</v>
      </c>
      <c r="AN247" s="1">
        <v>1</v>
      </c>
      <c r="AV247" s="1">
        <v>1</v>
      </c>
      <c r="AX247" s="1">
        <v>0.25</v>
      </c>
      <c r="BE247" s="1" t="str">
        <f t="shared" si="23"/>
        <v>enemy_1041_lazerd_2</v>
      </c>
      <c r="BK247" s="1" t="s">
        <v>1055</v>
      </c>
      <c r="BL247" s="1" t="s">
        <v>1234</v>
      </c>
      <c r="BN247" s="1" t="s">
        <v>217</v>
      </c>
      <c r="BO247" s="1" t="s">
        <v>218</v>
      </c>
      <c r="BP247" s="1" t="s">
        <v>219</v>
      </c>
      <c r="BQ247" s="1" t="s">
        <v>220</v>
      </c>
      <c r="BT247" s="1">
        <v>1</v>
      </c>
    </row>
    <row r="248" spans="1:72">
      <c r="A248" s="1" t="s">
        <v>1235</v>
      </c>
      <c r="B248" s="1" t="s">
        <v>213</v>
      </c>
      <c r="D248" s="1" t="s">
        <v>1236</v>
      </c>
      <c r="E248" s="1">
        <v>1042</v>
      </c>
      <c r="F248" s="1" t="str">
        <f t="shared" si="24"/>
        <v>enemy_1042_frostd</v>
      </c>
      <c r="G248" s="1">
        <v>0.7</v>
      </c>
      <c r="K248" s="1">
        <v>6500</v>
      </c>
      <c r="M248" s="1">
        <v>100</v>
      </c>
      <c r="O248" s="1">
        <v>600</v>
      </c>
      <c r="Q248" s="1">
        <v>30</v>
      </c>
      <c r="Y248" s="1">
        <v>0.05</v>
      </c>
      <c r="Z248" s="1">
        <v>1</v>
      </c>
      <c r="AA248" s="1">
        <v>1</v>
      </c>
      <c r="AB248" s="1">
        <v>0.9</v>
      </c>
      <c r="AG248" s="1">
        <v>0</v>
      </c>
      <c r="AH248" s="1">
        <v>1</v>
      </c>
      <c r="AI248" s="1" t="s">
        <v>1237</v>
      </c>
      <c r="AJ248" s="1" t="s">
        <v>216</v>
      </c>
      <c r="AK248" s="1" t="s">
        <v>1238</v>
      </c>
      <c r="AM248" s="1">
        <v>1</v>
      </c>
      <c r="AN248" s="1">
        <v>1</v>
      </c>
      <c r="AV248" s="1">
        <v>1</v>
      </c>
      <c r="AX248" s="1">
        <v>0.25</v>
      </c>
      <c r="BE248" s="1" t="str">
        <f t="shared" si="23"/>
        <v>enemy_1042_frostd</v>
      </c>
      <c r="BK248" s="1" t="s">
        <v>1239</v>
      </c>
      <c r="BL248" s="1" t="s">
        <v>1240</v>
      </c>
      <c r="BN248" s="1" t="s">
        <v>217</v>
      </c>
      <c r="BO248" s="1" t="s">
        <v>218</v>
      </c>
      <c r="BP248" s="1" t="s">
        <v>219</v>
      </c>
      <c r="BQ248" s="1" t="s">
        <v>220</v>
      </c>
      <c r="BT248" s="1">
        <v>1</v>
      </c>
    </row>
    <row r="249" spans="1:72">
      <c r="A249" s="1" t="s">
        <v>1241</v>
      </c>
      <c r="B249" s="1" t="s">
        <v>213</v>
      </c>
      <c r="D249" s="1" t="s">
        <v>1242</v>
      </c>
      <c r="E249" s="1">
        <v>1043</v>
      </c>
      <c r="F249" s="1" t="s">
        <v>1243</v>
      </c>
      <c r="G249" s="1">
        <v>1</v>
      </c>
      <c r="K249" s="1">
        <v>2500</v>
      </c>
      <c r="M249" s="1">
        <v>250</v>
      </c>
      <c r="O249" s="1">
        <v>100</v>
      </c>
      <c r="Q249" s="1">
        <v>30</v>
      </c>
      <c r="Y249" s="1">
        <v>0.05</v>
      </c>
      <c r="Z249" s="1">
        <v>1.8</v>
      </c>
      <c r="AA249" s="1">
        <v>1</v>
      </c>
      <c r="AB249" s="1">
        <v>0.9</v>
      </c>
      <c r="AG249" s="1">
        <v>0</v>
      </c>
      <c r="AH249" s="1">
        <v>1</v>
      </c>
      <c r="AI249" s="1" t="s">
        <v>1244</v>
      </c>
      <c r="AJ249" s="1" t="s">
        <v>216</v>
      </c>
      <c r="AK249" s="1" t="s">
        <v>238</v>
      </c>
      <c r="AM249" s="1">
        <v>1</v>
      </c>
      <c r="AT249" s="1">
        <v>80</v>
      </c>
      <c r="AV249" s="1">
        <v>1</v>
      </c>
      <c r="AX249" s="1">
        <v>0.25</v>
      </c>
      <c r="BE249" s="1" t="str">
        <f t="shared" si="23"/>
        <v>enemy_1043_zomsbr</v>
      </c>
      <c r="BK249" s="1" t="s">
        <v>1245</v>
      </c>
      <c r="BL249" s="1" t="s">
        <v>1246</v>
      </c>
      <c r="BN249" s="1" t="s">
        <v>217</v>
      </c>
      <c r="BO249" s="1" t="s">
        <v>218</v>
      </c>
      <c r="BP249" s="1" t="s">
        <v>249</v>
      </c>
      <c r="BQ249" s="1" t="s">
        <v>220</v>
      </c>
      <c r="BT249" s="1">
        <v>1</v>
      </c>
    </row>
    <row r="250" spans="1:72">
      <c r="A250" s="1" t="s">
        <v>1247</v>
      </c>
      <c r="B250" s="1" t="s">
        <v>213</v>
      </c>
      <c r="D250" s="1" t="s">
        <v>1248</v>
      </c>
      <c r="E250" s="1">
        <v>1043</v>
      </c>
      <c r="F250" s="1" t="s">
        <v>1249</v>
      </c>
      <c r="G250" s="1">
        <v>1</v>
      </c>
      <c r="K250" s="1">
        <v>4000</v>
      </c>
      <c r="M250" s="1">
        <v>300</v>
      </c>
      <c r="O250" s="1">
        <v>150</v>
      </c>
      <c r="Q250" s="1">
        <v>30</v>
      </c>
      <c r="Y250" s="1">
        <v>0.05</v>
      </c>
      <c r="Z250" s="1">
        <v>1.8</v>
      </c>
      <c r="AA250" s="1">
        <v>1</v>
      </c>
      <c r="AB250" s="1">
        <v>0.9</v>
      </c>
      <c r="AG250" s="1">
        <v>0</v>
      </c>
      <c r="AH250" s="1">
        <v>1</v>
      </c>
      <c r="AI250" s="1" t="s">
        <v>1250</v>
      </c>
      <c r="AJ250" s="1" t="s">
        <v>216</v>
      </c>
      <c r="AK250" s="1" t="s">
        <v>238</v>
      </c>
      <c r="AM250" s="1">
        <v>1</v>
      </c>
      <c r="AT250" s="1">
        <v>150</v>
      </c>
      <c r="AV250" s="1">
        <v>1</v>
      </c>
      <c r="AX250" s="1">
        <v>0.25</v>
      </c>
      <c r="BE250" s="1" t="str">
        <f t="shared" si="23"/>
        <v>enemy_1043_zomsbr_2</v>
      </c>
      <c r="BK250" s="1" t="s">
        <v>1245</v>
      </c>
      <c r="BL250" s="1" t="s">
        <v>1251</v>
      </c>
      <c r="BN250" s="1" t="s">
        <v>217</v>
      </c>
      <c r="BO250" s="1" t="s">
        <v>218</v>
      </c>
      <c r="BP250" s="1" t="s">
        <v>249</v>
      </c>
      <c r="BQ250" s="1" t="s">
        <v>220</v>
      </c>
      <c r="BT250" s="1">
        <v>1</v>
      </c>
    </row>
    <row r="251" spans="1:72">
      <c r="A251" s="1" t="s">
        <v>1252</v>
      </c>
      <c r="B251" s="1" t="s">
        <v>213</v>
      </c>
      <c r="D251" s="1" t="s">
        <v>1253</v>
      </c>
      <c r="E251" s="1">
        <v>1044</v>
      </c>
      <c r="F251" s="1" t="str">
        <f t="shared" ref="F251:F314" si="25">"enemy_"&amp;E251&amp;"_"&amp;D251</f>
        <v>enemy_1044_zomstr</v>
      </c>
      <c r="G251" s="1">
        <v>1</v>
      </c>
      <c r="K251" s="1">
        <v>6000</v>
      </c>
      <c r="M251" s="1">
        <v>500</v>
      </c>
      <c r="O251" s="1">
        <v>130</v>
      </c>
      <c r="Q251" s="1">
        <v>30</v>
      </c>
      <c r="Y251" s="1">
        <v>0.05</v>
      </c>
      <c r="Z251" s="1">
        <v>3</v>
      </c>
      <c r="AA251" s="1">
        <v>2</v>
      </c>
      <c r="AB251" s="1">
        <v>0.65</v>
      </c>
      <c r="AG251" s="1">
        <v>0</v>
      </c>
      <c r="AH251" s="1">
        <v>1</v>
      </c>
      <c r="AI251" s="1" t="s">
        <v>1254</v>
      </c>
      <c r="AJ251" s="1" t="s">
        <v>216</v>
      </c>
      <c r="AK251" s="1" t="s">
        <v>238</v>
      </c>
      <c r="AM251" s="1">
        <v>1</v>
      </c>
      <c r="AT251" s="1">
        <v>200</v>
      </c>
      <c r="AV251" s="1">
        <v>1</v>
      </c>
      <c r="AX251" s="1">
        <v>0.25</v>
      </c>
      <c r="BE251" s="1" t="str">
        <f t="shared" si="23"/>
        <v>enemy_1044_zomstr</v>
      </c>
      <c r="BK251" s="1" t="s">
        <v>1245</v>
      </c>
      <c r="BL251" s="1" t="s">
        <v>1255</v>
      </c>
      <c r="BN251" s="1" t="s">
        <v>217</v>
      </c>
      <c r="BO251" s="1" t="s">
        <v>218</v>
      </c>
      <c r="BP251" s="1" t="s">
        <v>239</v>
      </c>
      <c r="BQ251" s="1" t="s">
        <v>220</v>
      </c>
      <c r="BT251" s="1">
        <v>1</v>
      </c>
    </row>
    <row r="252" spans="1:72">
      <c r="A252" s="1" t="s">
        <v>1256</v>
      </c>
      <c r="B252" s="1" t="s">
        <v>213</v>
      </c>
      <c r="D252" s="1" t="s">
        <v>1257</v>
      </c>
      <c r="E252" s="1">
        <v>1044</v>
      </c>
      <c r="F252" s="1" t="str">
        <f t="shared" si="25"/>
        <v>enemy_1044_zomstr_2</v>
      </c>
      <c r="G252" s="1">
        <v>1</v>
      </c>
      <c r="K252" s="1">
        <v>11000</v>
      </c>
      <c r="M252" s="1">
        <v>650</v>
      </c>
      <c r="O252" s="1">
        <v>200</v>
      </c>
      <c r="Q252" s="1">
        <v>30</v>
      </c>
      <c r="Y252" s="1">
        <v>0.05</v>
      </c>
      <c r="Z252" s="1">
        <v>3</v>
      </c>
      <c r="AA252" s="1">
        <v>2</v>
      </c>
      <c r="AB252" s="1">
        <v>0.65</v>
      </c>
      <c r="AG252" s="1">
        <v>0</v>
      </c>
      <c r="AH252" s="1">
        <v>1</v>
      </c>
      <c r="AI252" s="1" t="s">
        <v>1258</v>
      </c>
      <c r="AJ252" s="1" t="s">
        <v>216</v>
      </c>
      <c r="AK252" s="1" t="s">
        <v>238</v>
      </c>
      <c r="AM252" s="1">
        <v>1</v>
      </c>
      <c r="AT252" s="1">
        <v>250</v>
      </c>
      <c r="AV252" s="1">
        <v>1</v>
      </c>
      <c r="AX252" s="1">
        <v>0.25</v>
      </c>
      <c r="BE252" s="1" t="str">
        <f t="shared" si="23"/>
        <v>enemy_1044_zomstr_2</v>
      </c>
      <c r="BK252" s="1" t="s">
        <v>1245</v>
      </c>
      <c r="BL252" s="1" t="s">
        <v>1259</v>
      </c>
      <c r="BN252" s="1" t="s">
        <v>217</v>
      </c>
      <c r="BO252" s="1" t="s">
        <v>218</v>
      </c>
      <c r="BP252" s="1" t="s">
        <v>239</v>
      </c>
      <c r="BQ252" s="1" t="s">
        <v>220</v>
      </c>
      <c r="BT252" s="1">
        <v>1</v>
      </c>
    </row>
    <row r="253" spans="1:72">
      <c r="A253" s="1" t="s">
        <v>314</v>
      </c>
      <c r="B253" s="1" t="s">
        <v>213</v>
      </c>
      <c r="D253" s="1" t="s">
        <v>1260</v>
      </c>
      <c r="E253" s="1">
        <v>1045</v>
      </c>
      <c r="F253" s="1" t="str">
        <f t="shared" si="25"/>
        <v>enemy_1045_hammer</v>
      </c>
      <c r="G253" s="1">
        <v>1</v>
      </c>
      <c r="K253" s="1">
        <v>10000</v>
      </c>
      <c r="M253" s="1">
        <v>1000</v>
      </c>
      <c r="O253" s="1">
        <v>1000</v>
      </c>
      <c r="Q253" s="1">
        <v>0</v>
      </c>
      <c r="Y253" s="1">
        <v>0.05</v>
      </c>
      <c r="Z253" s="1">
        <v>3.5</v>
      </c>
      <c r="AA253" s="1">
        <v>4</v>
      </c>
      <c r="AB253" s="1">
        <v>0.5</v>
      </c>
      <c r="AG253" s="1">
        <v>0</v>
      </c>
      <c r="AH253" s="1">
        <v>1</v>
      </c>
      <c r="AI253" s="1" t="s">
        <v>313</v>
      </c>
      <c r="AJ253" s="1" t="s">
        <v>216</v>
      </c>
      <c r="AK253" s="1" t="s">
        <v>315</v>
      </c>
      <c r="AM253" s="1">
        <v>1</v>
      </c>
      <c r="AV253" s="1">
        <v>1</v>
      </c>
      <c r="AX253" s="1">
        <v>0.25</v>
      </c>
      <c r="BE253" s="1" t="str">
        <f t="shared" si="23"/>
        <v>enemy_1045_hammer</v>
      </c>
      <c r="BK253" s="1" t="s">
        <v>1012</v>
      </c>
      <c r="BL253" s="1" t="s">
        <v>1261</v>
      </c>
      <c r="BN253" s="1" t="s">
        <v>217</v>
      </c>
      <c r="BO253" s="1" t="s">
        <v>218</v>
      </c>
      <c r="BP253" s="1" t="s">
        <v>239</v>
      </c>
      <c r="BQ253" s="1" t="s">
        <v>220</v>
      </c>
      <c r="BT253" s="1">
        <v>1</v>
      </c>
    </row>
    <row r="254" spans="1:72">
      <c r="A254" s="1" t="s">
        <v>1262</v>
      </c>
      <c r="B254" s="1" t="s">
        <v>213</v>
      </c>
      <c r="D254" s="1" t="s">
        <v>1263</v>
      </c>
      <c r="E254" s="1">
        <v>1045</v>
      </c>
      <c r="F254" s="1" t="str">
        <f t="shared" si="25"/>
        <v>enemy_1045_hammer_2</v>
      </c>
      <c r="G254" s="1">
        <v>1</v>
      </c>
      <c r="K254" s="1">
        <v>20000</v>
      </c>
      <c r="M254" s="1">
        <v>1500</v>
      </c>
      <c r="O254" s="1">
        <v>2000</v>
      </c>
      <c r="Q254" s="1">
        <v>0</v>
      </c>
      <c r="Y254" s="1">
        <v>0.05</v>
      </c>
      <c r="Z254" s="1">
        <v>3.5</v>
      </c>
      <c r="AA254" s="1">
        <v>4</v>
      </c>
      <c r="AB254" s="1">
        <v>0.5</v>
      </c>
      <c r="AG254" s="1">
        <v>0</v>
      </c>
      <c r="AH254" s="1">
        <v>1</v>
      </c>
      <c r="AI254" s="1" t="s">
        <v>1264</v>
      </c>
      <c r="AJ254" s="1" t="s">
        <v>216</v>
      </c>
      <c r="AK254" s="1" t="s">
        <v>315</v>
      </c>
      <c r="AM254" s="1">
        <v>1</v>
      </c>
      <c r="AV254" s="1">
        <v>1</v>
      </c>
      <c r="AX254" s="1">
        <v>0.25</v>
      </c>
      <c r="BE254" s="1" t="str">
        <f t="shared" si="23"/>
        <v>enemy_1045_hammer_2</v>
      </c>
      <c r="BK254" s="1" t="s">
        <v>1012</v>
      </c>
      <c r="BL254" s="1" t="s">
        <v>1265</v>
      </c>
      <c r="BN254" s="1" t="s">
        <v>217</v>
      </c>
      <c r="BO254" s="1" t="s">
        <v>218</v>
      </c>
      <c r="BP254" s="1" t="s">
        <v>219</v>
      </c>
      <c r="BQ254" s="1" t="s">
        <v>220</v>
      </c>
      <c r="BT254" s="1">
        <v>1</v>
      </c>
    </row>
    <row r="255" spans="1:72">
      <c r="A255" s="1" t="s">
        <v>1266</v>
      </c>
      <c r="B255" s="1" t="s">
        <v>213</v>
      </c>
      <c r="D255" s="1" t="s">
        <v>1267</v>
      </c>
      <c r="E255" s="1">
        <v>1046</v>
      </c>
      <c r="F255" s="1" t="str">
        <f t="shared" si="25"/>
        <v>enemy_1046_agent</v>
      </c>
      <c r="G255" s="1">
        <v>1</v>
      </c>
      <c r="K255" s="1">
        <v>2500</v>
      </c>
      <c r="M255" s="1">
        <v>280</v>
      </c>
      <c r="O255" s="1">
        <v>85</v>
      </c>
      <c r="Q255" s="1">
        <v>40</v>
      </c>
      <c r="Y255" s="1">
        <v>0.05</v>
      </c>
      <c r="Z255" s="1">
        <v>2</v>
      </c>
      <c r="AA255" s="1">
        <v>1</v>
      </c>
      <c r="AB255" s="1">
        <v>1.1</v>
      </c>
      <c r="AG255" s="1">
        <v>0</v>
      </c>
      <c r="AH255" s="1">
        <v>1</v>
      </c>
      <c r="AI255" s="1" t="s">
        <v>1268</v>
      </c>
      <c r="AJ255" s="1" t="s">
        <v>216</v>
      </c>
      <c r="AK255" s="1" t="s">
        <v>238</v>
      </c>
      <c r="AM255" s="1">
        <v>1</v>
      </c>
      <c r="AV255" s="1">
        <v>1</v>
      </c>
      <c r="AX255" s="1">
        <v>0.25</v>
      </c>
      <c r="BE255" s="1" t="str">
        <f t="shared" si="23"/>
        <v>enemy_1046_agent</v>
      </c>
      <c r="BK255" s="1" t="s">
        <v>953</v>
      </c>
      <c r="BL255" s="1" t="s">
        <v>1269</v>
      </c>
      <c r="BN255" s="1" t="s">
        <v>217</v>
      </c>
      <c r="BO255" s="1" t="s">
        <v>218</v>
      </c>
      <c r="BP255" s="1" t="s">
        <v>239</v>
      </c>
      <c r="BQ255" s="1" t="s">
        <v>220</v>
      </c>
      <c r="BT255" s="1">
        <v>1</v>
      </c>
    </row>
    <row r="256" spans="1:72">
      <c r="A256" s="1" t="s">
        <v>1270</v>
      </c>
      <c r="B256" s="1" t="s">
        <v>213</v>
      </c>
      <c r="D256" s="1" t="s">
        <v>1271</v>
      </c>
      <c r="E256" s="1">
        <v>1046</v>
      </c>
      <c r="F256" s="1" t="str">
        <f t="shared" si="25"/>
        <v>enemy_1046_agent_2</v>
      </c>
      <c r="G256" s="1">
        <v>1</v>
      </c>
      <c r="K256" s="1">
        <v>3700</v>
      </c>
      <c r="M256" s="1">
        <v>330</v>
      </c>
      <c r="O256" s="1">
        <v>100</v>
      </c>
      <c r="Q256" s="1">
        <v>40</v>
      </c>
      <c r="Y256" s="1">
        <v>0.05</v>
      </c>
      <c r="Z256" s="1">
        <v>2</v>
      </c>
      <c r="AA256" s="1">
        <v>1</v>
      </c>
      <c r="AB256" s="1">
        <v>1.1</v>
      </c>
      <c r="AG256" s="1">
        <v>0</v>
      </c>
      <c r="AH256" s="1">
        <v>1</v>
      </c>
      <c r="AI256" s="1" t="s">
        <v>1272</v>
      </c>
      <c r="AJ256" s="1" t="s">
        <v>216</v>
      </c>
      <c r="AK256" s="1" t="s">
        <v>238</v>
      </c>
      <c r="AM256" s="1">
        <v>1</v>
      </c>
      <c r="AV256" s="1">
        <v>1</v>
      </c>
      <c r="AX256" s="1">
        <v>0.25</v>
      </c>
      <c r="BE256" s="1" t="str">
        <f t="shared" si="23"/>
        <v>enemy_1046_agent_2</v>
      </c>
      <c r="BK256" s="1" t="s">
        <v>953</v>
      </c>
      <c r="BL256" s="1" t="s">
        <v>1273</v>
      </c>
      <c r="BN256" s="1" t="s">
        <v>217</v>
      </c>
      <c r="BO256" s="1" t="s">
        <v>218</v>
      </c>
      <c r="BP256" s="1" t="s">
        <v>239</v>
      </c>
      <c r="BQ256" s="1" t="s">
        <v>220</v>
      </c>
      <c r="BT256" s="1">
        <v>1</v>
      </c>
    </row>
    <row r="257" spans="1:72">
      <c r="A257" s="1" t="s">
        <v>1274</v>
      </c>
      <c r="B257" s="1" t="s">
        <v>213</v>
      </c>
      <c r="D257" s="1" t="s">
        <v>325</v>
      </c>
      <c r="E257" s="1">
        <v>1047</v>
      </c>
      <c r="F257" s="1" t="str">
        <f t="shared" si="25"/>
        <v>enemy_1047_sagent</v>
      </c>
      <c r="G257" s="1">
        <v>1</v>
      </c>
      <c r="K257" s="1">
        <v>3000</v>
      </c>
      <c r="M257" s="1">
        <v>150</v>
      </c>
      <c r="O257" s="1">
        <v>100</v>
      </c>
      <c r="Q257" s="1">
        <v>10</v>
      </c>
      <c r="Y257" s="1">
        <v>0.05</v>
      </c>
      <c r="Z257" s="1">
        <v>4</v>
      </c>
      <c r="AA257" s="1">
        <v>1</v>
      </c>
      <c r="AB257" s="1">
        <v>0.8</v>
      </c>
      <c r="AG257" s="1">
        <v>0</v>
      </c>
      <c r="AH257" s="1">
        <v>1</v>
      </c>
      <c r="AI257" s="1" t="s">
        <v>324</v>
      </c>
      <c r="AJ257" s="1" t="s">
        <v>216</v>
      </c>
      <c r="AK257" s="1" t="s">
        <v>1275</v>
      </c>
      <c r="AM257" s="1">
        <v>1</v>
      </c>
      <c r="AV257" s="1">
        <v>1</v>
      </c>
      <c r="AX257" s="1">
        <v>0.25</v>
      </c>
      <c r="BE257" s="1" t="str">
        <f t="shared" si="23"/>
        <v>enemy_1047_sagent</v>
      </c>
      <c r="BK257" s="1" t="s">
        <v>959</v>
      </c>
      <c r="BL257" s="1" t="s">
        <v>1276</v>
      </c>
      <c r="BN257" s="1" t="s">
        <v>217</v>
      </c>
      <c r="BO257" s="1" t="s">
        <v>218</v>
      </c>
      <c r="BP257" s="1" t="s">
        <v>239</v>
      </c>
      <c r="BQ257" s="1" t="s">
        <v>220</v>
      </c>
      <c r="BT257" s="1">
        <v>1</v>
      </c>
    </row>
    <row r="258" spans="1:72">
      <c r="A258" s="1" t="s">
        <v>1277</v>
      </c>
      <c r="B258" s="1" t="s">
        <v>213</v>
      </c>
      <c r="D258" s="1" t="s">
        <v>1278</v>
      </c>
      <c r="E258" s="1">
        <v>1047</v>
      </c>
      <c r="F258" s="1" t="str">
        <f t="shared" si="25"/>
        <v>enemy_1047_sagent_2</v>
      </c>
      <c r="G258" s="1">
        <v>1</v>
      </c>
      <c r="K258" s="1">
        <v>4000</v>
      </c>
      <c r="M258" s="1">
        <v>200</v>
      </c>
      <c r="O258" s="1">
        <v>150</v>
      </c>
      <c r="Q258" s="1">
        <v>10</v>
      </c>
      <c r="Y258" s="1">
        <v>0.05</v>
      </c>
      <c r="Z258" s="1">
        <v>4</v>
      </c>
      <c r="AA258" s="1">
        <v>1</v>
      </c>
      <c r="AB258" s="1">
        <v>0.8</v>
      </c>
      <c r="AG258" s="1">
        <v>0</v>
      </c>
      <c r="AH258" s="1">
        <v>1</v>
      </c>
      <c r="AI258" s="1" t="s">
        <v>1279</v>
      </c>
      <c r="AJ258" s="1" t="s">
        <v>216</v>
      </c>
      <c r="AK258" s="1" t="s">
        <v>1275</v>
      </c>
      <c r="AM258" s="1">
        <v>1</v>
      </c>
      <c r="AV258" s="1">
        <v>1</v>
      </c>
      <c r="AX258" s="1">
        <v>0.25</v>
      </c>
      <c r="BE258" s="1" t="str">
        <f t="shared" si="23"/>
        <v>enemy_1047_sagent_2</v>
      </c>
      <c r="BK258" s="1" t="s">
        <v>959</v>
      </c>
      <c r="BL258" s="1" t="s">
        <v>1280</v>
      </c>
      <c r="BN258" s="1" t="s">
        <v>217</v>
      </c>
      <c r="BO258" s="1" t="s">
        <v>218</v>
      </c>
      <c r="BP258" s="1" t="s">
        <v>239</v>
      </c>
      <c r="BQ258" s="1" t="s">
        <v>220</v>
      </c>
      <c r="BT258" s="1">
        <v>1</v>
      </c>
    </row>
    <row r="259" spans="1:72">
      <c r="A259" s="1" t="s">
        <v>1281</v>
      </c>
      <c r="B259" s="1" t="s">
        <v>213</v>
      </c>
      <c r="D259" s="1" t="s">
        <v>1282</v>
      </c>
      <c r="E259" s="1">
        <v>1048</v>
      </c>
      <c r="F259" s="1" t="str">
        <f t="shared" si="25"/>
        <v>enemy_1048_hirman</v>
      </c>
      <c r="G259" s="1">
        <v>1</v>
      </c>
      <c r="K259" s="1">
        <v>10000</v>
      </c>
      <c r="M259" s="1">
        <v>750</v>
      </c>
      <c r="O259" s="1">
        <v>100</v>
      </c>
      <c r="Q259" s="1">
        <v>40</v>
      </c>
      <c r="Y259" s="1">
        <v>0.05</v>
      </c>
      <c r="Z259" s="1">
        <v>3.3</v>
      </c>
      <c r="AA259" s="1">
        <v>3</v>
      </c>
      <c r="AB259" s="1">
        <v>0.75</v>
      </c>
      <c r="AG259" s="1">
        <v>0</v>
      </c>
      <c r="AH259" s="1">
        <v>1</v>
      </c>
      <c r="AI259" s="1" t="s">
        <v>1283</v>
      </c>
      <c r="AJ259" s="1" t="s">
        <v>216</v>
      </c>
      <c r="AK259" s="1" t="s">
        <v>1284</v>
      </c>
      <c r="AM259" s="1">
        <v>1</v>
      </c>
      <c r="AV259" s="1">
        <v>1</v>
      </c>
      <c r="AX259" s="1">
        <v>0.25</v>
      </c>
      <c r="BE259" s="1" t="str">
        <f t="shared" si="23"/>
        <v>enemy_1048_hirman</v>
      </c>
      <c r="BK259" s="1" t="s">
        <v>1012</v>
      </c>
      <c r="BL259" s="1" t="s">
        <v>1285</v>
      </c>
      <c r="BN259" s="1" t="s">
        <v>217</v>
      </c>
      <c r="BO259" s="1" t="s">
        <v>218</v>
      </c>
      <c r="BP259" s="1" t="s">
        <v>239</v>
      </c>
      <c r="BQ259" s="1" t="s">
        <v>220</v>
      </c>
      <c r="BT259" s="1">
        <v>1</v>
      </c>
    </row>
    <row r="260" spans="1:72">
      <c r="A260" s="1" t="s">
        <v>1286</v>
      </c>
      <c r="B260" s="1" t="s">
        <v>213</v>
      </c>
      <c r="D260" s="1" t="s">
        <v>1287</v>
      </c>
      <c r="E260" s="1">
        <v>1048</v>
      </c>
      <c r="F260" s="1" t="str">
        <f t="shared" si="25"/>
        <v>enemy_1048_hirman_2</v>
      </c>
      <c r="G260" s="1">
        <v>1</v>
      </c>
      <c r="K260" s="1">
        <v>13000</v>
      </c>
      <c r="M260" s="1">
        <v>900</v>
      </c>
      <c r="O260" s="1">
        <v>100</v>
      </c>
      <c r="Q260" s="1">
        <v>40</v>
      </c>
      <c r="Y260" s="1">
        <v>0.05</v>
      </c>
      <c r="Z260" s="1">
        <v>3.3</v>
      </c>
      <c r="AA260" s="1">
        <v>3</v>
      </c>
      <c r="AB260" s="1">
        <v>0.75</v>
      </c>
      <c r="AG260" s="1">
        <v>0</v>
      </c>
      <c r="AH260" s="1">
        <v>1</v>
      </c>
      <c r="AI260" s="1" t="s">
        <v>1288</v>
      </c>
      <c r="AJ260" s="1" t="s">
        <v>216</v>
      </c>
      <c r="AK260" s="1" t="s">
        <v>1289</v>
      </c>
      <c r="AM260" s="1">
        <v>1</v>
      </c>
      <c r="AV260" s="1">
        <v>1</v>
      </c>
      <c r="AX260" s="1">
        <v>0.25</v>
      </c>
      <c r="BE260" s="1" t="str">
        <f t="shared" si="23"/>
        <v>enemy_1048_hirman_2</v>
      </c>
      <c r="BK260" s="1" t="s">
        <v>1012</v>
      </c>
      <c r="BL260" s="1" t="s">
        <v>1290</v>
      </c>
      <c r="BN260" s="1" t="s">
        <v>217</v>
      </c>
      <c r="BO260" s="1" t="s">
        <v>218</v>
      </c>
      <c r="BP260" s="1" t="s">
        <v>239</v>
      </c>
      <c r="BQ260" s="1" t="s">
        <v>220</v>
      </c>
      <c r="BT260" s="1">
        <v>1</v>
      </c>
    </row>
    <row r="261" spans="1:72">
      <c r="A261" s="1" t="s">
        <v>1291</v>
      </c>
      <c r="B261" s="1" t="s">
        <v>213</v>
      </c>
      <c r="D261" s="1" t="s">
        <v>1292</v>
      </c>
      <c r="E261" s="1">
        <v>1049</v>
      </c>
      <c r="F261" s="1" t="str">
        <f t="shared" si="25"/>
        <v>enemy_1049_eagent</v>
      </c>
      <c r="G261" s="1">
        <v>1</v>
      </c>
      <c r="K261" s="1">
        <v>6000</v>
      </c>
      <c r="M261" s="1">
        <v>300</v>
      </c>
      <c r="O261" s="1">
        <v>150</v>
      </c>
      <c r="Q261" s="1">
        <v>50</v>
      </c>
      <c r="Y261" s="1">
        <v>0.05</v>
      </c>
      <c r="Z261" s="1">
        <v>2</v>
      </c>
      <c r="AA261" s="1">
        <v>2</v>
      </c>
      <c r="AB261" s="1">
        <v>0.9</v>
      </c>
      <c r="AG261" s="1">
        <v>0</v>
      </c>
      <c r="AH261" s="1">
        <v>1</v>
      </c>
      <c r="AI261" s="1" t="s">
        <v>1293</v>
      </c>
      <c r="AJ261" s="1" t="s">
        <v>216</v>
      </c>
      <c r="AK261" s="1" t="s">
        <v>1294</v>
      </c>
      <c r="AM261" s="1">
        <v>1</v>
      </c>
      <c r="AV261" s="1">
        <v>1</v>
      </c>
      <c r="AX261" s="1">
        <v>0.25</v>
      </c>
      <c r="BE261" s="1" t="str">
        <f t="shared" si="23"/>
        <v>enemy_1049_eagent</v>
      </c>
      <c r="BK261" s="1" t="s">
        <v>1012</v>
      </c>
      <c r="BL261" s="1" t="s">
        <v>1295</v>
      </c>
      <c r="BN261" s="1" t="s">
        <v>217</v>
      </c>
      <c r="BO261" s="1" t="s">
        <v>218</v>
      </c>
      <c r="BP261" s="1" t="s">
        <v>239</v>
      </c>
      <c r="BQ261" s="1" t="s">
        <v>220</v>
      </c>
      <c r="BT261" s="1">
        <v>1</v>
      </c>
    </row>
    <row r="262" spans="1:72">
      <c r="A262" s="1" t="s">
        <v>1296</v>
      </c>
      <c r="B262" s="1" t="s">
        <v>213</v>
      </c>
      <c r="D262" s="1" t="s">
        <v>1297</v>
      </c>
      <c r="E262" s="1">
        <v>1049</v>
      </c>
      <c r="F262" s="1" t="str">
        <f t="shared" si="25"/>
        <v>enemy_1049_eagent_2</v>
      </c>
      <c r="G262" s="1">
        <v>1</v>
      </c>
      <c r="K262" s="1">
        <v>9000</v>
      </c>
      <c r="M262" s="1">
        <v>350</v>
      </c>
      <c r="O262" s="1">
        <v>230</v>
      </c>
      <c r="Q262" s="1">
        <v>50</v>
      </c>
      <c r="Y262" s="1">
        <v>0.05</v>
      </c>
      <c r="Z262" s="1">
        <v>2</v>
      </c>
      <c r="AA262" s="1">
        <v>2</v>
      </c>
      <c r="AB262" s="1">
        <v>0.9</v>
      </c>
      <c r="AG262" s="1">
        <v>0</v>
      </c>
      <c r="AH262" s="1">
        <v>1</v>
      </c>
      <c r="AI262" s="1" t="s">
        <v>1298</v>
      </c>
      <c r="AJ262" s="1" t="s">
        <v>216</v>
      </c>
      <c r="AK262" s="1" t="s">
        <v>1299</v>
      </c>
      <c r="AM262" s="1">
        <v>1</v>
      </c>
      <c r="AV262" s="1">
        <v>1</v>
      </c>
      <c r="AX262" s="1">
        <v>0.25</v>
      </c>
      <c r="BE262" s="1" t="str">
        <f t="shared" si="23"/>
        <v>enemy_1049_eagent_2</v>
      </c>
      <c r="BK262" s="1" t="s">
        <v>1012</v>
      </c>
      <c r="BL262" s="1" t="s">
        <v>1300</v>
      </c>
      <c r="BN262" s="1" t="s">
        <v>217</v>
      </c>
      <c r="BO262" s="1" t="s">
        <v>218</v>
      </c>
      <c r="BP262" s="1" t="s">
        <v>239</v>
      </c>
      <c r="BQ262" s="1" t="s">
        <v>220</v>
      </c>
      <c r="BT262" s="1">
        <v>1</v>
      </c>
    </row>
    <row r="263" spans="1:72">
      <c r="A263" s="1" t="s">
        <v>1301</v>
      </c>
      <c r="B263" s="1" t="s">
        <v>213</v>
      </c>
      <c r="D263" s="1" t="s">
        <v>1302</v>
      </c>
      <c r="E263" s="1">
        <v>1050</v>
      </c>
      <c r="F263" s="1" t="str">
        <f t="shared" si="25"/>
        <v>enemy_1050_lslime</v>
      </c>
      <c r="G263" s="1">
        <v>1</v>
      </c>
      <c r="K263" s="1">
        <v>40000</v>
      </c>
      <c r="M263" s="1">
        <v>230</v>
      </c>
      <c r="O263" s="1">
        <v>220</v>
      </c>
      <c r="Q263" s="1">
        <v>70</v>
      </c>
      <c r="Y263" s="1">
        <v>0.05</v>
      </c>
      <c r="Z263" s="1">
        <v>3.5</v>
      </c>
      <c r="AA263" s="1">
        <v>4</v>
      </c>
      <c r="AB263" s="1">
        <v>0.65</v>
      </c>
      <c r="AG263" s="1">
        <v>0</v>
      </c>
      <c r="AH263" s="1">
        <v>1</v>
      </c>
      <c r="AI263" s="1" t="s">
        <v>1303</v>
      </c>
      <c r="AJ263" s="1" t="s">
        <v>216</v>
      </c>
      <c r="AK263" s="1" t="s">
        <v>1304</v>
      </c>
      <c r="AM263" s="1">
        <v>1</v>
      </c>
      <c r="AV263" s="1">
        <v>1</v>
      </c>
      <c r="AX263" s="1">
        <v>0.25</v>
      </c>
      <c r="BE263" s="1" t="str">
        <f t="shared" si="23"/>
        <v>enemy_1050_lslime</v>
      </c>
      <c r="BK263" s="1" t="s">
        <v>1305</v>
      </c>
      <c r="BL263" s="1" t="s">
        <v>1306</v>
      </c>
      <c r="BN263" s="1" t="s">
        <v>217</v>
      </c>
      <c r="BO263" s="1" t="s">
        <v>218</v>
      </c>
      <c r="BP263" s="1" t="s">
        <v>239</v>
      </c>
      <c r="BQ263" s="1" t="s">
        <v>220</v>
      </c>
      <c r="BT263" s="1">
        <v>1</v>
      </c>
    </row>
    <row r="264" spans="1:72">
      <c r="A264" s="1" t="s">
        <v>1307</v>
      </c>
      <c r="B264" s="1" t="s">
        <v>213</v>
      </c>
      <c r="D264" s="1" t="s">
        <v>1308</v>
      </c>
      <c r="E264" s="1">
        <v>1051</v>
      </c>
      <c r="F264" s="1" t="str">
        <f t="shared" si="25"/>
        <v>enemy_1051_norwiz</v>
      </c>
      <c r="G264" s="1">
        <v>1</v>
      </c>
      <c r="K264" s="1">
        <v>3000</v>
      </c>
      <c r="M264" s="1">
        <v>320</v>
      </c>
      <c r="O264" s="1">
        <v>100</v>
      </c>
      <c r="Q264" s="1">
        <v>50</v>
      </c>
      <c r="Y264" s="1">
        <v>0.05</v>
      </c>
      <c r="Z264" s="1">
        <v>4</v>
      </c>
      <c r="AA264" s="1">
        <v>1</v>
      </c>
      <c r="AB264" s="1">
        <v>0.8</v>
      </c>
      <c r="AG264" s="1">
        <v>0</v>
      </c>
      <c r="AH264" s="1">
        <v>1</v>
      </c>
      <c r="AI264" s="1" t="s">
        <v>1309</v>
      </c>
      <c r="AJ264" s="1" t="s">
        <v>216</v>
      </c>
      <c r="AK264" s="1" t="s">
        <v>1310</v>
      </c>
      <c r="AM264" s="1">
        <v>1</v>
      </c>
      <c r="AV264" s="1">
        <v>1</v>
      </c>
      <c r="AX264" s="1">
        <v>0.25</v>
      </c>
      <c r="BE264" s="1" t="str">
        <f t="shared" si="23"/>
        <v>enemy_1051_norwiz</v>
      </c>
      <c r="BK264" s="1" t="s">
        <v>959</v>
      </c>
      <c r="BL264" s="1" t="s">
        <v>1311</v>
      </c>
      <c r="BN264" s="1" t="s">
        <v>217</v>
      </c>
      <c r="BO264" s="1" t="s">
        <v>218</v>
      </c>
      <c r="BP264" s="1" t="s">
        <v>239</v>
      </c>
      <c r="BQ264" s="1" t="s">
        <v>220</v>
      </c>
      <c r="BT264" s="1">
        <v>1</v>
      </c>
    </row>
    <row r="265" spans="1:72">
      <c r="A265" s="1" t="s">
        <v>1312</v>
      </c>
      <c r="B265" s="1" t="s">
        <v>213</v>
      </c>
      <c r="D265" s="1" t="s">
        <v>1313</v>
      </c>
      <c r="E265" s="1">
        <v>1051</v>
      </c>
      <c r="F265" s="1" t="str">
        <f t="shared" si="25"/>
        <v>enemy_1051_norwiz_2</v>
      </c>
      <c r="G265" s="1">
        <v>1</v>
      </c>
      <c r="K265" s="1">
        <v>4000</v>
      </c>
      <c r="M265" s="1">
        <v>350</v>
      </c>
      <c r="O265" s="1">
        <v>200</v>
      </c>
      <c r="Q265" s="1">
        <v>50</v>
      </c>
      <c r="Y265" s="1">
        <v>0.05</v>
      </c>
      <c r="Z265" s="1">
        <v>4</v>
      </c>
      <c r="AA265" s="1">
        <v>1</v>
      </c>
      <c r="AB265" s="1">
        <v>0.8</v>
      </c>
      <c r="AG265" s="1">
        <v>0</v>
      </c>
      <c r="AH265" s="1">
        <v>1</v>
      </c>
      <c r="AI265" s="1" t="s">
        <v>1314</v>
      </c>
      <c r="AJ265" s="1" t="s">
        <v>216</v>
      </c>
      <c r="AK265" s="1" t="s">
        <v>1310</v>
      </c>
      <c r="AM265" s="1">
        <v>1</v>
      </c>
      <c r="AV265" s="1">
        <v>1</v>
      </c>
      <c r="AX265" s="1">
        <v>0.25</v>
      </c>
      <c r="BE265" s="1" t="str">
        <f t="shared" si="23"/>
        <v>enemy_1051_norwiz_2</v>
      </c>
      <c r="BK265" s="1" t="s">
        <v>959</v>
      </c>
      <c r="BL265" s="1" t="s">
        <v>1315</v>
      </c>
      <c r="BN265" s="1" t="s">
        <v>217</v>
      </c>
      <c r="BO265" s="1" t="s">
        <v>218</v>
      </c>
      <c r="BP265" s="1" t="s">
        <v>239</v>
      </c>
      <c r="BQ265" s="1" t="s">
        <v>220</v>
      </c>
      <c r="BT265" s="1">
        <v>1</v>
      </c>
    </row>
    <row r="266" spans="1:72">
      <c r="A266" s="1" t="s">
        <v>312</v>
      </c>
      <c r="B266" s="1" t="s">
        <v>213</v>
      </c>
      <c r="D266" s="1" t="s">
        <v>1316</v>
      </c>
      <c r="E266" s="1">
        <v>1052</v>
      </c>
      <c r="F266" s="1" t="str">
        <f t="shared" si="25"/>
        <v>enemy_1052_noramr</v>
      </c>
      <c r="G266" s="1">
        <v>1</v>
      </c>
      <c r="K266" s="1">
        <v>2500</v>
      </c>
      <c r="M266" s="1">
        <v>200</v>
      </c>
      <c r="O266" s="1">
        <v>400</v>
      </c>
      <c r="Q266" s="1">
        <v>0</v>
      </c>
      <c r="Y266" s="1">
        <v>0.05</v>
      </c>
      <c r="Z266" s="1">
        <v>2</v>
      </c>
      <c r="AA266" s="1">
        <v>1</v>
      </c>
      <c r="AB266" s="1">
        <v>1</v>
      </c>
      <c r="AG266" s="1">
        <v>0</v>
      </c>
      <c r="AH266" s="1">
        <v>1</v>
      </c>
      <c r="AI266" s="1" t="s">
        <v>311</v>
      </c>
      <c r="AJ266" s="1" t="s">
        <v>216</v>
      </c>
      <c r="AK266" s="1" t="s">
        <v>238</v>
      </c>
      <c r="AM266" s="1">
        <v>1</v>
      </c>
      <c r="AV266" s="1">
        <v>1</v>
      </c>
      <c r="AX266" s="1">
        <v>0.25</v>
      </c>
      <c r="BE266" s="1" t="str">
        <f t="shared" si="23"/>
        <v>enemy_1052_noramr</v>
      </c>
      <c r="BK266" s="1" t="s">
        <v>953</v>
      </c>
      <c r="BL266" s="1" t="s">
        <v>1317</v>
      </c>
      <c r="BN266" s="1" t="s">
        <v>217</v>
      </c>
      <c r="BO266" s="1" t="s">
        <v>218</v>
      </c>
      <c r="BP266" s="1" t="s">
        <v>239</v>
      </c>
      <c r="BQ266" s="1" t="s">
        <v>220</v>
      </c>
      <c r="BT266" s="1">
        <v>1</v>
      </c>
    </row>
    <row r="267" spans="1:72">
      <c r="A267" s="1" t="s">
        <v>1318</v>
      </c>
      <c r="B267" s="1" t="s">
        <v>213</v>
      </c>
      <c r="D267" s="1" t="s">
        <v>1319</v>
      </c>
      <c r="E267" s="1">
        <v>1052</v>
      </c>
      <c r="F267" s="1" t="str">
        <f t="shared" si="25"/>
        <v>enemy_1052_noramr_2</v>
      </c>
      <c r="G267" s="1">
        <v>1</v>
      </c>
      <c r="K267" s="1">
        <v>3700</v>
      </c>
      <c r="M267" s="1">
        <v>300</v>
      </c>
      <c r="O267" s="1">
        <v>500</v>
      </c>
      <c r="Q267" s="1">
        <v>0</v>
      </c>
      <c r="Y267" s="1">
        <v>0.05</v>
      </c>
      <c r="Z267" s="1">
        <v>2</v>
      </c>
      <c r="AA267" s="1">
        <v>1</v>
      </c>
      <c r="AB267" s="1">
        <v>1</v>
      </c>
      <c r="AG267" s="1">
        <v>0</v>
      </c>
      <c r="AH267" s="1">
        <v>1</v>
      </c>
      <c r="AI267" s="1" t="s">
        <v>1320</v>
      </c>
      <c r="AJ267" s="1" t="s">
        <v>216</v>
      </c>
      <c r="AK267" s="1" t="s">
        <v>238</v>
      </c>
      <c r="AM267" s="1">
        <v>1</v>
      </c>
      <c r="AV267" s="1">
        <v>1</v>
      </c>
      <c r="AX267" s="1">
        <v>0.25</v>
      </c>
      <c r="BE267" s="1" t="str">
        <f t="shared" si="23"/>
        <v>enemy_1052_noramr_2</v>
      </c>
      <c r="BK267" s="1" t="s">
        <v>953</v>
      </c>
      <c r="BL267" s="1" t="s">
        <v>1321</v>
      </c>
      <c r="BN267" s="1" t="s">
        <v>217</v>
      </c>
      <c r="BO267" s="1" t="s">
        <v>218</v>
      </c>
      <c r="BP267" s="1" t="s">
        <v>239</v>
      </c>
      <c r="BQ267" s="1" t="s">
        <v>220</v>
      </c>
      <c r="BT267" s="1">
        <v>1</v>
      </c>
    </row>
    <row r="268" spans="1:72">
      <c r="A268" s="1" t="s">
        <v>1322</v>
      </c>
      <c r="B268" s="1" t="s">
        <v>213</v>
      </c>
      <c r="D268" s="1" t="s">
        <v>1323</v>
      </c>
      <c r="E268" s="1">
        <v>1053</v>
      </c>
      <c r="F268" s="1" t="str">
        <f t="shared" si="25"/>
        <v>enemy_1053_norgst</v>
      </c>
      <c r="G268" s="1">
        <v>1</v>
      </c>
      <c r="K268" s="1">
        <v>2300</v>
      </c>
      <c r="M268" s="1">
        <v>100</v>
      </c>
      <c r="O268" s="1">
        <v>120</v>
      </c>
      <c r="Q268" s="1">
        <v>40</v>
      </c>
      <c r="Y268" s="1">
        <v>0.05</v>
      </c>
      <c r="Z268" s="1">
        <v>1</v>
      </c>
      <c r="AA268" s="1">
        <v>1</v>
      </c>
      <c r="AB268" s="1">
        <v>1.2</v>
      </c>
      <c r="AG268" s="1">
        <v>0</v>
      </c>
      <c r="AH268" s="1">
        <v>1</v>
      </c>
      <c r="AI268" s="1" t="s">
        <v>1324</v>
      </c>
      <c r="AJ268" s="1" t="s">
        <v>216</v>
      </c>
      <c r="AK268" s="1" t="s">
        <v>1039</v>
      </c>
      <c r="AM268" s="1">
        <v>1</v>
      </c>
      <c r="AV268" s="1">
        <v>1</v>
      </c>
      <c r="AX268" s="1">
        <v>0.25</v>
      </c>
      <c r="BE268" s="1" t="str">
        <f t="shared" si="23"/>
        <v>enemy_1053_norgst</v>
      </c>
      <c r="BK268" s="1" t="s">
        <v>1040</v>
      </c>
      <c r="BL268" s="1" t="s">
        <v>1325</v>
      </c>
      <c r="BN268" s="1" t="s">
        <v>217</v>
      </c>
      <c r="BO268" s="1" t="s">
        <v>218</v>
      </c>
      <c r="BP268" s="1" t="s">
        <v>239</v>
      </c>
      <c r="BQ268" s="1" t="s">
        <v>220</v>
      </c>
      <c r="BT268" s="1">
        <v>1</v>
      </c>
    </row>
    <row r="269" spans="1:72">
      <c r="A269" s="1" t="s">
        <v>1326</v>
      </c>
      <c r="B269" s="1" t="s">
        <v>213</v>
      </c>
      <c r="D269" s="1" t="s">
        <v>1327</v>
      </c>
      <c r="E269" s="1">
        <v>1053</v>
      </c>
      <c r="F269" s="1" t="str">
        <f t="shared" si="25"/>
        <v>enemy_1053_norgst_2</v>
      </c>
      <c r="G269" s="1">
        <v>1</v>
      </c>
      <c r="K269" s="1">
        <v>3800</v>
      </c>
      <c r="M269" s="1">
        <v>100</v>
      </c>
      <c r="O269" s="1">
        <v>260</v>
      </c>
      <c r="Q269" s="1">
        <v>45</v>
      </c>
      <c r="Y269" s="1">
        <v>0.05</v>
      </c>
      <c r="Z269" s="1">
        <v>1</v>
      </c>
      <c r="AA269" s="1">
        <v>1</v>
      </c>
      <c r="AB269" s="1">
        <v>1.2</v>
      </c>
      <c r="AG269" s="1">
        <v>0</v>
      </c>
      <c r="AH269" s="1">
        <v>1</v>
      </c>
      <c r="AI269" s="1" t="s">
        <v>1328</v>
      </c>
      <c r="AJ269" s="1" t="s">
        <v>216</v>
      </c>
      <c r="AK269" s="1" t="s">
        <v>1039</v>
      </c>
      <c r="AM269" s="1">
        <v>1</v>
      </c>
      <c r="AV269" s="1">
        <v>1</v>
      </c>
      <c r="AX269" s="1">
        <v>0.25</v>
      </c>
      <c r="BE269" s="1" t="str">
        <f t="shared" si="23"/>
        <v>enemy_1053_norgst_2</v>
      </c>
      <c r="BK269" s="1" t="s">
        <v>1040</v>
      </c>
      <c r="BL269" s="1" t="s">
        <v>1329</v>
      </c>
      <c r="BN269" s="1" t="s">
        <v>217</v>
      </c>
      <c r="BO269" s="1" t="s">
        <v>218</v>
      </c>
      <c r="BP269" s="1" t="s">
        <v>239</v>
      </c>
      <c r="BQ269" s="1" t="s">
        <v>220</v>
      </c>
      <c r="BT269" s="1">
        <v>1</v>
      </c>
    </row>
    <row r="270" spans="1:72">
      <c r="A270" s="1" t="s">
        <v>1330</v>
      </c>
      <c r="B270" s="1" t="s">
        <v>213</v>
      </c>
      <c r="D270" s="1" t="s">
        <v>1331</v>
      </c>
      <c r="E270" s="1">
        <v>1054</v>
      </c>
      <c r="F270" s="1" t="str">
        <f t="shared" si="25"/>
        <v>enemy_1054_norshd</v>
      </c>
      <c r="G270" s="1">
        <v>1</v>
      </c>
      <c r="K270" s="1">
        <v>10000</v>
      </c>
      <c r="M270" s="1">
        <v>700</v>
      </c>
      <c r="O270" s="1">
        <v>800</v>
      </c>
      <c r="Q270" s="1">
        <v>0</v>
      </c>
      <c r="Y270" s="1">
        <v>0.05</v>
      </c>
      <c r="Z270" s="1">
        <v>2.6</v>
      </c>
      <c r="AA270" s="1">
        <v>3</v>
      </c>
      <c r="AB270" s="1">
        <v>0.75</v>
      </c>
      <c r="AG270" s="1">
        <v>0</v>
      </c>
      <c r="AH270" s="1">
        <v>1</v>
      </c>
      <c r="AI270" s="1" t="s">
        <v>1332</v>
      </c>
      <c r="AJ270" s="1" t="s">
        <v>216</v>
      </c>
      <c r="AK270" s="1" t="s">
        <v>238</v>
      </c>
      <c r="AM270" s="1">
        <v>1</v>
      </c>
      <c r="AV270" s="1">
        <v>1</v>
      </c>
      <c r="AX270" s="1">
        <v>0.25</v>
      </c>
      <c r="BE270" s="1" t="str">
        <f t="shared" si="23"/>
        <v>enemy_1054_norshd</v>
      </c>
      <c r="BK270" s="1" t="s">
        <v>1012</v>
      </c>
      <c r="BL270" s="1" t="s">
        <v>1333</v>
      </c>
      <c r="BN270" s="1" t="s">
        <v>217</v>
      </c>
      <c r="BO270" s="1" t="s">
        <v>218</v>
      </c>
      <c r="BP270" s="1" t="s">
        <v>219</v>
      </c>
      <c r="BQ270" s="1" t="s">
        <v>220</v>
      </c>
      <c r="BT270" s="1">
        <v>1</v>
      </c>
    </row>
    <row r="271" spans="1:72">
      <c r="A271" s="1" t="s">
        <v>1334</v>
      </c>
      <c r="B271" s="1" t="s">
        <v>213</v>
      </c>
      <c r="D271" s="1" t="s">
        <v>1335</v>
      </c>
      <c r="E271" s="1">
        <v>1054</v>
      </c>
      <c r="F271" s="1" t="str">
        <f t="shared" si="25"/>
        <v>enemy_1054_norshd_2</v>
      </c>
      <c r="G271" s="1">
        <v>1</v>
      </c>
      <c r="K271" s="1">
        <v>14000</v>
      </c>
      <c r="M271" s="1">
        <v>700</v>
      </c>
      <c r="O271" s="1">
        <v>1000</v>
      </c>
      <c r="Q271" s="1">
        <v>0</v>
      </c>
      <c r="Y271" s="1">
        <v>0.05</v>
      </c>
      <c r="Z271" s="1">
        <v>2.6</v>
      </c>
      <c r="AA271" s="1">
        <v>3</v>
      </c>
      <c r="AB271" s="1">
        <v>0.75</v>
      </c>
      <c r="AG271" s="1">
        <v>0</v>
      </c>
      <c r="AH271" s="1">
        <v>1</v>
      </c>
      <c r="AI271" s="1" t="s">
        <v>1336</v>
      </c>
      <c r="AJ271" s="1" t="s">
        <v>216</v>
      </c>
      <c r="AK271" s="1" t="s">
        <v>238</v>
      </c>
      <c r="AM271" s="1">
        <v>1</v>
      </c>
      <c r="AV271" s="1">
        <v>1</v>
      </c>
      <c r="AX271" s="1">
        <v>0.25</v>
      </c>
      <c r="BE271" s="1" t="str">
        <f t="shared" si="23"/>
        <v>enemy_1054_norshd_2</v>
      </c>
      <c r="BK271" s="1" t="s">
        <v>1012</v>
      </c>
      <c r="BL271" s="1" t="s">
        <v>1337</v>
      </c>
      <c r="BN271" s="1" t="s">
        <v>217</v>
      </c>
      <c r="BO271" s="1" t="s">
        <v>218</v>
      </c>
      <c r="BP271" s="1" t="s">
        <v>219</v>
      </c>
      <c r="BQ271" s="1" t="s">
        <v>220</v>
      </c>
      <c r="BT271" s="1">
        <v>1</v>
      </c>
    </row>
    <row r="272" spans="1:72">
      <c r="A272" s="1" t="s">
        <v>1338</v>
      </c>
      <c r="B272" s="1" t="s">
        <v>213</v>
      </c>
      <c r="D272" s="1" t="s">
        <v>1339</v>
      </c>
      <c r="E272" s="1">
        <v>1500</v>
      </c>
      <c r="F272" s="1" t="str">
        <f t="shared" si="25"/>
        <v>enemy_1500_skulsr</v>
      </c>
      <c r="G272" s="1">
        <v>1</v>
      </c>
      <c r="K272" s="1">
        <v>10500</v>
      </c>
      <c r="M272" s="1">
        <v>1000</v>
      </c>
      <c r="O272" s="1">
        <v>150</v>
      </c>
      <c r="Q272" s="1">
        <v>30</v>
      </c>
      <c r="Y272" s="1">
        <v>0.05</v>
      </c>
      <c r="Z272" s="1">
        <v>3</v>
      </c>
      <c r="AA272" s="1">
        <v>5</v>
      </c>
      <c r="AB272" s="1">
        <v>0.6</v>
      </c>
      <c r="AG272" s="1">
        <v>0</v>
      </c>
      <c r="AH272" s="1">
        <v>1</v>
      </c>
      <c r="AI272" s="1" t="s">
        <v>1340</v>
      </c>
      <c r="AJ272" s="1" t="s">
        <v>216</v>
      </c>
      <c r="AK272" s="1" t="s">
        <v>1341</v>
      </c>
      <c r="AM272" s="1">
        <v>1</v>
      </c>
      <c r="AV272" s="1">
        <v>1</v>
      </c>
      <c r="AX272" s="1">
        <v>0.25</v>
      </c>
      <c r="BE272" s="1" t="str">
        <f t="shared" si="23"/>
        <v>enemy_1500_skulsr</v>
      </c>
      <c r="BK272" s="1" t="s">
        <v>1342</v>
      </c>
      <c r="BL272" s="1" t="s">
        <v>1343</v>
      </c>
      <c r="BN272" s="1" t="s">
        <v>217</v>
      </c>
      <c r="BO272" s="1" t="s">
        <v>218</v>
      </c>
      <c r="BP272" s="1" t="s">
        <v>1344</v>
      </c>
      <c r="BQ272" s="1" t="s">
        <v>220</v>
      </c>
      <c r="BT272" s="1">
        <v>1</v>
      </c>
    </row>
    <row r="273" spans="1:72">
      <c r="A273" s="1" t="s">
        <v>1345</v>
      </c>
      <c r="B273" s="1" t="s">
        <v>213</v>
      </c>
      <c r="D273" s="1" t="s">
        <v>290</v>
      </c>
      <c r="E273" s="1">
        <v>1502</v>
      </c>
      <c r="F273" s="1" t="str">
        <f t="shared" si="25"/>
        <v>enemy_1502_crowns</v>
      </c>
      <c r="G273" s="1">
        <v>1</v>
      </c>
      <c r="K273" s="1">
        <v>6000</v>
      </c>
      <c r="M273" s="1">
        <v>400</v>
      </c>
      <c r="O273" s="1">
        <v>120</v>
      </c>
      <c r="Q273" s="1">
        <v>50</v>
      </c>
      <c r="Y273" s="1">
        <v>0.05</v>
      </c>
      <c r="Z273" s="1">
        <v>2.8</v>
      </c>
      <c r="AA273" s="1">
        <v>1</v>
      </c>
      <c r="AB273" s="1">
        <v>1.4</v>
      </c>
      <c r="AG273" s="1">
        <v>0</v>
      </c>
      <c r="AH273" s="1">
        <v>1</v>
      </c>
      <c r="AI273" s="1" t="s">
        <v>289</v>
      </c>
      <c r="AJ273" s="1" t="s">
        <v>216</v>
      </c>
      <c r="AK273" s="1" t="s">
        <v>292</v>
      </c>
      <c r="AM273" s="1">
        <v>1</v>
      </c>
      <c r="AV273" s="1">
        <v>1</v>
      </c>
      <c r="AX273" s="1">
        <v>0.25</v>
      </c>
      <c r="BE273" s="1" t="str">
        <f t="shared" si="23"/>
        <v>enemy_1502_crowns</v>
      </c>
      <c r="BK273" s="1" t="s">
        <v>1019</v>
      </c>
      <c r="BL273" s="1" t="s">
        <v>1346</v>
      </c>
      <c r="BN273" s="1" t="s">
        <v>217</v>
      </c>
      <c r="BO273" s="1" t="s">
        <v>218</v>
      </c>
      <c r="BP273" s="1" t="s">
        <v>239</v>
      </c>
      <c r="BQ273" s="1" t="s">
        <v>220</v>
      </c>
      <c r="BT273" s="1">
        <v>1</v>
      </c>
    </row>
    <row r="274" spans="1:72">
      <c r="A274" s="1" t="s">
        <v>1347</v>
      </c>
      <c r="B274" s="1" t="s">
        <v>213</v>
      </c>
      <c r="D274" s="1" t="s">
        <v>1348</v>
      </c>
      <c r="E274" s="1">
        <v>1504</v>
      </c>
      <c r="F274" s="1" t="str">
        <f t="shared" si="25"/>
        <v>enemy_1504_cqbw</v>
      </c>
      <c r="G274" s="1">
        <v>1</v>
      </c>
      <c r="K274" s="1">
        <v>10000</v>
      </c>
      <c r="M274" s="1">
        <v>470</v>
      </c>
      <c r="O274" s="1">
        <v>100</v>
      </c>
      <c r="Q274" s="1">
        <v>50</v>
      </c>
      <c r="Y274" s="1">
        <v>0.05</v>
      </c>
      <c r="Z274" s="1">
        <v>4</v>
      </c>
      <c r="AA274" s="1">
        <v>5</v>
      </c>
      <c r="AB274" s="1">
        <v>1.2</v>
      </c>
      <c r="AG274" s="1">
        <v>0</v>
      </c>
      <c r="AH274" s="1">
        <v>1</v>
      </c>
      <c r="AI274" s="1" t="s">
        <v>1349</v>
      </c>
      <c r="AJ274" s="1" t="s">
        <v>216</v>
      </c>
      <c r="AK274" s="1" t="s">
        <v>1350</v>
      </c>
      <c r="AM274" s="1">
        <v>1</v>
      </c>
      <c r="AV274" s="1">
        <v>1</v>
      </c>
      <c r="AX274" s="1">
        <v>0.25</v>
      </c>
      <c r="BE274" s="1" t="str">
        <f t="shared" si="23"/>
        <v>enemy_1504_cqbw</v>
      </c>
      <c r="BK274" s="1" t="s">
        <v>1351</v>
      </c>
      <c r="BL274" s="1" t="s">
        <v>1352</v>
      </c>
      <c r="BN274" s="1" t="s">
        <v>217</v>
      </c>
      <c r="BO274" s="1" t="s">
        <v>218</v>
      </c>
      <c r="BP274" s="1" t="s">
        <v>239</v>
      </c>
      <c r="BQ274" s="1" t="s">
        <v>220</v>
      </c>
      <c r="BT274" s="1">
        <v>1</v>
      </c>
    </row>
    <row r="275" spans="1:72">
      <c r="A275" s="1" t="s">
        <v>1353</v>
      </c>
      <c r="B275" s="1" t="s">
        <v>213</v>
      </c>
      <c r="D275" s="1" t="s">
        <v>1354</v>
      </c>
      <c r="E275" s="1">
        <v>1505</v>
      </c>
      <c r="F275" s="1" t="str">
        <f t="shared" si="25"/>
        <v>enemy_1505_frstar</v>
      </c>
      <c r="G275" s="1">
        <v>1</v>
      </c>
      <c r="K275" s="1">
        <v>25000</v>
      </c>
      <c r="M275" s="1">
        <v>420</v>
      </c>
      <c r="O275" s="1">
        <v>250</v>
      </c>
      <c r="Q275" s="1">
        <v>50</v>
      </c>
      <c r="Y275" s="1">
        <v>0.05</v>
      </c>
      <c r="Z275" s="1">
        <v>3.7</v>
      </c>
      <c r="AA275" s="1">
        <v>5</v>
      </c>
      <c r="AB275" s="1">
        <v>0.5</v>
      </c>
      <c r="AG275" s="1">
        <v>0</v>
      </c>
      <c r="AH275" s="1">
        <v>1</v>
      </c>
      <c r="AI275" s="1" t="s">
        <v>240</v>
      </c>
      <c r="AJ275" s="1" t="s">
        <v>243</v>
      </c>
      <c r="AK275" s="1" t="s">
        <v>1355</v>
      </c>
      <c r="AM275" s="1">
        <v>1</v>
      </c>
      <c r="AV275" s="1">
        <v>1</v>
      </c>
      <c r="AX275" s="1">
        <v>0.25</v>
      </c>
      <c r="BE275" s="1" t="str">
        <f t="shared" si="23"/>
        <v>enemy_1505_frstar</v>
      </c>
      <c r="BK275" s="1" t="s">
        <v>1114</v>
      </c>
      <c r="BL275" s="1" t="s">
        <v>1356</v>
      </c>
      <c r="BN275" s="1" t="s">
        <v>217</v>
      </c>
      <c r="BO275" s="1" t="s">
        <v>218</v>
      </c>
      <c r="BP275" s="1" t="s">
        <v>239</v>
      </c>
      <c r="BQ275" s="1" t="s">
        <v>220</v>
      </c>
      <c r="BT275" s="1">
        <v>1</v>
      </c>
    </row>
    <row r="276" spans="1:72">
      <c r="A276" s="1" t="s">
        <v>1357</v>
      </c>
      <c r="B276" s="1" t="s">
        <v>213</v>
      </c>
      <c r="D276" s="1" t="s">
        <v>1358</v>
      </c>
      <c r="E276" s="1">
        <v>1507</v>
      </c>
      <c r="F276" s="1" t="str">
        <f t="shared" si="25"/>
        <v>enemy_1507_mephi</v>
      </c>
      <c r="G276" s="1">
        <v>1</v>
      </c>
      <c r="K276" s="1">
        <v>28000</v>
      </c>
      <c r="M276" s="1">
        <v>500</v>
      </c>
      <c r="O276" s="1">
        <v>200</v>
      </c>
      <c r="Q276" s="1">
        <v>60</v>
      </c>
      <c r="Y276" s="1">
        <v>0.05</v>
      </c>
      <c r="Z276" s="1">
        <v>6</v>
      </c>
      <c r="AA276" s="1">
        <v>3</v>
      </c>
      <c r="AB276" s="1">
        <v>0.5</v>
      </c>
      <c r="AG276" s="1">
        <v>0</v>
      </c>
      <c r="AH276" s="1">
        <v>1</v>
      </c>
      <c r="AI276" s="1" t="s">
        <v>1359</v>
      </c>
      <c r="AJ276" s="1" t="s">
        <v>216</v>
      </c>
      <c r="AK276" s="1" t="s">
        <v>1360</v>
      </c>
      <c r="AM276" s="1">
        <v>1</v>
      </c>
      <c r="AV276" s="1">
        <v>1</v>
      </c>
      <c r="AX276" s="1">
        <v>0.25</v>
      </c>
      <c r="BE276" s="1" t="str">
        <f t="shared" si="23"/>
        <v>enemy_1507_mephi</v>
      </c>
      <c r="BK276" s="1" t="s">
        <v>1361</v>
      </c>
      <c r="BL276" s="1" t="s">
        <v>1362</v>
      </c>
      <c r="BN276" s="1" t="s">
        <v>217</v>
      </c>
      <c r="BO276" s="1" t="s">
        <v>218</v>
      </c>
      <c r="BP276" s="1" t="s">
        <v>239</v>
      </c>
      <c r="BQ276" s="1" t="s">
        <v>220</v>
      </c>
      <c r="BT276" s="1">
        <v>1</v>
      </c>
    </row>
    <row r="277" spans="1:72">
      <c r="A277" s="1" t="s">
        <v>1363</v>
      </c>
      <c r="B277" s="1" t="s">
        <v>213</v>
      </c>
      <c r="D277" s="1" t="s">
        <v>1364</v>
      </c>
      <c r="E277" s="1">
        <v>1508</v>
      </c>
      <c r="F277" s="1" t="str">
        <f t="shared" si="25"/>
        <v>enemy_1508_faust</v>
      </c>
      <c r="G277" s="1">
        <v>1</v>
      </c>
      <c r="K277" s="1">
        <v>37000</v>
      </c>
      <c r="M277" s="1">
        <v>1000</v>
      </c>
      <c r="O277" s="1">
        <v>350</v>
      </c>
      <c r="Q277" s="1">
        <v>35</v>
      </c>
      <c r="Y277" s="1">
        <v>0.05</v>
      </c>
      <c r="Z277" s="1">
        <v>5</v>
      </c>
      <c r="AA277" s="1">
        <v>5</v>
      </c>
      <c r="AB277" s="1">
        <v>0.5</v>
      </c>
      <c r="AG277" s="1">
        <v>0</v>
      </c>
      <c r="AH277" s="1">
        <v>1</v>
      </c>
      <c r="AI277" s="1" t="s">
        <v>1365</v>
      </c>
      <c r="AJ277" s="1" t="s">
        <v>216</v>
      </c>
      <c r="AK277" s="1" t="s">
        <v>1366</v>
      </c>
      <c r="AM277" s="1">
        <v>1</v>
      </c>
      <c r="AV277" s="1">
        <v>1</v>
      </c>
      <c r="AW277" s="1" t="s">
        <v>1367</v>
      </c>
      <c r="AX277" s="1">
        <v>0.25</v>
      </c>
      <c r="BE277" s="1" t="str">
        <f t="shared" si="23"/>
        <v>enemy_1508_faust</v>
      </c>
      <c r="BK277" s="1" t="s">
        <v>1351</v>
      </c>
      <c r="BL277" s="1" t="s">
        <v>1368</v>
      </c>
      <c r="BN277" s="1" t="s">
        <v>217</v>
      </c>
      <c r="BO277" s="1" t="s">
        <v>218</v>
      </c>
      <c r="BP277" s="1" t="s">
        <v>239</v>
      </c>
      <c r="BQ277" s="1" t="s">
        <v>220</v>
      </c>
      <c r="BT277" s="1">
        <v>1</v>
      </c>
    </row>
    <row r="278" spans="1:72">
      <c r="A278" s="1" t="s">
        <v>1369</v>
      </c>
      <c r="B278" s="1" t="s">
        <v>213</v>
      </c>
      <c r="D278" s="1" t="s">
        <v>1370</v>
      </c>
      <c r="E278" s="1">
        <v>1055</v>
      </c>
      <c r="F278" s="1" t="str">
        <f t="shared" si="25"/>
        <v>enemy_1055_ganman</v>
      </c>
      <c r="G278" s="1">
        <v>1</v>
      </c>
      <c r="K278" s="1">
        <v>2700</v>
      </c>
      <c r="M278" s="1">
        <v>250</v>
      </c>
      <c r="O278" s="1">
        <v>100</v>
      </c>
      <c r="Q278" s="1">
        <v>10</v>
      </c>
      <c r="Y278" s="1">
        <v>0.05</v>
      </c>
      <c r="Z278" s="1">
        <v>2</v>
      </c>
      <c r="AA278" s="1">
        <v>1</v>
      </c>
      <c r="AB278" s="1">
        <v>1</v>
      </c>
      <c r="AG278" s="1">
        <v>0</v>
      </c>
      <c r="AH278" s="1">
        <v>1</v>
      </c>
      <c r="AI278" s="1" t="s">
        <v>1371</v>
      </c>
      <c r="AJ278" s="1" t="s">
        <v>216</v>
      </c>
      <c r="AK278" s="1" t="s">
        <v>238</v>
      </c>
      <c r="AM278" s="1">
        <v>1</v>
      </c>
      <c r="AV278" s="1">
        <v>1</v>
      </c>
      <c r="AX278" s="1">
        <v>0.25</v>
      </c>
      <c r="BE278" s="1" t="str">
        <f t="shared" si="23"/>
        <v>enemy_1055_ganman</v>
      </c>
      <c r="BK278" s="1" t="s">
        <v>953</v>
      </c>
      <c r="BL278" s="1" t="s">
        <v>1372</v>
      </c>
      <c r="BN278" s="1" t="s">
        <v>217</v>
      </c>
      <c r="BO278" s="1" t="s">
        <v>218</v>
      </c>
      <c r="BP278" s="1" t="s">
        <v>239</v>
      </c>
      <c r="BQ278" s="1" t="s">
        <v>220</v>
      </c>
      <c r="BT278" s="1">
        <v>1</v>
      </c>
    </row>
    <row r="279" spans="1:72">
      <c r="A279" s="1" t="s">
        <v>1373</v>
      </c>
      <c r="B279" s="1" t="s">
        <v>213</v>
      </c>
      <c r="D279" s="1" t="s">
        <v>1374</v>
      </c>
      <c r="E279" s="1">
        <v>1055</v>
      </c>
      <c r="F279" s="1" t="str">
        <f t="shared" si="25"/>
        <v>enemy_1055_ganman_2</v>
      </c>
      <c r="G279" s="1">
        <v>1</v>
      </c>
      <c r="K279" s="1">
        <v>3800</v>
      </c>
      <c r="M279" s="1">
        <v>350</v>
      </c>
      <c r="O279" s="1">
        <v>160</v>
      </c>
      <c r="Q279" s="1">
        <v>10</v>
      </c>
      <c r="Y279" s="1">
        <v>0.05</v>
      </c>
      <c r="Z279" s="1">
        <v>2</v>
      </c>
      <c r="AA279" s="1">
        <v>1</v>
      </c>
      <c r="AB279" s="1">
        <v>1</v>
      </c>
      <c r="AG279" s="1">
        <v>0</v>
      </c>
      <c r="AH279" s="1">
        <v>1</v>
      </c>
      <c r="AI279" s="1" t="s">
        <v>1375</v>
      </c>
      <c r="AJ279" s="1" t="s">
        <v>216</v>
      </c>
      <c r="AK279" s="1" t="s">
        <v>238</v>
      </c>
      <c r="AM279" s="1">
        <v>1</v>
      </c>
      <c r="AV279" s="1">
        <v>1</v>
      </c>
      <c r="AX279" s="1">
        <v>0.25</v>
      </c>
      <c r="BE279" s="1" t="str">
        <f t="shared" si="23"/>
        <v>enemy_1055_ganman_2</v>
      </c>
      <c r="BK279" s="1" t="s">
        <v>953</v>
      </c>
      <c r="BL279" s="1" t="s">
        <v>1376</v>
      </c>
      <c r="BN279" s="1" t="s">
        <v>217</v>
      </c>
      <c r="BO279" s="1" t="s">
        <v>218</v>
      </c>
      <c r="BP279" s="1" t="s">
        <v>239</v>
      </c>
      <c r="BQ279" s="1" t="s">
        <v>220</v>
      </c>
      <c r="BT279" s="1">
        <v>1</v>
      </c>
    </row>
    <row r="280" spans="1:72">
      <c r="A280" s="1" t="s">
        <v>1377</v>
      </c>
      <c r="B280" s="1" t="s">
        <v>213</v>
      </c>
      <c r="D280" s="1" t="s">
        <v>1378</v>
      </c>
      <c r="E280" s="1">
        <v>1056</v>
      </c>
      <c r="F280" s="1" t="str">
        <f t="shared" si="25"/>
        <v>enemy_1056_ganwar</v>
      </c>
      <c r="G280" s="1">
        <v>1</v>
      </c>
      <c r="K280" s="1">
        <v>3200</v>
      </c>
      <c r="M280" s="1">
        <v>290</v>
      </c>
      <c r="O280" s="1">
        <v>250</v>
      </c>
      <c r="Q280" s="1">
        <v>0</v>
      </c>
      <c r="Y280" s="1">
        <v>0.05</v>
      </c>
      <c r="Z280" s="1">
        <v>0.4</v>
      </c>
      <c r="AA280" s="1">
        <v>1</v>
      </c>
      <c r="AB280" s="1">
        <v>0.95</v>
      </c>
      <c r="AG280" s="1">
        <v>0</v>
      </c>
      <c r="AH280" s="1">
        <v>1</v>
      </c>
      <c r="AI280" s="1" t="s">
        <v>1379</v>
      </c>
      <c r="AJ280" s="1" t="s">
        <v>216</v>
      </c>
      <c r="AK280" s="1" t="s">
        <v>238</v>
      </c>
      <c r="AM280" s="1">
        <v>1</v>
      </c>
      <c r="AV280" s="1">
        <v>1</v>
      </c>
      <c r="AX280" s="1">
        <v>0.25</v>
      </c>
      <c r="BE280" s="1" t="str">
        <f t="shared" si="23"/>
        <v>enemy_1056_ganwar</v>
      </c>
      <c r="BK280" s="1" t="s">
        <v>953</v>
      </c>
      <c r="BL280" s="1" t="s">
        <v>1380</v>
      </c>
      <c r="BN280" s="1" t="s">
        <v>217</v>
      </c>
      <c r="BO280" s="1" t="s">
        <v>218</v>
      </c>
      <c r="BP280" s="1" t="s">
        <v>239</v>
      </c>
      <c r="BQ280" s="1" t="s">
        <v>220</v>
      </c>
      <c r="BT280" s="1">
        <v>1</v>
      </c>
    </row>
    <row r="281" spans="1:72">
      <c r="A281" s="1" t="s">
        <v>1381</v>
      </c>
      <c r="B281" s="1" t="s">
        <v>213</v>
      </c>
      <c r="D281" s="1" t="s">
        <v>1382</v>
      </c>
      <c r="E281" s="1">
        <v>1056</v>
      </c>
      <c r="F281" s="1" t="str">
        <f t="shared" si="25"/>
        <v>enemy_1056_ganwar_2</v>
      </c>
      <c r="G281" s="1">
        <v>1</v>
      </c>
      <c r="K281" s="1">
        <v>4200</v>
      </c>
      <c r="M281" s="1">
        <v>380</v>
      </c>
      <c r="O281" s="1">
        <v>300</v>
      </c>
      <c r="Q281" s="1">
        <v>0</v>
      </c>
      <c r="Y281" s="1">
        <v>0.05</v>
      </c>
      <c r="Z281" s="1">
        <v>0.4</v>
      </c>
      <c r="AA281" s="1">
        <v>1</v>
      </c>
      <c r="AB281" s="1">
        <v>0.95</v>
      </c>
      <c r="AG281" s="1">
        <v>0</v>
      </c>
      <c r="AH281" s="1">
        <v>1</v>
      </c>
      <c r="AI281" s="1" t="s">
        <v>1383</v>
      </c>
      <c r="AJ281" s="1" t="s">
        <v>216</v>
      </c>
      <c r="AK281" s="1" t="s">
        <v>238</v>
      </c>
      <c r="AM281" s="1">
        <v>1</v>
      </c>
      <c r="AV281" s="1">
        <v>1</v>
      </c>
      <c r="AX281" s="1">
        <v>0.25</v>
      </c>
      <c r="BE281" s="1" t="str">
        <f t="shared" si="23"/>
        <v>enemy_1056_ganwar_2</v>
      </c>
      <c r="BK281" s="1" t="s">
        <v>953</v>
      </c>
      <c r="BL281" s="1" t="s">
        <v>1384</v>
      </c>
      <c r="BN281" s="1" t="s">
        <v>217</v>
      </c>
      <c r="BO281" s="1" t="s">
        <v>218</v>
      </c>
      <c r="BP281" s="1" t="s">
        <v>239</v>
      </c>
      <c r="BQ281" s="1" t="s">
        <v>220</v>
      </c>
      <c r="BT281" s="1">
        <v>1</v>
      </c>
    </row>
    <row r="282" spans="1:72">
      <c r="A282" s="1" t="s">
        <v>1385</v>
      </c>
      <c r="B282" s="1" t="s">
        <v>213</v>
      </c>
      <c r="D282" s="1" t="s">
        <v>1386</v>
      </c>
      <c r="E282" s="1">
        <v>1057</v>
      </c>
      <c r="F282" s="1" t="str">
        <f t="shared" si="25"/>
        <v>enemy_1057_gansho</v>
      </c>
      <c r="G282" s="1">
        <v>1</v>
      </c>
      <c r="K282" s="1">
        <v>3000</v>
      </c>
      <c r="M282" s="1">
        <v>180</v>
      </c>
      <c r="O282" s="1">
        <v>150</v>
      </c>
      <c r="Q282" s="1">
        <v>0</v>
      </c>
      <c r="Y282" s="1">
        <v>0.05</v>
      </c>
      <c r="Z282" s="1">
        <v>3</v>
      </c>
      <c r="AA282" s="1">
        <v>1</v>
      </c>
      <c r="AB282" s="1">
        <v>1</v>
      </c>
      <c r="AG282" s="1">
        <v>0</v>
      </c>
      <c r="AH282" s="1">
        <v>1</v>
      </c>
      <c r="AI282" s="1" t="s">
        <v>1387</v>
      </c>
      <c r="AJ282" s="1" t="s">
        <v>216</v>
      </c>
      <c r="AK282" s="1" t="s">
        <v>1388</v>
      </c>
      <c r="AM282" s="1">
        <v>1</v>
      </c>
      <c r="AV282" s="1">
        <v>1</v>
      </c>
      <c r="AX282" s="1">
        <v>0.25</v>
      </c>
      <c r="BE282" s="1" t="str">
        <f t="shared" si="23"/>
        <v>enemy_1057_gansho</v>
      </c>
      <c r="BK282" s="1" t="s">
        <v>959</v>
      </c>
      <c r="BL282" s="1" t="s">
        <v>1389</v>
      </c>
      <c r="BN282" s="1" t="s">
        <v>217</v>
      </c>
      <c r="BO282" s="1" t="s">
        <v>218</v>
      </c>
      <c r="BP282" s="1" t="s">
        <v>239</v>
      </c>
      <c r="BQ282" s="1" t="s">
        <v>220</v>
      </c>
      <c r="BT282" s="1">
        <v>1</v>
      </c>
    </row>
    <row r="283" spans="1:72">
      <c r="A283" s="1" t="s">
        <v>1390</v>
      </c>
      <c r="B283" s="1" t="s">
        <v>213</v>
      </c>
      <c r="D283" s="1" t="s">
        <v>329</v>
      </c>
      <c r="E283" s="1">
        <v>1057</v>
      </c>
      <c r="F283" s="1" t="str">
        <f t="shared" si="25"/>
        <v>enemy_1057_gansho_2</v>
      </c>
      <c r="G283" s="1">
        <v>1</v>
      </c>
      <c r="K283" s="1">
        <v>4000</v>
      </c>
      <c r="M283" s="1">
        <v>230</v>
      </c>
      <c r="O283" s="1">
        <v>200</v>
      </c>
      <c r="Q283" s="1">
        <v>0</v>
      </c>
      <c r="Y283" s="1">
        <v>0.05</v>
      </c>
      <c r="Z283" s="1">
        <v>3</v>
      </c>
      <c r="AA283" s="1">
        <v>1</v>
      </c>
      <c r="AB283" s="1">
        <v>1</v>
      </c>
      <c r="AG283" s="1">
        <v>0</v>
      </c>
      <c r="AH283" s="1">
        <v>1</v>
      </c>
      <c r="AI283" s="1" t="s">
        <v>328</v>
      </c>
      <c r="AJ283" s="1" t="s">
        <v>216</v>
      </c>
      <c r="AK283" s="1" t="s">
        <v>1388</v>
      </c>
      <c r="AM283" s="1">
        <v>1</v>
      </c>
      <c r="AV283" s="1">
        <v>1</v>
      </c>
      <c r="AX283" s="1">
        <v>0.25</v>
      </c>
      <c r="BE283" s="1" t="str">
        <f t="shared" si="23"/>
        <v>enemy_1057_gansho_2</v>
      </c>
      <c r="BK283" s="1" t="s">
        <v>959</v>
      </c>
      <c r="BL283" s="1" t="s">
        <v>1391</v>
      </c>
      <c r="BN283" s="1" t="s">
        <v>217</v>
      </c>
      <c r="BO283" s="1" t="s">
        <v>218</v>
      </c>
      <c r="BP283" s="1" t="s">
        <v>239</v>
      </c>
      <c r="BQ283" s="1" t="s">
        <v>220</v>
      </c>
      <c r="BT283" s="1">
        <v>1</v>
      </c>
    </row>
    <row r="284" spans="1:72">
      <c r="A284" s="1" t="s">
        <v>1392</v>
      </c>
      <c r="B284" s="1" t="s">
        <v>213</v>
      </c>
      <c r="D284" s="1" t="s">
        <v>1393</v>
      </c>
      <c r="E284" s="1">
        <v>1058</v>
      </c>
      <c r="F284" s="1" t="str">
        <f t="shared" si="25"/>
        <v>enemy_1058_traink</v>
      </c>
      <c r="G284" s="1">
        <v>1</v>
      </c>
      <c r="K284" s="1">
        <v>16000</v>
      </c>
      <c r="M284" s="1">
        <v>800</v>
      </c>
      <c r="O284" s="1">
        <v>800</v>
      </c>
      <c r="Q284" s="1">
        <v>20</v>
      </c>
      <c r="Y284" s="1">
        <v>0.05</v>
      </c>
      <c r="Z284" s="1">
        <v>3.5</v>
      </c>
      <c r="AA284" s="1">
        <v>4</v>
      </c>
      <c r="AB284" s="1">
        <v>1.2</v>
      </c>
      <c r="AG284" s="1">
        <v>0</v>
      </c>
      <c r="AH284" s="1">
        <v>1</v>
      </c>
      <c r="AI284" s="1" t="s">
        <v>1394</v>
      </c>
      <c r="AJ284" s="1" t="s">
        <v>216</v>
      </c>
      <c r="AK284" s="1" t="s">
        <v>238</v>
      </c>
      <c r="AM284" s="1">
        <v>1</v>
      </c>
      <c r="AP284" s="1">
        <v>3</v>
      </c>
      <c r="AV284" s="1">
        <v>1</v>
      </c>
      <c r="AX284" s="1">
        <v>0.25</v>
      </c>
      <c r="BE284" s="1" t="str">
        <f t="shared" si="23"/>
        <v>enemy_1058_traink</v>
      </c>
      <c r="BK284" s="1" t="s">
        <v>1012</v>
      </c>
      <c r="BL284" s="1" t="s">
        <v>1395</v>
      </c>
      <c r="BN284" s="1" t="s">
        <v>217</v>
      </c>
      <c r="BO284" s="1" t="s">
        <v>218</v>
      </c>
      <c r="BP284" s="1" t="s">
        <v>239</v>
      </c>
      <c r="BQ284" s="1" t="s">
        <v>220</v>
      </c>
      <c r="BT284" s="1">
        <v>1</v>
      </c>
    </row>
    <row r="285" spans="1:72">
      <c r="A285" s="1" t="s">
        <v>1396</v>
      </c>
      <c r="B285" s="1" t="s">
        <v>213</v>
      </c>
      <c r="D285" s="1" t="s">
        <v>1397</v>
      </c>
      <c r="E285" s="1">
        <v>1058</v>
      </c>
      <c r="F285" s="1" t="str">
        <f t="shared" si="25"/>
        <v>enemy_1058_traink_2</v>
      </c>
      <c r="G285" s="1">
        <v>1</v>
      </c>
      <c r="K285" s="1">
        <v>25000</v>
      </c>
      <c r="M285" s="1">
        <v>1000</v>
      </c>
      <c r="O285" s="1">
        <v>1000</v>
      </c>
      <c r="Q285" s="1">
        <v>30</v>
      </c>
      <c r="Y285" s="1">
        <v>0.05</v>
      </c>
      <c r="Z285" s="1">
        <v>3.5</v>
      </c>
      <c r="AA285" s="1">
        <v>4</v>
      </c>
      <c r="AB285" s="1">
        <v>1.2</v>
      </c>
      <c r="AG285" s="1">
        <v>0</v>
      </c>
      <c r="AH285" s="1">
        <v>1</v>
      </c>
      <c r="AI285" s="1" t="s">
        <v>1398</v>
      </c>
      <c r="AJ285" s="1" t="s">
        <v>216</v>
      </c>
      <c r="AK285" s="1" t="s">
        <v>238</v>
      </c>
      <c r="AM285" s="1">
        <v>1</v>
      </c>
      <c r="AP285" s="1">
        <v>3</v>
      </c>
      <c r="AV285" s="1">
        <v>1</v>
      </c>
      <c r="AX285" s="1">
        <v>0.25</v>
      </c>
      <c r="BE285" s="1" t="str">
        <f t="shared" si="23"/>
        <v>enemy_1058_traink_2</v>
      </c>
      <c r="BK285" s="1" t="s">
        <v>1012</v>
      </c>
      <c r="BL285" s="1" t="s">
        <v>1395</v>
      </c>
      <c r="BN285" s="1" t="s">
        <v>217</v>
      </c>
      <c r="BO285" s="1" t="s">
        <v>218</v>
      </c>
      <c r="BP285" s="1" t="s">
        <v>239</v>
      </c>
      <c r="BQ285" s="1" t="s">
        <v>220</v>
      </c>
      <c r="BT285" s="1">
        <v>1</v>
      </c>
    </row>
    <row r="286" spans="1:72">
      <c r="A286" s="1" t="s">
        <v>1399</v>
      </c>
      <c r="B286" s="1" t="s">
        <v>213</v>
      </c>
      <c r="D286" s="1" t="s">
        <v>1400</v>
      </c>
      <c r="E286" s="1">
        <v>1059</v>
      </c>
      <c r="F286" s="1" t="str">
        <f t="shared" si="25"/>
        <v>enemy_1059_buster</v>
      </c>
      <c r="G286" s="1">
        <v>1</v>
      </c>
      <c r="K286" s="1">
        <v>9000</v>
      </c>
      <c r="M286" s="1">
        <v>700</v>
      </c>
      <c r="O286" s="1">
        <v>500</v>
      </c>
      <c r="Q286" s="1">
        <v>0</v>
      </c>
      <c r="Y286" s="1">
        <v>0.05</v>
      </c>
      <c r="Z286" s="1">
        <v>5</v>
      </c>
      <c r="AA286" s="1">
        <v>2</v>
      </c>
      <c r="AB286" s="1">
        <v>0.8</v>
      </c>
      <c r="AG286" s="1">
        <v>0</v>
      </c>
      <c r="AH286" s="1">
        <v>1</v>
      </c>
      <c r="AI286" s="1" t="s">
        <v>1401</v>
      </c>
      <c r="AJ286" s="1" t="s">
        <v>216</v>
      </c>
      <c r="AK286" s="1" t="s">
        <v>1402</v>
      </c>
      <c r="AM286" s="1">
        <v>1</v>
      </c>
      <c r="AV286" s="1">
        <v>1</v>
      </c>
      <c r="AX286" s="1">
        <v>0.25</v>
      </c>
      <c r="BE286" s="1" t="str">
        <f t="shared" si="23"/>
        <v>enemy_1059_buster</v>
      </c>
      <c r="BK286" s="1" t="s">
        <v>980</v>
      </c>
      <c r="BL286" s="1" t="s">
        <v>1403</v>
      </c>
      <c r="BN286" s="1" t="s">
        <v>217</v>
      </c>
      <c r="BO286" s="1" t="s">
        <v>218</v>
      </c>
      <c r="BP286" s="1" t="s">
        <v>239</v>
      </c>
      <c r="BQ286" s="1" t="s">
        <v>220</v>
      </c>
      <c r="BT286" s="1">
        <v>1</v>
      </c>
    </row>
    <row r="287" spans="1:72">
      <c r="A287" s="1" t="s">
        <v>1404</v>
      </c>
      <c r="B287" s="1" t="s">
        <v>213</v>
      </c>
      <c r="D287" s="1" t="s">
        <v>1405</v>
      </c>
      <c r="E287" s="1">
        <v>1059</v>
      </c>
      <c r="F287" s="1" t="str">
        <f t="shared" si="25"/>
        <v>enemy_1059_buster_2</v>
      </c>
      <c r="G287" s="1">
        <v>1</v>
      </c>
      <c r="K287" s="1">
        <v>13000</v>
      </c>
      <c r="M287" s="1">
        <v>800</v>
      </c>
      <c r="O287" s="1">
        <v>600</v>
      </c>
      <c r="Q287" s="1">
        <v>0</v>
      </c>
      <c r="Y287" s="1">
        <v>0.05</v>
      </c>
      <c r="Z287" s="1">
        <v>5</v>
      </c>
      <c r="AA287" s="1">
        <v>2</v>
      </c>
      <c r="AB287" s="1">
        <v>0.8</v>
      </c>
      <c r="AG287" s="1">
        <v>0</v>
      </c>
      <c r="AH287" s="1">
        <v>1</v>
      </c>
      <c r="AI287" s="1" t="s">
        <v>1406</v>
      </c>
      <c r="AJ287" s="1" t="s">
        <v>216</v>
      </c>
      <c r="AK287" s="1" t="s">
        <v>1402</v>
      </c>
      <c r="AM287" s="1">
        <v>1</v>
      </c>
      <c r="AV287" s="1">
        <v>1</v>
      </c>
      <c r="AX287" s="1">
        <v>0.25</v>
      </c>
      <c r="BE287" s="1" t="str">
        <f t="shared" si="23"/>
        <v>enemy_1059_buster_2</v>
      </c>
      <c r="BK287" s="1" t="s">
        <v>980</v>
      </c>
      <c r="BL287" s="1" t="s">
        <v>1403</v>
      </c>
      <c r="BN287" s="1" t="s">
        <v>217</v>
      </c>
      <c r="BO287" s="1" t="s">
        <v>218</v>
      </c>
      <c r="BP287" s="1" t="s">
        <v>239</v>
      </c>
      <c r="BQ287" s="1" t="s">
        <v>220</v>
      </c>
      <c r="BT287" s="1">
        <v>1</v>
      </c>
    </row>
    <row r="288" spans="1:72">
      <c r="A288" s="1" t="s">
        <v>1407</v>
      </c>
      <c r="B288" s="1" t="s">
        <v>213</v>
      </c>
      <c r="D288" s="1" t="s">
        <v>1408</v>
      </c>
      <c r="E288" s="1">
        <v>1060</v>
      </c>
      <c r="F288" s="1" t="str">
        <f t="shared" si="25"/>
        <v>enemy_1060_emouse</v>
      </c>
      <c r="G288" s="1">
        <v>1</v>
      </c>
      <c r="K288" s="1">
        <v>3000</v>
      </c>
      <c r="M288" s="1">
        <v>700</v>
      </c>
      <c r="O288" s="1">
        <v>250</v>
      </c>
      <c r="Q288" s="1">
        <v>20</v>
      </c>
      <c r="Y288" s="1">
        <v>0.05</v>
      </c>
      <c r="Z288" s="1">
        <v>3.2</v>
      </c>
      <c r="AA288" s="1">
        <v>2</v>
      </c>
      <c r="AB288" s="1">
        <v>0.9</v>
      </c>
      <c r="AG288" s="1">
        <v>0</v>
      </c>
      <c r="AH288" s="1">
        <v>1</v>
      </c>
      <c r="AI288" s="1" t="s">
        <v>1409</v>
      </c>
      <c r="AJ288" s="1" t="s">
        <v>216</v>
      </c>
      <c r="AK288" s="1" t="s">
        <v>1410</v>
      </c>
      <c r="AM288" s="1">
        <v>1</v>
      </c>
      <c r="AV288" s="1">
        <v>1</v>
      </c>
      <c r="AX288" s="1">
        <v>0.25</v>
      </c>
      <c r="BE288" s="1" t="str">
        <f t="shared" si="23"/>
        <v>enemy_1060_emouse</v>
      </c>
      <c r="BK288" s="1" t="s">
        <v>1012</v>
      </c>
      <c r="BL288" s="1" t="s">
        <v>1411</v>
      </c>
      <c r="BN288" s="1" t="s">
        <v>217</v>
      </c>
      <c r="BO288" s="1" t="s">
        <v>218</v>
      </c>
      <c r="BP288" s="1" t="s">
        <v>239</v>
      </c>
      <c r="BQ288" s="1" t="s">
        <v>220</v>
      </c>
      <c r="BT288" s="1">
        <v>1</v>
      </c>
    </row>
    <row r="289" spans="1:72">
      <c r="A289" s="1" t="s">
        <v>1412</v>
      </c>
      <c r="B289" s="1" t="s">
        <v>213</v>
      </c>
      <c r="D289" s="1" t="s">
        <v>1413</v>
      </c>
      <c r="E289" s="1">
        <v>1060</v>
      </c>
      <c r="F289" s="1" t="str">
        <f t="shared" si="25"/>
        <v>enemy_1060_emouse_2</v>
      </c>
      <c r="G289" s="1">
        <v>1</v>
      </c>
      <c r="K289" s="1">
        <v>4000</v>
      </c>
      <c r="M289" s="1">
        <v>800</v>
      </c>
      <c r="O289" s="1">
        <v>250</v>
      </c>
      <c r="Q289" s="1">
        <v>20</v>
      </c>
      <c r="Y289" s="1">
        <v>0.05</v>
      </c>
      <c r="Z289" s="1">
        <v>3.2</v>
      </c>
      <c r="AA289" s="1">
        <v>2</v>
      </c>
      <c r="AB289" s="1">
        <v>0.9</v>
      </c>
      <c r="AG289" s="1">
        <v>0</v>
      </c>
      <c r="AH289" s="1">
        <v>1</v>
      </c>
      <c r="AI289" s="1" t="s">
        <v>1414</v>
      </c>
      <c r="AJ289" s="1" t="s">
        <v>216</v>
      </c>
      <c r="AK289" s="1" t="s">
        <v>1415</v>
      </c>
      <c r="AM289" s="1">
        <v>1</v>
      </c>
      <c r="AV289" s="1">
        <v>1</v>
      </c>
      <c r="AX289" s="1">
        <v>0.25</v>
      </c>
      <c r="BE289" s="1" t="str">
        <f t="shared" si="23"/>
        <v>enemy_1060_emouse_2</v>
      </c>
      <c r="BK289" s="1" t="s">
        <v>1012</v>
      </c>
      <c r="BL289" s="1" t="s">
        <v>1411</v>
      </c>
      <c r="BN289" s="1" t="s">
        <v>217</v>
      </c>
      <c r="BO289" s="1" t="s">
        <v>218</v>
      </c>
      <c r="BP289" s="1" t="s">
        <v>239</v>
      </c>
      <c r="BQ289" s="1" t="s">
        <v>220</v>
      </c>
      <c r="BT289" s="1">
        <v>1</v>
      </c>
    </row>
    <row r="290" spans="1:72">
      <c r="A290" s="1" t="s">
        <v>1416</v>
      </c>
      <c r="B290" s="1" t="s">
        <v>213</v>
      </c>
      <c r="D290" s="1" t="s">
        <v>1417</v>
      </c>
      <c r="E290" s="1">
        <v>1509</v>
      </c>
      <c r="F290" s="1" t="str">
        <f t="shared" si="25"/>
        <v>enemy_1509_mousek</v>
      </c>
      <c r="G290" s="1">
        <v>1</v>
      </c>
      <c r="K290" s="1">
        <v>22000</v>
      </c>
      <c r="M290" s="1">
        <v>470</v>
      </c>
      <c r="O290" s="1">
        <v>350</v>
      </c>
      <c r="Q290" s="1">
        <v>30</v>
      </c>
      <c r="Y290" s="1">
        <v>0.05</v>
      </c>
      <c r="Z290" s="1">
        <v>3.4</v>
      </c>
      <c r="AA290" s="1">
        <v>5</v>
      </c>
      <c r="AB290" s="1">
        <v>0.6</v>
      </c>
      <c r="AG290" s="1">
        <v>0</v>
      </c>
      <c r="AH290" s="1">
        <v>1</v>
      </c>
      <c r="AI290" s="1" t="s">
        <v>1418</v>
      </c>
      <c r="AJ290" s="1" t="s">
        <v>216</v>
      </c>
      <c r="AK290" s="1" t="s">
        <v>1419</v>
      </c>
      <c r="AM290" s="1">
        <v>1</v>
      </c>
      <c r="AV290" s="1">
        <v>1</v>
      </c>
      <c r="AX290" s="1">
        <v>0.25</v>
      </c>
      <c r="BE290" s="1" t="str">
        <f t="shared" si="23"/>
        <v>enemy_1509_mousek</v>
      </c>
      <c r="BK290" s="1" t="s">
        <v>1351</v>
      </c>
      <c r="BL290" s="1" t="s">
        <v>1420</v>
      </c>
      <c r="BN290" s="1" t="s">
        <v>217</v>
      </c>
      <c r="BO290" s="1" t="s">
        <v>218</v>
      </c>
      <c r="BP290" s="1" t="s">
        <v>239</v>
      </c>
      <c r="BQ290" s="1" t="s">
        <v>220</v>
      </c>
      <c r="BT290" s="1">
        <v>1</v>
      </c>
    </row>
    <row r="291" spans="1:72">
      <c r="A291" s="1" t="s">
        <v>1421</v>
      </c>
      <c r="B291" s="1" t="s">
        <v>213</v>
      </c>
      <c r="D291" s="1" t="s">
        <v>1422</v>
      </c>
      <c r="E291" s="1">
        <v>1061</v>
      </c>
      <c r="F291" s="1" t="str">
        <f t="shared" si="25"/>
        <v>enemy_1061_zomshd</v>
      </c>
      <c r="G291" s="1">
        <v>1</v>
      </c>
      <c r="K291" s="1">
        <v>10000</v>
      </c>
      <c r="M291" s="1">
        <v>600</v>
      </c>
      <c r="O291" s="1">
        <v>800</v>
      </c>
      <c r="Q291" s="1">
        <v>0</v>
      </c>
      <c r="Y291" s="1">
        <v>0.05</v>
      </c>
      <c r="Z291" s="1">
        <v>2.6</v>
      </c>
      <c r="AA291" s="1">
        <v>3</v>
      </c>
      <c r="AB291" s="1">
        <v>0.75</v>
      </c>
      <c r="AG291" s="1">
        <v>0</v>
      </c>
      <c r="AH291" s="1">
        <v>1</v>
      </c>
      <c r="AI291" s="1" t="s">
        <v>1423</v>
      </c>
      <c r="AJ291" s="1" t="s">
        <v>216</v>
      </c>
      <c r="AK291" s="1" t="s">
        <v>238</v>
      </c>
      <c r="AM291" s="1">
        <v>1</v>
      </c>
      <c r="AT291" s="1">
        <v>200</v>
      </c>
      <c r="AV291" s="1">
        <v>1</v>
      </c>
      <c r="AX291" s="1">
        <v>0.25</v>
      </c>
      <c r="BE291" s="1" t="str">
        <f t="shared" si="23"/>
        <v>enemy_1061_zomshd</v>
      </c>
      <c r="BK291" s="1" t="s">
        <v>1424</v>
      </c>
      <c r="BL291" s="1" t="s">
        <v>1425</v>
      </c>
      <c r="BN291" s="1" t="s">
        <v>217</v>
      </c>
      <c r="BO291" s="1" t="s">
        <v>218</v>
      </c>
      <c r="BP291" s="1" t="s">
        <v>219</v>
      </c>
      <c r="BQ291" s="1" t="s">
        <v>220</v>
      </c>
      <c r="BT291" s="1">
        <v>1</v>
      </c>
    </row>
    <row r="292" spans="1:72">
      <c r="A292" s="1" t="s">
        <v>1426</v>
      </c>
      <c r="B292" s="1" t="s">
        <v>213</v>
      </c>
      <c r="D292" s="1" t="s">
        <v>1427</v>
      </c>
      <c r="E292" s="1">
        <v>1061</v>
      </c>
      <c r="F292" s="1" t="str">
        <f t="shared" si="25"/>
        <v>enemy_1061_zomshd_2</v>
      </c>
      <c r="G292" s="1">
        <v>1</v>
      </c>
      <c r="K292" s="1">
        <v>16000</v>
      </c>
      <c r="M292" s="1">
        <v>800</v>
      </c>
      <c r="O292" s="1">
        <v>1000</v>
      </c>
      <c r="Q292" s="1">
        <v>0</v>
      </c>
      <c r="Y292" s="1">
        <v>0.05</v>
      </c>
      <c r="Z292" s="1">
        <v>2.6</v>
      </c>
      <c r="AA292" s="1">
        <v>3</v>
      </c>
      <c r="AB292" s="1">
        <v>0.75</v>
      </c>
      <c r="AG292" s="1">
        <v>0</v>
      </c>
      <c r="AH292" s="1">
        <v>1</v>
      </c>
      <c r="AI292" s="1" t="s">
        <v>1428</v>
      </c>
      <c r="AJ292" s="1" t="s">
        <v>216</v>
      </c>
      <c r="AK292" s="1" t="s">
        <v>238</v>
      </c>
      <c r="AM292" s="1">
        <v>1</v>
      </c>
      <c r="AT292" s="1">
        <v>250</v>
      </c>
      <c r="AV292" s="1">
        <v>1</v>
      </c>
      <c r="AX292" s="1">
        <v>0.25</v>
      </c>
      <c r="BE292" s="1" t="str">
        <f t="shared" si="23"/>
        <v>enemy_1061_zomshd_2</v>
      </c>
      <c r="BK292" s="1" t="s">
        <v>1424</v>
      </c>
      <c r="BL292" s="1" t="s">
        <v>1429</v>
      </c>
      <c r="BN292" s="1" t="s">
        <v>217</v>
      </c>
      <c r="BO292" s="1" t="s">
        <v>218</v>
      </c>
      <c r="BP292" s="1" t="s">
        <v>219</v>
      </c>
      <c r="BQ292" s="1" t="s">
        <v>220</v>
      </c>
      <c r="BT292" s="1">
        <v>1</v>
      </c>
    </row>
    <row r="293" spans="1:72">
      <c r="A293" s="1" t="s">
        <v>1430</v>
      </c>
      <c r="B293" s="1" t="s">
        <v>213</v>
      </c>
      <c r="D293" s="1" t="s">
        <v>1431</v>
      </c>
      <c r="E293" s="1">
        <v>1062</v>
      </c>
      <c r="F293" s="1" t="str">
        <f t="shared" si="25"/>
        <v>enemy_1062_rager</v>
      </c>
      <c r="G293" s="1">
        <v>1</v>
      </c>
      <c r="K293" s="1">
        <v>20000</v>
      </c>
      <c r="M293" s="1">
        <v>1000</v>
      </c>
      <c r="O293" s="1">
        <v>200</v>
      </c>
      <c r="Q293" s="1">
        <v>30</v>
      </c>
      <c r="Y293" s="1">
        <v>0.05</v>
      </c>
      <c r="Z293" s="1">
        <v>1.3</v>
      </c>
      <c r="AA293" s="1">
        <v>2</v>
      </c>
      <c r="AB293" s="1">
        <v>1.2</v>
      </c>
      <c r="AG293" s="1">
        <v>0</v>
      </c>
      <c r="AH293" s="1">
        <v>1</v>
      </c>
      <c r="AI293" s="1" t="s">
        <v>1432</v>
      </c>
      <c r="AJ293" s="1" t="s">
        <v>216</v>
      </c>
      <c r="AK293" s="1" t="s">
        <v>238</v>
      </c>
      <c r="AM293" s="1">
        <v>1</v>
      </c>
      <c r="AT293" s="1">
        <v>-330</v>
      </c>
      <c r="AV293" s="1">
        <v>1</v>
      </c>
      <c r="AX293" s="1">
        <v>0.25</v>
      </c>
      <c r="BE293" s="1" t="str">
        <f t="shared" si="23"/>
        <v>enemy_1062_rager</v>
      </c>
      <c r="BK293" s="1" t="s">
        <v>1424</v>
      </c>
      <c r="BL293" s="1" t="s">
        <v>1433</v>
      </c>
      <c r="BN293" s="1" t="s">
        <v>217</v>
      </c>
      <c r="BO293" s="1" t="s">
        <v>218</v>
      </c>
      <c r="BP293" s="1" t="s">
        <v>239</v>
      </c>
      <c r="BQ293" s="1" t="s">
        <v>220</v>
      </c>
      <c r="BT293" s="1">
        <v>1</v>
      </c>
    </row>
    <row r="294" spans="1:72">
      <c r="A294" s="1" t="s">
        <v>1434</v>
      </c>
      <c r="B294" s="1" t="s">
        <v>213</v>
      </c>
      <c r="D294" s="1" t="s">
        <v>1435</v>
      </c>
      <c r="E294" s="1">
        <v>1062</v>
      </c>
      <c r="F294" s="1" t="str">
        <f t="shared" si="25"/>
        <v>enemy_1062_rager_2</v>
      </c>
      <c r="G294" s="1">
        <v>1</v>
      </c>
      <c r="K294" s="1">
        <v>30000</v>
      </c>
      <c r="M294" s="1">
        <v>1750</v>
      </c>
      <c r="O294" s="1">
        <v>230</v>
      </c>
      <c r="Q294" s="1">
        <v>30</v>
      </c>
      <c r="Y294" s="1">
        <v>0.05</v>
      </c>
      <c r="Z294" s="1">
        <v>1.3</v>
      </c>
      <c r="AA294" s="1">
        <v>2</v>
      </c>
      <c r="AB294" s="1">
        <v>1.2</v>
      </c>
      <c r="AG294" s="1">
        <v>0</v>
      </c>
      <c r="AH294" s="1">
        <v>1</v>
      </c>
      <c r="AI294" s="1" t="s">
        <v>1436</v>
      </c>
      <c r="AJ294" s="1" t="s">
        <v>216</v>
      </c>
      <c r="AK294" s="1" t="s">
        <v>238</v>
      </c>
      <c r="AM294" s="1">
        <v>1</v>
      </c>
      <c r="AT294" s="1">
        <v>-500</v>
      </c>
      <c r="AV294" s="1">
        <v>1</v>
      </c>
      <c r="AX294" s="1">
        <v>0.25</v>
      </c>
      <c r="BE294" s="1" t="str">
        <f t="shared" si="23"/>
        <v>enemy_1062_rager_2</v>
      </c>
      <c r="BK294" s="1" t="s">
        <v>1424</v>
      </c>
      <c r="BL294" s="1" t="s">
        <v>1437</v>
      </c>
      <c r="BN294" s="1" t="s">
        <v>217</v>
      </c>
      <c r="BO294" s="1" t="s">
        <v>218</v>
      </c>
      <c r="BP294" s="1" t="s">
        <v>239</v>
      </c>
      <c r="BQ294" s="1" t="s">
        <v>220</v>
      </c>
      <c r="BT294" s="1">
        <v>1</v>
      </c>
    </row>
    <row r="295" spans="1:72">
      <c r="A295" s="1" t="s">
        <v>1438</v>
      </c>
      <c r="B295" s="1" t="s">
        <v>213</v>
      </c>
      <c r="D295" s="1" t="s">
        <v>1439</v>
      </c>
      <c r="E295" s="1">
        <v>1063</v>
      </c>
      <c r="F295" s="1" t="str">
        <f t="shared" si="25"/>
        <v>enemy_1063_rageth</v>
      </c>
      <c r="G295" s="1">
        <v>1</v>
      </c>
      <c r="K295" s="1">
        <v>15000</v>
      </c>
      <c r="M295" s="1">
        <v>750</v>
      </c>
      <c r="O295" s="1">
        <v>200</v>
      </c>
      <c r="Q295" s="1">
        <v>30</v>
      </c>
      <c r="Y295" s="1">
        <v>0.05</v>
      </c>
      <c r="Z295" s="1">
        <v>2</v>
      </c>
      <c r="AA295" s="1">
        <v>2</v>
      </c>
      <c r="AB295" s="1">
        <v>0.7</v>
      </c>
      <c r="AG295" s="1">
        <v>0</v>
      </c>
      <c r="AH295" s="1">
        <v>1</v>
      </c>
      <c r="AI295" s="1" t="s">
        <v>1440</v>
      </c>
      <c r="AJ295" s="1" t="s">
        <v>216</v>
      </c>
      <c r="AK295" s="1" t="s">
        <v>1441</v>
      </c>
      <c r="AM295" s="1">
        <v>1</v>
      </c>
      <c r="AT295" s="1">
        <v>-250</v>
      </c>
      <c r="AV295" s="1">
        <v>1</v>
      </c>
      <c r="AX295" s="1">
        <v>0.25</v>
      </c>
      <c r="BE295" s="1" t="str">
        <f t="shared" si="23"/>
        <v>enemy_1063_rageth</v>
      </c>
      <c r="BK295" s="1" t="s">
        <v>1442</v>
      </c>
      <c r="BL295" s="1" t="s">
        <v>1443</v>
      </c>
      <c r="BN295" s="1" t="s">
        <v>217</v>
      </c>
      <c r="BO295" s="1" t="s">
        <v>218</v>
      </c>
      <c r="BP295" s="1" t="s">
        <v>239</v>
      </c>
      <c r="BQ295" s="1" t="s">
        <v>220</v>
      </c>
      <c r="BT295" s="1">
        <v>1</v>
      </c>
    </row>
    <row r="296" spans="1:72">
      <c r="A296" s="1" t="s">
        <v>1444</v>
      </c>
      <c r="B296" s="1" t="s">
        <v>213</v>
      </c>
      <c r="D296" s="1" t="s">
        <v>1445</v>
      </c>
      <c r="E296" s="1">
        <v>1063</v>
      </c>
      <c r="F296" s="1" t="str">
        <f t="shared" si="25"/>
        <v>enemy_1063_rageth_2</v>
      </c>
      <c r="G296" s="1">
        <v>1</v>
      </c>
      <c r="K296" s="1">
        <v>22000</v>
      </c>
      <c r="M296" s="1">
        <v>1050</v>
      </c>
      <c r="O296" s="1">
        <v>220</v>
      </c>
      <c r="Q296" s="1">
        <v>30</v>
      </c>
      <c r="Y296" s="1">
        <v>0.05</v>
      </c>
      <c r="Z296" s="1">
        <v>2</v>
      </c>
      <c r="AA296" s="1">
        <v>2</v>
      </c>
      <c r="AB296" s="1">
        <v>0.7</v>
      </c>
      <c r="AG296" s="1">
        <v>0</v>
      </c>
      <c r="AH296" s="1">
        <v>1</v>
      </c>
      <c r="AI296" s="1" t="s">
        <v>1446</v>
      </c>
      <c r="AJ296" s="1" t="s">
        <v>216</v>
      </c>
      <c r="AK296" s="1" t="s">
        <v>1441</v>
      </c>
      <c r="AM296" s="1">
        <v>1</v>
      </c>
      <c r="AT296" s="1">
        <v>-350</v>
      </c>
      <c r="AV296" s="1">
        <v>1</v>
      </c>
      <c r="AX296" s="1">
        <v>0.25</v>
      </c>
      <c r="BE296" s="1" t="str">
        <f t="shared" ref="BE296:BE359" si="26">"enemy_"&amp;E296&amp;"_"&amp;D296</f>
        <v>enemy_1063_rageth_2</v>
      </c>
      <c r="BK296" s="1" t="s">
        <v>1442</v>
      </c>
      <c r="BL296" s="1" t="s">
        <v>1447</v>
      </c>
      <c r="BN296" s="1" t="s">
        <v>217</v>
      </c>
      <c r="BO296" s="1" t="s">
        <v>218</v>
      </c>
      <c r="BP296" s="1" t="s">
        <v>239</v>
      </c>
      <c r="BQ296" s="1" t="s">
        <v>220</v>
      </c>
      <c r="BT296" s="1">
        <v>1</v>
      </c>
    </row>
    <row r="297" spans="1:72">
      <c r="A297" s="1" t="s">
        <v>1448</v>
      </c>
      <c r="B297" s="1" t="s">
        <v>213</v>
      </c>
      <c r="D297" s="1" t="s">
        <v>246</v>
      </c>
      <c r="E297" s="1">
        <v>1064</v>
      </c>
      <c r="F297" s="1" t="str">
        <f t="shared" si="25"/>
        <v>enemy_1064_snsbr</v>
      </c>
      <c r="G297" s="1">
        <v>1</v>
      </c>
      <c r="K297" s="1">
        <v>3400</v>
      </c>
      <c r="M297" s="1">
        <v>360</v>
      </c>
      <c r="O297" s="1">
        <v>100</v>
      </c>
      <c r="Q297" s="1">
        <v>0</v>
      </c>
      <c r="Y297" s="1">
        <v>0.05</v>
      </c>
      <c r="Z297" s="1">
        <v>2</v>
      </c>
      <c r="AA297" s="1">
        <v>1</v>
      </c>
      <c r="AB297" s="1">
        <v>1.1</v>
      </c>
      <c r="AG297" s="1">
        <v>0</v>
      </c>
      <c r="AH297" s="1">
        <v>1</v>
      </c>
      <c r="AI297" s="1" t="s">
        <v>245</v>
      </c>
      <c r="AJ297" s="1" t="s">
        <v>216</v>
      </c>
      <c r="AK297" s="1" t="s">
        <v>248</v>
      </c>
      <c r="AM297" s="1">
        <v>1</v>
      </c>
      <c r="AV297" s="1">
        <v>1</v>
      </c>
      <c r="AX297" s="1">
        <v>0.25</v>
      </c>
      <c r="BE297" s="1" t="str">
        <f t="shared" si="26"/>
        <v>enemy_1064_snsbr</v>
      </c>
      <c r="BK297" s="1" t="s">
        <v>953</v>
      </c>
      <c r="BL297" s="1" t="s">
        <v>1449</v>
      </c>
      <c r="BN297" s="1" t="s">
        <v>217</v>
      </c>
      <c r="BO297" s="1" t="s">
        <v>218</v>
      </c>
      <c r="BP297" s="1" t="s">
        <v>249</v>
      </c>
      <c r="BQ297" s="1" t="s">
        <v>220</v>
      </c>
      <c r="BT297" s="1">
        <v>1</v>
      </c>
    </row>
    <row r="298" spans="1:72">
      <c r="A298" s="1" t="s">
        <v>1450</v>
      </c>
      <c r="B298" s="1" t="s">
        <v>213</v>
      </c>
      <c r="D298" s="1" t="s">
        <v>1451</v>
      </c>
      <c r="E298" s="1">
        <v>1065</v>
      </c>
      <c r="F298" s="1" t="str">
        <f t="shared" si="25"/>
        <v>enemy_1065_snwolf</v>
      </c>
      <c r="G298" s="1">
        <v>1</v>
      </c>
      <c r="K298" s="1">
        <v>3150</v>
      </c>
      <c r="M298" s="1">
        <v>350</v>
      </c>
      <c r="O298" s="1">
        <v>0</v>
      </c>
      <c r="Q298" s="1">
        <v>30</v>
      </c>
      <c r="Y298" s="1">
        <v>0.05</v>
      </c>
      <c r="Z298" s="1">
        <v>1.4</v>
      </c>
      <c r="AA298" s="1">
        <v>0</v>
      </c>
      <c r="AB298" s="1">
        <v>1.9</v>
      </c>
      <c r="AG298" s="1">
        <v>0</v>
      </c>
      <c r="AH298" s="1">
        <v>1</v>
      </c>
      <c r="AI298" s="1" t="s">
        <v>1452</v>
      </c>
      <c r="AJ298" s="1" t="s">
        <v>216</v>
      </c>
      <c r="AK298" s="1" t="s">
        <v>248</v>
      </c>
      <c r="AM298" s="1">
        <v>1</v>
      </c>
      <c r="AV298" s="1">
        <v>1</v>
      </c>
      <c r="AX298" s="1">
        <v>0.25</v>
      </c>
      <c r="BE298" s="1" t="str">
        <f t="shared" si="26"/>
        <v>enemy_1065_snwolf</v>
      </c>
      <c r="BK298" s="1" t="s">
        <v>911</v>
      </c>
      <c r="BL298" s="1" t="s">
        <v>1453</v>
      </c>
      <c r="BN298" s="1" t="s">
        <v>217</v>
      </c>
      <c r="BO298" s="1" t="s">
        <v>218</v>
      </c>
      <c r="BP298" s="1" t="s">
        <v>249</v>
      </c>
      <c r="BQ298" s="1" t="s">
        <v>220</v>
      </c>
      <c r="BT298" s="1">
        <v>1</v>
      </c>
    </row>
    <row r="299" spans="1:72">
      <c r="A299" s="1" t="s">
        <v>1454</v>
      </c>
      <c r="B299" s="1" t="s">
        <v>213</v>
      </c>
      <c r="D299" s="1" t="s">
        <v>251</v>
      </c>
      <c r="E299" s="1">
        <v>1065</v>
      </c>
      <c r="F299" s="1" t="str">
        <f t="shared" si="25"/>
        <v>enemy_1065_snwolf_2</v>
      </c>
      <c r="G299" s="1">
        <v>1</v>
      </c>
      <c r="K299" s="1">
        <v>4650</v>
      </c>
      <c r="M299" s="1">
        <v>430</v>
      </c>
      <c r="O299" s="1">
        <v>0</v>
      </c>
      <c r="Q299" s="1">
        <v>30</v>
      </c>
      <c r="Y299" s="1">
        <v>0.05</v>
      </c>
      <c r="Z299" s="1">
        <v>1.4</v>
      </c>
      <c r="AA299" s="1">
        <v>0</v>
      </c>
      <c r="AB299" s="1">
        <v>1.9</v>
      </c>
      <c r="AG299" s="1">
        <v>0</v>
      </c>
      <c r="AH299" s="1">
        <v>1</v>
      </c>
      <c r="AI299" s="1" t="s">
        <v>253</v>
      </c>
      <c r="AJ299" s="1" t="s">
        <v>216</v>
      </c>
      <c r="AK299" s="1" t="s">
        <v>248</v>
      </c>
      <c r="AM299" s="1">
        <v>1</v>
      </c>
      <c r="AV299" s="1">
        <v>1</v>
      </c>
      <c r="AX299" s="1">
        <v>0.25</v>
      </c>
      <c r="BE299" s="1" t="str">
        <f t="shared" si="26"/>
        <v>enemy_1065_snwolf_2</v>
      </c>
      <c r="BK299" s="1" t="s">
        <v>911</v>
      </c>
      <c r="BL299" s="1" t="s">
        <v>1455</v>
      </c>
      <c r="BN299" s="1" t="s">
        <v>217</v>
      </c>
      <c r="BO299" s="1" t="s">
        <v>218</v>
      </c>
      <c r="BP299" s="1" t="s">
        <v>249</v>
      </c>
      <c r="BQ299" s="1" t="s">
        <v>220</v>
      </c>
      <c r="BT299" s="1">
        <v>1</v>
      </c>
    </row>
    <row r="300" spans="1:72">
      <c r="A300" s="1" t="s">
        <v>1456</v>
      </c>
      <c r="B300" s="1" t="s">
        <v>213</v>
      </c>
      <c r="D300" s="1" t="s">
        <v>1457</v>
      </c>
      <c r="E300" s="1">
        <v>1066</v>
      </c>
      <c r="F300" s="1" t="str">
        <f t="shared" si="25"/>
        <v>enemy_1066_snbow</v>
      </c>
      <c r="G300" s="1">
        <v>1</v>
      </c>
      <c r="K300" s="1">
        <v>2500</v>
      </c>
      <c r="M300" s="1">
        <v>290</v>
      </c>
      <c r="O300" s="1">
        <v>80</v>
      </c>
      <c r="Q300" s="1">
        <v>0</v>
      </c>
      <c r="Y300" s="1">
        <v>0.05</v>
      </c>
      <c r="Z300" s="1">
        <v>2.4</v>
      </c>
      <c r="AA300" s="1">
        <v>1</v>
      </c>
      <c r="AB300" s="1">
        <v>0.9</v>
      </c>
      <c r="AG300" s="1">
        <v>0</v>
      </c>
      <c r="AH300" s="1">
        <v>1</v>
      </c>
      <c r="AI300" s="1" t="s">
        <v>1458</v>
      </c>
      <c r="AJ300" s="1" t="s">
        <v>216</v>
      </c>
      <c r="AK300" s="1" t="s">
        <v>270</v>
      </c>
      <c r="AM300" s="1">
        <v>1</v>
      </c>
      <c r="AV300" s="1">
        <v>1</v>
      </c>
      <c r="AX300" s="1">
        <v>0.25</v>
      </c>
      <c r="BE300" s="1" t="str">
        <f t="shared" si="26"/>
        <v>enemy_1066_snbow</v>
      </c>
      <c r="BK300" s="1" t="s">
        <v>959</v>
      </c>
      <c r="BL300" s="1" t="s">
        <v>1459</v>
      </c>
      <c r="BN300" s="1" t="s">
        <v>217</v>
      </c>
      <c r="BO300" s="1" t="s">
        <v>218</v>
      </c>
      <c r="BP300" s="1" t="s">
        <v>239</v>
      </c>
      <c r="BQ300" s="1" t="s">
        <v>220</v>
      </c>
      <c r="BT300" s="1">
        <v>1</v>
      </c>
    </row>
    <row r="301" spans="1:72">
      <c r="A301" s="1" t="s">
        <v>1460</v>
      </c>
      <c r="B301" s="1" t="s">
        <v>213</v>
      </c>
      <c r="D301" s="1" t="s">
        <v>267</v>
      </c>
      <c r="E301" s="1">
        <v>1066</v>
      </c>
      <c r="F301" s="1" t="str">
        <f t="shared" si="25"/>
        <v>enemy_1066_snbow_2</v>
      </c>
      <c r="G301" s="1">
        <v>1</v>
      </c>
      <c r="K301" s="1">
        <v>3500</v>
      </c>
      <c r="M301" s="1">
        <v>360</v>
      </c>
      <c r="O301" s="1">
        <v>100</v>
      </c>
      <c r="Q301" s="1">
        <v>0</v>
      </c>
      <c r="Y301" s="1">
        <v>0.05</v>
      </c>
      <c r="Z301" s="1">
        <v>2.4</v>
      </c>
      <c r="AA301" s="1">
        <v>1</v>
      </c>
      <c r="AB301" s="1">
        <v>0.9</v>
      </c>
      <c r="AG301" s="1">
        <v>0</v>
      </c>
      <c r="AH301" s="1">
        <v>1</v>
      </c>
      <c r="AI301" s="1" t="s">
        <v>269</v>
      </c>
      <c r="AJ301" s="1" t="s">
        <v>216</v>
      </c>
      <c r="AK301" s="1" t="s">
        <v>270</v>
      </c>
      <c r="AM301" s="1">
        <v>1</v>
      </c>
      <c r="AV301" s="1">
        <v>1</v>
      </c>
      <c r="AX301" s="1">
        <v>0.25</v>
      </c>
      <c r="BE301" s="1" t="str">
        <f t="shared" si="26"/>
        <v>enemy_1066_snbow_2</v>
      </c>
      <c r="BK301" s="1" t="s">
        <v>959</v>
      </c>
      <c r="BL301" s="1" t="s">
        <v>1461</v>
      </c>
      <c r="BN301" s="1" t="s">
        <v>217</v>
      </c>
      <c r="BO301" s="1" t="s">
        <v>218</v>
      </c>
      <c r="BP301" s="1" t="s">
        <v>239</v>
      </c>
      <c r="BQ301" s="1" t="s">
        <v>220</v>
      </c>
      <c r="BT301" s="1">
        <v>1</v>
      </c>
    </row>
    <row r="302" spans="1:72">
      <c r="A302" s="1" t="s">
        <v>1462</v>
      </c>
      <c r="B302" s="1" t="s">
        <v>213</v>
      </c>
      <c r="D302" s="1" t="s">
        <v>1463</v>
      </c>
      <c r="E302" s="1">
        <v>1067</v>
      </c>
      <c r="F302" s="1" t="str">
        <f t="shared" si="25"/>
        <v>enemy_1067_snslime</v>
      </c>
      <c r="G302" s="1">
        <v>1</v>
      </c>
      <c r="K302" s="1">
        <v>3250</v>
      </c>
      <c r="M302" s="1">
        <v>300</v>
      </c>
      <c r="O302" s="1">
        <v>0</v>
      </c>
      <c r="Q302" s="1">
        <v>0</v>
      </c>
      <c r="Y302" s="1">
        <v>0.05</v>
      </c>
      <c r="Z302" s="1">
        <v>1.7</v>
      </c>
      <c r="AA302" s="1">
        <v>0</v>
      </c>
      <c r="AB302" s="1">
        <v>1</v>
      </c>
      <c r="AG302" s="1">
        <v>0</v>
      </c>
      <c r="AH302" s="1">
        <v>1</v>
      </c>
      <c r="AI302" s="1" t="s">
        <v>1464</v>
      </c>
      <c r="AJ302" s="1" t="s">
        <v>216</v>
      </c>
      <c r="AK302" s="1" t="s">
        <v>260</v>
      </c>
      <c r="AM302" s="1">
        <v>1</v>
      </c>
      <c r="AV302" s="1">
        <v>1</v>
      </c>
      <c r="AX302" s="1">
        <v>0.25</v>
      </c>
      <c r="BE302" s="1" t="str">
        <f t="shared" si="26"/>
        <v>enemy_1067_snslime</v>
      </c>
      <c r="BK302" s="1" t="s">
        <v>911</v>
      </c>
      <c r="BL302" s="1" t="s">
        <v>1465</v>
      </c>
      <c r="BN302" s="1" t="s">
        <v>217</v>
      </c>
      <c r="BO302" s="1" t="s">
        <v>218</v>
      </c>
      <c r="BP302" s="1" t="s">
        <v>239</v>
      </c>
      <c r="BQ302" s="1" t="s">
        <v>220</v>
      </c>
      <c r="BT302" s="1">
        <v>1</v>
      </c>
    </row>
    <row r="303" spans="1:72">
      <c r="A303" s="1" t="s">
        <v>1466</v>
      </c>
      <c r="B303" s="1" t="s">
        <v>213</v>
      </c>
      <c r="D303" s="1" t="s">
        <v>256</v>
      </c>
      <c r="E303" s="1">
        <v>1067</v>
      </c>
      <c r="F303" s="1" t="str">
        <f t="shared" si="25"/>
        <v>enemy_1067_snslime_2</v>
      </c>
      <c r="G303" s="1">
        <v>1</v>
      </c>
      <c r="K303" s="1">
        <v>4850</v>
      </c>
      <c r="M303" s="1">
        <v>370</v>
      </c>
      <c r="O303" s="1">
        <v>0</v>
      </c>
      <c r="Q303" s="1">
        <v>0</v>
      </c>
      <c r="Y303" s="1">
        <v>0.05</v>
      </c>
      <c r="Z303" s="1">
        <v>1.7</v>
      </c>
      <c r="AA303" s="1">
        <v>0</v>
      </c>
      <c r="AB303" s="1">
        <v>1</v>
      </c>
      <c r="AG303" s="1">
        <v>0</v>
      </c>
      <c r="AH303" s="1">
        <v>1</v>
      </c>
      <c r="AI303" s="1" t="s">
        <v>258</v>
      </c>
      <c r="AJ303" s="1" t="s">
        <v>216</v>
      </c>
      <c r="AK303" s="1" t="s">
        <v>260</v>
      </c>
      <c r="AM303" s="1">
        <v>1</v>
      </c>
      <c r="AV303" s="1">
        <v>1</v>
      </c>
      <c r="AX303" s="1">
        <v>0.25</v>
      </c>
      <c r="BE303" s="1" t="str">
        <f t="shared" si="26"/>
        <v>enemy_1067_snslime_2</v>
      </c>
      <c r="BK303" s="1" t="s">
        <v>911</v>
      </c>
      <c r="BL303" s="1" t="s">
        <v>1467</v>
      </c>
      <c r="BN303" s="1" t="s">
        <v>217</v>
      </c>
      <c r="BO303" s="1" t="s">
        <v>218</v>
      </c>
      <c r="BP303" s="1" t="s">
        <v>239</v>
      </c>
      <c r="BQ303" s="1" t="s">
        <v>220</v>
      </c>
      <c r="BT303" s="1">
        <v>1</v>
      </c>
    </row>
    <row r="304" spans="1:72">
      <c r="A304" s="1" t="s">
        <v>1468</v>
      </c>
      <c r="B304" s="1" t="s">
        <v>213</v>
      </c>
      <c r="D304" s="1" t="s">
        <v>1469</v>
      </c>
      <c r="E304" s="1">
        <v>1068</v>
      </c>
      <c r="F304" s="1" t="str">
        <f t="shared" si="25"/>
        <v>enemy_1068_snmage</v>
      </c>
      <c r="G304" s="1">
        <v>1</v>
      </c>
      <c r="K304" s="1">
        <v>5000</v>
      </c>
      <c r="M304" s="1">
        <v>320</v>
      </c>
      <c r="O304" s="1">
        <v>200</v>
      </c>
      <c r="Q304" s="1">
        <v>50</v>
      </c>
      <c r="Y304" s="1">
        <v>0.05</v>
      </c>
      <c r="Z304" s="1">
        <v>4.5</v>
      </c>
      <c r="AA304" s="1">
        <v>2</v>
      </c>
      <c r="AB304" s="1">
        <v>0.8</v>
      </c>
      <c r="AG304" s="1">
        <v>0</v>
      </c>
      <c r="AH304" s="1">
        <v>1</v>
      </c>
      <c r="AI304" s="1" t="s">
        <v>1470</v>
      </c>
      <c r="AJ304" s="1" t="s">
        <v>216</v>
      </c>
      <c r="AK304" s="1" t="s">
        <v>265</v>
      </c>
      <c r="AM304" s="1">
        <v>1</v>
      </c>
      <c r="AV304" s="1">
        <v>1</v>
      </c>
      <c r="AX304" s="1">
        <v>0.25</v>
      </c>
      <c r="BE304" s="1" t="str">
        <f t="shared" si="26"/>
        <v>enemy_1068_snmage</v>
      </c>
      <c r="BK304" s="1" t="s">
        <v>959</v>
      </c>
      <c r="BL304" s="1" t="s">
        <v>1471</v>
      </c>
      <c r="BN304" s="1" t="s">
        <v>217</v>
      </c>
      <c r="BO304" s="1" t="s">
        <v>218</v>
      </c>
      <c r="BP304" s="1" t="s">
        <v>239</v>
      </c>
      <c r="BQ304" s="1" t="s">
        <v>220</v>
      </c>
      <c r="BT304" s="1">
        <v>1</v>
      </c>
    </row>
    <row r="305" spans="1:72">
      <c r="A305" s="1" t="s">
        <v>1472</v>
      </c>
      <c r="B305" s="1" t="s">
        <v>213</v>
      </c>
      <c r="D305" s="1" t="s">
        <v>262</v>
      </c>
      <c r="E305" s="1">
        <v>1068</v>
      </c>
      <c r="F305" s="1" t="str">
        <f t="shared" si="25"/>
        <v>enemy_1068_snmage_2</v>
      </c>
      <c r="G305" s="1">
        <v>1</v>
      </c>
      <c r="K305" s="1">
        <v>8000</v>
      </c>
      <c r="M305" s="1">
        <v>400</v>
      </c>
      <c r="O305" s="1">
        <v>250</v>
      </c>
      <c r="Q305" s="1">
        <v>50</v>
      </c>
      <c r="Y305" s="1">
        <v>0.05</v>
      </c>
      <c r="Z305" s="1">
        <v>4</v>
      </c>
      <c r="AA305" s="1">
        <v>2</v>
      </c>
      <c r="AB305" s="1">
        <v>0.8</v>
      </c>
      <c r="AG305" s="1">
        <v>0</v>
      </c>
      <c r="AH305" s="1">
        <v>1</v>
      </c>
      <c r="AI305" s="1" t="s">
        <v>264</v>
      </c>
      <c r="AJ305" s="1" t="s">
        <v>216</v>
      </c>
      <c r="AK305" s="1" t="s">
        <v>265</v>
      </c>
      <c r="AM305" s="1">
        <v>1</v>
      </c>
      <c r="AV305" s="1">
        <v>1</v>
      </c>
      <c r="AX305" s="1">
        <v>0.25</v>
      </c>
      <c r="BE305" s="1" t="str">
        <f t="shared" si="26"/>
        <v>enemy_1068_snmage_2</v>
      </c>
      <c r="BK305" s="1" t="s">
        <v>959</v>
      </c>
      <c r="BL305" s="1" t="s">
        <v>1473</v>
      </c>
      <c r="BN305" s="1" t="s">
        <v>217</v>
      </c>
      <c r="BO305" s="1" t="s">
        <v>218</v>
      </c>
      <c r="BP305" s="1" t="s">
        <v>239</v>
      </c>
      <c r="BQ305" s="1" t="s">
        <v>220</v>
      </c>
      <c r="BT305" s="1">
        <v>1</v>
      </c>
    </row>
    <row r="306" spans="1:72">
      <c r="A306" s="1" t="s">
        <v>1474</v>
      </c>
      <c r="B306" s="1" t="s">
        <v>213</v>
      </c>
      <c r="D306" s="1" t="s">
        <v>1475</v>
      </c>
      <c r="E306" s="1">
        <v>1069</v>
      </c>
      <c r="F306" s="1" t="str">
        <f t="shared" si="25"/>
        <v>enemy_1069_icebrk</v>
      </c>
      <c r="G306" s="1">
        <v>1</v>
      </c>
      <c r="K306" s="1">
        <v>16000</v>
      </c>
      <c r="M306" s="1">
        <v>830</v>
      </c>
      <c r="O306" s="1">
        <v>500</v>
      </c>
      <c r="Q306" s="1">
        <v>20</v>
      </c>
      <c r="Y306" s="1">
        <v>0.05</v>
      </c>
      <c r="Z306" s="1">
        <v>3</v>
      </c>
      <c r="AA306" s="1">
        <v>3</v>
      </c>
      <c r="AB306" s="1">
        <v>0.7</v>
      </c>
      <c r="AG306" s="1">
        <v>0</v>
      </c>
      <c r="AH306" s="1">
        <v>1</v>
      </c>
      <c r="AI306" s="1" t="s">
        <v>1476</v>
      </c>
      <c r="AJ306" s="1" t="s">
        <v>216</v>
      </c>
      <c r="AK306" s="1" t="s">
        <v>276</v>
      </c>
      <c r="AM306" s="1">
        <v>1</v>
      </c>
      <c r="AV306" s="1">
        <v>1</v>
      </c>
      <c r="AX306" s="1">
        <v>0.25</v>
      </c>
      <c r="BE306" s="1" t="str">
        <f t="shared" si="26"/>
        <v>enemy_1069_icebrk</v>
      </c>
      <c r="BK306" s="1" t="s">
        <v>1012</v>
      </c>
      <c r="BL306" s="1" t="s">
        <v>1477</v>
      </c>
      <c r="BN306" s="1" t="s">
        <v>217</v>
      </c>
      <c r="BO306" s="1" t="s">
        <v>218</v>
      </c>
      <c r="BP306" s="1" t="s">
        <v>239</v>
      </c>
      <c r="BQ306" s="1" t="s">
        <v>220</v>
      </c>
      <c r="BT306" s="1">
        <v>1</v>
      </c>
    </row>
    <row r="307" spans="1:72">
      <c r="A307" s="1" t="s">
        <v>1478</v>
      </c>
      <c r="B307" s="1" t="s">
        <v>213</v>
      </c>
      <c r="D307" s="1" t="s">
        <v>272</v>
      </c>
      <c r="E307" s="1">
        <v>1069</v>
      </c>
      <c r="F307" s="1" t="str">
        <f t="shared" si="25"/>
        <v>enemy_1069_icebrk_2</v>
      </c>
      <c r="G307" s="1">
        <v>1</v>
      </c>
      <c r="K307" s="1">
        <v>25000</v>
      </c>
      <c r="M307" s="1">
        <v>1100</v>
      </c>
      <c r="O307" s="1">
        <v>600</v>
      </c>
      <c r="Q307" s="1">
        <v>20</v>
      </c>
      <c r="Y307" s="1">
        <v>0.05</v>
      </c>
      <c r="Z307" s="1">
        <v>3</v>
      </c>
      <c r="AA307" s="1">
        <v>3</v>
      </c>
      <c r="AB307" s="1">
        <v>0.7</v>
      </c>
      <c r="AG307" s="1">
        <v>0</v>
      </c>
      <c r="AH307" s="1">
        <v>1</v>
      </c>
      <c r="AI307" s="1" t="s">
        <v>274</v>
      </c>
      <c r="AJ307" s="1" t="s">
        <v>216</v>
      </c>
      <c r="AK307" s="1" t="s">
        <v>1479</v>
      </c>
      <c r="AM307" s="1">
        <v>1</v>
      </c>
      <c r="AV307" s="1">
        <v>1</v>
      </c>
      <c r="AX307" s="1">
        <v>0.25</v>
      </c>
      <c r="BE307" s="1" t="str">
        <f t="shared" si="26"/>
        <v>enemy_1069_icebrk_2</v>
      </c>
      <c r="BK307" s="1" t="s">
        <v>1012</v>
      </c>
      <c r="BL307" s="1" t="s">
        <v>1480</v>
      </c>
      <c r="BN307" s="1" t="s">
        <v>217</v>
      </c>
      <c r="BO307" s="1" t="s">
        <v>218</v>
      </c>
      <c r="BP307" s="1" t="s">
        <v>239</v>
      </c>
      <c r="BQ307" s="1" t="s">
        <v>220</v>
      </c>
      <c r="BT307" s="1">
        <v>1</v>
      </c>
    </row>
    <row r="308" spans="1:72">
      <c r="A308" s="1" t="s">
        <v>1481</v>
      </c>
      <c r="B308" s="1" t="s">
        <v>213</v>
      </c>
      <c r="D308" s="1" t="s">
        <v>1482</v>
      </c>
      <c r="E308" s="1">
        <v>1070</v>
      </c>
      <c r="F308" s="1" t="str">
        <f t="shared" si="25"/>
        <v>enemy_1070_iced</v>
      </c>
      <c r="G308" s="1">
        <v>0.7</v>
      </c>
      <c r="K308" s="1">
        <v>4000</v>
      </c>
      <c r="M308" s="1">
        <v>500</v>
      </c>
      <c r="O308" s="1">
        <v>180</v>
      </c>
      <c r="Q308" s="1">
        <v>30</v>
      </c>
      <c r="Y308" s="1">
        <v>0.05</v>
      </c>
      <c r="Z308" s="1">
        <v>1</v>
      </c>
      <c r="AA308" s="1">
        <v>0</v>
      </c>
      <c r="AB308" s="1">
        <v>0.6</v>
      </c>
      <c r="AG308" s="1">
        <v>0</v>
      </c>
      <c r="AH308" s="1">
        <v>1</v>
      </c>
      <c r="AI308" s="1" t="s">
        <v>1483</v>
      </c>
      <c r="AJ308" s="1" t="s">
        <v>216</v>
      </c>
      <c r="AK308" s="1" t="s">
        <v>1484</v>
      </c>
      <c r="AM308" s="1">
        <v>1</v>
      </c>
      <c r="AN308" s="1">
        <v>1</v>
      </c>
      <c r="AV308" s="1">
        <v>1</v>
      </c>
      <c r="AX308" s="1">
        <v>0.25</v>
      </c>
      <c r="BE308" s="1" t="str">
        <f t="shared" si="26"/>
        <v>enemy_1070_iced</v>
      </c>
      <c r="BK308" s="1" t="s">
        <v>1055</v>
      </c>
      <c r="BL308" s="1" t="s">
        <v>1485</v>
      </c>
      <c r="BN308" s="1" t="s">
        <v>217</v>
      </c>
      <c r="BO308" s="1" t="s">
        <v>218</v>
      </c>
      <c r="BP308" s="1" t="s">
        <v>219</v>
      </c>
      <c r="BQ308" s="1" t="s">
        <v>220</v>
      </c>
      <c r="BT308" s="1">
        <v>1</v>
      </c>
    </row>
    <row r="309" spans="1:72">
      <c r="A309" s="1" t="s">
        <v>1486</v>
      </c>
      <c r="B309" s="1" t="s">
        <v>213</v>
      </c>
      <c r="D309" s="1" t="s">
        <v>241</v>
      </c>
      <c r="E309" s="1">
        <v>1510</v>
      </c>
      <c r="F309" s="1" t="str">
        <f t="shared" si="25"/>
        <v>enemy_1510_frstar2</v>
      </c>
      <c r="G309" s="1">
        <v>1</v>
      </c>
      <c r="K309" s="1">
        <v>30000</v>
      </c>
      <c r="M309" s="1">
        <v>440</v>
      </c>
      <c r="O309" s="1">
        <v>380</v>
      </c>
      <c r="Q309" s="1">
        <v>50</v>
      </c>
      <c r="Y309" s="1">
        <v>0.05</v>
      </c>
      <c r="Z309" s="1">
        <v>3.7</v>
      </c>
      <c r="AA309" s="1">
        <v>6</v>
      </c>
      <c r="AB309" s="1">
        <v>0.5</v>
      </c>
      <c r="AG309" s="1">
        <v>0</v>
      </c>
      <c r="AH309" s="1">
        <v>1</v>
      </c>
      <c r="AI309" s="1" t="s">
        <v>1487</v>
      </c>
      <c r="AJ309" s="1" t="s">
        <v>216</v>
      </c>
      <c r="AK309" s="1" t="s">
        <v>1488</v>
      </c>
      <c r="AM309" s="1">
        <v>1</v>
      </c>
      <c r="AV309" s="1">
        <v>1</v>
      </c>
      <c r="AX309" s="1">
        <v>0.25</v>
      </c>
      <c r="BE309" s="1" t="str">
        <f t="shared" si="26"/>
        <v>enemy_1510_frstar2</v>
      </c>
      <c r="BK309" s="1" t="s">
        <v>1351</v>
      </c>
      <c r="BL309" s="1" t="s">
        <v>1489</v>
      </c>
      <c r="BN309" s="1" t="s">
        <v>217</v>
      </c>
      <c r="BO309" s="1" t="s">
        <v>218</v>
      </c>
      <c r="BP309" s="1" t="s">
        <v>239</v>
      </c>
      <c r="BQ309" s="1" t="s">
        <v>220</v>
      </c>
      <c r="BT309" s="1">
        <v>1</v>
      </c>
    </row>
    <row r="310" spans="1:72">
      <c r="A310" s="1" t="s">
        <v>1490</v>
      </c>
      <c r="B310" s="1" t="s">
        <v>213</v>
      </c>
      <c r="D310" s="1" t="s">
        <v>1491</v>
      </c>
      <c r="E310" s="1">
        <v>1510</v>
      </c>
      <c r="F310" s="1" t="str">
        <f t="shared" si="25"/>
        <v>enemy_1510_frstar2_s</v>
      </c>
      <c r="G310" s="1">
        <v>1</v>
      </c>
      <c r="K310" s="1">
        <v>95000</v>
      </c>
      <c r="M310" s="1">
        <v>1200</v>
      </c>
      <c r="O310" s="1">
        <v>300</v>
      </c>
      <c r="Q310" s="1">
        <v>50</v>
      </c>
      <c r="Y310" s="1">
        <v>0.05</v>
      </c>
      <c r="Z310" s="1">
        <v>3.7</v>
      </c>
      <c r="AA310" s="1">
        <v>6</v>
      </c>
      <c r="AB310" s="1">
        <v>0.25</v>
      </c>
      <c r="AG310" s="1">
        <v>0</v>
      </c>
      <c r="AH310" s="1">
        <v>1</v>
      </c>
      <c r="AI310" s="1" t="s">
        <v>1492</v>
      </c>
      <c r="AJ310" s="1" t="s">
        <v>216</v>
      </c>
      <c r="AK310" s="1" t="s">
        <v>238</v>
      </c>
      <c r="AM310" s="1">
        <v>1</v>
      </c>
      <c r="AV310" s="1">
        <v>1</v>
      </c>
      <c r="AX310" s="1">
        <v>0.25</v>
      </c>
      <c r="BE310" s="1" t="str">
        <f t="shared" si="26"/>
        <v>enemy_1510_frstar2_s</v>
      </c>
      <c r="BN310" s="1" t="s">
        <v>217</v>
      </c>
      <c r="BO310" s="1" t="s">
        <v>218</v>
      </c>
      <c r="BQ310" s="1" t="s">
        <v>220</v>
      </c>
      <c r="BT310" s="1">
        <v>1</v>
      </c>
    </row>
    <row r="311" spans="1:72">
      <c r="A311" s="1" t="s">
        <v>1493</v>
      </c>
      <c r="B311" s="1" t="s">
        <v>213</v>
      </c>
      <c r="D311" s="1" t="s">
        <v>1494</v>
      </c>
      <c r="E311" s="1">
        <v>1071</v>
      </c>
      <c r="F311" s="1" t="str">
        <f t="shared" si="25"/>
        <v>enemy_1071_dftman</v>
      </c>
      <c r="G311" s="1">
        <v>1</v>
      </c>
      <c r="K311" s="1">
        <v>2800</v>
      </c>
      <c r="M311" s="1">
        <v>300</v>
      </c>
      <c r="O311" s="1">
        <v>70</v>
      </c>
      <c r="Q311" s="1">
        <v>50</v>
      </c>
      <c r="Y311" s="1">
        <v>0.05</v>
      </c>
      <c r="Z311" s="1">
        <v>2.5</v>
      </c>
      <c r="AA311" s="1">
        <v>1</v>
      </c>
      <c r="AB311" s="1">
        <v>1</v>
      </c>
      <c r="AG311" s="1">
        <v>0</v>
      </c>
      <c r="AH311" s="1">
        <v>1</v>
      </c>
      <c r="AI311" s="1" t="s">
        <v>1495</v>
      </c>
      <c r="AJ311" s="1" t="s">
        <v>216</v>
      </c>
      <c r="AK311" s="1" t="s">
        <v>238</v>
      </c>
      <c r="AM311" s="1">
        <v>1</v>
      </c>
      <c r="AV311" s="1">
        <v>1</v>
      </c>
      <c r="AX311" s="1">
        <v>0.25</v>
      </c>
      <c r="BE311" s="1" t="str">
        <f t="shared" si="26"/>
        <v>enemy_1071_dftman</v>
      </c>
      <c r="BK311" s="1" t="s">
        <v>1496</v>
      </c>
      <c r="BL311" s="1" t="s">
        <v>1497</v>
      </c>
      <c r="BN311" s="1" t="s">
        <v>217</v>
      </c>
      <c r="BO311" s="1" t="s">
        <v>218</v>
      </c>
      <c r="BP311" s="1" t="s">
        <v>239</v>
      </c>
      <c r="BQ311" s="1" t="s">
        <v>220</v>
      </c>
      <c r="BT311" s="1">
        <v>1</v>
      </c>
    </row>
    <row r="312" spans="1:72">
      <c r="A312" s="1" t="s">
        <v>1498</v>
      </c>
      <c r="B312" s="1" t="s">
        <v>213</v>
      </c>
      <c r="D312" s="1" t="s">
        <v>1499</v>
      </c>
      <c r="E312" s="1">
        <v>1071</v>
      </c>
      <c r="F312" s="1" t="str">
        <f t="shared" si="25"/>
        <v>enemy_1071_dftman_2</v>
      </c>
      <c r="G312" s="1">
        <v>1</v>
      </c>
      <c r="K312" s="1">
        <v>4000</v>
      </c>
      <c r="M312" s="1">
        <v>370</v>
      </c>
      <c r="O312" s="1">
        <v>100</v>
      </c>
      <c r="Q312" s="1">
        <v>50</v>
      </c>
      <c r="Y312" s="1">
        <v>0.05</v>
      </c>
      <c r="Z312" s="1">
        <v>2.5</v>
      </c>
      <c r="AA312" s="1">
        <v>1</v>
      </c>
      <c r="AB312" s="1">
        <v>1</v>
      </c>
      <c r="AG312" s="1">
        <v>0</v>
      </c>
      <c r="AH312" s="1">
        <v>1</v>
      </c>
      <c r="AI312" s="1" t="s">
        <v>1500</v>
      </c>
      <c r="AJ312" s="1" t="s">
        <v>216</v>
      </c>
      <c r="AK312" s="1" t="s">
        <v>238</v>
      </c>
      <c r="AM312" s="1">
        <v>1</v>
      </c>
      <c r="AV312" s="1">
        <v>1</v>
      </c>
      <c r="AX312" s="1">
        <v>0.25</v>
      </c>
      <c r="BE312" s="1" t="str">
        <f t="shared" si="26"/>
        <v>enemy_1071_dftman_2</v>
      </c>
      <c r="BK312" s="1" t="s">
        <v>1496</v>
      </c>
      <c r="BL312" s="1" t="s">
        <v>1501</v>
      </c>
      <c r="BN312" s="1" t="s">
        <v>217</v>
      </c>
      <c r="BO312" s="1" t="s">
        <v>218</v>
      </c>
      <c r="BP312" s="1" t="s">
        <v>239</v>
      </c>
      <c r="BQ312" s="1" t="s">
        <v>220</v>
      </c>
      <c r="BT312" s="1">
        <v>1</v>
      </c>
    </row>
    <row r="313" spans="1:72">
      <c r="A313" s="1" t="s">
        <v>1502</v>
      </c>
      <c r="B313" s="1" t="s">
        <v>213</v>
      </c>
      <c r="D313" s="1" t="s">
        <v>1503</v>
      </c>
      <c r="E313" s="1">
        <v>1072</v>
      </c>
      <c r="F313" s="1" t="str">
        <f t="shared" si="25"/>
        <v>enemy_1072_dlancer</v>
      </c>
      <c r="G313" s="1">
        <v>1</v>
      </c>
      <c r="K313" s="1">
        <v>6000</v>
      </c>
      <c r="M313" s="1">
        <v>450</v>
      </c>
      <c r="O313" s="1">
        <v>150</v>
      </c>
      <c r="Q313" s="1">
        <v>40</v>
      </c>
      <c r="Y313" s="1">
        <v>0.05</v>
      </c>
      <c r="Z313" s="1">
        <v>4</v>
      </c>
      <c r="AA313" s="1">
        <v>3</v>
      </c>
      <c r="AB313" s="1">
        <v>0.25</v>
      </c>
      <c r="AG313" s="1">
        <v>0</v>
      </c>
      <c r="AH313" s="1">
        <v>1</v>
      </c>
      <c r="AI313" s="1" t="s">
        <v>1504</v>
      </c>
      <c r="AJ313" s="1" t="s">
        <v>216</v>
      </c>
      <c r="AK313" s="1" t="s">
        <v>1505</v>
      </c>
      <c r="AM313" s="1">
        <v>1</v>
      </c>
      <c r="AV313" s="1">
        <v>1</v>
      </c>
      <c r="AX313" s="1">
        <v>0.25</v>
      </c>
      <c r="BE313" s="1" t="str">
        <f t="shared" si="26"/>
        <v>enemy_1072_dlancer</v>
      </c>
      <c r="BK313" s="1" t="s">
        <v>1086</v>
      </c>
      <c r="BL313" s="1" t="s">
        <v>1506</v>
      </c>
      <c r="BN313" s="1" t="s">
        <v>217</v>
      </c>
      <c r="BO313" s="1" t="s">
        <v>218</v>
      </c>
      <c r="BP313" s="1" t="s">
        <v>239</v>
      </c>
      <c r="BQ313" s="1" t="s">
        <v>220</v>
      </c>
      <c r="BT313" s="1">
        <v>1</v>
      </c>
    </row>
    <row r="314" spans="1:72">
      <c r="A314" s="1" t="s">
        <v>1507</v>
      </c>
      <c r="B314" s="1" t="s">
        <v>213</v>
      </c>
      <c r="D314" s="1" t="s">
        <v>1508</v>
      </c>
      <c r="E314" s="1">
        <v>1072</v>
      </c>
      <c r="F314" s="1" t="str">
        <f t="shared" si="25"/>
        <v>enemy_1072_dlancer_2</v>
      </c>
      <c r="G314" s="1">
        <v>1</v>
      </c>
      <c r="K314" s="1">
        <v>8000</v>
      </c>
      <c r="M314" s="1">
        <v>500</v>
      </c>
      <c r="O314" s="1">
        <v>230</v>
      </c>
      <c r="Q314" s="1">
        <v>40</v>
      </c>
      <c r="Y314" s="1">
        <v>0.05</v>
      </c>
      <c r="Z314" s="1">
        <v>4</v>
      </c>
      <c r="AA314" s="1">
        <v>3</v>
      </c>
      <c r="AB314" s="1">
        <v>0.3</v>
      </c>
      <c r="AG314" s="1">
        <v>0</v>
      </c>
      <c r="AH314" s="1">
        <v>1</v>
      </c>
      <c r="AI314" s="1" t="s">
        <v>1509</v>
      </c>
      <c r="AJ314" s="1" t="s">
        <v>216</v>
      </c>
      <c r="AK314" s="1" t="s">
        <v>1510</v>
      </c>
      <c r="AM314" s="1">
        <v>1</v>
      </c>
      <c r="AV314" s="1">
        <v>1</v>
      </c>
      <c r="AX314" s="1">
        <v>0.25</v>
      </c>
      <c r="BE314" s="1" t="str">
        <f t="shared" si="26"/>
        <v>enemy_1072_dlancer_2</v>
      </c>
      <c r="BK314" s="1" t="s">
        <v>1086</v>
      </c>
      <c r="BL314" s="1" t="s">
        <v>1511</v>
      </c>
      <c r="BN314" s="1" t="s">
        <v>217</v>
      </c>
      <c r="BO314" s="1" t="s">
        <v>218</v>
      </c>
      <c r="BP314" s="1" t="s">
        <v>239</v>
      </c>
      <c r="BQ314" s="1" t="s">
        <v>220</v>
      </c>
      <c r="BT314" s="1">
        <v>1</v>
      </c>
    </row>
    <row r="315" spans="1:72">
      <c r="A315" s="1" t="s">
        <v>1512</v>
      </c>
      <c r="B315" s="1" t="s">
        <v>213</v>
      </c>
      <c r="D315" s="1" t="s">
        <v>1513</v>
      </c>
      <c r="E315" s="1">
        <v>1073</v>
      </c>
      <c r="F315" s="1" t="str">
        <f t="shared" ref="F315:F378" si="27">"enemy_"&amp;E315&amp;"_"&amp;D315</f>
        <v>enemy_1073_dscout</v>
      </c>
      <c r="G315" s="1">
        <v>1</v>
      </c>
      <c r="K315" s="1">
        <v>4000</v>
      </c>
      <c r="M315" s="1">
        <v>0</v>
      </c>
      <c r="O315" s="1">
        <v>100</v>
      </c>
      <c r="Q315" s="1">
        <v>30</v>
      </c>
      <c r="Y315" s="1">
        <v>0.05</v>
      </c>
      <c r="Z315" s="1">
        <v>1</v>
      </c>
      <c r="AA315" s="1">
        <v>1</v>
      </c>
      <c r="AB315" s="1">
        <v>0.5</v>
      </c>
      <c r="AG315" s="1">
        <v>0</v>
      </c>
      <c r="AH315" s="1">
        <v>1</v>
      </c>
      <c r="AI315" s="1" t="s">
        <v>1514</v>
      </c>
      <c r="AJ315" s="1" t="s">
        <v>216</v>
      </c>
      <c r="AK315" s="1" t="s">
        <v>1515</v>
      </c>
      <c r="AM315" s="1">
        <v>1</v>
      </c>
      <c r="AV315" s="1">
        <v>1</v>
      </c>
      <c r="AW315" s="1" t="s">
        <v>1516</v>
      </c>
      <c r="AX315" s="1">
        <v>0.25</v>
      </c>
      <c r="BE315" s="1" t="str">
        <f t="shared" si="26"/>
        <v>enemy_1073_dscout</v>
      </c>
      <c r="BK315" s="1" t="s">
        <v>1517</v>
      </c>
      <c r="BL315" s="1" t="s">
        <v>1518</v>
      </c>
      <c r="BN315" s="1" t="s">
        <v>217</v>
      </c>
      <c r="BO315" s="1" t="s">
        <v>218</v>
      </c>
      <c r="BP315" s="1" t="s">
        <v>239</v>
      </c>
      <c r="BQ315" s="1" t="s">
        <v>220</v>
      </c>
      <c r="BT315" s="1">
        <v>1</v>
      </c>
    </row>
    <row r="316" spans="1:72">
      <c r="A316" s="1" t="s">
        <v>1519</v>
      </c>
      <c r="B316" s="1" t="s">
        <v>213</v>
      </c>
      <c r="D316" s="1" t="s">
        <v>1520</v>
      </c>
      <c r="E316" s="1">
        <v>1073</v>
      </c>
      <c r="F316" s="1" t="str">
        <f t="shared" si="27"/>
        <v>enemy_1073_dscout_2</v>
      </c>
      <c r="G316" s="1">
        <v>1</v>
      </c>
      <c r="K316" s="1">
        <v>5000</v>
      </c>
      <c r="M316" s="1">
        <v>0</v>
      </c>
      <c r="O316" s="1">
        <v>160</v>
      </c>
      <c r="Q316" s="1">
        <v>30</v>
      </c>
      <c r="Y316" s="1">
        <v>0.05</v>
      </c>
      <c r="Z316" s="1">
        <v>1</v>
      </c>
      <c r="AA316" s="1">
        <v>1</v>
      </c>
      <c r="AB316" s="1">
        <v>0.5</v>
      </c>
      <c r="AG316" s="1">
        <v>0</v>
      </c>
      <c r="AH316" s="1">
        <v>1</v>
      </c>
      <c r="AI316" s="1" t="s">
        <v>1521</v>
      </c>
      <c r="AJ316" s="1" t="s">
        <v>216</v>
      </c>
      <c r="AK316" s="1" t="s">
        <v>1515</v>
      </c>
      <c r="AM316" s="1">
        <v>1</v>
      </c>
      <c r="AV316" s="1">
        <v>1</v>
      </c>
      <c r="AW316" s="1" t="s">
        <v>1516</v>
      </c>
      <c r="AX316" s="1">
        <v>0.25</v>
      </c>
      <c r="BE316" s="1" t="str">
        <f t="shared" si="26"/>
        <v>enemy_1073_dscout_2</v>
      </c>
      <c r="BK316" s="1" t="s">
        <v>1517</v>
      </c>
      <c r="BL316" s="1" t="s">
        <v>1518</v>
      </c>
      <c r="BN316" s="1" t="s">
        <v>217</v>
      </c>
      <c r="BO316" s="1" t="s">
        <v>218</v>
      </c>
      <c r="BP316" s="1" t="s">
        <v>239</v>
      </c>
      <c r="BQ316" s="1" t="s">
        <v>220</v>
      </c>
      <c r="BT316" s="1">
        <v>1</v>
      </c>
    </row>
    <row r="317" spans="1:72">
      <c r="A317" s="1" t="s">
        <v>1522</v>
      </c>
      <c r="B317" s="1" t="s">
        <v>213</v>
      </c>
      <c r="D317" s="1" t="s">
        <v>1523</v>
      </c>
      <c r="E317" s="1">
        <v>1074</v>
      </c>
      <c r="F317" s="1" t="str">
        <f t="shared" si="27"/>
        <v>enemy_1074_dbskar</v>
      </c>
      <c r="G317" s="1">
        <v>1</v>
      </c>
      <c r="K317" s="1">
        <v>15000</v>
      </c>
      <c r="M317" s="1">
        <v>700</v>
      </c>
      <c r="O317" s="1">
        <v>250</v>
      </c>
      <c r="Q317" s="1">
        <v>50</v>
      </c>
      <c r="Y317" s="1">
        <v>0.05</v>
      </c>
      <c r="Z317" s="1">
        <v>5</v>
      </c>
      <c r="AA317" s="1">
        <v>3</v>
      </c>
      <c r="AB317" s="1">
        <v>0.4</v>
      </c>
      <c r="AG317" s="1">
        <v>0</v>
      </c>
      <c r="AH317" s="1">
        <v>1</v>
      </c>
      <c r="AI317" s="1" t="s">
        <v>1524</v>
      </c>
      <c r="AJ317" s="1" t="s">
        <v>216</v>
      </c>
      <c r="AK317" s="1" t="s">
        <v>1525</v>
      </c>
      <c r="AM317" s="1">
        <v>1</v>
      </c>
      <c r="AV317" s="1">
        <v>1</v>
      </c>
      <c r="AX317" s="1">
        <v>0.25</v>
      </c>
      <c r="BE317" s="1" t="str">
        <f t="shared" si="26"/>
        <v>enemy_1074_dbskar</v>
      </c>
      <c r="BK317" s="1" t="s">
        <v>1096</v>
      </c>
      <c r="BL317" s="1" t="s">
        <v>1526</v>
      </c>
      <c r="BN317" s="1" t="s">
        <v>217</v>
      </c>
      <c r="BO317" s="1" t="s">
        <v>218</v>
      </c>
      <c r="BP317" s="1" t="s">
        <v>239</v>
      </c>
      <c r="BQ317" s="1" t="s">
        <v>220</v>
      </c>
      <c r="BT317" s="1">
        <v>1</v>
      </c>
    </row>
    <row r="318" spans="1:72">
      <c r="A318" s="1" t="s">
        <v>1527</v>
      </c>
      <c r="B318" s="1" t="s">
        <v>213</v>
      </c>
      <c r="D318" s="1" t="s">
        <v>1528</v>
      </c>
      <c r="E318" s="1">
        <v>1074</v>
      </c>
      <c r="F318" s="1" t="str">
        <f t="shared" si="27"/>
        <v>enemy_1074_dbskar_2</v>
      </c>
      <c r="G318" s="1">
        <v>1</v>
      </c>
      <c r="K318" s="1">
        <v>22000</v>
      </c>
      <c r="M318" s="1">
        <v>850</v>
      </c>
      <c r="O318" s="1">
        <v>300</v>
      </c>
      <c r="Q318" s="1">
        <v>50</v>
      </c>
      <c r="Y318" s="1">
        <v>0.05</v>
      </c>
      <c r="Z318" s="1">
        <v>5</v>
      </c>
      <c r="AA318" s="1">
        <v>3</v>
      </c>
      <c r="AB318" s="1">
        <v>0.4</v>
      </c>
      <c r="AG318" s="1">
        <v>0</v>
      </c>
      <c r="AH318" s="1">
        <v>1</v>
      </c>
      <c r="AI318" s="1" t="s">
        <v>1529</v>
      </c>
      <c r="AJ318" s="1" t="s">
        <v>216</v>
      </c>
      <c r="AK318" s="1" t="s">
        <v>1525</v>
      </c>
      <c r="AM318" s="1">
        <v>1</v>
      </c>
      <c r="AV318" s="1">
        <v>1</v>
      </c>
      <c r="AX318" s="1">
        <v>0.25</v>
      </c>
      <c r="BE318" s="1" t="str">
        <f t="shared" si="26"/>
        <v>enemy_1074_dbskar_2</v>
      </c>
      <c r="BK318" s="1" t="s">
        <v>1096</v>
      </c>
      <c r="BL318" s="1" t="s">
        <v>1526</v>
      </c>
      <c r="BN318" s="1" t="s">
        <v>217</v>
      </c>
      <c r="BO318" s="1" t="s">
        <v>218</v>
      </c>
      <c r="BP318" s="1" t="s">
        <v>239</v>
      </c>
      <c r="BQ318" s="1" t="s">
        <v>220</v>
      </c>
      <c r="BT318" s="1">
        <v>1</v>
      </c>
    </row>
    <row r="319" spans="1:72">
      <c r="A319" s="1" t="s">
        <v>1530</v>
      </c>
      <c r="B319" s="1" t="s">
        <v>213</v>
      </c>
      <c r="D319" s="1" t="s">
        <v>1531</v>
      </c>
      <c r="E319" s="1">
        <v>1075</v>
      </c>
      <c r="F319" s="1" t="str">
        <f t="shared" si="27"/>
        <v>enemy_1075_dmgswd</v>
      </c>
      <c r="G319" s="1">
        <v>1</v>
      </c>
      <c r="K319" s="1">
        <v>6500</v>
      </c>
      <c r="M319" s="1">
        <v>400</v>
      </c>
      <c r="O319" s="1">
        <v>200</v>
      </c>
      <c r="Q319" s="1">
        <v>50</v>
      </c>
      <c r="Y319" s="1">
        <v>0.05</v>
      </c>
      <c r="Z319" s="1">
        <v>2.5</v>
      </c>
      <c r="AA319" s="1">
        <v>2</v>
      </c>
      <c r="AB319" s="1">
        <v>0.4</v>
      </c>
      <c r="AG319" s="1">
        <v>0</v>
      </c>
      <c r="AH319" s="1">
        <v>1</v>
      </c>
      <c r="AI319" s="1" t="s">
        <v>1532</v>
      </c>
      <c r="AJ319" s="1" t="s">
        <v>216</v>
      </c>
      <c r="AK319" s="1" t="s">
        <v>1533</v>
      </c>
      <c r="AM319" s="1">
        <v>1</v>
      </c>
      <c r="AV319" s="1">
        <v>1</v>
      </c>
      <c r="AX319" s="1">
        <v>0.25</v>
      </c>
      <c r="BE319" s="1" t="str">
        <f t="shared" si="26"/>
        <v>enemy_1075_dmgswd</v>
      </c>
      <c r="BK319" s="1" t="s">
        <v>1086</v>
      </c>
      <c r="BL319" s="1" t="s">
        <v>1534</v>
      </c>
      <c r="BN319" s="1" t="s">
        <v>217</v>
      </c>
      <c r="BO319" s="1" t="s">
        <v>218</v>
      </c>
      <c r="BP319" s="1" t="s">
        <v>239</v>
      </c>
      <c r="BQ319" s="1" t="s">
        <v>220</v>
      </c>
      <c r="BT319" s="1">
        <v>1</v>
      </c>
    </row>
    <row r="320" spans="1:72">
      <c r="A320" s="1" t="s">
        <v>1535</v>
      </c>
      <c r="B320" s="1" t="s">
        <v>213</v>
      </c>
      <c r="D320" s="1" t="s">
        <v>1536</v>
      </c>
      <c r="E320" s="1">
        <v>1075</v>
      </c>
      <c r="F320" s="1" t="str">
        <f t="shared" si="27"/>
        <v>enemy_1075_dmgswd_2</v>
      </c>
      <c r="G320" s="1">
        <v>1</v>
      </c>
      <c r="K320" s="1">
        <v>9500</v>
      </c>
      <c r="M320" s="1">
        <v>500</v>
      </c>
      <c r="O320" s="1">
        <v>250</v>
      </c>
      <c r="Q320" s="1">
        <v>50</v>
      </c>
      <c r="Y320" s="1">
        <v>0.05</v>
      </c>
      <c r="Z320" s="1">
        <v>2.5</v>
      </c>
      <c r="AA320" s="1">
        <v>2</v>
      </c>
      <c r="AB320" s="1">
        <v>0.4</v>
      </c>
      <c r="AG320" s="1">
        <v>0</v>
      </c>
      <c r="AH320" s="1">
        <v>1</v>
      </c>
      <c r="AI320" s="1" t="s">
        <v>1537</v>
      </c>
      <c r="AJ320" s="1" t="s">
        <v>216</v>
      </c>
      <c r="AK320" s="1" t="s">
        <v>1533</v>
      </c>
      <c r="AM320" s="1">
        <v>1</v>
      </c>
      <c r="AV320" s="1">
        <v>1</v>
      </c>
      <c r="AX320" s="1">
        <v>0.25</v>
      </c>
      <c r="BE320" s="1" t="str">
        <f t="shared" si="26"/>
        <v>enemy_1075_dmgswd_2</v>
      </c>
      <c r="BK320" s="1" t="s">
        <v>1086</v>
      </c>
      <c r="BL320" s="1" t="s">
        <v>1534</v>
      </c>
      <c r="BN320" s="1" t="s">
        <v>217</v>
      </c>
      <c r="BO320" s="1" t="s">
        <v>218</v>
      </c>
      <c r="BP320" s="1" t="s">
        <v>239</v>
      </c>
      <c r="BQ320" s="1" t="s">
        <v>220</v>
      </c>
      <c r="BT320" s="1">
        <v>1</v>
      </c>
    </row>
    <row r="321" spans="1:72">
      <c r="A321" s="1" t="s">
        <v>1538</v>
      </c>
      <c r="B321" s="1" t="s">
        <v>213</v>
      </c>
      <c r="D321" s="1" t="s">
        <v>1539</v>
      </c>
      <c r="E321" s="1">
        <v>1076</v>
      </c>
      <c r="F321" s="1" t="str">
        <f t="shared" si="27"/>
        <v>enemy_1076_bsthmr</v>
      </c>
      <c r="G321" s="1">
        <v>1</v>
      </c>
      <c r="K321" s="1">
        <v>15000</v>
      </c>
      <c r="M321" s="1">
        <v>1700</v>
      </c>
      <c r="O321" s="1">
        <v>800</v>
      </c>
      <c r="Q321" s="1">
        <v>0</v>
      </c>
      <c r="Y321" s="1">
        <v>0.05</v>
      </c>
      <c r="Z321" s="1">
        <v>5</v>
      </c>
      <c r="AA321" s="1">
        <v>4</v>
      </c>
      <c r="AB321" s="1">
        <v>0.6</v>
      </c>
      <c r="AG321" s="1">
        <v>0</v>
      </c>
      <c r="AH321" s="1">
        <v>1</v>
      </c>
      <c r="AI321" s="1" t="s">
        <v>1540</v>
      </c>
      <c r="AJ321" s="1" t="s">
        <v>216</v>
      </c>
      <c r="AK321" s="1" t="s">
        <v>1541</v>
      </c>
      <c r="AM321" s="1">
        <v>1</v>
      </c>
      <c r="AV321" s="1">
        <v>1</v>
      </c>
      <c r="AW321" s="1" t="s">
        <v>1542</v>
      </c>
      <c r="AX321" s="1">
        <v>0.25</v>
      </c>
      <c r="BE321" s="1" t="str">
        <f t="shared" si="26"/>
        <v>enemy_1076_bsthmr</v>
      </c>
      <c r="BK321" s="1" t="s">
        <v>1012</v>
      </c>
      <c r="BL321" s="1" t="s">
        <v>1543</v>
      </c>
      <c r="BN321" s="1" t="s">
        <v>217</v>
      </c>
      <c r="BO321" s="1" t="s">
        <v>218</v>
      </c>
      <c r="BP321" s="1" t="s">
        <v>219</v>
      </c>
      <c r="BQ321" s="1" t="s">
        <v>220</v>
      </c>
      <c r="BT321" s="1">
        <v>1</v>
      </c>
    </row>
    <row r="322" spans="1:72">
      <c r="A322" s="1" t="s">
        <v>1544</v>
      </c>
      <c r="B322" s="1" t="s">
        <v>213</v>
      </c>
      <c r="D322" s="1" t="s">
        <v>1545</v>
      </c>
      <c r="E322" s="1">
        <v>1076</v>
      </c>
      <c r="F322" s="1" t="str">
        <f t="shared" si="27"/>
        <v>enemy_1076_bsthmr_2</v>
      </c>
      <c r="G322" s="1">
        <v>1</v>
      </c>
      <c r="K322" s="1">
        <v>25000</v>
      </c>
      <c r="M322" s="1">
        <v>2200</v>
      </c>
      <c r="O322" s="1">
        <v>1000</v>
      </c>
      <c r="Q322" s="1">
        <v>0</v>
      </c>
      <c r="Y322" s="1">
        <v>0.05</v>
      </c>
      <c r="Z322" s="1">
        <v>5</v>
      </c>
      <c r="AA322" s="1">
        <v>4</v>
      </c>
      <c r="AB322" s="1">
        <v>0.6</v>
      </c>
      <c r="AG322" s="1">
        <v>0</v>
      </c>
      <c r="AH322" s="1">
        <v>1</v>
      </c>
      <c r="AI322" s="1" t="s">
        <v>1546</v>
      </c>
      <c r="AJ322" s="1" t="s">
        <v>216</v>
      </c>
      <c r="AK322" s="1" t="s">
        <v>1541</v>
      </c>
      <c r="AM322" s="1">
        <v>1</v>
      </c>
      <c r="AV322" s="1">
        <v>1</v>
      </c>
      <c r="AX322" s="1">
        <v>0.25</v>
      </c>
      <c r="BE322" s="1" t="str">
        <f t="shared" si="26"/>
        <v>enemy_1076_bsthmr_2</v>
      </c>
      <c r="BK322" s="1" t="s">
        <v>1012</v>
      </c>
      <c r="BL322" s="1" t="s">
        <v>1543</v>
      </c>
      <c r="BN322" s="1" t="s">
        <v>217</v>
      </c>
      <c r="BO322" s="1" t="s">
        <v>218</v>
      </c>
      <c r="BP322" s="1" t="s">
        <v>219</v>
      </c>
      <c r="BQ322" s="1" t="s">
        <v>220</v>
      </c>
      <c r="BT322" s="1">
        <v>1</v>
      </c>
    </row>
    <row r="323" spans="1:72">
      <c r="A323" s="1" t="s">
        <v>1547</v>
      </c>
      <c r="B323" s="1" t="s">
        <v>213</v>
      </c>
      <c r="D323" s="1" t="s">
        <v>1548</v>
      </c>
      <c r="E323" s="1">
        <v>1077</v>
      </c>
      <c r="F323" s="1" t="str">
        <f t="shared" si="27"/>
        <v>enemy_1077_sotihd</v>
      </c>
      <c r="G323" s="1">
        <v>1</v>
      </c>
      <c r="K323" s="1">
        <v>2900</v>
      </c>
      <c r="M323" s="1">
        <v>350</v>
      </c>
      <c r="O323" s="1">
        <v>150</v>
      </c>
      <c r="Q323" s="1">
        <v>20</v>
      </c>
      <c r="Y323" s="1">
        <v>0.05</v>
      </c>
      <c r="Z323" s="1">
        <v>1.4</v>
      </c>
      <c r="AA323" s="1">
        <v>0</v>
      </c>
      <c r="AB323" s="1">
        <v>1.9</v>
      </c>
      <c r="AG323" s="1">
        <v>0</v>
      </c>
      <c r="AH323" s="1">
        <v>1</v>
      </c>
      <c r="AI323" s="1" t="s">
        <v>1549</v>
      </c>
      <c r="AJ323" s="1" t="s">
        <v>216</v>
      </c>
      <c r="AK323" s="1" t="s">
        <v>238</v>
      </c>
      <c r="AM323" s="1">
        <v>1</v>
      </c>
      <c r="AV323" s="1">
        <v>1</v>
      </c>
      <c r="AX323" s="1">
        <v>0.25</v>
      </c>
      <c r="BE323" s="1" t="str">
        <f t="shared" si="26"/>
        <v>enemy_1077_sotihd</v>
      </c>
      <c r="BK323" s="1" t="s">
        <v>911</v>
      </c>
      <c r="BL323" s="1" t="s">
        <v>1550</v>
      </c>
      <c r="BN323" s="1" t="s">
        <v>217</v>
      </c>
      <c r="BO323" s="1" t="s">
        <v>218</v>
      </c>
      <c r="BP323" s="1" t="s">
        <v>249</v>
      </c>
      <c r="BQ323" s="1" t="s">
        <v>220</v>
      </c>
      <c r="BT323" s="1">
        <v>1</v>
      </c>
    </row>
    <row r="324" spans="1:72">
      <c r="A324" s="1" t="s">
        <v>1551</v>
      </c>
      <c r="B324" s="1" t="s">
        <v>213</v>
      </c>
      <c r="D324" s="1" t="s">
        <v>1552</v>
      </c>
      <c r="E324" s="1">
        <v>1077</v>
      </c>
      <c r="F324" s="1" t="str">
        <f t="shared" si="27"/>
        <v>enemy_1077_sotihd_2</v>
      </c>
      <c r="G324" s="1">
        <v>1</v>
      </c>
      <c r="K324" s="1">
        <v>3800</v>
      </c>
      <c r="M324" s="1">
        <v>420</v>
      </c>
      <c r="O324" s="1">
        <v>150</v>
      </c>
      <c r="Q324" s="1">
        <v>20</v>
      </c>
      <c r="Y324" s="1">
        <v>0.05</v>
      </c>
      <c r="Z324" s="1">
        <v>1.4</v>
      </c>
      <c r="AA324" s="1">
        <v>0</v>
      </c>
      <c r="AB324" s="1">
        <v>1.9</v>
      </c>
      <c r="AG324" s="1">
        <v>0</v>
      </c>
      <c r="AH324" s="1">
        <v>1</v>
      </c>
      <c r="AI324" s="1" t="s">
        <v>1553</v>
      </c>
      <c r="AJ324" s="1" t="s">
        <v>216</v>
      </c>
      <c r="AK324" s="1" t="s">
        <v>238</v>
      </c>
      <c r="AM324" s="1">
        <v>1</v>
      </c>
      <c r="AV324" s="1">
        <v>1</v>
      </c>
      <c r="AX324" s="1">
        <v>0.25</v>
      </c>
      <c r="BE324" s="1" t="str">
        <f t="shared" si="26"/>
        <v>enemy_1077_sotihd_2</v>
      </c>
      <c r="BK324" s="1" t="s">
        <v>911</v>
      </c>
      <c r="BL324" s="1" t="s">
        <v>1554</v>
      </c>
      <c r="BN324" s="1" t="s">
        <v>217</v>
      </c>
      <c r="BO324" s="1" t="s">
        <v>218</v>
      </c>
      <c r="BP324" s="1" t="s">
        <v>249</v>
      </c>
      <c r="BQ324" s="1" t="s">
        <v>220</v>
      </c>
      <c r="BT324" s="1">
        <v>1</v>
      </c>
    </row>
    <row r="325" spans="1:72">
      <c r="A325" s="1" t="s">
        <v>1555</v>
      </c>
      <c r="B325" s="1" t="s">
        <v>213</v>
      </c>
      <c r="D325" s="1" t="s">
        <v>1556</v>
      </c>
      <c r="E325" s="1">
        <v>1078</v>
      </c>
      <c r="F325" s="1" t="str">
        <f t="shared" si="27"/>
        <v>enemy_1078_sotisc</v>
      </c>
      <c r="G325" s="1">
        <v>1</v>
      </c>
      <c r="K325" s="1">
        <v>3300</v>
      </c>
      <c r="M325" s="1">
        <v>300</v>
      </c>
      <c r="O325" s="1">
        <v>300</v>
      </c>
      <c r="Q325" s="1">
        <v>20</v>
      </c>
      <c r="Y325" s="1">
        <v>0.05</v>
      </c>
      <c r="Z325" s="1">
        <v>2</v>
      </c>
      <c r="AA325" s="1">
        <v>1</v>
      </c>
      <c r="AB325" s="1">
        <v>1.1</v>
      </c>
      <c r="AG325" s="1">
        <v>0</v>
      </c>
      <c r="AH325" s="1">
        <v>1</v>
      </c>
      <c r="AI325" s="1" t="s">
        <v>1557</v>
      </c>
      <c r="AJ325" s="1" t="s">
        <v>216</v>
      </c>
      <c r="AK325" s="1" t="s">
        <v>1558</v>
      </c>
      <c r="AM325" s="1">
        <v>1</v>
      </c>
      <c r="AV325" s="1">
        <v>1</v>
      </c>
      <c r="AX325" s="1">
        <v>0.25</v>
      </c>
      <c r="BE325" s="1" t="str">
        <f t="shared" si="26"/>
        <v>enemy_1078_sotisc</v>
      </c>
      <c r="BK325" s="1" t="s">
        <v>953</v>
      </c>
      <c r="BL325" s="1" t="s">
        <v>1559</v>
      </c>
      <c r="BN325" s="1" t="s">
        <v>217</v>
      </c>
      <c r="BO325" s="1" t="s">
        <v>218</v>
      </c>
      <c r="BP325" s="1" t="s">
        <v>239</v>
      </c>
      <c r="BQ325" s="1" t="s">
        <v>220</v>
      </c>
      <c r="BT325" s="1">
        <v>1</v>
      </c>
    </row>
    <row r="326" spans="1:72">
      <c r="A326" s="1" t="s">
        <v>1560</v>
      </c>
      <c r="B326" s="1" t="s">
        <v>213</v>
      </c>
      <c r="D326" s="1" t="s">
        <v>1561</v>
      </c>
      <c r="E326" s="1">
        <v>1078</v>
      </c>
      <c r="F326" s="1" t="str">
        <f t="shared" si="27"/>
        <v>enemy_1078_sotisc_2</v>
      </c>
      <c r="G326" s="1">
        <v>1</v>
      </c>
      <c r="K326" s="1">
        <v>4500</v>
      </c>
      <c r="M326" s="1">
        <v>330</v>
      </c>
      <c r="O326" s="1">
        <v>350</v>
      </c>
      <c r="Q326" s="1">
        <v>20</v>
      </c>
      <c r="Y326" s="1">
        <v>0.05</v>
      </c>
      <c r="Z326" s="1">
        <v>2</v>
      </c>
      <c r="AA326" s="1">
        <v>1</v>
      </c>
      <c r="AB326" s="1">
        <v>1.1</v>
      </c>
      <c r="AG326" s="1">
        <v>0</v>
      </c>
      <c r="AH326" s="1">
        <v>1</v>
      </c>
      <c r="AI326" s="1" t="s">
        <v>1562</v>
      </c>
      <c r="AJ326" s="1" t="s">
        <v>216</v>
      </c>
      <c r="AK326" s="1" t="s">
        <v>1558</v>
      </c>
      <c r="AM326" s="1">
        <v>1</v>
      </c>
      <c r="AV326" s="1">
        <v>1</v>
      </c>
      <c r="AX326" s="1">
        <v>0.25</v>
      </c>
      <c r="BE326" s="1" t="str">
        <f t="shared" si="26"/>
        <v>enemy_1078_sotisc_2</v>
      </c>
      <c r="BK326" s="1" t="s">
        <v>953</v>
      </c>
      <c r="BL326" s="1" t="s">
        <v>1559</v>
      </c>
      <c r="BN326" s="1" t="s">
        <v>217</v>
      </c>
      <c r="BO326" s="1" t="s">
        <v>218</v>
      </c>
      <c r="BP326" s="1" t="s">
        <v>239</v>
      </c>
      <c r="BQ326" s="1" t="s">
        <v>220</v>
      </c>
      <c r="BT326" s="1">
        <v>1</v>
      </c>
    </row>
    <row r="327" spans="1:72">
      <c r="A327" s="1" t="s">
        <v>1563</v>
      </c>
      <c r="B327" s="1" t="s">
        <v>213</v>
      </c>
      <c r="D327" s="1" t="s">
        <v>1564</v>
      </c>
      <c r="E327" s="1">
        <v>1079</v>
      </c>
      <c r="F327" s="1" t="str">
        <f t="shared" si="27"/>
        <v>enemy_1079_sotisp</v>
      </c>
      <c r="G327" s="1">
        <v>1</v>
      </c>
      <c r="K327" s="1">
        <v>3000</v>
      </c>
      <c r="M327" s="1">
        <v>340</v>
      </c>
      <c r="O327" s="1">
        <v>300</v>
      </c>
      <c r="Q327" s="1">
        <v>20</v>
      </c>
      <c r="Y327" s="1">
        <v>0.05</v>
      </c>
      <c r="Z327" s="1">
        <v>2.5</v>
      </c>
      <c r="AA327" s="1">
        <v>1</v>
      </c>
      <c r="AB327" s="1">
        <v>0.9</v>
      </c>
      <c r="AG327" s="1">
        <v>0</v>
      </c>
      <c r="AH327" s="1">
        <v>1</v>
      </c>
      <c r="AI327" s="1" t="s">
        <v>1565</v>
      </c>
      <c r="AJ327" s="1" t="s">
        <v>216</v>
      </c>
      <c r="AK327" s="1" t="s">
        <v>1566</v>
      </c>
      <c r="AM327" s="1">
        <v>1</v>
      </c>
      <c r="AV327" s="1">
        <v>1</v>
      </c>
      <c r="AX327" s="1">
        <v>0.25</v>
      </c>
      <c r="BE327" s="1" t="str">
        <f t="shared" si="26"/>
        <v>enemy_1079_sotisp</v>
      </c>
      <c r="BK327" s="1" t="s">
        <v>959</v>
      </c>
      <c r="BL327" s="1" t="s">
        <v>1567</v>
      </c>
      <c r="BN327" s="1" t="s">
        <v>217</v>
      </c>
      <c r="BO327" s="1" t="s">
        <v>218</v>
      </c>
      <c r="BP327" s="1" t="s">
        <v>239</v>
      </c>
      <c r="BQ327" s="1" t="s">
        <v>220</v>
      </c>
      <c r="BT327" s="1">
        <v>1</v>
      </c>
    </row>
    <row r="328" spans="1:72">
      <c r="A328" s="1" t="s">
        <v>1568</v>
      </c>
      <c r="B328" s="1" t="s">
        <v>213</v>
      </c>
      <c r="D328" s="1" t="s">
        <v>1569</v>
      </c>
      <c r="E328" s="1">
        <v>1079</v>
      </c>
      <c r="F328" s="1" t="str">
        <f t="shared" si="27"/>
        <v>enemy_1079_sotisp_2</v>
      </c>
      <c r="G328" s="1">
        <v>1</v>
      </c>
      <c r="K328" s="1">
        <v>4000</v>
      </c>
      <c r="M328" s="1">
        <v>390</v>
      </c>
      <c r="O328" s="1">
        <v>300</v>
      </c>
      <c r="Q328" s="1">
        <v>20</v>
      </c>
      <c r="Y328" s="1">
        <v>0.05</v>
      </c>
      <c r="Z328" s="1">
        <v>2.7</v>
      </c>
      <c r="AA328" s="1">
        <v>1</v>
      </c>
      <c r="AB328" s="1">
        <v>0.9</v>
      </c>
      <c r="AG328" s="1">
        <v>0</v>
      </c>
      <c r="AH328" s="1">
        <v>1</v>
      </c>
      <c r="AI328" s="1" t="s">
        <v>1570</v>
      </c>
      <c r="AJ328" s="1" t="s">
        <v>216</v>
      </c>
      <c r="AK328" s="1" t="s">
        <v>1566</v>
      </c>
      <c r="AM328" s="1">
        <v>1</v>
      </c>
      <c r="AV328" s="1">
        <v>1</v>
      </c>
      <c r="AX328" s="1">
        <v>0.25</v>
      </c>
      <c r="BE328" s="1" t="str">
        <f t="shared" si="26"/>
        <v>enemy_1079_sotisp_2</v>
      </c>
      <c r="BK328" s="1" t="s">
        <v>959</v>
      </c>
      <c r="BL328" s="1" t="s">
        <v>1567</v>
      </c>
      <c r="BN328" s="1" t="s">
        <v>217</v>
      </c>
      <c r="BO328" s="1" t="s">
        <v>218</v>
      </c>
      <c r="BP328" s="1" t="s">
        <v>239</v>
      </c>
      <c r="BQ328" s="1" t="s">
        <v>220</v>
      </c>
      <c r="BT328" s="1">
        <v>1</v>
      </c>
    </row>
    <row r="329" spans="1:72">
      <c r="A329" s="1" t="s">
        <v>1571</v>
      </c>
      <c r="B329" s="1" t="s">
        <v>213</v>
      </c>
      <c r="D329" s="1" t="s">
        <v>1572</v>
      </c>
      <c r="E329" s="1">
        <v>1080</v>
      </c>
      <c r="F329" s="1" t="str">
        <f t="shared" si="27"/>
        <v>enemy_1080_sotidp</v>
      </c>
      <c r="G329" s="1">
        <v>1</v>
      </c>
      <c r="K329" s="1">
        <v>7000</v>
      </c>
      <c r="M329" s="1">
        <v>300</v>
      </c>
      <c r="O329" s="1">
        <v>120</v>
      </c>
      <c r="Q329" s="1">
        <v>50</v>
      </c>
      <c r="Y329" s="1">
        <v>0.05</v>
      </c>
      <c r="Z329" s="1">
        <v>2.7</v>
      </c>
      <c r="AA329" s="1">
        <v>1</v>
      </c>
      <c r="AB329" s="1">
        <v>1</v>
      </c>
      <c r="AG329" s="1">
        <v>0</v>
      </c>
      <c r="AH329" s="1">
        <v>1</v>
      </c>
      <c r="AI329" s="1" t="s">
        <v>1573</v>
      </c>
      <c r="AJ329" s="1" t="s">
        <v>216</v>
      </c>
      <c r="AK329" s="1" t="s">
        <v>1574</v>
      </c>
      <c r="AM329" s="1">
        <v>1</v>
      </c>
      <c r="AV329" s="1">
        <v>1</v>
      </c>
      <c r="AX329" s="1">
        <v>0.25</v>
      </c>
      <c r="BE329" s="1" t="str">
        <f t="shared" si="26"/>
        <v>enemy_1080_sotidp</v>
      </c>
      <c r="BK329" s="1" t="s">
        <v>953</v>
      </c>
      <c r="BL329" s="1" t="s">
        <v>1575</v>
      </c>
      <c r="BN329" s="1" t="s">
        <v>217</v>
      </c>
      <c r="BO329" s="1" t="s">
        <v>218</v>
      </c>
      <c r="BP329" s="1" t="s">
        <v>239</v>
      </c>
      <c r="BQ329" s="1" t="s">
        <v>220</v>
      </c>
      <c r="BT329" s="1">
        <v>1</v>
      </c>
    </row>
    <row r="330" spans="1:72">
      <c r="A330" s="1" t="s">
        <v>1576</v>
      </c>
      <c r="B330" s="1" t="s">
        <v>213</v>
      </c>
      <c r="D330" s="1" t="s">
        <v>1577</v>
      </c>
      <c r="E330" s="1">
        <v>1080</v>
      </c>
      <c r="F330" s="1" t="str">
        <f t="shared" si="27"/>
        <v>enemy_1080_sotidp_2</v>
      </c>
      <c r="G330" s="1">
        <v>1</v>
      </c>
      <c r="K330" s="1">
        <v>10000</v>
      </c>
      <c r="M330" s="1">
        <v>360</v>
      </c>
      <c r="O330" s="1">
        <v>120</v>
      </c>
      <c r="Q330" s="1">
        <v>50</v>
      </c>
      <c r="Y330" s="1">
        <v>0.05</v>
      </c>
      <c r="Z330" s="1">
        <v>2.5</v>
      </c>
      <c r="AA330" s="1">
        <v>1</v>
      </c>
      <c r="AB330" s="1">
        <v>1</v>
      </c>
      <c r="AG330" s="1">
        <v>0</v>
      </c>
      <c r="AH330" s="1">
        <v>1</v>
      </c>
      <c r="AI330" s="1" t="s">
        <v>1578</v>
      </c>
      <c r="AJ330" s="1" t="s">
        <v>216</v>
      </c>
      <c r="AK330" s="1" t="s">
        <v>1574</v>
      </c>
      <c r="AM330" s="1">
        <v>1</v>
      </c>
      <c r="AV330" s="1">
        <v>1</v>
      </c>
      <c r="AX330" s="1">
        <v>0.25</v>
      </c>
      <c r="BE330" s="1" t="str">
        <f t="shared" si="26"/>
        <v>enemy_1080_sotidp_2</v>
      </c>
      <c r="BK330" s="1" t="s">
        <v>953</v>
      </c>
      <c r="BL330" s="1" t="s">
        <v>1575</v>
      </c>
      <c r="BN330" s="1" t="s">
        <v>217</v>
      </c>
      <c r="BO330" s="1" t="s">
        <v>218</v>
      </c>
      <c r="BP330" s="1" t="s">
        <v>239</v>
      </c>
      <c r="BQ330" s="1" t="s">
        <v>220</v>
      </c>
      <c r="BT330" s="1">
        <v>1</v>
      </c>
    </row>
    <row r="331" spans="1:72">
      <c r="A331" s="1" t="s">
        <v>1579</v>
      </c>
      <c r="B331" s="1" t="s">
        <v>213</v>
      </c>
      <c r="D331" s="1" t="s">
        <v>1580</v>
      </c>
      <c r="E331" s="1">
        <v>1081</v>
      </c>
      <c r="F331" s="1" t="str">
        <f t="shared" si="27"/>
        <v>enemy_1081_sotisd</v>
      </c>
      <c r="G331" s="1">
        <v>1</v>
      </c>
      <c r="K331" s="1">
        <v>15000</v>
      </c>
      <c r="M331" s="1">
        <v>700</v>
      </c>
      <c r="O331" s="1">
        <v>1300</v>
      </c>
      <c r="Q331" s="1">
        <v>60</v>
      </c>
      <c r="Y331" s="1">
        <v>0.05</v>
      </c>
      <c r="Z331" s="1">
        <v>3.8</v>
      </c>
      <c r="AA331" s="1">
        <v>4</v>
      </c>
      <c r="AB331" s="1">
        <v>0.7</v>
      </c>
      <c r="AG331" s="1">
        <v>1</v>
      </c>
      <c r="AH331" s="1">
        <v>1</v>
      </c>
      <c r="AI331" s="1" t="s">
        <v>1581</v>
      </c>
      <c r="AJ331" s="1" t="s">
        <v>216</v>
      </c>
      <c r="AK331" s="1" t="s">
        <v>238</v>
      </c>
      <c r="AM331" s="1">
        <v>1</v>
      </c>
      <c r="AV331" s="1">
        <v>1</v>
      </c>
      <c r="AX331" s="1">
        <v>0.25</v>
      </c>
      <c r="BE331" s="1" t="str">
        <f t="shared" si="26"/>
        <v>enemy_1081_sotisd</v>
      </c>
      <c r="BK331" s="1" t="s">
        <v>1012</v>
      </c>
      <c r="BL331" s="1" t="s">
        <v>1582</v>
      </c>
      <c r="BN331" s="1" t="s">
        <v>217</v>
      </c>
      <c r="BO331" s="1" t="s">
        <v>218</v>
      </c>
      <c r="BP331" s="1" t="s">
        <v>219</v>
      </c>
      <c r="BQ331" s="1" t="s">
        <v>220</v>
      </c>
      <c r="BT331" s="1">
        <v>1</v>
      </c>
    </row>
    <row r="332" spans="1:72">
      <c r="A332" s="1" t="s">
        <v>1583</v>
      </c>
      <c r="B332" s="1" t="s">
        <v>213</v>
      </c>
      <c r="D332" s="1" t="s">
        <v>1584</v>
      </c>
      <c r="E332" s="1">
        <v>1081</v>
      </c>
      <c r="F332" s="1" t="str">
        <f t="shared" si="27"/>
        <v>enemy_1081_sotisd_2</v>
      </c>
      <c r="G332" s="1">
        <v>1</v>
      </c>
      <c r="K332" s="1">
        <v>25000</v>
      </c>
      <c r="M332" s="1">
        <v>800</v>
      </c>
      <c r="O332" s="1">
        <v>1500</v>
      </c>
      <c r="Q332" s="1">
        <v>60</v>
      </c>
      <c r="Y332" s="1">
        <v>0.05</v>
      </c>
      <c r="Z332" s="1">
        <v>3.8</v>
      </c>
      <c r="AA332" s="1">
        <v>4</v>
      </c>
      <c r="AB332" s="1">
        <v>0.7</v>
      </c>
      <c r="AG332" s="1">
        <v>1</v>
      </c>
      <c r="AH332" s="1">
        <v>1</v>
      </c>
      <c r="AI332" s="1" t="s">
        <v>1585</v>
      </c>
      <c r="AJ332" s="1" t="s">
        <v>216</v>
      </c>
      <c r="AK332" s="1" t="s">
        <v>238</v>
      </c>
      <c r="AM332" s="1">
        <v>1</v>
      </c>
      <c r="AV332" s="1">
        <v>1</v>
      </c>
      <c r="AX332" s="1">
        <v>0.25</v>
      </c>
      <c r="BE332" s="1" t="str">
        <f t="shared" si="26"/>
        <v>enemy_1081_sotisd_2</v>
      </c>
      <c r="BK332" s="1" t="s">
        <v>1012</v>
      </c>
      <c r="BL332" s="1" t="s">
        <v>1582</v>
      </c>
      <c r="BN332" s="1" t="s">
        <v>217</v>
      </c>
      <c r="BO332" s="1" t="s">
        <v>218</v>
      </c>
      <c r="BP332" s="1" t="s">
        <v>219</v>
      </c>
      <c r="BQ332" s="1" t="s">
        <v>220</v>
      </c>
      <c r="BT332" s="1">
        <v>1</v>
      </c>
    </row>
    <row r="333" spans="1:72">
      <c r="A333" s="1" t="s">
        <v>1586</v>
      </c>
      <c r="B333" s="1" t="s">
        <v>213</v>
      </c>
      <c r="D333" s="1" t="s">
        <v>1587</v>
      </c>
      <c r="E333" s="1">
        <v>1082</v>
      </c>
      <c r="F333" s="1" t="str">
        <f t="shared" si="27"/>
        <v>enemy_1082_soticn</v>
      </c>
      <c r="G333" s="1">
        <v>1</v>
      </c>
      <c r="K333" s="1">
        <v>5500</v>
      </c>
      <c r="M333" s="1">
        <v>450</v>
      </c>
      <c r="O333" s="1">
        <v>550</v>
      </c>
      <c r="Q333" s="1">
        <v>20</v>
      </c>
      <c r="Y333" s="1">
        <v>0.05</v>
      </c>
      <c r="Z333" s="1">
        <v>4.8</v>
      </c>
      <c r="AA333" s="1">
        <v>2</v>
      </c>
      <c r="AB333" s="1">
        <v>0.6</v>
      </c>
      <c r="AG333" s="1">
        <v>0</v>
      </c>
      <c r="AH333" s="1">
        <v>1</v>
      </c>
      <c r="AI333" s="1" t="s">
        <v>1588</v>
      </c>
      <c r="AJ333" s="1" t="s">
        <v>216</v>
      </c>
      <c r="AK333" s="1" t="s">
        <v>1589</v>
      </c>
      <c r="AM333" s="1">
        <v>1</v>
      </c>
      <c r="AV333" s="1">
        <v>1</v>
      </c>
      <c r="AX333" s="1">
        <v>0.25</v>
      </c>
      <c r="BE333" s="1" t="str">
        <f t="shared" si="26"/>
        <v>enemy_1082_soticn</v>
      </c>
      <c r="BK333" s="1" t="s">
        <v>980</v>
      </c>
      <c r="BL333" s="1" t="s">
        <v>1590</v>
      </c>
      <c r="BN333" s="1" t="s">
        <v>217</v>
      </c>
      <c r="BO333" s="1" t="s">
        <v>281</v>
      </c>
      <c r="BP333" s="1" t="s">
        <v>239</v>
      </c>
      <c r="BQ333" s="1" t="s">
        <v>220</v>
      </c>
      <c r="BT333" s="1">
        <v>1</v>
      </c>
    </row>
    <row r="334" spans="1:72">
      <c r="A334" s="1" t="s">
        <v>1591</v>
      </c>
      <c r="B334" s="1" t="s">
        <v>213</v>
      </c>
      <c r="D334" s="1" t="s">
        <v>1592</v>
      </c>
      <c r="E334" s="1">
        <v>1082</v>
      </c>
      <c r="F334" s="1" t="str">
        <f t="shared" si="27"/>
        <v>enemy_1082_soticn_2</v>
      </c>
      <c r="G334" s="1">
        <v>1</v>
      </c>
      <c r="K334" s="1">
        <v>6500</v>
      </c>
      <c r="M334" s="1">
        <v>590</v>
      </c>
      <c r="O334" s="1">
        <v>550</v>
      </c>
      <c r="Q334" s="1">
        <v>20</v>
      </c>
      <c r="Y334" s="1">
        <v>0.05</v>
      </c>
      <c r="Z334" s="1">
        <v>4.8</v>
      </c>
      <c r="AA334" s="1">
        <v>2</v>
      </c>
      <c r="AB334" s="1">
        <v>0.6</v>
      </c>
      <c r="AG334" s="1">
        <v>0</v>
      </c>
      <c r="AH334" s="1">
        <v>1</v>
      </c>
      <c r="AI334" s="1" t="s">
        <v>1593</v>
      </c>
      <c r="AJ334" s="1" t="s">
        <v>216</v>
      </c>
      <c r="AK334" s="1" t="s">
        <v>1589</v>
      </c>
      <c r="AM334" s="1">
        <v>1</v>
      </c>
      <c r="AV334" s="1">
        <v>1</v>
      </c>
      <c r="AX334" s="1">
        <v>0.25</v>
      </c>
      <c r="BE334" s="1" t="str">
        <f t="shared" si="26"/>
        <v>enemy_1082_soticn_2</v>
      </c>
      <c r="BK334" s="1" t="s">
        <v>980</v>
      </c>
      <c r="BL334" s="1" t="s">
        <v>1590</v>
      </c>
      <c r="BN334" s="1" t="s">
        <v>217</v>
      </c>
      <c r="BO334" s="1" t="s">
        <v>281</v>
      </c>
      <c r="BP334" s="1" t="s">
        <v>239</v>
      </c>
      <c r="BQ334" s="1" t="s">
        <v>220</v>
      </c>
      <c r="BT334" s="1">
        <v>1</v>
      </c>
    </row>
    <row r="335" spans="1:72">
      <c r="A335" s="1" t="s">
        <v>1594</v>
      </c>
      <c r="B335" s="1" t="s">
        <v>213</v>
      </c>
      <c r="D335" s="1" t="s">
        <v>1595</v>
      </c>
      <c r="E335" s="1">
        <v>1083</v>
      </c>
      <c r="F335" s="1" t="str">
        <f t="shared" si="27"/>
        <v>enemy_1083_sotiab</v>
      </c>
      <c r="G335" s="1">
        <v>1</v>
      </c>
      <c r="K335" s="1">
        <v>3800</v>
      </c>
      <c r="M335" s="1">
        <v>360</v>
      </c>
      <c r="O335" s="1">
        <v>550</v>
      </c>
      <c r="Q335" s="1">
        <v>20</v>
      </c>
      <c r="Y335" s="1">
        <v>0.05</v>
      </c>
      <c r="Z335" s="1">
        <v>1.9</v>
      </c>
      <c r="AA335" s="1">
        <v>2</v>
      </c>
      <c r="AB335" s="1">
        <v>1</v>
      </c>
      <c r="AG335" s="1">
        <v>0</v>
      </c>
      <c r="AH335" s="1">
        <v>1</v>
      </c>
      <c r="AI335" s="1" t="s">
        <v>1596</v>
      </c>
      <c r="AJ335" s="1" t="s">
        <v>216</v>
      </c>
      <c r="AK335" s="1" t="s">
        <v>1597</v>
      </c>
      <c r="AM335" s="1">
        <v>1</v>
      </c>
      <c r="AV335" s="1">
        <v>1</v>
      </c>
      <c r="AX335" s="1">
        <v>0.25</v>
      </c>
      <c r="BE335" s="1" t="str">
        <f t="shared" si="26"/>
        <v>enemy_1083_sotiab</v>
      </c>
      <c r="BK335" s="1" t="s">
        <v>1012</v>
      </c>
      <c r="BL335" s="1" t="s">
        <v>1598</v>
      </c>
      <c r="BN335" s="1" t="s">
        <v>217</v>
      </c>
      <c r="BO335" s="1" t="s">
        <v>218</v>
      </c>
      <c r="BP335" s="1" t="s">
        <v>239</v>
      </c>
      <c r="BQ335" s="1" t="s">
        <v>220</v>
      </c>
      <c r="BT335" s="1">
        <v>1</v>
      </c>
    </row>
    <row r="336" spans="1:72">
      <c r="A336" s="1" t="s">
        <v>1599</v>
      </c>
      <c r="B336" s="1" t="s">
        <v>213</v>
      </c>
      <c r="D336" s="1" t="s">
        <v>1600</v>
      </c>
      <c r="E336" s="1">
        <v>1083</v>
      </c>
      <c r="F336" s="1" t="str">
        <f t="shared" si="27"/>
        <v>enemy_1083_sotiab_2</v>
      </c>
      <c r="G336" s="1">
        <v>1</v>
      </c>
      <c r="K336" s="1">
        <v>5000</v>
      </c>
      <c r="M336" s="1">
        <v>430</v>
      </c>
      <c r="O336" s="1">
        <v>550</v>
      </c>
      <c r="Q336" s="1">
        <v>20</v>
      </c>
      <c r="Y336" s="1">
        <v>0.05</v>
      </c>
      <c r="Z336" s="1">
        <v>1.9</v>
      </c>
      <c r="AA336" s="1">
        <v>2</v>
      </c>
      <c r="AB336" s="1">
        <v>1</v>
      </c>
      <c r="AG336" s="1">
        <v>0</v>
      </c>
      <c r="AH336" s="1">
        <v>1</v>
      </c>
      <c r="AI336" s="1" t="s">
        <v>1601</v>
      </c>
      <c r="AJ336" s="1" t="s">
        <v>216</v>
      </c>
      <c r="AK336" s="1" t="s">
        <v>1602</v>
      </c>
      <c r="AM336" s="1">
        <v>1</v>
      </c>
      <c r="AV336" s="1">
        <v>1</v>
      </c>
      <c r="AX336" s="1">
        <v>0.25</v>
      </c>
      <c r="BE336" s="1" t="str">
        <f t="shared" si="26"/>
        <v>enemy_1083_sotiab_2</v>
      </c>
      <c r="BK336" s="1" t="s">
        <v>1012</v>
      </c>
      <c r="BL336" s="1" t="s">
        <v>1603</v>
      </c>
      <c r="BN336" s="1" t="s">
        <v>217</v>
      </c>
      <c r="BO336" s="1" t="s">
        <v>218</v>
      </c>
      <c r="BP336" s="1" t="s">
        <v>239</v>
      </c>
      <c r="BQ336" s="1" t="s">
        <v>220</v>
      </c>
      <c r="BT336" s="1">
        <v>1</v>
      </c>
    </row>
    <row r="337" spans="1:72">
      <c r="A337" s="1" t="s">
        <v>1604</v>
      </c>
      <c r="B337" s="1" t="s">
        <v>213</v>
      </c>
      <c r="D337" s="1" t="s">
        <v>1605</v>
      </c>
      <c r="E337" s="1">
        <v>1084</v>
      </c>
      <c r="F337" s="1" t="str">
        <f t="shared" si="27"/>
        <v>enemy_1084_sotidm</v>
      </c>
      <c r="G337" s="1">
        <v>1</v>
      </c>
      <c r="K337" s="1">
        <v>8000</v>
      </c>
      <c r="M337" s="1">
        <v>480</v>
      </c>
      <c r="O337" s="1">
        <v>400</v>
      </c>
      <c r="Q337" s="1">
        <v>50</v>
      </c>
      <c r="Y337" s="1">
        <v>0.05</v>
      </c>
      <c r="Z337" s="1">
        <v>2.5</v>
      </c>
      <c r="AA337" s="1">
        <v>2</v>
      </c>
      <c r="AB337" s="1">
        <v>0.85</v>
      </c>
      <c r="AG337" s="1">
        <v>0</v>
      </c>
      <c r="AH337" s="1">
        <v>1</v>
      </c>
      <c r="AI337" s="1" t="s">
        <v>1606</v>
      </c>
      <c r="AJ337" s="1" t="s">
        <v>216</v>
      </c>
      <c r="AK337" s="1" t="s">
        <v>1607</v>
      </c>
      <c r="AM337" s="1">
        <v>1</v>
      </c>
      <c r="AV337" s="1">
        <v>1</v>
      </c>
      <c r="AX337" s="1">
        <v>0.25</v>
      </c>
      <c r="BE337" s="1" t="str">
        <f t="shared" si="26"/>
        <v>enemy_1084_sotidm</v>
      </c>
      <c r="BK337" s="1" t="s">
        <v>1608</v>
      </c>
      <c r="BL337" s="1" t="s">
        <v>1609</v>
      </c>
      <c r="BN337" s="1" t="s">
        <v>217</v>
      </c>
      <c r="BO337" s="1" t="s">
        <v>218</v>
      </c>
      <c r="BP337" s="1" t="s">
        <v>239</v>
      </c>
      <c r="BQ337" s="1" t="s">
        <v>220</v>
      </c>
      <c r="BT337" s="1">
        <v>1</v>
      </c>
    </row>
    <row r="338" spans="1:72">
      <c r="A338" s="1" t="s">
        <v>1610</v>
      </c>
      <c r="B338" s="1" t="s">
        <v>213</v>
      </c>
      <c r="D338" s="1" t="s">
        <v>1611</v>
      </c>
      <c r="E338" s="1">
        <v>1084</v>
      </c>
      <c r="F338" s="1" t="str">
        <f t="shared" si="27"/>
        <v>enemy_1084_sotidm_2</v>
      </c>
      <c r="G338" s="1">
        <v>1</v>
      </c>
      <c r="K338" s="1">
        <v>12000</v>
      </c>
      <c r="M338" s="1">
        <v>580</v>
      </c>
      <c r="O338" s="1">
        <v>400</v>
      </c>
      <c r="Q338" s="1">
        <v>50</v>
      </c>
      <c r="Y338" s="1">
        <v>0.05</v>
      </c>
      <c r="Z338" s="1">
        <v>2.5</v>
      </c>
      <c r="AA338" s="1">
        <v>2</v>
      </c>
      <c r="AB338" s="1">
        <v>0.85</v>
      </c>
      <c r="AG338" s="1">
        <v>0</v>
      </c>
      <c r="AH338" s="1">
        <v>1</v>
      </c>
      <c r="AI338" s="1" t="s">
        <v>1612</v>
      </c>
      <c r="AJ338" s="1" t="s">
        <v>216</v>
      </c>
      <c r="AK338" s="1" t="s">
        <v>1607</v>
      </c>
      <c r="AM338" s="1">
        <v>1</v>
      </c>
      <c r="AV338" s="1">
        <v>1</v>
      </c>
      <c r="AX338" s="1">
        <v>0.25</v>
      </c>
      <c r="BE338" s="1" t="str">
        <f t="shared" si="26"/>
        <v>enemy_1084_sotidm_2</v>
      </c>
      <c r="BK338" s="1" t="s">
        <v>1608</v>
      </c>
      <c r="BL338" s="1" t="s">
        <v>1609</v>
      </c>
      <c r="BN338" s="1" t="s">
        <v>217</v>
      </c>
      <c r="BO338" s="1" t="s">
        <v>218</v>
      </c>
      <c r="BP338" s="1" t="s">
        <v>239</v>
      </c>
      <c r="BQ338" s="1" t="s">
        <v>220</v>
      </c>
      <c r="BT338" s="1">
        <v>1</v>
      </c>
    </row>
    <row r="339" spans="1:72">
      <c r="A339" s="1" t="s">
        <v>1613</v>
      </c>
      <c r="B339" s="1" t="s">
        <v>213</v>
      </c>
      <c r="D339" s="1" t="s">
        <v>1614</v>
      </c>
      <c r="E339" s="1">
        <v>1084</v>
      </c>
      <c r="F339" s="1" t="str">
        <f t="shared" si="27"/>
        <v>enemy_1084_sotidm_3</v>
      </c>
      <c r="G339" s="1">
        <v>1</v>
      </c>
      <c r="K339" s="1">
        <v>8000</v>
      </c>
      <c r="M339" s="1">
        <v>480</v>
      </c>
      <c r="O339" s="1">
        <v>400</v>
      </c>
      <c r="Q339" s="1">
        <v>50</v>
      </c>
      <c r="Y339" s="1">
        <v>0.05</v>
      </c>
      <c r="Z339" s="1">
        <v>2.5</v>
      </c>
      <c r="AA339" s="1">
        <v>2</v>
      </c>
      <c r="AB339" s="1">
        <v>0.85</v>
      </c>
      <c r="AG339" s="1">
        <v>0</v>
      </c>
      <c r="AH339" s="1">
        <v>1</v>
      </c>
      <c r="AI339" s="1" t="s">
        <v>1615</v>
      </c>
      <c r="AJ339" s="1" t="s">
        <v>216</v>
      </c>
      <c r="AK339" s="1" t="s">
        <v>1607</v>
      </c>
      <c r="AM339" s="1">
        <v>1</v>
      </c>
      <c r="AV339" s="1">
        <v>1</v>
      </c>
      <c r="AX339" s="1">
        <v>0.25</v>
      </c>
      <c r="BE339" s="1" t="str">
        <f t="shared" si="26"/>
        <v>enemy_1084_sotidm_3</v>
      </c>
      <c r="BK339" s="1" t="s">
        <v>1608</v>
      </c>
      <c r="BL339" s="1" t="s">
        <v>1609</v>
      </c>
      <c r="BN339" s="1" t="s">
        <v>217</v>
      </c>
      <c r="BO339" s="1" t="s">
        <v>218</v>
      </c>
      <c r="BP339" s="1" t="s">
        <v>239</v>
      </c>
      <c r="BQ339" s="1" t="s">
        <v>220</v>
      </c>
      <c r="BT339" s="1">
        <v>1</v>
      </c>
    </row>
    <row r="340" spans="1:72">
      <c r="A340" s="1" t="s">
        <v>1616</v>
      </c>
      <c r="B340" s="1" t="s">
        <v>213</v>
      </c>
      <c r="D340" s="1" t="s">
        <v>1617</v>
      </c>
      <c r="E340" s="1">
        <v>1085</v>
      </c>
      <c r="F340" s="1" t="str">
        <f t="shared" si="27"/>
        <v>enemy_1085_sotiwz</v>
      </c>
      <c r="G340" s="1">
        <v>1</v>
      </c>
      <c r="K340" s="1">
        <v>7000</v>
      </c>
      <c r="M340" s="1">
        <v>350</v>
      </c>
      <c r="O340" s="1">
        <v>400</v>
      </c>
      <c r="Q340" s="1">
        <v>50</v>
      </c>
      <c r="Y340" s="1">
        <v>0.05</v>
      </c>
      <c r="Z340" s="1">
        <v>0.1</v>
      </c>
      <c r="AA340" s="1">
        <v>2</v>
      </c>
      <c r="AB340" s="1">
        <v>0.75</v>
      </c>
      <c r="AG340" s="1">
        <v>0</v>
      </c>
      <c r="AH340" s="1">
        <v>1</v>
      </c>
      <c r="AI340" s="1" t="s">
        <v>1618</v>
      </c>
      <c r="AJ340" s="1" t="s">
        <v>216</v>
      </c>
      <c r="AK340" s="1" t="s">
        <v>1619</v>
      </c>
      <c r="AM340" s="1">
        <v>1</v>
      </c>
      <c r="AV340" s="1">
        <v>1</v>
      </c>
      <c r="AX340" s="1">
        <v>0.25</v>
      </c>
      <c r="BE340" s="1" t="str">
        <f t="shared" si="26"/>
        <v>enemy_1085_sotiwz</v>
      </c>
      <c r="BK340" s="1" t="s">
        <v>1620</v>
      </c>
      <c r="BL340" s="1" t="s">
        <v>1621</v>
      </c>
      <c r="BN340" s="1" t="s">
        <v>217</v>
      </c>
      <c r="BO340" s="1" t="s">
        <v>218</v>
      </c>
      <c r="BP340" s="1" t="s">
        <v>239</v>
      </c>
      <c r="BQ340" s="1" t="s">
        <v>220</v>
      </c>
      <c r="BT340" s="1">
        <v>1</v>
      </c>
    </row>
    <row r="341" spans="1:72">
      <c r="A341" s="1" t="s">
        <v>1622</v>
      </c>
      <c r="B341" s="1" t="s">
        <v>213</v>
      </c>
      <c r="D341" s="1" t="s">
        <v>1623</v>
      </c>
      <c r="E341" s="1">
        <v>1085</v>
      </c>
      <c r="F341" s="1" t="str">
        <f t="shared" si="27"/>
        <v>enemy_1085_sotiwz_2</v>
      </c>
      <c r="G341" s="1">
        <v>1</v>
      </c>
      <c r="K341" s="1">
        <v>10000</v>
      </c>
      <c r="M341" s="1">
        <v>450</v>
      </c>
      <c r="O341" s="1">
        <v>400</v>
      </c>
      <c r="Q341" s="1">
        <v>50</v>
      </c>
      <c r="Y341" s="1">
        <v>0.05</v>
      </c>
      <c r="Z341" s="1">
        <v>0.1</v>
      </c>
      <c r="AA341" s="1">
        <v>2</v>
      </c>
      <c r="AB341" s="1">
        <v>0.75</v>
      </c>
      <c r="AG341" s="1">
        <v>0</v>
      </c>
      <c r="AH341" s="1">
        <v>1</v>
      </c>
      <c r="AI341" s="1" t="s">
        <v>1624</v>
      </c>
      <c r="AJ341" s="1" t="s">
        <v>216</v>
      </c>
      <c r="AK341" s="1" t="s">
        <v>1619</v>
      </c>
      <c r="AM341" s="1">
        <v>1</v>
      </c>
      <c r="AV341" s="1">
        <v>1</v>
      </c>
      <c r="AX341" s="1">
        <v>0.25</v>
      </c>
      <c r="BE341" s="1" t="str">
        <f t="shared" si="26"/>
        <v>enemy_1085_sotiwz_2</v>
      </c>
      <c r="BK341" s="1" t="s">
        <v>1620</v>
      </c>
      <c r="BL341" s="1" t="s">
        <v>1621</v>
      </c>
      <c r="BN341" s="1" t="s">
        <v>217</v>
      </c>
      <c r="BO341" s="1" t="s">
        <v>218</v>
      </c>
      <c r="BP341" s="1" t="s">
        <v>239</v>
      </c>
      <c r="BQ341" s="1" t="s">
        <v>220</v>
      </c>
      <c r="BT341" s="1">
        <v>1</v>
      </c>
    </row>
    <row r="342" spans="1:72">
      <c r="A342" s="1" t="s">
        <v>1625</v>
      </c>
      <c r="B342" s="1" t="s">
        <v>213</v>
      </c>
      <c r="D342" s="1" t="s">
        <v>1626</v>
      </c>
      <c r="E342" s="1">
        <v>1085</v>
      </c>
      <c r="F342" s="1" t="str">
        <f t="shared" si="27"/>
        <v>enemy_1085_sotiwz_3</v>
      </c>
      <c r="G342" s="1">
        <v>1</v>
      </c>
      <c r="K342" s="1">
        <v>7000</v>
      </c>
      <c r="M342" s="1">
        <v>350</v>
      </c>
      <c r="O342" s="1">
        <v>400</v>
      </c>
      <c r="Q342" s="1">
        <v>50</v>
      </c>
      <c r="Y342" s="1">
        <v>0.05</v>
      </c>
      <c r="Z342" s="1">
        <v>0.1</v>
      </c>
      <c r="AA342" s="1">
        <v>2</v>
      </c>
      <c r="AB342" s="1">
        <v>0.75</v>
      </c>
      <c r="AG342" s="1">
        <v>0</v>
      </c>
      <c r="AH342" s="1">
        <v>1</v>
      </c>
      <c r="AI342" s="1" t="s">
        <v>1627</v>
      </c>
      <c r="AJ342" s="1" t="s">
        <v>216</v>
      </c>
      <c r="AK342" s="1" t="s">
        <v>1619</v>
      </c>
      <c r="AM342" s="1">
        <v>1</v>
      </c>
      <c r="AV342" s="1">
        <v>1</v>
      </c>
      <c r="AX342" s="1">
        <v>0.25</v>
      </c>
      <c r="BE342" s="1" t="str">
        <f t="shared" si="26"/>
        <v>enemy_1085_sotiwz_3</v>
      </c>
      <c r="BK342" s="1" t="s">
        <v>1620</v>
      </c>
      <c r="BL342" s="1" t="s">
        <v>1621</v>
      </c>
      <c r="BN342" s="1" t="s">
        <v>217</v>
      </c>
      <c r="BO342" s="1" t="s">
        <v>218</v>
      </c>
      <c r="BP342" s="1" t="s">
        <v>239</v>
      </c>
      <c r="BQ342" s="1" t="s">
        <v>220</v>
      </c>
      <c r="BT342" s="1">
        <v>1</v>
      </c>
    </row>
    <row r="343" spans="1:72">
      <c r="A343" s="1" t="s">
        <v>1628</v>
      </c>
      <c r="B343" s="1" t="s">
        <v>213</v>
      </c>
      <c r="D343" s="1" t="s">
        <v>1629</v>
      </c>
      <c r="E343" s="1">
        <v>1506</v>
      </c>
      <c r="F343" s="1" t="str">
        <f t="shared" si="27"/>
        <v>enemy_1506_patrt</v>
      </c>
      <c r="G343" s="1">
        <v>1</v>
      </c>
      <c r="K343" s="1">
        <v>45000</v>
      </c>
      <c r="M343" s="1">
        <v>1600</v>
      </c>
      <c r="O343" s="1">
        <v>500</v>
      </c>
      <c r="Q343" s="1">
        <v>45</v>
      </c>
      <c r="Y343" s="1">
        <v>0.05</v>
      </c>
      <c r="Z343" s="1">
        <v>4</v>
      </c>
      <c r="AA343" s="1">
        <v>7</v>
      </c>
      <c r="AB343" s="1">
        <v>0.4</v>
      </c>
      <c r="AG343" s="1">
        <v>0</v>
      </c>
      <c r="AH343" s="1">
        <v>1</v>
      </c>
      <c r="AI343" s="1" t="s">
        <v>1630</v>
      </c>
      <c r="AJ343" s="1" t="s">
        <v>216</v>
      </c>
      <c r="AK343" s="1" t="s">
        <v>1631</v>
      </c>
      <c r="AM343" s="1">
        <v>1</v>
      </c>
      <c r="AV343" s="1">
        <v>2</v>
      </c>
      <c r="AW343" s="1" t="s">
        <v>1632</v>
      </c>
      <c r="AX343" s="1">
        <v>0.25</v>
      </c>
      <c r="BE343" s="1" t="str">
        <f t="shared" si="26"/>
        <v>enemy_1506_patrt</v>
      </c>
      <c r="BK343" s="1" t="s">
        <v>1633</v>
      </c>
      <c r="BL343" s="1" t="s">
        <v>1634</v>
      </c>
      <c r="BN343" s="1" t="s">
        <v>217</v>
      </c>
      <c r="BO343" s="1" t="s">
        <v>281</v>
      </c>
      <c r="BP343" s="1" t="s">
        <v>1635</v>
      </c>
      <c r="BQ343" s="1" t="s">
        <v>220</v>
      </c>
      <c r="BT343" s="1">
        <v>1</v>
      </c>
    </row>
    <row r="344" spans="1:72">
      <c r="A344" s="1" t="s">
        <v>1636</v>
      </c>
      <c r="B344" s="1" t="s">
        <v>213</v>
      </c>
      <c r="D344" s="1" t="s">
        <v>1637</v>
      </c>
      <c r="E344" s="1">
        <v>1086</v>
      </c>
      <c r="F344" s="1" t="str">
        <f t="shared" si="27"/>
        <v>enemy_1086_ltsodr</v>
      </c>
      <c r="G344" s="1">
        <v>1</v>
      </c>
      <c r="K344" s="1">
        <v>3000</v>
      </c>
      <c r="M344" s="1">
        <v>130</v>
      </c>
      <c r="O344" s="1">
        <v>130</v>
      </c>
      <c r="Q344" s="1">
        <v>20</v>
      </c>
      <c r="Y344" s="1">
        <v>0.05</v>
      </c>
      <c r="Z344" s="1">
        <v>2</v>
      </c>
      <c r="AA344" s="1">
        <v>1</v>
      </c>
      <c r="AB344" s="1">
        <v>1.1</v>
      </c>
      <c r="AG344" s="1">
        <v>0</v>
      </c>
      <c r="AH344" s="1">
        <v>1</v>
      </c>
      <c r="AI344" s="1" t="s">
        <v>1638</v>
      </c>
      <c r="AJ344" s="1" t="s">
        <v>216</v>
      </c>
      <c r="AK344" s="1" t="s">
        <v>1155</v>
      </c>
      <c r="AM344" s="1">
        <v>1</v>
      </c>
      <c r="AV344" s="1">
        <v>1</v>
      </c>
      <c r="AX344" s="1">
        <v>0.25</v>
      </c>
      <c r="BE344" s="1" t="str">
        <f t="shared" si="26"/>
        <v>enemy_1086_ltsodr</v>
      </c>
      <c r="BK344" s="1" t="s">
        <v>953</v>
      </c>
      <c r="BL344" s="1" t="s">
        <v>1639</v>
      </c>
      <c r="BN344" s="1" t="s">
        <v>217</v>
      </c>
      <c r="BO344" s="1" t="s">
        <v>218</v>
      </c>
      <c r="BP344" s="1" t="s">
        <v>239</v>
      </c>
      <c r="BQ344" s="1" t="s">
        <v>220</v>
      </c>
      <c r="BT344" s="1">
        <v>1</v>
      </c>
    </row>
    <row r="345" spans="1:72">
      <c r="A345" s="1" t="s">
        <v>1640</v>
      </c>
      <c r="B345" s="1" t="s">
        <v>213</v>
      </c>
      <c r="D345" s="1" t="s">
        <v>1641</v>
      </c>
      <c r="E345" s="1">
        <v>1086</v>
      </c>
      <c r="F345" s="1" t="str">
        <f t="shared" si="27"/>
        <v>enemy_1086_ltsodr_2</v>
      </c>
      <c r="G345" s="1">
        <v>1</v>
      </c>
      <c r="K345" s="1">
        <v>4000</v>
      </c>
      <c r="M345" s="1">
        <v>180</v>
      </c>
      <c r="O345" s="1">
        <v>150</v>
      </c>
      <c r="Q345" s="1">
        <v>20</v>
      </c>
      <c r="Y345" s="1">
        <v>0.05</v>
      </c>
      <c r="Z345" s="1">
        <v>2</v>
      </c>
      <c r="AA345" s="1">
        <v>1</v>
      </c>
      <c r="AB345" s="1">
        <v>1.1</v>
      </c>
      <c r="AG345" s="1">
        <v>0</v>
      </c>
      <c r="AH345" s="1">
        <v>1</v>
      </c>
      <c r="AI345" s="1" t="s">
        <v>1642</v>
      </c>
      <c r="AJ345" s="1" t="s">
        <v>216</v>
      </c>
      <c r="AK345" s="1" t="s">
        <v>1155</v>
      </c>
      <c r="AM345" s="1">
        <v>1</v>
      </c>
      <c r="AV345" s="1">
        <v>1</v>
      </c>
      <c r="AX345" s="1">
        <v>0.25</v>
      </c>
      <c r="BE345" s="1" t="str">
        <f t="shared" si="26"/>
        <v>enemy_1086_ltsodr_2</v>
      </c>
      <c r="BK345" s="1" t="s">
        <v>953</v>
      </c>
      <c r="BL345" s="1" t="s">
        <v>1643</v>
      </c>
      <c r="BN345" s="1" t="s">
        <v>217</v>
      </c>
      <c r="BO345" s="1" t="s">
        <v>218</v>
      </c>
      <c r="BP345" s="1" t="s">
        <v>239</v>
      </c>
      <c r="BQ345" s="1" t="s">
        <v>220</v>
      </c>
      <c r="BT345" s="1">
        <v>1</v>
      </c>
    </row>
    <row r="346" spans="1:72">
      <c r="A346" s="1" t="s">
        <v>1644</v>
      </c>
      <c r="B346" s="1" t="s">
        <v>213</v>
      </c>
      <c r="D346" s="1" t="s">
        <v>1645</v>
      </c>
      <c r="E346" s="1">
        <v>1087</v>
      </c>
      <c r="F346" s="1" t="str">
        <f t="shared" si="27"/>
        <v>enemy_1087_ltwolf</v>
      </c>
      <c r="G346" s="1">
        <v>1</v>
      </c>
      <c r="K346" s="1">
        <v>2800</v>
      </c>
      <c r="M346" s="1">
        <v>300</v>
      </c>
      <c r="O346" s="1">
        <v>0</v>
      </c>
      <c r="Q346" s="1">
        <v>20</v>
      </c>
      <c r="Y346" s="1">
        <v>0.05</v>
      </c>
      <c r="Z346" s="1">
        <v>1.4</v>
      </c>
      <c r="AA346" s="1">
        <v>0</v>
      </c>
      <c r="AB346" s="1">
        <v>1.9</v>
      </c>
      <c r="AG346" s="1">
        <v>0</v>
      </c>
      <c r="AH346" s="1">
        <v>1</v>
      </c>
      <c r="AI346" s="1" t="s">
        <v>1646</v>
      </c>
      <c r="AJ346" s="1" t="s">
        <v>216</v>
      </c>
      <c r="AK346" s="1" t="s">
        <v>238</v>
      </c>
      <c r="AM346" s="1">
        <v>1</v>
      </c>
      <c r="AV346" s="1">
        <v>1</v>
      </c>
      <c r="AX346" s="1">
        <v>0.25</v>
      </c>
      <c r="BE346" s="1" t="str">
        <f t="shared" si="26"/>
        <v>enemy_1087_ltwolf</v>
      </c>
      <c r="BK346" s="1" t="s">
        <v>953</v>
      </c>
      <c r="BL346" s="1" t="s">
        <v>1647</v>
      </c>
      <c r="BN346" s="1" t="s">
        <v>217</v>
      </c>
      <c r="BO346" s="1" t="s">
        <v>218</v>
      </c>
      <c r="BP346" s="1" t="s">
        <v>249</v>
      </c>
      <c r="BQ346" s="1" t="s">
        <v>220</v>
      </c>
      <c r="BT346" s="1">
        <v>1</v>
      </c>
    </row>
    <row r="347" spans="1:72">
      <c r="A347" s="1" t="s">
        <v>1648</v>
      </c>
      <c r="B347" s="1" t="s">
        <v>213</v>
      </c>
      <c r="D347" s="1" t="s">
        <v>1649</v>
      </c>
      <c r="E347" s="1">
        <v>1087</v>
      </c>
      <c r="F347" s="1" t="str">
        <f t="shared" si="27"/>
        <v>enemy_1087_ltwolf_2</v>
      </c>
      <c r="G347" s="1">
        <v>1</v>
      </c>
      <c r="K347" s="1">
        <v>3500</v>
      </c>
      <c r="M347" s="1">
        <v>360</v>
      </c>
      <c r="O347" s="1">
        <v>0</v>
      </c>
      <c r="Q347" s="1">
        <v>20</v>
      </c>
      <c r="Y347" s="1">
        <v>0.05</v>
      </c>
      <c r="Z347" s="1">
        <v>1.4</v>
      </c>
      <c r="AA347" s="1">
        <v>0</v>
      </c>
      <c r="AB347" s="1">
        <v>1.9</v>
      </c>
      <c r="AG347" s="1">
        <v>0</v>
      </c>
      <c r="AH347" s="1">
        <v>1</v>
      </c>
      <c r="AI347" s="1" t="s">
        <v>1650</v>
      </c>
      <c r="AJ347" s="1" t="s">
        <v>216</v>
      </c>
      <c r="AK347" s="1" t="s">
        <v>238</v>
      </c>
      <c r="AM347" s="1">
        <v>1</v>
      </c>
      <c r="AV347" s="1">
        <v>1</v>
      </c>
      <c r="AX347" s="1">
        <v>0.25</v>
      </c>
      <c r="BE347" s="1" t="str">
        <f t="shared" si="26"/>
        <v>enemy_1087_ltwolf_2</v>
      </c>
      <c r="BK347" s="1" t="s">
        <v>953</v>
      </c>
      <c r="BL347" s="1" t="s">
        <v>1651</v>
      </c>
      <c r="BN347" s="1" t="s">
        <v>217</v>
      </c>
      <c r="BO347" s="1" t="s">
        <v>218</v>
      </c>
      <c r="BP347" s="1" t="s">
        <v>249</v>
      </c>
      <c r="BQ347" s="1" t="s">
        <v>220</v>
      </c>
      <c r="BT347" s="1">
        <v>1</v>
      </c>
    </row>
    <row r="348" spans="1:72">
      <c r="A348" s="1" t="s">
        <v>1652</v>
      </c>
      <c r="B348" s="1" t="s">
        <v>213</v>
      </c>
      <c r="C348" s="1">
        <v>1</v>
      </c>
      <c r="D348" s="1" t="s">
        <v>1653</v>
      </c>
      <c r="E348" s="1">
        <v>1088</v>
      </c>
      <c r="F348" s="1" t="str">
        <f t="shared" si="27"/>
        <v>enemy_1088_ltsmer</v>
      </c>
      <c r="G348" s="1">
        <v>1</v>
      </c>
      <c r="K348" s="1">
        <v>6000</v>
      </c>
      <c r="M348" s="1">
        <v>300</v>
      </c>
      <c r="O348" s="1">
        <v>200</v>
      </c>
      <c r="Q348" s="1">
        <v>50</v>
      </c>
      <c r="Y348" s="1">
        <v>0.05</v>
      </c>
      <c r="Z348" s="1">
        <v>3</v>
      </c>
      <c r="AA348" s="1">
        <v>3</v>
      </c>
      <c r="AB348" s="1">
        <v>0.85</v>
      </c>
      <c r="AG348" s="1">
        <v>0</v>
      </c>
      <c r="AH348" s="1">
        <v>1</v>
      </c>
      <c r="AI348" s="1" t="s">
        <v>1654</v>
      </c>
      <c r="AJ348" s="1" t="s">
        <v>216</v>
      </c>
      <c r="AK348" s="1" t="s">
        <v>238</v>
      </c>
      <c r="AM348" s="1">
        <v>1</v>
      </c>
      <c r="AV348" s="1">
        <v>1</v>
      </c>
      <c r="AX348" s="1">
        <v>0.25</v>
      </c>
      <c r="BE348" s="1" t="str">
        <f t="shared" si="26"/>
        <v>enemy_1088_ltsmer</v>
      </c>
      <c r="BK348" s="1" t="s">
        <v>959</v>
      </c>
      <c r="BL348" s="1" t="s">
        <v>1655</v>
      </c>
      <c r="BN348" s="1" t="s">
        <v>217</v>
      </c>
      <c r="BO348" s="1" t="s">
        <v>218</v>
      </c>
      <c r="BP348" s="1" t="s">
        <v>239</v>
      </c>
      <c r="BQ348" s="1" t="s">
        <v>220</v>
      </c>
      <c r="BT348" s="1">
        <v>1</v>
      </c>
    </row>
    <row r="349" spans="1:72">
      <c r="A349" s="1" t="s">
        <v>1656</v>
      </c>
      <c r="B349" s="1" t="s">
        <v>213</v>
      </c>
      <c r="C349" s="1">
        <v>1</v>
      </c>
      <c r="D349" s="1" t="s">
        <v>1657</v>
      </c>
      <c r="E349" s="1">
        <v>1088</v>
      </c>
      <c r="F349" s="1" t="str">
        <f t="shared" si="27"/>
        <v>enemy_1088_ltsmer_2</v>
      </c>
      <c r="G349" s="1">
        <v>1</v>
      </c>
      <c r="K349" s="1">
        <v>8000</v>
      </c>
      <c r="M349" s="1">
        <v>360</v>
      </c>
      <c r="O349" s="1">
        <v>200</v>
      </c>
      <c r="Q349" s="1">
        <v>50</v>
      </c>
      <c r="Y349" s="1">
        <v>0.05</v>
      </c>
      <c r="Z349" s="1">
        <v>3</v>
      </c>
      <c r="AA349" s="1">
        <v>3</v>
      </c>
      <c r="AB349" s="1">
        <v>0.85</v>
      </c>
      <c r="AG349" s="1">
        <v>0</v>
      </c>
      <c r="AH349" s="1">
        <v>1</v>
      </c>
      <c r="AI349" s="1" t="s">
        <v>1658</v>
      </c>
      <c r="AJ349" s="1" t="s">
        <v>216</v>
      </c>
      <c r="AK349" s="1" t="s">
        <v>238</v>
      </c>
      <c r="AM349" s="1">
        <v>1</v>
      </c>
      <c r="AV349" s="1">
        <v>1</v>
      </c>
      <c r="AX349" s="1">
        <v>0.25</v>
      </c>
      <c r="BE349" s="1" t="str">
        <f t="shared" si="26"/>
        <v>enemy_1088_ltsmer_2</v>
      </c>
      <c r="BK349" s="1" t="s">
        <v>959</v>
      </c>
      <c r="BL349" s="1" t="s">
        <v>1659</v>
      </c>
      <c r="BN349" s="1" t="s">
        <v>217</v>
      </c>
      <c r="BO349" s="1" t="s">
        <v>218</v>
      </c>
      <c r="BP349" s="1" t="s">
        <v>239</v>
      </c>
      <c r="BQ349" s="1" t="s">
        <v>220</v>
      </c>
      <c r="BT349" s="1">
        <v>1</v>
      </c>
    </row>
    <row r="350" spans="1:72">
      <c r="A350" s="1" t="s">
        <v>1660</v>
      </c>
      <c r="B350" s="1" t="s">
        <v>213</v>
      </c>
      <c r="C350" s="1">
        <v>1</v>
      </c>
      <c r="D350" s="1" t="s">
        <v>1661</v>
      </c>
      <c r="E350" s="1">
        <v>1089</v>
      </c>
      <c r="F350" s="1" t="str">
        <f t="shared" si="27"/>
        <v>enemy_1089_ltlntc</v>
      </c>
      <c r="G350" s="1">
        <v>1</v>
      </c>
      <c r="K350" s="1">
        <v>20000</v>
      </c>
      <c r="M350" s="1">
        <v>500</v>
      </c>
      <c r="O350" s="1">
        <v>300</v>
      </c>
      <c r="Q350" s="1">
        <v>50</v>
      </c>
      <c r="Y350" s="1">
        <v>0.05</v>
      </c>
      <c r="Z350" s="1">
        <v>1.3</v>
      </c>
      <c r="AA350" s="1">
        <v>3</v>
      </c>
      <c r="AB350" s="1">
        <v>1.5</v>
      </c>
      <c r="AG350" s="1">
        <v>0</v>
      </c>
      <c r="AH350" s="1">
        <v>1</v>
      </c>
      <c r="AI350" s="1" t="s">
        <v>1662</v>
      </c>
      <c r="AJ350" s="1" t="s">
        <v>216</v>
      </c>
      <c r="AK350" s="1" t="s">
        <v>238</v>
      </c>
      <c r="AM350" s="1">
        <v>1</v>
      </c>
      <c r="AV350" s="1">
        <v>1</v>
      </c>
      <c r="AX350" s="1">
        <v>0.25</v>
      </c>
      <c r="BE350" s="1" t="str">
        <f t="shared" si="26"/>
        <v>enemy_1089_ltlntc</v>
      </c>
      <c r="BK350" s="1" t="s">
        <v>1012</v>
      </c>
      <c r="BL350" s="1" t="s">
        <v>1663</v>
      </c>
      <c r="BN350" s="1" t="s">
        <v>217</v>
      </c>
      <c r="BO350" s="1" t="s">
        <v>218</v>
      </c>
      <c r="BP350" s="1" t="s">
        <v>239</v>
      </c>
      <c r="BQ350" s="1" t="s">
        <v>220</v>
      </c>
      <c r="BT350" s="1">
        <v>1</v>
      </c>
    </row>
    <row r="351" spans="1:72">
      <c r="A351" s="1" t="s">
        <v>1664</v>
      </c>
      <c r="B351" s="1" t="s">
        <v>213</v>
      </c>
      <c r="C351" s="1">
        <v>1</v>
      </c>
      <c r="D351" s="1" t="s">
        <v>1665</v>
      </c>
      <c r="E351" s="1">
        <v>1089</v>
      </c>
      <c r="F351" s="1" t="str">
        <f t="shared" si="27"/>
        <v>enemy_1089_ltlntc_2</v>
      </c>
      <c r="G351" s="1">
        <v>1</v>
      </c>
      <c r="K351" s="1">
        <v>30000</v>
      </c>
      <c r="M351" s="1">
        <v>650</v>
      </c>
      <c r="O351" s="1">
        <v>300</v>
      </c>
      <c r="Q351" s="1">
        <v>50</v>
      </c>
      <c r="Y351" s="1">
        <v>0.05</v>
      </c>
      <c r="Z351" s="1">
        <v>1.3</v>
      </c>
      <c r="AA351" s="1">
        <v>3</v>
      </c>
      <c r="AB351" s="1">
        <v>1.5</v>
      </c>
      <c r="AG351" s="1">
        <v>0</v>
      </c>
      <c r="AH351" s="1">
        <v>1</v>
      </c>
      <c r="AI351" s="1" t="s">
        <v>1666</v>
      </c>
      <c r="AJ351" s="1" t="s">
        <v>216</v>
      </c>
      <c r="AK351" s="1" t="s">
        <v>238</v>
      </c>
      <c r="AM351" s="1">
        <v>1</v>
      </c>
      <c r="AV351" s="1">
        <v>1</v>
      </c>
      <c r="AX351" s="1">
        <v>0.25</v>
      </c>
      <c r="BE351" s="1" t="str">
        <f t="shared" si="26"/>
        <v>enemy_1089_ltlntc_2</v>
      </c>
      <c r="BK351" s="1" t="s">
        <v>1012</v>
      </c>
      <c r="BL351" s="1" t="s">
        <v>1667</v>
      </c>
      <c r="BN351" s="1" t="s">
        <v>217</v>
      </c>
      <c r="BO351" s="1" t="s">
        <v>218</v>
      </c>
      <c r="BP351" s="1" t="s">
        <v>239</v>
      </c>
      <c r="BQ351" s="1" t="s">
        <v>220</v>
      </c>
      <c r="BT351" s="1">
        <v>1</v>
      </c>
    </row>
    <row r="352" spans="1:72">
      <c r="A352" s="1" t="s">
        <v>1668</v>
      </c>
      <c r="B352" s="1" t="s">
        <v>213</v>
      </c>
      <c r="C352" s="1">
        <v>1</v>
      </c>
      <c r="D352" s="1" t="s">
        <v>1669</v>
      </c>
      <c r="E352" s="1">
        <v>1090</v>
      </c>
      <c r="F352" s="1" t="str">
        <f t="shared" si="27"/>
        <v>enemy_1090_mdsnpr</v>
      </c>
      <c r="G352" s="1">
        <v>1</v>
      </c>
      <c r="K352" s="1">
        <v>7000</v>
      </c>
      <c r="M352" s="1">
        <v>400</v>
      </c>
      <c r="O352" s="1">
        <v>400</v>
      </c>
      <c r="Q352" s="1">
        <v>30</v>
      </c>
      <c r="Y352" s="1">
        <v>0.05</v>
      </c>
      <c r="Z352" s="1">
        <v>2.6</v>
      </c>
      <c r="AA352" s="1">
        <v>3</v>
      </c>
      <c r="AB352" s="1">
        <v>0.8</v>
      </c>
      <c r="AG352" s="1">
        <v>0</v>
      </c>
      <c r="AH352" s="1">
        <v>1</v>
      </c>
      <c r="AI352" s="1" t="s">
        <v>1670</v>
      </c>
      <c r="AJ352" s="1" t="s">
        <v>216</v>
      </c>
      <c r="AK352" s="1" t="s">
        <v>238</v>
      </c>
      <c r="AM352" s="1">
        <v>1</v>
      </c>
      <c r="AV352" s="1">
        <v>1</v>
      </c>
      <c r="AX352" s="1">
        <v>0.25</v>
      </c>
      <c r="BE352" s="1" t="str">
        <f t="shared" si="26"/>
        <v>enemy_1090_mdsnpr</v>
      </c>
      <c r="BK352" s="1" t="s">
        <v>1096</v>
      </c>
      <c r="BL352" s="1" t="s">
        <v>1671</v>
      </c>
      <c r="BN352" s="1" t="s">
        <v>217</v>
      </c>
      <c r="BO352" s="1" t="s">
        <v>218</v>
      </c>
      <c r="BP352" s="1" t="s">
        <v>239</v>
      </c>
      <c r="BQ352" s="1" t="s">
        <v>220</v>
      </c>
      <c r="BT352" s="1">
        <v>1</v>
      </c>
    </row>
    <row r="353" spans="1:72">
      <c r="A353" s="1" t="s">
        <v>1672</v>
      </c>
      <c r="B353" s="1" t="s">
        <v>213</v>
      </c>
      <c r="C353" s="1">
        <v>1</v>
      </c>
      <c r="D353" s="1" t="s">
        <v>1673</v>
      </c>
      <c r="E353" s="1">
        <v>1090</v>
      </c>
      <c r="F353" s="1" t="str">
        <f t="shared" si="27"/>
        <v>enemy_1090_mdsnpr_2</v>
      </c>
      <c r="G353" s="1">
        <v>1</v>
      </c>
      <c r="K353" s="1">
        <v>10000</v>
      </c>
      <c r="M353" s="1">
        <v>500</v>
      </c>
      <c r="O353" s="1">
        <v>500</v>
      </c>
      <c r="Q353" s="1">
        <v>30</v>
      </c>
      <c r="Y353" s="1">
        <v>0.05</v>
      </c>
      <c r="Z353" s="1">
        <v>2.6</v>
      </c>
      <c r="AA353" s="1">
        <v>3</v>
      </c>
      <c r="AB353" s="1">
        <v>0.8</v>
      </c>
      <c r="AG353" s="1">
        <v>0</v>
      </c>
      <c r="AH353" s="1">
        <v>1</v>
      </c>
      <c r="AI353" s="1" t="s">
        <v>1674</v>
      </c>
      <c r="AJ353" s="1" t="s">
        <v>216</v>
      </c>
      <c r="AK353" s="1" t="s">
        <v>238</v>
      </c>
      <c r="AM353" s="1">
        <v>1</v>
      </c>
      <c r="AV353" s="1">
        <v>1</v>
      </c>
      <c r="AX353" s="1">
        <v>0.25</v>
      </c>
      <c r="BE353" s="1" t="str">
        <f t="shared" si="26"/>
        <v>enemy_1090_mdsnpr_2</v>
      </c>
      <c r="BK353" s="1" t="s">
        <v>1096</v>
      </c>
      <c r="BL353" s="1" t="s">
        <v>1675</v>
      </c>
      <c r="BN353" s="1" t="s">
        <v>217</v>
      </c>
      <c r="BO353" s="1" t="s">
        <v>218</v>
      </c>
      <c r="BP353" s="1" t="s">
        <v>239</v>
      </c>
      <c r="BQ353" s="1" t="s">
        <v>220</v>
      </c>
      <c r="BT353" s="1">
        <v>1</v>
      </c>
    </row>
    <row r="354" spans="1:72">
      <c r="A354" s="1" t="s">
        <v>1676</v>
      </c>
      <c r="B354" s="1" t="s">
        <v>213</v>
      </c>
      <c r="D354" s="1" t="s">
        <v>1677</v>
      </c>
      <c r="E354" s="1">
        <v>1091</v>
      </c>
      <c r="F354" s="1" t="str">
        <f t="shared" si="27"/>
        <v>enemy_1091_mdhmmr</v>
      </c>
      <c r="G354" s="1">
        <v>1</v>
      </c>
      <c r="K354" s="1">
        <v>10000</v>
      </c>
      <c r="M354" s="1">
        <v>900</v>
      </c>
      <c r="O354" s="1">
        <v>800</v>
      </c>
      <c r="Q354" s="1">
        <v>30</v>
      </c>
      <c r="Y354" s="1">
        <v>0.05</v>
      </c>
      <c r="Z354" s="1">
        <v>3.5</v>
      </c>
      <c r="AA354" s="1">
        <v>3</v>
      </c>
      <c r="AB354" s="1">
        <v>0.8</v>
      </c>
      <c r="AG354" s="1">
        <v>0</v>
      </c>
      <c r="AH354" s="1">
        <v>1</v>
      </c>
      <c r="AI354" s="1" t="s">
        <v>1678</v>
      </c>
      <c r="AJ354" s="1" t="s">
        <v>216</v>
      </c>
      <c r="AK354" s="1" t="s">
        <v>1679</v>
      </c>
      <c r="AM354" s="1">
        <v>1</v>
      </c>
      <c r="AV354" s="1">
        <v>1</v>
      </c>
      <c r="AX354" s="1">
        <v>0.25</v>
      </c>
      <c r="BE354" s="1" t="str">
        <f t="shared" si="26"/>
        <v>enemy_1091_mdhmmr</v>
      </c>
      <c r="BK354" s="1" t="s">
        <v>1086</v>
      </c>
      <c r="BL354" s="1" t="s">
        <v>1680</v>
      </c>
      <c r="BN354" s="1" t="s">
        <v>217</v>
      </c>
      <c r="BO354" s="1" t="s">
        <v>218</v>
      </c>
      <c r="BP354" s="1" t="s">
        <v>239</v>
      </c>
      <c r="BQ354" s="1" t="s">
        <v>220</v>
      </c>
      <c r="BT354" s="1">
        <v>1</v>
      </c>
    </row>
    <row r="355" spans="1:72">
      <c r="A355" s="1" t="s">
        <v>1681</v>
      </c>
      <c r="B355" s="1" t="s">
        <v>213</v>
      </c>
      <c r="D355" s="1" t="s">
        <v>1682</v>
      </c>
      <c r="E355" s="1">
        <v>1091</v>
      </c>
      <c r="F355" s="1" t="str">
        <f t="shared" si="27"/>
        <v>enemy_1091_mdhmmr_2</v>
      </c>
      <c r="G355" s="1">
        <v>1</v>
      </c>
      <c r="K355" s="1">
        <v>13000</v>
      </c>
      <c r="M355" s="1">
        <v>1000</v>
      </c>
      <c r="O355" s="1">
        <v>800</v>
      </c>
      <c r="Q355" s="1">
        <v>30</v>
      </c>
      <c r="Y355" s="1">
        <v>0.05</v>
      </c>
      <c r="Z355" s="1">
        <v>3.5</v>
      </c>
      <c r="AA355" s="1">
        <v>3</v>
      </c>
      <c r="AB355" s="1">
        <v>0.8</v>
      </c>
      <c r="AG355" s="1">
        <v>0</v>
      </c>
      <c r="AH355" s="1">
        <v>1</v>
      </c>
      <c r="AI355" s="1" t="s">
        <v>1683</v>
      </c>
      <c r="AJ355" s="1" t="s">
        <v>216</v>
      </c>
      <c r="AK355" s="1" t="s">
        <v>1684</v>
      </c>
      <c r="AM355" s="1">
        <v>1</v>
      </c>
      <c r="AV355" s="1">
        <v>1</v>
      </c>
      <c r="AX355" s="1">
        <v>0.25</v>
      </c>
      <c r="BE355" s="1" t="str">
        <f t="shared" si="26"/>
        <v>enemy_1091_mdhmmr_2</v>
      </c>
      <c r="BK355" s="1" t="s">
        <v>1086</v>
      </c>
      <c r="BL355" s="1" t="s">
        <v>1680</v>
      </c>
      <c r="BN355" s="1" t="s">
        <v>217</v>
      </c>
      <c r="BO355" s="1" t="s">
        <v>218</v>
      </c>
      <c r="BP355" s="1" t="s">
        <v>239</v>
      </c>
      <c r="BQ355" s="1" t="s">
        <v>220</v>
      </c>
      <c r="BT355" s="1">
        <v>1</v>
      </c>
    </row>
    <row r="356" spans="1:72">
      <c r="A356" s="1" t="s">
        <v>1685</v>
      </c>
      <c r="B356" s="1" t="s">
        <v>213</v>
      </c>
      <c r="D356" s="1" t="s">
        <v>1686</v>
      </c>
      <c r="E356" s="1">
        <v>1092</v>
      </c>
      <c r="F356" s="1" t="str">
        <f t="shared" si="27"/>
        <v>enemy_1092_mdgint</v>
      </c>
      <c r="G356" s="1">
        <v>1</v>
      </c>
      <c r="K356" s="1">
        <v>100000</v>
      </c>
      <c r="M356" s="1">
        <v>3000</v>
      </c>
      <c r="O356" s="1">
        <v>700</v>
      </c>
      <c r="Q356" s="1">
        <v>30</v>
      </c>
      <c r="Y356" s="1">
        <v>0.05</v>
      </c>
      <c r="Z356" s="1">
        <v>7</v>
      </c>
      <c r="AA356" s="1">
        <v>5</v>
      </c>
      <c r="AB356" s="1">
        <v>0.4</v>
      </c>
      <c r="AG356" s="1">
        <v>0</v>
      </c>
      <c r="AH356" s="1">
        <v>1</v>
      </c>
      <c r="AI356" s="1" t="s">
        <v>1687</v>
      </c>
      <c r="AJ356" s="1" t="s">
        <v>216</v>
      </c>
      <c r="AK356" s="1" t="s">
        <v>238</v>
      </c>
      <c r="AM356" s="1">
        <v>1</v>
      </c>
      <c r="AV356" s="1">
        <v>1</v>
      </c>
      <c r="AX356" s="1">
        <v>0.25</v>
      </c>
      <c r="BE356" s="1" t="str">
        <f t="shared" si="26"/>
        <v>enemy_1092_mdgint</v>
      </c>
      <c r="BK356" s="1" t="s">
        <v>1688</v>
      </c>
      <c r="BL356" s="1" t="s">
        <v>1689</v>
      </c>
      <c r="BN356" s="1" t="s">
        <v>217</v>
      </c>
      <c r="BO356" s="1" t="s">
        <v>218</v>
      </c>
      <c r="BP356" s="1" t="s">
        <v>239</v>
      </c>
      <c r="BQ356" s="1" t="s">
        <v>220</v>
      </c>
      <c r="BT356" s="1">
        <v>1</v>
      </c>
    </row>
    <row r="357" spans="1:72">
      <c r="A357" s="1" t="s">
        <v>1690</v>
      </c>
      <c r="B357" s="1" t="s">
        <v>213</v>
      </c>
      <c r="D357" s="1" t="s">
        <v>1691</v>
      </c>
      <c r="E357" s="1">
        <v>1092</v>
      </c>
      <c r="F357" s="1" t="str">
        <f t="shared" si="27"/>
        <v>enemy_1092_mdgint_2</v>
      </c>
      <c r="G357" s="1">
        <v>1</v>
      </c>
      <c r="K357" s="1">
        <v>150000</v>
      </c>
      <c r="M357" s="1">
        <v>3600</v>
      </c>
      <c r="O357" s="1">
        <v>800</v>
      </c>
      <c r="Q357" s="1">
        <v>40</v>
      </c>
      <c r="Y357" s="1">
        <v>0.05</v>
      </c>
      <c r="Z357" s="1">
        <v>7</v>
      </c>
      <c r="AA357" s="1">
        <v>5</v>
      </c>
      <c r="AB357" s="1">
        <v>0.4</v>
      </c>
      <c r="AG357" s="1">
        <v>0</v>
      </c>
      <c r="AH357" s="1">
        <v>1</v>
      </c>
      <c r="AI357" s="1" t="s">
        <v>1692</v>
      </c>
      <c r="AJ357" s="1" t="s">
        <v>216</v>
      </c>
      <c r="AK357" s="1" t="s">
        <v>238</v>
      </c>
      <c r="AM357" s="1">
        <v>1</v>
      </c>
      <c r="AV357" s="1">
        <v>1</v>
      </c>
      <c r="AX357" s="1">
        <v>0.25</v>
      </c>
      <c r="BE357" s="1" t="str">
        <f t="shared" si="26"/>
        <v>enemy_1092_mdgint_2</v>
      </c>
      <c r="BK357" s="1" t="s">
        <v>1688</v>
      </c>
      <c r="BL357" s="1" t="s">
        <v>1693</v>
      </c>
      <c r="BN357" s="1" t="s">
        <v>217</v>
      </c>
      <c r="BO357" s="1" t="s">
        <v>218</v>
      </c>
      <c r="BP357" s="1" t="s">
        <v>239</v>
      </c>
      <c r="BQ357" s="1" t="s">
        <v>220</v>
      </c>
      <c r="BT357" s="1">
        <v>1</v>
      </c>
    </row>
    <row r="358" spans="1:72">
      <c r="A358" s="1" t="s">
        <v>1694</v>
      </c>
      <c r="B358" s="1" t="s">
        <v>213</v>
      </c>
      <c r="C358" s="1">
        <v>1</v>
      </c>
      <c r="D358" s="1" t="s">
        <v>1695</v>
      </c>
      <c r="E358" s="1">
        <v>1511</v>
      </c>
      <c r="F358" s="1" t="str">
        <f t="shared" si="27"/>
        <v>enemy_1511_mdrock</v>
      </c>
      <c r="G358" s="1">
        <v>1</v>
      </c>
      <c r="K358" s="1">
        <v>45000</v>
      </c>
      <c r="M358" s="1">
        <v>800</v>
      </c>
      <c r="O358" s="1">
        <v>1000</v>
      </c>
      <c r="Q358" s="1">
        <v>30</v>
      </c>
      <c r="Y358" s="1">
        <v>0.05</v>
      </c>
      <c r="Z358" s="1">
        <v>4.5</v>
      </c>
      <c r="AA358" s="1">
        <v>6</v>
      </c>
      <c r="AB358" s="1">
        <v>0.6</v>
      </c>
      <c r="AG358" s="1">
        <v>0</v>
      </c>
      <c r="AH358" s="1">
        <v>1</v>
      </c>
      <c r="AI358" s="1" t="s">
        <v>1696</v>
      </c>
      <c r="AJ358" s="1" t="s">
        <v>216</v>
      </c>
      <c r="AK358" s="1" t="s">
        <v>238</v>
      </c>
      <c r="AM358" s="1">
        <v>1</v>
      </c>
      <c r="AV358" s="1">
        <v>1</v>
      </c>
      <c r="AX358" s="1">
        <v>0.25</v>
      </c>
      <c r="BE358" s="1" t="str">
        <f t="shared" si="26"/>
        <v>enemy_1511_mdrock</v>
      </c>
      <c r="BK358" s="1" t="s">
        <v>1697</v>
      </c>
      <c r="BL358" s="1" t="s">
        <v>1698</v>
      </c>
      <c r="BN358" s="1" t="s">
        <v>217</v>
      </c>
      <c r="BO358" s="1" t="s">
        <v>218</v>
      </c>
      <c r="BP358" s="1" t="s">
        <v>239</v>
      </c>
      <c r="BQ358" s="1" t="s">
        <v>220</v>
      </c>
      <c r="BT358" s="1">
        <v>1</v>
      </c>
    </row>
    <row r="359" spans="1:72">
      <c r="A359" s="1" t="s">
        <v>1699</v>
      </c>
      <c r="B359" s="1" t="s">
        <v>213</v>
      </c>
      <c r="D359" s="1" t="s">
        <v>1700</v>
      </c>
      <c r="E359" s="1">
        <v>1093</v>
      </c>
      <c r="F359" s="1" t="str">
        <f t="shared" si="27"/>
        <v>enemy_1093_ccsbr</v>
      </c>
      <c r="G359" s="1">
        <v>1</v>
      </c>
      <c r="K359" s="1">
        <v>2600</v>
      </c>
      <c r="M359" s="1">
        <v>290</v>
      </c>
      <c r="O359" s="1">
        <v>60</v>
      </c>
      <c r="Q359" s="1">
        <v>10</v>
      </c>
      <c r="Y359" s="1">
        <v>0.05</v>
      </c>
      <c r="Z359" s="1">
        <v>1.8</v>
      </c>
      <c r="AA359" s="1">
        <v>1</v>
      </c>
      <c r="AB359" s="1">
        <v>0.8</v>
      </c>
      <c r="AG359" s="1">
        <v>0</v>
      </c>
      <c r="AH359" s="1">
        <v>1</v>
      </c>
      <c r="AI359" s="1" t="s">
        <v>1701</v>
      </c>
      <c r="AJ359" s="1" t="s">
        <v>216</v>
      </c>
      <c r="AK359" s="1" t="s">
        <v>1702</v>
      </c>
      <c r="AM359" s="1">
        <v>1</v>
      </c>
      <c r="AV359" s="1">
        <v>1</v>
      </c>
      <c r="AX359" s="1">
        <v>0.25</v>
      </c>
      <c r="BE359" s="1" t="str">
        <f t="shared" si="26"/>
        <v>enemy_1093_ccsbr</v>
      </c>
      <c r="BK359" s="1" t="s">
        <v>953</v>
      </c>
      <c r="BL359" s="1" t="s">
        <v>1703</v>
      </c>
      <c r="BN359" s="1" t="s">
        <v>217</v>
      </c>
      <c r="BO359" s="1" t="s">
        <v>218</v>
      </c>
      <c r="BP359" s="1" t="s">
        <v>239</v>
      </c>
      <c r="BQ359" s="1" t="s">
        <v>220</v>
      </c>
      <c r="BT359" s="1">
        <v>1</v>
      </c>
    </row>
    <row r="360" spans="1:72">
      <c r="A360" s="1" t="s">
        <v>1704</v>
      </c>
      <c r="B360" s="1" t="s">
        <v>213</v>
      </c>
      <c r="D360" s="1" t="s">
        <v>1705</v>
      </c>
      <c r="E360" s="1">
        <v>1093</v>
      </c>
      <c r="F360" s="1" t="str">
        <f t="shared" si="27"/>
        <v>enemy_1093_ccsbr_2</v>
      </c>
      <c r="G360" s="1">
        <v>1</v>
      </c>
      <c r="K360" s="1">
        <v>3600</v>
      </c>
      <c r="M360" s="1">
        <v>380</v>
      </c>
      <c r="O360" s="1">
        <v>110</v>
      </c>
      <c r="Q360" s="1">
        <v>10</v>
      </c>
      <c r="Y360" s="1">
        <v>0.05</v>
      </c>
      <c r="Z360" s="1">
        <v>1.8</v>
      </c>
      <c r="AA360" s="1">
        <v>1</v>
      </c>
      <c r="AB360" s="1">
        <v>0.9</v>
      </c>
      <c r="AG360" s="1">
        <v>0</v>
      </c>
      <c r="AH360" s="1">
        <v>1</v>
      </c>
      <c r="AI360" s="1" t="s">
        <v>1706</v>
      </c>
      <c r="AJ360" s="1" t="s">
        <v>216</v>
      </c>
      <c r="AK360" s="1" t="s">
        <v>1707</v>
      </c>
      <c r="AM360" s="1">
        <v>1</v>
      </c>
      <c r="AV360" s="1">
        <v>1</v>
      </c>
      <c r="AX360" s="1">
        <v>0.25</v>
      </c>
      <c r="BE360" s="1" t="str">
        <f t="shared" ref="BE360:BE423" si="28">"enemy_"&amp;E360&amp;"_"&amp;D360</f>
        <v>enemy_1093_ccsbr_2</v>
      </c>
      <c r="BK360" s="1" t="s">
        <v>953</v>
      </c>
      <c r="BL360" s="1" t="s">
        <v>1708</v>
      </c>
      <c r="BN360" s="1" t="s">
        <v>217</v>
      </c>
      <c r="BO360" s="1" t="s">
        <v>218</v>
      </c>
      <c r="BP360" s="1" t="s">
        <v>239</v>
      </c>
      <c r="BQ360" s="1" t="s">
        <v>220</v>
      </c>
      <c r="BT360" s="1">
        <v>1</v>
      </c>
    </row>
    <row r="361" spans="1:72">
      <c r="A361" s="1" t="s">
        <v>1709</v>
      </c>
      <c r="B361" s="1" t="s">
        <v>213</v>
      </c>
      <c r="D361" s="1" t="s">
        <v>1710</v>
      </c>
      <c r="E361" s="1">
        <v>1094</v>
      </c>
      <c r="F361" s="1" t="str">
        <f t="shared" si="27"/>
        <v>enemy_1094_ccspm</v>
      </c>
      <c r="G361" s="1">
        <v>1</v>
      </c>
      <c r="K361" s="1">
        <v>2800</v>
      </c>
      <c r="M361" s="1">
        <v>240</v>
      </c>
      <c r="O361" s="1">
        <v>100</v>
      </c>
      <c r="Q361" s="1">
        <v>10</v>
      </c>
      <c r="Y361" s="1">
        <v>0.05</v>
      </c>
      <c r="Z361" s="1">
        <v>1.3</v>
      </c>
      <c r="AA361" s="1">
        <v>1</v>
      </c>
      <c r="AB361" s="1">
        <v>0.8</v>
      </c>
      <c r="AG361" s="1">
        <v>0</v>
      </c>
      <c r="AH361" s="1">
        <v>1</v>
      </c>
      <c r="AI361" s="1" t="s">
        <v>1711</v>
      </c>
      <c r="AJ361" s="1" t="s">
        <v>216</v>
      </c>
      <c r="AK361" s="1" t="s">
        <v>1712</v>
      </c>
      <c r="AM361" s="1">
        <v>1</v>
      </c>
      <c r="AV361" s="1">
        <v>1</v>
      </c>
      <c r="AX361" s="1">
        <v>0.25</v>
      </c>
      <c r="BE361" s="1" t="str">
        <f t="shared" si="28"/>
        <v>enemy_1094_ccspm</v>
      </c>
      <c r="BK361" s="1" t="s">
        <v>959</v>
      </c>
      <c r="BL361" s="1" t="s">
        <v>1713</v>
      </c>
      <c r="BN361" s="1" t="s">
        <v>217</v>
      </c>
      <c r="BO361" s="1" t="s">
        <v>218</v>
      </c>
      <c r="BP361" s="1" t="s">
        <v>239</v>
      </c>
      <c r="BQ361" s="1" t="s">
        <v>220</v>
      </c>
      <c r="BT361" s="1">
        <v>1</v>
      </c>
    </row>
    <row r="362" spans="1:72">
      <c r="A362" s="1" t="s">
        <v>1714</v>
      </c>
      <c r="B362" s="1" t="s">
        <v>213</v>
      </c>
      <c r="D362" s="1" t="s">
        <v>1715</v>
      </c>
      <c r="E362" s="1">
        <v>1094</v>
      </c>
      <c r="F362" s="1" t="str">
        <f t="shared" si="27"/>
        <v>enemy_1094_ccspm_2</v>
      </c>
      <c r="G362" s="1">
        <v>1</v>
      </c>
      <c r="K362" s="1">
        <v>3800</v>
      </c>
      <c r="M362" s="1">
        <v>340</v>
      </c>
      <c r="O362" s="1">
        <v>150</v>
      </c>
      <c r="Q362" s="1">
        <v>10</v>
      </c>
      <c r="Y362" s="1">
        <v>0.05</v>
      </c>
      <c r="Z362" s="1">
        <v>1.3</v>
      </c>
      <c r="AA362" s="1">
        <v>1</v>
      </c>
      <c r="AB362" s="1">
        <v>0.8</v>
      </c>
      <c r="AG362" s="1">
        <v>0</v>
      </c>
      <c r="AH362" s="1">
        <v>1</v>
      </c>
      <c r="AI362" s="1" t="s">
        <v>1716</v>
      </c>
      <c r="AJ362" s="1" t="s">
        <v>216</v>
      </c>
      <c r="AK362" s="1" t="s">
        <v>1712</v>
      </c>
      <c r="AM362" s="1">
        <v>1</v>
      </c>
      <c r="AV362" s="1">
        <v>1</v>
      </c>
      <c r="AX362" s="1">
        <v>0.25</v>
      </c>
      <c r="BE362" s="1" t="str">
        <f t="shared" si="28"/>
        <v>enemy_1094_ccspm_2</v>
      </c>
      <c r="BK362" s="1" t="s">
        <v>959</v>
      </c>
      <c r="BL362" s="1" t="s">
        <v>1717</v>
      </c>
      <c r="BN362" s="1" t="s">
        <v>217</v>
      </c>
      <c r="BO362" s="1" t="s">
        <v>218</v>
      </c>
      <c r="BP362" s="1" t="s">
        <v>239</v>
      </c>
      <c r="BQ362" s="1" t="s">
        <v>220</v>
      </c>
      <c r="BT362" s="1">
        <v>1</v>
      </c>
    </row>
    <row r="363" spans="1:72">
      <c r="A363" s="1" t="s">
        <v>1718</v>
      </c>
      <c r="B363" s="1" t="s">
        <v>213</v>
      </c>
      <c r="D363" s="1" t="s">
        <v>1719</v>
      </c>
      <c r="E363" s="1">
        <v>1095</v>
      </c>
      <c r="F363" s="1" t="str">
        <f t="shared" si="27"/>
        <v>enemy_1095_ccripr</v>
      </c>
      <c r="G363" s="1">
        <v>1</v>
      </c>
      <c r="K363" s="1">
        <v>5500</v>
      </c>
      <c r="M363" s="1">
        <v>320</v>
      </c>
      <c r="O363" s="1">
        <v>380</v>
      </c>
      <c r="Q363" s="1">
        <v>10</v>
      </c>
      <c r="Y363" s="1">
        <v>0.05</v>
      </c>
      <c r="Z363" s="1">
        <v>1</v>
      </c>
      <c r="AA363" s="1">
        <v>2</v>
      </c>
      <c r="AB363" s="1">
        <v>0.8</v>
      </c>
      <c r="AG363" s="1">
        <v>0</v>
      </c>
      <c r="AH363" s="1">
        <v>1</v>
      </c>
      <c r="AI363" s="1" t="s">
        <v>1720</v>
      </c>
      <c r="AJ363" s="1" t="s">
        <v>216</v>
      </c>
      <c r="AK363" s="1" t="s">
        <v>1721</v>
      </c>
      <c r="AM363" s="1">
        <v>1</v>
      </c>
      <c r="AV363" s="1">
        <v>1</v>
      </c>
      <c r="AX363" s="1">
        <v>0.25</v>
      </c>
      <c r="BE363" s="1" t="str">
        <f t="shared" si="28"/>
        <v>enemy_1095_ccripr</v>
      </c>
      <c r="BK363" s="1" t="s">
        <v>953</v>
      </c>
      <c r="BL363" s="1" t="s">
        <v>1722</v>
      </c>
      <c r="BN363" s="1" t="s">
        <v>217</v>
      </c>
      <c r="BO363" s="1" t="s">
        <v>218</v>
      </c>
      <c r="BP363" s="1" t="s">
        <v>239</v>
      </c>
      <c r="BQ363" s="1" t="s">
        <v>220</v>
      </c>
      <c r="BT363" s="1">
        <v>1</v>
      </c>
    </row>
    <row r="364" spans="1:72">
      <c r="A364" s="1" t="s">
        <v>1723</v>
      </c>
      <c r="B364" s="1" t="s">
        <v>213</v>
      </c>
      <c r="D364" s="1" t="s">
        <v>1724</v>
      </c>
      <c r="E364" s="1">
        <v>1095</v>
      </c>
      <c r="F364" s="1" t="str">
        <f t="shared" si="27"/>
        <v>enemy_1095_ccripr_2</v>
      </c>
      <c r="G364" s="1">
        <v>1</v>
      </c>
      <c r="K364" s="1">
        <v>7500</v>
      </c>
      <c r="M364" s="1">
        <v>350</v>
      </c>
      <c r="O364" s="1">
        <v>460</v>
      </c>
      <c r="Q364" s="1">
        <v>10</v>
      </c>
      <c r="Y364" s="1">
        <v>0.05</v>
      </c>
      <c r="Z364" s="1">
        <v>0.9</v>
      </c>
      <c r="AA364" s="1">
        <v>2</v>
      </c>
      <c r="AB364" s="1">
        <v>0.8</v>
      </c>
      <c r="AG364" s="1">
        <v>0</v>
      </c>
      <c r="AH364" s="1">
        <v>1</v>
      </c>
      <c r="AI364" s="1" t="s">
        <v>1725</v>
      </c>
      <c r="AJ364" s="1" t="s">
        <v>216</v>
      </c>
      <c r="AK364" s="1" t="s">
        <v>1726</v>
      </c>
      <c r="AM364" s="1">
        <v>1</v>
      </c>
      <c r="AV364" s="1">
        <v>1</v>
      </c>
      <c r="AX364" s="1">
        <v>0.25</v>
      </c>
      <c r="BE364" s="1" t="str">
        <f t="shared" si="28"/>
        <v>enemy_1095_ccripr_2</v>
      </c>
      <c r="BK364" s="1" t="s">
        <v>953</v>
      </c>
      <c r="BL364" s="1" t="s">
        <v>1727</v>
      </c>
      <c r="BN364" s="1" t="s">
        <v>217</v>
      </c>
      <c r="BO364" s="1" t="s">
        <v>218</v>
      </c>
      <c r="BP364" s="1" t="s">
        <v>239</v>
      </c>
      <c r="BQ364" s="1" t="s">
        <v>220</v>
      </c>
      <c r="BT364" s="1">
        <v>1</v>
      </c>
    </row>
    <row r="365" spans="1:72">
      <c r="A365" s="1" t="s">
        <v>1728</v>
      </c>
      <c r="B365" s="1" t="s">
        <v>213</v>
      </c>
      <c r="D365" s="1" t="s">
        <v>1729</v>
      </c>
      <c r="E365" s="1">
        <v>1096</v>
      </c>
      <c r="F365" s="1" t="str">
        <f t="shared" si="27"/>
        <v>enemy_1096_ccwitch</v>
      </c>
      <c r="G365" s="1">
        <v>1</v>
      </c>
      <c r="K365" s="1">
        <v>6000</v>
      </c>
      <c r="M365" s="1">
        <v>250</v>
      </c>
      <c r="O365" s="1">
        <v>200</v>
      </c>
      <c r="Q365" s="1">
        <v>70</v>
      </c>
      <c r="Y365" s="1">
        <v>0.05</v>
      </c>
      <c r="Z365" s="1">
        <v>4</v>
      </c>
      <c r="AA365" s="1">
        <v>3</v>
      </c>
      <c r="AB365" s="1">
        <v>0.8</v>
      </c>
      <c r="AG365" s="1">
        <v>0</v>
      </c>
      <c r="AH365" s="1">
        <v>1</v>
      </c>
      <c r="AI365" s="1" t="s">
        <v>1730</v>
      </c>
      <c r="AJ365" s="1" t="s">
        <v>216</v>
      </c>
      <c r="AK365" s="1" t="s">
        <v>1731</v>
      </c>
      <c r="AM365" s="1">
        <v>1</v>
      </c>
      <c r="AV365" s="1">
        <v>1</v>
      </c>
      <c r="AX365" s="1">
        <v>0.25</v>
      </c>
      <c r="BE365" s="1" t="str">
        <f t="shared" si="28"/>
        <v>enemy_1096_ccwitch</v>
      </c>
      <c r="BK365" s="1" t="s">
        <v>980</v>
      </c>
      <c r="BL365" s="1" t="s">
        <v>1732</v>
      </c>
      <c r="BN365" s="1" t="s">
        <v>217</v>
      </c>
      <c r="BO365" s="1" t="s">
        <v>218</v>
      </c>
      <c r="BP365" s="1" t="s">
        <v>239</v>
      </c>
      <c r="BQ365" s="1" t="s">
        <v>220</v>
      </c>
      <c r="BT365" s="1">
        <v>1</v>
      </c>
    </row>
    <row r="366" spans="1:72">
      <c r="A366" s="1" t="s">
        <v>1733</v>
      </c>
      <c r="B366" s="1" t="s">
        <v>213</v>
      </c>
      <c r="D366" s="1" t="s">
        <v>1734</v>
      </c>
      <c r="E366" s="1">
        <v>1096</v>
      </c>
      <c r="F366" s="1" t="str">
        <f t="shared" si="27"/>
        <v>enemy_1096_ccwitch_2</v>
      </c>
      <c r="G366" s="1">
        <v>1</v>
      </c>
      <c r="K366" s="1">
        <v>8000</v>
      </c>
      <c r="M366" s="1">
        <v>350</v>
      </c>
      <c r="O366" s="1">
        <v>250</v>
      </c>
      <c r="Q366" s="1">
        <v>80</v>
      </c>
      <c r="Y366" s="1">
        <v>0.05</v>
      </c>
      <c r="Z366" s="1">
        <v>4</v>
      </c>
      <c r="AA366" s="1">
        <v>3</v>
      </c>
      <c r="AB366" s="1">
        <v>0.8</v>
      </c>
      <c r="AG366" s="1">
        <v>0</v>
      </c>
      <c r="AH366" s="1">
        <v>1</v>
      </c>
      <c r="AI366" s="1" t="s">
        <v>1735</v>
      </c>
      <c r="AJ366" s="1" t="s">
        <v>216</v>
      </c>
      <c r="AK366" s="1" t="s">
        <v>1736</v>
      </c>
      <c r="AM366" s="1">
        <v>1</v>
      </c>
      <c r="AV366" s="1">
        <v>1</v>
      </c>
      <c r="AX366" s="1">
        <v>0.25</v>
      </c>
      <c r="BE366" s="1" t="str">
        <f t="shared" si="28"/>
        <v>enemy_1096_ccwitch_2</v>
      </c>
      <c r="BK366" s="1" t="s">
        <v>980</v>
      </c>
      <c r="BL366" s="1" t="s">
        <v>1737</v>
      </c>
      <c r="BN366" s="1" t="s">
        <v>217</v>
      </c>
      <c r="BO366" s="1" t="s">
        <v>218</v>
      </c>
      <c r="BP366" s="1" t="s">
        <v>239</v>
      </c>
      <c r="BQ366" s="1" t="s">
        <v>220</v>
      </c>
      <c r="BT366" s="1">
        <v>1</v>
      </c>
    </row>
    <row r="367" spans="1:72">
      <c r="A367" s="1" t="s">
        <v>1738</v>
      </c>
      <c r="B367" s="1" t="s">
        <v>213</v>
      </c>
      <c r="C367" s="1">
        <v>1</v>
      </c>
      <c r="D367" s="1" t="s">
        <v>1739</v>
      </c>
      <c r="E367" s="1">
        <v>1097</v>
      </c>
      <c r="F367" s="1" t="str">
        <f t="shared" si="27"/>
        <v>enemy_1097_cclmbjk</v>
      </c>
      <c r="G367" s="1">
        <v>1</v>
      </c>
      <c r="K367" s="1">
        <v>7500</v>
      </c>
      <c r="M367" s="1">
        <v>650</v>
      </c>
      <c r="O367" s="1">
        <v>550</v>
      </c>
      <c r="Q367" s="1">
        <v>10</v>
      </c>
      <c r="Y367" s="1">
        <v>0.05</v>
      </c>
      <c r="Z367" s="1">
        <v>5</v>
      </c>
      <c r="AA367" s="1">
        <v>4</v>
      </c>
      <c r="AB367" s="1">
        <v>0.7</v>
      </c>
      <c r="AG367" s="1">
        <v>0</v>
      </c>
      <c r="AH367" s="1">
        <v>1</v>
      </c>
      <c r="AI367" s="1" t="s">
        <v>1740</v>
      </c>
      <c r="AJ367" s="1" t="s">
        <v>216</v>
      </c>
      <c r="AK367" s="1" t="s">
        <v>238</v>
      </c>
      <c r="AM367" s="1">
        <v>1</v>
      </c>
      <c r="AV367" s="1">
        <v>1</v>
      </c>
      <c r="AX367" s="1">
        <v>0.25</v>
      </c>
      <c r="BE367" s="1" t="str">
        <f t="shared" si="28"/>
        <v>enemy_1097_cclmbjk</v>
      </c>
      <c r="BK367" s="1" t="s">
        <v>980</v>
      </c>
      <c r="BL367" s="1" t="s">
        <v>1741</v>
      </c>
      <c r="BN367" s="1" t="s">
        <v>217</v>
      </c>
      <c r="BO367" s="1" t="s">
        <v>218</v>
      </c>
      <c r="BP367" s="1" t="s">
        <v>239</v>
      </c>
      <c r="BQ367" s="1" t="s">
        <v>220</v>
      </c>
      <c r="BT367" s="1">
        <v>1</v>
      </c>
    </row>
    <row r="368" spans="1:72">
      <c r="A368" s="1" t="s">
        <v>1742</v>
      </c>
      <c r="B368" s="1" t="s">
        <v>213</v>
      </c>
      <c r="C368" s="1">
        <v>1</v>
      </c>
      <c r="D368" s="1" t="s">
        <v>1743</v>
      </c>
      <c r="E368" s="1">
        <v>1097</v>
      </c>
      <c r="F368" s="1" t="str">
        <f t="shared" si="27"/>
        <v>enemy_1097_cclmbjk_2</v>
      </c>
      <c r="G368" s="1">
        <v>1</v>
      </c>
      <c r="K368" s="1">
        <v>9500</v>
      </c>
      <c r="M368" s="1">
        <v>750</v>
      </c>
      <c r="O368" s="1">
        <v>700</v>
      </c>
      <c r="Q368" s="1">
        <v>10</v>
      </c>
      <c r="Y368" s="1">
        <v>0.05</v>
      </c>
      <c r="Z368" s="1">
        <v>5</v>
      </c>
      <c r="AA368" s="1">
        <v>4</v>
      </c>
      <c r="AB368" s="1">
        <v>0.7</v>
      </c>
      <c r="AG368" s="1">
        <v>0</v>
      </c>
      <c r="AH368" s="1">
        <v>1</v>
      </c>
      <c r="AI368" s="1" t="s">
        <v>1744</v>
      </c>
      <c r="AJ368" s="1" t="s">
        <v>216</v>
      </c>
      <c r="AK368" s="1" t="s">
        <v>238</v>
      </c>
      <c r="AM368" s="1">
        <v>1</v>
      </c>
      <c r="AV368" s="1">
        <v>1</v>
      </c>
      <c r="AX368" s="1">
        <v>0.25</v>
      </c>
      <c r="BE368" s="1" t="str">
        <f t="shared" si="28"/>
        <v>enemy_1097_cclmbjk_2</v>
      </c>
      <c r="BK368" s="1" t="s">
        <v>980</v>
      </c>
      <c r="BL368" s="1" t="s">
        <v>1741</v>
      </c>
      <c r="BN368" s="1" t="s">
        <v>217</v>
      </c>
      <c r="BO368" s="1" t="s">
        <v>218</v>
      </c>
      <c r="BP368" s="1" t="s">
        <v>239</v>
      </c>
      <c r="BQ368" s="1" t="s">
        <v>220</v>
      </c>
      <c r="BT368" s="1">
        <v>1</v>
      </c>
    </row>
    <row r="369" spans="1:72">
      <c r="A369" s="1" t="s">
        <v>1745</v>
      </c>
      <c r="B369" s="1" t="s">
        <v>213</v>
      </c>
      <c r="D369" s="1" t="s">
        <v>1746</v>
      </c>
      <c r="E369" s="1">
        <v>1098</v>
      </c>
      <c r="F369" s="1" t="str">
        <f t="shared" si="27"/>
        <v>enemy_1098_cchmpn</v>
      </c>
      <c r="G369" s="1">
        <v>1</v>
      </c>
      <c r="K369" s="1">
        <v>12000</v>
      </c>
      <c r="M369" s="1">
        <v>700</v>
      </c>
      <c r="O369" s="1">
        <v>950</v>
      </c>
      <c r="Q369" s="1">
        <v>10</v>
      </c>
      <c r="Y369" s="1">
        <v>0.05</v>
      </c>
      <c r="Z369" s="1">
        <v>4</v>
      </c>
      <c r="AA369" s="1">
        <v>5</v>
      </c>
      <c r="AB369" s="1">
        <v>0.7</v>
      </c>
      <c r="AG369" s="1">
        <v>0</v>
      </c>
      <c r="AH369" s="1">
        <v>1</v>
      </c>
      <c r="AI369" s="1" t="s">
        <v>1747</v>
      </c>
      <c r="AJ369" s="1" t="s">
        <v>216</v>
      </c>
      <c r="AK369" s="1" t="s">
        <v>1748</v>
      </c>
      <c r="AM369" s="1">
        <v>1</v>
      </c>
      <c r="AV369" s="1">
        <v>1</v>
      </c>
      <c r="AX369" s="1">
        <v>0.25</v>
      </c>
      <c r="BE369" s="1" t="str">
        <f t="shared" si="28"/>
        <v>enemy_1098_cchmpn</v>
      </c>
      <c r="BK369" s="1" t="s">
        <v>1012</v>
      </c>
      <c r="BL369" s="1" t="s">
        <v>1749</v>
      </c>
      <c r="BN369" s="1" t="s">
        <v>217</v>
      </c>
      <c r="BO369" s="1" t="s">
        <v>218</v>
      </c>
      <c r="BP369" s="1" t="s">
        <v>239</v>
      </c>
      <c r="BQ369" s="1" t="s">
        <v>220</v>
      </c>
      <c r="BT369" s="1">
        <v>1</v>
      </c>
    </row>
    <row r="370" spans="1:72">
      <c r="A370" s="1" t="s">
        <v>1750</v>
      </c>
      <c r="B370" s="1" t="s">
        <v>213</v>
      </c>
      <c r="D370" s="1" t="s">
        <v>1751</v>
      </c>
      <c r="E370" s="1">
        <v>1098</v>
      </c>
      <c r="F370" s="1" t="str">
        <f t="shared" si="27"/>
        <v>enemy_1098_cchmpn_2</v>
      </c>
      <c r="G370" s="1">
        <v>1</v>
      </c>
      <c r="K370" s="1">
        <v>16000</v>
      </c>
      <c r="M370" s="1">
        <v>1000</v>
      </c>
      <c r="O370" s="1">
        <v>1100</v>
      </c>
      <c r="Q370" s="1">
        <v>10</v>
      </c>
      <c r="Y370" s="1">
        <v>0.05</v>
      </c>
      <c r="Z370" s="1">
        <v>4</v>
      </c>
      <c r="AA370" s="1">
        <v>5</v>
      </c>
      <c r="AB370" s="1">
        <v>0.8</v>
      </c>
      <c r="AG370" s="1">
        <v>0</v>
      </c>
      <c r="AH370" s="1">
        <v>1</v>
      </c>
      <c r="AI370" s="1" t="s">
        <v>1752</v>
      </c>
      <c r="AJ370" s="1" t="s">
        <v>216</v>
      </c>
      <c r="AK370" s="1" t="s">
        <v>1748</v>
      </c>
      <c r="AM370" s="1">
        <v>1</v>
      </c>
      <c r="AV370" s="1">
        <v>1</v>
      </c>
      <c r="AX370" s="1">
        <v>0.25</v>
      </c>
      <c r="BE370" s="1" t="str">
        <f t="shared" si="28"/>
        <v>enemy_1098_cchmpn_2</v>
      </c>
      <c r="BK370" s="1" t="s">
        <v>1012</v>
      </c>
      <c r="BL370" s="1" t="s">
        <v>1753</v>
      </c>
      <c r="BN370" s="1" t="s">
        <v>217</v>
      </c>
      <c r="BO370" s="1" t="s">
        <v>218</v>
      </c>
      <c r="BP370" s="1" t="s">
        <v>239</v>
      </c>
      <c r="BQ370" s="1" t="s">
        <v>220</v>
      </c>
      <c r="BT370" s="1">
        <v>1</v>
      </c>
    </row>
    <row r="371" spans="1:72">
      <c r="A371" s="1" t="s">
        <v>1754</v>
      </c>
      <c r="B371" s="1" t="s">
        <v>213</v>
      </c>
      <c r="C371" s="1">
        <v>1</v>
      </c>
      <c r="D371" s="1" t="s">
        <v>1755</v>
      </c>
      <c r="E371" s="1">
        <v>1512</v>
      </c>
      <c r="F371" s="1" t="str">
        <f t="shared" si="27"/>
        <v>enemy_1512_mcmstr</v>
      </c>
      <c r="G371" s="1">
        <v>1</v>
      </c>
      <c r="K371" s="1">
        <v>40000</v>
      </c>
      <c r="M371" s="1">
        <v>500</v>
      </c>
      <c r="O371" s="1">
        <v>1000</v>
      </c>
      <c r="Q371" s="1">
        <v>20</v>
      </c>
      <c r="Y371" s="1">
        <v>0.05</v>
      </c>
      <c r="Z371" s="1">
        <v>4</v>
      </c>
      <c r="AA371" s="1">
        <v>6</v>
      </c>
      <c r="AB371" s="1">
        <v>0.6</v>
      </c>
      <c r="AG371" s="1">
        <v>0</v>
      </c>
      <c r="AH371" s="1">
        <v>1</v>
      </c>
      <c r="AI371" s="1" t="s">
        <v>1756</v>
      </c>
      <c r="AJ371" s="1" t="s">
        <v>216</v>
      </c>
      <c r="AK371" s="1" t="s">
        <v>238</v>
      </c>
      <c r="AM371" s="1">
        <v>1</v>
      </c>
      <c r="AV371" s="1">
        <v>1</v>
      </c>
      <c r="AX371" s="1">
        <v>0.25</v>
      </c>
      <c r="BE371" s="1" t="str">
        <f t="shared" si="28"/>
        <v>enemy_1512_mcmstr</v>
      </c>
      <c r="BK371" s="1" t="s">
        <v>1757</v>
      </c>
      <c r="BL371" s="1" t="s">
        <v>1758</v>
      </c>
      <c r="BN371" s="1" t="s">
        <v>217</v>
      </c>
      <c r="BO371" s="1" t="s">
        <v>218</v>
      </c>
      <c r="BP371" s="1" t="s">
        <v>1635</v>
      </c>
      <c r="BQ371" s="1" t="s">
        <v>220</v>
      </c>
      <c r="BT371" s="1">
        <v>1</v>
      </c>
    </row>
    <row r="372" spans="1:72">
      <c r="A372" s="1" t="s">
        <v>1759</v>
      </c>
      <c r="B372" s="1" t="s">
        <v>213</v>
      </c>
      <c r="C372" s="1">
        <v>1</v>
      </c>
      <c r="D372" s="1" t="s">
        <v>1760</v>
      </c>
      <c r="E372" s="1">
        <v>2001</v>
      </c>
      <c r="F372" s="1" t="str">
        <f t="shared" si="27"/>
        <v>enemy_2001_duckmi</v>
      </c>
      <c r="G372" s="1">
        <v>1</v>
      </c>
      <c r="K372" s="1">
        <v>18000</v>
      </c>
      <c r="M372" s="1">
        <v>100</v>
      </c>
      <c r="O372" s="1">
        <v>200</v>
      </c>
      <c r="Q372" s="1">
        <v>30</v>
      </c>
      <c r="Y372" s="1">
        <v>0.05</v>
      </c>
      <c r="Z372" s="1">
        <v>1</v>
      </c>
      <c r="AA372" s="1">
        <v>3</v>
      </c>
      <c r="AB372" s="1">
        <v>0.4</v>
      </c>
      <c r="AG372" s="1">
        <v>0</v>
      </c>
      <c r="AH372" s="1">
        <v>1</v>
      </c>
      <c r="AI372" s="1" t="s">
        <v>1761</v>
      </c>
      <c r="AJ372" s="1" t="s">
        <v>216</v>
      </c>
      <c r="AK372" s="1" t="s">
        <v>238</v>
      </c>
      <c r="AM372" s="1">
        <v>1</v>
      </c>
      <c r="AV372" s="1">
        <v>1</v>
      </c>
      <c r="AX372" s="1">
        <v>0.25</v>
      </c>
      <c r="BE372" s="1" t="str">
        <f t="shared" si="28"/>
        <v>enemy_2001_duckmi</v>
      </c>
      <c r="BK372" s="1" t="s">
        <v>1762</v>
      </c>
      <c r="BL372" s="1" t="s">
        <v>1763</v>
      </c>
      <c r="BN372" s="1" t="s">
        <v>217</v>
      </c>
      <c r="BO372" s="1" t="s">
        <v>218</v>
      </c>
      <c r="BP372" s="1" t="s">
        <v>239</v>
      </c>
      <c r="BQ372" s="1" t="s">
        <v>220</v>
      </c>
      <c r="BT372" s="1">
        <v>1</v>
      </c>
    </row>
    <row r="373" spans="1:72">
      <c r="A373" s="1" t="s">
        <v>1764</v>
      </c>
      <c r="B373" s="1" t="s">
        <v>213</v>
      </c>
      <c r="C373" s="1">
        <v>1</v>
      </c>
      <c r="D373" s="1" t="s">
        <v>1765</v>
      </c>
      <c r="E373" s="1">
        <v>2002</v>
      </c>
      <c r="F373" s="1" t="str">
        <f t="shared" si="27"/>
        <v>enemy_2002_bearmi</v>
      </c>
      <c r="G373" s="1">
        <v>1</v>
      </c>
      <c r="K373" s="1">
        <v>30000</v>
      </c>
      <c r="M373" s="1">
        <v>2000</v>
      </c>
      <c r="O373" s="1">
        <v>200</v>
      </c>
      <c r="Q373" s="1">
        <v>50</v>
      </c>
      <c r="Y373" s="1">
        <v>0.05</v>
      </c>
      <c r="Z373" s="1">
        <v>3.5</v>
      </c>
      <c r="AA373" s="1">
        <v>4</v>
      </c>
      <c r="AB373" s="1">
        <v>0.5</v>
      </c>
      <c r="AG373" s="1">
        <v>0</v>
      </c>
      <c r="AH373" s="1">
        <v>1</v>
      </c>
      <c r="AI373" s="1" t="s">
        <v>1766</v>
      </c>
      <c r="AJ373" s="1" t="s">
        <v>216</v>
      </c>
      <c r="AK373" s="1" t="s">
        <v>238</v>
      </c>
      <c r="AM373" s="1">
        <v>1</v>
      </c>
      <c r="AV373" s="1">
        <v>1</v>
      </c>
      <c r="AX373" s="1">
        <v>0.25</v>
      </c>
      <c r="BE373" s="1" t="str">
        <f t="shared" si="28"/>
        <v>enemy_2002_bearmi</v>
      </c>
      <c r="BK373" s="1" t="s">
        <v>1012</v>
      </c>
      <c r="BL373" s="1" t="s">
        <v>1767</v>
      </c>
      <c r="BN373" s="1" t="s">
        <v>217</v>
      </c>
      <c r="BO373" s="1" t="s">
        <v>218</v>
      </c>
      <c r="BP373" s="1" t="s">
        <v>239</v>
      </c>
      <c r="BQ373" s="1" t="s">
        <v>220</v>
      </c>
      <c r="BT373" s="1">
        <v>1</v>
      </c>
    </row>
    <row r="374" spans="1:72">
      <c r="A374" s="1" t="s">
        <v>1768</v>
      </c>
      <c r="B374" s="1" t="s">
        <v>213</v>
      </c>
      <c r="C374" s="1">
        <v>1</v>
      </c>
      <c r="D374" s="1" t="s">
        <v>1769</v>
      </c>
      <c r="E374" s="1">
        <v>2003</v>
      </c>
      <c r="F374" s="1" t="str">
        <f t="shared" si="27"/>
        <v>enemy_2003_rockman</v>
      </c>
      <c r="G374" s="1">
        <v>1</v>
      </c>
      <c r="K374" s="1">
        <v>75000</v>
      </c>
      <c r="M374" s="1">
        <v>1500</v>
      </c>
      <c r="O374" s="1">
        <v>600</v>
      </c>
      <c r="Q374" s="1">
        <v>0</v>
      </c>
      <c r="Y374" s="1">
        <v>0.05</v>
      </c>
      <c r="Z374" s="1">
        <v>4.4</v>
      </c>
      <c r="AA374" s="1">
        <v>4</v>
      </c>
      <c r="AB374" s="1">
        <v>0.5</v>
      </c>
      <c r="AG374" s="1">
        <v>0</v>
      </c>
      <c r="AH374" s="1">
        <v>1</v>
      </c>
      <c r="AI374" s="1" t="s">
        <v>1770</v>
      </c>
      <c r="AJ374" s="1" t="s">
        <v>216</v>
      </c>
      <c r="AK374" s="1" t="s">
        <v>238</v>
      </c>
      <c r="AM374" s="1">
        <v>1</v>
      </c>
      <c r="AV374" s="1">
        <v>1</v>
      </c>
      <c r="AX374" s="1">
        <v>0.25</v>
      </c>
      <c r="BE374" s="1" t="str">
        <f t="shared" si="28"/>
        <v>enemy_2003_rockman</v>
      </c>
      <c r="BK374" s="1" t="s">
        <v>1771</v>
      </c>
      <c r="BL374" s="1" t="s">
        <v>1772</v>
      </c>
      <c r="BN374" s="1" t="s">
        <v>217</v>
      </c>
      <c r="BO374" s="1" t="s">
        <v>218</v>
      </c>
      <c r="BP374" s="1" t="s">
        <v>239</v>
      </c>
      <c r="BQ374" s="1" t="s">
        <v>220</v>
      </c>
      <c r="BT374" s="1">
        <v>1</v>
      </c>
    </row>
    <row r="375" spans="1:72">
      <c r="A375" s="1" t="s">
        <v>1773</v>
      </c>
      <c r="B375" s="1" t="s">
        <v>213</v>
      </c>
      <c r="C375" s="1">
        <v>1</v>
      </c>
      <c r="D375" s="1" t="s">
        <v>1774</v>
      </c>
      <c r="E375" s="1">
        <v>2004</v>
      </c>
      <c r="F375" s="1" t="str">
        <f t="shared" si="27"/>
        <v>enemy_2004_balloon</v>
      </c>
      <c r="G375" s="1">
        <v>1</v>
      </c>
      <c r="K375" s="1">
        <v>58000</v>
      </c>
      <c r="M375" s="1">
        <v>400</v>
      </c>
      <c r="O375" s="1">
        <v>280</v>
      </c>
      <c r="Q375" s="1">
        <v>30</v>
      </c>
      <c r="Y375" s="1">
        <v>0.05</v>
      </c>
      <c r="Z375" s="1">
        <v>2</v>
      </c>
      <c r="AA375" s="1">
        <v>3</v>
      </c>
      <c r="AB375" s="1">
        <v>0.8</v>
      </c>
      <c r="AG375" s="1">
        <v>0</v>
      </c>
      <c r="AH375" s="1">
        <v>1</v>
      </c>
      <c r="AI375" s="1" t="s">
        <v>1775</v>
      </c>
      <c r="AJ375" s="1" t="s">
        <v>216</v>
      </c>
      <c r="AK375" s="1" t="s">
        <v>238</v>
      </c>
      <c r="AM375" s="1">
        <v>1</v>
      </c>
      <c r="AV375" s="1">
        <v>1</v>
      </c>
      <c r="AX375" s="1">
        <v>0.25</v>
      </c>
      <c r="BE375" s="1" t="str">
        <f t="shared" si="28"/>
        <v>enemy_2004_balloon</v>
      </c>
      <c r="BK375" s="1" t="s">
        <v>1019</v>
      </c>
      <c r="BL375" s="1" t="s">
        <v>1776</v>
      </c>
      <c r="BN375" s="1" t="s">
        <v>217</v>
      </c>
      <c r="BO375" s="1" t="s">
        <v>218</v>
      </c>
      <c r="BP375" s="1" t="s">
        <v>1344</v>
      </c>
      <c r="BQ375" s="1" t="s">
        <v>220</v>
      </c>
      <c r="BT375" s="1">
        <v>1</v>
      </c>
    </row>
    <row r="376" spans="1:72">
      <c r="A376" s="1" t="s">
        <v>1777</v>
      </c>
      <c r="B376" s="1" t="s">
        <v>213</v>
      </c>
      <c r="C376" s="1">
        <v>1</v>
      </c>
      <c r="D376" s="1" t="s">
        <v>1778</v>
      </c>
      <c r="E376" s="1">
        <v>2005</v>
      </c>
      <c r="F376" s="1" t="str">
        <f t="shared" si="27"/>
        <v>enemy_2005_axetro</v>
      </c>
      <c r="G376" s="1">
        <v>1</v>
      </c>
      <c r="K376" s="1">
        <v>50000</v>
      </c>
      <c r="M376" s="1">
        <v>500</v>
      </c>
      <c r="O376" s="1">
        <v>300</v>
      </c>
      <c r="Q376" s="1">
        <v>30</v>
      </c>
      <c r="Y376" s="1">
        <v>0.05</v>
      </c>
      <c r="Z376" s="1">
        <v>3</v>
      </c>
      <c r="AA376" s="1">
        <v>3</v>
      </c>
      <c r="AB376" s="1">
        <v>0.6</v>
      </c>
      <c r="AG376" s="1">
        <v>0</v>
      </c>
      <c r="AH376" s="1">
        <v>1</v>
      </c>
      <c r="AI376" s="1" t="s">
        <v>1779</v>
      </c>
      <c r="AJ376" s="1" t="s">
        <v>216</v>
      </c>
      <c r="AK376" s="1" t="s">
        <v>238</v>
      </c>
      <c r="AM376" s="1">
        <v>1</v>
      </c>
      <c r="AV376" s="1">
        <v>1</v>
      </c>
      <c r="AX376" s="1">
        <v>0.25</v>
      </c>
      <c r="BE376" s="1" t="str">
        <f t="shared" si="28"/>
        <v>enemy_2005_axetro</v>
      </c>
      <c r="BK376" s="1" t="s">
        <v>1342</v>
      </c>
      <c r="BL376" s="1" t="s">
        <v>1780</v>
      </c>
      <c r="BN376" s="1" t="s">
        <v>217</v>
      </c>
      <c r="BO376" s="1" t="s">
        <v>218</v>
      </c>
      <c r="BP376" s="1" t="s">
        <v>239</v>
      </c>
      <c r="BQ376" s="1" t="s">
        <v>220</v>
      </c>
      <c r="BT376" s="1">
        <v>1</v>
      </c>
    </row>
    <row r="377" spans="1:72">
      <c r="A377" s="1" t="s">
        <v>1781</v>
      </c>
      <c r="B377" s="1" t="s">
        <v>213</v>
      </c>
      <c r="C377" s="1">
        <v>1</v>
      </c>
      <c r="D377" s="1" t="s">
        <v>1782</v>
      </c>
      <c r="E377" s="1">
        <v>2006</v>
      </c>
      <c r="F377" s="1" t="str">
        <f t="shared" si="27"/>
        <v>enemy_2006_flsnip</v>
      </c>
      <c r="G377" s="1">
        <v>1</v>
      </c>
      <c r="K377" s="1">
        <v>40000</v>
      </c>
      <c r="M377" s="1">
        <v>1200</v>
      </c>
      <c r="O377" s="1">
        <v>550</v>
      </c>
      <c r="Q377" s="1">
        <v>40</v>
      </c>
      <c r="Y377" s="1">
        <v>0.05</v>
      </c>
      <c r="Z377" s="1">
        <v>5</v>
      </c>
      <c r="AA377" s="1">
        <v>5</v>
      </c>
      <c r="AB377" s="1">
        <v>0.4</v>
      </c>
      <c r="AG377" s="1">
        <v>0</v>
      </c>
      <c r="AH377" s="1">
        <v>1</v>
      </c>
      <c r="AI377" s="1" t="s">
        <v>1783</v>
      </c>
      <c r="AJ377" s="1" t="s">
        <v>216</v>
      </c>
      <c r="AK377" s="1" t="s">
        <v>238</v>
      </c>
      <c r="AM377" s="1">
        <v>1</v>
      </c>
      <c r="AV377" s="1">
        <v>1</v>
      </c>
      <c r="AX377" s="1">
        <v>0.25</v>
      </c>
      <c r="BE377" s="1" t="str">
        <f t="shared" si="28"/>
        <v>enemy_2006_flsnip</v>
      </c>
      <c r="BK377" s="1" t="s">
        <v>1351</v>
      </c>
      <c r="BL377" s="1" t="s">
        <v>1784</v>
      </c>
      <c r="BN377" s="1" t="s">
        <v>217</v>
      </c>
      <c r="BO377" s="1" t="s">
        <v>218</v>
      </c>
      <c r="BP377" s="1" t="s">
        <v>239</v>
      </c>
      <c r="BQ377" s="1" t="s">
        <v>220</v>
      </c>
      <c r="BT377" s="1">
        <v>1</v>
      </c>
    </row>
    <row r="378" spans="1:72">
      <c r="A378" s="1" t="s">
        <v>1785</v>
      </c>
      <c r="B378" s="1" t="s">
        <v>213</v>
      </c>
      <c r="C378" s="1">
        <v>1</v>
      </c>
      <c r="D378" s="1" t="s">
        <v>1786</v>
      </c>
      <c r="E378" s="1">
        <v>2007</v>
      </c>
      <c r="F378" s="1" t="str">
        <f t="shared" si="27"/>
        <v>enemy_2007_flwitch</v>
      </c>
      <c r="G378" s="1">
        <v>1</v>
      </c>
      <c r="K378" s="1">
        <v>27000</v>
      </c>
      <c r="M378" s="1">
        <v>350</v>
      </c>
      <c r="O378" s="1">
        <v>1500</v>
      </c>
      <c r="Q378" s="1">
        <v>80</v>
      </c>
      <c r="Y378" s="1">
        <v>0.05</v>
      </c>
      <c r="Z378" s="1">
        <v>4</v>
      </c>
      <c r="AA378" s="1">
        <v>5</v>
      </c>
      <c r="AB378" s="1">
        <v>0.5</v>
      </c>
      <c r="AG378" s="1">
        <v>0</v>
      </c>
      <c r="AH378" s="1">
        <v>1</v>
      </c>
      <c r="AI378" s="1" t="s">
        <v>1787</v>
      </c>
      <c r="AJ378" s="1" t="s">
        <v>216</v>
      </c>
      <c r="AK378" s="1" t="s">
        <v>238</v>
      </c>
      <c r="AM378" s="1">
        <v>1</v>
      </c>
      <c r="AV378" s="1">
        <v>1</v>
      </c>
      <c r="AX378" s="1">
        <v>0.25</v>
      </c>
      <c r="BE378" s="1" t="str">
        <f t="shared" si="28"/>
        <v>enemy_2007_flwitch</v>
      </c>
      <c r="BK378" s="1" t="s">
        <v>1351</v>
      </c>
      <c r="BL378" s="1" t="s">
        <v>1788</v>
      </c>
      <c r="BN378" s="1" t="s">
        <v>217</v>
      </c>
      <c r="BO378" s="1" t="s">
        <v>218</v>
      </c>
      <c r="BP378" s="1" t="s">
        <v>239</v>
      </c>
      <c r="BQ378" s="1" t="s">
        <v>220</v>
      </c>
      <c r="BT378" s="1">
        <v>1</v>
      </c>
    </row>
    <row r="379" spans="1:72">
      <c r="A379" s="1" t="s">
        <v>1789</v>
      </c>
      <c r="B379" s="1" t="s">
        <v>213</v>
      </c>
      <c r="C379" s="1">
        <v>1</v>
      </c>
      <c r="D379" s="1" t="s">
        <v>1790</v>
      </c>
      <c r="E379" s="1">
        <v>2008</v>
      </c>
      <c r="F379" s="1" t="str">
        <f t="shared" ref="F379:F442" si="29">"enemy_"&amp;E379&amp;"_"&amp;D379</f>
        <v>enemy_2008_flking</v>
      </c>
      <c r="G379" s="1">
        <v>1</v>
      </c>
      <c r="K379" s="1">
        <v>60000</v>
      </c>
      <c r="M379" s="1">
        <v>2000</v>
      </c>
      <c r="O379" s="1">
        <v>330</v>
      </c>
      <c r="Q379" s="1">
        <v>55</v>
      </c>
      <c r="Y379" s="1">
        <v>0.05</v>
      </c>
      <c r="Z379" s="1">
        <v>3.5</v>
      </c>
      <c r="AA379" s="1">
        <v>6</v>
      </c>
      <c r="AB379" s="1">
        <v>0.5</v>
      </c>
      <c r="AG379" s="1">
        <v>0</v>
      </c>
      <c r="AH379" s="1">
        <v>1</v>
      </c>
      <c r="AI379" s="1" t="s">
        <v>1791</v>
      </c>
      <c r="AJ379" s="1" t="s">
        <v>216</v>
      </c>
      <c r="AK379" s="1" t="s">
        <v>238</v>
      </c>
      <c r="AM379" s="1">
        <v>1</v>
      </c>
      <c r="AV379" s="1">
        <v>1</v>
      </c>
      <c r="AX379" s="1">
        <v>0.25</v>
      </c>
      <c r="BE379" s="1" t="str">
        <f t="shared" si="28"/>
        <v>enemy_2008_flking</v>
      </c>
      <c r="BK379" s="1" t="s">
        <v>1342</v>
      </c>
      <c r="BL379" s="1" t="s">
        <v>1792</v>
      </c>
      <c r="BN379" s="1" t="s">
        <v>217</v>
      </c>
      <c r="BO379" s="1" t="s">
        <v>218</v>
      </c>
      <c r="BP379" s="1" t="s">
        <v>239</v>
      </c>
      <c r="BQ379" s="1" t="s">
        <v>220</v>
      </c>
      <c r="BT379" s="1">
        <v>1</v>
      </c>
    </row>
    <row r="380" spans="1:72">
      <c r="A380" s="1" t="s">
        <v>1793</v>
      </c>
      <c r="B380" s="1" t="s">
        <v>213</v>
      </c>
      <c r="D380" s="1" t="s">
        <v>1794</v>
      </c>
      <c r="E380" s="1">
        <v>1099</v>
      </c>
      <c r="F380" s="1" t="str">
        <f t="shared" si="29"/>
        <v>enemy_1099_nbkght</v>
      </c>
      <c r="G380" s="1">
        <v>1</v>
      </c>
      <c r="K380" s="1">
        <v>2800</v>
      </c>
      <c r="M380" s="1">
        <v>280</v>
      </c>
      <c r="O380" s="1">
        <v>150</v>
      </c>
      <c r="Q380" s="1">
        <v>0</v>
      </c>
      <c r="Y380" s="1">
        <v>0.05</v>
      </c>
      <c r="Z380" s="1">
        <v>2</v>
      </c>
      <c r="AA380" s="1">
        <v>1</v>
      </c>
      <c r="AB380" s="1">
        <v>1.1</v>
      </c>
      <c r="AG380" s="1">
        <v>0</v>
      </c>
      <c r="AH380" s="1">
        <v>1</v>
      </c>
      <c r="AI380" s="1" t="s">
        <v>1795</v>
      </c>
      <c r="AJ380" s="1" t="s">
        <v>216</v>
      </c>
      <c r="AK380" s="1" t="s">
        <v>238</v>
      </c>
      <c r="AM380" s="1">
        <v>1</v>
      </c>
      <c r="AV380" s="1">
        <v>1</v>
      </c>
      <c r="AX380" s="1">
        <v>0.25</v>
      </c>
      <c r="BE380" s="1" t="str">
        <f t="shared" si="28"/>
        <v>enemy_1099_nbkght</v>
      </c>
      <c r="BK380" s="1" t="s">
        <v>953</v>
      </c>
      <c r="BL380" s="1" t="s">
        <v>1796</v>
      </c>
      <c r="BN380" s="1" t="s">
        <v>217</v>
      </c>
      <c r="BO380" s="1" t="s">
        <v>218</v>
      </c>
      <c r="BP380" s="1" t="s">
        <v>239</v>
      </c>
      <c r="BQ380" s="1" t="s">
        <v>220</v>
      </c>
      <c r="BT380" s="1">
        <v>1</v>
      </c>
    </row>
    <row r="381" spans="1:72">
      <c r="A381" s="1" t="s">
        <v>1797</v>
      </c>
      <c r="B381" s="1" t="s">
        <v>213</v>
      </c>
      <c r="D381" s="1" t="s">
        <v>1798</v>
      </c>
      <c r="E381" s="1">
        <v>1099</v>
      </c>
      <c r="F381" s="1" t="str">
        <f t="shared" si="29"/>
        <v>enemy_1099_nbkght_2</v>
      </c>
      <c r="G381" s="1">
        <v>1</v>
      </c>
      <c r="K381" s="1">
        <v>3800</v>
      </c>
      <c r="M381" s="1">
        <v>360</v>
      </c>
      <c r="O381" s="1">
        <v>150</v>
      </c>
      <c r="Q381" s="1">
        <v>0</v>
      </c>
      <c r="Y381" s="1">
        <v>0.05</v>
      </c>
      <c r="Z381" s="1">
        <v>2</v>
      </c>
      <c r="AA381" s="1">
        <v>1</v>
      </c>
      <c r="AB381" s="1">
        <v>1.1</v>
      </c>
      <c r="AG381" s="1">
        <v>0</v>
      </c>
      <c r="AH381" s="1">
        <v>1</v>
      </c>
      <c r="AI381" s="1" t="s">
        <v>1799</v>
      </c>
      <c r="AJ381" s="1" t="s">
        <v>216</v>
      </c>
      <c r="AK381" s="1" t="s">
        <v>238</v>
      </c>
      <c r="AM381" s="1">
        <v>1</v>
      </c>
      <c r="AV381" s="1">
        <v>1</v>
      </c>
      <c r="AX381" s="1">
        <v>0.25</v>
      </c>
      <c r="BE381" s="1" t="str">
        <f t="shared" si="28"/>
        <v>enemy_1099_nbkght_2</v>
      </c>
      <c r="BK381" s="1" t="s">
        <v>953</v>
      </c>
      <c r="BL381" s="1" t="s">
        <v>1800</v>
      </c>
      <c r="BN381" s="1" t="s">
        <v>217</v>
      </c>
      <c r="BO381" s="1" t="s">
        <v>218</v>
      </c>
      <c r="BP381" s="1" t="s">
        <v>239</v>
      </c>
      <c r="BQ381" s="1" t="s">
        <v>220</v>
      </c>
      <c r="BT381" s="1">
        <v>1</v>
      </c>
    </row>
    <row r="382" spans="1:72">
      <c r="A382" s="1" t="s">
        <v>1801</v>
      </c>
      <c r="B382" s="1" t="s">
        <v>213</v>
      </c>
      <c r="D382" s="1" t="s">
        <v>1802</v>
      </c>
      <c r="E382" s="1">
        <v>1100</v>
      </c>
      <c r="F382" s="1" t="str">
        <f t="shared" si="29"/>
        <v>enemy_1100_scorpn</v>
      </c>
      <c r="G382" s="1">
        <v>1</v>
      </c>
      <c r="K382" s="1">
        <v>2000</v>
      </c>
      <c r="M382" s="1">
        <v>380</v>
      </c>
      <c r="O382" s="1">
        <v>450</v>
      </c>
      <c r="Q382" s="1">
        <v>30</v>
      </c>
      <c r="Y382" s="1">
        <v>0.05</v>
      </c>
      <c r="Z382" s="1">
        <v>2.5</v>
      </c>
      <c r="AA382" s="1">
        <v>0</v>
      </c>
      <c r="AB382" s="1">
        <v>1</v>
      </c>
      <c r="AG382" s="1">
        <v>0</v>
      </c>
      <c r="AH382" s="1">
        <v>1</v>
      </c>
      <c r="AI382" s="1" t="s">
        <v>1803</v>
      </c>
      <c r="AJ382" s="1" t="s">
        <v>216</v>
      </c>
      <c r="AK382" s="1" t="s">
        <v>238</v>
      </c>
      <c r="AM382" s="1">
        <v>1</v>
      </c>
      <c r="AV382" s="1">
        <v>1</v>
      </c>
      <c r="AX382" s="1">
        <v>0.25</v>
      </c>
      <c r="BE382" s="1" t="str">
        <f t="shared" si="28"/>
        <v>enemy_1100_scorpn</v>
      </c>
      <c r="BK382" s="1" t="s">
        <v>911</v>
      </c>
      <c r="BL382" s="1" t="s">
        <v>1804</v>
      </c>
      <c r="BN382" s="1" t="s">
        <v>217</v>
      </c>
      <c r="BO382" s="1" t="s">
        <v>218</v>
      </c>
      <c r="BP382" s="1" t="s">
        <v>239</v>
      </c>
      <c r="BQ382" s="1" t="s">
        <v>220</v>
      </c>
      <c r="BT382" s="1">
        <v>1</v>
      </c>
    </row>
    <row r="383" spans="1:72">
      <c r="A383" s="1" t="s">
        <v>1805</v>
      </c>
      <c r="B383" s="1" t="s">
        <v>213</v>
      </c>
      <c r="D383" s="1" t="s">
        <v>1806</v>
      </c>
      <c r="E383" s="1">
        <v>1100</v>
      </c>
      <c r="F383" s="1" t="str">
        <f t="shared" si="29"/>
        <v>enemy_1100_scorpn_2</v>
      </c>
      <c r="G383" s="1">
        <v>1</v>
      </c>
      <c r="K383" s="1">
        <v>3000</v>
      </c>
      <c r="M383" s="1">
        <v>450</v>
      </c>
      <c r="O383" s="1">
        <v>700</v>
      </c>
      <c r="Q383" s="1">
        <v>50</v>
      </c>
      <c r="Y383" s="1">
        <v>0.05</v>
      </c>
      <c r="Z383" s="1">
        <v>2.5</v>
      </c>
      <c r="AA383" s="1">
        <v>0</v>
      </c>
      <c r="AB383" s="1">
        <v>1</v>
      </c>
      <c r="AG383" s="1">
        <v>0</v>
      </c>
      <c r="AH383" s="1">
        <v>1</v>
      </c>
      <c r="AI383" s="1" t="s">
        <v>1807</v>
      </c>
      <c r="AJ383" s="1" t="s">
        <v>216</v>
      </c>
      <c r="AK383" s="1" t="s">
        <v>238</v>
      </c>
      <c r="AM383" s="1">
        <v>1</v>
      </c>
      <c r="AV383" s="1">
        <v>1</v>
      </c>
      <c r="AX383" s="1">
        <v>0.25</v>
      </c>
      <c r="BE383" s="1" t="str">
        <f t="shared" si="28"/>
        <v>enemy_1100_scorpn_2</v>
      </c>
      <c r="BK383" s="1" t="s">
        <v>911</v>
      </c>
      <c r="BL383" s="1" t="s">
        <v>1804</v>
      </c>
      <c r="BN383" s="1" t="s">
        <v>217</v>
      </c>
      <c r="BO383" s="1" t="s">
        <v>218</v>
      </c>
      <c r="BP383" s="1" t="s">
        <v>239</v>
      </c>
      <c r="BQ383" s="1" t="s">
        <v>220</v>
      </c>
      <c r="BT383" s="1">
        <v>1</v>
      </c>
    </row>
    <row r="384" spans="1:72">
      <c r="A384" s="1" t="s">
        <v>1808</v>
      </c>
      <c r="B384" s="1" t="s">
        <v>213</v>
      </c>
      <c r="D384" s="1" t="s">
        <v>1809</v>
      </c>
      <c r="E384" s="1">
        <v>1101</v>
      </c>
      <c r="F384" s="1" t="str">
        <f t="shared" si="29"/>
        <v>enemy_1101_plkght</v>
      </c>
      <c r="G384" s="1">
        <v>1</v>
      </c>
      <c r="K384" s="1">
        <v>2800</v>
      </c>
      <c r="M384" s="1">
        <v>300</v>
      </c>
      <c r="O384" s="1">
        <v>100</v>
      </c>
      <c r="Q384" s="1">
        <v>0</v>
      </c>
      <c r="Y384" s="1">
        <v>0.05</v>
      </c>
      <c r="Z384" s="1">
        <v>2.4</v>
      </c>
      <c r="AA384" s="1">
        <v>1</v>
      </c>
      <c r="AB384" s="1">
        <v>0.9</v>
      </c>
      <c r="AG384" s="1">
        <v>0</v>
      </c>
      <c r="AH384" s="1">
        <v>1</v>
      </c>
      <c r="AI384" s="1" t="s">
        <v>1810</v>
      </c>
      <c r="AJ384" s="1" t="s">
        <v>216</v>
      </c>
      <c r="AK384" s="1" t="s">
        <v>1811</v>
      </c>
      <c r="AM384" s="1">
        <v>1</v>
      </c>
      <c r="AV384" s="1">
        <v>1</v>
      </c>
      <c r="AX384" s="1">
        <v>0.25</v>
      </c>
      <c r="BE384" s="1" t="str">
        <f t="shared" si="28"/>
        <v>enemy_1101_plkght</v>
      </c>
      <c r="BK384" s="1" t="s">
        <v>959</v>
      </c>
      <c r="BL384" s="1" t="s">
        <v>1812</v>
      </c>
      <c r="BN384" s="1" t="s">
        <v>217</v>
      </c>
      <c r="BO384" s="1" t="s">
        <v>218</v>
      </c>
      <c r="BP384" s="1" t="s">
        <v>239</v>
      </c>
      <c r="BQ384" s="1" t="s">
        <v>220</v>
      </c>
      <c r="BT384" s="1">
        <v>1</v>
      </c>
    </row>
    <row r="385" spans="1:72">
      <c r="A385" s="1" t="s">
        <v>1813</v>
      </c>
      <c r="B385" s="1" t="s">
        <v>213</v>
      </c>
      <c r="D385" s="1" t="s">
        <v>1814</v>
      </c>
      <c r="E385" s="1">
        <v>1101</v>
      </c>
      <c r="F385" s="1" t="str">
        <f t="shared" si="29"/>
        <v>enemy_1101_plkght_2</v>
      </c>
      <c r="G385" s="1">
        <v>1</v>
      </c>
      <c r="K385" s="1">
        <v>3800</v>
      </c>
      <c r="M385" s="1">
        <v>420</v>
      </c>
      <c r="O385" s="1">
        <v>100</v>
      </c>
      <c r="Q385" s="1">
        <v>0</v>
      </c>
      <c r="Y385" s="1">
        <v>0.05</v>
      </c>
      <c r="Z385" s="1">
        <v>2.4</v>
      </c>
      <c r="AA385" s="1">
        <v>1</v>
      </c>
      <c r="AB385" s="1">
        <v>0.9</v>
      </c>
      <c r="AG385" s="1">
        <v>0</v>
      </c>
      <c r="AH385" s="1">
        <v>1</v>
      </c>
      <c r="AI385" s="1" t="s">
        <v>1815</v>
      </c>
      <c r="AJ385" s="1" t="s">
        <v>216</v>
      </c>
      <c r="AK385" s="1" t="s">
        <v>1811</v>
      </c>
      <c r="AM385" s="1">
        <v>1</v>
      </c>
      <c r="AV385" s="1">
        <v>1</v>
      </c>
      <c r="AX385" s="1">
        <v>0.25</v>
      </c>
      <c r="BE385" s="1" t="str">
        <f t="shared" si="28"/>
        <v>enemy_1101_plkght_2</v>
      </c>
      <c r="BK385" s="1" t="s">
        <v>959</v>
      </c>
      <c r="BL385" s="1" t="s">
        <v>1812</v>
      </c>
      <c r="BN385" s="1" t="s">
        <v>217</v>
      </c>
      <c r="BO385" s="1" t="s">
        <v>218</v>
      </c>
      <c r="BP385" s="1" t="s">
        <v>239</v>
      </c>
      <c r="BQ385" s="1" t="s">
        <v>220</v>
      </c>
      <c r="BT385" s="1">
        <v>1</v>
      </c>
    </row>
    <row r="386" spans="1:72">
      <c r="A386" s="1" t="s">
        <v>1816</v>
      </c>
      <c r="B386" s="1" t="s">
        <v>213</v>
      </c>
      <c r="D386" s="1" t="s">
        <v>1817</v>
      </c>
      <c r="E386" s="1">
        <v>1101</v>
      </c>
      <c r="F386" s="1" t="str">
        <f t="shared" si="29"/>
        <v>enemy_1101_plkght_3</v>
      </c>
      <c r="G386" s="1">
        <v>1</v>
      </c>
      <c r="K386" s="1">
        <v>3800</v>
      </c>
      <c r="M386" s="1">
        <v>600</v>
      </c>
      <c r="O386" s="1">
        <v>100</v>
      </c>
      <c r="Q386" s="1">
        <v>0</v>
      </c>
      <c r="Y386" s="1">
        <v>0.05</v>
      </c>
      <c r="Z386" s="1">
        <v>2.4</v>
      </c>
      <c r="AA386" s="1">
        <v>1</v>
      </c>
      <c r="AB386" s="1">
        <v>0.9</v>
      </c>
      <c r="AG386" s="1">
        <v>0</v>
      </c>
      <c r="AH386" s="1">
        <v>1</v>
      </c>
      <c r="AI386" s="1" t="s">
        <v>1818</v>
      </c>
      <c r="AJ386" s="1" t="s">
        <v>216</v>
      </c>
      <c r="AK386" s="1" t="s">
        <v>1819</v>
      </c>
      <c r="AM386" s="1">
        <v>1</v>
      </c>
      <c r="AV386" s="1">
        <v>1</v>
      </c>
      <c r="AX386" s="1">
        <v>0.25</v>
      </c>
      <c r="BE386" s="1" t="str">
        <f t="shared" si="28"/>
        <v>enemy_1101_plkght_3</v>
      </c>
      <c r="BK386" s="1" t="s">
        <v>980</v>
      </c>
      <c r="BL386" s="1" t="s">
        <v>1812</v>
      </c>
      <c r="BN386" s="1" t="s">
        <v>217</v>
      </c>
      <c r="BO386" s="1" t="s">
        <v>218</v>
      </c>
      <c r="BP386" s="1" t="s">
        <v>239</v>
      </c>
      <c r="BQ386" s="1" t="s">
        <v>220</v>
      </c>
      <c r="BT386" s="1">
        <v>1</v>
      </c>
    </row>
    <row r="387" spans="1:72">
      <c r="A387" s="1" t="s">
        <v>1820</v>
      </c>
      <c r="B387" s="1" t="s">
        <v>213</v>
      </c>
      <c r="D387" s="1" t="s">
        <v>1821</v>
      </c>
      <c r="E387" s="1">
        <v>1102</v>
      </c>
      <c r="F387" s="1" t="str">
        <f t="shared" si="29"/>
        <v>enemy_1102_sdkght</v>
      </c>
      <c r="G387" s="1">
        <v>1</v>
      </c>
      <c r="K387" s="1">
        <v>8000</v>
      </c>
      <c r="M387" s="1">
        <v>700</v>
      </c>
      <c r="O387" s="1">
        <v>1000</v>
      </c>
      <c r="Q387" s="1">
        <v>0</v>
      </c>
      <c r="Y387" s="1">
        <v>0.05</v>
      </c>
      <c r="Z387" s="1">
        <v>3</v>
      </c>
      <c r="AA387" s="1">
        <v>4</v>
      </c>
      <c r="AB387" s="1">
        <v>0.7</v>
      </c>
      <c r="AG387" s="1">
        <v>0</v>
      </c>
      <c r="AH387" s="1">
        <v>1</v>
      </c>
      <c r="AI387" s="1" t="s">
        <v>1822</v>
      </c>
      <c r="AJ387" s="1" t="s">
        <v>216</v>
      </c>
      <c r="AK387" s="1" t="s">
        <v>238</v>
      </c>
      <c r="AM387" s="1">
        <v>1</v>
      </c>
      <c r="AV387" s="1">
        <v>1</v>
      </c>
      <c r="AX387" s="1">
        <v>0.25</v>
      </c>
      <c r="BE387" s="1" t="str">
        <f t="shared" si="28"/>
        <v>enemy_1102_sdkght</v>
      </c>
      <c r="BK387" s="1" t="s">
        <v>1012</v>
      </c>
      <c r="BL387" s="1" t="s">
        <v>1823</v>
      </c>
      <c r="BN387" s="1" t="s">
        <v>217</v>
      </c>
      <c r="BO387" s="1" t="s">
        <v>218</v>
      </c>
      <c r="BP387" s="1" t="s">
        <v>239</v>
      </c>
      <c r="BQ387" s="1" t="s">
        <v>220</v>
      </c>
      <c r="BT387" s="1">
        <v>1</v>
      </c>
    </row>
    <row r="388" spans="1:72">
      <c r="A388" s="1" t="s">
        <v>1824</v>
      </c>
      <c r="B388" s="1" t="s">
        <v>213</v>
      </c>
      <c r="D388" s="1" t="s">
        <v>1825</v>
      </c>
      <c r="E388" s="1">
        <v>1102</v>
      </c>
      <c r="F388" s="1" t="str">
        <f t="shared" si="29"/>
        <v>enemy_1102_sdkght_2</v>
      </c>
      <c r="G388" s="1">
        <v>1</v>
      </c>
      <c r="K388" s="1">
        <v>12000</v>
      </c>
      <c r="M388" s="1">
        <v>700</v>
      </c>
      <c r="O388" s="1">
        <v>1300</v>
      </c>
      <c r="Q388" s="1">
        <v>0</v>
      </c>
      <c r="Y388" s="1">
        <v>0.05</v>
      </c>
      <c r="Z388" s="1">
        <v>3</v>
      </c>
      <c r="AA388" s="1">
        <v>4</v>
      </c>
      <c r="AB388" s="1">
        <v>0.7</v>
      </c>
      <c r="AG388" s="1">
        <v>0</v>
      </c>
      <c r="AH388" s="1">
        <v>1</v>
      </c>
      <c r="AI388" s="1" t="s">
        <v>1826</v>
      </c>
      <c r="AJ388" s="1" t="s">
        <v>216</v>
      </c>
      <c r="AK388" s="1" t="s">
        <v>238</v>
      </c>
      <c r="AM388" s="1">
        <v>1</v>
      </c>
      <c r="AV388" s="1">
        <v>1</v>
      </c>
      <c r="AX388" s="1">
        <v>0.25</v>
      </c>
      <c r="BE388" s="1" t="str">
        <f t="shared" si="28"/>
        <v>enemy_1102_sdkght_2</v>
      </c>
      <c r="BK388" s="1" t="s">
        <v>1012</v>
      </c>
      <c r="BL388" s="1" t="s">
        <v>1827</v>
      </c>
      <c r="BN388" s="1" t="s">
        <v>217</v>
      </c>
      <c r="BO388" s="1" t="s">
        <v>218</v>
      </c>
      <c r="BP388" s="1" t="s">
        <v>239</v>
      </c>
      <c r="BQ388" s="1" t="s">
        <v>220</v>
      </c>
      <c r="BT388" s="1">
        <v>1</v>
      </c>
    </row>
    <row r="389" spans="1:72">
      <c r="A389" s="1" t="s">
        <v>1828</v>
      </c>
      <c r="B389" s="1" t="s">
        <v>213</v>
      </c>
      <c r="D389" s="1" t="s">
        <v>1829</v>
      </c>
      <c r="E389" s="1">
        <v>1103</v>
      </c>
      <c r="F389" s="1" t="str">
        <f t="shared" si="29"/>
        <v>enemy_1103_wdkght</v>
      </c>
      <c r="G389" s="1">
        <v>1</v>
      </c>
      <c r="K389" s="1">
        <v>9000</v>
      </c>
      <c r="M389" s="1">
        <v>500</v>
      </c>
      <c r="O389" s="1">
        <v>800</v>
      </c>
      <c r="Q389" s="1">
        <v>0</v>
      </c>
      <c r="Y389" s="1">
        <v>0.05</v>
      </c>
      <c r="Z389" s="1">
        <v>2.3</v>
      </c>
      <c r="AA389" s="1">
        <v>3</v>
      </c>
      <c r="AB389" s="1">
        <v>0.7</v>
      </c>
      <c r="AG389" s="1">
        <v>0</v>
      </c>
      <c r="AH389" s="1">
        <v>1</v>
      </c>
      <c r="AI389" s="1" t="s">
        <v>1830</v>
      </c>
      <c r="AJ389" s="1" t="s">
        <v>216</v>
      </c>
      <c r="AK389" s="1" t="s">
        <v>1831</v>
      </c>
      <c r="AM389" s="1">
        <v>1</v>
      </c>
      <c r="AV389" s="1">
        <v>1</v>
      </c>
      <c r="AX389" s="1">
        <v>0.25</v>
      </c>
      <c r="BE389" s="1" t="str">
        <f t="shared" si="28"/>
        <v>enemy_1103_wdkght</v>
      </c>
      <c r="BK389" s="1" t="s">
        <v>1012</v>
      </c>
      <c r="BL389" s="1" t="s">
        <v>1832</v>
      </c>
      <c r="BN389" s="1" t="s">
        <v>217</v>
      </c>
      <c r="BO389" s="1" t="s">
        <v>218</v>
      </c>
      <c r="BP389" s="1" t="s">
        <v>239</v>
      </c>
      <c r="BQ389" s="1" t="s">
        <v>220</v>
      </c>
      <c r="BT389" s="1">
        <v>1</v>
      </c>
    </row>
    <row r="390" spans="1:72">
      <c r="A390" s="1" t="s">
        <v>1833</v>
      </c>
      <c r="B390" s="1" t="s">
        <v>213</v>
      </c>
      <c r="D390" s="1" t="s">
        <v>1834</v>
      </c>
      <c r="E390" s="1">
        <v>1103</v>
      </c>
      <c r="F390" s="1" t="str">
        <f t="shared" si="29"/>
        <v>enemy_1103_wdkght_2</v>
      </c>
      <c r="G390" s="1">
        <v>1</v>
      </c>
      <c r="K390" s="1">
        <v>13000</v>
      </c>
      <c r="M390" s="1">
        <v>650</v>
      </c>
      <c r="O390" s="1">
        <v>800</v>
      </c>
      <c r="Q390" s="1">
        <v>0</v>
      </c>
      <c r="Y390" s="1">
        <v>0.05</v>
      </c>
      <c r="Z390" s="1">
        <v>2.3</v>
      </c>
      <c r="AA390" s="1">
        <v>3</v>
      </c>
      <c r="AB390" s="1">
        <v>0.7</v>
      </c>
      <c r="AG390" s="1">
        <v>0</v>
      </c>
      <c r="AH390" s="1">
        <v>1</v>
      </c>
      <c r="AI390" s="1" t="s">
        <v>1835</v>
      </c>
      <c r="AJ390" s="1" t="s">
        <v>216</v>
      </c>
      <c r="AK390" s="1" t="s">
        <v>1831</v>
      </c>
      <c r="AM390" s="1">
        <v>1</v>
      </c>
      <c r="AV390" s="1">
        <v>1</v>
      </c>
      <c r="AX390" s="1">
        <v>0.25</v>
      </c>
      <c r="BE390" s="1" t="str">
        <f t="shared" si="28"/>
        <v>enemy_1103_wdkght_2</v>
      </c>
      <c r="BK390" s="1" t="s">
        <v>1012</v>
      </c>
      <c r="BL390" s="1" t="s">
        <v>1832</v>
      </c>
      <c r="BN390" s="1" t="s">
        <v>217</v>
      </c>
      <c r="BO390" s="1" t="s">
        <v>218</v>
      </c>
      <c r="BP390" s="1" t="s">
        <v>239</v>
      </c>
      <c r="BQ390" s="1" t="s">
        <v>220</v>
      </c>
      <c r="BT390" s="1">
        <v>1</v>
      </c>
    </row>
    <row r="391" spans="1:72">
      <c r="A391" s="1" t="s">
        <v>1836</v>
      </c>
      <c r="B391" s="1" t="s">
        <v>213</v>
      </c>
      <c r="D391" s="1" t="s">
        <v>1837</v>
      </c>
      <c r="E391" s="1">
        <v>1103</v>
      </c>
      <c r="F391" s="1" t="str">
        <f t="shared" si="29"/>
        <v>enemy_1103_wdkght_3</v>
      </c>
      <c r="G391" s="1">
        <v>1</v>
      </c>
      <c r="K391" s="1">
        <v>15000</v>
      </c>
      <c r="M391" s="1">
        <v>700</v>
      </c>
      <c r="O391" s="1">
        <v>800</v>
      </c>
      <c r="Q391" s="1">
        <v>0</v>
      </c>
      <c r="Y391" s="1">
        <v>0.05</v>
      </c>
      <c r="Z391" s="1">
        <v>2.3</v>
      </c>
      <c r="AA391" s="1">
        <v>3</v>
      </c>
      <c r="AB391" s="1">
        <v>0.7</v>
      </c>
      <c r="AG391" s="1">
        <v>0</v>
      </c>
      <c r="AH391" s="1">
        <v>1</v>
      </c>
      <c r="AI391" s="1" t="s">
        <v>1838</v>
      </c>
      <c r="AJ391" s="1" t="s">
        <v>216</v>
      </c>
      <c r="AK391" s="1" t="s">
        <v>1831</v>
      </c>
      <c r="AM391" s="1">
        <v>1</v>
      </c>
      <c r="AV391" s="1">
        <v>1</v>
      </c>
      <c r="AX391" s="1">
        <v>0.25</v>
      </c>
      <c r="BE391" s="1" t="str">
        <f t="shared" si="28"/>
        <v>enemy_1103_wdkght_3</v>
      </c>
      <c r="BK391" s="1" t="s">
        <v>1012</v>
      </c>
      <c r="BL391" s="1" t="s">
        <v>1832</v>
      </c>
      <c r="BN391" s="1" t="s">
        <v>217</v>
      </c>
      <c r="BO391" s="1" t="s">
        <v>218</v>
      </c>
      <c r="BP391" s="1" t="s">
        <v>239</v>
      </c>
      <c r="BQ391" s="1" t="s">
        <v>220</v>
      </c>
      <c r="BT391" s="1">
        <v>1</v>
      </c>
    </row>
    <row r="392" spans="1:72">
      <c r="A392" s="1" t="s">
        <v>1839</v>
      </c>
      <c r="B392" s="1" t="s">
        <v>213</v>
      </c>
      <c r="D392" s="1" t="s">
        <v>1840</v>
      </c>
      <c r="E392" s="1">
        <v>1104</v>
      </c>
      <c r="F392" s="1" t="str">
        <f t="shared" si="29"/>
        <v>enemy_1104_lfkght</v>
      </c>
      <c r="G392" s="1">
        <v>1</v>
      </c>
      <c r="K392" s="1">
        <v>10000</v>
      </c>
      <c r="M392" s="1">
        <v>550</v>
      </c>
      <c r="O392" s="1">
        <v>700</v>
      </c>
      <c r="Q392" s="1">
        <v>50</v>
      </c>
      <c r="Y392" s="1">
        <v>0.05</v>
      </c>
      <c r="Z392" s="1">
        <v>2.5</v>
      </c>
      <c r="AA392" s="1">
        <v>3</v>
      </c>
      <c r="AB392" s="1">
        <v>0.75</v>
      </c>
      <c r="AG392" s="1">
        <v>0</v>
      </c>
      <c r="AH392" s="1">
        <v>1</v>
      </c>
      <c r="AI392" s="1" t="s">
        <v>1841</v>
      </c>
      <c r="AJ392" s="1" t="s">
        <v>216</v>
      </c>
      <c r="AK392" s="1" t="s">
        <v>1842</v>
      </c>
      <c r="AM392" s="1">
        <v>1</v>
      </c>
      <c r="AV392" s="1">
        <v>1</v>
      </c>
      <c r="AX392" s="1">
        <v>0.25</v>
      </c>
      <c r="BE392" s="1" t="str">
        <f t="shared" si="28"/>
        <v>enemy_1104_lfkght</v>
      </c>
      <c r="BK392" s="1" t="s">
        <v>980</v>
      </c>
      <c r="BL392" s="1" t="s">
        <v>1843</v>
      </c>
      <c r="BN392" s="1" t="s">
        <v>217</v>
      </c>
      <c r="BO392" s="1" t="s">
        <v>218</v>
      </c>
      <c r="BP392" s="1" t="s">
        <v>239</v>
      </c>
      <c r="BQ392" s="1" t="s">
        <v>220</v>
      </c>
      <c r="BT392" s="1">
        <v>1</v>
      </c>
    </row>
    <row r="393" spans="1:72">
      <c r="A393" s="1" t="s">
        <v>1844</v>
      </c>
      <c r="B393" s="1" t="s">
        <v>213</v>
      </c>
      <c r="D393" s="1" t="s">
        <v>1845</v>
      </c>
      <c r="E393" s="1">
        <v>1104</v>
      </c>
      <c r="F393" s="1" t="str">
        <f t="shared" si="29"/>
        <v>enemy_1104_lfkght_2</v>
      </c>
      <c r="G393" s="1">
        <v>1</v>
      </c>
      <c r="K393" s="1">
        <v>13000</v>
      </c>
      <c r="M393" s="1">
        <v>650</v>
      </c>
      <c r="O393" s="1">
        <v>700</v>
      </c>
      <c r="Q393" s="1">
        <v>50</v>
      </c>
      <c r="Y393" s="1">
        <v>0.05</v>
      </c>
      <c r="Z393" s="1">
        <v>2.5</v>
      </c>
      <c r="AA393" s="1">
        <v>3</v>
      </c>
      <c r="AB393" s="1">
        <v>0.75</v>
      </c>
      <c r="AG393" s="1">
        <v>0</v>
      </c>
      <c r="AH393" s="1">
        <v>1</v>
      </c>
      <c r="AI393" s="1" t="s">
        <v>1846</v>
      </c>
      <c r="AJ393" s="1" t="s">
        <v>216</v>
      </c>
      <c r="AK393" s="1" t="s">
        <v>1847</v>
      </c>
      <c r="AM393" s="1">
        <v>1</v>
      </c>
      <c r="AV393" s="1">
        <v>1</v>
      </c>
      <c r="AX393" s="1">
        <v>0.25</v>
      </c>
      <c r="BE393" s="1" t="str">
        <f t="shared" si="28"/>
        <v>enemy_1104_lfkght_2</v>
      </c>
      <c r="BK393" s="1" t="s">
        <v>980</v>
      </c>
      <c r="BL393" s="1" t="s">
        <v>1843</v>
      </c>
      <c r="BN393" s="1" t="s">
        <v>217</v>
      </c>
      <c r="BO393" s="1" t="s">
        <v>218</v>
      </c>
      <c r="BP393" s="1" t="s">
        <v>239</v>
      </c>
      <c r="BQ393" s="1" t="s">
        <v>220</v>
      </c>
      <c r="BT393" s="1">
        <v>1</v>
      </c>
    </row>
    <row r="394" spans="1:72">
      <c r="A394" s="1" t="s">
        <v>1848</v>
      </c>
      <c r="B394" s="1" t="s">
        <v>213</v>
      </c>
      <c r="D394" s="1" t="s">
        <v>1849</v>
      </c>
      <c r="E394" s="1">
        <v>1104</v>
      </c>
      <c r="F394" s="1" t="str">
        <f t="shared" si="29"/>
        <v>enemy_1104_lfkght_3</v>
      </c>
      <c r="G394" s="1">
        <v>1</v>
      </c>
      <c r="K394" s="1">
        <v>20000</v>
      </c>
      <c r="M394" s="1">
        <v>750</v>
      </c>
      <c r="O394" s="1">
        <v>700</v>
      </c>
      <c r="Q394" s="1">
        <v>50</v>
      </c>
      <c r="Y394" s="1">
        <v>0.05</v>
      </c>
      <c r="Z394" s="1">
        <v>2.5</v>
      </c>
      <c r="AA394" s="1">
        <v>3</v>
      </c>
      <c r="AB394" s="1">
        <v>0.75</v>
      </c>
      <c r="AG394" s="1">
        <v>0</v>
      </c>
      <c r="AH394" s="1">
        <v>1</v>
      </c>
      <c r="AI394" s="1" t="s">
        <v>1850</v>
      </c>
      <c r="AJ394" s="1" t="s">
        <v>216</v>
      </c>
      <c r="AK394" s="1" t="s">
        <v>1851</v>
      </c>
      <c r="AM394" s="1">
        <v>1</v>
      </c>
      <c r="AV394" s="1">
        <v>1</v>
      </c>
      <c r="AX394" s="1">
        <v>0.25</v>
      </c>
      <c r="BE394" s="1" t="str">
        <f t="shared" si="28"/>
        <v>enemy_1104_lfkght_3</v>
      </c>
      <c r="BK394" s="1" t="s">
        <v>980</v>
      </c>
      <c r="BL394" s="1" t="s">
        <v>1843</v>
      </c>
      <c r="BN394" s="1" t="s">
        <v>217</v>
      </c>
      <c r="BO394" s="1" t="s">
        <v>218</v>
      </c>
      <c r="BP394" s="1" t="s">
        <v>239</v>
      </c>
      <c r="BQ394" s="1" t="s">
        <v>220</v>
      </c>
      <c r="BT394" s="1">
        <v>1</v>
      </c>
    </row>
    <row r="395" spans="1:72">
      <c r="A395" s="1" t="s">
        <v>1852</v>
      </c>
      <c r="B395" s="1" t="s">
        <v>213</v>
      </c>
      <c r="C395" s="1">
        <v>1</v>
      </c>
      <c r="D395" s="1" t="s">
        <v>1853</v>
      </c>
      <c r="E395" s="1">
        <v>1105</v>
      </c>
      <c r="F395" s="1" t="str">
        <f t="shared" si="29"/>
        <v>enemy_1105_tyokai</v>
      </c>
      <c r="G395" s="1">
        <v>1</v>
      </c>
      <c r="K395" s="1">
        <v>5000</v>
      </c>
      <c r="M395" s="1">
        <v>0</v>
      </c>
      <c r="O395" s="1">
        <v>150</v>
      </c>
      <c r="Q395" s="1">
        <v>20</v>
      </c>
      <c r="Y395" s="1">
        <v>0.05</v>
      </c>
      <c r="Z395" s="1">
        <v>1</v>
      </c>
      <c r="AA395" s="1">
        <v>0</v>
      </c>
      <c r="AB395" s="1">
        <v>1</v>
      </c>
      <c r="AG395" s="1">
        <v>0</v>
      </c>
      <c r="AH395" s="1">
        <v>1</v>
      </c>
      <c r="AI395" s="1" t="s">
        <v>1854</v>
      </c>
      <c r="AJ395" s="1" t="s">
        <v>216</v>
      </c>
      <c r="AK395" s="1" t="s">
        <v>238</v>
      </c>
      <c r="AM395" s="1">
        <v>1</v>
      </c>
      <c r="AV395" s="1">
        <v>1</v>
      </c>
      <c r="AX395" s="1">
        <v>0.25</v>
      </c>
      <c r="BE395" s="1" t="str">
        <f t="shared" si="28"/>
        <v>enemy_1105_tyokai</v>
      </c>
      <c r="BK395" s="1" t="s">
        <v>1045</v>
      </c>
      <c r="BL395" s="1" t="s">
        <v>1855</v>
      </c>
      <c r="BN395" s="1" t="s">
        <v>217</v>
      </c>
      <c r="BO395" s="1" t="s">
        <v>218</v>
      </c>
      <c r="BP395" s="1" t="s">
        <v>239</v>
      </c>
      <c r="BQ395" s="1" t="s">
        <v>220</v>
      </c>
      <c r="BT395" s="1">
        <v>1</v>
      </c>
    </row>
    <row r="396" spans="1:72">
      <c r="A396" s="1" t="s">
        <v>1856</v>
      </c>
      <c r="B396" s="1" t="s">
        <v>213</v>
      </c>
      <c r="C396" s="1">
        <v>1</v>
      </c>
      <c r="D396" s="1" t="s">
        <v>1857</v>
      </c>
      <c r="E396" s="1">
        <v>1105</v>
      </c>
      <c r="F396" s="1" t="str">
        <f t="shared" si="29"/>
        <v>enemy_1105_tyokai_2</v>
      </c>
      <c r="G396" s="1">
        <v>1</v>
      </c>
      <c r="K396" s="1">
        <v>10000</v>
      </c>
      <c r="M396" s="1">
        <v>0</v>
      </c>
      <c r="O396" s="1">
        <v>300</v>
      </c>
      <c r="Q396" s="1">
        <v>40</v>
      </c>
      <c r="Y396" s="1">
        <v>0.05</v>
      </c>
      <c r="Z396" s="1">
        <v>1</v>
      </c>
      <c r="AA396" s="1">
        <v>1</v>
      </c>
      <c r="AB396" s="1">
        <v>0.5</v>
      </c>
      <c r="AG396" s="1">
        <v>0</v>
      </c>
      <c r="AH396" s="1">
        <v>1</v>
      </c>
      <c r="AI396" s="1" t="s">
        <v>1858</v>
      </c>
      <c r="AJ396" s="1" t="s">
        <v>216</v>
      </c>
      <c r="AK396" s="1" t="s">
        <v>238</v>
      </c>
      <c r="AM396" s="1">
        <v>1</v>
      </c>
      <c r="AV396" s="1">
        <v>1</v>
      </c>
      <c r="AX396" s="1">
        <v>0.25</v>
      </c>
      <c r="BE396" s="1" t="str">
        <f t="shared" si="28"/>
        <v>enemy_1105_tyokai_2</v>
      </c>
      <c r="BK396" s="1" t="s">
        <v>1045</v>
      </c>
      <c r="BL396" s="1" t="s">
        <v>1859</v>
      </c>
      <c r="BN396" s="1" t="s">
        <v>217</v>
      </c>
      <c r="BO396" s="1" t="s">
        <v>218</v>
      </c>
      <c r="BP396" s="1" t="s">
        <v>239</v>
      </c>
      <c r="BQ396" s="1" t="s">
        <v>220</v>
      </c>
      <c r="BT396" s="1">
        <v>1</v>
      </c>
    </row>
    <row r="397" spans="1:72">
      <c r="A397" s="1" t="s">
        <v>1860</v>
      </c>
      <c r="B397" s="1" t="s">
        <v>213</v>
      </c>
      <c r="C397" s="1">
        <v>1</v>
      </c>
      <c r="D397" s="1" t="s">
        <v>1861</v>
      </c>
      <c r="E397" s="1">
        <v>1106</v>
      </c>
      <c r="F397" s="1" t="str">
        <f t="shared" si="29"/>
        <v>enemy_1106_byokai</v>
      </c>
      <c r="G397" s="1">
        <v>1</v>
      </c>
      <c r="K397" s="1">
        <v>5000</v>
      </c>
      <c r="M397" s="1">
        <v>0</v>
      </c>
      <c r="O397" s="1">
        <v>150</v>
      </c>
      <c r="Q397" s="1">
        <v>20</v>
      </c>
      <c r="Y397" s="1">
        <v>0.05</v>
      </c>
      <c r="Z397" s="1">
        <v>1</v>
      </c>
      <c r="AA397" s="1">
        <v>0</v>
      </c>
      <c r="AB397" s="1">
        <v>1</v>
      </c>
      <c r="AG397" s="1">
        <v>0</v>
      </c>
      <c r="AH397" s="1">
        <v>1</v>
      </c>
      <c r="AI397" s="1" t="s">
        <v>1862</v>
      </c>
      <c r="AJ397" s="1" t="s">
        <v>216</v>
      </c>
      <c r="AK397" s="1" t="s">
        <v>238</v>
      </c>
      <c r="AM397" s="1">
        <v>1</v>
      </c>
      <c r="AV397" s="1">
        <v>1</v>
      </c>
      <c r="AX397" s="1">
        <v>0.25</v>
      </c>
      <c r="BE397" s="1" t="str">
        <f t="shared" si="28"/>
        <v>enemy_1106_byokai</v>
      </c>
      <c r="BK397" s="1" t="s">
        <v>1045</v>
      </c>
      <c r="BL397" s="1" t="s">
        <v>1863</v>
      </c>
      <c r="BN397" s="1" t="s">
        <v>217</v>
      </c>
      <c r="BO397" s="1" t="s">
        <v>218</v>
      </c>
      <c r="BP397" s="1" t="s">
        <v>239</v>
      </c>
      <c r="BQ397" s="1" t="s">
        <v>220</v>
      </c>
      <c r="BT397" s="1">
        <v>1</v>
      </c>
    </row>
    <row r="398" spans="1:72">
      <c r="A398" s="1" t="s">
        <v>1864</v>
      </c>
      <c r="B398" s="1" t="s">
        <v>213</v>
      </c>
      <c r="C398" s="1">
        <v>1</v>
      </c>
      <c r="D398" s="1" t="s">
        <v>1865</v>
      </c>
      <c r="E398" s="1">
        <v>1513</v>
      </c>
      <c r="F398" s="1" t="str">
        <f t="shared" si="29"/>
        <v>enemy_1513_dekght</v>
      </c>
      <c r="G398" s="1">
        <v>1</v>
      </c>
      <c r="K398" s="1">
        <v>40000</v>
      </c>
      <c r="M398" s="1">
        <v>1200</v>
      </c>
      <c r="O398" s="1">
        <v>1200</v>
      </c>
      <c r="Q398" s="1">
        <v>30</v>
      </c>
      <c r="Y398" s="1">
        <v>0.05</v>
      </c>
      <c r="Z398" s="1">
        <v>4</v>
      </c>
      <c r="AA398" s="1">
        <v>6</v>
      </c>
      <c r="AB398" s="1">
        <v>0.65</v>
      </c>
      <c r="AG398" s="1">
        <v>0</v>
      </c>
      <c r="AH398" s="1">
        <v>1</v>
      </c>
      <c r="AI398" s="1" t="s">
        <v>1866</v>
      </c>
      <c r="AJ398" s="1" t="s">
        <v>216</v>
      </c>
      <c r="AK398" s="1" t="s">
        <v>238</v>
      </c>
      <c r="AM398" s="1">
        <v>1</v>
      </c>
      <c r="AV398" s="1">
        <v>1</v>
      </c>
      <c r="AX398" s="1">
        <v>0.25</v>
      </c>
      <c r="BE398" s="1" t="str">
        <f t="shared" si="28"/>
        <v>enemy_1513_dekght</v>
      </c>
      <c r="BK398" s="1" t="s">
        <v>1697</v>
      </c>
      <c r="BL398" s="1" t="s">
        <v>1867</v>
      </c>
      <c r="BN398" s="1" t="s">
        <v>217</v>
      </c>
      <c r="BO398" s="1" t="s">
        <v>218</v>
      </c>
      <c r="BP398" s="1" t="s">
        <v>239</v>
      </c>
      <c r="BQ398" s="1" t="s">
        <v>220</v>
      </c>
      <c r="BT398" s="1">
        <v>1</v>
      </c>
    </row>
    <row r="399" spans="1:72">
      <c r="A399" s="1" t="s">
        <v>1868</v>
      </c>
      <c r="B399" s="1" t="s">
        <v>213</v>
      </c>
      <c r="C399" s="1">
        <v>1</v>
      </c>
      <c r="D399" s="1" t="s">
        <v>1869</v>
      </c>
      <c r="E399" s="1">
        <v>1513</v>
      </c>
      <c r="F399" s="1" t="str">
        <f t="shared" si="29"/>
        <v>enemy_1513_dekght_2</v>
      </c>
      <c r="G399" s="1">
        <v>1</v>
      </c>
      <c r="K399" s="1">
        <v>40000</v>
      </c>
      <c r="M399" s="1">
        <v>500</v>
      </c>
      <c r="O399" s="1">
        <v>600</v>
      </c>
      <c r="Q399" s="1">
        <v>70</v>
      </c>
      <c r="Y399" s="1">
        <v>0.05</v>
      </c>
      <c r="Z399" s="1">
        <v>4</v>
      </c>
      <c r="AA399" s="1">
        <v>6</v>
      </c>
      <c r="AB399" s="1">
        <v>0.65</v>
      </c>
      <c r="AG399" s="1">
        <v>0</v>
      </c>
      <c r="AH399" s="1">
        <v>1</v>
      </c>
      <c r="AI399" s="1" t="s">
        <v>1870</v>
      </c>
      <c r="AJ399" s="1" t="s">
        <v>216</v>
      </c>
      <c r="AK399" s="1" t="s">
        <v>238</v>
      </c>
      <c r="AM399" s="1">
        <v>1</v>
      </c>
      <c r="AV399" s="1">
        <v>1</v>
      </c>
      <c r="AX399" s="1">
        <v>0.25</v>
      </c>
      <c r="BE399" s="1" t="str">
        <f t="shared" si="28"/>
        <v>enemy_1513_dekght_2</v>
      </c>
      <c r="BK399" s="1" t="s">
        <v>1114</v>
      </c>
      <c r="BL399" s="1" t="s">
        <v>1871</v>
      </c>
      <c r="BN399" s="1" t="s">
        <v>217</v>
      </c>
      <c r="BO399" s="1" t="s">
        <v>218</v>
      </c>
      <c r="BP399" s="1" t="s">
        <v>239</v>
      </c>
      <c r="BQ399" s="1" t="s">
        <v>220</v>
      </c>
      <c r="BT399" s="1">
        <v>1</v>
      </c>
    </row>
    <row r="400" spans="1:72">
      <c r="A400" s="1" t="s">
        <v>1872</v>
      </c>
      <c r="B400" s="1" t="s">
        <v>213</v>
      </c>
      <c r="D400" s="1" t="s">
        <v>1873</v>
      </c>
      <c r="E400" s="1">
        <v>1107</v>
      </c>
      <c r="F400" s="1" t="str">
        <f t="shared" si="29"/>
        <v>enemy_1107_uoffcr</v>
      </c>
      <c r="G400" s="1">
        <v>1</v>
      </c>
      <c r="K400" s="1">
        <v>3300</v>
      </c>
      <c r="M400" s="1">
        <v>330</v>
      </c>
      <c r="O400" s="1">
        <v>150</v>
      </c>
      <c r="Q400" s="1">
        <v>20</v>
      </c>
      <c r="Y400" s="1">
        <v>0.05</v>
      </c>
      <c r="Z400" s="1">
        <v>2</v>
      </c>
      <c r="AA400" s="1">
        <v>1</v>
      </c>
      <c r="AB400" s="1">
        <v>1.1</v>
      </c>
      <c r="AG400" s="1">
        <v>0</v>
      </c>
      <c r="AH400" s="1">
        <v>1</v>
      </c>
      <c r="AI400" s="1" t="s">
        <v>1874</v>
      </c>
      <c r="AJ400" s="1" t="s">
        <v>216</v>
      </c>
      <c r="AK400" s="1" t="s">
        <v>1875</v>
      </c>
      <c r="AM400" s="1">
        <v>1</v>
      </c>
      <c r="AV400" s="1">
        <v>1</v>
      </c>
      <c r="AX400" s="1">
        <v>0.25</v>
      </c>
      <c r="BE400" s="1" t="str">
        <f t="shared" si="28"/>
        <v>enemy_1107_uoffcr</v>
      </c>
      <c r="BK400" s="1" t="s">
        <v>953</v>
      </c>
      <c r="BL400" s="1" t="s">
        <v>1876</v>
      </c>
      <c r="BN400" s="1" t="s">
        <v>217</v>
      </c>
      <c r="BO400" s="1" t="s">
        <v>218</v>
      </c>
      <c r="BP400" s="1" t="s">
        <v>239</v>
      </c>
      <c r="BQ400" s="1" t="s">
        <v>220</v>
      </c>
      <c r="BT400" s="1">
        <v>1</v>
      </c>
    </row>
    <row r="401" spans="1:72">
      <c r="A401" s="1" t="s">
        <v>1877</v>
      </c>
      <c r="B401" s="1" t="s">
        <v>213</v>
      </c>
      <c r="D401" s="1" t="s">
        <v>1878</v>
      </c>
      <c r="E401" s="1">
        <v>1107</v>
      </c>
      <c r="F401" s="1" t="str">
        <f t="shared" si="29"/>
        <v>enemy_1107_uoffcr_2</v>
      </c>
      <c r="G401" s="1">
        <v>1</v>
      </c>
      <c r="K401" s="1">
        <v>4300</v>
      </c>
      <c r="M401" s="1">
        <v>400</v>
      </c>
      <c r="O401" s="1">
        <v>150</v>
      </c>
      <c r="Q401" s="1">
        <v>20</v>
      </c>
      <c r="Y401" s="1">
        <v>0.05</v>
      </c>
      <c r="Z401" s="1">
        <v>2</v>
      </c>
      <c r="AA401" s="1">
        <v>1</v>
      </c>
      <c r="AB401" s="1">
        <v>1.1</v>
      </c>
      <c r="AG401" s="1">
        <v>0</v>
      </c>
      <c r="AH401" s="1">
        <v>1</v>
      </c>
      <c r="AI401" s="1" t="s">
        <v>1879</v>
      </c>
      <c r="AJ401" s="1" t="s">
        <v>216</v>
      </c>
      <c r="AK401" s="1" t="s">
        <v>1875</v>
      </c>
      <c r="AM401" s="1">
        <v>1</v>
      </c>
      <c r="AV401" s="1">
        <v>1</v>
      </c>
      <c r="AX401" s="1">
        <v>0.25</v>
      </c>
      <c r="BE401" s="1" t="str">
        <f t="shared" si="28"/>
        <v>enemy_1107_uoffcr_2</v>
      </c>
      <c r="BK401" s="1" t="s">
        <v>953</v>
      </c>
      <c r="BL401" s="1" t="s">
        <v>1876</v>
      </c>
      <c r="BN401" s="1" t="s">
        <v>217</v>
      </c>
      <c r="BO401" s="1" t="s">
        <v>218</v>
      </c>
      <c r="BP401" s="1" t="s">
        <v>239</v>
      </c>
      <c r="BQ401" s="1" t="s">
        <v>220</v>
      </c>
      <c r="BT401" s="1">
        <v>1</v>
      </c>
    </row>
    <row r="402" spans="1:72">
      <c r="A402" s="1" t="s">
        <v>1880</v>
      </c>
      <c r="B402" s="1" t="s">
        <v>213</v>
      </c>
      <c r="D402" s="1" t="s">
        <v>1881</v>
      </c>
      <c r="E402" s="1">
        <v>1108</v>
      </c>
      <c r="F402" s="1" t="str">
        <f t="shared" si="29"/>
        <v>enemy_1108_uterer</v>
      </c>
      <c r="G402" s="1">
        <v>1</v>
      </c>
      <c r="K402" s="1">
        <v>3500</v>
      </c>
      <c r="M402" s="1">
        <v>380</v>
      </c>
      <c r="O402" s="1">
        <v>100</v>
      </c>
      <c r="Q402" s="1">
        <v>20</v>
      </c>
      <c r="Y402" s="1">
        <v>0.05</v>
      </c>
      <c r="Z402" s="1">
        <v>1.5</v>
      </c>
      <c r="AA402" s="1">
        <v>0</v>
      </c>
      <c r="AB402" s="1">
        <v>1.7</v>
      </c>
      <c r="AG402" s="1">
        <v>0</v>
      </c>
      <c r="AH402" s="1">
        <v>1</v>
      </c>
      <c r="AI402" s="1" t="s">
        <v>1882</v>
      </c>
      <c r="AJ402" s="1" t="s">
        <v>216</v>
      </c>
      <c r="AK402" s="1" t="s">
        <v>238</v>
      </c>
      <c r="AM402" s="1">
        <v>1</v>
      </c>
      <c r="AV402" s="1">
        <v>1</v>
      </c>
      <c r="AX402" s="1">
        <v>0.25</v>
      </c>
      <c r="BE402" s="1" t="str">
        <f t="shared" si="28"/>
        <v>enemy_1108_uterer</v>
      </c>
      <c r="BK402" s="1" t="s">
        <v>953</v>
      </c>
      <c r="BL402" s="1" t="s">
        <v>1883</v>
      </c>
      <c r="BN402" s="1" t="s">
        <v>217</v>
      </c>
      <c r="BO402" s="1" t="s">
        <v>218</v>
      </c>
      <c r="BP402" s="1" t="s">
        <v>219</v>
      </c>
      <c r="BQ402" s="1" t="s">
        <v>220</v>
      </c>
      <c r="BT402" s="1">
        <v>1</v>
      </c>
    </row>
    <row r="403" spans="1:72">
      <c r="A403" s="1" t="s">
        <v>1884</v>
      </c>
      <c r="B403" s="1" t="s">
        <v>213</v>
      </c>
      <c r="D403" s="1" t="s">
        <v>1885</v>
      </c>
      <c r="E403" s="1">
        <v>1108</v>
      </c>
      <c r="F403" s="1" t="str">
        <f t="shared" si="29"/>
        <v>enemy_1108_uterer_2</v>
      </c>
      <c r="G403" s="1">
        <v>1</v>
      </c>
      <c r="K403" s="1">
        <v>4600</v>
      </c>
      <c r="M403" s="1">
        <v>450</v>
      </c>
      <c r="O403" s="1">
        <v>100</v>
      </c>
      <c r="Q403" s="1">
        <v>20</v>
      </c>
      <c r="Y403" s="1">
        <v>0.05</v>
      </c>
      <c r="Z403" s="1">
        <v>1.5</v>
      </c>
      <c r="AA403" s="1">
        <v>0</v>
      </c>
      <c r="AB403" s="1">
        <v>1.7</v>
      </c>
      <c r="AG403" s="1">
        <v>0</v>
      </c>
      <c r="AH403" s="1">
        <v>1</v>
      </c>
      <c r="AI403" s="1" t="s">
        <v>1886</v>
      </c>
      <c r="AJ403" s="1" t="s">
        <v>216</v>
      </c>
      <c r="AK403" s="1" t="s">
        <v>238</v>
      </c>
      <c r="AM403" s="1">
        <v>1</v>
      </c>
      <c r="AV403" s="1">
        <v>1</v>
      </c>
      <c r="AX403" s="1">
        <v>0.25</v>
      </c>
      <c r="BE403" s="1" t="str">
        <f t="shared" si="28"/>
        <v>enemy_1108_uterer_2</v>
      </c>
      <c r="BK403" s="1" t="s">
        <v>953</v>
      </c>
      <c r="BL403" s="1" t="s">
        <v>1887</v>
      </c>
      <c r="BN403" s="1" t="s">
        <v>217</v>
      </c>
      <c r="BO403" s="1" t="s">
        <v>218</v>
      </c>
      <c r="BP403" s="1" t="s">
        <v>219</v>
      </c>
      <c r="BQ403" s="1" t="s">
        <v>220</v>
      </c>
      <c r="BT403" s="1">
        <v>1</v>
      </c>
    </row>
    <row r="404" spans="1:72">
      <c r="A404" s="1" t="s">
        <v>1888</v>
      </c>
      <c r="B404" s="1" t="s">
        <v>213</v>
      </c>
      <c r="D404" s="1" t="s">
        <v>1889</v>
      </c>
      <c r="E404" s="1">
        <v>1109</v>
      </c>
      <c r="F404" s="1" t="str">
        <f t="shared" si="29"/>
        <v>enemy_1109_uabone</v>
      </c>
      <c r="G404" s="1">
        <v>1</v>
      </c>
      <c r="K404" s="1">
        <v>4000</v>
      </c>
      <c r="M404" s="1">
        <v>350</v>
      </c>
      <c r="O404" s="1">
        <v>200</v>
      </c>
      <c r="Q404" s="1">
        <v>20</v>
      </c>
      <c r="Y404" s="1">
        <v>0.05</v>
      </c>
      <c r="Z404" s="1">
        <v>2.3</v>
      </c>
      <c r="AA404" s="1">
        <v>1</v>
      </c>
      <c r="AB404" s="1">
        <v>1</v>
      </c>
      <c r="AG404" s="1">
        <v>0</v>
      </c>
      <c r="AH404" s="1">
        <v>1</v>
      </c>
      <c r="AI404" s="1" t="s">
        <v>1890</v>
      </c>
      <c r="AJ404" s="1" t="s">
        <v>216</v>
      </c>
      <c r="AK404" s="1" t="s">
        <v>1891</v>
      </c>
      <c r="AM404" s="1">
        <v>1</v>
      </c>
      <c r="AV404" s="1">
        <v>1</v>
      </c>
      <c r="AX404" s="1">
        <v>0.25</v>
      </c>
      <c r="BE404" s="1" t="str">
        <f t="shared" si="28"/>
        <v>enemy_1109_uabone</v>
      </c>
      <c r="BK404" s="1" t="s">
        <v>959</v>
      </c>
      <c r="BL404" s="1" t="s">
        <v>1892</v>
      </c>
      <c r="BN404" s="1" t="s">
        <v>217</v>
      </c>
      <c r="BO404" s="1" t="s">
        <v>218</v>
      </c>
      <c r="BP404" s="1" t="s">
        <v>961</v>
      </c>
      <c r="BQ404" s="1" t="s">
        <v>220</v>
      </c>
      <c r="BT404" s="1">
        <v>1</v>
      </c>
    </row>
    <row r="405" spans="1:72">
      <c r="A405" s="1" t="s">
        <v>1893</v>
      </c>
      <c r="B405" s="1" t="s">
        <v>213</v>
      </c>
      <c r="D405" s="1" t="s">
        <v>1894</v>
      </c>
      <c r="E405" s="1">
        <v>1109</v>
      </c>
      <c r="F405" s="1" t="str">
        <f t="shared" si="29"/>
        <v>enemy_1109_uabone_2</v>
      </c>
      <c r="G405" s="1">
        <v>1</v>
      </c>
      <c r="K405" s="1">
        <v>5500</v>
      </c>
      <c r="M405" s="1">
        <v>430</v>
      </c>
      <c r="O405" s="1">
        <v>200</v>
      </c>
      <c r="Q405" s="1">
        <v>20</v>
      </c>
      <c r="Y405" s="1">
        <v>0.05</v>
      </c>
      <c r="Z405" s="1">
        <v>2.3</v>
      </c>
      <c r="AA405" s="1">
        <v>1</v>
      </c>
      <c r="AB405" s="1">
        <v>1</v>
      </c>
      <c r="AG405" s="1">
        <v>0</v>
      </c>
      <c r="AH405" s="1">
        <v>1</v>
      </c>
      <c r="AI405" s="1" t="s">
        <v>1895</v>
      </c>
      <c r="AJ405" s="1" t="s">
        <v>216</v>
      </c>
      <c r="AK405" s="1" t="s">
        <v>1891</v>
      </c>
      <c r="AM405" s="1">
        <v>1</v>
      </c>
      <c r="AV405" s="1">
        <v>1</v>
      </c>
      <c r="AX405" s="1">
        <v>0.25</v>
      </c>
      <c r="BE405" s="1" t="str">
        <f t="shared" si="28"/>
        <v>enemy_1109_uabone_2</v>
      </c>
      <c r="BK405" s="1" t="s">
        <v>959</v>
      </c>
      <c r="BL405" s="1" t="s">
        <v>1896</v>
      </c>
      <c r="BN405" s="1" t="s">
        <v>217</v>
      </c>
      <c r="BO405" s="1" t="s">
        <v>218</v>
      </c>
      <c r="BP405" s="1" t="s">
        <v>961</v>
      </c>
      <c r="BQ405" s="1" t="s">
        <v>220</v>
      </c>
      <c r="BT405" s="1">
        <v>1</v>
      </c>
    </row>
    <row r="406" spans="1:72">
      <c r="A406" s="1" t="s">
        <v>1897</v>
      </c>
      <c r="B406" s="1" t="s">
        <v>213</v>
      </c>
      <c r="D406" s="1" t="s">
        <v>1898</v>
      </c>
      <c r="E406" s="1">
        <v>1110</v>
      </c>
      <c r="F406" s="1" t="str">
        <f t="shared" si="29"/>
        <v>enemy_1110_uamord</v>
      </c>
      <c r="G406" s="1">
        <v>1</v>
      </c>
      <c r="K406" s="1">
        <v>5000</v>
      </c>
      <c r="M406" s="1">
        <v>340</v>
      </c>
      <c r="O406" s="1">
        <v>500</v>
      </c>
      <c r="Q406" s="1">
        <v>50</v>
      </c>
      <c r="Y406" s="1">
        <v>0.05</v>
      </c>
      <c r="Z406" s="1">
        <v>2.8</v>
      </c>
      <c r="AA406" s="1">
        <v>2</v>
      </c>
      <c r="AB406" s="1">
        <v>0.9</v>
      </c>
      <c r="AG406" s="1">
        <v>0</v>
      </c>
      <c r="AH406" s="1">
        <v>1</v>
      </c>
      <c r="AI406" s="1" t="s">
        <v>1899</v>
      </c>
      <c r="AJ406" s="1" t="s">
        <v>216</v>
      </c>
      <c r="AK406" s="1" t="s">
        <v>1900</v>
      </c>
      <c r="AM406" s="1">
        <v>1</v>
      </c>
      <c r="AV406" s="1">
        <v>1</v>
      </c>
      <c r="AX406" s="1">
        <v>0.25</v>
      </c>
      <c r="BE406" s="1" t="str">
        <f t="shared" si="28"/>
        <v>enemy_1110_uamord</v>
      </c>
      <c r="BK406" s="1" t="s">
        <v>959</v>
      </c>
      <c r="BL406" s="1" t="s">
        <v>1901</v>
      </c>
      <c r="BN406" s="1" t="s">
        <v>217</v>
      </c>
      <c r="BO406" s="1" t="s">
        <v>218</v>
      </c>
      <c r="BP406" s="1" t="s">
        <v>219</v>
      </c>
      <c r="BQ406" s="1" t="s">
        <v>220</v>
      </c>
      <c r="BT406" s="1">
        <v>1</v>
      </c>
    </row>
    <row r="407" spans="1:72">
      <c r="A407" s="1" t="s">
        <v>1902</v>
      </c>
      <c r="B407" s="1" t="s">
        <v>213</v>
      </c>
      <c r="D407" s="1" t="s">
        <v>1903</v>
      </c>
      <c r="E407" s="1">
        <v>1110</v>
      </c>
      <c r="F407" s="1" t="str">
        <f t="shared" si="29"/>
        <v>enemy_1110_uamord_2</v>
      </c>
      <c r="G407" s="1">
        <v>1</v>
      </c>
      <c r="K407" s="1">
        <v>6500</v>
      </c>
      <c r="M407" s="1">
        <v>420</v>
      </c>
      <c r="O407" s="1">
        <v>500</v>
      </c>
      <c r="Q407" s="1">
        <v>50</v>
      </c>
      <c r="Y407" s="1">
        <v>0.05</v>
      </c>
      <c r="Z407" s="1">
        <v>2.8</v>
      </c>
      <c r="AA407" s="1">
        <v>2</v>
      </c>
      <c r="AB407" s="1">
        <v>0.9</v>
      </c>
      <c r="AG407" s="1">
        <v>0</v>
      </c>
      <c r="AH407" s="1">
        <v>1</v>
      </c>
      <c r="AI407" s="1" t="s">
        <v>1904</v>
      </c>
      <c r="AJ407" s="1" t="s">
        <v>216</v>
      </c>
      <c r="AK407" s="1" t="s">
        <v>1900</v>
      </c>
      <c r="AM407" s="1">
        <v>1</v>
      </c>
      <c r="AV407" s="1">
        <v>1</v>
      </c>
      <c r="AX407" s="1">
        <v>0.25</v>
      </c>
      <c r="BE407" s="1" t="str">
        <f t="shared" si="28"/>
        <v>enemy_1110_uamord_2</v>
      </c>
      <c r="BK407" s="1" t="s">
        <v>959</v>
      </c>
      <c r="BL407" s="1" t="s">
        <v>1905</v>
      </c>
      <c r="BN407" s="1" t="s">
        <v>217</v>
      </c>
      <c r="BO407" s="1" t="s">
        <v>218</v>
      </c>
      <c r="BP407" s="1" t="s">
        <v>219</v>
      </c>
      <c r="BQ407" s="1" t="s">
        <v>220</v>
      </c>
      <c r="BT407" s="1">
        <v>1</v>
      </c>
    </row>
    <row r="408" spans="1:72">
      <c r="A408" s="1" t="s">
        <v>1906</v>
      </c>
      <c r="B408" s="1" t="s">
        <v>213</v>
      </c>
      <c r="D408" s="1" t="s">
        <v>1907</v>
      </c>
      <c r="E408" s="1">
        <v>1111</v>
      </c>
      <c r="F408" s="1" t="str">
        <f t="shared" si="29"/>
        <v>enemy_1111_ucommd</v>
      </c>
      <c r="G408" s="1">
        <v>1</v>
      </c>
      <c r="K408" s="1">
        <v>7500</v>
      </c>
      <c r="M408" s="1">
        <v>550</v>
      </c>
      <c r="O408" s="1">
        <v>500</v>
      </c>
      <c r="Q408" s="1">
        <v>50</v>
      </c>
      <c r="Y408" s="1">
        <v>0.05</v>
      </c>
      <c r="Z408" s="1">
        <v>2.2</v>
      </c>
      <c r="AA408" s="1">
        <v>2</v>
      </c>
      <c r="AB408" s="1">
        <v>1.5</v>
      </c>
      <c r="AG408" s="1">
        <v>0</v>
      </c>
      <c r="AH408" s="1">
        <v>1</v>
      </c>
      <c r="AI408" s="1" t="s">
        <v>1908</v>
      </c>
      <c r="AJ408" s="1" t="s">
        <v>216</v>
      </c>
      <c r="AK408" s="1" t="s">
        <v>1875</v>
      </c>
      <c r="AM408" s="1">
        <v>1</v>
      </c>
      <c r="AP408" s="1">
        <v>2</v>
      </c>
      <c r="AV408" s="1">
        <v>1</v>
      </c>
      <c r="AX408" s="1">
        <v>0.25</v>
      </c>
      <c r="BE408" s="1" t="str">
        <f t="shared" si="28"/>
        <v>enemy_1111_ucommd</v>
      </c>
      <c r="BK408" s="1" t="s">
        <v>1012</v>
      </c>
      <c r="BL408" s="1" t="s">
        <v>1909</v>
      </c>
      <c r="BN408" s="1" t="s">
        <v>217</v>
      </c>
      <c r="BO408" s="1" t="s">
        <v>1910</v>
      </c>
      <c r="BP408" s="1" t="s">
        <v>239</v>
      </c>
      <c r="BQ408" s="1" t="s">
        <v>220</v>
      </c>
      <c r="BT408" s="1">
        <v>1</v>
      </c>
    </row>
    <row r="409" spans="1:72">
      <c r="A409" s="1" t="s">
        <v>1911</v>
      </c>
      <c r="B409" s="1" t="s">
        <v>213</v>
      </c>
      <c r="D409" s="1" t="s">
        <v>1912</v>
      </c>
      <c r="E409" s="1">
        <v>1111</v>
      </c>
      <c r="F409" s="1" t="str">
        <f t="shared" si="29"/>
        <v>enemy_1111_ucommd_2</v>
      </c>
      <c r="G409" s="1">
        <v>1</v>
      </c>
      <c r="K409" s="1">
        <v>10000</v>
      </c>
      <c r="M409" s="1">
        <v>700</v>
      </c>
      <c r="O409" s="1">
        <v>500</v>
      </c>
      <c r="Q409" s="1">
        <v>50</v>
      </c>
      <c r="Y409" s="1">
        <v>0.05</v>
      </c>
      <c r="Z409" s="1">
        <v>2.2</v>
      </c>
      <c r="AA409" s="1">
        <v>2</v>
      </c>
      <c r="AB409" s="1">
        <v>1.5</v>
      </c>
      <c r="AG409" s="1">
        <v>0</v>
      </c>
      <c r="AH409" s="1">
        <v>1</v>
      </c>
      <c r="AI409" s="1" t="s">
        <v>1913</v>
      </c>
      <c r="AJ409" s="1" t="s">
        <v>216</v>
      </c>
      <c r="AK409" s="1" t="s">
        <v>1875</v>
      </c>
      <c r="AM409" s="1">
        <v>1</v>
      </c>
      <c r="AP409" s="1">
        <v>2</v>
      </c>
      <c r="AV409" s="1">
        <v>1</v>
      </c>
      <c r="AX409" s="1">
        <v>0.25</v>
      </c>
      <c r="BE409" s="1" t="str">
        <f t="shared" si="28"/>
        <v>enemy_1111_ucommd_2</v>
      </c>
      <c r="BK409" s="1" t="s">
        <v>1012</v>
      </c>
      <c r="BL409" s="1" t="s">
        <v>1909</v>
      </c>
      <c r="BN409" s="1" t="s">
        <v>217</v>
      </c>
      <c r="BO409" s="1" t="s">
        <v>1910</v>
      </c>
      <c r="BP409" s="1" t="s">
        <v>239</v>
      </c>
      <c r="BQ409" s="1" t="s">
        <v>220</v>
      </c>
      <c r="BT409" s="1">
        <v>1</v>
      </c>
    </row>
    <row r="410" spans="1:72">
      <c r="A410" s="1" t="s">
        <v>1914</v>
      </c>
      <c r="B410" s="1" t="s">
        <v>213</v>
      </c>
      <c r="D410" s="1" t="s">
        <v>1915</v>
      </c>
      <c r="E410" s="1">
        <v>1112</v>
      </c>
      <c r="F410" s="1" t="str">
        <f t="shared" si="29"/>
        <v>enemy_1112_emppnt</v>
      </c>
      <c r="G410" s="1">
        <v>0.7</v>
      </c>
      <c r="K410" s="1">
        <v>13000</v>
      </c>
      <c r="M410" s="1">
        <v>1000</v>
      </c>
      <c r="O410" s="1">
        <v>800</v>
      </c>
      <c r="Q410" s="1">
        <v>50</v>
      </c>
      <c r="Y410" s="1">
        <v>0.05</v>
      </c>
      <c r="Z410" s="1">
        <v>5</v>
      </c>
      <c r="AA410" s="1">
        <v>4</v>
      </c>
      <c r="AB410" s="1">
        <v>0.5</v>
      </c>
      <c r="AG410" s="1">
        <v>0</v>
      </c>
      <c r="AH410" s="1">
        <v>1</v>
      </c>
      <c r="AI410" s="1" t="s">
        <v>1916</v>
      </c>
      <c r="AJ410" s="1" t="s">
        <v>216</v>
      </c>
      <c r="AK410" s="1" t="s">
        <v>1917</v>
      </c>
      <c r="AM410" s="1">
        <v>1</v>
      </c>
      <c r="AN410" s="1">
        <v>1</v>
      </c>
      <c r="AV410" s="1">
        <v>1</v>
      </c>
      <c r="AX410" s="1">
        <v>0.25</v>
      </c>
      <c r="BE410" s="1" t="str">
        <f t="shared" si="28"/>
        <v>enemy_1112_emppnt</v>
      </c>
      <c r="BK410" s="1" t="s">
        <v>1055</v>
      </c>
      <c r="BL410" s="1" t="s">
        <v>1918</v>
      </c>
      <c r="BN410" s="1" t="s">
        <v>217</v>
      </c>
      <c r="BO410" s="1" t="s">
        <v>218</v>
      </c>
      <c r="BP410" s="1" t="s">
        <v>239</v>
      </c>
      <c r="BQ410" s="1" t="s">
        <v>220</v>
      </c>
      <c r="BT410" s="1">
        <v>1</v>
      </c>
    </row>
    <row r="411" spans="1:72">
      <c r="A411" s="1" t="s">
        <v>1919</v>
      </c>
      <c r="B411" s="1" t="s">
        <v>213</v>
      </c>
      <c r="D411" s="1" t="s">
        <v>1920</v>
      </c>
      <c r="E411" s="1">
        <v>1112</v>
      </c>
      <c r="F411" s="1" t="str">
        <f t="shared" si="29"/>
        <v>enemy_1112_emppnt_2</v>
      </c>
      <c r="G411" s="1">
        <v>0.7</v>
      </c>
      <c r="K411" s="1">
        <v>16000</v>
      </c>
      <c r="M411" s="1">
        <v>1200</v>
      </c>
      <c r="O411" s="1">
        <v>800</v>
      </c>
      <c r="Q411" s="1">
        <v>50</v>
      </c>
      <c r="Y411" s="1">
        <v>0.05</v>
      </c>
      <c r="Z411" s="1">
        <v>5</v>
      </c>
      <c r="AA411" s="1">
        <v>4</v>
      </c>
      <c r="AB411" s="1">
        <v>0.5</v>
      </c>
      <c r="AG411" s="1">
        <v>0</v>
      </c>
      <c r="AH411" s="1">
        <v>1</v>
      </c>
      <c r="AI411" s="1" t="s">
        <v>1921</v>
      </c>
      <c r="AJ411" s="1" t="s">
        <v>216</v>
      </c>
      <c r="AK411" s="1" t="s">
        <v>1917</v>
      </c>
      <c r="AM411" s="1">
        <v>1</v>
      </c>
      <c r="AN411" s="1">
        <v>1</v>
      </c>
      <c r="AV411" s="1">
        <v>1</v>
      </c>
      <c r="AX411" s="1">
        <v>0.25</v>
      </c>
      <c r="BE411" s="1" t="str">
        <f t="shared" si="28"/>
        <v>enemy_1112_emppnt_2</v>
      </c>
      <c r="BK411" s="1" t="s">
        <v>1055</v>
      </c>
      <c r="BL411" s="1" t="s">
        <v>1922</v>
      </c>
      <c r="BN411" s="1" t="s">
        <v>217</v>
      </c>
      <c r="BO411" s="1" t="s">
        <v>218</v>
      </c>
      <c r="BP411" s="1" t="s">
        <v>239</v>
      </c>
      <c r="BQ411" s="1" t="s">
        <v>220</v>
      </c>
      <c r="BT411" s="1">
        <v>1</v>
      </c>
    </row>
    <row r="412" spans="1:72">
      <c r="A412" s="1" t="s">
        <v>1923</v>
      </c>
      <c r="B412" s="1" t="s">
        <v>213</v>
      </c>
      <c r="D412" s="1" t="s">
        <v>1924</v>
      </c>
      <c r="E412" s="1">
        <v>1113</v>
      </c>
      <c r="F412" s="1" t="str">
        <f t="shared" si="29"/>
        <v>enemy_1113_empace</v>
      </c>
      <c r="G412" s="1">
        <v>1</v>
      </c>
      <c r="K412" s="1">
        <v>12000</v>
      </c>
      <c r="M412" s="1">
        <v>900</v>
      </c>
      <c r="O412" s="1">
        <v>800</v>
      </c>
      <c r="Q412" s="1">
        <v>50</v>
      </c>
      <c r="Y412" s="1">
        <v>0.05</v>
      </c>
      <c r="Z412" s="1">
        <v>4.5</v>
      </c>
      <c r="AA412" s="1">
        <v>4</v>
      </c>
      <c r="AB412" s="1">
        <v>0.7</v>
      </c>
      <c r="AG412" s="1">
        <v>0</v>
      </c>
      <c r="AH412" s="1">
        <v>1</v>
      </c>
      <c r="AI412" s="1" t="s">
        <v>1925</v>
      </c>
      <c r="AJ412" s="1" t="s">
        <v>216</v>
      </c>
      <c r="AK412" s="1" t="s">
        <v>1926</v>
      </c>
      <c r="AM412" s="1">
        <v>1</v>
      </c>
      <c r="AV412" s="1">
        <v>1</v>
      </c>
      <c r="AX412" s="1">
        <v>0.25</v>
      </c>
      <c r="BE412" s="1" t="str">
        <f t="shared" si="28"/>
        <v>enemy_1113_empace</v>
      </c>
      <c r="BK412" s="1" t="s">
        <v>1927</v>
      </c>
      <c r="BL412" s="1" t="s">
        <v>1928</v>
      </c>
      <c r="BN412" s="1" t="s">
        <v>217</v>
      </c>
      <c r="BO412" s="1" t="s">
        <v>218</v>
      </c>
      <c r="BP412" s="1" t="s">
        <v>239</v>
      </c>
      <c r="BQ412" s="1" t="s">
        <v>220</v>
      </c>
      <c r="BT412" s="1">
        <v>1</v>
      </c>
    </row>
    <row r="413" spans="1:72">
      <c r="A413" s="1" t="s">
        <v>1929</v>
      </c>
      <c r="B413" s="1" t="s">
        <v>213</v>
      </c>
      <c r="D413" s="1" t="s">
        <v>1930</v>
      </c>
      <c r="E413" s="1">
        <v>1113</v>
      </c>
      <c r="F413" s="1" t="str">
        <f t="shared" si="29"/>
        <v>enemy_1113_empace_2</v>
      </c>
      <c r="G413" s="1">
        <v>1</v>
      </c>
      <c r="K413" s="1">
        <v>15000</v>
      </c>
      <c r="M413" s="1">
        <v>1200</v>
      </c>
      <c r="O413" s="1">
        <v>800</v>
      </c>
      <c r="Q413" s="1">
        <v>50</v>
      </c>
      <c r="Y413" s="1">
        <v>0.05</v>
      </c>
      <c r="Z413" s="1">
        <v>4.5</v>
      </c>
      <c r="AA413" s="1">
        <v>4</v>
      </c>
      <c r="AB413" s="1">
        <v>0.7</v>
      </c>
      <c r="AG413" s="1">
        <v>0</v>
      </c>
      <c r="AH413" s="1">
        <v>1</v>
      </c>
      <c r="AI413" s="1" t="s">
        <v>1931</v>
      </c>
      <c r="AJ413" s="1" t="s">
        <v>216</v>
      </c>
      <c r="AK413" s="1" t="s">
        <v>1926</v>
      </c>
      <c r="AM413" s="1">
        <v>1</v>
      </c>
      <c r="AV413" s="1">
        <v>1</v>
      </c>
      <c r="AX413" s="1">
        <v>0.25</v>
      </c>
      <c r="BE413" s="1" t="str">
        <f t="shared" si="28"/>
        <v>enemy_1113_empace_2</v>
      </c>
      <c r="BK413" s="1" t="s">
        <v>1927</v>
      </c>
      <c r="BL413" s="1" t="s">
        <v>1928</v>
      </c>
      <c r="BN413" s="1" t="s">
        <v>217</v>
      </c>
      <c r="BO413" s="1" t="s">
        <v>218</v>
      </c>
      <c r="BP413" s="1" t="s">
        <v>239</v>
      </c>
      <c r="BQ413" s="1" t="s">
        <v>220</v>
      </c>
      <c r="BT413" s="1">
        <v>1</v>
      </c>
    </row>
    <row r="414" spans="1:72">
      <c r="A414" s="1" t="s">
        <v>1932</v>
      </c>
      <c r="B414" s="1" t="s">
        <v>213</v>
      </c>
      <c r="D414" s="1" t="s">
        <v>1933</v>
      </c>
      <c r="E414" s="1">
        <v>1114</v>
      </c>
      <c r="F414" s="1" t="str">
        <f t="shared" si="29"/>
        <v>enemy_1114_rgrdmn</v>
      </c>
      <c r="G414" s="1">
        <v>1</v>
      </c>
      <c r="K414" s="1">
        <v>10000</v>
      </c>
      <c r="M414" s="1">
        <v>600</v>
      </c>
      <c r="O414" s="1">
        <v>200</v>
      </c>
      <c r="Q414" s="1">
        <v>50</v>
      </c>
      <c r="Y414" s="1">
        <v>0.05</v>
      </c>
      <c r="Z414" s="1">
        <v>5</v>
      </c>
      <c r="AA414" s="1">
        <v>3</v>
      </c>
      <c r="AB414" s="1">
        <v>0.8</v>
      </c>
      <c r="AG414" s="1">
        <v>0</v>
      </c>
      <c r="AH414" s="1">
        <v>1</v>
      </c>
      <c r="AI414" s="1" t="s">
        <v>1934</v>
      </c>
      <c r="AJ414" s="1" t="s">
        <v>216</v>
      </c>
      <c r="AK414" s="1" t="s">
        <v>1935</v>
      </c>
      <c r="AM414" s="1">
        <v>1</v>
      </c>
      <c r="AV414" s="1">
        <v>1</v>
      </c>
      <c r="AX414" s="1">
        <v>0.25</v>
      </c>
      <c r="BE414" s="1" t="str">
        <f t="shared" si="28"/>
        <v>enemy_1114_rgrdmn</v>
      </c>
      <c r="BK414" s="1" t="s">
        <v>1442</v>
      </c>
      <c r="BL414" s="1" t="s">
        <v>1936</v>
      </c>
      <c r="BN414" s="1" t="s">
        <v>217</v>
      </c>
      <c r="BO414" s="1" t="s">
        <v>218</v>
      </c>
      <c r="BP414" s="1" t="s">
        <v>961</v>
      </c>
      <c r="BQ414" s="1" t="s">
        <v>220</v>
      </c>
      <c r="BT414" s="1">
        <v>1</v>
      </c>
    </row>
    <row r="415" spans="1:72">
      <c r="A415" s="1" t="s">
        <v>1937</v>
      </c>
      <c r="B415" s="1" t="s">
        <v>213</v>
      </c>
      <c r="D415" s="1" t="s">
        <v>1938</v>
      </c>
      <c r="E415" s="1">
        <v>1114</v>
      </c>
      <c r="F415" s="1" t="str">
        <f t="shared" si="29"/>
        <v>enemy_1114_rgrdmn_2</v>
      </c>
      <c r="G415" s="1">
        <v>1</v>
      </c>
      <c r="K415" s="1">
        <v>14000</v>
      </c>
      <c r="M415" s="1">
        <v>700</v>
      </c>
      <c r="O415" s="1">
        <v>220</v>
      </c>
      <c r="Q415" s="1">
        <v>60</v>
      </c>
      <c r="Y415" s="1">
        <v>0.05</v>
      </c>
      <c r="Z415" s="1">
        <v>5</v>
      </c>
      <c r="AA415" s="1">
        <v>3</v>
      </c>
      <c r="AB415" s="1">
        <v>0.8</v>
      </c>
      <c r="AG415" s="1">
        <v>0</v>
      </c>
      <c r="AH415" s="1">
        <v>1</v>
      </c>
      <c r="AI415" s="1" t="s">
        <v>1939</v>
      </c>
      <c r="AJ415" s="1" t="s">
        <v>216</v>
      </c>
      <c r="AK415" s="1" t="s">
        <v>1935</v>
      </c>
      <c r="AM415" s="1">
        <v>1</v>
      </c>
      <c r="AV415" s="1">
        <v>1</v>
      </c>
      <c r="AX415" s="1">
        <v>0.25</v>
      </c>
      <c r="BE415" s="1" t="str">
        <f t="shared" si="28"/>
        <v>enemy_1114_rgrdmn_2</v>
      </c>
      <c r="BK415" s="1" t="s">
        <v>1442</v>
      </c>
      <c r="BL415" s="1" t="s">
        <v>1936</v>
      </c>
      <c r="BN415" s="1" t="s">
        <v>217</v>
      </c>
      <c r="BO415" s="1" t="s">
        <v>218</v>
      </c>
      <c r="BP415" s="1" t="s">
        <v>961</v>
      </c>
      <c r="BQ415" s="1" t="s">
        <v>220</v>
      </c>
      <c r="BT415" s="1">
        <v>1</v>
      </c>
    </row>
    <row r="416" spans="1:72">
      <c r="A416" s="1" t="s">
        <v>1940</v>
      </c>
      <c r="B416" s="1" t="s">
        <v>213</v>
      </c>
      <c r="D416" s="1" t="s">
        <v>1941</v>
      </c>
      <c r="E416" s="1">
        <v>1115</v>
      </c>
      <c r="F416" s="1" t="str">
        <f t="shared" si="29"/>
        <v>enemy_1115_embald</v>
      </c>
      <c r="G416" s="1">
        <v>1</v>
      </c>
      <c r="K416" s="1">
        <v>50000</v>
      </c>
      <c r="M416" s="1">
        <v>0</v>
      </c>
      <c r="O416" s="1">
        <v>3000</v>
      </c>
      <c r="Q416" s="1">
        <v>90</v>
      </c>
      <c r="Y416" s="1">
        <v>0.05</v>
      </c>
      <c r="Z416" s="1">
        <v>0</v>
      </c>
      <c r="AA416" s="1">
        <v>5</v>
      </c>
      <c r="AB416" s="1">
        <v>0.4</v>
      </c>
      <c r="AG416" s="1">
        <v>0</v>
      </c>
      <c r="AH416" s="1">
        <v>1</v>
      </c>
      <c r="AI416" s="1" t="s">
        <v>1942</v>
      </c>
      <c r="AJ416" s="1" t="s">
        <v>216</v>
      </c>
      <c r="AK416" s="1" t="s">
        <v>238</v>
      </c>
      <c r="AM416" s="1">
        <v>1</v>
      </c>
      <c r="AV416" s="1">
        <v>1</v>
      </c>
      <c r="AX416" s="1">
        <v>0.25</v>
      </c>
      <c r="BE416" s="1" t="str">
        <f t="shared" si="28"/>
        <v>enemy_1115_embald</v>
      </c>
      <c r="BK416" s="1" t="s">
        <v>1019</v>
      </c>
      <c r="BL416" s="1" t="s">
        <v>1943</v>
      </c>
      <c r="BN416" s="1" t="s">
        <v>217</v>
      </c>
      <c r="BO416" s="1" t="s">
        <v>218</v>
      </c>
      <c r="BP416" s="1" t="s">
        <v>239</v>
      </c>
      <c r="BQ416" s="1" t="s">
        <v>220</v>
      </c>
      <c r="BT416" s="1">
        <v>1</v>
      </c>
    </row>
    <row r="417" spans="1:72">
      <c r="A417" s="1" t="s">
        <v>1944</v>
      </c>
      <c r="B417" s="1" t="s">
        <v>213</v>
      </c>
      <c r="D417" s="1" t="s">
        <v>1945</v>
      </c>
      <c r="E417" s="1">
        <v>1503</v>
      </c>
      <c r="F417" s="1" t="str">
        <f t="shared" si="29"/>
        <v>enemy_1503_talula</v>
      </c>
      <c r="G417" s="1">
        <v>1</v>
      </c>
      <c r="K417" s="1">
        <v>50000</v>
      </c>
      <c r="M417" s="1">
        <v>1500</v>
      </c>
      <c r="O417" s="1">
        <v>700</v>
      </c>
      <c r="Q417" s="1">
        <v>50</v>
      </c>
      <c r="Y417" s="1">
        <v>0.05</v>
      </c>
      <c r="Z417" s="1">
        <v>4.5</v>
      </c>
      <c r="AA417" s="1">
        <v>6</v>
      </c>
      <c r="AB417" s="1">
        <v>0.5</v>
      </c>
      <c r="AG417" s="1">
        <v>0</v>
      </c>
      <c r="AH417" s="1">
        <v>1</v>
      </c>
      <c r="AI417" s="1" t="s">
        <v>1946</v>
      </c>
      <c r="AJ417" s="1" t="s">
        <v>216</v>
      </c>
      <c r="AK417" s="1" t="s">
        <v>1947</v>
      </c>
      <c r="AM417" s="1">
        <v>1</v>
      </c>
      <c r="AV417" s="1">
        <v>1</v>
      </c>
      <c r="AW417" s="1" t="s">
        <v>1516</v>
      </c>
      <c r="AX417" s="1">
        <v>0.25</v>
      </c>
      <c r="BE417" s="1" t="str">
        <f t="shared" si="28"/>
        <v>enemy_1503_talula</v>
      </c>
      <c r="BK417" s="1" t="s">
        <v>1342</v>
      </c>
      <c r="BL417" s="1" t="s">
        <v>1948</v>
      </c>
      <c r="BN417" s="1" t="s">
        <v>217</v>
      </c>
      <c r="BO417" s="1" t="s">
        <v>218</v>
      </c>
      <c r="BP417" s="1" t="s">
        <v>239</v>
      </c>
      <c r="BQ417" s="1" t="s">
        <v>220</v>
      </c>
      <c r="BT417" s="1">
        <v>1</v>
      </c>
    </row>
    <row r="418" spans="1:72">
      <c r="A418" s="1" t="s">
        <v>1949</v>
      </c>
      <c r="B418" s="1" t="s">
        <v>213</v>
      </c>
      <c r="C418" s="1">
        <v>1</v>
      </c>
      <c r="D418" s="1" t="s">
        <v>1950</v>
      </c>
      <c r="E418" s="1">
        <v>1514</v>
      </c>
      <c r="F418" s="1" t="str">
        <f t="shared" si="29"/>
        <v>enemy_1514_smephi</v>
      </c>
      <c r="G418" s="1">
        <v>1</v>
      </c>
      <c r="K418" s="1">
        <v>60000</v>
      </c>
      <c r="M418" s="1">
        <v>450</v>
      </c>
      <c r="O418" s="1">
        <v>450</v>
      </c>
      <c r="Q418" s="1">
        <v>30</v>
      </c>
      <c r="Y418" s="1">
        <v>0.05</v>
      </c>
      <c r="Z418" s="1">
        <v>4</v>
      </c>
      <c r="AA418" s="1">
        <v>6</v>
      </c>
      <c r="AB418" s="1">
        <v>1</v>
      </c>
      <c r="AG418" s="1">
        <v>0</v>
      </c>
      <c r="AH418" s="1">
        <v>1</v>
      </c>
      <c r="AI418" s="1" t="s">
        <v>1951</v>
      </c>
      <c r="AJ418" s="1" t="s">
        <v>216</v>
      </c>
      <c r="AK418" s="1" t="s">
        <v>238</v>
      </c>
      <c r="AM418" s="1">
        <v>1</v>
      </c>
      <c r="AV418" s="1">
        <v>1</v>
      </c>
      <c r="AX418" s="1">
        <v>0.25</v>
      </c>
      <c r="BE418" s="1" t="str">
        <f t="shared" si="28"/>
        <v>enemy_1514_smephi</v>
      </c>
      <c r="BK418" s="1" t="s">
        <v>1351</v>
      </c>
      <c r="BL418" s="1" t="s">
        <v>1952</v>
      </c>
      <c r="BN418" s="1" t="s">
        <v>217</v>
      </c>
      <c r="BO418" s="1" t="s">
        <v>218</v>
      </c>
      <c r="BP418" s="1" t="s">
        <v>1953</v>
      </c>
      <c r="BQ418" s="1" t="s">
        <v>220</v>
      </c>
      <c r="BT418" s="1">
        <v>1</v>
      </c>
    </row>
    <row r="419" spans="1:72">
      <c r="A419" s="1" t="s">
        <v>1954</v>
      </c>
      <c r="B419" s="1" t="s">
        <v>213</v>
      </c>
      <c r="D419" s="1" t="s">
        <v>1955</v>
      </c>
      <c r="E419" s="1">
        <v>1515</v>
      </c>
      <c r="F419" s="1" t="str">
        <f t="shared" si="29"/>
        <v>enemy_1515_bsnake</v>
      </c>
      <c r="G419" s="1">
        <v>1</v>
      </c>
      <c r="K419" s="1">
        <v>50000</v>
      </c>
      <c r="M419" s="1">
        <v>770</v>
      </c>
      <c r="O419" s="1">
        <v>800</v>
      </c>
      <c r="Q419" s="1">
        <v>50</v>
      </c>
      <c r="Y419" s="1">
        <v>0.05</v>
      </c>
      <c r="Z419" s="1">
        <v>4.5</v>
      </c>
      <c r="AA419" s="1">
        <v>6</v>
      </c>
      <c r="AB419" s="1">
        <v>0.5</v>
      </c>
      <c r="AG419" s="1">
        <v>0</v>
      </c>
      <c r="AH419" s="1">
        <v>1</v>
      </c>
      <c r="AI419" s="1" t="s">
        <v>1956</v>
      </c>
      <c r="AJ419" s="1" t="s">
        <v>216</v>
      </c>
      <c r="AK419" s="1" t="s">
        <v>1957</v>
      </c>
      <c r="AM419" s="1">
        <v>1</v>
      </c>
      <c r="AV419" s="1">
        <v>1</v>
      </c>
      <c r="AW419" s="1" t="s">
        <v>1516</v>
      </c>
      <c r="AX419" s="1">
        <v>0.25</v>
      </c>
      <c r="BE419" s="1" t="str">
        <f t="shared" si="28"/>
        <v>enemy_1515_bsnake</v>
      </c>
      <c r="BK419" s="1" t="s">
        <v>1351</v>
      </c>
      <c r="BL419" s="1" t="s">
        <v>1958</v>
      </c>
      <c r="BN419" s="1" t="s">
        <v>217</v>
      </c>
      <c r="BO419" s="1" t="s">
        <v>1959</v>
      </c>
      <c r="BP419" s="1" t="s">
        <v>1960</v>
      </c>
      <c r="BQ419" s="1" t="s">
        <v>220</v>
      </c>
      <c r="BT419" s="1">
        <v>1</v>
      </c>
    </row>
    <row r="420" spans="1:72">
      <c r="A420" s="1" t="s">
        <v>1961</v>
      </c>
      <c r="B420" s="1" t="s">
        <v>213</v>
      </c>
      <c r="D420" s="1" t="s">
        <v>1962</v>
      </c>
      <c r="E420" s="1">
        <v>3001</v>
      </c>
      <c r="F420" s="1" t="str">
        <f t="shared" si="29"/>
        <v>enemy_3001_upeopl</v>
      </c>
      <c r="G420" s="1">
        <v>1</v>
      </c>
      <c r="K420" s="1">
        <v>3500</v>
      </c>
      <c r="M420" s="1">
        <v>0</v>
      </c>
      <c r="O420" s="1">
        <v>50</v>
      </c>
      <c r="Q420" s="1">
        <v>0</v>
      </c>
      <c r="Y420" s="1">
        <v>0.05</v>
      </c>
      <c r="Z420" s="1">
        <v>0</v>
      </c>
      <c r="AA420" s="1">
        <v>1</v>
      </c>
      <c r="AB420" s="1">
        <v>0.65</v>
      </c>
      <c r="AG420" s="1">
        <v>0</v>
      </c>
      <c r="AH420" s="1">
        <v>0</v>
      </c>
      <c r="AI420" s="1" t="s">
        <v>1963</v>
      </c>
      <c r="AJ420" s="1" t="s">
        <v>216</v>
      </c>
      <c r="AK420" s="1" t="s">
        <v>1964</v>
      </c>
      <c r="AM420" s="1">
        <v>1</v>
      </c>
      <c r="AV420" s="1">
        <v>0</v>
      </c>
      <c r="AX420" s="1">
        <v>0.25</v>
      </c>
      <c r="BE420" s="1" t="str">
        <f t="shared" si="28"/>
        <v>enemy_3001_upeopl</v>
      </c>
      <c r="BK420" s="1" t="s">
        <v>1965</v>
      </c>
      <c r="BL420" s="1" t="s">
        <v>1966</v>
      </c>
      <c r="BN420" s="1" t="s">
        <v>217</v>
      </c>
      <c r="BO420" s="1" t="s">
        <v>218</v>
      </c>
      <c r="BP420" s="1" t="s">
        <v>239</v>
      </c>
      <c r="BQ420" s="1" t="s">
        <v>220</v>
      </c>
      <c r="BT420" s="1">
        <v>1</v>
      </c>
    </row>
    <row r="421" spans="1:72">
      <c r="A421" s="1" t="s">
        <v>1967</v>
      </c>
      <c r="B421" s="1" t="s">
        <v>213</v>
      </c>
      <c r="C421" s="1">
        <v>1</v>
      </c>
      <c r="D421" s="1" t="s">
        <v>1968</v>
      </c>
      <c r="E421" s="1">
        <v>3002</v>
      </c>
      <c r="F421" s="1" t="str">
        <f t="shared" si="29"/>
        <v>enemy_3002_ftrtal</v>
      </c>
      <c r="G421" s="1">
        <v>1</v>
      </c>
      <c r="K421" s="1">
        <v>15000</v>
      </c>
      <c r="M421" s="1">
        <v>600</v>
      </c>
      <c r="O421" s="1">
        <v>350</v>
      </c>
      <c r="Q421" s="1">
        <v>50</v>
      </c>
      <c r="Y421" s="1">
        <v>0.05</v>
      </c>
      <c r="Z421" s="1">
        <v>5</v>
      </c>
      <c r="AA421" s="1">
        <v>6</v>
      </c>
      <c r="AB421" s="1">
        <v>0.45</v>
      </c>
      <c r="AG421" s="1">
        <v>0</v>
      </c>
      <c r="AH421" s="1">
        <v>1</v>
      </c>
      <c r="AI421" s="1" t="s">
        <v>1969</v>
      </c>
      <c r="AJ421" s="1" t="s">
        <v>216</v>
      </c>
      <c r="AK421" s="1" t="s">
        <v>238</v>
      </c>
      <c r="AM421" s="1">
        <v>1</v>
      </c>
      <c r="AV421" s="1">
        <v>1</v>
      </c>
      <c r="AX421" s="1">
        <v>0.25</v>
      </c>
      <c r="BE421" s="1" t="str">
        <f t="shared" si="28"/>
        <v>enemy_3002_ftrtal</v>
      </c>
      <c r="BK421" s="1" t="s">
        <v>1970</v>
      </c>
      <c r="BL421" s="1" t="s">
        <v>1971</v>
      </c>
      <c r="BN421" s="1" t="s">
        <v>217</v>
      </c>
      <c r="BO421" s="1" t="s">
        <v>218</v>
      </c>
      <c r="BP421" s="1" t="s">
        <v>239</v>
      </c>
      <c r="BQ421" s="1" t="s">
        <v>220</v>
      </c>
      <c r="BT421" s="1">
        <v>1</v>
      </c>
    </row>
    <row r="422" spans="1:72">
      <c r="A422" s="1" t="s">
        <v>1972</v>
      </c>
      <c r="B422" s="1" t="s">
        <v>213</v>
      </c>
      <c r="C422" s="1">
        <v>1</v>
      </c>
      <c r="D422" s="1" t="s">
        <v>1973</v>
      </c>
      <c r="E422" s="1">
        <v>3002</v>
      </c>
      <c r="F422" s="1" t="str">
        <f t="shared" si="29"/>
        <v>enemy_3002_ftrtal_s</v>
      </c>
      <c r="G422" s="1">
        <v>1</v>
      </c>
      <c r="K422" s="1">
        <v>15000</v>
      </c>
      <c r="M422" s="1">
        <v>600</v>
      </c>
      <c r="O422" s="1">
        <v>350</v>
      </c>
      <c r="Q422" s="1">
        <v>50</v>
      </c>
      <c r="Y422" s="1">
        <v>0.05</v>
      </c>
      <c r="Z422" s="1">
        <v>5</v>
      </c>
      <c r="AA422" s="1">
        <v>6</v>
      </c>
      <c r="AB422" s="1">
        <v>0.45</v>
      </c>
      <c r="AG422" s="1">
        <v>0</v>
      </c>
      <c r="AH422" s="1">
        <v>1</v>
      </c>
      <c r="AI422" s="1" t="s">
        <v>1969</v>
      </c>
      <c r="AJ422" s="1" t="s">
        <v>216</v>
      </c>
      <c r="AK422" s="1" t="s">
        <v>238</v>
      </c>
      <c r="AM422" s="1">
        <v>1</v>
      </c>
      <c r="AV422" s="1">
        <v>1</v>
      </c>
      <c r="AX422" s="1">
        <v>0.25</v>
      </c>
      <c r="BE422" s="1" t="str">
        <f t="shared" si="28"/>
        <v>enemy_3002_ftrtal_s</v>
      </c>
      <c r="BN422" s="1" t="s">
        <v>217</v>
      </c>
      <c r="BO422" s="1" t="s">
        <v>218</v>
      </c>
      <c r="BQ422" s="1" t="s">
        <v>220</v>
      </c>
      <c r="BT422" s="1">
        <v>1</v>
      </c>
    </row>
    <row r="423" spans="1:72">
      <c r="A423" s="1" t="s">
        <v>1974</v>
      </c>
      <c r="B423" s="1" t="s">
        <v>213</v>
      </c>
      <c r="C423" s="1">
        <v>1</v>
      </c>
      <c r="D423" s="1" t="s">
        <v>1975</v>
      </c>
      <c r="E423" s="1">
        <v>1116</v>
      </c>
      <c r="F423" s="1" t="str">
        <f t="shared" si="29"/>
        <v>enemy_1116_liprr</v>
      </c>
      <c r="G423" s="1">
        <v>1</v>
      </c>
      <c r="K423" s="1">
        <v>5500</v>
      </c>
      <c r="M423" s="1">
        <v>280</v>
      </c>
      <c r="O423" s="1">
        <v>60</v>
      </c>
      <c r="Q423" s="1">
        <v>0</v>
      </c>
      <c r="Y423" s="1">
        <v>0.05</v>
      </c>
      <c r="Z423" s="1">
        <v>2</v>
      </c>
      <c r="AA423" s="1">
        <v>1</v>
      </c>
      <c r="AB423" s="1">
        <v>1.1</v>
      </c>
      <c r="AG423" s="1">
        <v>0</v>
      </c>
      <c r="AH423" s="1">
        <v>1</v>
      </c>
      <c r="AI423" s="1" t="s">
        <v>1976</v>
      </c>
      <c r="AJ423" s="1" t="s">
        <v>216</v>
      </c>
      <c r="AK423" s="1" t="s">
        <v>238</v>
      </c>
      <c r="AM423" s="1">
        <v>1</v>
      </c>
      <c r="AV423" s="1">
        <v>1</v>
      </c>
      <c r="AX423" s="1">
        <v>0.25</v>
      </c>
      <c r="BE423" s="1" t="str">
        <f t="shared" si="28"/>
        <v>enemy_1116_liprr</v>
      </c>
      <c r="BK423" s="1" t="s">
        <v>1977</v>
      </c>
      <c r="BL423" s="1" t="s">
        <v>1978</v>
      </c>
      <c r="BN423" s="1" t="s">
        <v>217</v>
      </c>
      <c r="BO423" s="1" t="s">
        <v>218</v>
      </c>
      <c r="BP423" s="1" t="s">
        <v>239</v>
      </c>
      <c r="BQ423" s="1" t="s">
        <v>220</v>
      </c>
      <c r="BT423" s="1">
        <v>1</v>
      </c>
    </row>
    <row r="424" spans="1:72">
      <c r="A424" s="1" t="s">
        <v>1979</v>
      </c>
      <c r="B424" s="1" t="s">
        <v>213</v>
      </c>
      <c r="C424" s="1">
        <v>1</v>
      </c>
      <c r="D424" s="1" t="s">
        <v>1980</v>
      </c>
      <c r="E424" s="1">
        <v>1116</v>
      </c>
      <c r="F424" s="1" t="str">
        <f t="shared" si="29"/>
        <v>enemy_1116_liprr_2</v>
      </c>
      <c r="G424" s="1">
        <v>1</v>
      </c>
      <c r="K424" s="1">
        <v>7500</v>
      </c>
      <c r="M424" s="1">
        <v>380</v>
      </c>
      <c r="O424" s="1">
        <v>60</v>
      </c>
      <c r="Q424" s="1">
        <v>0</v>
      </c>
      <c r="Y424" s="1">
        <v>0.05</v>
      </c>
      <c r="Z424" s="1">
        <v>2</v>
      </c>
      <c r="AA424" s="1">
        <v>1</v>
      </c>
      <c r="AB424" s="1">
        <v>1.1</v>
      </c>
      <c r="AG424" s="1">
        <v>0</v>
      </c>
      <c r="AH424" s="1">
        <v>1</v>
      </c>
      <c r="AI424" s="1" t="s">
        <v>1981</v>
      </c>
      <c r="AJ424" s="1" t="s">
        <v>216</v>
      </c>
      <c r="AK424" s="1" t="s">
        <v>238</v>
      </c>
      <c r="AM424" s="1">
        <v>1</v>
      </c>
      <c r="AV424" s="1">
        <v>1</v>
      </c>
      <c r="AX424" s="1">
        <v>0.25</v>
      </c>
      <c r="BE424" s="1" t="str">
        <f t="shared" ref="BE424:BE487" si="30">"enemy_"&amp;E424&amp;"_"&amp;D424</f>
        <v>enemy_1116_liprr_2</v>
      </c>
      <c r="BK424" s="1" t="s">
        <v>1977</v>
      </c>
      <c r="BL424" s="1" t="s">
        <v>1982</v>
      </c>
      <c r="BN424" s="1" t="s">
        <v>217</v>
      </c>
      <c r="BO424" s="1" t="s">
        <v>218</v>
      </c>
      <c r="BP424" s="1" t="s">
        <v>239</v>
      </c>
      <c r="BQ424" s="1" t="s">
        <v>220</v>
      </c>
      <c r="BT424" s="1">
        <v>1</v>
      </c>
    </row>
    <row r="425" spans="1:72">
      <c r="A425" s="1" t="s">
        <v>1983</v>
      </c>
      <c r="B425" s="1" t="s">
        <v>213</v>
      </c>
      <c r="C425" s="1">
        <v>1</v>
      </c>
      <c r="D425" s="1" t="s">
        <v>1984</v>
      </c>
      <c r="E425" s="1">
        <v>1117</v>
      </c>
      <c r="F425" s="1" t="str">
        <f t="shared" si="29"/>
        <v>enemy_1117_liiprr</v>
      </c>
      <c r="G425" s="1">
        <v>1</v>
      </c>
      <c r="K425" s="1">
        <v>5500</v>
      </c>
      <c r="M425" s="1">
        <v>220</v>
      </c>
      <c r="O425" s="1">
        <v>80</v>
      </c>
      <c r="Q425" s="1">
        <v>30</v>
      </c>
      <c r="Y425" s="1">
        <v>0.05</v>
      </c>
      <c r="Z425" s="1">
        <v>3</v>
      </c>
      <c r="AA425" s="1">
        <v>1</v>
      </c>
      <c r="AB425" s="1">
        <v>0.9</v>
      </c>
      <c r="AG425" s="1">
        <v>0</v>
      </c>
      <c r="AH425" s="1">
        <v>1</v>
      </c>
      <c r="AI425" s="1" t="s">
        <v>1985</v>
      </c>
      <c r="AJ425" s="1" t="s">
        <v>216</v>
      </c>
      <c r="AK425" s="1" t="s">
        <v>238</v>
      </c>
      <c r="AM425" s="1">
        <v>1</v>
      </c>
      <c r="AV425" s="1">
        <v>1</v>
      </c>
      <c r="AX425" s="1">
        <v>0.25</v>
      </c>
      <c r="BE425" s="1" t="str">
        <f t="shared" si="30"/>
        <v>enemy_1117_liiprr</v>
      </c>
      <c r="BK425" s="1" t="s">
        <v>1986</v>
      </c>
      <c r="BL425" s="1" t="s">
        <v>1987</v>
      </c>
      <c r="BN425" s="1" t="s">
        <v>217</v>
      </c>
      <c r="BO425" s="1" t="s">
        <v>218</v>
      </c>
      <c r="BP425" s="1" t="s">
        <v>239</v>
      </c>
      <c r="BQ425" s="1" t="s">
        <v>220</v>
      </c>
      <c r="BT425" s="1">
        <v>1</v>
      </c>
    </row>
    <row r="426" spans="1:72">
      <c r="A426" s="1" t="s">
        <v>1988</v>
      </c>
      <c r="B426" s="1" t="s">
        <v>213</v>
      </c>
      <c r="C426" s="1">
        <v>1</v>
      </c>
      <c r="D426" s="1" t="s">
        <v>1989</v>
      </c>
      <c r="E426" s="1">
        <v>1117</v>
      </c>
      <c r="F426" s="1" t="str">
        <f t="shared" si="29"/>
        <v>enemy_1117_liiprr_2</v>
      </c>
      <c r="G426" s="1">
        <v>1</v>
      </c>
      <c r="K426" s="1">
        <v>7000</v>
      </c>
      <c r="M426" s="1">
        <v>320</v>
      </c>
      <c r="O426" s="1">
        <v>80</v>
      </c>
      <c r="Q426" s="1">
        <v>30</v>
      </c>
      <c r="Y426" s="1">
        <v>0.05</v>
      </c>
      <c r="Z426" s="1">
        <v>3</v>
      </c>
      <c r="AA426" s="1">
        <v>1</v>
      </c>
      <c r="AB426" s="1">
        <v>0.9</v>
      </c>
      <c r="AG426" s="1">
        <v>0</v>
      </c>
      <c r="AH426" s="1">
        <v>1</v>
      </c>
      <c r="AI426" s="1" t="s">
        <v>1990</v>
      </c>
      <c r="AJ426" s="1" t="s">
        <v>216</v>
      </c>
      <c r="AK426" s="1" t="s">
        <v>238</v>
      </c>
      <c r="AM426" s="1">
        <v>1</v>
      </c>
      <c r="AV426" s="1">
        <v>1</v>
      </c>
      <c r="AX426" s="1">
        <v>0.25</v>
      </c>
      <c r="BE426" s="1" t="str">
        <f t="shared" si="30"/>
        <v>enemy_1117_liiprr_2</v>
      </c>
      <c r="BK426" s="1" t="s">
        <v>1986</v>
      </c>
      <c r="BL426" s="1" t="s">
        <v>1991</v>
      </c>
      <c r="BN426" s="1" t="s">
        <v>217</v>
      </c>
      <c r="BO426" s="1" t="s">
        <v>218</v>
      </c>
      <c r="BP426" s="1" t="s">
        <v>239</v>
      </c>
      <c r="BQ426" s="1" t="s">
        <v>220</v>
      </c>
      <c r="BT426" s="1">
        <v>1</v>
      </c>
    </row>
    <row r="427" spans="1:72">
      <c r="A427" s="1" t="s">
        <v>1992</v>
      </c>
      <c r="B427" s="1" t="s">
        <v>213</v>
      </c>
      <c r="C427" s="1">
        <v>1</v>
      </c>
      <c r="D427" s="1" t="s">
        <v>1993</v>
      </c>
      <c r="E427" s="1">
        <v>1118</v>
      </c>
      <c r="F427" s="1" t="str">
        <f t="shared" si="29"/>
        <v>enemy_1118_lidbox</v>
      </c>
      <c r="G427" s="1">
        <v>1</v>
      </c>
      <c r="K427" s="1">
        <v>8000</v>
      </c>
      <c r="M427" s="1">
        <v>300</v>
      </c>
      <c r="O427" s="1">
        <v>300</v>
      </c>
      <c r="Q427" s="1">
        <v>0</v>
      </c>
      <c r="Y427" s="1">
        <v>0.05</v>
      </c>
      <c r="Z427" s="1">
        <v>1.2</v>
      </c>
      <c r="AA427" s="1">
        <v>2</v>
      </c>
      <c r="AB427" s="1">
        <v>1.6</v>
      </c>
      <c r="AG427" s="1">
        <v>0</v>
      </c>
      <c r="AH427" s="1">
        <v>1</v>
      </c>
      <c r="AI427" s="1" t="s">
        <v>1994</v>
      </c>
      <c r="AJ427" s="1" t="s">
        <v>216</v>
      </c>
      <c r="AK427" s="1" t="s">
        <v>238</v>
      </c>
      <c r="AM427" s="1">
        <v>1</v>
      </c>
      <c r="AV427" s="1">
        <v>1</v>
      </c>
      <c r="AX427" s="1">
        <v>0.25</v>
      </c>
      <c r="BE427" s="1" t="str">
        <f t="shared" si="30"/>
        <v>enemy_1118_lidbox</v>
      </c>
      <c r="BK427" s="1" t="s">
        <v>1995</v>
      </c>
      <c r="BL427" s="1" t="s">
        <v>1996</v>
      </c>
      <c r="BN427" s="1" t="s">
        <v>1997</v>
      </c>
      <c r="BO427" s="1" t="s">
        <v>1998</v>
      </c>
      <c r="BP427" s="1" t="s">
        <v>1999</v>
      </c>
      <c r="BQ427" s="1" t="s">
        <v>2000</v>
      </c>
      <c r="BT427" s="1">
        <v>1</v>
      </c>
    </row>
    <row r="428" spans="1:72">
      <c r="A428" s="1" t="s">
        <v>2001</v>
      </c>
      <c r="B428" s="1" t="s">
        <v>213</v>
      </c>
      <c r="C428" s="1">
        <v>1</v>
      </c>
      <c r="D428" s="1" t="s">
        <v>2002</v>
      </c>
      <c r="E428" s="1">
        <v>1118</v>
      </c>
      <c r="F428" s="1" t="str">
        <f t="shared" si="29"/>
        <v>enemy_1118_lidbox_2</v>
      </c>
      <c r="G428" s="1">
        <v>1</v>
      </c>
      <c r="K428" s="1">
        <v>9500</v>
      </c>
      <c r="M428" s="1">
        <v>400</v>
      </c>
      <c r="O428" s="1">
        <v>400</v>
      </c>
      <c r="Q428" s="1">
        <v>0</v>
      </c>
      <c r="Y428" s="1">
        <v>0.05</v>
      </c>
      <c r="Z428" s="1">
        <v>1</v>
      </c>
      <c r="AA428" s="1">
        <v>2</v>
      </c>
      <c r="AB428" s="1">
        <v>1.6</v>
      </c>
      <c r="AG428" s="1">
        <v>0</v>
      </c>
      <c r="AH428" s="1">
        <v>1</v>
      </c>
      <c r="AI428" s="1" t="s">
        <v>2003</v>
      </c>
      <c r="AJ428" s="1" t="s">
        <v>216</v>
      </c>
      <c r="AK428" s="1" t="s">
        <v>238</v>
      </c>
      <c r="AM428" s="1">
        <v>1</v>
      </c>
      <c r="AV428" s="1">
        <v>1</v>
      </c>
      <c r="AX428" s="1">
        <v>0.25</v>
      </c>
      <c r="BE428" s="1" t="str">
        <f t="shared" si="30"/>
        <v>enemy_1118_lidbox_2</v>
      </c>
      <c r="BK428" s="1" t="s">
        <v>1995</v>
      </c>
      <c r="BL428" s="1" t="s">
        <v>2004</v>
      </c>
      <c r="BN428" s="1" t="s">
        <v>1997</v>
      </c>
      <c r="BO428" s="1" t="s">
        <v>1998</v>
      </c>
      <c r="BP428" s="1" t="s">
        <v>1999</v>
      </c>
      <c r="BQ428" s="1" t="s">
        <v>2000</v>
      </c>
      <c r="BT428" s="1">
        <v>1</v>
      </c>
    </row>
    <row r="429" spans="1:72">
      <c r="A429" s="1" t="s">
        <v>2005</v>
      </c>
      <c r="B429" s="1" t="s">
        <v>213</v>
      </c>
      <c r="C429" s="1">
        <v>1</v>
      </c>
      <c r="D429" s="1" t="s">
        <v>2006</v>
      </c>
      <c r="E429" s="1">
        <v>1119</v>
      </c>
      <c r="F429" s="1" t="str">
        <f t="shared" si="29"/>
        <v>enemy_1119_vofsd</v>
      </c>
      <c r="G429" s="1">
        <v>1</v>
      </c>
      <c r="K429" s="1">
        <v>11000</v>
      </c>
      <c r="M429" s="1">
        <v>600</v>
      </c>
      <c r="O429" s="1">
        <v>700</v>
      </c>
      <c r="Q429" s="1">
        <v>0</v>
      </c>
      <c r="Y429" s="1">
        <v>0.05</v>
      </c>
      <c r="Z429" s="1">
        <v>3.3</v>
      </c>
      <c r="AA429" s="1">
        <v>3</v>
      </c>
      <c r="AB429" s="1">
        <v>0.8</v>
      </c>
      <c r="AG429" s="1">
        <v>0</v>
      </c>
      <c r="AH429" s="1">
        <v>1</v>
      </c>
      <c r="AI429" s="1" t="s">
        <v>2007</v>
      </c>
      <c r="AJ429" s="1" t="s">
        <v>216</v>
      </c>
      <c r="AK429" s="1" t="s">
        <v>238</v>
      </c>
      <c r="AM429" s="1">
        <v>1</v>
      </c>
      <c r="AV429" s="1">
        <v>1</v>
      </c>
      <c r="AX429" s="1">
        <v>0.25</v>
      </c>
      <c r="BE429" s="1" t="str">
        <f t="shared" si="30"/>
        <v>enemy_1119_vofsd</v>
      </c>
      <c r="BK429" s="1" t="s">
        <v>1995</v>
      </c>
      <c r="BL429" s="1" t="s">
        <v>2008</v>
      </c>
      <c r="BN429" s="1" t="s">
        <v>217</v>
      </c>
      <c r="BO429" s="1" t="s">
        <v>218</v>
      </c>
      <c r="BP429" s="1" t="s">
        <v>239</v>
      </c>
      <c r="BQ429" s="1" t="s">
        <v>220</v>
      </c>
      <c r="BT429" s="1">
        <v>1</v>
      </c>
    </row>
    <row r="430" spans="1:72">
      <c r="A430" s="1" t="s">
        <v>2009</v>
      </c>
      <c r="B430" s="1" t="s">
        <v>213</v>
      </c>
      <c r="C430" s="1">
        <v>1</v>
      </c>
      <c r="D430" s="1" t="s">
        <v>2010</v>
      </c>
      <c r="E430" s="1">
        <v>1119</v>
      </c>
      <c r="F430" s="1" t="str">
        <f t="shared" si="29"/>
        <v>enemy_1119_vofsd_2</v>
      </c>
      <c r="G430" s="1">
        <v>1</v>
      </c>
      <c r="K430" s="1">
        <v>14000</v>
      </c>
      <c r="M430" s="1">
        <v>700</v>
      </c>
      <c r="O430" s="1">
        <v>1000</v>
      </c>
      <c r="Q430" s="1">
        <v>0</v>
      </c>
      <c r="Y430" s="1">
        <v>0.05</v>
      </c>
      <c r="Z430" s="1">
        <v>3.3</v>
      </c>
      <c r="AA430" s="1">
        <v>3</v>
      </c>
      <c r="AB430" s="1">
        <v>0.8</v>
      </c>
      <c r="AG430" s="1">
        <v>0</v>
      </c>
      <c r="AH430" s="1">
        <v>1</v>
      </c>
      <c r="AI430" s="1" t="s">
        <v>2011</v>
      </c>
      <c r="AJ430" s="1" t="s">
        <v>216</v>
      </c>
      <c r="AK430" s="1" t="s">
        <v>238</v>
      </c>
      <c r="AM430" s="1">
        <v>1</v>
      </c>
      <c r="AV430" s="1">
        <v>1</v>
      </c>
      <c r="AX430" s="1">
        <v>0.25</v>
      </c>
      <c r="BE430" s="1" t="str">
        <f t="shared" si="30"/>
        <v>enemy_1119_vofsd_2</v>
      </c>
      <c r="BK430" s="1" t="s">
        <v>1995</v>
      </c>
      <c r="BL430" s="1" t="s">
        <v>2012</v>
      </c>
      <c r="BN430" s="1" t="s">
        <v>217</v>
      </c>
      <c r="BO430" s="1" t="s">
        <v>218</v>
      </c>
      <c r="BP430" s="1" t="s">
        <v>239</v>
      </c>
      <c r="BQ430" s="1" t="s">
        <v>220</v>
      </c>
      <c r="BT430" s="1">
        <v>1</v>
      </c>
    </row>
    <row r="431" spans="1:72">
      <c r="A431" s="1" t="s">
        <v>2013</v>
      </c>
      <c r="B431" s="1" t="s">
        <v>213</v>
      </c>
      <c r="C431" s="1">
        <v>1</v>
      </c>
      <c r="D431" s="1" t="s">
        <v>2014</v>
      </c>
      <c r="E431" s="1">
        <v>1120</v>
      </c>
      <c r="F431" s="1" t="str">
        <f t="shared" si="29"/>
        <v>enemy_1120_vofwiz</v>
      </c>
      <c r="G431" s="1">
        <v>1</v>
      </c>
      <c r="K431" s="1">
        <v>9000</v>
      </c>
      <c r="M431" s="1">
        <v>300</v>
      </c>
      <c r="O431" s="1">
        <v>100</v>
      </c>
      <c r="Q431" s="1">
        <v>50</v>
      </c>
      <c r="Y431" s="1">
        <v>0.05</v>
      </c>
      <c r="Z431" s="1">
        <v>3.5</v>
      </c>
      <c r="AA431" s="1">
        <v>3</v>
      </c>
      <c r="AB431" s="1">
        <v>0.5</v>
      </c>
      <c r="AG431" s="1">
        <v>0</v>
      </c>
      <c r="AH431" s="1">
        <v>1</v>
      </c>
      <c r="AI431" s="1" t="s">
        <v>2015</v>
      </c>
      <c r="AJ431" s="1" t="s">
        <v>216</v>
      </c>
      <c r="AK431" s="1" t="s">
        <v>238</v>
      </c>
      <c r="AM431" s="1">
        <v>1</v>
      </c>
      <c r="AV431" s="1">
        <v>1</v>
      </c>
      <c r="AX431" s="1">
        <v>0.25</v>
      </c>
      <c r="BE431" s="1" t="str">
        <f t="shared" si="30"/>
        <v>enemy_1120_vofwiz</v>
      </c>
      <c r="BK431" s="1" t="s">
        <v>2016</v>
      </c>
      <c r="BL431" s="1" t="s">
        <v>2017</v>
      </c>
      <c r="BN431" s="1" t="s">
        <v>217</v>
      </c>
      <c r="BO431" s="1" t="s">
        <v>218</v>
      </c>
      <c r="BP431" s="1" t="s">
        <v>239</v>
      </c>
      <c r="BQ431" s="1" t="s">
        <v>220</v>
      </c>
      <c r="BT431" s="1">
        <v>1</v>
      </c>
    </row>
    <row r="432" spans="1:72">
      <c r="A432" s="1" t="s">
        <v>2018</v>
      </c>
      <c r="B432" s="1" t="s">
        <v>213</v>
      </c>
      <c r="C432" s="1">
        <v>1</v>
      </c>
      <c r="D432" s="1" t="s">
        <v>2019</v>
      </c>
      <c r="E432" s="1">
        <v>1120</v>
      </c>
      <c r="F432" s="1" t="str">
        <f t="shared" si="29"/>
        <v>enemy_1120_vofwiz_2</v>
      </c>
      <c r="G432" s="1">
        <v>1</v>
      </c>
      <c r="K432" s="1">
        <v>11000</v>
      </c>
      <c r="M432" s="1">
        <v>340</v>
      </c>
      <c r="O432" s="1">
        <v>200</v>
      </c>
      <c r="Q432" s="1">
        <v>50</v>
      </c>
      <c r="Y432" s="1">
        <v>0.05</v>
      </c>
      <c r="Z432" s="1">
        <v>3.5</v>
      </c>
      <c r="AA432" s="1">
        <v>3</v>
      </c>
      <c r="AB432" s="1">
        <v>0.5</v>
      </c>
      <c r="AG432" s="1">
        <v>0</v>
      </c>
      <c r="AH432" s="1">
        <v>1</v>
      </c>
      <c r="AI432" s="1" t="s">
        <v>2020</v>
      </c>
      <c r="AJ432" s="1" t="s">
        <v>216</v>
      </c>
      <c r="AK432" s="1" t="s">
        <v>238</v>
      </c>
      <c r="AM432" s="1">
        <v>1</v>
      </c>
      <c r="AV432" s="1">
        <v>1</v>
      </c>
      <c r="AX432" s="1">
        <v>0.25</v>
      </c>
      <c r="BE432" s="1" t="str">
        <f t="shared" si="30"/>
        <v>enemy_1120_vofwiz_2</v>
      </c>
      <c r="BK432" s="1" t="s">
        <v>2016</v>
      </c>
      <c r="BL432" s="1" t="s">
        <v>2021</v>
      </c>
      <c r="BN432" s="1" t="s">
        <v>217</v>
      </c>
      <c r="BO432" s="1" t="s">
        <v>218</v>
      </c>
      <c r="BP432" s="1" t="s">
        <v>239</v>
      </c>
      <c r="BQ432" s="1" t="s">
        <v>220</v>
      </c>
      <c r="BT432" s="1">
        <v>1</v>
      </c>
    </row>
    <row r="433" spans="1:72">
      <c r="A433" s="1" t="s">
        <v>2022</v>
      </c>
      <c r="B433" s="1" t="s">
        <v>213</v>
      </c>
      <c r="C433" s="1">
        <v>1</v>
      </c>
      <c r="D433" s="1" t="s">
        <v>2023</v>
      </c>
      <c r="E433" s="1">
        <v>1121</v>
      </c>
      <c r="F433" s="1" t="str">
        <f t="shared" si="29"/>
        <v>enemy_1121_lifbos</v>
      </c>
      <c r="G433" s="1">
        <v>1</v>
      </c>
      <c r="K433" s="1">
        <v>20000</v>
      </c>
      <c r="M433" s="1">
        <v>800</v>
      </c>
      <c r="O433" s="1">
        <v>400</v>
      </c>
      <c r="Q433" s="1">
        <v>0</v>
      </c>
      <c r="Y433" s="1">
        <v>0.05</v>
      </c>
      <c r="Z433" s="1">
        <v>3</v>
      </c>
      <c r="AA433" s="1">
        <v>5</v>
      </c>
      <c r="AB433" s="1">
        <v>0.8</v>
      </c>
      <c r="AG433" s="1">
        <v>0</v>
      </c>
      <c r="AH433" s="1">
        <v>1</v>
      </c>
      <c r="AI433" s="1" t="s">
        <v>2024</v>
      </c>
      <c r="AJ433" s="1" t="s">
        <v>216</v>
      </c>
      <c r="AK433" s="1" t="s">
        <v>238</v>
      </c>
      <c r="AM433" s="1">
        <v>1</v>
      </c>
      <c r="AV433" s="1">
        <v>1</v>
      </c>
      <c r="AX433" s="1">
        <v>0.25</v>
      </c>
      <c r="BE433" s="1" t="str">
        <f t="shared" si="30"/>
        <v>enemy_1121_lifbos</v>
      </c>
      <c r="BK433" s="1" t="s">
        <v>1995</v>
      </c>
      <c r="BL433" s="1" t="s">
        <v>2025</v>
      </c>
      <c r="BN433" s="1" t="s">
        <v>1997</v>
      </c>
      <c r="BO433" s="1" t="s">
        <v>1998</v>
      </c>
      <c r="BP433" s="1" t="s">
        <v>1999</v>
      </c>
      <c r="BQ433" s="1" t="s">
        <v>2000</v>
      </c>
      <c r="BT433" s="1">
        <v>1</v>
      </c>
    </row>
    <row r="434" spans="1:72">
      <c r="A434" s="1" t="s">
        <v>2026</v>
      </c>
      <c r="B434" s="1" t="s">
        <v>213</v>
      </c>
      <c r="C434" s="1">
        <v>1</v>
      </c>
      <c r="D434" s="1" t="s">
        <v>2027</v>
      </c>
      <c r="E434" s="1">
        <v>1121</v>
      </c>
      <c r="F434" s="1" t="str">
        <f t="shared" si="29"/>
        <v>enemy_1121_lifbos_2</v>
      </c>
      <c r="G434" s="1">
        <v>1</v>
      </c>
      <c r="K434" s="1">
        <v>25000</v>
      </c>
      <c r="M434" s="1">
        <v>1000</v>
      </c>
      <c r="O434" s="1">
        <v>500</v>
      </c>
      <c r="Q434" s="1">
        <v>0</v>
      </c>
      <c r="Y434" s="1">
        <v>0.05</v>
      </c>
      <c r="Z434" s="1">
        <v>3</v>
      </c>
      <c r="AA434" s="1">
        <v>5</v>
      </c>
      <c r="AB434" s="1">
        <v>0.8</v>
      </c>
      <c r="AG434" s="1">
        <v>0</v>
      </c>
      <c r="AH434" s="1">
        <v>1</v>
      </c>
      <c r="AI434" s="1" t="s">
        <v>2028</v>
      </c>
      <c r="AJ434" s="1" t="s">
        <v>216</v>
      </c>
      <c r="AK434" s="1" t="s">
        <v>238</v>
      </c>
      <c r="AM434" s="1">
        <v>1</v>
      </c>
      <c r="AV434" s="1">
        <v>1</v>
      </c>
      <c r="AX434" s="1">
        <v>0.25</v>
      </c>
      <c r="BE434" s="1" t="str">
        <f t="shared" si="30"/>
        <v>enemy_1121_lifbos_2</v>
      </c>
      <c r="BK434" s="1" t="s">
        <v>1995</v>
      </c>
      <c r="BL434" s="1" t="s">
        <v>2029</v>
      </c>
      <c r="BN434" s="1" t="s">
        <v>1997</v>
      </c>
      <c r="BO434" s="1" t="s">
        <v>1998</v>
      </c>
      <c r="BP434" s="1" t="s">
        <v>1999</v>
      </c>
      <c r="BQ434" s="1" t="s">
        <v>2000</v>
      </c>
      <c r="BT434" s="1">
        <v>1</v>
      </c>
    </row>
    <row r="435" spans="1:72">
      <c r="A435" s="1" t="s">
        <v>2030</v>
      </c>
      <c r="B435" s="1" t="s">
        <v>213</v>
      </c>
      <c r="C435" s="1">
        <v>1</v>
      </c>
      <c r="D435" s="1" t="s">
        <v>2031</v>
      </c>
      <c r="E435" s="1">
        <v>1516</v>
      </c>
      <c r="F435" s="1" t="str">
        <f t="shared" si="29"/>
        <v>enemy_1516_jakill</v>
      </c>
      <c r="G435" s="1">
        <v>1</v>
      </c>
      <c r="K435" s="1">
        <v>25000</v>
      </c>
      <c r="M435" s="1">
        <v>700</v>
      </c>
      <c r="O435" s="1">
        <v>400</v>
      </c>
      <c r="Q435" s="1">
        <v>20</v>
      </c>
      <c r="Y435" s="1">
        <v>0.05</v>
      </c>
      <c r="Z435" s="1">
        <v>4</v>
      </c>
      <c r="AA435" s="1">
        <v>6</v>
      </c>
      <c r="AB435" s="1">
        <v>0.6</v>
      </c>
      <c r="AG435" s="1">
        <v>0</v>
      </c>
      <c r="AH435" s="1">
        <v>1</v>
      </c>
      <c r="AI435" s="1" t="s">
        <v>2032</v>
      </c>
      <c r="AJ435" s="1" t="s">
        <v>216</v>
      </c>
      <c r="AK435" s="1" t="s">
        <v>238</v>
      </c>
      <c r="AM435" s="1">
        <v>1</v>
      </c>
      <c r="AV435" s="1">
        <v>1</v>
      </c>
      <c r="AX435" s="1">
        <v>0.25</v>
      </c>
      <c r="BE435" s="1" t="str">
        <f t="shared" si="30"/>
        <v>enemy_1516_jakill</v>
      </c>
      <c r="BK435" s="1" t="s">
        <v>1351</v>
      </c>
      <c r="BL435" s="1" t="s">
        <v>2033</v>
      </c>
      <c r="BN435" s="1" t="s">
        <v>2034</v>
      </c>
      <c r="BO435" s="1" t="s">
        <v>2035</v>
      </c>
      <c r="BP435" s="1" t="s">
        <v>2036</v>
      </c>
      <c r="BQ435" s="1" t="s">
        <v>2037</v>
      </c>
      <c r="BT435" s="1">
        <v>1</v>
      </c>
    </row>
    <row r="436" spans="1:72">
      <c r="A436" s="1" t="s">
        <v>2038</v>
      </c>
      <c r="B436" s="1" t="s">
        <v>213</v>
      </c>
      <c r="C436" s="1">
        <v>1</v>
      </c>
      <c r="D436" s="1" t="s">
        <v>2039</v>
      </c>
      <c r="E436" s="1">
        <v>1122</v>
      </c>
      <c r="F436" s="1" t="str">
        <f t="shared" si="29"/>
        <v>enemy_1122_sphond</v>
      </c>
      <c r="G436" s="1">
        <v>1</v>
      </c>
      <c r="K436" s="1">
        <v>3200</v>
      </c>
      <c r="M436" s="1">
        <v>330</v>
      </c>
      <c r="O436" s="1">
        <v>0</v>
      </c>
      <c r="Q436" s="1">
        <v>20</v>
      </c>
      <c r="Y436" s="1">
        <v>0.05</v>
      </c>
      <c r="Z436" s="1">
        <v>1.3</v>
      </c>
      <c r="AA436" s="1">
        <v>0</v>
      </c>
      <c r="AB436" s="1">
        <v>1.9</v>
      </c>
      <c r="AG436" s="1">
        <v>0</v>
      </c>
      <c r="AH436" s="1">
        <v>1</v>
      </c>
      <c r="AI436" s="1" t="s">
        <v>2040</v>
      </c>
      <c r="AJ436" s="1" t="s">
        <v>216</v>
      </c>
      <c r="AK436" s="1" t="s">
        <v>238</v>
      </c>
      <c r="AM436" s="1">
        <v>1</v>
      </c>
      <c r="AV436" s="1">
        <v>1</v>
      </c>
      <c r="AX436" s="1">
        <v>0.25</v>
      </c>
      <c r="BE436" s="1" t="str">
        <f t="shared" si="30"/>
        <v>enemy_1122_sphond</v>
      </c>
      <c r="BK436" s="1" t="s">
        <v>2041</v>
      </c>
      <c r="BL436" s="1" t="s">
        <v>2042</v>
      </c>
      <c r="BN436" s="1" t="s">
        <v>217</v>
      </c>
      <c r="BO436" s="1" t="s">
        <v>218</v>
      </c>
      <c r="BP436" s="1" t="s">
        <v>239</v>
      </c>
      <c r="BQ436" s="1" t="s">
        <v>220</v>
      </c>
      <c r="BT436" s="1">
        <v>1</v>
      </c>
    </row>
    <row r="437" spans="1:72">
      <c r="A437" s="1" t="s">
        <v>2043</v>
      </c>
      <c r="B437" s="1" t="s">
        <v>213</v>
      </c>
      <c r="C437" s="1">
        <v>1</v>
      </c>
      <c r="D437" s="1" t="s">
        <v>2044</v>
      </c>
      <c r="E437" s="1">
        <v>1122</v>
      </c>
      <c r="F437" s="1" t="str">
        <f t="shared" si="29"/>
        <v>enemy_1122_sphond_2</v>
      </c>
      <c r="G437" s="1">
        <v>1</v>
      </c>
      <c r="K437" s="1">
        <v>4500</v>
      </c>
      <c r="M437" s="1">
        <v>380</v>
      </c>
      <c r="O437" s="1">
        <v>0</v>
      </c>
      <c r="Q437" s="1">
        <v>30</v>
      </c>
      <c r="Y437" s="1">
        <v>0.05</v>
      </c>
      <c r="Z437" s="1">
        <v>1.3</v>
      </c>
      <c r="AA437" s="1">
        <v>0</v>
      </c>
      <c r="AB437" s="1">
        <v>1.9</v>
      </c>
      <c r="AG437" s="1">
        <v>0</v>
      </c>
      <c r="AH437" s="1">
        <v>1</v>
      </c>
      <c r="AI437" s="1" t="s">
        <v>2045</v>
      </c>
      <c r="AJ437" s="1" t="s">
        <v>216</v>
      </c>
      <c r="AK437" s="1" t="s">
        <v>238</v>
      </c>
      <c r="AM437" s="1">
        <v>1</v>
      </c>
      <c r="AV437" s="1">
        <v>1</v>
      </c>
      <c r="AX437" s="1">
        <v>0.25</v>
      </c>
      <c r="BE437" s="1" t="str">
        <f t="shared" si="30"/>
        <v>enemy_1122_sphond_2</v>
      </c>
      <c r="BK437" s="1" t="s">
        <v>2041</v>
      </c>
      <c r="BL437" s="1" t="s">
        <v>2042</v>
      </c>
      <c r="BN437" s="1" t="s">
        <v>217</v>
      </c>
      <c r="BO437" s="1" t="s">
        <v>218</v>
      </c>
      <c r="BP437" s="1" t="s">
        <v>239</v>
      </c>
      <c r="BQ437" s="1" t="s">
        <v>220</v>
      </c>
      <c r="BT437" s="1">
        <v>1</v>
      </c>
    </row>
    <row r="438" spans="1:72">
      <c r="A438" s="1" t="s">
        <v>2046</v>
      </c>
      <c r="B438" s="1" t="s">
        <v>213</v>
      </c>
      <c r="C438" s="1">
        <v>1</v>
      </c>
      <c r="D438" s="1" t="s">
        <v>2047</v>
      </c>
      <c r="E438" s="1">
        <v>1123</v>
      </c>
      <c r="F438" s="1" t="str">
        <f t="shared" si="29"/>
        <v>enemy_1123_spsbr</v>
      </c>
      <c r="G438" s="1">
        <v>1</v>
      </c>
      <c r="K438" s="1">
        <v>3000</v>
      </c>
      <c r="M438" s="1">
        <v>290</v>
      </c>
      <c r="O438" s="1">
        <v>120</v>
      </c>
      <c r="Q438" s="1">
        <v>10</v>
      </c>
      <c r="Y438" s="1">
        <v>0.05</v>
      </c>
      <c r="Z438" s="1">
        <v>2</v>
      </c>
      <c r="AA438" s="1">
        <v>1</v>
      </c>
      <c r="AB438" s="1">
        <v>1.1</v>
      </c>
      <c r="AG438" s="1">
        <v>0</v>
      </c>
      <c r="AH438" s="1">
        <v>1</v>
      </c>
      <c r="AI438" s="1" t="s">
        <v>2048</v>
      </c>
      <c r="AJ438" s="1" t="s">
        <v>216</v>
      </c>
      <c r="AK438" s="1" t="s">
        <v>238</v>
      </c>
      <c r="AM438" s="1">
        <v>1</v>
      </c>
      <c r="AV438" s="1">
        <v>1</v>
      </c>
      <c r="AX438" s="1">
        <v>0.25</v>
      </c>
      <c r="BE438" s="1" t="str">
        <f t="shared" si="30"/>
        <v>enemy_1123_spsbr</v>
      </c>
      <c r="BK438" s="1" t="s">
        <v>2041</v>
      </c>
      <c r="BL438" s="1" t="s">
        <v>2049</v>
      </c>
      <c r="BN438" s="1" t="s">
        <v>217</v>
      </c>
      <c r="BO438" s="1" t="s">
        <v>218</v>
      </c>
      <c r="BP438" s="1" t="s">
        <v>239</v>
      </c>
      <c r="BQ438" s="1" t="s">
        <v>220</v>
      </c>
      <c r="BT438" s="1">
        <v>1</v>
      </c>
    </row>
    <row r="439" spans="1:72">
      <c r="A439" s="1" t="s">
        <v>2050</v>
      </c>
      <c r="B439" s="1" t="s">
        <v>213</v>
      </c>
      <c r="C439" s="1">
        <v>1</v>
      </c>
      <c r="D439" s="1" t="s">
        <v>2051</v>
      </c>
      <c r="E439" s="1">
        <v>1123</v>
      </c>
      <c r="F439" s="1" t="str">
        <f t="shared" si="29"/>
        <v>enemy_1123_spsbr_2</v>
      </c>
      <c r="G439" s="1">
        <v>1</v>
      </c>
      <c r="K439" s="1">
        <v>4000</v>
      </c>
      <c r="M439" s="1">
        <v>370</v>
      </c>
      <c r="O439" s="1">
        <v>150</v>
      </c>
      <c r="Q439" s="1">
        <v>10</v>
      </c>
      <c r="Y439" s="1">
        <v>0.05</v>
      </c>
      <c r="Z439" s="1">
        <v>2</v>
      </c>
      <c r="AA439" s="1">
        <v>1</v>
      </c>
      <c r="AB439" s="1">
        <v>1.1</v>
      </c>
      <c r="AG439" s="1">
        <v>0</v>
      </c>
      <c r="AH439" s="1">
        <v>1</v>
      </c>
      <c r="AI439" s="1" t="s">
        <v>2052</v>
      </c>
      <c r="AJ439" s="1" t="s">
        <v>216</v>
      </c>
      <c r="AK439" s="1" t="s">
        <v>238</v>
      </c>
      <c r="AM439" s="1">
        <v>1</v>
      </c>
      <c r="AV439" s="1">
        <v>1</v>
      </c>
      <c r="AX439" s="1">
        <v>0.25</v>
      </c>
      <c r="BE439" s="1" t="str">
        <f t="shared" si="30"/>
        <v>enemy_1123_spsbr_2</v>
      </c>
      <c r="BK439" s="1" t="s">
        <v>2041</v>
      </c>
      <c r="BL439" s="1" t="s">
        <v>2049</v>
      </c>
      <c r="BN439" s="1" t="s">
        <v>217</v>
      </c>
      <c r="BO439" s="1" t="s">
        <v>218</v>
      </c>
      <c r="BP439" s="1" t="s">
        <v>239</v>
      </c>
      <c r="BQ439" s="1" t="s">
        <v>220</v>
      </c>
      <c r="BT439" s="1">
        <v>1</v>
      </c>
    </row>
    <row r="440" spans="1:72">
      <c r="A440" s="1" t="s">
        <v>2053</v>
      </c>
      <c r="B440" s="1" t="s">
        <v>213</v>
      </c>
      <c r="C440" s="1">
        <v>1</v>
      </c>
      <c r="D440" s="1" t="s">
        <v>2054</v>
      </c>
      <c r="E440" s="1">
        <v>1124</v>
      </c>
      <c r="F440" s="1" t="str">
        <f t="shared" si="29"/>
        <v>enemy_1124_spbow</v>
      </c>
      <c r="G440" s="1">
        <v>1</v>
      </c>
      <c r="K440" s="1">
        <v>4800</v>
      </c>
      <c r="M440" s="1">
        <v>300</v>
      </c>
      <c r="O440" s="1">
        <v>240</v>
      </c>
      <c r="Q440" s="1">
        <v>20</v>
      </c>
      <c r="Y440" s="1">
        <v>0.05</v>
      </c>
      <c r="Z440" s="1">
        <v>3</v>
      </c>
      <c r="AA440" s="1">
        <v>0</v>
      </c>
      <c r="AB440" s="1">
        <v>0.75</v>
      </c>
      <c r="AG440" s="1">
        <v>0</v>
      </c>
      <c r="AH440" s="1">
        <v>1</v>
      </c>
      <c r="AI440" s="1" t="s">
        <v>2055</v>
      </c>
      <c r="AJ440" s="1" t="s">
        <v>216</v>
      </c>
      <c r="AK440" s="1" t="s">
        <v>238</v>
      </c>
      <c r="AM440" s="1">
        <v>1</v>
      </c>
      <c r="AV440" s="1">
        <v>1</v>
      </c>
      <c r="AX440" s="1">
        <v>0.25</v>
      </c>
      <c r="BE440" s="1" t="str">
        <f t="shared" si="30"/>
        <v>enemy_1124_spbow</v>
      </c>
      <c r="BK440" s="1" t="s">
        <v>2056</v>
      </c>
      <c r="BL440" s="1" t="s">
        <v>2057</v>
      </c>
      <c r="BN440" s="1" t="s">
        <v>217</v>
      </c>
      <c r="BO440" s="1" t="s">
        <v>218</v>
      </c>
      <c r="BP440" s="1" t="s">
        <v>239</v>
      </c>
      <c r="BQ440" s="1" t="s">
        <v>220</v>
      </c>
      <c r="BT440" s="1">
        <v>1</v>
      </c>
    </row>
    <row r="441" spans="1:72">
      <c r="A441" s="1" t="s">
        <v>2058</v>
      </c>
      <c r="B441" s="1" t="s">
        <v>213</v>
      </c>
      <c r="C441" s="1">
        <v>1</v>
      </c>
      <c r="D441" s="1" t="s">
        <v>2059</v>
      </c>
      <c r="E441" s="1">
        <v>1124</v>
      </c>
      <c r="F441" s="1" t="str">
        <f t="shared" si="29"/>
        <v>enemy_1124_spbow_2</v>
      </c>
      <c r="G441" s="1">
        <v>1</v>
      </c>
      <c r="K441" s="1">
        <v>6000</v>
      </c>
      <c r="M441" s="1">
        <v>400</v>
      </c>
      <c r="O441" s="1">
        <v>280</v>
      </c>
      <c r="Q441" s="1">
        <v>20</v>
      </c>
      <c r="Y441" s="1">
        <v>0.05</v>
      </c>
      <c r="Z441" s="1">
        <v>3</v>
      </c>
      <c r="AA441" s="1">
        <v>0</v>
      </c>
      <c r="AB441" s="1">
        <v>0.75</v>
      </c>
      <c r="AG441" s="1">
        <v>0</v>
      </c>
      <c r="AH441" s="1">
        <v>1</v>
      </c>
      <c r="AI441" s="1" t="s">
        <v>2060</v>
      </c>
      <c r="AJ441" s="1" t="s">
        <v>216</v>
      </c>
      <c r="AK441" s="1" t="s">
        <v>238</v>
      </c>
      <c r="AM441" s="1">
        <v>1</v>
      </c>
      <c r="AV441" s="1">
        <v>1</v>
      </c>
      <c r="AX441" s="1">
        <v>0.25</v>
      </c>
      <c r="BE441" s="1" t="str">
        <f t="shared" si="30"/>
        <v>enemy_1124_spbow_2</v>
      </c>
      <c r="BK441" s="1" t="s">
        <v>2056</v>
      </c>
      <c r="BL441" s="1" t="s">
        <v>2057</v>
      </c>
      <c r="BN441" s="1" t="s">
        <v>217</v>
      </c>
      <c r="BO441" s="1" t="s">
        <v>218</v>
      </c>
      <c r="BP441" s="1" t="s">
        <v>239</v>
      </c>
      <c r="BQ441" s="1" t="s">
        <v>220</v>
      </c>
      <c r="BT441" s="1">
        <v>1</v>
      </c>
    </row>
    <row r="442" spans="1:72">
      <c r="A442" s="1" t="s">
        <v>2061</v>
      </c>
      <c r="B442" s="1" t="s">
        <v>213</v>
      </c>
      <c r="C442" s="1">
        <v>1</v>
      </c>
      <c r="D442" s="1" t="s">
        <v>2062</v>
      </c>
      <c r="E442" s="1">
        <v>1125</v>
      </c>
      <c r="F442" s="1" t="str">
        <f t="shared" si="29"/>
        <v>enemy_1125_spshld</v>
      </c>
      <c r="G442" s="1">
        <v>1</v>
      </c>
      <c r="K442" s="1">
        <v>12000</v>
      </c>
      <c r="M442" s="1">
        <v>700</v>
      </c>
      <c r="O442" s="1">
        <v>1000</v>
      </c>
      <c r="Q442" s="1">
        <v>50</v>
      </c>
      <c r="Y442" s="1">
        <v>0.05</v>
      </c>
      <c r="Z442" s="1">
        <v>3.8</v>
      </c>
      <c r="AA442" s="1">
        <v>4</v>
      </c>
      <c r="AB442" s="1">
        <v>0.7</v>
      </c>
      <c r="AG442" s="1">
        <v>0</v>
      </c>
      <c r="AH442" s="1">
        <v>1</v>
      </c>
      <c r="AI442" s="1" t="s">
        <v>2063</v>
      </c>
      <c r="AJ442" s="1" t="s">
        <v>216</v>
      </c>
      <c r="AK442" s="1" t="s">
        <v>238</v>
      </c>
      <c r="AM442" s="1">
        <v>1</v>
      </c>
      <c r="AV442" s="1">
        <v>1</v>
      </c>
      <c r="AX442" s="1">
        <v>0.25</v>
      </c>
      <c r="BE442" s="1" t="str">
        <f t="shared" si="30"/>
        <v>enemy_1125_spshld</v>
      </c>
      <c r="BK442" s="1" t="s">
        <v>2064</v>
      </c>
      <c r="BL442" s="1" t="s">
        <v>2065</v>
      </c>
      <c r="BN442" s="1" t="s">
        <v>217</v>
      </c>
      <c r="BO442" s="1" t="s">
        <v>218</v>
      </c>
      <c r="BP442" s="1" t="s">
        <v>239</v>
      </c>
      <c r="BQ442" s="1" t="s">
        <v>220</v>
      </c>
      <c r="BT442" s="1">
        <v>1</v>
      </c>
    </row>
    <row r="443" spans="1:72">
      <c r="A443" s="1" t="s">
        <v>2066</v>
      </c>
      <c r="B443" s="1" t="s">
        <v>213</v>
      </c>
      <c r="C443" s="1">
        <v>1</v>
      </c>
      <c r="D443" s="1" t="s">
        <v>2067</v>
      </c>
      <c r="E443" s="1">
        <v>1125</v>
      </c>
      <c r="F443" s="1" t="str">
        <f t="shared" ref="F443:F506" si="31">"enemy_"&amp;E443&amp;"_"&amp;D443</f>
        <v>enemy_1125_spshld_2</v>
      </c>
      <c r="G443" s="1">
        <v>1</v>
      </c>
      <c r="K443" s="1">
        <v>18000</v>
      </c>
      <c r="M443" s="1">
        <v>800</v>
      </c>
      <c r="O443" s="1">
        <v>1300</v>
      </c>
      <c r="Q443" s="1">
        <v>60</v>
      </c>
      <c r="Y443" s="1">
        <v>0.05</v>
      </c>
      <c r="Z443" s="1">
        <v>3.8</v>
      </c>
      <c r="AA443" s="1">
        <v>4</v>
      </c>
      <c r="AB443" s="1">
        <v>0.7</v>
      </c>
      <c r="AG443" s="1">
        <v>0</v>
      </c>
      <c r="AH443" s="1">
        <v>1</v>
      </c>
      <c r="AI443" s="1" t="s">
        <v>2068</v>
      </c>
      <c r="AJ443" s="1" t="s">
        <v>216</v>
      </c>
      <c r="AK443" s="1" t="s">
        <v>238</v>
      </c>
      <c r="AM443" s="1">
        <v>1</v>
      </c>
      <c r="AV443" s="1">
        <v>1</v>
      </c>
      <c r="AX443" s="1">
        <v>0.25</v>
      </c>
      <c r="BE443" s="1" t="str">
        <f t="shared" si="30"/>
        <v>enemy_1125_spshld_2</v>
      </c>
      <c r="BK443" s="1" t="s">
        <v>2064</v>
      </c>
      <c r="BL443" s="1" t="s">
        <v>2065</v>
      </c>
      <c r="BN443" s="1" t="s">
        <v>217</v>
      </c>
      <c r="BO443" s="1" t="s">
        <v>218</v>
      </c>
      <c r="BP443" s="1" t="s">
        <v>239</v>
      </c>
      <c r="BQ443" s="1" t="s">
        <v>220</v>
      </c>
      <c r="BT443" s="1">
        <v>1</v>
      </c>
    </row>
    <row r="444" spans="1:72">
      <c r="A444" s="1" t="s">
        <v>2069</v>
      </c>
      <c r="B444" s="1" t="s">
        <v>213</v>
      </c>
      <c r="C444" s="1">
        <v>1</v>
      </c>
      <c r="D444" s="1" t="s">
        <v>2070</v>
      </c>
      <c r="E444" s="1">
        <v>1126</v>
      </c>
      <c r="F444" s="1" t="str">
        <f t="shared" si="31"/>
        <v>enemy_1126_spslme</v>
      </c>
      <c r="G444" s="1">
        <v>1</v>
      </c>
      <c r="K444" s="1">
        <v>2460</v>
      </c>
      <c r="M444" s="1">
        <v>120</v>
      </c>
      <c r="O444" s="1">
        <v>0</v>
      </c>
      <c r="Q444" s="1">
        <v>0</v>
      </c>
      <c r="Y444" s="1">
        <v>0.05</v>
      </c>
      <c r="Z444" s="1">
        <v>2</v>
      </c>
      <c r="AA444" s="1">
        <v>0</v>
      </c>
      <c r="AB444" s="1">
        <v>1.2</v>
      </c>
      <c r="AG444" s="1">
        <v>0</v>
      </c>
      <c r="AH444" s="1">
        <v>1</v>
      </c>
      <c r="AI444" s="1" t="s">
        <v>2071</v>
      </c>
      <c r="AJ444" s="1" t="s">
        <v>216</v>
      </c>
      <c r="AK444" s="1" t="s">
        <v>238</v>
      </c>
      <c r="AM444" s="1">
        <v>1</v>
      </c>
      <c r="AV444" s="1">
        <v>1</v>
      </c>
      <c r="AX444" s="1">
        <v>0.25</v>
      </c>
      <c r="BE444" s="1" t="str">
        <f t="shared" si="30"/>
        <v>enemy_1126_spslme</v>
      </c>
      <c r="BK444" s="1" t="s">
        <v>2072</v>
      </c>
      <c r="BL444" s="1" t="s">
        <v>2073</v>
      </c>
      <c r="BN444" s="1" t="s">
        <v>217</v>
      </c>
      <c r="BO444" s="1" t="s">
        <v>218</v>
      </c>
      <c r="BP444" s="1" t="s">
        <v>239</v>
      </c>
      <c r="BQ444" s="1" t="s">
        <v>220</v>
      </c>
      <c r="BT444" s="1">
        <v>1</v>
      </c>
    </row>
    <row r="445" spans="1:72">
      <c r="A445" s="1" t="s">
        <v>2074</v>
      </c>
      <c r="B445" s="1" t="s">
        <v>213</v>
      </c>
      <c r="C445" s="1">
        <v>1</v>
      </c>
      <c r="D445" s="1" t="s">
        <v>2075</v>
      </c>
      <c r="E445" s="1">
        <v>1126</v>
      </c>
      <c r="F445" s="1" t="str">
        <f t="shared" si="31"/>
        <v>enemy_1126_spslme_2</v>
      </c>
      <c r="G445" s="1">
        <v>1</v>
      </c>
      <c r="K445" s="1">
        <v>3700</v>
      </c>
      <c r="M445" s="1">
        <v>150</v>
      </c>
      <c r="O445" s="1">
        <v>0</v>
      </c>
      <c r="Q445" s="1">
        <v>0</v>
      </c>
      <c r="Y445" s="1">
        <v>0.05</v>
      </c>
      <c r="Z445" s="1">
        <v>2</v>
      </c>
      <c r="AA445" s="1">
        <v>0</v>
      </c>
      <c r="AB445" s="1">
        <v>1.2</v>
      </c>
      <c r="AG445" s="1">
        <v>0</v>
      </c>
      <c r="AH445" s="1">
        <v>1</v>
      </c>
      <c r="AI445" s="1" t="s">
        <v>2076</v>
      </c>
      <c r="AJ445" s="1" t="s">
        <v>216</v>
      </c>
      <c r="AK445" s="1" t="s">
        <v>238</v>
      </c>
      <c r="AM445" s="1">
        <v>1</v>
      </c>
      <c r="AV445" s="1">
        <v>1</v>
      </c>
      <c r="AX445" s="1">
        <v>0.25</v>
      </c>
      <c r="BE445" s="1" t="str">
        <f t="shared" si="30"/>
        <v>enemy_1126_spslme_2</v>
      </c>
      <c r="BK445" s="1" t="s">
        <v>2072</v>
      </c>
      <c r="BL445" s="1" t="s">
        <v>2073</v>
      </c>
      <c r="BN445" s="1" t="s">
        <v>217</v>
      </c>
      <c r="BO445" s="1" t="s">
        <v>218</v>
      </c>
      <c r="BP445" s="1" t="s">
        <v>239</v>
      </c>
      <c r="BQ445" s="1" t="s">
        <v>220</v>
      </c>
      <c r="BT445" s="1">
        <v>1</v>
      </c>
    </row>
    <row r="446" spans="1:72">
      <c r="A446" s="1" t="s">
        <v>2077</v>
      </c>
      <c r="B446" s="1" t="s">
        <v>213</v>
      </c>
      <c r="C446" s="1">
        <v>1</v>
      </c>
      <c r="D446" s="1" t="s">
        <v>2078</v>
      </c>
      <c r="E446" s="1">
        <v>1127</v>
      </c>
      <c r="F446" s="1" t="str">
        <f t="shared" si="31"/>
        <v>enemy_1127_sptrkg</v>
      </c>
      <c r="G446" s="1">
        <v>1</v>
      </c>
      <c r="K446" s="1">
        <v>14000</v>
      </c>
      <c r="M446" s="1">
        <v>800</v>
      </c>
      <c r="O446" s="1">
        <v>600</v>
      </c>
      <c r="Q446" s="1">
        <v>20</v>
      </c>
      <c r="Y446" s="1">
        <v>0.05</v>
      </c>
      <c r="Z446" s="1">
        <v>3.5</v>
      </c>
      <c r="AA446" s="1">
        <v>4</v>
      </c>
      <c r="AB446" s="1">
        <v>1.3</v>
      </c>
      <c r="AG446" s="1">
        <v>0</v>
      </c>
      <c r="AH446" s="1">
        <v>1</v>
      </c>
      <c r="AI446" s="1" t="s">
        <v>2079</v>
      </c>
      <c r="AJ446" s="1" t="s">
        <v>216</v>
      </c>
      <c r="AK446" s="1" t="s">
        <v>238</v>
      </c>
      <c r="AM446" s="1">
        <v>1</v>
      </c>
      <c r="AV446" s="1">
        <v>1</v>
      </c>
      <c r="AX446" s="1">
        <v>0.25</v>
      </c>
      <c r="BE446" s="1" t="str">
        <f t="shared" si="30"/>
        <v>enemy_1127_sptrkg</v>
      </c>
      <c r="BK446" s="1" t="s">
        <v>2064</v>
      </c>
      <c r="BL446" s="1" t="s">
        <v>2080</v>
      </c>
      <c r="BN446" s="1" t="s">
        <v>217</v>
      </c>
      <c r="BO446" s="1" t="s">
        <v>218</v>
      </c>
      <c r="BP446" s="1" t="s">
        <v>239</v>
      </c>
      <c r="BQ446" s="1" t="s">
        <v>220</v>
      </c>
      <c r="BT446" s="1">
        <v>1</v>
      </c>
    </row>
    <row r="447" spans="1:72">
      <c r="A447" s="1" t="s">
        <v>2081</v>
      </c>
      <c r="B447" s="1" t="s">
        <v>213</v>
      </c>
      <c r="C447" s="1">
        <v>1</v>
      </c>
      <c r="D447" s="1" t="s">
        <v>2082</v>
      </c>
      <c r="E447" s="1">
        <v>1127</v>
      </c>
      <c r="F447" s="1" t="str">
        <f t="shared" si="31"/>
        <v>enemy_1127_sptrkg_2</v>
      </c>
      <c r="G447" s="1">
        <v>1</v>
      </c>
      <c r="K447" s="1">
        <v>18000</v>
      </c>
      <c r="M447" s="1">
        <v>1000</v>
      </c>
      <c r="O447" s="1">
        <v>750</v>
      </c>
      <c r="Q447" s="1">
        <v>25</v>
      </c>
      <c r="Y447" s="1">
        <v>0.05</v>
      </c>
      <c r="Z447" s="1">
        <v>3.5</v>
      </c>
      <c r="AA447" s="1">
        <v>4</v>
      </c>
      <c r="AB447" s="1">
        <v>1.3</v>
      </c>
      <c r="AG447" s="1">
        <v>0</v>
      </c>
      <c r="AH447" s="1">
        <v>1</v>
      </c>
      <c r="AI447" s="1" t="s">
        <v>2083</v>
      </c>
      <c r="AJ447" s="1" t="s">
        <v>216</v>
      </c>
      <c r="AK447" s="1" t="s">
        <v>238</v>
      </c>
      <c r="AM447" s="1">
        <v>1</v>
      </c>
      <c r="AV447" s="1">
        <v>1</v>
      </c>
      <c r="AX447" s="1">
        <v>0.25</v>
      </c>
      <c r="BE447" s="1" t="str">
        <f t="shared" si="30"/>
        <v>enemy_1127_sptrkg_2</v>
      </c>
      <c r="BK447" s="1" t="s">
        <v>2064</v>
      </c>
      <c r="BL447" s="1" t="s">
        <v>2080</v>
      </c>
      <c r="BN447" s="1" t="s">
        <v>217</v>
      </c>
      <c r="BO447" s="1" t="s">
        <v>218</v>
      </c>
      <c r="BP447" s="1" t="s">
        <v>239</v>
      </c>
      <c r="BQ447" s="1" t="s">
        <v>220</v>
      </c>
      <c r="BT447" s="1">
        <v>1</v>
      </c>
    </row>
    <row r="448" spans="1:72">
      <c r="A448" s="1" t="s">
        <v>2084</v>
      </c>
      <c r="B448" s="1" t="s">
        <v>213</v>
      </c>
      <c r="C448" s="1">
        <v>1</v>
      </c>
      <c r="D448" s="1" t="s">
        <v>2085</v>
      </c>
      <c r="E448" s="1">
        <v>1128</v>
      </c>
      <c r="F448" s="1" t="str">
        <f t="shared" si="31"/>
        <v>enemy_1128_spmage</v>
      </c>
      <c r="G448" s="1">
        <v>1</v>
      </c>
      <c r="K448" s="1">
        <v>10000</v>
      </c>
      <c r="M448" s="1">
        <v>500</v>
      </c>
      <c r="O448" s="1">
        <v>200</v>
      </c>
      <c r="Q448" s="1">
        <v>60</v>
      </c>
      <c r="Y448" s="1">
        <v>0.05</v>
      </c>
      <c r="Z448" s="1">
        <v>4</v>
      </c>
      <c r="AA448" s="1">
        <v>3</v>
      </c>
      <c r="AB448" s="1">
        <v>0.8</v>
      </c>
      <c r="AG448" s="1">
        <v>0</v>
      </c>
      <c r="AH448" s="1">
        <v>1</v>
      </c>
      <c r="AI448" s="1" t="s">
        <v>2086</v>
      </c>
      <c r="AJ448" s="1" t="s">
        <v>216</v>
      </c>
      <c r="AK448" s="1" t="s">
        <v>238</v>
      </c>
      <c r="AM448" s="1">
        <v>1</v>
      </c>
      <c r="AV448" s="1">
        <v>1</v>
      </c>
      <c r="AX448" s="1">
        <v>0.25</v>
      </c>
      <c r="BE448" s="1" t="str">
        <f t="shared" si="30"/>
        <v>enemy_1128_spmage</v>
      </c>
      <c r="BK448" s="1" t="s">
        <v>2087</v>
      </c>
      <c r="BL448" s="1" t="s">
        <v>2088</v>
      </c>
      <c r="BN448" s="1" t="s">
        <v>217</v>
      </c>
      <c r="BO448" s="1" t="s">
        <v>218</v>
      </c>
      <c r="BP448" s="1" t="s">
        <v>239</v>
      </c>
      <c r="BQ448" s="1" t="s">
        <v>220</v>
      </c>
      <c r="BT448" s="1">
        <v>1</v>
      </c>
    </row>
    <row r="449" spans="1:72">
      <c r="A449" s="1" t="s">
        <v>2089</v>
      </c>
      <c r="B449" s="1" t="s">
        <v>213</v>
      </c>
      <c r="C449" s="1">
        <v>1</v>
      </c>
      <c r="D449" s="1" t="s">
        <v>2090</v>
      </c>
      <c r="E449" s="1">
        <v>1128</v>
      </c>
      <c r="F449" s="1" t="str">
        <f t="shared" si="31"/>
        <v>enemy_1128_spmage_2</v>
      </c>
      <c r="G449" s="1">
        <v>1</v>
      </c>
      <c r="K449" s="1">
        <v>15000</v>
      </c>
      <c r="M449" s="1">
        <v>700</v>
      </c>
      <c r="O449" s="1">
        <v>220</v>
      </c>
      <c r="Q449" s="1">
        <v>50</v>
      </c>
      <c r="Y449" s="1">
        <v>0.05</v>
      </c>
      <c r="Z449" s="1">
        <v>4</v>
      </c>
      <c r="AA449" s="1">
        <v>3</v>
      </c>
      <c r="AB449" s="1">
        <v>0.8</v>
      </c>
      <c r="AG449" s="1">
        <v>0</v>
      </c>
      <c r="AH449" s="1">
        <v>1</v>
      </c>
      <c r="AI449" s="1" t="s">
        <v>2091</v>
      </c>
      <c r="AJ449" s="1" t="s">
        <v>216</v>
      </c>
      <c r="AK449" s="1" t="s">
        <v>238</v>
      </c>
      <c r="AM449" s="1">
        <v>1</v>
      </c>
      <c r="AV449" s="1">
        <v>1</v>
      </c>
      <c r="AX449" s="1">
        <v>0.25</v>
      </c>
      <c r="BE449" s="1" t="str">
        <f t="shared" si="30"/>
        <v>enemy_1128_spmage_2</v>
      </c>
      <c r="BK449" s="1" t="s">
        <v>2087</v>
      </c>
      <c r="BL449" s="1" t="s">
        <v>2088</v>
      </c>
      <c r="BN449" s="1" t="s">
        <v>217</v>
      </c>
      <c r="BO449" s="1" t="s">
        <v>218</v>
      </c>
      <c r="BP449" s="1" t="s">
        <v>239</v>
      </c>
      <c r="BQ449" s="1" t="s">
        <v>220</v>
      </c>
      <c r="BT449" s="1">
        <v>1</v>
      </c>
    </row>
    <row r="450" spans="1:72">
      <c r="A450" s="1" t="s">
        <v>2092</v>
      </c>
      <c r="B450" s="1" t="s">
        <v>213</v>
      </c>
      <c r="C450" s="1">
        <v>1</v>
      </c>
      <c r="D450" s="1" t="s">
        <v>2093</v>
      </c>
      <c r="E450" s="1">
        <v>1129</v>
      </c>
      <c r="F450" s="1" t="str">
        <f t="shared" si="31"/>
        <v>enemy_1129_spklr</v>
      </c>
      <c r="G450" s="1">
        <v>1</v>
      </c>
      <c r="K450" s="1">
        <v>16000</v>
      </c>
      <c r="M450" s="1">
        <v>1100</v>
      </c>
      <c r="O450" s="1">
        <v>750</v>
      </c>
      <c r="Q450" s="1">
        <v>25</v>
      </c>
      <c r="Y450" s="1">
        <v>0.05</v>
      </c>
      <c r="Z450" s="1">
        <v>3</v>
      </c>
      <c r="AA450" s="1">
        <v>3</v>
      </c>
      <c r="AB450" s="1">
        <v>0.7</v>
      </c>
      <c r="AG450" s="1">
        <v>0</v>
      </c>
      <c r="AH450" s="1">
        <v>1</v>
      </c>
      <c r="AI450" s="1" t="s">
        <v>2094</v>
      </c>
      <c r="AJ450" s="1" t="s">
        <v>216</v>
      </c>
      <c r="AK450" s="1" t="s">
        <v>238</v>
      </c>
      <c r="AM450" s="1">
        <v>1</v>
      </c>
      <c r="AV450" s="1">
        <v>1</v>
      </c>
      <c r="AX450" s="1">
        <v>0.25</v>
      </c>
      <c r="BE450" s="1" t="str">
        <f t="shared" si="30"/>
        <v>enemy_1129_spklr</v>
      </c>
      <c r="BK450" s="1" t="s">
        <v>2064</v>
      </c>
      <c r="BL450" s="1" t="s">
        <v>2095</v>
      </c>
      <c r="BN450" s="1" t="s">
        <v>217</v>
      </c>
      <c r="BO450" s="1" t="s">
        <v>218</v>
      </c>
      <c r="BP450" s="1" t="s">
        <v>239</v>
      </c>
      <c r="BQ450" s="1" t="s">
        <v>220</v>
      </c>
      <c r="BT450" s="1">
        <v>1</v>
      </c>
    </row>
    <row r="451" spans="1:72">
      <c r="A451" s="1" t="s">
        <v>2096</v>
      </c>
      <c r="B451" s="1" t="s">
        <v>213</v>
      </c>
      <c r="C451" s="1">
        <v>1</v>
      </c>
      <c r="D451" s="1" t="s">
        <v>2097</v>
      </c>
      <c r="E451" s="1">
        <v>1129</v>
      </c>
      <c r="F451" s="1" t="str">
        <f t="shared" si="31"/>
        <v>enemy_1129_spklr_2</v>
      </c>
      <c r="G451" s="1">
        <v>1</v>
      </c>
      <c r="K451" s="1">
        <v>16000</v>
      </c>
      <c r="M451" s="1">
        <v>1500</v>
      </c>
      <c r="O451" s="1">
        <v>900</v>
      </c>
      <c r="Q451" s="1">
        <v>30</v>
      </c>
      <c r="Y451" s="1">
        <v>0.05</v>
      </c>
      <c r="Z451" s="1">
        <v>3</v>
      </c>
      <c r="AA451" s="1">
        <v>3</v>
      </c>
      <c r="AB451" s="1">
        <v>0.7</v>
      </c>
      <c r="AG451" s="1">
        <v>0</v>
      </c>
      <c r="AH451" s="1">
        <v>1</v>
      </c>
      <c r="AI451" s="1" t="s">
        <v>2098</v>
      </c>
      <c r="AJ451" s="1" t="s">
        <v>216</v>
      </c>
      <c r="AK451" s="1" t="s">
        <v>238</v>
      </c>
      <c r="AM451" s="1">
        <v>1</v>
      </c>
      <c r="AV451" s="1">
        <v>1</v>
      </c>
      <c r="AX451" s="1">
        <v>0.25</v>
      </c>
      <c r="BE451" s="1" t="str">
        <f t="shared" si="30"/>
        <v>enemy_1129_spklr_2</v>
      </c>
      <c r="BK451" s="1" t="s">
        <v>2064</v>
      </c>
      <c r="BL451" s="1" t="s">
        <v>2095</v>
      </c>
      <c r="BN451" s="1" t="s">
        <v>217</v>
      </c>
      <c r="BO451" s="1" t="s">
        <v>218</v>
      </c>
      <c r="BP451" s="1" t="s">
        <v>239</v>
      </c>
      <c r="BQ451" s="1" t="s">
        <v>220</v>
      </c>
      <c r="BT451" s="1">
        <v>1</v>
      </c>
    </row>
    <row r="452" spans="1:72">
      <c r="A452" s="1" t="s">
        <v>2099</v>
      </c>
      <c r="B452" s="1" t="s">
        <v>213</v>
      </c>
      <c r="C452" s="1">
        <v>1</v>
      </c>
      <c r="D452" s="1" t="s">
        <v>2100</v>
      </c>
      <c r="E452" s="1">
        <v>1517</v>
      </c>
      <c r="F452" s="1" t="str">
        <f t="shared" si="31"/>
        <v>enemy_1517_xi</v>
      </c>
      <c r="G452" s="1">
        <v>1</v>
      </c>
      <c r="K452" s="1">
        <v>30000</v>
      </c>
      <c r="M452" s="1">
        <v>500</v>
      </c>
      <c r="O452" s="1">
        <v>750</v>
      </c>
      <c r="Q452" s="1">
        <v>50</v>
      </c>
      <c r="Y452" s="1">
        <v>0.05</v>
      </c>
      <c r="Z452" s="1">
        <v>4</v>
      </c>
      <c r="AA452" s="1">
        <v>10</v>
      </c>
      <c r="AB452" s="1">
        <v>0.5</v>
      </c>
      <c r="AG452" s="1">
        <v>0</v>
      </c>
      <c r="AH452" s="1">
        <v>1</v>
      </c>
      <c r="AI452" s="1" t="s">
        <v>2101</v>
      </c>
      <c r="AJ452" s="1" t="s">
        <v>216</v>
      </c>
      <c r="AK452" s="1" t="s">
        <v>238</v>
      </c>
      <c r="AM452" s="1">
        <v>1</v>
      </c>
      <c r="AV452" s="1">
        <v>1</v>
      </c>
      <c r="AX452" s="1">
        <v>0.25</v>
      </c>
      <c r="BE452" s="1" t="str">
        <f t="shared" si="30"/>
        <v>enemy_1517_xi</v>
      </c>
      <c r="BK452" s="1" t="s">
        <v>2102</v>
      </c>
      <c r="BL452" s="1" t="s">
        <v>2103</v>
      </c>
      <c r="BN452" s="1" t="s">
        <v>217</v>
      </c>
      <c r="BO452" s="1" t="s">
        <v>218</v>
      </c>
      <c r="BP452" s="1" t="s">
        <v>239</v>
      </c>
      <c r="BQ452" s="1" t="s">
        <v>220</v>
      </c>
      <c r="BT452" s="1">
        <v>1</v>
      </c>
    </row>
    <row r="453" spans="1:72">
      <c r="A453" s="1" t="s">
        <v>2104</v>
      </c>
      <c r="B453" s="1" t="s">
        <v>213</v>
      </c>
      <c r="C453" s="1">
        <v>1</v>
      </c>
      <c r="D453" s="1" t="s">
        <v>2105</v>
      </c>
      <c r="E453" s="1">
        <v>1518</v>
      </c>
      <c r="F453" s="1" t="str">
        <f t="shared" si="31"/>
        <v>enemy_1518_dusk</v>
      </c>
      <c r="G453" s="1">
        <v>1</v>
      </c>
      <c r="K453" s="1">
        <v>30000</v>
      </c>
      <c r="M453" s="1">
        <v>500</v>
      </c>
      <c r="O453" s="1">
        <v>750</v>
      </c>
      <c r="Q453" s="1">
        <v>50</v>
      </c>
      <c r="Y453" s="1">
        <v>0.05</v>
      </c>
      <c r="Z453" s="1">
        <v>4</v>
      </c>
      <c r="AA453" s="1">
        <v>7</v>
      </c>
      <c r="AB453" s="1">
        <v>0.5</v>
      </c>
      <c r="AG453" s="1">
        <v>0</v>
      </c>
      <c r="AH453" s="1">
        <v>1</v>
      </c>
      <c r="AI453" s="1" t="s">
        <v>2106</v>
      </c>
      <c r="AJ453" s="1" t="s">
        <v>216</v>
      </c>
      <c r="AK453" s="1" t="s">
        <v>238</v>
      </c>
      <c r="AM453" s="1">
        <v>1</v>
      </c>
      <c r="AV453" s="1">
        <v>1</v>
      </c>
      <c r="AX453" s="1">
        <v>0.25</v>
      </c>
      <c r="BE453" s="1" t="str">
        <f t="shared" si="30"/>
        <v>enemy_1518_dusk</v>
      </c>
      <c r="BK453" s="1" t="s">
        <v>959</v>
      </c>
      <c r="BN453" s="1" t="s">
        <v>217</v>
      </c>
      <c r="BO453" s="1" t="s">
        <v>218</v>
      </c>
      <c r="BQ453" s="1" t="s">
        <v>220</v>
      </c>
      <c r="BT453" s="1">
        <v>1</v>
      </c>
    </row>
    <row r="454" spans="1:72">
      <c r="A454" s="1" t="s">
        <v>2107</v>
      </c>
      <c r="B454" s="1" t="s">
        <v>213</v>
      </c>
      <c r="C454" s="1">
        <v>1</v>
      </c>
      <c r="D454" s="1" t="s">
        <v>2108</v>
      </c>
      <c r="E454" s="1">
        <v>4001</v>
      </c>
      <c r="F454" s="1" t="str">
        <f t="shared" si="31"/>
        <v>enemy_4001_toxcar</v>
      </c>
      <c r="G454" s="1">
        <v>1</v>
      </c>
      <c r="K454" s="1">
        <v>12000</v>
      </c>
      <c r="M454" s="1">
        <v>500</v>
      </c>
      <c r="O454" s="1">
        <v>400</v>
      </c>
      <c r="Q454" s="1">
        <v>30</v>
      </c>
      <c r="Y454" s="1">
        <v>0.05</v>
      </c>
      <c r="Z454" s="1">
        <v>3.5</v>
      </c>
      <c r="AA454" s="1">
        <v>5</v>
      </c>
      <c r="AB454" s="1">
        <v>0.7</v>
      </c>
      <c r="AG454" s="1">
        <v>0</v>
      </c>
      <c r="AH454" s="1">
        <v>1</v>
      </c>
      <c r="AI454" s="1" t="s">
        <v>2109</v>
      </c>
      <c r="AJ454" s="1" t="s">
        <v>216</v>
      </c>
      <c r="AK454" s="1" t="s">
        <v>238</v>
      </c>
      <c r="AM454" s="1">
        <v>1</v>
      </c>
      <c r="AV454" s="1">
        <v>1</v>
      </c>
      <c r="AX454" s="1">
        <v>0.25</v>
      </c>
      <c r="BE454" s="1" t="str">
        <f t="shared" si="30"/>
        <v>enemy_4001_toxcar</v>
      </c>
      <c r="BK454" s="1" t="s">
        <v>2110</v>
      </c>
      <c r="BL454" s="1" t="s">
        <v>2111</v>
      </c>
      <c r="BN454" s="1" t="s">
        <v>217</v>
      </c>
      <c r="BO454" s="1" t="s">
        <v>218</v>
      </c>
      <c r="BP454" s="1" t="s">
        <v>239</v>
      </c>
      <c r="BQ454" s="1" t="s">
        <v>220</v>
      </c>
      <c r="BT454" s="1">
        <v>1</v>
      </c>
    </row>
    <row r="455" spans="1:72">
      <c r="A455" s="1" t="s">
        <v>2112</v>
      </c>
      <c r="B455" s="1" t="s">
        <v>213</v>
      </c>
      <c r="C455" s="1">
        <v>1</v>
      </c>
      <c r="D455" s="1" t="s">
        <v>2113</v>
      </c>
      <c r="E455" s="1">
        <v>4001</v>
      </c>
      <c r="F455" s="1" t="str">
        <f t="shared" si="31"/>
        <v>enemy_4001_toxcar_2</v>
      </c>
      <c r="G455" s="1">
        <v>1</v>
      </c>
      <c r="K455" s="1">
        <v>15000</v>
      </c>
      <c r="M455" s="1">
        <v>550</v>
      </c>
      <c r="O455" s="1">
        <v>500</v>
      </c>
      <c r="Q455" s="1">
        <v>30</v>
      </c>
      <c r="Y455" s="1">
        <v>0.05</v>
      </c>
      <c r="Z455" s="1">
        <v>3.5</v>
      </c>
      <c r="AA455" s="1">
        <v>5</v>
      </c>
      <c r="AB455" s="1">
        <v>0.7</v>
      </c>
      <c r="AG455" s="1">
        <v>0</v>
      </c>
      <c r="AH455" s="1">
        <v>1</v>
      </c>
      <c r="AI455" s="1" t="s">
        <v>2114</v>
      </c>
      <c r="AJ455" s="1" t="s">
        <v>216</v>
      </c>
      <c r="AK455" s="1" t="s">
        <v>238</v>
      </c>
      <c r="AM455" s="1">
        <v>1</v>
      </c>
      <c r="AV455" s="1">
        <v>1</v>
      </c>
      <c r="AX455" s="1">
        <v>0.25</v>
      </c>
      <c r="BE455" s="1" t="str">
        <f t="shared" si="30"/>
        <v>enemy_4001_toxcar_2</v>
      </c>
      <c r="BK455" s="1" t="s">
        <v>2110</v>
      </c>
      <c r="BL455" s="1" t="s">
        <v>2111</v>
      </c>
      <c r="BN455" s="1" t="s">
        <v>217</v>
      </c>
      <c r="BO455" s="1" t="s">
        <v>218</v>
      </c>
      <c r="BP455" s="1" t="s">
        <v>239</v>
      </c>
      <c r="BQ455" s="1" t="s">
        <v>220</v>
      </c>
      <c r="BT455" s="1">
        <v>1</v>
      </c>
    </row>
    <row r="456" spans="1:72">
      <c r="A456" s="1" t="s">
        <v>2115</v>
      </c>
      <c r="B456" s="1" t="s">
        <v>213</v>
      </c>
      <c r="C456" s="1">
        <v>1</v>
      </c>
      <c r="D456" s="1" t="s">
        <v>2116</v>
      </c>
      <c r="E456" s="1">
        <v>4002</v>
      </c>
      <c r="F456" s="1" t="str">
        <f t="shared" si="31"/>
        <v>enemy_4002_syokai</v>
      </c>
      <c r="G456" s="1">
        <v>1</v>
      </c>
      <c r="K456" s="1">
        <v>5000</v>
      </c>
      <c r="M456" s="1">
        <v>0</v>
      </c>
      <c r="O456" s="1">
        <v>100</v>
      </c>
      <c r="Q456" s="1">
        <v>20</v>
      </c>
      <c r="Y456" s="1">
        <v>0.05</v>
      </c>
      <c r="Z456" s="1">
        <v>1</v>
      </c>
      <c r="AA456" s="1">
        <v>0</v>
      </c>
      <c r="AB456" s="1">
        <v>0.7</v>
      </c>
      <c r="AG456" s="1">
        <v>0</v>
      </c>
      <c r="AH456" s="1">
        <v>1</v>
      </c>
      <c r="AI456" s="1" t="s">
        <v>2117</v>
      </c>
      <c r="AJ456" s="1" t="s">
        <v>216</v>
      </c>
      <c r="AK456" s="1" t="s">
        <v>238</v>
      </c>
      <c r="AM456" s="1">
        <v>1</v>
      </c>
      <c r="AV456" s="1">
        <v>1</v>
      </c>
      <c r="AX456" s="1">
        <v>0.25</v>
      </c>
      <c r="BE456" s="1" t="str">
        <f t="shared" si="30"/>
        <v>enemy_4002_syokai</v>
      </c>
      <c r="BK456" s="1" t="s">
        <v>1045</v>
      </c>
      <c r="BL456" s="1" t="s">
        <v>2118</v>
      </c>
      <c r="BN456" s="1" t="s">
        <v>217</v>
      </c>
      <c r="BO456" s="1" t="s">
        <v>218</v>
      </c>
      <c r="BP456" s="1" t="s">
        <v>239</v>
      </c>
      <c r="BQ456" s="1" t="s">
        <v>220</v>
      </c>
      <c r="BT456" s="1">
        <v>1</v>
      </c>
    </row>
    <row r="457" spans="1:72">
      <c r="A457" s="1" t="s">
        <v>2119</v>
      </c>
      <c r="B457" s="1" t="s">
        <v>213</v>
      </c>
      <c r="C457" s="1">
        <v>1</v>
      </c>
      <c r="D457" s="1" t="s">
        <v>2120</v>
      </c>
      <c r="E457" s="1">
        <v>4002</v>
      </c>
      <c r="F457" s="1" t="str">
        <f t="shared" si="31"/>
        <v>enemy_4002_syokai_2</v>
      </c>
      <c r="G457" s="1">
        <v>1</v>
      </c>
      <c r="K457" s="1">
        <v>10000</v>
      </c>
      <c r="M457" s="1">
        <v>0</v>
      </c>
      <c r="O457" s="1">
        <v>200</v>
      </c>
      <c r="Q457" s="1">
        <v>30</v>
      </c>
      <c r="Y457" s="1">
        <v>0.05</v>
      </c>
      <c r="Z457" s="1">
        <v>1</v>
      </c>
      <c r="AA457" s="1">
        <v>0</v>
      </c>
      <c r="AB457" s="1">
        <v>0.7</v>
      </c>
      <c r="AG457" s="1">
        <v>0</v>
      </c>
      <c r="AH457" s="1">
        <v>1</v>
      </c>
      <c r="AI457" s="1" t="s">
        <v>2121</v>
      </c>
      <c r="AJ457" s="1" t="s">
        <v>216</v>
      </c>
      <c r="AK457" s="1" t="s">
        <v>238</v>
      </c>
      <c r="AM457" s="1">
        <v>1</v>
      </c>
      <c r="AV457" s="1">
        <v>1</v>
      </c>
      <c r="AX457" s="1">
        <v>0.25</v>
      </c>
      <c r="BE457" s="1" t="str">
        <f t="shared" si="30"/>
        <v>enemy_4002_syokai_2</v>
      </c>
      <c r="BK457" s="1" t="s">
        <v>1045</v>
      </c>
      <c r="BL457" s="1" t="s">
        <v>2118</v>
      </c>
      <c r="BN457" s="1" t="s">
        <v>217</v>
      </c>
      <c r="BO457" s="1" t="s">
        <v>218</v>
      </c>
      <c r="BP457" s="1" t="s">
        <v>239</v>
      </c>
      <c r="BQ457" s="1" t="s">
        <v>220</v>
      </c>
      <c r="BT457" s="1">
        <v>1</v>
      </c>
    </row>
    <row r="458" spans="1:72">
      <c r="A458" s="1" t="s">
        <v>2122</v>
      </c>
      <c r="B458" s="1" t="s">
        <v>213</v>
      </c>
      <c r="C458" s="1">
        <v>1</v>
      </c>
      <c r="D458" s="1" t="s">
        <v>2123</v>
      </c>
      <c r="E458" s="1">
        <v>4003</v>
      </c>
      <c r="F458" s="1" t="str">
        <f t="shared" si="31"/>
        <v>enemy_4003_pbank</v>
      </c>
      <c r="G458" s="1">
        <v>1</v>
      </c>
      <c r="K458" s="1">
        <v>7500</v>
      </c>
      <c r="M458" s="1">
        <v>0</v>
      </c>
      <c r="O458" s="1">
        <v>250</v>
      </c>
      <c r="Q458" s="1">
        <v>30</v>
      </c>
      <c r="Y458" s="1">
        <v>0.05</v>
      </c>
      <c r="Z458" s="1">
        <v>3</v>
      </c>
      <c r="AA458" s="1">
        <v>0</v>
      </c>
      <c r="AB458" s="1">
        <v>1.9</v>
      </c>
      <c r="AG458" s="1">
        <v>0</v>
      </c>
      <c r="AH458" s="1">
        <v>1</v>
      </c>
      <c r="AI458" s="1" t="s">
        <v>2124</v>
      </c>
      <c r="AJ458" s="1" t="s">
        <v>216</v>
      </c>
      <c r="AK458" s="1" t="s">
        <v>238</v>
      </c>
      <c r="AM458" s="1">
        <v>1</v>
      </c>
      <c r="AV458" s="1">
        <v>1</v>
      </c>
      <c r="AX458" s="1">
        <v>0.25</v>
      </c>
      <c r="BE458" s="1" t="str">
        <f t="shared" si="30"/>
        <v>enemy_4003_pbank</v>
      </c>
      <c r="BK458" s="1" t="s">
        <v>2125</v>
      </c>
      <c r="BL458" s="1" t="s">
        <v>2126</v>
      </c>
      <c r="BN458" s="1" t="s">
        <v>217</v>
      </c>
      <c r="BO458" s="1" t="s">
        <v>218</v>
      </c>
      <c r="BP458" s="1" t="s">
        <v>239</v>
      </c>
      <c r="BQ458" s="1" t="s">
        <v>220</v>
      </c>
      <c r="BT458" s="1">
        <v>1</v>
      </c>
    </row>
    <row r="459" spans="1:72">
      <c r="A459" s="1" t="s">
        <v>2127</v>
      </c>
      <c r="B459" s="1" t="s">
        <v>213</v>
      </c>
      <c r="D459" s="1" t="s">
        <v>2128</v>
      </c>
      <c r="E459" s="1">
        <v>1130</v>
      </c>
      <c r="F459" s="1" t="str">
        <f t="shared" si="31"/>
        <v>enemy_1130_infstr</v>
      </c>
      <c r="G459" s="1">
        <v>1</v>
      </c>
      <c r="K459" s="1">
        <v>1900</v>
      </c>
      <c r="M459" s="1">
        <v>210</v>
      </c>
      <c r="O459" s="1">
        <v>100</v>
      </c>
      <c r="Q459" s="1">
        <v>0</v>
      </c>
      <c r="Y459" s="1">
        <v>0.05</v>
      </c>
      <c r="Z459" s="1">
        <v>2</v>
      </c>
      <c r="AA459" s="1">
        <v>1</v>
      </c>
      <c r="AB459" s="1">
        <v>0.9</v>
      </c>
      <c r="AG459" s="1">
        <v>0</v>
      </c>
      <c r="AH459" s="1">
        <v>1</v>
      </c>
      <c r="AI459" s="1" t="s">
        <v>2129</v>
      </c>
      <c r="AJ459" s="1" t="s">
        <v>216</v>
      </c>
      <c r="AK459" s="1" t="s">
        <v>2130</v>
      </c>
      <c r="AM459" s="1">
        <v>1</v>
      </c>
      <c r="AV459" s="1">
        <v>1</v>
      </c>
      <c r="AX459" s="1">
        <v>0.25</v>
      </c>
      <c r="BE459" s="1" t="str">
        <f t="shared" si="30"/>
        <v>enemy_1130_infstr</v>
      </c>
      <c r="BK459" s="1" t="s">
        <v>911</v>
      </c>
      <c r="BL459" s="1" t="s">
        <v>2131</v>
      </c>
      <c r="BN459" s="1" t="s">
        <v>217</v>
      </c>
      <c r="BO459" s="1" t="s">
        <v>218</v>
      </c>
      <c r="BP459" s="1" t="s">
        <v>239</v>
      </c>
      <c r="BQ459" s="1" t="s">
        <v>220</v>
      </c>
      <c r="BT459" s="1">
        <v>1</v>
      </c>
    </row>
    <row r="460" spans="1:72">
      <c r="A460" s="1" t="s">
        <v>2132</v>
      </c>
      <c r="B460" s="1" t="s">
        <v>213</v>
      </c>
      <c r="D460" s="1" t="s">
        <v>2133</v>
      </c>
      <c r="E460" s="1">
        <v>1131</v>
      </c>
      <c r="F460" s="1" t="str">
        <f t="shared" si="31"/>
        <v>enemy_1131_sbeast</v>
      </c>
      <c r="G460" s="1">
        <v>1</v>
      </c>
      <c r="K460" s="1">
        <v>2700</v>
      </c>
      <c r="M460" s="1">
        <v>320</v>
      </c>
      <c r="O460" s="1">
        <v>100</v>
      </c>
      <c r="Q460" s="1">
        <v>0</v>
      </c>
      <c r="Y460" s="1">
        <v>0.05</v>
      </c>
      <c r="Z460" s="1">
        <v>2.5</v>
      </c>
      <c r="AA460" s="1">
        <v>2</v>
      </c>
      <c r="AB460" s="1">
        <v>1.7</v>
      </c>
      <c r="AG460" s="1">
        <v>0</v>
      </c>
      <c r="AH460" s="1">
        <v>1</v>
      </c>
      <c r="AI460" s="1" t="s">
        <v>2134</v>
      </c>
      <c r="AJ460" s="1" t="s">
        <v>216</v>
      </c>
      <c r="AK460" s="1" t="s">
        <v>2130</v>
      </c>
      <c r="AM460" s="1">
        <v>1</v>
      </c>
      <c r="AV460" s="1">
        <v>1</v>
      </c>
      <c r="AX460" s="1">
        <v>0.25</v>
      </c>
      <c r="BE460" s="1" t="str">
        <f t="shared" si="30"/>
        <v>enemy_1131_sbeast</v>
      </c>
      <c r="BK460" s="1" t="s">
        <v>911</v>
      </c>
      <c r="BL460" s="1" t="s">
        <v>2131</v>
      </c>
      <c r="BN460" s="1" t="s">
        <v>217</v>
      </c>
      <c r="BO460" s="1" t="s">
        <v>218</v>
      </c>
      <c r="BP460" s="1" t="s">
        <v>239</v>
      </c>
      <c r="BQ460" s="1" t="s">
        <v>220</v>
      </c>
      <c r="BT460" s="1">
        <v>1</v>
      </c>
    </row>
    <row r="461" spans="1:72">
      <c r="A461" s="1" t="s">
        <v>2135</v>
      </c>
      <c r="B461" s="1" t="s">
        <v>213</v>
      </c>
      <c r="D461" s="1" t="s">
        <v>2136</v>
      </c>
      <c r="E461" s="1">
        <v>1131</v>
      </c>
      <c r="F461" s="1" t="str">
        <f t="shared" si="31"/>
        <v>enemy_1131_sbeast_2</v>
      </c>
      <c r="G461" s="1">
        <v>1</v>
      </c>
      <c r="K461" s="1">
        <v>3300</v>
      </c>
      <c r="M461" s="1">
        <v>380</v>
      </c>
      <c r="O461" s="1">
        <v>100</v>
      </c>
      <c r="Q461" s="1">
        <v>0</v>
      </c>
      <c r="Y461" s="1">
        <v>0.05</v>
      </c>
      <c r="Z461" s="1">
        <v>2.5</v>
      </c>
      <c r="AA461" s="1">
        <v>2</v>
      </c>
      <c r="AB461" s="1">
        <v>1.7</v>
      </c>
      <c r="AG461" s="1">
        <v>0</v>
      </c>
      <c r="AH461" s="1">
        <v>1</v>
      </c>
      <c r="AI461" s="1" t="s">
        <v>2137</v>
      </c>
      <c r="AJ461" s="1" t="s">
        <v>216</v>
      </c>
      <c r="AK461" s="1" t="s">
        <v>2138</v>
      </c>
      <c r="AM461" s="1">
        <v>1</v>
      </c>
      <c r="AV461" s="1">
        <v>1</v>
      </c>
      <c r="AX461" s="1">
        <v>0.25</v>
      </c>
      <c r="BE461" s="1" t="str">
        <f t="shared" si="30"/>
        <v>enemy_1131_sbeast_2</v>
      </c>
      <c r="BK461" s="1" t="s">
        <v>911</v>
      </c>
      <c r="BL461" s="1" t="s">
        <v>2139</v>
      </c>
      <c r="BN461" s="1" t="s">
        <v>217</v>
      </c>
      <c r="BO461" s="1" t="s">
        <v>218</v>
      </c>
      <c r="BP461" s="1" t="s">
        <v>239</v>
      </c>
      <c r="BQ461" s="1" t="s">
        <v>220</v>
      </c>
      <c r="BT461" s="1">
        <v>1</v>
      </c>
    </row>
    <row r="462" spans="1:72">
      <c r="A462" s="1" t="s">
        <v>2140</v>
      </c>
      <c r="B462" s="1" t="s">
        <v>213</v>
      </c>
      <c r="D462" s="1" t="s">
        <v>2141</v>
      </c>
      <c r="E462" s="1">
        <v>1132</v>
      </c>
      <c r="F462" s="1" t="str">
        <f t="shared" si="31"/>
        <v>enemy_1132_sarchn</v>
      </c>
      <c r="G462" s="1">
        <v>1</v>
      </c>
      <c r="K462" s="1">
        <v>2500</v>
      </c>
      <c r="M462" s="1">
        <v>360</v>
      </c>
      <c r="O462" s="1">
        <v>200</v>
      </c>
      <c r="Q462" s="1">
        <v>0</v>
      </c>
      <c r="Y462" s="1">
        <v>0.05</v>
      </c>
      <c r="Z462" s="1">
        <v>1.5</v>
      </c>
      <c r="AA462" s="1">
        <v>1</v>
      </c>
      <c r="AB462" s="1">
        <v>1.1</v>
      </c>
      <c r="AG462" s="1">
        <v>0</v>
      </c>
      <c r="AH462" s="1">
        <v>1</v>
      </c>
      <c r="AI462" s="1" t="s">
        <v>2142</v>
      </c>
      <c r="AJ462" s="1" t="s">
        <v>216</v>
      </c>
      <c r="AK462" s="1" t="s">
        <v>2143</v>
      </c>
      <c r="AM462" s="1">
        <v>1</v>
      </c>
      <c r="AV462" s="1">
        <v>1</v>
      </c>
      <c r="AX462" s="1">
        <v>0.25</v>
      </c>
      <c r="BE462" s="1" t="str">
        <f t="shared" si="30"/>
        <v>enemy_1132_sarchn</v>
      </c>
      <c r="BK462" s="1" t="s">
        <v>911</v>
      </c>
      <c r="BL462" s="1" t="s">
        <v>2144</v>
      </c>
      <c r="BN462" s="1" t="s">
        <v>217</v>
      </c>
      <c r="BO462" s="1" t="s">
        <v>218</v>
      </c>
      <c r="BP462" s="1" t="s">
        <v>239</v>
      </c>
      <c r="BQ462" s="1" t="s">
        <v>220</v>
      </c>
      <c r="BT462" s="1">
        <v>1</v>
      </c>
    </row>
    <row r="463" spans="1:72">
      <c r="A463" s="1" t="s">
        <v>2145</v>
      </c>
      <c r="B463" s="1" t="s">
        <v>213</v>
      </c>
      <c r="D463" s="1" t="s">
        <v>2146</v>
      </c>
      <c r="E463" s="1">
        <v>1132</v>
      </c>
      <c r="F463" s="1" t="str">
        <f t="shared" si="31"/>
        <v>enemy_1132_sarchn_2</v>
      </c>
      <c r="G463" s="1">
        <v>1</v>
      </c>
      <c r="K463" s="1">
        <v>3500</v>
      </c>
      <c r="M463" s="1">
        <v>410</v>
      </c>
      <c r="O463" s="1">
        <v>200</v>
      </c>
      <c r="Q463" s="1">
        <v>0</v>
      </c>
      <c r="Y463" s="1">
        <v>0.05</v>
      </c>
      <c r="Z463" s="1">
        <v>1.5</v>
      </c>
      <c r="AA463" s="1">
        <v>1</v>
      </c>
      <c r="AB463" s="1">
        <v>1.1</v>
      </c>
      <c r="AG463" s="1">
        <v>0</v>
      </c>
      <c r="AH463" s="1">
        <v>1</v>
      </c>
      <c r="AI463" s="1" t="s">
        <v>2147</v>
      </c>
      <c r="AJ463" s="1" t="s">
        <v>216</v>
      </c>
      <c r="AK463" s="1" t="s">
        <v>2148</v>
      </c>
      <c r="AM463" s="1">
        <v>1</v>
      </c>
      <c r="AV463" s="1">
        <v>1</v>
      </c>
      <c r="AX463" s="1">
        <v>0.25</v>
      </c>
      <c r="BE463" s="1" t="str">
        <f t="shared" si="30"/>
        <v>enemy_1132_sarchn_2</v>
      </c>
      <c r="BK463" s="1" t="s">
        <v>911</v>
      </c>
      <c r="BL463" s="1" t="s">
        <v>2149</v>
      </c>
      <c r="BN463" s="1" t="s">
        <v>217</v>
      </c>
      <c r="BO463" s="1" t="s">
        <v>218</v>
      </c>
      <c r="BP463" s="1" t="s">
        <v>239</v>
      </c>
      <c r="BQ463" s="1" t="s">
        <v>220</v>
      </c>
      <c r="BT463" s="1">
        <v>1</v>
      </c>
    </row>
    <row r="464" spans="1:72">
      <c r="A464" s="1" t="s">
        <v>2150</v>
      </c>
      <c r="B464" s="1" t="s">
        <v>213</v>
      </c>
      <c r="D464" s="1" t="s">
        <v>2151</v>
      </c>
      <c r="E464" s="1">
        <v>1133</v>
      </c>
      <c r="F464" s="1" t="str">
        <f t="shared" si="31"/>
        <v>enemy_1133_harchn</v>
      </c>
      <c r="G464" s="1">
        <v>1</v>
      </c>
      <c r="K464" s="1">
        <v>15000</v>
      </c>
      <c r="M464" s="1">
        <v>600</v>
      </c>
      <c r="O464" s="1">
        <v>300</v>
      </c>
      <c r="Q464" s="1">
        <v>0</v>
      </c>
      <c r="Y464" s="1">
        <v>0.05</v>
      </c>
      <c r="Z464" s="1">
        <v>3</v>
      </c>
      <c r="AA464" s="1">
        <v>4</v>
      </c>
      <c r="AB464" s="1">
        <v>0.8</v>
      </c>
      <c r="AG464" s="1">
        <v>0</v>
      </c>
      <c r="AH464" s="1">
        <v>1</v>
      </c>
      <c r="AI464" s="1" t="s">
        <v>2152</v>
      </c>
      <c r="AJ464" s="1" t="s">
        <v>216</v>
      </c>
      <c r="AK464" s="1" t="s">
        <v>2153</v>
      </c>
      <c r="AM464" s="1">
        <v>1</v>
      </c>
      <c r="AV464" s="1">
        <v>1</v>
      </c>
      <c r="AX464" s="1">
        <v>0.25</v>
      </c>
      <c r="BE464" s="1" t="str">
        <f t="shared" si="30"/>
        <v>enemy_1133_harchn</v>
      </c>
      <c r="BK464" s="1" t="s">
        <v>2154</v>
      </c>
      <c r="BL464" s="1" t="s">
        <v>2155</v>
      </c>
      <c r="BN464" s="1" t="s">
        <v>217</v>
      </c>
      <c r="BO464" s="1" t="s">
        <v>218</v>
      </c>
      <c r="BP464" s="1" t="s">
        <v>239</v>
      </c>
      <c r="BQ464" s="1" t="s">
        <v>220</v>
      </c>
      <c r="BT464" s="1">
        <v>1</v>
      </c>
    </row>
    <row r="465" spans="1:72">
      <c r="A465" s="1" t="s">
        <v>2156</v>
      </c>
      <c r="B465" s="1" t="s">
        <v>213</v>
      </c>
      <c r="D465" s="1" t="s">
        <v>2157</v>
      </c>
      <c r="E465" s="1">
        <v>1133</v>
      </c>
      <c r="F465" s="1" t="str">
        <f t="shared" si="31"/>
        <v>enemy_1133_harchn_2</v>
      </c>
      <c r="G465" s="1">
        <v>1</v>
      </c>
      <c r="K465" s="1">
        <v>20000</v>
      </c>
      <c r="M465" s="1">
        <v>800</v>
      </c>
      <c r="O465" s="1">
        <v>300</v>
      </c>
      <c r="Q465" s="1">
        <v>0</v>
      </c>
      <c r="Y465" s="1">
        <v>0.05</v>
      </c>
      <c r="Z465" s="1">
        <v>3</v>
      </c>
      <c r="AA465" s="1">
        <v>4</v>
      </c>
      <c r="AB465" s="1">
        <v>0.8</v>
      </c>
      <c r="AG465" s="1">
        <v>0</v>
      </c>
      <c r="AH465" s="1">
        <v>1</v>
      </c>
      <c r="AI465" s="1" t="s">
        <v>2158</v>
      </c>
      <c r="AJ465" s="1" t="s">
        <v>216</v>
      </c>
      <c r="AK465" s="1" t="s">
        <v>2159</v>
      </c>
      <c r="AM465" s="1">
        <v>1</v>
      </c>
      <c r="AV465" s="1">
        <v>1</v>
      </c>
      <c r="AX465" s="1">
        <v>0.25</v>
      </c>
      <c r="BE465" s="1" t="str">
        <f t="shared" si="30"/>
        <v>enemy_1133_harchn_2</v>
      </c>
      <c r="BK465" s="1" t="s">
        <v>2154</v>
      </c>
      <c r="BL465" s="1" t="s">
        <v>2160</v>
      </c>
      <c r="BN465" s="1" t="s">
        <v>217</v>
      </c>
      <c r="BO465" s="1" t="s">
        <v>218</v>
      </c>
      <c r="BP465" s="1" t="s">
        <v>239</v>
      </c>
      <c r="BQ465" s="1" t="s">
        <v>220</v>
      </c>
      <c r="BT465" s="1">
        <v>1</v>
      </c>
    </row>
    <row r="466" spans="1:72">
      <c r="A466" s="1" t="s">
        <v>2161</v>
      </c>
      <c r="B466" s="1" t="s">
        <v>213</v>
      </c>
      <c r="D466" s="1" t="s">
        <v>2162</v>
      </c>
      <c r="E466" s="1">
        <v>1134</v>
      </c>
      <c r="F466" s="1" t="str">
        <f t="shared" si="31"/>
        <v>enemy_1134_diamd</v>
      </c>
      <c r="G466" s="1">
        <v>1</v>
      </c>
      <c r="K466" s="1">
        <v>4000</v>
      </c>
      <c r="M466" s="1">
        <v>1000</v>
      </c>
      <c r="O466" s="1">
        <v>2000</v>
      </c>
      <c r="Q466" s="1">
        <v>80</v>
      </c>
      <c r="Y466" s="1">
        <v>0.05</v>
      </c>
      <c r="Z466" s="1">
        <v>4</v>
      </c>
      <c r="AA466" s="1">
        <v>4</v>
      </c>
      <c r="AB466" s="1">
        <v>0.7</v>
      </c>
      <c r="AG466" s="1">
        <v>0</v>
      </c>
      <c r="AH466" s="1">
        <v>1</v>
      </c>
      <c r="AI466" s="1" t="s">
        <v>2163</v>
      </c>
      <c r="AJ466" s="1" t="s">
        <v>216</v>
      </c>
      <c r="AK466" s="1" t="s">
        <v>1155</v>
      </c>
      <c r="AM466" s="1">
        <v>1</v>
      </c>
      <c r="AV466" s="1">
        <v>1</v>
      </c>
      <c r="AX466" s="1">
        <v>0.25</v>
      </c>
      <c r="BE466" s="1" t="str">
        <f t="shared" si="30"/>
        <v>enemy_1134_diamd</v>
      </c>
      <c r="BK466" s="1" t="s">
        <v>2164</v>
      </c>
      <c r="BL466" s="1" t="s">
        <v>2165</v>
      </c>
      <c r="BN466" s="1" t="s">
        <v>217</v>
      </c>
      <c r="BO466" s="1" t="s">
        <v>218</v>
      </c>
      <c r="BP466" s="1" t="s">
        <v>239</v>
      </c>
      <c r="BQ466" s="1" t="s">
        <v>220</v>
      </c>
      <c r="BT466" s="1">
        <v>1</v>
      </c>
    </row>
    <row r="467" spans="1:72">
      <c r="A467" s="1" t="s">
        <v>2166</v>
      </c>
      <c r="B467" s="1" t="s">
        <v>213</v>
      </c>
      <c r="D467" s="1" t="s">
        <v>2167</v>
      </c>
      <c r="E467" s="1">
        <v>1134</v>
      </c>
      <c r="F467" s="1" t="str">
        <f t="shared" si="31"/>
        <v>enemy_1134_diamd_2</v>
      </c>
      <c r="G467" s="1">
        <v>1</v>
      </c>
      <c r="K467" s="1">
        <v>7000</v>
      </c>
      <c r="M467" s="1">
        <v>1500</v>
      </c>
      <c r="O467" s="1">
        <v>2000</v>
      </c>
      <c r="Q467" s="1">
        <v>80</v>
      </c>
      <c r="Y467" s="1">
        <v>0.05</v>
      </c>
      <c r="Z467" s="1">
        <v>4</v>
      </c>
      <c r="AA467" s="1">
        <v>4</v>
      </c>
      <c r="AB467" s="1">
        <v>0.7</v>
      </c>
      <c r="AG467" s="1">
        <v>0</v>
      </c>
      <c r="AH467" s="1">
        <v>1</v>
      </c>
      <c r="AI467" s="1" t="s">
        <v>2168</v>
      </c>
      <c r="AJ467" s="1" t="s">
        <v>216</v>
      </c>
      <c r="AK467" s="1" t="s">
        <v>1155</v>
      </c>
      <c r="AM467" s="1">
        <v>1</v>
      </c>
      <c r="AV467" s="1">
        <v>1</v>
      </c>
      <c r="AX467" s="1">
        <v>0.25</v>
      </c>
      <c r="BE467" s="1" t="str">
        <f t="shared" si="30"/>
        <v>enemy_1134_diamd_2</v>
      </c>
      <c r="BK467" s="1" t="s">
        <v>2164</v>
      </c>
      <c r="BL467" s="1" t="s">
        <v>2169</v>
      </c>
      <c r="BN467" s="1" t="s">
        <v>217</v>
      </c>
      <c r="BO467" s="1" t="s">
        <v>218</v>
      </c>
      <c r="BP467" s="1" t="s">
        <v>239</v>
      </c>
      <c r="BQ467" s="1" t="s">
        <v>220</v>
      </c>
      <c r="BT467" s="1">
        <v>1</v>
      </c>
    </row>
    <row r="468" spans="1:72">
      <c r="A468" s="1" t="s">
        <v>2170</v>
      </c>
      <c r="B468" s="1" t="s">
        <v>213</v>
      </c>
      <c r="C468" s="1">
        <v>1</v>
      </c>
      <c r="D468" s="1" t="s">
        <v>2171</v>
      </c>
      <c r="E468" s="1">
        <v>1135</v>
      </c>
      <c r="F468" s="1" t="str">
        <f t="shared" si="31"/>
        <v>enemy_1135_redman</v>
      </c>
      <c r="G468" s="1">
        <v>1</v>
      </c>
      <c r="K468" s="1">
        <v>5000</v>
      </c>
      <c r="M468" s="1">
        <v>1500</v>
      </c>
      <c r="O468" s="1">
        <v>300</v>
      </c>
      <c r="Q468" s="1">
        <v>30</v>
      </c>
      <c r="Y468" s="1">
        <v>0.05</v>
      </c>
      <c r="Z468" s="1">
        <v>5</v>
      </c>
      <c r="AA468" s="1">
        <v>1</v>
      </c>
      <c r="AB468" s="1">
        <v>0.9</v>
      </c>
      <c r="AG468" s="1">
        <v>0</v>
      </c>
      <c r="AH468" s="1">
        <v>1</v>
      </c>
      <c r="AI468" s="1" t="s">
        <v>2172</v>
      </c>
      <c r="AJ468" s="1" t="s">
        <v>216</v>
      </c>
      <c r="AK468" s="1" t="s">
        <v>238</v>
      </c>
      <c r="AM468" s="1">
        <v>1</v>
      </c>
      <c r="AV468" s="1">
        <v>1</v>
      </c>
      <c r="AX468" s="1">
        <v>0.25</v>
      </c>
      <c r="BE468" s="1" t="str">
        <f t="shared" si="30"/>
        <v>enemy_1135_redman</v>
      </c>
      <c r="BK468" s="1" t="s">
        <v>980</v>
      </c>
      <c r="BL468" s="1" t="s">
        <v>2173</v>
      </c>
      <c r="BN468" s="1" t="s">
        <v>217</v>
      </c>
      <c r="BO468" s="1" t="s">
        <v>2174</v>
      </c>
      <c r="BP468" s="1" t="s">
        <v>2175</v>
      </c>
      <c r="BQ468" s="1" t="s">
        <v>2176</v>
      </c>
      <c r="BT468" s="1">
        <v>1</v>
      </c>
    </row>
    <row r="469" spans="1:72">
      <c r="A469" s="1" t="s">
        <v>2177</v>
      </c>
      <c r="B469" s="1" t="s">
        <v>213</v>
      </c>
      <c r="C469" s="1">
        <v>1</v>
      </c>
      <c r="D469" s="1" t="s">
        <v>2178</v>
      </c>
      <c r="E469" s="1">
        <v>1135</v>
      </c>
      <c r="F469" s="1" t="str">
        <f t="shared" si="31"/>
        <v>enemy_1135_redman_2</v>
      </c>
      <c r="G469" s="1">
        <v>1</v>
      </c>
      <c r="K469" s="1">
        <v>7000</v>
      </c>
      <c r="M469" s="1">
        <v>2000</v>
      </c>
      <c r="O469" s="1">
        <v>300</v>
      </c>
      <c r="Q469" s="1">
        <v>30</v>
      </c>
      <c r="Y469" s="1">
        <v>0.05</v>
      </c>
      <c r="Z469" s="1">
        <v>5</v>
      </c>
      <c r="AA469" s="1">
        <v>1</v>
      </c>
      <c r="AB469" s="1">
        <v>0.9</v>
      </c>
      <c r="AG469" s="1">
        <v>0</v>
      </c>
      <c r="AH469" s="1">
        <v>1</v>
      </c>
      <c r="AI469" s="1" t="s">
        <v>2179</v>
      </c>
      <c r="AJ469" s="1" t="s">
        <v>216</v>
      </c>
      <c r="AK469" s="1" t="s">
        <v>238</v>
      </c>
      <c r="AM469" s="1">
        <v>1</v>
      </c>
      <c r="AV469" s="1">
        <v>1</v>
      </c>
      <c r="AX469" s="1">
        <v>0.25</v>
      </c>
      <c r="BE469" s="1" t="str">
        <f t="shared" si="30"/>
        <v>enemy_1135_redman_2</v>
      </c>
      <c r="BK469" s="1" t="s">
        <v>980</v>
      </c>
      <c r="BL469" s="1" t="s">
        <v>2173</v>
      </c>
      <c r="BN469" s="1" t="s">
        <v>217</v>
      </c>
      <c r="BO469" s="1" t="s">
        <v>2174</v>
      </c>
      <c r="BP469" s="1" t="s">
        <v>2175</v>
      </c>
      <c r="BQ469" s="1" t="s">
        <v>2176</v>
      </c>
      <c r="BT469" s="1">
        <v>1</v>
      </c>
    </row>
    <row r="470" spans="1:72">
      <c r="A470" s="1" t="s">
        <v>2180</v>
      </c>
      <c r="B470" s="1" t="s">
        <v>213</v>
      </c>
      <c r="C470" s="1">
        <v>1</v>
      </c>
      <c r="D470" s="1" t="s">
        <v>2181</v>
      </c>
      <c r="E470" s="1">
        <v>1136</v>
      </c>
      <c r="F470" s="1" t="str">
        <f t="shared" si="31"/>
        <v>enemy_1136_redace</v>
      </c>
      <c r="G470" s="1">
        <v>1</v>
      </c>
      <c r="K470" s="1">
        <v>6000</v>
      </c>
      <c r="M470" s="1">
        <v>400</v>
      </c>
      <c r="O470" s="1">
        <v>500</v>
      </c>
      <c r="Q470" s="1">
        <v>30</v>
      </c>
      <c r="Y470" s="1">
        <v>0.05</v>
      </c>
      <c r="Z470" s="1">
        <v>2</v>
      </c>
      <c r="AA470" s="1">
        <v>1</v>
      </c>
      <c r="AB470" s="1">
        <v>1.3</v>
      </c>
      <c r="AG470" s="1">
        <v>0</v>
      </c>
      <c r="AH470" s="1">
        <v>1</v>
      </c>
      <c r="AI470" s="1" t="s">
        <v>2182</v>
      </c>
      <c r="AJ470" s="1" t="s">
        <v>216</v>
      </c>
      <c r="AK470" s="1" t="s">
        <v>238</v>
      </c>
      <c r="AM470" s="1">
        <v>1</v>
      </c>
      <c r="AV470" s="1">
        <v>1</v>
      </c>
      <c r="AX470" s="1">
        <v>0.25</v>
      </c>
      <c r="BE470" s="1" t="str">
        <f t="shared" si="30"/>
        <v>enemy_1136_redace</v>
      </c>
      <c r="BK470" s="1" t="s">
        <v>980</v>
      </c>
      <c r="BL470" s="1" t="s">
        <v>2183</v>
      </c>
      <c r="BN470" s="1" t="s">
        <v>217</v>
      </c>
      <c r="BO470" s="1" t="s">
        <v>218</v>
      </c>
      <c r="BP470" s="1" t="s">
        <v>239</v>
      </c>
      <c r="BQ470" s="1" t="s">
        <v>220</v>
      </c>
      <c r="BT470" s="1">
        <v>1</v>
      </c>
    </row>
    <row r="471" spans="1:72">
      <c r="A471" s="1" t="s">
        <v>2184</v>
      </c>
      <c r="B471" s="1" t="s">
        <v>213</v>
      </c>
      <c r="C471" s="1">
        <v>1</v>
      </c>
      <c r="D471" s="1" t="s">
        <v>2185</v>
      </c>
      <c r="E471" s="1">
        <v>1136</v>
      </c>
      <c r="F471" s="1" t="str">
        <f t="shared" si="31"/>
        <v>enemy_1136_redace_2</v>
      </c>
      <c r="G471" s="1">
        <v>1</v>
      </c>
      <c r="K471" s="1">
        <v>8000</v>
      </c>
      <c r="M471" s="1">
        <v>500</v>
      </c>
      <c r="O471" s="1">
        <v>500</v>
      </c>
      <c r="Q471" s="1">
        <v>30</v>
      </c>
      <c r="Y471" s="1">
        <v>0.05</v>
      </c>
      <c r="Z471" s="1">
        <v>2</v>
      </c>
      <c r="AA471" s="1">
        <v>1</v>
      </c>
      <c r="AB471" s="1">
        <v>1.3</v>
      </c>
      <c r="AG471" s="1">
        <v>0</v>
      </c>
      <c r="AH471" s="1">
        <v>1</v>
      </c>
      <c r="AI471" s="1" t="s">
        <v>2186</v>
      </c>
      <c r="AJ471" s="1" t="s">
        <v>216</v>
      </c>
      <c r="AK471" s="1" t="s">
        <v>238</v>
      </c>
      <c r="AM471" s="1">
        <v>1</v>
      </c>
      <c r="AV471" s="1">
        <v>1</v>
      </c>
      <c r="AX471" s="1">
        <v>0.25</v>
      </c>
      <c r="BE471" s="1" t="str">
        <f t="shared" si="30"/>
        <v>enemy_1136_redace_2</v>
      </c>
      <c r="BK471" s="1" t="s">
        <v>980</v>
      </c>
      <c r="BL471" s="1" t="s">
        <v>2183</v>
      </c>
      <c r="BN471" s="1" t="s">
        <v>217</v>
      </c>
      <c r="BO471" s="1" t="s">
        <v>218</v>
      </c>
      <c r="BP471" s="1" t="s">
        <v>239</v>
      </c>
      <c r="BQ471" s="1" t="s">
        <v>220</v>
      </c>
      <c r="BT471" s="1">
        <v>1</v>
      </c>
    </row>
    <row r="472" spans="1:72">
      <c r="A472" s="1" t="s">
        <v>2187</v>
      </c>
      <c r="B472" s="1" t="s">
        <v>213</v>
      </c>
      <c r="C472" s="1">
        <v>1</v>
      </c>
      <c r="D472" s="1" t="s">
        <v>2188</v>
      </c>
      <c r="E472" s="1">
        <v>1137</v>
      </c>
      <c r="F472" s="1" t="str">
        <f t="shared" si="31"/>
        <v>enemy_1137_plasm</v>
      </c>
      <c r="G472" s="1">
        <v>1</v>
      </c>
      <c r="K472" s="1">
        <v>1000</v>
      </c>
      <c r="M472" s="1">
        <v>150</v>
      </c>
      <c r="O472" s="1">
        <v>0</v>
      </c>
      <c r="Q472" s="1">
        <v>0</v>
      </c>
      <c r="Y472" s="1">
        <v>0.05</v>
      </c>
      <c r="Z472" s="1">
        <v>2</v>
      </c>
      <c r="AA472" s="1">
        <v>0</v>
      </c>
      <c r="AB472" s="1">
        <v>1.9</v>
      </c>
      <c r="AG472" s="1">
        <v>0</v>
      </c>
      <c r="AH472" s="1">
        <v>1</v>
      </c>
      <c r="AI472" s="1" t="s">
        <v>2189</v>
      </c>
      <c r="AJ472" s="1" t="s">
        <v>216</v>
      </c>
      <c r="AK472" s="1" t="s">
        <v>2190</v>
      </c>
      <c r="AM472" s="1">
        <v>1</v>
      </c>
      <c r="AV472" s="1">
        <v>1</v>
      </c>
      <c r="AX472" s="1">
        <v>0.25</v>
      </c>
      <c r="BE472" s="1" t="str">
        <f t="shared" si="30"/>
        <v>enemy_1137_plasm</v>
      </c>
      <c r="BK472" s="1" t="s">
        <v>911</v>
      </c>
      <c r="BL472" s="1" t="s">
        <v>2191</v>
      </c>
      <c r="BN472" s="1" t="s">
        <v>217</v>
      </c>
      <c r="BO472" s="1" t="s">
        <v>218</v>
      </c>
      <c r="BP472" s="1" t="s">
        <v>239</v>
      </c>
      <c r="BQ472" s="1" t="s">
        <v>220</v>
      </c>
      <c r="BT472" s="1">
        <v>1</v>
      </c>
    </row>
    <row r="473" spans="1:72">
      <c r="A473" s="1" t="s">
        <v>2192</v>
      </c>
      <c r="B473" s="1" t="s">
        <v>213</v>
      </c>
      <c r="C473" s="1">
        <v>1</v>
      </c>
      <c r="D473" s="1" t="s">
        <v>2193</v>
      </c>
      <c r="E473" s="1">
        <v>1138</v>
      </c>
      <c r="F473" s="1" t="str">
        <f t="shared" si="31"/>
        <v>enemy_1138_tumor</v>
      </c>
      <c r="G473" s="1">
        <v>1</v>
      </c>
      <c r="K473" s="1">
        <v>1500</v>
      </c>
      <c r="M473" s="1">
        <v>200</v>
      </c>
      <c r="O473" s="1">
        <v>0</v>
      </c>
      <c r="Q473" s="1">
        <v>0</v>
      </c>
      <c r="Y473" s="1">
        <v>0.05</v>
      </c>
      <c r="Z473" s="1">
        <v>2</v>
      </c>
      <c r="AA473" s="1">
        <v>0</v>
      </c>
      <c r="AB473" s="1">
        <v>1.9</v>
      </c>
      <c r="AG473" s="1">
        <v>0</v>
      </c>
      <c r="AH473" s="1">
        <v>1</v>
      </c>
      <c r="AI473" s="1" t="s">
        <v>2194</v>
      </c>
      <c r="AJ473" s="1" t="s">
        <v>216</v>
      </c>
      <c r="AK473" s="1" t="s">
        <v>2195</v>
      </c>
      <c r="AM473" s="1">
        <v>1</v>
      </c>
      <c r="AV473" s="1">
        <v>1</v>
      </c>
      <c r="AX473" s="1">
        <v>0.25</v>
      </c>
      <c r="BE473" s="1" t="str">
        <f t="shared" si="30"/>
        <v>enemy_1138_tumor</v>
      </c>
      <c r="BK473" s="1" t="s">
        <v>911</v>
      </c>
      <c r="BL473" s="1" t="s">
        <v>2196</v>
      </c>
      <c r="BN473" s="1" t="s">
        <v>217</v>
      </c>
      <c r="BO473" s="1" t="s">
        <v>218</v>
      </c>
      <c r="BP473" s="1" t="s">
        <v>239</v>
      </c>
      <c r="BQ473" s="1" t="s">
        <v>220</v>
      </c>
      <c r="BT473" s="1">
        <v>1</v>
      </c>
    </row>
    <row r="474" spans="1:72">
      <c r="A474" s="1" t="s">
        <v>2197</v>
      </c>
      <c r="B474" s="1" t="s">
        <v>213</v>
      </c>
      <c r="C474" s="1">
        <v>1</v>
      </c>
      <c r="D474" s="1" t="s">
        <v>2198</v>
      </c>
      <c r="E474" s="1">
        <v>1139</v>
      </c>
      <c r="F474" s="1" t="str">
        <f t="shared" si="31"/>
        <v>enemy_1139_hologc</v>
      </c>
      <c r="G474" s="1">
        <v>1</v>
      </c>
      <c r="K474" s="1">
        <v>3000</v>
      </c>
      <c r="M474" s="1">
        <v>250</v>
      </c>
      <c r="O474" s="1">
        <v>0</v>
      </c>
      <c r="Q474" s="1">
        <v>0</v>
      </c>
      <c r="Y474" s="1">
        <v>0.05</v>
      </c>
      <c r="Z474" s="1">
        <v>2</v>
      </c>
      <c r="AA474" s="1">
        <v>1</v>
      </c>
      <c r="AB474" s="1">
        <v>1.3</v>
      </c>
      <c r="AG474" s="1">
        <v>0</v>
      </c>
      <c r="AH474" s="1">
        <v>1</v>
      </c>
      <c r="AI474" s="1" t="s">
        <v>2199</v>
      </c>
      <c r="AJ474" s="1" t="s">
        <v>216</v>
      </c>
      <c r="AK474" s="1" t="s">
        <v>238</v>
      </c>
      <c r="AM474" s="1">
        <v>1</v>
      </c>
      <c r="AV474" s="1">
        <v>1</v>
      </c>
      <c r="AX474" s="1">
        <v>0.25</v>
      </c>
      <c r="BE474" s="1" t="str">
        <f t="shared" si="30"/>
        <v>enemy_1139_hologc</v>
      </c>
      <c r="BK474" s="1" t="s">
        <v>959</v>
      </c>
      <c r="BL474" s="1" t="s">
        <v>2200</v>
      </c>
      <c r="BN474" s="1" t="s">
        <v>217</v>
      </c>
      <c r="BO474" s="1" t="s">
        <v>218</v>
      </c>
      <c r="BP474" s="1" t="s">
        <v>218</v>
      </c>
      <c r="BQ474" s="1" t="s">
        <v>220</v>
      </c>
      <c r="BT474" s="1">
        <v>1</v>
      </c>
    </row>
    <row r="475" spans="1:72">
      <c r="A475" s="1" t="s">
        <v>2201</v>
      </c>
      <c r="B475" s="1" t="s">
        <v>213</v>
      </c>
      <c r="C475" s="1">
        <v>1</v>
      </c>
      <c r="D475" s="1" t="s">
        <v>2202</v>
      </c>
      <c r="E475" s="1">
        <v>1139</v>
      </c>
      <c r="F475" s="1" t="str">
        <f t="shared" si="31"/>
        <v>enemy_1139_hologc_2</v>
      </c>
      <c r="G475" s="1">
        <v>1</v>
      </c>
      <c r="K475" s="1">
        <v>4000</v>
      </c>
      <c r="M475" s="1">
        <v>350</v>
      </c>
      <c r="O475" s="1">
        <v>0</v>
      </c>
      <c r="Q475" s="1">
        <v>0</v>
      </c>
      <c r="Y475" s="1">
        <v>0.05</v>
      </c>
      <c r="Z475" s="1">
        <v>2</v>
      </c>
      <c r="AA475" s="1">
        <v>1</v>
      </c>
      <c r="AB475" s="1">
        <v>1.3</v>
      </c>
      <c r="AG475" s="1">
        <v>0</v>
      </c>
      <c r="AH475" s="1">
        <v>1</v>
      </c>
      <c r="AI475" s="1" t="s">
        <v>2203</v>
      </c>
      <c r="AJ475" s="1" t="s">
        <v>216</v>
      </c>
      <c r="AK475" s="1" t="s">
        <v>238</v>
      </c>
      <c r="AM475" s="1">
        <v>1</v>
      </c>
      <c r="AV475" s="1">
        <v>1</v>
      </c>
      <c r="AX475" s="1">
        <v>0.25</v>
      </c>
      <c r="BE475" s="1" t="str">
        <f t="shared" si="30"/>
        <v>enemy_1139_hologc_2</v>
      </c>
      <c r="BK475" s="1" t="s">
        <v>959</v>
      </c>
      <c r="BL475" s="1" t="s">
        <v>2204</v>
      </c>
      <c r="BN475" s="1" t="s">
        <v>217</v>
      </c>
      <c r="BO475" s="1" t="s">
        <v>218</v>
      </c>
      <c r="BP475" s="1" t="s">
        <v>218</v>
      </c>
      <c r="BQ475" s="1" t="s">
        <v>220</v>
      </c>
      <c r="BT475" s="1">
        <v>1</v>
      </c>
    </row>
    <row r="476" spans="1:72">
      <c r="A476" s="1" t="s">
        <v>2205</v>
      </c>
      <c r="B476" s="1" t="s">
        <v>213</v>
      </c>
      <c r="C476" s="1">
        <v>1</v>
      </c>
      <c r="D476" s="1" t="s">
        <v>2206</v>
      </c>
      <c r="E476" s="1">
        <v>1519</v>
      </c>
      <c r="F476" s="1" t="str">
        <f t="shared" si="31"/>
        <v>enemy_1519_bgball</v>
      </c>
      <c r="G476" s="1">
        <v>1</v>
      </c>
      <c r="K476" s="1">
        <v>50000</v>
      </c>
      <c r="M476" s="1">
        <v>700</v>
      </c>
      <c r="O476" s="1">
        <v>500</v>
      </c>
      <c r="Q476" s="1">
        <v>50</v>
      </c>
      <c r="Y476" s="1">
        <v>0.05</v>
      </c>
      <c r="Z476" s="1">
        <v>5</v>
      </c>
      <c r="AA476" s="1">
        <v>6</v>
      </c>
      <c r="AB476" s="1">
        <v>1</v>
      </c>
      <c r="AG476" s="1">
        <v>0</v>
      </c>
      <c r="AH476" s="1">
        <v>1</v>
      </c>
      <c r="AI476" s="1" t="s">
        <v>2207</v>
      </c>
      <c r="AJ476" s="1" t="s">
        <v>216</v>
      </c>
      <c r="AK476" s="1" t="s">
        <v>238</v>
      </c>
      <c r="AM476" s="1">
        <v>1</v>
      </c>
      <c r="AV476" s="1">
        <v>1</v>
      </c>
      <c r="AX476" s="1">
        <v>0.25</v>
      </c>
      <c r="BE476" s="1" t="str">
        <f t="shared" si="30"/>
        <v>enemy_1519_bgball</v>
      </c>
      <c r="BK476" s="1" t="s">
        <v>2208</v>
      </c>
      <c r="BL476" s="1" t="s">
        <v>2209</v>
      </c>
      <c r="BN476" s="1" t="s">
        <v>217</v>
      </c>
      <c r="BO476" s="1" t="s">
        <v>2035</v>
      </c>
      <c r="BP476" s="1" t="s">
        <v>2035</v>
      </c>
      <c r="BQ476" s="1" t="s">
        <v>2037</v>
      </c>
      <c r="BT476" s="1">
        <v>1</v>
      </c>
    </row>
    <row r="477" spans="1:72">
      <c r="A477" s="1" t="s">
        <v>2210</v>
      </c>
      <c r="B477" s="1" t="s">
        <v>213</v>
      </c>
      <c r="C477" s="1">
        <v>1</v>
      </c>
      <c r="D477" s="1" t="s">
        <v>2211</v>
      </c>
      <c r="E477" s="1">
        <v>1140</v>
      </c>
      <c r="F477" s="1" t="str">
        <f t="shared" si="31"/>
        <v>enemy_1140_merhd</v>
      </c>
      <c r="G477" s="1">
        <v>1</v>
      </c>
      <c r="K477" s="1">
        <v>2200</v>
      </c>
      <c r="M477" s="1">
        <v>310</v>
      </c>
      <c r="O477" s="1">
        <v>0</v>
      </c>
      <c r="Q477" s="1">
        <v>20</v>
      </c>
      <c r="Y477" s="1">
        <v>0.05</v>
      </c>
      <c r="Z477" s="1">
        <v>1.5</v>
      </c>
      <c r="AA477" s="1">
        <v>0</v>
      </c>
      <c r="AB477" s="1">
        <v>1.9</v>
      </c>
      <c r="AG477" s="1">
        <v>0</v>
      </c>
      <c r="AH477" s="1">
        <v>1</v>
      </c>
      <c r="AI477" s="1" t="s">
        <v>2212</v>
      </c>
      <c r="AJ477" s="1" t="s">
        <v>216</v>
      </c>
      <c r="AK477" s="1" t="s">
        <v>238</v>
      </c>
      <c r="AM477" s="1">
        <v>1</v>
      </c>
      <c r="AV477" s="1">
        <v>1</v>
      </c>
      <c r="AX477" s="1">
        <v>0.25</v>
      </c>
      <c r="BE477" s="1" t="str">
        <f t="shared" si="30"/>
        <v>enemy_1140_merhd</v>
      </c>
      <c r="BK477" s="1" t="s">
        <v>911</v>
      </c>
      <c r="BL477" s="1" t="s">
        <v>2213</v>
      </c>
      <c r="BN477" s="1" t="s">
        <v>217</v>
      </c>
      <c r="BO477" s="1" t="s">
        <v>218</v>
      </c>
      <c r="BP477" s="1" t="s">
        <v>239</v>
      </c>
      <c r="BQ477" s="1" t="s">
        <v>220</v>
      </c>
      <c r="BT477" s="1">
        <v>1</v>
      </c>
    </row>
    <row r="478" spans="1:72">
      <c r="A478" s="1" t="s">
        <v>2214</v>
      </c>
      <c r="B478" s="1" t="s">
        <v>213</v>
      </c>
      <c r="C478" s="1">
        <v>1</v>
      </c>
      <c r="D478" s="1" t="s">
        <v>2215</v>
      </c>
      <c r="E478" s="1">
        <v>1140</v>
      </c>
      <c r="F478" s="1" t="str">
        <f t="shared" si="31"/>
        <v>enemy_1140_merhd_2</v>
      </c>
      <c r="G478" s="1">
        <v>1</v>
      </c>
      <c r="K478" s="1">
        <v>3500</v>
      </c>
      <c r="M478" s="1">
        <v>380</v>
      </c>
      <c r="O478" s="1">
        <v>0</v>
      </c>
      <c r="Q478" s="1">
        <v>30</v>
      </c>
      <c r="Y478" s="1">
        <v>0.05</v>
      </c>
      <c r="Z478" s="1">
        <v>1.5</v>
      </c>
      <c r="AA478" s="1">
        <v>0</v>
      </c>
      <c r="AB478" s="1">
        <v>1.9</v>
      </c>
      <c r="AG478" s="1">
        <v>0</v>
      </c>
      <c r="AH478" s="1">
        <v>1</v>
      </c>
      <c r="AI478" s="1" t="s">
        <v>2216</v>
      </c>
      <c r="AJ478" s="1" t="s">
        <v>216</v>
      </c>
      <c r="AK478" s="1" t="s">
        <v>238</v>
      </c>
      <c r="AM478" s="1">
        <v>1</v>
      </c>
      <c r="AV478" s="1">
        <v>1</v>
      </c>
      <c r="AX478" s="1">
        <v>0.25</v>
      </c>
      <c r="BE478" s="1" t="str">
        <f t="shared" si="30"/>
        <v>enemy_1140_merhd_2</v>
      </c>
      <c r="BK478" s="1" t="s">
        <v>911</v>
      </c>
      <c r="BL478" s="1" t="s">
        <v>2217</v>
      </c>
      <c r="BN478" s="1" t="s">
        <v>217</v>
      </c>
      <c r="BO478" s="1" t="s">
        <v>218</v>
      </c>
      <c r="BP478" s="1" t="s">
        <v>239</v>
      </c>
      <c r="BQ478" s="1" t="s">
        <v>220</v>
      </c>
      <c r="BT478" s="1">
        <v>1</v>
      </c>
    </row>
    <row r="479" spans="1:72">
      <c r="A479" s="1" t="s">
        <v>2218</v>
      </c>
      <c r="B479" s="1" t="s">
        <v>213</v>
      </c>
      <c r="C479" s="1">
        <v>1</v>
      </c>
      <c r="D479" s="1" t="s">
        <v>2219</v>
      </c>
      <c r="E479" s="1">
        <v>1141</v>
      </c>
      <c r="F479" s="1" t="str">
        <f t="shared" si="31"/>
        <v>enemy_1141_merbow</v>
      </c>
      <c r="G479" s="1">
        <v>1</v>
      </c>
      <c r="K479" s="1">
        <v>3100</v>
      </c>
      <c r="M479" s="1">
        <v>320</v>
      </c>
      <c r="O479" s="1">
        <v>260</v>
      </c>
      <c r="Q479" s="1">
        <v>40</v>
      </c>
      <c r="Y479" s="1">
        <v>0.05</v>
      </c>
      <c r="Z479" s="1">
        <v>2.4</v>
      </c>
      <c r="AA479" s="1">
        <v>1</v>
      </c>
      <c r="AB479" s="1">
        <v>0.9</v>
      </c>
      <c r="AG479" s="1">
        <v>0</v>
      </c>
      <c r="AH479" s="1">
        <v>1</v>
      </c>
      <c r="AI479" s="1" t="s">
        <v>2220</v>
      </c>
      <c r="AJ479" s="1" t="s">
        <v>216</v>
      </c>
      <c r="AK479" s="1" t="s">
        <v>238</v>
      </c>
      <c r="AM479" s="1">
        <v>1</v>
      </c>
      <c r="AV479" s="1">
        <v>1</v>
      </c>
      <c r="AX479" s="1">
        <v>0.25</v>
      </c>
      <c r="BE479" s="1" t="str">
        <f t="shared" si="30"/>
        <v>enemy_1141_merbow</v>
      </c>
      <c r="BK479" s="1" t="s">
        <v>959</v>
      </c>
      <c r="BL479" s="1" t="s">
        <v>2221</v>
      </c>
      <c r="BN479" s="1" t="s">
        <v>217</v>
      </c>
      <c r="BO479" s="1" t="s">
        <v>218</v>
      </c>
      <c r="BP479" s="1" t="s">
        <v>239</v>
      </c>
      <c r="BQ479" s="1" t="s">
        <v>220</v>
      </c>
      <c r="BT479" s="1">
        <v>1</v>
      </c>
    </row>
    <row r="480" spans="1:72">
      <c r="A480" s="1" t="s">
        <v>2222</v>
      </c>
      <c r="B480" s="1" t="s">
        <v>213</v>
      </c>
      <c r="C480" s="1">
        <v>1</v>
      </c>
      <c r="D480" s="1" t="s">
        <v>2223</v>
      </c>
      <c r="E480" s="1">
        <v>1141</v>
      </c>
      <c r="F480" s="1" t="str">
        <f t="shared" si="31"/>
        <v>enemy_1141_merbow_2</v>
      </c>
      <c r="G480" s="1">
        <v>1</v>
      </c>
      <c r="K480" s="1">
        <v>4200</v>
      </c>
      <c r="M480" s="1">
        <v>390</v>
      </c>
      <c r="O480" s="1">
        <v>260</v>
      </c>
      <c r="Q480" s="1">
        <v>40</v>
      </c>
      <c r="Y480" s="1">
        <v>0.05</v>
      </c>
      <c r="Z480" s="1">
        <v>2.4</v>
      </c>
      <c r="AA480" s="1">
        <v>1</v>
      </c>
      <c r="AB480" s="1">
        <v>0.9</v>
      </c>
      <c r="AG480" s="1">
        <v>0</v>
      </c>
      <c r="AH480" s="1">
        <v>1</v>
      </c>
      <c r="AI480" s="1" t="s">
        <v>2224</v>
      </c>
      <c r="AJ480" s="1" t="s">
        <v>216</v>
      </c>
      <c r="AK480" s="1" t="s">
        <v>238</v>
      </c>
      <c r="AM480" s="1">
        <v>1</v>
      </c>
      <c r="AV480" s="1">
        <v>1</v>
      </c>
      <c r="AX480" s="1">
        <v>0.25</v>
      </c>
      <c r="BE480" s="1" t="str">
        <f t="shared" si="30"/>
        <v>enemy_1141_merbow_2</v>
      </c>
      <c r="BK480" s="1" t="s">
        <v>959</v>
      </c>
      <c r="BL480" s="1" t="s">
        <v>2225</v>
      </c>
      <c r="BN480" s="1" t="s">
        <v>217</v>
      </c>
      <c r="BO480" s="1" t="s">
        <v>218</v>
      </c>
      <c r="BP480" s="1" t="s">
        <v>239</v>
      </c>
      <c r="BQ480" s="1" t="s">
        <v>220</v>
      </c>
      <c r="BT480" s="1">
        <v>1</v>
      </c>
    </row>
    <row r="481" spans="1:72">
      <c r="A481" s="1" t="s">
        <v>2226</v>
      </c>
      <c r="B481" s="1" t="s">
        <v>213</v>
      </c>
      <c r="C481" s="1">
        <v>1</v>
      </c>
      <c r="D481" s="1" t="s">
        <v>2227</v>
      </c>
      <c r="E481" s="1">
        <v>1142</v>
      </c>
      <c r="F481" s="1" t="str">
        <f t="shared" si="31"/>
        <v>enemy_1142_mershd</v>
      </c>
      <c r="G481" s="1">
        <v>1</v>
      </c>
      <c r="K481" s="1">
        <v>7000</v>
      </c>
      <c r="M481" s="1">
        <v>700</v>
      </c>
      <c r="O481" s="1">
        <v>800</v>
      </c>
      <c r="Q481" s="1">
        <v>40</v>
      </c>
      <c r="Y481" s="1">
        <v>0.05</v>
      </c>
      <c r="Z481" s="1">
        <v>2.6</v>
      </c>
      <c r="AA481" s="1">
        <v>4</v>
      </c>
      <c r="AB481" s="1">
        <v>0.7</v>
      </c>
      <c r="AG481" s="1">
        <v>0</v>
      </c>
      <c r="AH481" s="1">
        <v>1</v>
      </c>
      <c r="AI481" s="1" t="s">
        <v>2228</v>
      </c>
      <c r="AJ481" s="1" t="s">
        <v>216</v>
      </c>
      <c r="AK481" s="1" t="s">
        <v>238</v>
      </c>
      <c r="AM481" s="1">
        <v>1</v>
      </c>
      <c r="AV481" s="1">
        <v>1</v>
      </c>
      <c r="AX481" s="1">
        <v>0.25</v>
      </c>
      <c r="BE481" s="1" t="str">
        <f t="shared" si="30"/>
        <v>enemy_1142_mershd</v>
      </c>
      <c r="BK481" s="1" t="s">
        <v>1012</v>
      </c>
      <c r="BL481" s="1" t="s">
        <v>2229</v>
      </c>
      <c r="BN481" s="1" t="s">
        <v>217</v>
      </c>
      <c r="BO481" s="1" t="s">
        <v>218</v>
      </c>
      <c r="BP481" s="1" t="s">
        <v>239</v>
      </c>
      <c r="BQ481" s="1" t="s">
        <v>220</v>
      </c>
      <c r="BT481" s="1">
        <v>1</v>
      </c>
    </row>
    <row r="482" spans="1:72">
      <c r="A482" s="1" t="s">
        <v>2230</v>
      </c>
      <c r="B482" s="1" t="s">
        <v>213</v>
      </c>
      <c r="C482" s="1">
        <v>1</v>
      </c>
      <c r="D482" s="1" t="s">
        <v>2231</v>
      </c>
      <c r="E482" s="1">
        <v>1142</v>
      </c>
      <c r="F482" s="1" t="str">
        <f t="shared" si="31"/>
        <v>enemy_1142_mershd_2</v>
      </c>
      <c r="G482" s="1">
        <v>1</v>
      </c>
      <c r="K482" s="1">
        <v>10000</v>
      </c>
      <c r="M482" s="1">
        <v>700</v>
      </c>
      <c r="O482" s="1">
        <v>1000</v>
      </c>
      <c r="Q482" s="1">
        <v>60</v>
      </c>
      <c r="Y482" s="1">
        <v>0.05</v>
      </c>
      <c r="Z482" s="1">
        <v>2.6</v>
      </c>
      <c r="AA482" s="1">
        <v>4</v>
      </c>
      <c r="AB482" s="1">
        <v>0.7</v>
      </c>
      <c r="AG482" s="1">
        <v>0</v>
      </c>
      <c r="AH482" s="1">
        <v>1</v>
      </c>
      <c r="AI482" s="1" t="s">
        <v>2232</v>
      </c>
      <c r="AJ482" s="1" t="s">
        <v>216</v>
      </c>
      <c r="AK482" s="1" t="s">
        <v>238</v>
      </c>
      <c r="AM482" s="1">
        <v>1</v>
      </c>
      <c r="AV482" s="1">
        <v>1</v>
      </c>
      <c r="AX482" s="1">
        <v>0.25</v>
      </c>
      <c r="BE482" s="1" t="str">
        <f t="shared" si="30"/>
        <v>enemy_1142_mershd_2</v>
      </c>
      <c r="BK482" s="1" t="s">
        <v>1012</v>
      </c>
      <c r="BL482" s="1" t="s">
        <v>2233</v>
      </c>
      <c r="BN482" s="1" t="s">
        <v>217</v>
      </c>
      <c r="BO482" s="1" t="s">
        <v>218</v>
      </c>
      <c r="BP482" s="1" t="s">
        <v>239</v>
      </c>
      <c r="BQ482" s="1" t="s">
        <v>220</v>
      </c>
      <c r="BT482" s="1">
        <v>1</v>
      </c>
    </row>
    <row r="483" spans="1:72">
      <c r="A483" s="1" t="s">
        <v>2234</v>
      </c>
      <c r="B483" s="1" t="s">
        <v>213</v>
      </c>
      <c r="C483" s="1">
        <v>1</v>
      </c>
      <c r="D483" s="1" t="s">
        <v>2235</v>
      </c>
      <c r="E483" s="1">
        <v>1143</v>
      </c>
      <c r="F483" s="1" t="str">
        <f t="shared" si="31"/>
        <v>enemy_1143_merrpg</v>
      </c>
      <c r="G483" s="1">
        <v>1</v>
      </c>
      <c r="K483" s="1">
        <v>3200</v>
      </c>
      <c r="M483" s="1">
        <v>500</v>
      </c>
      <c r="O483" s="1">
        <v>50</v>
      </c>
      <c r="Q483" s="1">
        <v>40</v>
      </c>
      <c r="Y483" s="1">
        <v>0.05</v>
      </c>
      <c r="Z483" s="1">
        <v>2.6</v>
      </c>
      <c r="AA483" s="1">
        <v>2</v>
      </c>
      <c r="AB483" s="1">
        <v>0.9</v>
      </c>
      <c r="AG483" s="1">
        <v>0</v>
      </c>
      <c r="AH483" s="1">
        <v>1</v>
      </c>
      <c r="AI483" s="1" t="s">
        <v>2236</v>
      </c>
      <c r="AJ483" s="1" t="s">
        <v>216</v>
      </c>
      <c r="AK483" s="1" t="s">
        <v>238</v>
      </c>
      <c r="AM483" s="1">
        <v>1</v>
      </c>
      <c r="AV483" s="1">
        <v>1</v>
      </c>
      <c r="AX483" s="1">
        <v>0.25</v>
      </c>
      <c r="BE483" s="1" t="str">
        <f t="shared" si="30"/>
        <v>enemy_1143_merrpg</v>
      </c>
      <c r="BK483" s="1" t="s">
        <v>959</v>
      </c>
      <c r="BL483" s="1" t="s">
        <v>2237</v>
      </c>
      <c r="BN483" s="1" t="s">
        <v>217</v>
      </c>
      <c r="BO483" s="1" t="s">
        <v>218</v>
      </c>
      <c r="BP483" s="1" t="s">
        <v>1960</v>
      </c>
      <c r="BQ483" s="1" t="s">
        <v>220</v>
      </c>
      <c r="BT483" s="1">
        <v>1</v>
      </c>
    </row>
    <row r="484" spans="1:72">
      <c r="A484" s="1" t="s">
        <v>2238</v>
      </c>
      <c r="B484" s="1" t="s">
        <v>213</v>
      </c>
      <c r="C484" s="1">
        <v>1</v>
      </c>
      <c r="D484" s="1" t="s">
        <v>2239</v>
      </c>
      <c r="E484" s="1">
        <v>1143</v>
      </c>
      <c r="F484" s="1" t="str">
        <f t="shared" si="31"/>
        <v>enemy_1143_merrpg_2</v>
      </c>
      <c r="G484" s="1">
        <v>1</v>
      </c>
      <c r="K484" s="1">
        <v>4800</v>
      </c>
      <c r="M484" s="1">
        <v>750</v>
      </c>
      <c r="O484" s="1">
        <v>50</v>
      </c>
      <c r="Q484" s="1">
        <v>40</v>
      </c>
      <c r="Y484" s="1">
        <v>0.05</v>
      </c>
      <c r="Z484" s="1">
        <v>2.6</v>
      </c>
      <c r="AA484" s="1">
        <v>2</v>
      </c>
      <c r="AB484" s="1">
        <v>0.9</v>
      </c>
      <c r="AG484" s="1">
        <v>0</v>
      </c>
      <c r="AH484" s="1">
        <v>1</v>
      </c>
      <c r="AI484" s="1" t="s">
        <v>2240</v>
      </c>
      <c r="AJ484" s="1" t="s">
        <v>216</v>
      </c>
      <c r="AK484" s="1" t="s">
        <v>238</v>
      </c>
      <c r="AM484" s="1">
        <v>1</v>
      </c>
      <c r="AV484" s="1">
        <v>1</v>
      </c>
      <c r="AX484" s="1">
        <v>0.25</v>
      </c>
      <c r="BE484" s="1" t="str">
        <f t="shared" si="30"/>
        <v>enemy_1143_merrpg_2</v>
      </c>
      <c r="BK484" s="1" t="s">
        <v>959</v>
      </c>
      <c r="BL484" s="1" t="s">
        <v>2241</v>
      </c>
      <c r="BN484" s="1" t="s">
        <v>217</v>
      </c>
      <c r="BO484" s="1" t="s">
        <v>218</v>
      </c>
      <c r="BP484" s="1" t="s">
        <v>1960</v>
      </c>
      <c r="BQ484" s="1" t="s">
        <v>220</v>
      </c>
      <c r="BT484" s="1">
        <v>1</v>
      </c>
    </row>
    <row r="485" spans="1:72">
      <c r="A485" s="1" t="s">
        <v>2242</v>
      </c>
      <c r="B485" s="1" t="s">
        <v>213</v>
      </c>
      <c r="C485" s="1">
        <v>1</v>
      </c>
      <c r="D485" s="1" t="s">
        <v>2243</v>
      </c>
      <c r="E485" s="1">
        <v>1144</v>
      </c>
      <c r="F485" s="1" t="str">
        <f t="shared" si="31"/>
        <v>enemy_1144_merlgd</v>
      </c>
      <c r="G485" s="1">
        <v>1</v>
      </c>
      <c r="K485" s="1">
        <v>10000</v>
      </c>
      <c r="M485" s="1">
        <v>1100</v>
      </c>
      <c r="O485" s="1">
        <v>500</v>
      </c>
      <c r="Q485" s="1">
        <v>60</v>
      </c>
      <c r="Y485" s="1">
        <v>0.05</v>
      </c>
      <c r="Z485" s="1">
        <v>3</v>
      </c>
      <c r="AA485" s="1">
        <v>3</v>
      </c>
      <c r="AB485" s="1">
        <v>1.2</v>
      </c>
      <c r="AG485" s="1">
        <v>0</v>
      </c>
      <c r="AH485" s="1">
        <v>1</v>
      </c>
      <c r="AI485" s="1" t="s">
        <v>2244</v>
      </c>
      <c r="AJ485" s="1" t="s">
        <v>216</v>
      </c>
      <c r="AK485" s="1" t="s">
        <v>238</v>
      </c>
      <c r="AM485" s="1">
        <v>1</v>
      </c>
      <c r="AV485" s="1">
        <v>1</v>
      </c>
      <c r="AX485" s="1">
        <v>0.25</v>
      </c>
      <c r="BE485" s="1" t="str">
        <f t="shared" si="30"/>
        <v>enemy_1144_merlgd</v>
      </c>
      <c r="BK485" s="1" t="s">
        <v>1012</v>
      </c>
      <c r="BL485" s="1" t="s">
        <v>2245</v>
      </c>
      <c r="BN485" s="1" t="s">
        <v>217</v>
      </c>
      <c r="BO485" s="1" t="s">
        <v>218</v>
      </c>
      <c r="BP485" s="1" t="s">
        <v>239</v>
      </c>
      <c r="BQ485" s="1" t="s">
        <v>220</v>
      </c>
      <c r="BT485" s="1">
        <v>1</v>
      </c>
    </row>
    <row r="486" spans="1:72">
      <c r="A486" s="1" t="s">
        <v>2246</v>
      </c>
      <c r="B486" s="1" t="s">
        <v>213</v>
      </c>
      <c r="C486" s="1">
        <v>1</v>
      </c>
      <c r="D486" s="1" t="s">
        <v>2247</v>
      </c>
      <c r="E486" s="1">
        <v>1144</v>
      </c>
      <c r="F486" s="1" t="str">
        <f t="shared" si="31"/>
        <v>enemy_1144_merlgd_2</v>
      </c>
      <c r="G486" s="1">
        <v>1</v>
      </c>
      <c r="K486" s="1">
        <v>12000</v>
      </c>
      <c r="M486" s="1">
        <v>1400</v>
      </c>
      <c r="O486" s="1">
        <v>500</v>
      </c>
      <c r="Q486" s="1">
        <v>60</v>
      </c>
      <c r="Y486" s="1">
        <v>0.05</v>
      </c>
      <c r="Z486" s="1">
        <v>3</v>
      </c>
      <c r="AA486" s="1">
        <v>3</v>
      </c>
      <c r="AB486" s="1">
        <v>1.2</v>
      </c>
      <c r="AG486" s="1">
        <v>0</v>
      </c>
      <c r="AH486" s="1">
        <v>1</v>
      </c>
      <c r="AI486" s="1" t="s">
        <v>2248</v>
      </c>
      <c r="AJ486" s="1" t="s">
        <v>216</v>
      </c>
      <c r="AK486" s="1" t="s">
        <v>238</v>
      </c>
      <c r="AM486" s="1">
        <v>1</v>
      </c>
      <c r="AV486" s="1">
        <v>1</v>
      </c>
      <c r="AX486" s="1">
        <v>0.25</v>
      </c>
      <c r="BE486" s="1" t="str">
        <f t="shared" si="30"/>
        <v>enemy_1144_merlgd_2</v>
      </c>
      <c r="BK486" s="1" t="s">
        <v>1012</v>
      </c>
      <c r="BL486" s="1" t="s">
        <v>2249</v>
      </c>
      <c r="BN486" s="1" t="s">
        <v>217</v>
      </c>
      <c r="BO486" s="1" t="s">
        <v>218</v>
      </c>
      <c r="BP486" s="1" t="s">
        <v>239</v>
      </c>
      <c r="BQ486" s="1" t="s">
        <v>220</v>
      </c>
      <c r="BT486" s="1">
        <v>1</v>
      </c>
    </row>
    <row r="487" spans="1:72">
      <c r="A487" s="1" t="s">
        <v>2250</v>
      </c>
      <c r="B487" s="1" t="s">
        <v>213</v>
      </c>
      <c r="C487" s="1">
        <v>1</v>
      </c>
      <c r="D487" s="1" t="s">
        <v>2251</v>
      </c>
      <c r="E487" s="1">
        <v>1145</v>
      </c>
      <c r="F487" s="1" t="str">
        <f t="shared" si="31"/>
        <v>enemy_1145_atkspd</v>
      </c>
      <c r="G487" s="1">
        <v>1</v>
      </c>
      <c r="K487" s="1">
        <v>5000</v>
      </c>
      <c r="M487" s="1">
        <v>250</v>
      </c>
      <c r="O487" s="1">
        <v>80</v>
      </c>
      <c r="Q487" s="1">
        <v>50</v>
      </c>
      <c r="Y487" s="1">
        <v>0.05</v>
      </c>
      <c r="Z487" s="1">
        <v>3.8</v>
      </c>
      <c r="AA487" s="1">
        <v>0</v>
      </c>
      <c r="AB487" s="1">
        <v>1</v>
      </c>
      <c r="AG487" s="1">
        <v>-1</v>
      </c>
      <c r="AH487" s="1">
        <v>1</v>
      </c>
      <c r="AI487" s="1" t="s">
        <v>2252</v>
      </c>
      <c r="AJ487" s="1" t="s">
        <v>216</v>
      </c>
      <c r="AK487" s="1" t="s">
        <v>238</v>
      </c>
      <c r="AM487" s="1">
        <v>1</v>
      </c>
      <c r="AV487" s="1">
        <v>1</v>
      </c>
      <c r="AX487" s="1">
        <v>0.25</v>
      </c>
      <c r="BE487" s="1" t="str">
        <f t="shared" si="30"/>
        <v>enemy_1145_atkspd</v>
      </c>
      <c r="BK487" s="1" t="s">
        <v>2253</v>
      </c>
      <c r="BL487" s="1" t="s">
        <v>2254</v>
      </c>
      <c r="BN487" s="1" t="s">
        <v>217</v>
      </c>
      <c r="BO487" s="1" t="s">
        <v>218</v>
      </c>
      <c r="BP487" s="1" t="s">
        <v>239</v>
      </c>
      <c r="BQ487" s="1" t="s">
        <v>220</v>
      </c>
      <c r="BT487" s="1">
        <v>1</v>
      </c>
    </row>
    <row r="488" spans="1:72">
      <c r="A488" s="1" t="s">
        <v>2255</v>
      </c>
      <c r="B488" s="1" t="s">
        <v>213</v>
      </c>
      <c r="C488" s="1">
        <v>1</v>
      </c>
      <c r="D488" s="1" t="s">
        <v>2256</v>
      </c>
      <c r="E488" s="1">
        <v>1145</v>
      </c>
      <c r="F488" s="1" t="str">
        <f t="shared" si="31"/>
        <v>enemy_1145_atkspd_2</v>
      </c>
      <c r="G488" s="1">
        <v>1</v>
      </c>
      <c r="K488" s="1">
        <v>8000</v>
      </c>
      <c r="M488" s="1">
        <v>350</v>
      </c>
      <c r="O488" s="1">
        <v>80</v>
      </c>
      <c r="Q488" s="1">
        <v>50</v>
      </c>
      <c r="Y488" s="1">
        <v>0.05</v>
      </c>
      <c r="Z488" s="1">
        <v>3.8</v>
      </c>
      <c r="AA488" s="1">
        <v>0</v>
      </c>
      <c r="AB488" s="1">
        <v>1</v>
      </c>
      <c r="AG488" s="1">
        <v>-1</v>
      </c>
      <c r="AH488" s="1">
        <v>1</v>
      </c>
      <c r="AI488" s="1" t="s">
        <v>2257</v>
      </c>
      <c r="AJ488" s="1" t="s">
        <v>216</v>
      </c>
      <c r="AK488" s="1" t="s">
        <v>238</v>
      </c>
      <c r="AM488" s="1">
        <v>1</v>
      </c>
      <c r="AV488" s="1">
        <v>1</v>
      </c>
      <c r="AX488" s="1">
        <v>0.25</v>
      </c>
      <c r="BE488" s="1" t="str">
        <f t="shared" ref="BE488:BE551" si="32">"enemy_"&amp;E488&amp;"_"&amp;D488</f>
        <v>enemy_1145_atkspd_2</v>
      </c>
      <c r="BK488" s="1" t="s">
        <v>2253</v>
      </c>
      <c r="BL488" s="1" t="s">
        <v>2258</v>
      </c>
      <c r="BN488" s="1" t="s">
        <v>217</v>
      </c>
      <c r="BO488" s="1" t="s">
        <v>218</v>
      </c>
      <c r="BP488" s="1" t="s">
        <v>239</v>
      </c>
      <c r="BQ488" s="1" t="s">
        <v>220</v>
      </c>
      <c r="BT488" s="1">
        <v>1</v>
      </c>
    </row>
    <row r="489" spans="1:72">
      <c r="A489" s="1" t="s">
        <v>2259</v>
      </c>
      <c r="B489" s="1" t="s">
        <v>213</v>
      </c>
      <c r="C489" s="1">
        <v>1</v>
      </c>
      <c r="D489" s="1" t="s">
        <v>2260</v>
      </c>
      <c r="E489" s="1">
        <v>1146</v>
      </c>
      <c r="F489" s="1" t="str">
        <f t="shared" si="31"/>
        <v>enemy_1146_defspd</v>
      </c>
      <c r="G489" s="1">
        <v>1</v>
      </c>
      <c r="K489" s="1">
        <v>5000</v>
      </c>
      <c r="M489" s="1">
        <v>0</v>
      </c>
      <c r="O489" s="1">
        <v>80</v>
      </c>
      <c r="Q489" s="1">
        <v>50</v>
      </c>
      <c r="Y489" s="1">
        <v>0.05</v>
      </c>
      <c r="Z489" s="1">
        <v>1</v>
      </c>
      <c r="AA489" s="1">
        <v>0</v>
      </c>
      <c r="AB489" s="1">
        <v>1</v>
      </c>
      <c r="AG489" s="1">
        <v>-1</v>
      </c>
      <c r="AH489" s="1">
        <v>1</v>
      </c>
      <c r="AI489" s="1" t="s">
        <v>2261</v>
      </c>
      <c r="AJ489" s="1" t="s">
        <v>216</v>
      </c>
      <c r="AK489" s="1" t="s">
        <v>238</v>
      </c>
      <c r="AM489" s="1">
        <v>1</v>
      </c>
      <c r="AV489" s="1">
        <v>1</v>
      </c>
      <c r="AX489" s="1">
        <v>0.25</v>
      </c>
      <c r="BE489" s="1" t="str">
        <f t="shared" si="32"/>
        <v>enemy_1146_defspd</v>
      </c>
      <c r="BK489" s="1" t="s">
        <v>2262</v>
      </c>
      <c r="BL489" s="1" t="s">
        <v>2263</v>
      </c>
      <c r="BN489" s="1" t="s">
        <v>217</v>
      </c>
      <c r="BO489" s="1" t="s">
        <v>218</v>
      </c>
      <c r="BP489" s="1" t="s">
        <v>239</v>
      </c>
      <c r="BQ489" s="1" t="s">
        <v>220</v>
      </c>
      <c r="BT489" s="1">
        <v>1</v>
      </c>
    </row>
    <row r="490" spans="1:72">
      <c r="A490" s="1" t="s">
        <v>2264</v>
      </c>
      <c r="B490" s="1" t="s">
        <v>213</v>
      </c>
      <c r="C490" s="1">
        <v>1</v>
      </c>
      <c r="D490" s="1" t="s">
        <v>2265</v>
      </c>
      <c r="E490" s="1">
        <v>1146</v>
      </c>
      <c r="F490" s="1" t="str">
        <f t="shared" si="31"/>
        <v>enemy_1146_defspd_2</v>
      </c>
      <c r="G490" s="1">
        <v>1</v>
      </c>
      <c r="K490" s="1">
        <v>8000</v>
      </c>
      <c r="M490" s="1">
        <v>0</v>
      </c>
      <c r="O490" s="1">
        <v>80</v>
      </c>
      <c r="Q490" s="1">
        <v>50</v>
      </c>
      <c r="Y490" s="1">
        <v>0.05</v>
      </c>
      <c r="Z490" s="1">
        <v>1</v>
      </c>
      <c r="AA490" s="1">
        <v>0</v>
      </c>
      <c r="AB490" s="1">
        <v>1</v>
      </c>
      <c r="AG490" s="1">
        <v>-1</v>
      </c>
      <c r="AH490" s="1">
        <v>1</v>
      </c>
      <c r="AI490" s="1" t="s">
        <v>2266</v>
      </c>
      <c r="AJ490" s="1" t="s">
        <v>216</v>
      </c>
      <c r="AK490" s="1" t="s">
        <v>238</v>
      </c>
      <c r="AM490" s="1">
        <v>1</v>
      </c>
      <c r="AV490" s="1">
        <v>1</v>
      </c>
      <c r="AX490" s="1">
        <v>0.25</v>
      </c>
      <c r="BE490" s="1" t="str">
        <f t="shared" si="32"/>
        <v>enemy_1146_defspd_2</v>
      </c>
      <c r="BK490" s="1" t="s">
        <v>2262</v>
      </c>
      <c r="BL490" s="1" t="s">
        <v>2267</v>
      </c>
      <c r="BN490" s="1" t="s">
        <v>217</v>
      </c>
      <c r="BO490" s="1" t="s">
        <v>218</v>
      </c>
      <c r="BP490" s="1" t="s">
        <v>239</v>
      </c>
      <c r="BQ490" s="1" t="s">
        <v>220</v>
      </c>
      <c r="BT490" s="1">
        <v>1</v>
      </c>
    </row>
    <row r="491" spans="1:72">
      <c r="A491" s="1" t="s">
        <v>2268</v>
      </c>
      <c r="B491" s="1" t="s">
        <v>213</v>
      </c>
      <c r="C491" s="1">
        <v>1</v>
      </c>
      <c r="D491" s="1" t="s">
        <v>2269</v>
      </c>
      <c r="E491" s="1">
        <v>1520</v>
      </c>
      <c r="F491" s="1" t="str">
        <f t="shared" si="31"/>
        <v>enemy_1520_empgrd</v>
      </c>
      <c r="G491" s="1">
        <v>1</v>
      </c>
      <c r="K491" s="1">
        <v>28000</v>
      </c>
      <c r="M491" s="1">
        <v>600</v>
      </c>
      <c r="O491" s="1">
        <v>400</v>
      </c>
      <c r="Q491" s="1">
        <v>40</v>
      </c>
      <c r="Y491" s="1">
        <v>0.05</v>
      </c>
      <c r="Z491" s="1">
        <v>4</v>
      </c>
      <c r="AA491" s="1">
        <v>6</v>
      </c>
      <c r="AB491" s="1">
        <v>0.6</v>
      </c>
      <c r="AG491" s="1">
        <v>0</v>
      </c>
      <c r="AH491" s="1">
        <v>1</v>
      </c>
      <c r="AI491" s="1" t="s">
        <v>2270</v>
      </c>
      <c r="AJ491" s="1" t="s">
        <v>216</v>
      </c>
      <c r="AK491" s="1" t="s">
        <v>238</v>
      </c>
      <c r="AM491" s="1">
        <v>1</v>
      </c>
      <c r="AV491" s="1">
        <v>1</v>
      </c>
      <c r="AX491" s="1">
        <v>0.25</v>
      </c>
      <c r="BE491" s="1" t="str">
        <f t="shared" si="32"/>
        <v>enemy_1520_empgrd</v>
      </c>
      <c r="BK491" s="1" t="s">
        <v>1342</v>
      </c>
      <c r="BL491" s="1" t="s">
        <v>2271</v>
      </c>
      <c r="BN491" s="1" t="s">
        <v>217</v>
      </c>
      <c r="BO491" s="1" t="s">
        <v>218</v>
      </c>
      <c r="BP491" s="1" t="s">
        <v>239</v>
      </c>
      <c r="BQ491" s="1" t="s">
        <v>220</v>
      </c>
      <c r="BT491" s="1">
        <v>1</v>
      </c>
    </row>
    <row r="492" spans="1:72">
      <c r="A492" s="1" t="s">
        <v>2272</v>
      </c>
      <c r="B492" s="1" t="s">
        <v>213</v>
      </c>
      <c r="D492" s="1" t="s">
        <v>2273</v>
      </c>
      <c r="E492" s="1">
        <v>1147</v>
      </c>
      <c r="F492" s="1" t="str">
        <f t="shared" si="31"/>
        <v>enemy_1147_dshond</v>
      </c>
      <c r="G492" s="1">
        <v>1</v>
      </c>
      <c r="K492" s="1">
        <v>3000</v>
      </c>
      <c r="M492" s="1">
        <v>280</v>
      </c>
      <c r="O492" s="1">
        <v>0</v>
      </c>
      <c r="Q492" s="1">
        <v>20</v>
      </c>
      <c r="Y492" s="1">
        <v>0.05</v>
      </c>
      <c r="Z492" s="1">
        <v>1.3</v>
      </c>
      <c r="AA492" s="1">
        <v>0</v>
      </c>
      <c r="AB492" s="1">
        <v>1.9</v>
      </c>
      <c r="AG492" s="1">
        <v>0</v>
      </c>
      <c r="AH492" s="1">
        <v>1</v>
      </c>
      <c r="AI492" s="1" t="s">
        <v>2274</v>
      </c>
      <c r="AJ492" s="1" t="s">
        <v>216</v>
      </c>
      <c r="AK492" s="1" t="s">
        <v>238</v>
      </c>
      <c r="AM492" s="1">
        <v>1</v>
      </c>
      <c r="AV492" s="1">
        <v>1</v>
      </c>
      <c r="AX492" s="1">
        <v>0.25</v>
      </c>
      <c r="BE492" s="1" t="str">
        <f t="shared" si="32"/>
        <v>enemy_1147_dshond</v>
      </c>
      <c r="BK492" s="1" t="s">
        <v>2275</v>
      </c>
      <c r="BL492" s="1" t="s">
        <v>2276</v>
      </c>
      <c r="BN492" s="1" t="s">
        <v>217</v>
      </c>
      <c r="BO492" s="1" t="s">
        <v>218</v>
      </c>
      <c r="BP492" s="1" t="s">
        <v>239</v>
      </c>
      <c r="BQ492" s="1" t="s">
        <v>220</v>
      </c>
      <c r="BT492" s="1">
        <v>1</v>
      </c>
    </row>
    <row r="493" spans="1:72">
      <c r="A493" s="1" t="s">
        <v>2277</v>
      </c>
      <c r="B493" s="1" t="s">
        <v>213</v>
      </c>
      <c r="D493" s="1" t="s">
        <v>2278</v>
      </c>
      <c r="E493" s="1">
        <v>1147</v>
      </c>
      <c r="F493" s="1" t="str">
        <f t="shared" si="31"/>
        <v>enemy_1147_dshond_2</v>
      </c>
      <c r="G493" s="1">
        <v>1</v>
      </c>
      <c r="K493" s="1">
        <v>4000</v>
      </c>
      <c r="M493" s="1">
        <v>340</v>
      </c>
      <c r="O493" s="1">
        <v>0</v>
      </c>
      <c r="Q493" s="1">
        <v>20</v>
      </c>
      <c r="Y493" s="1">
        <v>0.05</v>
      </c>
      <c r="Z493" s="1">
        <v>1.3</v>
      </c>
      <c r="AA493" s="1">
        <v>0</v>
      </c>
      <c r="AB493" s="1">
        <v>1.9</v>
      </c>
      <c r="AG493" s="1">
        <v>0</v>
      </c>
      <c r="AH493" s="1">
        <v>1</v>
      </c>
      <c r="AI493" s="1" t="s">
        <v>2279</v>
      </c>
      <c r="AJ493" s="1" t="s">
        <v>216</v>
      </c>
      <c r="AK493" s="1" t="s">
        <v>238</v>
      </c>
      <c r="AM493" s="1">
        <v>1</v>
      </c>
      <c r="AV493" s="1">
        <v>1</v>
      </c>
      <c r="AX493" s="1">
        <v>0.25</v>
      </c>
      <c r="BE493" s="1" t="str">
        <f t="shared" si="32"/>
        <v>enemy_1147_dshond_2</v>
      </c>
      <c r="BK493" s="1" t="s">
        <v>2275</v>
      </c>
      <c r="BL493" s="1" t="s">
        <v>2280</v>
      </c>
      <c r="BN493" s="1" t="s">
        <v>217</v>
      </c>
      <c r="BO493" s="1" t="s">
        <v>218</v>
      </c>
      <c r="BP493" s="1" t="s">
        <v>239</v>
      </c>
      <c r="BQ493" s="1" t="s">
        <v>220</v>
      </c>
      <c r="BT493" s="1">
        <v>1</v>
      </c>
    </row>
    <row r="494" spans="1:72">
      <c r="A494" s="1" t="s">
        <v>2281</v>
      </c>
      <c r="B494" s="1" t="s">
        <v>213</v>
      </c>
      <c r="D494" s="1" t="s">
        <v>2282</v>
      </c>
      <c r="E494" s="1">
        <v>1148</v>
      </c>
      <c r="F494" s="1" t="str">
        <f t="shared" si="31"/>
        <v>enemy_1148_dssbr</v>
      </c>
      <c r="G494" s="1">
        <v>1</v>
      </c>
      <c r="K494" s="1">
        <v>2800</v>
      </c>
      <c r="M494" s="1">
        <v>280</v>
      </c>
      <c r="O494" s="1">
        <v>130</v>
      </c>
      <c r="Q494" s="1">
        <v>10</v>
      </c>
      <c r="Y494" s="1">
        <v>0.05</v>
      </c>
      <c r="Z494" s="1">
        <v>2</v>
      </c>
      <c r="AA494" s="1">
        <v>1</v>
      </c>
      <c r="AB494" s="1">
        <v>1.1</v>
      </c>
      <c r="AG494" s="1">
        <v>0</v>
      </c>
      <c r="AH494" s="1">
        <v>1</v>
      </c>
      <c r="AI494" s="1" t="s">
        <v>2283</v>
      </c>
      <c r="AJ494" s="1" t="s">
        <v>216</v>
      </c>
      <c r="AK494" s="1" t="s">
        <v>2284</v>
      </c>
      <c r="AM494" s="1">
        <v>1</v>
      </c>
      <c r="AV494" s="1">
        <v>1</v>
      </c>
      <c r="AX494" s="1">
        <v>0.25</v>
      </c>
      <c r="BE494" s="1" t="str">
        <f t="shared" si="32"/>
        <v>enemy_1148_dssbr</v>
      </c>
      <c r="BK494" s="1" t="s">
        <v>2275</v>
      </c>
      <c r="BL494" s="1" t="s">
        <v>2285</v>
      </c>
      <c r="BN494" s="1" t="s">
        <v>217</v>
      </c>
      <c r="BO494" s="1" t="s">
        <v>218</v>
      </c>
      <c r="BP494" s="1" t="s">
        <v>239</v>
      </c>
      <c r="BQ494" s="1" t="s">
        <v>220</v>
      </c>
      <c r="BT494" s="1">
        <v>1</v>
      </c>
    </row>
    <row r="495" spans="1:72">
      <c r="A495" s="1" t="s">
        <v>2286</v>
      </c>
      <c r="B495" s="1" t="s">
        <v>213</v>
      </c>
      <c r="D495" s="1" t="s">
        <v>2287</v>
      </c>
      <c r="E495" s="1">
        <v>1148</v>
      </c>
      <c r="F495" s="1" t="str">
        <f t="shared" si="31"/>
        <v>enemy_1148_dssbr_2</v>
      </c>
      <c r="G495" s="1">
        <v>1</v>
      </c>
      <c r="K495" s="1">
        <v>3600</v>
      </c>
      <c r="M495" s="1">
        <v>360</v>
      </c>
      <c r="O495" s="1">
        <v>150</v>
      </c>
      <c r="Q495" s="1">
        <v>10</v>
      </c>
      <c r="Y495" s="1">
        <v>0.05</v>
      </c>
      <c r="Z495" s="1">
        <v>2</v>
      </c>
      <c r="AA495" s="1">
        <v>1</v>
      </c>
      <c r="AB495" s="1">
        <v>1.1</v>
      </c>
      <c r="AG495" s="1">
        <v>0</v>
      </c>
      <c r="AH495" s="1">
        <v>1</v>
      </c>
      <c r="AI495" s="1" t="s">
        <v>2288</v>
      </c>
      <c r="AJ495" s="1" t="s">
        <v>216</v>
      </c>
      <c r="AK495" s="1" t="s">
        <v>2284</v>
      </c>
      <c r="AM495" s="1">
        <v>1</v>
      </c>
      <c r="AV495" s="1">
        <v>1</v>
      </c>
      <c r="AX495" s="1">
        <v>0.25</v>
      </c>
      <c r="BE495" s="1" t="str">
        <f t="shared" si="32"/>
        <v>enemy_1148_dssbr_2</v>
      </c>
      <c r="BK495" s="1" t="s">
        <v>2275</v>
      </c>
      <c r="BL495" s="1" t="s">
        <v>2289</v>
      </c>
      <c r="BN495" s="1" t="s">
        <v>217</v>
      </c>
      <c r="BO495" s="1" t="s">
        <v>218</v>
      </c>
      <c r="BP495" s="1" t="s">
        <v>239</v>
      </c>
      <c r="BQ495" s="1" t="s">
        <v>220</v>
      </c>
      <c r="BT495" s="1">
        <v>1</v>
      </c>
    </row>
    <row r="496" spans="1:72">
      <c r="A496" s="1" t="s">
        <v>2290</v>
      </c>
      <c r="B496" s="1" t="s">
        <v>213</v>
      </c>
      <c r="D496" s="1" t="s">
        <v>2291</v>
      </c>
      <c r="E496" s="1">
        <v>1149</v>
      </c>
      <c r="F496" s="1" t="str">
        <f t="shared" si="31"/>
        <v>enemy_1149_dsbow</v>
      </c>
      <c r="G496" s="1">
        <v>1</v>
      </c>
      <c r="K496" s="1">
        <v>4400</v>
      </c>
      <c r="M496" s="1">
        <v>280</v>
      </c>
      <c r="O496" s="1">
        <v>160</v>
      </c>
      <c r="Q496" s="1">
        <v>20</v>
      </c>
      <c r="Y496" s="1">
        <v>0.05</v>
      </c>
      <c r="Z496" s="1">
        <v>3</v>
      </c>
      <c r="AA496" s="1">
        <v>1</v>
      </c>
      <c r="AB496" s="1">
        <v>0.75</v>
      </c>
      <c r="AG496" s="1">
        <v>0</v>
      </c>
      <c r="AH496" s="1">
        <v>1</v>
      </c>
      <c r="AI496" s="1" t="s">
        <v>2292</v>
      </c>
      <c r="AJ496" s="1" t="s">
        <v>216</v>
      </c>
      <c r="AK496" s="1" t="s">
        <v>2293</v>
      </c>
      <c r="AM496" s="1">
        <v>1</v>
      </c>
      <c r="AV496" s="1">
        <v>1</v>
      </c>
      <c r="AX496" s="1">
        <v>0.25</v>
      </c>
      <c r="BE496" s="1" t="str">
        <f t="shared" si="32"/>
        <v>enemy_1149_dsbow</v>
      </c>
      <c r="BK496" s="1" t="s">
        <v>2294</v>
      </c>
      <c r="BL496" s="1" t="s">
        <v>2295</v>
      </c>
      <c r="BN496" s="1" t="s">
        <v>217</v>
      </c>
      <c r="BO496" s="1" t="s">
        <v>218</v>
      </c>
      <c r="BP496" s="1" t="s">
        <v>239</v>
      </c>
      <c r="BQ496" s="1" t="s">
        <v>220</v>
      </c>
      <c r="BT496" s="1">
        <v>1</v>
      </c>
    </row>
    <row r="497" spans="1:72">
      <c r="A497" s="1" t="s">
        <v>2296</v>
      </c>
      <c r="B497" s="1" t="s">
        <v>213</v>
      </c>
      <c r="D497" s="1" t="s">
        <v>2297</v>
      </c>
      <c r="E497" s="1">
        <v>1149</v>
      </c>
      <c r="F497" s="1" t="str">
        <f t="shared" si="31"/>
        <v>enemy_1149_dsbow_2</v>
      </c>
      <c r="G497" s="1">
        <v>1</v>
      </c>
      <c r="K497" s="1">
        <v>5000</v>
      </c>
      <c r="M497" s="1">
        <v>320</v>
      </c>
      <c r="O497" s="1">
        <v>200</v>
      </c>
      <c r="Q497" s="1">
        <v>20</v>
      </c>
      <c r="Y497" s="1">
        <v>0.05</v>
      </c>
      <c r="Z497" s="1">
        <v>3</v>
      </c>
      <c r="AA497" s="1">
        <v>1</v>
      </c>
      <c r="AB497" s="1">
        <v>0.75</v>
      </c>
      <c r="AG497" s="1">
        <v>0</v>
      </c>
      <c r="AH497" s="1">
        <v>1</v>
      </c>
      <c r="AI497" s="1" t="s">
        <v>2298</v>
      </c>
      <c r="AJ497" s="1" t="s">
        <v>216</v>
      </c>
      <c r="AK497" s="1" t="s">
        <v>2293</v>
      </c>
      <c r="AM497" s="1">
        <v>1</v>
      </c>
      <c r="AV497" s="1">
        <v>1</v>
      </c>
      <c r="AX497" s="1">
        <v>0.25</v>
      </c>
      <c r="BE497" s="1" t="str">
        <f t="shared" si="32"/>
        <v>enemy_1149_dsbow_2</v>
      </c>
      <c r="BK497" s="1" t="s">
        <v>2294</v>
      </c>
      <c r="BL497" s="1" t="s">
        <v>2299</v>
      </c>
      <c r="BN497" s="1" t="s">
        <v>217</v>
      </c>
      <c r="BO497" s="1" t="s">
        <v>218</v>
      </c>
      <c r="BP497" s="1" t="s">
        <v>239</v>
      </c>
      <c r="BQ497" s="1" t="s">
        <v>220</v>
      </c>
      <c r="BT497" s="1">
        <v>1</v>
      </c>
    </row>
    <row r="498" spans="1:72">
      <c r="A498" s="1" t="s">
        <v>2300</v>
      </c>
      <c r="B498" s="1" t="s">
        <v>213</v>
      </c>
      <c r="D498" s="1" t="s">
        <v>2301</v>
      </c>
      <c r="E498" s="1">
        <v>1150</v>
      </c>
      <c r="F498" s="1" t="str">
        <f t="shared" si="31"/>
        <v>enemy_1150_dsjely</v>
      </c>
      <c r="G498" s="1">
        <v>1</v>
      </c>
      <c r="K498" s="1">
        <v>3000</v>
      </c>
      <c r="M498" s="1">
        <v>220</v>
      </c>
      <c r="O498" s="1">
        <v>200</v>
      </c>
      <c r="Q498" s="1">
        <v>20</v>
      </c>
      <c r="Y498" s="1">
        <v>0.05</v>
      </c>
      <c r="Z498" s="1">
        <v>3</v>
      </c>
      <c r="AA498" s="1">
        <v>0</v>
      </c>
      <c r="AB498" s="1">
        <v>0.75</v>
      </c>
      <c r="AG498" s="1">
        <v>0</v>
      </c>
      <c r="AH498" s="1">
        <v>1</v>
      </c>
      <c r="AI498" s="1" t="s">
        <v>2302</v>
      </c>
      <c r="AJ498" s="1" t="s">
        <v>216</v>
      </c>
      <c r="AK498" s="1" t="s">
        <v>2303</v>
      </c>
      <c r="AM498" s="1">
        <v>1</v>
      </c>
      <c r="AN498" s="1">
        <v>1</v>
      </c>
      <c r="AV498" s="1">
        <v>1</v>
      </c>
      <c r="AX498" s="1">
        <v>0.25</v>
      </c>
      <c r="BE498" s="1" t="str">
        <f t="shared" si="32"/>
        <v>enemy_1150_dsjely</v>
      </c>
      <c r="BK498" s="1" t="s">
        <v>2294</v>
      </c>
      <c r="BL498" s="1" t="s">
        <v>2304</v>
      </c>
      <c r="BN498" s="1" t="s">
        <v>217</v>
      </c>
      <c r="BO498" s="1" t="s">
        <v>218</v>
      </c>
      <c r="BP498" s="1" t="s">
        <v>239</v>
      </c>
      <c r="BQ498" s="1" t="s">
        <v>220</v>
      </c>
      <c r="BT498" s="1">
        <v>1</v>
      </c>
    </row>
    <row r="499" spans="1:72">
      <c r="A499" s="1" t="s">
        <v>2305</v>
      </c>
      <c r="B499" s="1" t="s">
        <v>213</v>
      </c>
      <c r="D499" s="1" t="s">
        <v>2306</v>
      </c>
      <c r="E499" s="1">
        <v>1150</v>
      </c>
      <c r="F499" s="1" t="str">
        <f t="shared" si="31"/>
        <v>enemy_1150_dsjely_2</v>
      </c>
      <c r="G499" s="1">
        <v>1</v>
      </c>
      <c r="K499" s="1">
        <v>4000</v>
      </c>
      <c r="M499" s="1">
        <v>250</v>
      </c>
      <c r="O499" s="1">
        <v>250</v>
      </c>
      <c r="Q499" s="1">
        <v>20</v>
      </c>
      <c r="Y499" s="1">
        <v>0.05</v>
      </c>
      <c r="Z499" s="1">
        <v>3</v>
      </c>
      <c r="AA499" s="1">
        <v>0</v>
      </c>
      <c r="AB499" s="1">
        <v>0.75</v>
      </c>
      <c r="AG499" s="1">
        <v>0</v>
      </c>
      <c r="AH499" s="1">
        <v>1</v>
      </c>
      <c r="AI499" s="1" t="s">
        <v>2307</v>
      </c>
      <c r="AJ499" s="1" t="s">
        <v>216</v>
      </c>
      <c r="AK499" s="1" t="s">
        <v>2303</v>
      </c>
      <c r="AM499" s="1">
        <v>1</v>
      </c>
      <c r="AN499" s="1">
        <v>1</v>
      </c>
      <c r="AV499" s="1">
        <v>1</v>
      </c>
      <c r="AX499" s="1">
        <v>0.25</v>
      </c>
      <c r="BE499" s="1" t="str">
        <f t="shared" si="32"/>
        <v>enemy_1150_dsjely_2</v>
      </c>
      <c r="BK499" s="1" t="s">
        <v>2294</v>
      </c>
      <c r="BL499" s="1" t="s">
        <v>2308</v>
      </c>
      <c r="BN499" s="1" t="s">
        <v>217</v>
      </c>
      <c r="BO499" s="1" t="s">
        <v>218</v>
      </c>
      <c r="BP499" s="1" t="s">
        <v>239</v>
      </c>
      <c r="BQ499" s="1" t="s">
        <v>220</v>
      </c>
      <c r="BT499" s="1">
        <v>1</v>
      </c>
    </row>
    <row r="500" spans="1:72">
      <c r="A500" s="1" t="s">
        <v>2309</v>
      </c>
      <c r="B500" s="1" t="s">
        <v>213</v>
      </c>
      <c r="D500" s="1" t="s">
        <v>2310</v>
      </c>
      <c r="E500" s="1">
        <v>1151</v>
      </c>
      <c r="F500" s="1" t="str">
        <f t="shared" si="31"/>
        <v>enemy_1151_dslntc</v>
      </c>
      <c r="G500" s="1">
        <v>1</v>
      </c>
      <c r="K500" s="1">
        <v>20000</v>
      </c>
      <c r="M500" s="1">
        <v>400</v>
      </c>
      <c r="O500" s="1">
        <v>800</v>
      </c>
      <c r="Q500" s="1">
        <v>75</v>
      </c>
      <c r="Y500" s="1">
        <v>0.05</v>
      </c>
      <c r="Z500" s="1">
        <v>3</v>
      </c>
      <c r="AA500" s="1">
        <v>2</v>
      </c>
      <c r="AB500" s="1">
        <v>0.3</v>
      </c>
      <c r="AG500" s="1">
        <v>0</v>
      </c>
      <c r="AH500" s="1">
        <v>1</v>
      </c>
      <c r="AI500" s="1" t="s">
        <v>2311</v>
      </c>
      <c r="AJ500" s="1" t="s">
        <v>216</v>
      </c>
      <c r="AK500" s="1" t="s">
        <v>2312</v>
      </c>
      <c r="AM500" s="1">
        <v>1</v>
      </c>
      <c r="AV500" s="1">
        <v>1</v>
      </c>
      <c r="AX500" s="1">
        <v>0.25</v>
      </c>
      <c r="BE500" s="1" t="str">
        <f t="shared" si="32"/>
        <v>enemy_1151_dslntc</v>
      </c>
      <c r="BK500" s="1" t="s">
        <v>2313</v>
      </c>
      <c r="BL500" s="1" t="s">
        <v>2314</v>
      </c>
      <c r="BN500" s="1" t="s">
        <v>217</v>
      </c>
      <c r="BO500" s="1" t="s">
        <v>218</v>
      </c>
      <c r="BP500" s="1" t="s">
        <v>239</v>
      </c>
      <c r="BQ500" s="1" t="s">
        <v>220</v>
      </c>
      <c r="BT500" s="1">
        <v>1</v>
      </c>
    </row>
    <row r="501" spans="1:72">
      <c r="A501" s="1" t="s">
        <v>2315</v>
      </c>
      <c r="B501" s="1" t="s">
        <v>213</v>
      </c>
      <c r="D501" s="1" t="s">
        <v>2316</v>
      </c>
      <c r="E501" s="1">
        <v>1151</v>
      </c>
      <c r="F501" s="1" t="str">
        <f t="shared" si="31"/>
        <v>enemy_1151_dslntc_2</v>
      </c>
      <c r="G501" s="1">
        <v>1</v>
      </c>
      <c r="K501" s="1">
        <v>25000</v>
      </c>
      <c r="M501" s="1">
        <v>500</v>
      </c>
      <c r="O501" s="1">
        <v>800</v>
      </c>
      <c r="Q501" s="1">
        <v>75</v>
      </c>
      <c r="Y501" s="1">
        <v>0.05</v>
      </c>
      <c r="Z501" s="1">
        <v>2</v>
      </c>
      <c r="AA501" s="1">
        <v>2</v>
      </c>
      <c r="AB501" s="1">
        <v>0.3</v>
      </c>
      <c r="AG501" s="1">
        <v>0</v>
      </c>
      <c r="AH501" s="1">
        <v>1</v>
      </c>
      <c r="AI501" s="1" t="s">
        <v>2317</v>
      </c>
      <c r="AJ501" s="1" t="s">
        <v>216</v>
      </c>
      <c r="AK501" s="1" t="s">
        <v>2312</v>
      </c>
      <c r="AM501" s="1">
        <v>1</v>
      </c>
      <c r="AV501" s="1">
        <v>1</v>
      </c>
      <c r="AX501" s="1">
        <v>0.25</v>
      </c>
      <c r="BE501" s="1" t="str">
        <f t="shared" si="32"/>
        <v>enemy_1151_dslntc_2</v>
      </c>
      <c r="BK501" s="1" t="s">
        <v>2313</v>
      </c>
      <c r="BL501" s="1" t="s">
        <v>2314</v>
      </c>
      <c r="BN501" s="1" t="s">
        <v>217</v>
      </c>
      <c r="BO501" s="1" t="s">
        <v>218</v>
      </c>
      <c r="BP501" s="1" t="s">
        <v>239</v>
      </c>
      <c r="BQ501" s="1" t="s">
        <v>220</v>
      </c>
      <c r="BT501" s="1">
        <v>1</v>
      </c>
    </row>
    <row r="502" spans="1:72">
      <c r="A502" s="1" t="s">
        <v>2318</v>
      </c>
      <c r="B502" s="1" t="s">
        <v>213</v>
      </c>
      <c r="D502" s="1" t="s">
        <v>2319</v>
      </c>
      <c r="E502" s="1">
        <v>1152</v>
      </c>
      <c r="F502" s="1" t="str">
        <f t="shared" si="31"/>
        <v>enemy_1152_dsurch</v>
      </c>
      <c r="G502" s="1">
        <v>1</v>
      </c>
      <c r="K502" s="1">
        <v>25000</v>
      </c>
      <c r="M502" s="1">
        <v>300</v>
      </c>
      <c r="O502" s="1">
        <v>0</v>
      </c>
      <c r="Q502" s="1">
        <v>0</v>
      </c>
      <c r="Y502" s="1">
        <v>0.05</v>
      </c>
      <c r="Z502" s="1">
        <v>3</v>
      </c>
      <c r="AA502" s="1">
        <v>4</v>
      </c>
      <c r="AB502" s="1">
        <v>0.4</v>
      </c>
      <c r="AG502" s="1">
        <v>0</v>
      </c>
      <c r="AH502" s="1">
        <v>1</v>
      </c>
      <c r="AI502" s="1" t="s">
        <v>2320</v>
      </c>
      <c r="AJ502" s="1" t="s">
        <v>216</v>
      </c>
      <c r="AK502" s="1" t="s">
        <v>2321</v>
      </c>
      <c r="AM502" s="1">
        <v>1</v>
      </c>
      <c r="AV502" s="1">
        <v>1</v>
      </c>
      <c r="AX502" s="1">
        <v>0.25</v>
      </c>
      <c r="BE502" s="1" t="str">
        <f t="shared" si="32"/>
        <v>enemy_1152_dsurch</v>
      </c>
      <c r="BK502" s="1" t="s">
        <v>2322</v>
      </c>
      <c r="BL502" s="1" t="s">
        <v>2323</v>
      </c>
      <c r="BN502" s="1" t="s">
        <v>217</v>
      </c>
      <c r="BO502" s="1" t="s">
        <v>218</v>
      </c>
      <c r="BP502" s="1" t="s">
        <v>239</v>
      </c>
      <c r="BQ502" s="1" t="s">
        <v>220</v>
      </c>
      <c r="BT502" s="1">
        <v>1</v>
      </c>
    </row>
    <row r="503" spans="1:72">
      <c r="A503" s="1" t="s">
        <v>2324</v>
      </c>
      <c r="B503" s="1" t="s">
        <v>213</v>
      </c>
      <c r="D503" s="1" t="s">
        <v>2325</v>
      </c>
      <c r="E503" s="1">
        <v>1152</v>
      </c>
      <c r="F503" s="1" t="str">
        <f t="shared" si="31"/>
        <v>enemy_1152_dsurch_2</v>
      </c>
      <c r="G503" s="1">
        <v>1</v>
      </c>
      <c r="K503" s="1">
        <v>35000</v>
      </c>
      <c r="M503" s="1">
        <v>400</v>
      </c>
      <c r="O503" s="1">
        <v>0</v>
      </c>
      <c r="Q503" s="1">
        <v>0</v>
      </c>
      <c r="Y503" s="1">
        <v>0.05</v>
      </c>
      <c r="Z503" s="1">
        <v>3</v>
      </c>
      <c r="AA503" s="1">
        <v>4</v>
      </c>
      <c r="AB503" s="1">
        <v>0.4</v>
      </c>
      <c r="AG503" s="1">
        <v>0</v>
      </c>
      <c r="AH503" s="1">
        <v>1</v>
      </c>
      <c r="AI503" s="1" t="s">
        <v>2326</v>
      </c>
      <c r="AJ503" s="1" t="s">
        <v>216</v>
      </c>
      <c r="AK503" s="1" t="s">
        <v>2321</v>
      </c>
      <c r="AM503" s="1">
        <v>1</v>
      </c>
      <c r="AV503" s="1">
        <v>1</v>
      </c>
      <c r="AX503" s="1">
        <v>0.25</v>
      </c>
      <c r="BE503" s="1" t="str">
        <f t="shared" si="32"/>
        <v>enemy_1152_dsurch_2</v>
      </c>
      <c r="BK503" s="1" t="s">
        <v>2322</v>
      </c>
      <c r="BL503" s="1" t="s">
        <v>2327</v>
      </c>
      <c r="BN503" s="1" t="s">
        <v>217</v>
      </c>
      <c r="BO503" s="1" t="s">
        <v>218</v>
      </c>
      <c r="BP503" s="1" t="s">
        <v>239</v>
      </c>
      <c r="BQ503" s="1" t="s">
        <v>220</v>
      </c>
      <c r="BT503" s="1">
        <v>1</v>
      </c>
    </row>
    <row r="504" spans="1:72">
      <c r="A504" s="1" t="s">
        <v>2328</v>
      </c>
      <c r="B504" s="1" t="s">
        <v>213</v>
      </c>
      <c r="D504" s="1" t="s">
        <v>2329</v>
      </c>
      <c r="E504" s="1">
        <v>1153</v>
      </c>
      <c r="F504" s="1" t="str">
        <f t="shared" si="31"/>
        <v>enemy_1153_dsexcu</v>
      </c>
      <c r="G504" s="1">
        <v>1</v>
      </c>
      <c r="K504" s="1">
        <v>9000</v>
      </c>
      <c r="M504" s="1">
        <v>550</v>
      </c>
      <c r="O504" s="1">
        <v>240</v>
      </c>
      <c r="Q504" s="1">
        <v>20</v>
      </c>
      <c r="Y504" s="1">
        <v>0.05</v>
      </c>
      <c r="Z504" s="1">
        <v>3.5</v>
      </c>
      <c r="AA504" s="1">
        <v>3</v>
      </c>
      <c r="AB504" s="1">
        <v>0.75</v>
      </c>
      <c r="AG504" s="1">
        <v>0</v>
      </c>
      <c r="AH504" s="1">
        <v>1</v>
      </c>
      <c r="AI504" s="1" t="s">
        <v>2330</v>
      </c>
      <c r="AJ504" s="1" t="s">
        <v>216</v>
      </c>
      <c r="AK504" s="1" t="s">
        <v>2331</v>
      </c>
      <c r="AM504" s="1">
        <v>1</v>
      </c>
      <c r="AV504" s="1">
        <v>1</v>
      </c>
      <c r="AX504" s="1">
        <v>0.25</v>
      </c>
      <c r="BE504" s="1" t="str">
        <f t="shared" si="32"/>
        <v>enemy_1153_dsexcu</v>
      </c>
      <c r="BK504" s="1" t="s">
        <v>2332</v>
      </c>
      <c r="BL504" s="1" t="s">
        <v>2333</v>
      </c>
      <c r="BN504" s="1" t="s">
        <v>217</v>
      </c>
      <c r="BO504" s="1" t="s">
        <v>218</v>
      </c>
      <c r="BP504" s="1" t="s">
        <v>239</v>
      </c>
      <c r="BQ504" s="1" t="s">
        <v>220</v>
      </c>
      <c r="BT504" s="1">
        <v>1</v>
      </c>
    </row>
    <row r="505" spans="1:72">
      <c r="A505" s="1" t="s">
        <v>2334</v>
      </c>
      <c r="B505" s="1" t="s">
        <v>213</v>
      </c>
      <c r="D505" s="1" t="s">
        <v>2335</v>
      </c>
      <c r="E505" s="1">
        <v>1153</v>
      </c>
      <c r="F505" s="1" t="str">
        <f t="shared" si="31"/>
        <v>enemy_1153_dsexcu_2</v>
      </c>
      <c r="G505" s="1">
        <v>1</v>
      </c>
      <c r="K505" s="1">
        <v>12500</v>
      </c>
      <c r="M505" s="1">
        <v>700</v>
      </c>
      <c r="O505" s="1">
        <v>240</v>
      </c>
      <c r="Q505" s="1">
        <v>20</v>
      </c>
      <c r="Y505" s="1">
        <v>0.05</v>
      </c>
      <c r="Z505" s="1">
        <v>3.5</v>
      </c>
      <c r="AA505" s="1">
        <v>3</v>
      </c>
      <c r="AB505" s="1">
        <v>0.75</v>
      </c>
      <c r="AG505" s="1">
        <v>0</v>
      </c>
      <c r="AH505" s="1">
        <v>1</v>
      </c>
      <c r="AI505" s="1" t="s">
        <v>2336</v>
      </c>
      <c r="AJ505" s="1" t="s">
        <v>216</v>
      </c>
      <c r="AK505" s="1" t="s">
        <v>2331</v>
      </c>
      <c r="AM505" s="1">
        <v>1</v>
      </c>
      <c r="AV505" s="1">
        <v>1</v>
      </c>
      <c r="AX505" s="1">
        <v>0.25</v>
      </c>
      <c r="BE505" s="1" t="str">
        <f t="shared" si="32"/>
        <v>enemy_1153_dsexcu_2</v>
      </c>
      <c r="BK505" s="1" t="s">
        <v>2332</v>
      </c>
      <c r="BL505" s="1" t="s">
        <v>2337</v>
      </c>
      <c r="BN505" s="1" t="s">
        <v>217</v>
      </c>
      <c r="BO505" s="1" t="s">
        <v>218</v>
      </c>
      <c r="BP505" s="1" t="s">
        <v>239</v>
      </c>
      <c r="BQ505" s="1" t="s">
        <v>220</v>
      </c>
      <c r="BT505" s="1">
        <v>1</v>
      </c>
    </row>
    <row r="506" spans="1:72">
      <c r="A506" s="1" t="s">
        <v>2338</v>
      </c>
      <c r="B506" s="1" t="s">
        <v>213</v>
      </c>
      <c r="C506" s="1">
        <v>1</v>
      </c>
      <c r="D506" s="1" t="s">
        <v>2339</v>
      </c>
      <c r="E506" s="1">
        <v>1154</v>
      </c>
      <c r="F506" s="1" t="str">
        <f t="shared" si="31"/>
        <v>enemy_1154_dsmant</v>
      </c>
      <c r="G506" s="1">
        <v>1</v>
      </c>
      <c r="K506" s="1">
        <v>21000</v>
      </c>
      <c r="M506" s="1">
        <v>600</v>
      </c>
      <c r="O506" s="1">
        <v>500</v>
      </c>
      <c r="Q506" s="1">
        <v>20</v>
      </c>
      <c r="Y506" s="1">
        <v>0.05</v>
      </c>
      <c r="Z506" s="1">
        <v>3</v>
      </c>
      <c r="AA506" s="1">
        <v>4</v>
      </c>
      <c r="AB506" s="1">
        <v>0.8</v>
      </c>
      <c r="AG506" s="1">
        <v>0</v>
      </c>
      <c r="AH506" s="1">
        <v>1</v>
      </c>
      <c r="AI506" s="1" t="s">
        <v>2340</v>
      </c>
      <c r="AJ506" s="1" t="s">
        <v>216</v>
      </c>
      <c r="AK506" s="1" t="s">
        <v>2341</v>
      </c>
      <c r="AM506" s="1">
        <v>1</v>
      </c>
      <c r="AV506" s="1">
        <v>1</v>
      </c>
      <c r="AX506" s="1">
        <v>0.25</v>
      </c>
      <c r="BE506" s="1" t="str">
        <f t="shared" si="32"/>
        <v>enemy_1154_dsmant</v>
      </c>
      <c r="BK506" s="1" t="s">
        <v>2332</v>
      </c>
      <c r="BL506" s="1" t="s">
        <v>2342</v>
      </c>
      <c r="BN506" s="1" t="s">
        <v>217</v>
      </c>
      <c r="BO506" s="1" t="s">
        <v>218</v>
      </c>
      <c r="BP506" s="1" t="s">
        <v>239</v>
      </c>
      <c r="BQ506" s="1" t="s">
        <v>220</v>
      </c>
      <c r="BT506" s="1">
        <v>1</v>
      </c>
    </row>
    <row r="507" spans="1:72">
      <c r="A507" s="1" t="s">
        <v>2343</v>
      </c>
      <c r="B507" s="1" t="s">
        <v>213</v>
      </c>
      <c r="C507" s="1">
        <v>1</v>
      </c>
      <c r="D507" s="1" t="s">
        <v>2344</v>
      </c>
      <c r="E507" s="1">
        <v>1155</v>
      </c>
      <c r="F507" s="1" t="str">
        <f t="shared" ref="F507:F522" si="33">"enemy_"&amp;E507&amp;"_"&amp;D507</f>
        <v>enemy_1155_dsrobt</v>
      </c>
      <c r="G507" s="1">
        <v>1</v>
      </c>
      <c r="K507" s="1">
        <v>6000</v>
      </c>
      <c r="M507" s="1">
        <v>0</v>
      </c>
      <c r="O507" s="1">
        <v>0</v>
      </c>
      <c r="Q507" s="1">
        <v>0</v>
      </c>
      <c r="Y507" s="1">
        <v>0.05</v>
      </c>
      <c r="Z507" s="1">
        <v>3</v>
      </c>
      <c r="AA507" s="1">
        <v>0</v>
      </c>
      <c r="AB507" s="1">
        <v>0.6</v>
      </c>
      <c r="AG507" s="1">
        <v>0</v>
      </c>
      <c r="AH507" s="1">
        <v>1</v>
      </c>
      <c r="AI507" s="1" t="s">
        <v>2345</v>
      </c>
      <c r="AJ507" s="1" t="s">
        <v>216</v>
      </c>
      <c r="AK507" s="1" t="s">
        <v>238</v>
      </c>
      <c r="AM507" s="1">
        <v>1</v>
      </c>
      <c r="AV507" s="1">
        <v>1</v>
      </c>
      <c r="AX507" s="1">
        <v>0.25</v>
      </c>
      <c r="BE507" s="1" t="str">
        <f t="shared" si="32"/>
        <v>enemy_1155_dsrobt</v>
      </c>
      <c r="BK507" s="1" t="s">
        <v>1040</v>
      </c>
      <c r="BL507" s="1" t="s">
        <v>2346</v>
      </c>
      <c r="BN507" s="1" t="s">
        <v>217</v>
      </c>
      <c r="BO507" s="1" t="s">
        <v>218</v>
      </c>
      <c r="BP507" s="1" t="s">
        <v>239</v>
      </c>
      <c r="BQ507" s="1" t="s">
        <v>220</v>
      </c>
      <c r="BT507" s="1">
        <v>1</v>
      </c>
    </row>
    <row r="508" spans="1:72">
      <c r="A508" s="1" t="s">
        <v>2347</v>
      </c>
      <c r="B508" s="1" t="s">
        <v>213</v>
      </c>
      <c r="D508" s="1" t="s">
        <v>2348</v>
      </c>
      <c r="E508" s="1">
        <v>1521</v>
      </c>
      <c r="F508" s="1" t="str">
        <f t="shared" si="33"/>
        <v>enemy_1521_dslily</v>
      </c>
      <c r="G508" s="1">
        <v>1</v>
      </c>
      <c r="K508" s="1">
        <v>100000</v>
      </c>
      <c r="M508" s="1">
        <v>380</v>
      </c>
      <c r="O508" s="1">
        <v>500</v>
      </c>
      <c r="Q508" s="1">
        <v>50</v>
      </c>
      <c r="Y508" s="1">
        <v>0.05</v>
      </c>
      <c r="Z508" s="1">
        <v>3.5</v>
      </c>
      <c r="AA508" s="1">
        <v>99</v>
      </c>
      <c r="AB508" s="1">
        <v>1</v>
      </c>
      <c r="AG508" s="1">
        <v>-2</v>
      </c>
      <c r="AH508" s="1">
        <v>1</v>
      </c>
      <c r="AI508" s="1" t="s">
        <v>2349</v>
      </c>
      <c r="AJ508" s="1" t="s">
        <v>216</v>
      </c>
      <c r="AK508" s="1" t="s">
        <v>2350</v>
      </c>
      <c r="AM508" s="1">
        <v>1</v>
      </c>
      <c r="AV508" s="1">
        <v>1</v>
      </c>
      <c r="AX508" s="1">
        <v>0.25</v>
      </c>
      <c r="AY508" s="1" t="s">
        <v>2351</v>
      </c>
      <c r="BE508" s="1" t="str">
        <f t="shared" si="32"/>
        <v>enemy_1521_dslily</v>
      </c>
      <c r="BK508" s="1" t="s">
        <v>2352</v>
      </c>
      <c r="BL508" s="1" t="s">
        <v>2353</v>
      </c>
      <c r="BN508" s="1" t="s">
        <v>217</v>
      </c>
      <c r="BO508" s="1" t="s">
        <v>218</v>
      </c>
      <c r="BQ508" s="1" t="s">
        <v>220</v>
      </c>
      <c r="BT508" s="1">
        <v>1</v>
      </c>
    </row>
    <row r="509" spans="1:72">
      <c r="A509" s="1" t="s">
        <v>2354</v>
      </c>
      <c r="B509" s="1" t="s">
        <v>213</v>
      </c>
      <c r="C509" s="1">
        <v>1</v>
      </c>
      <c r="D509" s="1" t="s">
        <v>2355</v>
      </c>
      <c r="E509" s="1">
        <v>1156</v>
      </c>
      <c r="F509" s="1" t="str">
        <f t="shared" si="33"/>
        <v>enemy_1156_hymhr</v>
      </c>
      <c r="G509" s="1">
        <v>1</v>
      </c>
      <c r="K509" s="1">
        <v>40000</v>
      </c>
      <c r="M509" s="1">
        <v>500</v>
      </c>
      <c r="O509" s="1">
        <v>500</v>
      </c>
      <c r="Q509" s="1">
        <v>60</v>
      </c>
      <c r="Y509" s="1">
        <v>0.05</v>
      </c>
      <c r="Z509" s="1">
        <v>1</v>
      </c>
      <c r="AA509" s="1">
        <v>4</v>
      </c>
      <c r="AB509" s="1">
        <v>1.2</v>
      </c>
      <c r="AG509" s="1">
        <v>0</v>
      </c>
      <c r="AH509" s="1">
        <v>1</v>
      </c>
      <c r="AI509" s="1" t="s">
        <v>2356</v>
      </c>
      <c r="AJ509" s="1" t="s">
        <v>216</v>
      </c>
      <c r="AK509" s="1" t="s">
        <v>238</v>
      </c>
      <c r="AM509" s="1">
        <v>1</v>
      </c>
      <c r="AV509" s="1">
        <v>1</v>
      </c>
      <c r="AX509" s="1">
        <v>0.25</v>
      </c>
      <c r="BE509" s="1" t="str">
        <f t="shared" si="32"/>
        <v>enemy_1156_hymhr</v>
      </c>
      <c r="BK509" s="1" t="s">
        <v>1762</v>
      </c>
      <c r="BL509" s="1" t="s">
        <v>2357</v>
      </c>
      <c r="BN509" s="1" t="s">
        <v>217</v>
      </c>
      <c r="BO509" s="1" t="s">
        <v>218</v>
      </c>
      <c r="BP509" s="1" t="s">
        <v>239</v>
      </c>
      <c r="BQ509" s="1" t="s">
        <v>220</v>
      </c>
      <c r="BT509" s="1">
        <v>1</v>
      </c>
    </row>
    <row r="510" spans="1:72">
      <c r="A510" s="1" t="s">
        <v>2358</v>
      </c>
      <c r="B510" s="1" t="s">
        <v>213</v>
      </c>
      <c r="C510" s="1">
        <v>1</v>
      </c>
      <c r="D510" s="1" t="s">
        <v>2359</v>
      </c>
      <c r="E510" s="1">
        <v>1157</v>
      </c>
      <c r="F510" s="1" t="str">
        <f t="shared" si="33"/>
        <v>enemy_1157_hymwr</v>
      </c>
      <c r="G510" s="1">
        <v>1</v>
      </c>
      <c r="K510" s="1">
        <v>40000</v>
      </c>
      <c r="M510" s="1">
        <v>1200</v>
      </c>
      <c r="O510" s="1">
        <v>1000</v>
      </c>
      <c r="Q510" s="1">
        <v>40</v>
      </c>
      <c r="Y510" s="1">
        <v>0.05</v>
      </c>
      <c r="Z510" s="1">
        <v>3</v>
      </c>
      <c r="AA510" s="1">
        <v>6</v>
      </c>
      <c r="AB510" s="1">
        <v>0.7</v>
      </c>
      <c r="AG510" s="1">
        <v>0</v>
      </c>
      <c r="AH510" s="1">
        <v>1</v>
      </c>
      <c r="AI510" s="1" t="s">
        <v>2360</v>
      </c>
      <c r="AJ510" s="1" t="s">
        <v>216</v>
      </c>
      <c r="AK510" s="1" t="s">
        <v>238</v>
      </c>
      <c r="AM510" s="1">
        <v>1</v>
      </c>
      <c r="AV510" s="1">
        <v>1</v>
      </c>
      <c r="AX510" s="1">
        <v>0.25</v>
      </c>
      <c r="BE510" s="1" t="str">
        <f t="shared" si="32"/>
        <v>enemy_1157_hymwr</v>
      </c>
      <c r="BK510" s="1" t="s">
        <v>1927</v>
      </c>
      <c r="BL510" s="1" t="s">
        <v>2361</v>
      </c>
      <c r="BN510" s="1" t="s">
        <v>217</v>
      </c>
      <c r="BO510" s="1" t="s">
        <v>218</v>
      </c>
      <c r="BP510" s="1" t="s">
        <v>239</v>
      </c>
      <c r="BQ510" s="1" t="s">
        <v>220</v>
      </c>
      <c r="BT510" s="1">
        <v>1</v>
      </c>
    </row>
    <row r="511" spans="1:72">
      <c r="A511" s="1" t="s">
        <v>2362</v>
      </c>
      <c r="B511" s="1" t="s">
        <v>213</v>
      </c>
      <c r="C511" s="1">
        <v>1</v>
      </c>
      <c r="D511" s="1" t="s">
        <v>2363</v>
      </c>
      <c r="E511" s="1">
        <v>1158</v>
      </c>
      <c r="F511" s="1" t="str">
        <f t="shared" si="33"/>
        <v>enemy_1158_divman</v>
      </c>
      <c r="G511" s="1">
        <v>1</v>
      </c>
      <c r="K511" s="1">
        <v>3300</v>
      </c>
      <c r="M511" s="1">
        <v>240</v>
      </c>
      <c r="O511" s="1">
        <v>150</v>
      </c>
      <c r="Q511" s="1">
        <v>20</v>
      </c>
      <c r="Y511" s="1">
        <v>0.05</v>
      </c>
      <c r="Z511" s="1">
        <v>2.7</v>
      </c>
      <c r="AA511" s="1">
        <v>1</v>
      </c>
      <c r="AB511" s="1">
        <v>0.9</v>
      </c>
      <c r="AG511" s="1">
        <v>0</v>
      </c>
      <c r="AH511" s="1">
        <v>1</v>
      </c>
      <c r="AI511" s="1" t="s">
        <v>2364</v>
      </c>
      <c r="AJ511" s="1" t="s">
        <v>216</v>
      </c>
      <c r="AK511" s="1" t="s">
        <v>238</v>
      </c>
      <c r="AM511" s="1">
        <v>1</v>
      </c>
      <c r="AV511" s="1">
        <v>1</v>
      </c>
      <c r="AX511" s="1">
        <v>0.25</v>
      </c>
      <c r="BE511" s="1" t="str">
        <f t="shared" si="32"/>
        <v>enemy_1158_divman</v>
      </c>
      <c r="BK511" s="1" t="s">
        <v>959</v>
      </c>
      <c r="BL511" s="1" t="s">
        <v>2365</v>
      </c>
      <c r="BN511" s="1" t="s">
        <v>217</v>
      </c>
      <c r="BO511" s="1" t="s">
        <v>2366</v>
      </c>
      <c r="BP511" s="1" t="s">
        <v>2367</v>
      </c>
      <c r="BQ511" s="1" t="s">
        <v>220</v>
      </c>
      <c r="BT511" s="1">
        <v>1</v>
      </c>
    </row>
    <row r="512" spans="1:72">
      <c r="A512" s="1" t="s">
        <v>2368</v>
      </c>
      <c r="B512" s="1" t="s">
        <v>213</v>
      </c>
      <c r="C512" s="1">
        <v>1</v>
      </c>
      <c r="D512" s="1" t="s">
        <v>2369</v>
      </c>
      <c r="E512" s="1">
        <v>1158</v>
      </c>
      <c r="F512" s="1" t="str">
        <f t="shared" si="33"/>
        <v>enemy_1158_divman_2</v>
      </c>
      <c r="G512" s="1">
        <v>1</v>
      </c>
      <c r="K512" s="1">
        <v>4000</v>
      </c>
      <c r="M512" s="1">
        <v>320</v>
      </c>
      <c r="O512" s="1">
        <v>200</v>
      </c>
      <c r="Q512" s="1">
        <v>20</v>
      </c>
      <c r="Y512" s="1">
        <v>0.05</v>
      </c>
      <c r="Z512" s="1">
        <v>2.7</v>
      </c>
      <c r="AA512" s="1">
        <v>1</v>
      </c>
      <c r="AB512" s="1">
        <v>0.9</v>
      </c>
      <c r="AG512" s="1">
        <v>0</v>
      </c>
      <c r="AH512" s="1">
        <v>1</v>
      </c>
      <c r="AI512" s="1" t="s">
        <v>2370</v>
      </c>
      <c r="AJ512" s="1" t="s">
        <v>216</v>
      </c>
      <c r="AK512" s="1" t="s">
        <v>238</v>
      </c>
      <c r="AM512" s="1">
        <v>1</v>
      </c>
      <c r="AV512" s="1">
        <v>1</v>
      </c>
      <c r="AX512" s="1">
        <v>0.25</v>
      </c>
      <c r="BE512" s="1" t="str">
        <f t="shared" si="32"/>
        <v>enemy_1158_divman_2</v>
      </c>
      <c r="BK512" s="1" t="s">
        <v>959</v>
      </c>
      <c r="BL512" s="1" t="s">
        <v>2365</v>
      </c>
      <c r="BN512" s="1" t="s">
        <v>217</v>
      </c>
      <c r="BO512" s="1" t="s">
        <v>2366</v>
      </c>
      <c r="BP512" s="1" t="s">
        <v>2367</v>
      </c>
      <c r="BQ512" s="1" t="s">
        <v>220</v>
      </c>
      <c r="BT512" s="1">
        <v>1</v>
      </c>
    </row>
    <row r="513" spans="1:72">
      <c r="A513" s="1" t="s">
        <v>2371</v>
      </c>
      <c r="B513" s="1" t="s">
        <v>213</v>
      </c>
      <c r="C513" s="1">
        <v>1</v>
      </c>
      <c r="D513" s="1" t="s">
        <v>2372</v>
      </c>
      <c r="E513" s="1">
        <v>1159</v>
      </c>
      <c r="F513" s="1" t="str">
        <f t="shared" si="33"/>
        <v>enemy_1159_swfmob</v>
      </c>
      <c r="G513" s="1">
        <v>1</v>
      </c>
      <c r="K513" s="1">
        <v>2800</v>
      </c>
      <c r="M513" s="1">
        <v>280</v>
      </c>
      <c r="O513" s="1">
        <v>100</v>
      </c>
      <c r="Q513" s="1">
        <v>0</v>
      </c>
      <c r="Y513" s="1">
        <v>0.05</v>
      </c>
      <c r="Z513" s="1">
        <v>2</v>
      </c>
      <c r="AA513" s="1">
        <v>1</v>
      </c>
      <c r="AB513" s="1">
        <v>1</v>
      </c>
      <c r="AG513" s="1">
        <v>0</v>
      </c>
      <c r="AH513" s="1">
        <v>1</v>
      </c>
      <c r="AI513" s="1" t="s">
        <v>2373</v>
      </c>
      <c r="AJ513" s="1" t="s">
        <v>216</v>
      </c>
      <c r="AK513" s="1" t="s">
        <v>238</v>
      </c>
      <c r="AM513" s="1">
        <v>1</v>
      </c>
      <c r="AV513" s="1">
        <v>1</v>
      </c>
      <c r="AX513" s="1">
        <v>0.25</v>
      </c>
      <c r="BE513" s="1" t="str">
        <f t="shared" si="32"/>
        <v>enemy_1159_swfmob</v>
      </c>
      <c r="BK513" s="1" t="s">
        <v>953</v>
      </c>
      <c r="BL513" s="1" t="s">
        <v>2374</v>
      </c>
      <c r="BN513" s="1" t="s">
        <v>217</v>
      </c>
      <c r="BO513" s="1" t="s">
        <v>218</v>
      </c>
      <c r="BP513" s="1" t="s">
        <v>239</v>
      </c>
      <c r="BQ513" s="1" t="s">
        <v>220</v>
      </c>
      <c r="BT513" s="1">
        <v>1</v>
      </c>
    </row>
    <row r="514" spans="1:72">
      <c r="A514" s="1" t="s">
        <v>2375</v>
      </c>
      <c r="B514" s="1" t="s">
        <v>213</v>
      </c>
      <c r="C514" s="1">
        <v>1</v>
      </c>
      <c r="D514" s="1" t="s">
        <v>2376</v>
      </c>
      <c r="E514" s="1">
        <v>1159</v>
      </c>
      <c r="F514" s="1" t="str">
        <f t="shared" si="33"/>
        <v>enemy_1159_swfmob_2</v>
      </c>
      <c r="G514" s="1">
        <v>1</v>
      </c>
      <c r="K514" s="1">
        <v>3500</v>
      </c>
      <c r="M514" s="1">
        <v>360</v>
      </c>
      <c r="O514" s="1">
        <v>120</v>
      </c>
      <c r="Q514" s="1">
        <v>0</v>
      </c>
      <c r="Y514" s="1">
        <v>0.05</v>
      </c>
      <c r="Z514" s="1">
        <v>2</v>
      </c>
      <c r="AA514" s="1">
        <v>1</v>
      </c>
      <c r="AB514" s="1">
        <v>1</v>
      </c>
      <c r="AG514" s="1">
        <v>0</v>
      </c>
      <c r="AH514" s="1">
        <v>1</v>
      </c>
      <c r="AI514" s="1" t="s">
        <v>2377</v>
      </c>
      <c r="AJ514" s="1" t="s">
        <v>216</v>
      </c>
      <c r="AK514" s="1" t="s">
        <v>238</v>
      </c>
      <c r="AM514" s="1">
        <v>1</v>
      </c>
      <c r="AV514" s="1">
        <v>1</v>
      </c>
      <c r="AX514" s="1">
        <v>0.25</v>
      </c>
      <c r="BE514" s="1" t="str">
        <f t="shared" si="32"/>
        <v>enemy_1159_swfmob_2</v>
      </c>
      <c r="BK514" s="1" t="s">
        <v>953</v>
      </c>
      <c r="BL514" s="1" t="s">
        <v>2378</v>
      </c>
      <c r="BN514" s="1" t="s">
        <v>217</v>
      </c>
      <c r="BO514" s="1" t="s">
        <v>218</v>
      </c>
      <c r="BP514" s="1" t="s">
        <v>239</v>
      </c>
      <c r="BQ514" s="1" t="s">
        <v>220</v>
      </c>
      <c r="BT514" s="1">
        <v>1</v>
      </c>
    </row>
    <row r="515" spans="1:72">
      <c r="A515" s="1" t="s">
        <v>2379</v>
      </c>
      <c r="B515" s="1" t="s">
        <v>213</v>
      </c>
      <c r="C515" s="1">
        <v>1</v>
      </c>
      <c r="D515" s="1" t="s">
        <v>2380</v>
      </c>
      <c r="E515" s="1">
        <v>1160</v>
      </c>
      <c r="F515" s="1" t="str">
        <f t="shared" si="33"/>
        <v>enemy_1160_hvyslr</v>
      </c>
      <c r="G515" s="1">
        <v>1</v>
      </c>
      <c r="K515" s="1">
        <v>10000</v>
      </c>
      <c r="M515" s="1">
        <v>800</v>
      </c>
      <c r="O515" s="1">
        <v>800</v>
      </c>
      <c r="Q515" s="1">
        <v>20</v>
      </c>
      <c r="Y515" s="1">
        <v>0.05</v>
      </c>
      <c r="Z515" s="1">
        <v>3.5</v>
      </c>
      <c r="AA515" s="1">
        <v>4</v>
      </c>
      <c r="AB515" s="1">
        <v>0.7</v>
      </c>
      <c r="AG515" s="1">
        <v>0</v>
      </c>
      <c r="AH515" s="1">
        <v>1</v>
      </c>
      <c r="AI515" s="1" t="s">
        <v>2381</v>
      </c>
      <c r="AJ515" s="1" t="s">
        <v>216</v>
      </c>
      <c r="AK515" s="1" t="s">
        <v>238</v>
      </c>
      <c r="AM515" s="1">
        <v>1</v>
      </c>
      <c r="AV515" s="1">
        <v>1</v>
      </c>
      <c r="AX515" s="1">
        <v>0.25</v>
      </c>
      <c r="BE515" s="1" t="str">
        <f t="shared" si="32"/>
        <v>enemy_1160_hvyslr</v>
      </c>
      <c r="BK515" s="1" t="s">
        <v>1012</v>
      </c>
      <c r="BL515" s="1" t="s">
        <v>2382</v>
      </c>
      <c r="BN515" s="1" t="s">
        <v>217</v>
      </c>
      <c r="BO515" s="1" t="s">
        <v>218</v>
      </c>
      <c r="BP515" s="1" t="s">
        <v>239</v>
      </c>
      <c r="BQ515" s="1" t="s">
        <v>220</v>
      </c>
      <c r="BT515" s="1">
        <v>1</v>
      </c>
    </row>
    <row r="516" spans="1:72">
      <c r="A516" s="1" t="s">
        <v>2383</v>
      </c>
      <c r="B516" s="1" t="s">
        <v>213</v>
      </c>
      <c r="C516" s="1">
        <v>1</v>
      </c>
      <c r="D516" s="1" t="s">
        <v>2384</v>
      </c>
      <c r="E516" s="1">
        <v>1160</v>
      </c>
      <c r="F516" s="1" t="str">
        <f t="shared" si="33"/>
        <v>enemy_1160_hvyslr_2</v>
      </c>
      <c r="G516" s="1">
        <v>1</v>
      </c>
      <c r="K516" s="1">
        <v>14000</v>
      </c>
      <c r="M516" s="1">
        <v>1000</v>
      </c>
      <c r="O516" s="1">
        <v>1000</v>
      </c>
      <c r="Q516" s="1">
        <v>20</v>
      </c>
      <c r="Y516" s="1">
        <v>0.05</v>
      </c>
      <c r="Z516" s="1">
        <v>3.5</v>
      </c>
      <c r="AA516" s="1">
        <v>4</v>
      </c>
      <c r="AB516" s="1">
        <v>0.7</v>
      </c>
      <c r="AG516" s="1">
        <v>0</v>
      </c>
      <c r="AH516" s="1">
        <v>1</v>
      </c>
      <c r="AI516" s="1" t="s">
        <v>2385</v>
      </c>
      <c r="AJ516" s="1" t="s">
        <v>216</v>
      </c>
      <c r="AK516" s="1" t="s">
        <v>238</v>
      </c>
      <c r="AM516" s="1">
        <v>1</v>
      </c>
      <c r="AV516" s="1">
        <v>1</v>
      </c>
      <c r="AX516" s="1">
        <v>0.25</v>
      </c>
      <c r="BE516" s="1" t="str">
        <f t="shared" si="32"/>
        <v>enemy_1160_hvyslr_2</v>
      </c>
      <c r="BK516" s="1" t="s">
        <v>1012</v>
      </c>
      <c r="BL516" s="1" t="s">
        <v>2386</v>
      </c>
      <c r="BN516" s="1" t="s">
        <v>217</v>
      </c>
      <c r="BO516" s="1" t="s">
        <v>218</v>
      </c>
      <c r="BP516" s="1" t="s">
        <v>239</v>
      </c>
      <c r="BQ516" s="1" t="s">
        <v>220</v>
      </c>
      <c r="BT516" s="1">
        <v>1</v>
      </c>
    </row>
    <row r="517" spans="1:72">
      <c r="A517" s="1" t="s">
        <v>2387</v>
      </c>
      <c r="B517" s="1" t="s">
        <v>213</v>
      </c>
      <c r="C517" s="1">
        <v>1</v>
      </c>
      <c r="D517" s="1" t="s">
        <v>2388</v>
      </c>
      <c r="E517" s="1">
        <v>1161</v>
      </c>
      <c r="F517" s="1" t="str">
        <f t="shared" si="33"/>
        <v>enemy_1161_tidmag</v>
      </c>
      <c r="G517" s="1">
        <v>1</v>
      </c>
      <c r="K517" s="1">
        <v>6000</v>
      </c>
      <c r="M517" s="1">
        <v>200</v>
      </c>
      <c r="O517" s="1">
        <v>200</v>
      </c>
      <c r="Q517" s="1">
        <v>60</v>
      </c>
      <c r="Y517" s="1">
        <v>0.05</v>
      </c>
      <c r="Z517" s="1">
        <v>2.5</v>
      </c>
      <c r="AA517" s="1">
        <v>2</v>
      </c>
      <c r="AB517" s="1">
        <v>0.7</v>
      </c>
      <c r="AG517" s="1">
        <v>0</v>
      </c>
      <c r="AH517" s="1">
        <v>1</v>
      </c>
      <c r="AI517" s="1" t="s">
        <v>2389</v>
      </c>
      <c r="AJ517" s="1" t="s">
        <v>216</v>
      </c>
      <c r="AK517" s="1" t="s">
        <v>238</v>
      </c>
      <c r="AM517" s="1">
        <v>1</v>
      </c>
      <c r="AV517" s="1">
        <v>1</v>
      </c>
      <c r="AX517" s="1">
        <v>0.25</v>
      </c>
      <c r="BE517" s="1" t="str">
        <f t="shared" si="32"/>
        <v>enemy_1161_tidmag</v>
      </c>
      <c r="BK517" s="1" t="s">
        <v>959</v>
      </c>
      <c r="BL517" s="1" t="s">
        <v>2390</v>
      </c>
      <c r="BN517" s="1" t="s">
        <v>217</v>
      </c>
      <c r="BO517" s="1" t="s">
        <v>218</v>
      </c>
      <c r="BP517" s="1" t="s">
        <v>239</v>
      </c>
      <c r="BQ517" s="1" t="s">
        <v>220</v>
      </c>
      <c r="BT517" s="1">
        <v>1</v>
      </c>
    </row>
    <row r="518" spans="1:72">
      <c r="A518" s="1" t="s">
        <v>2391</v>
      </c>
      <c r="B518" s="1" t="s">
        <v>213</v>
      </c>
      <c r="C518" s="1">
        <v>1</v>
      </c>
      <c r="D518" s="1" t="s">
        <v>2392</v>
      </c>
      <c r="E518" s="1">
        <v>1161</v>
      </c>
      <c r="F518" s="1" t="str">
        <f t="shared" si="33"/>
        <v>enemy_1161_tidmag_2</v>
      </c>
      <c r="G518" s="1">
        <v>1</v>
      </c>
      <c r="K518" s="1">
        <v>8000</v>
      </c>
      <c r="M518" s="1">
        <v>260</v>
      </c>
      <c r="O518" s="1">
        <v>220</v>
      </c>
      <c r="Q518" s="1">
        <v>60</v>
      </c>
      <c r="Y518" s="1">
        <v>0.05</v>
      </c>
      <c r="Z518" s="1">
        <v>2.5</v>
      </c>
      <c r="AA518" s="1">
        <v>2</v>
      </c>
      <c r="AB518" s="1">
        <v>0.7</v>
      </c>
      <c r="AG518" s="1">
        <v>0</v>
      </c>
      <c r="AH518" s="1">
        <v>1</v>
      </c>
      <c r="AI518" s="1" t="s">
        <v>2393</v>
      </c>
      <c r="AJ518" s="1" t="s">
        <v>216</v>
      </c>
      <c r="AK518" s="1" t="s">
        <v>238</v>
      </c>
      <c r="AM518" s="1">
        <v>1</v>
      </c>
      <c r="AV518" s="1">
        <v>1</v>
      </c>
      <c r="AX518" s="1">
        <v>0.25</v>
      </c>
      <c r="BE518" s="1" t="str">
        <f t="shared" si="32"/>
        <v>enemy_1161_tidmag_2</v>
      </c>
      <c r="BK518" s="1" t="s">
        <v>959</v>
      </c>
      <c r="BL518" s="1" t="s">
        <v>2394</v>
      </c>
      <c r="BN518" s="1" t="s">
        <v>217</v>
      </c>
      <c r="BO518" s="1" t="s">
        <v>218</v>
      </c>
      <c r="BP518" s="1" t="s">
        <v>239</v>
      </c>
      <c r="BQ518" s="1" t="s">
        <v>220</v>
      </c>
      <c r="BT518" s="1">
        <v>1</v>
      </c>
    </row>
    <row r="519" spans="1:72">
      <c r="A519" s="1" t="s">
        <v>2395</v>
      </c>
      <c r="B519" s="1" t="s">
        <v>213</v>
      </c>
      <c r="C519" s="1">
        <v>1</v>
      </c>
      <c r="D519" s="1" t="s">
        <v>2396</v>
      </c>
      <c r="E519" s="1">
        <v>1162</v>
      </c>
      <c r="F519" s="1" t="str">
        <f t="shared" si="33"/>
        <v>enemy_1162_magmot</v>
      </c>
      <c r="G519" s="1">
        <v>1</v>
      </c>
      <c r="K519" s="1">
        <v>12000</v>
      </c>
      <c r="M519" s="1">
        <v>300</v>
      </c>
      <c r="O519" s="1">
        <v>200</v>
      </c>
      <c r="Q519" s="1">
        <v>0</v>
      </c>
      <c r="Y519" s="1">
        <v>0.05</v>
      </c>
      <c r="Z519" s="1">
        <v>3.5</v>
      </c>
      <c r="AA519" s="1">
        <v>4</v>
      </c>
      <c r="AB519" s="1">
        <v>1.1</v>
      </c>
      <c r="AG519" s="1">
        <v>0</v>
      </c>
      <c r="AH519" s="1">
        <v>1</v>
      </c>
      <c r="AI519" s="1" t="s">
        <v>2397</v>
      </c>
      <c r="AJ519" s="1" t="s">
        <v>216</v>
      </c>
      <c r="AK519" s="1" t="s">
        <v>238</v>
      </c>
      <c r="AM519" s="1">
        <v>1</v>
      </c>
      <c r="AV519" s="1">
        <v>1</v>
      </c>
      <c r="AX519" s="1">
        <v>0.25</v>
      </c>
      <c r="BE519" s="1" t="str">
        <f t="shared" si="32"/>
        <v>enemy_1162_magmot</v>
      </c>
      <c r="BK519" s="1" t="s">
        <v>2398</v>
      </c>
      <c r="BL519" s="1" t="s">
        <v>2399</v>
      </c>
      <c r="BN519" s="1" t="s">
        <v>217</v>
      </c>
      <c r="BO519" s="1" t="s">
        <v>218</v>
      </c>
      <c r="BP519" s="1" t="s">
        <v>239</v>
      </c>
      <c r="BQ519" s="1" t="s">
        <v>220</v>
      </c>
      <c r="BT519" s="1">
        <v>1</v>
      </c>
    </row>
    <row r="520" spans="1:72">
      <c r="A520" s="1" t="s">
        <v>2400</v>
      </c>
      <c r="B520" s="1" t="s">
        <v>213</v>
      </c>
      <c r="C520" s="1">
        <v>1</v>
      </c>
      <c r="D520" s="1" t="s">
        <v>2401</v>
      </c>
      <c r="E520" s="1">
        <v>1162</v>
      </c>
      <c r="F520" s="1" t="str">
        <f t="shared" si="33"/>
        <v>enemy_1162_magmot_2</v>
      </c>
      <c r="G520" s="1">
        <v>1</v>
      </c>
      <c r="K520" s="1">
        <v>16000</v>
      </c>
      <c r="M520" s="1">
        <v>380</v>
      </c>
      <c r="O520" s="1">
        <v>220</v>
      </c>
      <c r="Q520" s="1">
        <v>0</v>
      </c>
      <c r="Y520" s="1">
        <v>0.05</v>
      </c>
      <c r="Z520" s="1">
        <v>3.5</v>
      </c>
      <c r="AA520" s="1">
        <v>4</v>
      </c>
      <c r="AB520" s="1">
        <v>1.1</v>
      </c>
      <c r="AG520" s="1">
        <v>0</v>
      </c>
      <c r="AH520" s="1">
        <v>1</v>
      </c>
      <c r="AI520" s="1" t="s">
        <v>2402</v>
      </c>
      <c r="AJ520" s="1" t="s">
        <v>216</v>
      </c>
      <c r="AK520" s="1" t="s">
        <v>238</v>
      </c>
      <c r="AM520" s="1">
        <v>1</v>
      </c>
      <c r="AV520" s="1">
        <v>1</v>
      </c>
      <c r="AX520" s="1">
        <v>0.25</v>
      </c>
      <c r="BE520" s="1" t="str">
        <f t="shared" si="32"/>
        <v>enemy_1162_magmot_2</v>
      </c>
      <c r="BK520" s="1" t="s">
        <v>2398</v>
      </c>
      <c r="BL520" s="1" t="s">
        <v>2403</v>
      </c>
      <c r="BN520" s="1" t="s">
        <v>217</v>
      </c>
      <c r="BO520" s="1" t="s">
        <v>218</v>
      </c>
      <c r="BP520" s="1" t="s">
        <v>239</v>
      </c>
      <c r="BQ520" s="1" t="s">
        <v>220</v>
      </c>
      <c r="BT520" s="1">
        <v>1</v>
      </c>
    </row>
    <row r="521" spans="1:72">
      <c r="A521" s="1" t="s">
        <v>2404</v>
      </c>
      <c r="B521" s="1" t="s">
        <v>213</v>
      </c>
      <c r="C521" s="1">
        <v>1</v>
      </c>
      <c r="D521" s="1" t="s">
        <v>2405</v>
      </c>
      <c r="E521" s="1">
        <v>1163</v>
      </c>
      <c r="F521" s="1" t="str">
        <f t="shared" si="33"/>
        <v>enemy_1163_hvymot</v>
      </c>
      <c r="G521" s="1">
        <v>1</v>
      </c>
      <c r="K521" s="1">
        <v>15000</v>
      </c>
      <c r="M521" s="1">
        <v>1000</v>
      </c>
      <c r="O521" s="1">
        <v>1000</v>
      </c>
      <c r="Q521" s="1">
        <v>0</v>
      </c>
      <c r="Y521" s="1">
        <v>0.05</v>
      </c>
      <c r="Z521" s="1">
        <v>5</v>
      </c>
      <c r="AA521" s="1">
        <v>4</v>
      </c>
      <c r="AB521" s="1">
        <v>1.2</v>
      </c>
      <c r="AG521" s="1">
        <v>0</v>
      </c>
      <c r="AH521" s="1">
        <v>1</v>
      </c>
      <c r="AI521" s="1" t="s">
        <v>2406</v>
      </c>
      <c r="AJ521" s="1" t="s">
        <v>216</v>
      </c>
      <c r="AK521" s="1" t="s">
        <v>238</v>
      </c>
      <c r="AM521" s="1">
        <v>1</v>
      </c>
      <c r="AV521" s="1">
        <v>1</v>
      </c>
      <c r="AX521" s="1">
        <v>0.25</v>
      </c>
      <c r="BE521" s="1" t="str">
        <f t="shared" si="32"/>
        <v>enemy_1163_hvymot</v>
      </c>
      <c r="BK521" s="1" t="s">
        <v>2407</v>
      </c>
      <c r="BL521" s="1" t="s">
        <v>2408</v>
      </c>
      <c r="BN521" s="1" t="s">
        <v>217</v>
      </c>
      <c r="BO521" s="1" t="s">
        <v>218</v>
      </c>
      <c r="BP521" s="1" t="s">
        <v>239</v>
      </c>
      <c r="BQ521" s="1" t="s">
        <v>220</v>
      </c>
      <c r="BT521" s="1">
        <v>1</v>
      </c>
    </row>
    <row r="522" spans="1:72">
      <c r="A522" s="1" t="s">
        <v>2409</v>
      </c>
      <c r="B522" s="1" t="s">
        <v>213</v>
      </c>
      <c r="C522" s="1">
        <v>1</v>
      </c>
      <c r="D522" s="1" t="s">
        <v>2410</v>
      </c>
      <c r="E522" s="1">
        <v>1163</v>
      </c>
      <c r="F522" s="1" t="str">
        <f t="shared" si="33"/>
        <v>enemy_1163_hvymot_2</v>
      </c>
      <c r="G522" s="1">
        <v>1</v>
      </c>
      <c r="K522" s="1">
        <v>20000</v>
      </c>
      <c r="M522" s="1">
        <v>1400</v>
      </c>
      <c r="O522" s="1">
        <v>1200</v>
      </c>
      <c r="Q522" s="1">
        <v>0</v>
      </c>
      <c r="Y522" s="1">
        <v>0.05</v>
      </c>
      <c r="Z522" s="1">
        <v>5</v>
      </c>
      <c r="AA522" s="1">
        <v>4</v>
      </c>
      <c r="AB522" s="1">
        <v>1.2</v>
      </c>
      <c r="AG522" s="1">
        <v>0</v>
      </c>
      <c r="AH522" s="1">
        <v>1</v>
      </c>
      <c r="AI522" s="1" t="s">
        <v>2411</v>
      </c>
      <c r="AJ522" s="1" t="s">
        <v>216</v>
      </c>
      <c r="AK522" s="1" t="s">
        <v>238</v>
      </c>
      <c r="AM522" s="1">
        <v>1</v>
      </c>
      <c r="AV522" s="1">
        <v>1</v>
      </c>
      <c r="AX522" s="1">
        <v>0.25</v>
      </c>
      <c r="BE522" s="1" t="str">
        <f t="shared" si="32"/>
        <v>enemy_1163_hvymot_2</v>
      </c>
      <c r="BK522" s="1" t="s">
        <v>2407</v>
      </c>
      <c r="BL522" s="1" t="s">
        <v>2412</v>
      </c>
      <c r="BN522" s="1" t="s">
        <v>217</v>
      </c>
      <c r="BO522" s="1" t="s">
        <v>218</v>
      </c>
      <c r="BP522" s="1" t="s">
        <v>239</v>
      </c>
      <c r="BQ522" s="1" t="s">
        <v>220</v>
      </c>
      <c r="BT522" s="1">
        <v>1</v>
      </c>
    </row>
    <row r="523" spans="1:72">
      <c r="A523" s="1" t="s">
        <v>2413</v>
      </c>
      <c r="B523" s="1" t="s">
        <v>213</v>
      </c>
      <c r="C523" s="1">
        <v>1</v>
      </c>
      <c r="D523" s="1" t="s">
        <v>2414</v>
      </c>
      <c r="E523" s="1">
        <v>1164</v>
      </c>
      <c r="F523" s="1" t="s">
        <v>2413</v>
      </c>
      <c r="G523" s="1">
        <v>1</v>
      </c>
      <c r="K523" s="1">
        <v>8000</v>
      </c>
      <c r="M523" s="1">
        <v>300</v>
      </c>
      <c r="O523" s="1">
        <v>300</v>
      </c>
      <c r="Q523" s="1">
        <v>0</v>
      </c>
      <c r="Y523" s="1">
        <v>0.05</v>
      </c>
      <c r="Z523" s="1">
        <v>1</v>
      </c>
      <c r="AA523" s="1">
        <v>3</v>
      </c>
      <c r="AB523" s="1">
        <v>1.2</v>
      </c>
      <c r="AG523" s="1">
        <v>0</v>
      </c>
      <c r="AH523" s="1">
        <v>1</v>
      </c>
      <c r="AI523" s="1" t="s">
        <v>2415</v>
      </c>
      <c r="AJ523" s="1" t="s">
        <v>216</v>
      </c>
      <c r="AK523" s="1" t="s">
        <v>238</v>
      </c>
      <c r="AM523" s="1">
        <v>1</v>
      </c>
      <c r="AV523" s="1">
        <v>1</v>
      </c>
      <c r="AX523" s="1">
        <v>0.25</v>
      </c>
      <c r="BE523" s="1" t="str">
        <f t="shared" si="32"/>
        <v>enemy_1164_bmbmot</v>
      </c>
      <c r="BK523" s="1" t="s">
        <v>2125</v>
      </c>
      <c r="BL523" s="1" t="s">
        <v>2416</v>
      </c>
      <c r="BN523" s="1" t="s">
        <v>217</v>
      </c>
      <c r="BO523" s="1" t="s">
        <v>218</v>
      </c>
      <c r="BP523" s="1" t="s">
        <v>239</v>
      </c>
      <c r="BQ523" s="1" t="s">
        <v>220</v>
      </c>
      <c r="BT523" s="1">
        <v>1</v>
      </c>
    </row>
    <row r="524" spans="1:72">
      <c r="A524" s="1" t="s">
        <v>2417</v>
      </c>
      <c r="B524" s="1" t="s">
        <v>213</v>
      </c>
      <c r="C524" s="1">
        <v>1</v>
      </c>
      <c r="D524" s="1" t="s">
        <v>2418</v>
      </c>
      <c r="E524" s="1">
        <v>1164</v>
      </c>
      <c r="F524" s="1" t="str">
        <f t="shared" ref="F524:F587" si="34">"enemy_"&amp;E524&amp;"_"&amp;D524</f>
        <v>enemy_1164_bmbmot_2</v>
      </c>
      <c r="G524" s="1">
        <v>1</v>
      </c>
      <c r="K524" s="1">
        <v>10000</v>
      </c>
      <c r="M524" s="1">
        <v>400</v>
      </c>
      <c r="O524" s="1">
        <v>400</v>
      </c>
      <c r="Q524" s="1">
        <v>0</v>
      </c>
      <c r="Y524" s="1">
        <v>0.05</v>
      </c>
      <c r="Z524" s="1">
        <v>1</v>
      </c>
      <c r="AA524" s="1">
        <v>3</v>
      </c>
      <c r="AB524" s="1">
        <v>1.2</v>
      </c>
      <c r="AG524" s="1">
        <v>0</v>
      </c>
      <c r="AH524" s="1">
        <v>1</v>
      </c>
      <c r="AI524" s="1" t="s">
        <v>2419</v>
      </c>
      <c r="AJ524" s="1" t="s">
        <v>216</v>
      </c>
      <c r="AK524" s="1" t="s">
        <v>238</v>
      </c>
      <c r="AM524" s="1">
        <v>1</v>
      </c>
      <c r="AV524" s="1">
        <v>1</v>
      </c>
      <c r="AX524" s="1">
        <v>0.25</v>
      </c>
      <c r="BE524" s="1" t="str">
        <f t="shared" si="32"/>
        <v>enemy_1164_bmbmot_2</v>
      </c>
      <c r="BK524" s="1" t="s">
        <v>2125</v>
      </c>
      <c r="BL524" s="1" t="s">
        <v>2420</v>
      </c>
      <c r="BN524" s="1" t="s">
        <v>217</v>
      </c>
      <c r="BO524" s="1" t="s">
        <v>218</v>
      </c>
      <c r="BP524" s="1" t="s">
        <v>239</v>
      </c>
      <c r="BQ524" s="1" t="s">
        <v>220</v>
      </c>
      <c r="BT524" s="1">
        <v>1</v>
      </c>
    </row>
    <row r="525" spans="1:72">
      <c r="A525" s="1" t="s">
        <v>2421</v>
      </c>
      <c r="B525" s="1" t="s">
        <v>213</v>
      </c>
      <c r="C525" s="1">
        <v>1</v>
      </c>
      <c r="D525" s="1" t="s">
        <v>2422</v>
      </c>
      <c r="E525" s="1">
        <v>1164</v>
      </c>
      <c r="F525" s="1" t="str">
        <f t="shared" si="34"/>
        <v>enemy_1164_bmbmot_3</v>
      </c>
      <c r="G525" s="1">
        <v>1</v>
      </c>
      <c r="K525" s="1">
        <v>8000</v>
      </c>
      <c r="M525" s="1">
        <v>300</v>
      </c>
      <c r="O525" s="1">
        <v>300</v>
      </c>
      <c r="Q525" s="1">
        <v>0</v>
      </c>
      <c r="Y525" s="1">
        <v>0.05</v>
      </c>
      <c r="Z525" s="1">
        <v>1</v>
      </c>
      <c r="AA525" s="1">
        <v>3</v>
      </c>
      <c r="AB525" s="1">
        <v>1.2</v>
      </c>
      <c r="AG525" s="1">
        <v>0</v>
      </c>
      <c r="AH525" s="1">
        <v>1</v>
      </c>
      <c r="AI525" s="1" t="s">
        <v>2423</v>
      </c>
      <c r="AJ525" s="1" t="s">
        <v>216</v>
      </c>
      <c r="AK525" s="1" t="s">
        <v>238</v>
      </c>
      <c r="AM525" s="1">
        <v>1</v>
      </c>
      <c r="AV525" s="1">
        <v>1</v>
      </c>
      <c r="AX525" s="1">
        <v>0.25</v>
      </c>
      <c r="BE525" s="1" t="str">
        <f t="shared" si="32"/>
        <v>enemy_1164_bmbmot_3</v>
      </c>
      <c r="BK525" s="1" t="s">
        <v>2125</v>
      </c>
      <c r="BL525" s="1" t="s">
        <v>2424</v>
      </c>
      <c r="BN525" s="1" t="s">
        <v>217</v>
      </c>
      <c r="BO525" s="1" t="s">
        <v>218</v>
      </c>
      <c r="BP525" s="1" t="s">
        <v>239</v>
      </c>
      <c r="BQ525" s="1" t="s">
        <v>220</v>
      </c>
      <c r="BT525" s="1">
        <v>1</v>
      </c>
    </row>
    <row r="526" spans="1:72">
      <c r="A526" s="1" t="s">
        <v>2425</v>
      </c>
      <c r="B526" s="1" t="s">
        <v>213</v>
      </c>
      <c r="C526" s="1">
        <v>1</v>
      </c>
      <c r="D526" s="1" t="s">
        <v>2426</v>
      </c>
      <c r="E526" s="1">
        <v>3003</v>
      </c>
      <c r="F526" s="1" t="str">
        <f t="shared" si="34"/>
        <v>enemy_3003_alymot</v>
      </c>
      <c r="G526" s="1">
        <v>1</v>
      </c>
      <c r="K526" s="1">
        <v>2000</v>
      </c>
      <c r="M526" s="1">
        <v>100</v>
      </c>
      <c r="O526" s="1">
        <v>100</v>
      </c>
      <c r="Q526" s="1">
        <v>0</v>
      </c>
      <c r="Y526" s="1">
        <v>0.05</v>
      </c>
      <c r="Z526" s="1">
        <v>1</v>
      </c>
      <c r="AA526" s="1">
        <v>4</v>
      </c>
      <c r="AB526" s="1">
        <v>0.65</v>
      </c>
      <c r="AG526" s="1">
        <v>1</v>
      </c>
      <c r="AH526" s="1">
        <v>1</v>
      </c>
      <c r="AI526" s="1" t="s">
        <v>2427</v>
      </c>
      <c r="AJ526" s="1" t="s">
        <v>216</v>
      </c>
      <c r="AK526" s="1" t="s">
        <v>238</v>
      </c>
      <c r="AM526" s="1">
        <v>1</v>
      </c>
      <c r="AV526" s="1">
        <v>1</v>
      </c>
      <c r="AX526" s="1">
        <v>0.25</v>
      </c>
      <c r="BE526" s="1" t="str">
        <f t="shared" si="32"/>
        <v>enemy_3003_alymot</v>
      </c>
      <c r="BK526" s="1" t="s">
        <v>1965</v>
      </c>
      <c r="BL526" s="1" t="s">
        <v>2428</v>
      </c>
      <c r="BN526" s="1" t="s">
        <v>217</v>
      </c>
      <c r="BO526" s="1" t="s">
        <v>218</v>
      </c>
      <c r="BP526" s="1" t="s">
        <v>239</v>
      </c>
      <c r="BQ526" s="1" t="s">
        <v>220</v>
      </c>
      <c r="BT526" s="1">
        <v>1</v>
      </c>
    </row>
    <row r="527" spans="1:72">
      <c r="A527" s="1" t="s">
        <v>2429</v>
      </c>
      <c r="B527" s="1" t="s">
        <v>213</v>
      </c>
      <c r="C527" s="1">
        <v>1</v>
      </c>
      <c r="D527" s="1" t="s">
        <v>2430</v>
      </c>
      <c r="E527" s="1">
        <v>1522</v>
      </c>
      <c r="F527" s="1" t="str">
        <f t="shared" si="34"/>
        <v>enemy_1522_captan</v>
      </c>
      <c r="G527" s="1">
        <v>1</v>
      </c>
      <c r="K527" s="1">
        <v>27000</v>
      </c>
      <c r="M527" s="1">
        <v>1000</v>
      </c>
      <c r="O527" s="1">
        <v>750</v>
      </c>
      <c r="Q527" s="1">
        <v>30</v>
      </c>
      <c r="Y527" s="1">
        <v>0.05</v>
      </c>
      <c r="Z527" s="1">
        <v>4</v>
      </c>
      <c r="AA527" s="1">
        <v>7</v>
      </c>
      <c r="AB527" s="1">
        <v>1</v>
      </c>
      <c r="AG527" s="1">
        <v>0</v>
      </c>
      <c r="AH527" s="1">
        <v>1</v>
      </c>
      <c r="AI527" s="1" t="s">
        <v>2431</v>
      </c>
      <c r="AJ527" s="1" t="s">
        <v>216</v>
      </c>
      <c r="AK527" s="1" t="s">
        <v>238</v>
      </c>
      <c r="AM527" s="1">
        <v>1</v>
      </c>
      <c r="AV527" s="1">
        <v>1</v>
      </c>
      <c r="AX527" s="1">
        <v>0.25</v>
      </c>
      <c r="BE527" s="1" t="str">
        <f t="shared" si="32"/>
        <v>enemy_1522_captan</v>
      </c>
      <c r="BK527" s="1" t="s">
        <v>1342</v>
      </c>
      <c r="BL527" s="1" t="s">
        <v>2432</v>
      </c>
      <c r="BN527" s="1" t="s">
        <v>2034</v>
      </c>
      <c r="BO527" s="1" t="s">
        <v>2035</v>
      </c>
      <c r="BP527" s="1" t="s">
        <v>2036</v>
      </c>
      <c r="BQ527" s="1" t="s">
        <v>2037</v>
      </c>
      <c r="BT527" s="1">
        <v>1</v>
      </c>
    </row>
    <row r="528" spans="1:72">
      <c r="A528" s="1" t="s">
        <v>2433</v>
      </c>
      <c r="B528" s="1" t="s">
        <v>213</v>
      </c>
      <c r="C528" s="1">
        <v>1</v>
      </c>
      <c r="D528" s="1" t="s">
        <v>2434</v>
      </c>
      <c r="E528" s="1">
        <v>1165</v>
      </c>
      <c r="F528" s="1" t="str">
        <f t="shared" si="34"/>
        <v>enemy_1165_duhond</v>
      </c>
      <c r="G528" s="1">
        <v>1</v>
      </c>
      <c r="K528" s="1">
        <v>2800</v>
      </c>
      <c r="M528" s="1">
        <v>300</v>
      </c>
      <c r="O528" s="1">
        <v>0</v>
      </c>
      <c r="Q528" s="1">
        <v>0</v>
      </c>
      <c r="Y528" s="1">
        <v>0.05</v>
      </c>
      <c r="Z528" s="1">
        <v>1.4</v>
      </c>
      <c r="AA528" s="1">
        <v>0</v>
      </c>
      <c r="AB528" s="1">
        <v>1.7</v>
      </c>
      <c r="AG528" s="1">
        <v>0</v>
      </c>
      <c r="AH528" s="1">
        <v>1</v>
      </c>
      <c r="AI528" s="1" t="s">
        <v>2435</v>
      </c>
      <c r="AJ528" s="1" t="s">
        <v>216</v>
      </c>
      <c r="AK528" s="1" t="s">
        <v>238</v>
      </c>
      <c r="AM528" s="1">
        <v>1</v>
      </c>
      <c r="AV528" s="1">
        <v>1</v>
      </c>
      <c r="AX528" s="1">
        <v>0.25</v>
      </c>
      <c r="BE528" s="1" t="str">
        <f t="shared" si="32"/>
        <v>enemy_1165_duhond</v>
      </c>
      <c r="BK528" s="1" t="s">
        <v>953</v>
      </c>
      <c r="BL528" s="1" t="s">
        <v>2436</v>
      </c>
      <c r="BN528" s="1" t="s">
        <v>217</v>
      </c>
      <c r="BO528" s="1" t="s">
        <v>218</v>
      </c>
      <c r="BP528" s="1" t="s">
        <v>249</v>
      </c>
      <c r="BQ528" s="1" t="s">
        <v>220</v>
      </c>
      <c r="BT528" s="1">
        <v>1</v>
      </c>
    </row>
    <row r="529" spans="1:72">
      <c r="A529" s="1" t="s">
        <v>2437</v>
      </c>
      <c r="B529" s="1" t="s">
        <v>213</v>
      </c>
      <c r="C529" s="1">
        <v>1</v>
      </c>
      <c r="D529" s="1" t="s">
        <v>2438</v>
      </c>
      <c r="E529" s="1">
        <v>1165</v>
      </c>
      <c r="F529" s="1" t="str">
        <f t="shared" si="34"/>
        <v>enemy_1165_duhond_2</v>
      </c>
      <c r="G529" s="1">
        <v>1</v>
      </c>
      <c r="K529" s="1">
        <v>4000</v>
      </c>
      <c r="M529" s="1">
        <v>380</v>
      </c>
      <c r="O529" s="1">
        <v>0</v>
      </c>
      <c r="Q529" s="1">
        <v>0</v>
      </c>
      <c r="Y529" s="1">
        <v>0.05</v>
      </c>
      <c r="Z529" s="1">
        <v>1.4</v>
      </c>
      <c r="AA529" s="1">
        <v>0</v>
      </c>
      <c r="AB529" s="1">
        <v>1.7</v>
      </c>
      <c r="AG529" s="1">
        <v>0</v>
      </c>
      <c r="AH529" s="1">
        <v>1</v>
      </c>
      <c r="AI529" s="1" t="s">
        <v>2439</v>
      </c>
      <c r="AJ529" s="1" t="s">
        <v>216</v>
      </c>
      <c r="AK529" s="1" t="s">
        <v>238</v>
      </c>
      <c r="AM529" s="1">
        <v>1</v>
      </c>
      <c r="AV529" s="1">
        <v>1</v>
      </c>
      <c r="AX529" s="1">
        <v>0.25</v>
      </c>
      <c r="BE529" s="1" t="str">
        <f t="shared" si="32"/>
        <v>enemy_1165_duhond_2</v>
      </c>
      <c r="BK529" s="1" t="s">
        <v>953</v>
      </c>
      <c r="BL529" s="1" t="s">
        <v>2440</v>
      </c>
      <c r="BN529" s="1" t="s">
        <v>217</v>
      </c>
      <c r="BO529" s="1" t="s">
        <v>218</v>
      </c>
      <c r="BP529" s="1" t="s">
        <v>249</v>
      </c>
      <c r="BQ529" s="1" t="s">
        <v>220</v>
      </c>
      <c r="BT529" s="1">
        <v>1</v>
      </c>
    </row>
    <row r="530" spans="1:72">
      <c r="A530" s="1" t="s">
        <v>2441</v>
      </c>
      <c r="B530" s="1" t="s">
        <v>213</v>
      </c>
      <c r="C530" s="1">
        <v>1</v>
      </c>
      <c r="D530" s="1" t="s">
        <v>2442</v>
      </c>
      <c r="E530" s="1">
        <v>1166</v>
      </c>
      <c r="F530" s="1" t="str">
        <f t="shared" si="34"/>
        <v>enemy_1166_dusbr</v>
      </c>
      <c r="G530" s="1">
        <v>1</v>
      </c>
      <c r="K530" s="1">
        <v>3000</v>
      </c>
      <c r="M530" s="1">
        <v>280</v>
      </c>
      <c r="O530" s="1">
        <v>110</v>
      </c>
      <c r="Q530" s="1">
        <v>0</v>
      </c>
      <c r="Y530" s="1">
        <v>0.05</v>
      </c>
      <c r="Z530" s="1">
        <v>2</v>
      </c>
      <c r="AA530" s="1">
        <v>1</v>
      </c>
      <c r="AB530" s="1">
        <v>1</v>
      </c>
      <c r="AG530" s="1">
        <v>0</v>
      </c>
      <c r="AH530" s="1">
        <v>1</v>
      </c>
      <c r="AI530" s="1" t="s">
        <v>2443</v>
      </c>
      <c r="AJ530" s="1" t="s">
        <v>216</v>
      </c>
      <c r="AK530" s="1" t="s">
        <v>238</v>
      </c>
      <c r="AM530" s="1">
        <v>1</v>
      </c>
      <c r="AV530" s="1">
        <v>1</v>
      </c>
      <c r="AX530" s="1">
        <v>0.25</v>
      </c>
      <c r="BE530" s="1" t="str">
        <f t="shared" si="32"/>
        <v>enemy_1166_dusbr</v>
      </c>
      <c r="BK530" s="1" t="s">
        <v>953</v>
      </c>
      <c r="BL530" s="1" t="s">
        <v>2444</v>
      </c>
      <c r="BN530" s="1" t="s">
        <v>217</v>
      </c>
      <c r="BO530" s="1" t="s">
        <v>218</v>
      </c>
      <c r="BP530" s="1" t="s">
        <v>239</v>
      </c>
      <c r="BQ530" s="1" t="s">
        <v>220</v>
      </c>
      <c r="BT530" s="1">
        <v>1</v>
      </c>
    </row>
    <row r="531" spans="1:72">
      <c r="A531" s="1" t="s">
        <v>2445</v>
      </c>
      <c r="B531" s="1" t="s">
        <v>213</v>
      </c>
      <c r="C531" s="1">
        <v>1</v>
      </c>
      <c r="D531" s="1" t="s">
        <v>2446</v>
      </c>
      <c r="E531" s="1">
        <v>1166</v>
      </c>
      <c r="F531" s="1" t="str">
        <f t="shared" si="34"/>
        <v>enemy_1166_dusbr_2</v>
      </c>
      <c r="G531" s="1">
        <v>1</v>
      </c>
      <c r="K531" s="1">
        <v>4400</v>
      </c>
      <c r="M531" s="1">
        <v>380</v>
      </c>
      <c r="O531" s="1">
        <v>180</v>
      </c>
      <c r="Q531" s="1">
        <v>0</v>
      </c>
      <c r="Y531" s="1">
        <v>0.05</v>
      </c>
      <c r="Z531" s="1">
        <v>2</v>
      </c>
      <c r="AA531" s="1">
        <v>1</v>
      </c>
      <c r="AB531" s="1">
        <v>1</v>
      </c>
      <c r="AG531" s="1">
        <v>0</v>
      </c>
      <c r="AH531" s="1">
        <v>1</v>
      </c>
      <c r="AI531" s="1" t="s">
        <v>2447</v>
      </c>
      <c r="AJ531" s="1" t="s">
        <v>216</v>
      </c>
      <c r="AK531" s="1" t="s">
        <v>238</v>
      </c>
      <c r="AM531" s="1">
        <v>1</v>
      </c>
      <c r="AV531" s="1">
        <v>1</v>
      </c>
      <c r="AX531" s="1">
        <v>0.25</v>
      </c>
      <c r="BE531" s="1" t="str">
        <f t="shared" si="32"/>
        <v>enemy_1166_dusbr_2</v>
      </c>
      <c r="BK531" s="1" t="s">
        <v>953</v>
      </c>
      <c r="BL531" s="1" t="s">
        <v>2448</v>
      </c>
      <c r="BN531" s="1" t="s">
        <v>217</v>
      </c>
      <c r="BO531" s="1" t="s">
        <v>218</v>
      </c>
      <c r="BP531" s="1" t="s">
        <v>239</v>
      </c>
      <c r="BQ531" s="1" t="s">
        <v>220</v>
      </c>
      <c r="BT531" s="1">
        <v>1</v>
      </c>
    </row>
    <row r="532" spans="1:72">
      <c r="A532" s="1" t="s">
        <v>2449</v>
      </c>
      <c r="B532" s="1" t="s">
        <v>213</v>
      </c>
      <c r="C532" s="1">
        <v>1</v>
      </c>
      <c r="D532" s="1" t="s">
        <v>2450</v>
      </c>
      <c r="E532" s="1">
        <v>1167</v>
      </c>
      <c r="F532" s="1" t="str">
        <f t="shared" si="34"/>
        <v>enemy_1167_dubow</v>
      </c>
      <c r="G532" s="1">
        <v>1</v>
      </c>
      <c r="K532" s="1">
        <v>3800</v>
      </c>
      <c r="M532" s="1">
        <v>250</v>
      </c>
      <c r="O532" s="1">
        <v>150</v>
      </c>
      <c r="Q532" s="1">
        <v>0</v>
      </c>
      <c r="Y532" s="1">
        <v>0.05</v>
      </c>
      <c r="Z532" s="1">
        <v>2.3</v>
      </c>
      <c r="AA532" s="1">
        <v>1</v>
      </c>
      <c r="AB532" s="1">
        <v>1.1</v>
      </c>
      <c r="AG532" s="1">
        <v>0</v>
      </c>
      <c r="AH532" s="1">
        <v>1</v>
      </c>
      <c r="AI532" s="1" t="s">
        <v>2451</v>
      </c>
      <c r="AJ532" s="1" t="s">
        <v>216</v>
      </c>
      <c r="AK532" s="1" t="s">
        <v>238</v>
      </c>
      <c r="AM532" s="1">
        <v>1</v>
      </c>
      <c r="AV532" s="1">
        <v>1</v>
      </c>
      <c r="AX532" s="1">
        <v>0.25</v>
      </c>
      <c r="BE532" s="1" t="str">
        <f t="shared" si="32"/>
        <v>enemy_1167_dubow</v>
      </c>
      <c r="BK532" s="1" t="s">
        <v>959</v>
      </c>
      <c r="BL532" s="1" t="s">
        <v>2452</v>
      </c>
      <c r="BN532" s="1" t="s">
        <v>217</v>
      </c>
      <c r="BO532" s="1" t="s">
        <v>218</v>
      </c>
      <c r="BP532" s="1" t="s">
        <v>239</v>
      </c>
      <c r="BQ532" s="1" t="s">
        <v>220</v>
      </c>
      <c r="BT532" s="1">
        <v>1</v>
      </c>
    </row>
    <row r="533" spans="1:72">
      <c r="A533" s="1" t="s">
        <v>2453</v>
      </c>
      <c r="B533" s="1" t="s">
        <v>213</v>
      </c>
      <c r="C533" s="1">
        <v>1</v>
      </c>
      <c r="D533" s="1" t="s">
        <v>2454</v>
      </c>
      <c r="E533" s="1">
        <v>1167</v>
      </c>
      <c r="F533" s="1" t="str">
        <f t="shared" si="34"/>
        <v>enemy_1167_dubow_2</v>
      </c>
      <c r="G533" s="1">
        <v>1</v>
      </c>
      <c r="K533" s="1">
        <v>5000</v>
      </c>
      <c r="M533" s="1">
        <v>380</v>
      </c>
      <c r="O533" s="1">
        <v>150</v>
      </c>
      <c r="Q533" s="1">
        <v>0</v>
      </c>
      <c r="Y533" s="1">
        <v>0.05</v>
      </c>
      <c r="Z533" s="1">
        <v>2.3</v>
      </c>
      <c r="AA533" s="1">
        <v>1</v>
      </c>
      <c r="AB533" s="1">
        <v>1.1</v>
      </c>
      <c r="AG533" s="1">
        <v>0</v>
      </c>
      <c r="AH533" s="1">
        <v>1</v>
      </c>
      <c r="AI533" s="1" t="s">
        <v>2455</v>
      </c>
      <c r="AJ533" s="1" t="s">
        <v>216</v>
      </c>
      <c r="AK533" s="1" t="s">
        <v>238</v>
      </c>
      <c r="AM533" s="1">
        <v>1</v>
      </c>
      <c r="AV533" s="1">
        <v>1</v>
      </c>
      <c r="AX533" s="1">
        <v>0.25</v>
      </c>
      <c r="BE533" s="1" t="str">
        <f t="shared" si="32"/>
        <v>enemy_1167_dubow_2</v>
      </c>
      <c r="BK533" s="1" t="s">
        <v>959</v>
      </c>
      <c r="BL533" s="1" t="s">
        <v>2456</v>
      </c>
      <c r="BN533" s="1" t="s">
        <v>217</v>
      </c>
      <c r="BO533" s="1" t="s">
        <v>218</v>
      </c>
      <c r="BP533" s="1" t="s">
        <v>239</v>
      </c>
      <c r="BQ533" s="1" t="s">
        <v>220</v>
      </c>
      <c r="BT533" s="1">
        <v>1</v>
      </c>
    </row>
    <row r="534" spans="1:72">
      <c r="A534" s="1" t="s">
        <v>2457</v>
      </c>
      <c r="B534" s="1" t="s">
        <v>213</v>
      </c>
      <c r="C534" s="1">
        <v>1</v>
      </c>
      <c r="D534" s="1" t="s">
        <v>2458</v>
      </c>
      <c r="E534" s="1">
        <v>1168</v>
      </c>
      <c r="F534" s="1" t="str">
        <f t="shared" si="34"/>
        <v>enemy_1168_dumage</v>
      </c>
      <c r="G534" s="1">
        <v>1</v>
      </c>
      <c r="K534" s="1">
        <v>4500</v>
      </c>
      <c r="M534" s="1">
        <v>300</v>
      </c>
      <c r="O534" s="1">
        <v>150</v>
      </c>
      <c r="Q534" s="1">
        <v>20</v>
      </c>
      <c r="Y534" s="1">
        <v>0.05</v>
      </c>
      <c r="Z534" s="1">
        <v>3</v>
      </c>
      <c r="AA534" s="1">
        <v>1</v>
      </c>
      <c r="AB534" s="1">
        <v>1.1</v>
      </c>
      <c r="AG534" s="1">
        <v>0</v>
      </c>
      <c r="AH534" s="1">
        <v>1</v>
      </c>
      <c r="AI534" s="1" t="s">
        <v>2459</v>
      </c>
      <c r="AJ534" s="1" t="s">
        <v>216</v>
      </c>
      <c r="AK534" s="1" t="s">
        <v>238</v>
      </c>
      <c r="AM534" s="1">
        <v>1</v>
      </c>
      <c r="AV534" s="1">
        <v>1</v>
      </c>
      <c r="AX534" s="1">
        <v>0.25</v>
      </c>
      <c r="BE534" s="1" t="str">
        <f t="shared" si="32"/>
        <v>enemy_1168_dumage</v>
      </c>
      <c r="BK534" s="1" t="s">
        <v>959</v>
      </c>
      <c r="BL534" s="1" t="s">
        <v>2460</v>
      </c>
      <c r="BN534" s="1" t="s">
        <v>217</v>
      </c>
      <c r="BO534" s="1" t="s">
        <v>218</v>
      </c>
      <c r="BP534" s="1" t="s">
        <v>239</v>
      </c>
      <c r="BQ534" s="1" t="s">
        <v>220</v>
      </c>
      <c r="BT534" s="1">
        <v>1</v>
      </c>
    </row>
    <row r="535" spans="1:72">
      <c r="A535" s="1" t="s">
        <v>2461</v>
      </c>
      <c r="B535" s="1" t="s">
        <v>213</v>
      </c>
      <c r="C535" s="1">
        <v>1</v>
      </c>
      <c r="D535" s="1" t="s">
        <v>2462</v>
      </c>
      <c r="E535" s="1">
        <v>1168</v>
      </c>
      <c r="F535" s="1" t="str">
        <f t="shared" si="34"/>
        <v>enemy_1168_dumage_2</v>
      </c>
      <c r="G535" s="1">
        <v>1</v>
      </c>
      <c r="K535" s="1">
        <v>6500</v>
      </c>
      <c r="M535" s="1">
        <v>460</v>
      </c>
      <c r="O535" s="1">
        <v>150</v>
      </c>
      <c r="Q535" s="1">
        <v>20</v>
      </c>
      <c r="Y535" s="1">
        <v>0.05</v>
      </c>
      <c r="Z535" s="1">
        <v>3</v>
      </c>
      <c r="AA535" s="1">
        <v>1</v>
      </c>
      <c r="AB535" s="1">
        <v>1.1</v>
      </c>
      <c r="AG535" s="1">
        <v>0</v>
      </c>
      <c r="AH535" s="1">
        <v>1</v>
      </c>
      <c r="AI535" s="1" t="s">
        <v>2463</v>
      </c>
      <c r="AJ535" s="1" t="s">
        <v>216</v>
      </c>
      <c r="AK535" s="1" t="s">
        <v>238</v>
      </c>
      <c r="AM535" s="1">
        <v>1</v>
      </c>
      <c r="AV535" s="1">
        <v>1</v>
      </c>
      <c r="AX535" s="1">
        <v>0.25</v>
      </c>
      <c r="BE535" s="1" t="str">
        <f t="shared" si="32"/>
        <v>enemy_1168_dumage_2</v>
      </c>
      <c r="BK535" s="1" t="s">
        <v>959</v>
      </c>
      <c r="BL535" s="1" t="s">
        <v>2464</v>
      </c>
      <c r="BN535" s="1" t="s">
        <v>217</v>
      </c>
      <c r="BO535" s="1" t="s">
        <v>218</v>
      </c>
      <c r="BP535" s="1" t="s">
        <v>239</v>
      </c>
      <c r="BQ535" s="1" t="s">
        <v>220</v>
      </c>
      <c r="BT535" s="1">
        <v>1</v>
      </c>
    </row>
    <row r="536" spans="1:72">
      <c r="A536" s="1" t="s">
        <v>2465</v>
      </c>
      <c r="B536" s="1" t="s">
        <v>213</v>
      </c>
      <c r="C536" s="1">
        <v>1</v>
      </c>
      <c r="D536" s="1" t="s">
        <v>2466</v>
      </c>
      <c r="E536" s="1">
        <v>1169</v>
      </c>
      <c r="F536" s="1" t="str">
        <f t="shared" si="34"/>
        <v>enemy_1169_duphlx</v>
      </c>
      <c r="G536" s="1">
        <v>1</v>
      </c>
      <c r="K536" s="1">
        <v>4000</v>
      </c>
      <c r="M536" s="1">
        <v>300</v>
      </c>
      <c r="O536" s="1">
        <v>300</v>
      </c>
      <c r="Q536" s="1">
        <v>0</v>
      </c>
      <c r="Y536" s="1">
        <v>0.05</v>
      </c>
      <c r="Z536" s="1">
        <v>2.5</v>
      </c>
      <c r="AA536" s="1">
        <v>2</v>
      </c>
      <c r="AB536" s="1">
        <v>1</v>
      </c>
      <c r="AG536" s="1">
        <v>0</v>
      </c>
      <c r="AH536" s="1">
        <v>1</v>
      </c>
      <c r="AI536" s="1" t="s">
        <v>2467</v>
      </c>
      <c r="AJ536" s="1" t="s">
        <v>216</v>
      </c>
      <c r="AK536" s="1" t="s">
        <v>238</v>
      </c>
      <c r="AM536" s="1">
        <v>1</v>
      </c>
      <c r="AV536" s="1">
        <v>1</v>
      </c>
      <c r="AX536" s="1">
        <v>0.25</v>
      </c>
      <c r="BE536" s="1" t="str">
        <f t="shared" si="32"/>
        <v>enemy_1169_duphlx</v>
      </c>
      <c r="BK536" s="1" t="s">
        <v>953</v>
      </c>
      <c r="BL536" s="1" t="s">
        <v>2468</v>
      </c>
      <c r="BN536" s="1" t="s">
        <v>217</v>
      </c>
      <c r="BO536" s="1" t="s">
        <v>218</v>
      </c>
      <c r="BP536" s="1" t="s">
        <v>239</v>
      </c>
      <c r="BQ536" s="1" t="s">
        <v>220</v>
      </c>
      <c r="BT536" s="1">
        <v>1</v>
      </c>
    </row>
    <row r="537" spans="1:72">
      <c r="A537" s="1" t="s">
        <v>2469</v>
      </c>
      <c r="B537" s="1" t="s">
        <v>213</v>
      </c>
      <c r="C537" s="1">
        <v>1</v>
      </c>
      <c r="D537" s="1" t="s">
        <v>2470</v>
      </c>
      <c r="E537" s="1">
        <v>1169</v>
      </c>
      <c r="F537" s="1" t="str">
        <f t="shared" si="34"/>
        <v>enemy_1169_duphlx_2</v>
      </c>
      <c r="G537" s="1">
        <v>1</v>
      </c>
      <c r="K537" s="1">
        <v>6000</v>
      </c>
      <c r="M537" s="1">
        <v>450</v>
      </c>
      <c r="O537" s="1">
        <v>400</v>
      </c>
      <c r="Q537" s="1">
        <v>0</v>
      </c>
      <c r="Y537" s="1">
        <v>0.05</v>
      </c>
      <c r="Z537" s="1">
        <v>2.5</v>
      </c>
      <c r="AA537" s="1">
        <v>2</v>
      </c>
      <c r="AB537" s="1">
        <v>1</v>
      </c>
      <c r="AG537" s="1">
        <v>0</v>
      </c>
      <c r="AH537" s="1">
        <v>1</v>
      </c>
      <c r="AI537" s="1" t="s">
        <v>2471</v>
      </c>
      <c r="AJ537" s="1" t="s">
        <v>216</v>
      </c>
      <c r="AK537" s="1" t="s">
        <v>238</v>
      </c>
      <c r="AM537" s="1">
        <v>1</v>
      </c>
      <c r="AV537" s="1">
        <v>1</v>
      </c>
      <c r="AX537" s="1">
        <v>0.25</v>
      </c>
      <c r="BE537" s="1" t="str">
        <f t="shared" si="32"/>
        <v>enemy_1169_duphlx_2</v>
      </c>
      <c r="BK537" s="1" t="s">
        <v>953</v>
      </c>
      <c r="BL537" s="1" t="s">
        <v>2472</v>
      </c>
      <c r="BN537" s="1" t="s">
        <v>217</v>
      </c>
      <c r="BO537" s="1" t="s">
        <v>218</v>
      </c>
      <c r="BP537" s="1" t="s">
        <v>239</v>
      </c>
      <c r="BQ537" s="1" t="s">
        <v>220</v>
      </c>
      <c r="BT537" s="1">
        <v>1</v>
      </c>
    </row>
    <row r="538" spans="1:72">
      <c r="A538" s="1" t="s">
        <v>2473</v>
      </c>
      <c r="B538" s="1" t="s">
        <v>213</v>
      </c>
      <c r="C538" s="1">
        <v>1</v>
      </c>
      <c r="D538" s="1" t="s">
        <v>2474</v>
      </c>
      <c r="E538" s="1">
        <v>1170</v>
      </c>
      <c r="F538" s="1" t="str">
        <f t="shared" si="34"/>
        <v>enemy_1170_dushld</v>
      </c>
      <c r="G538" s="1">
        <v>1</v>
      </c>
      <c r="K538" s="1">
        <v>7000</v>
      </c>
      <c r="M538" s="1">
        <v>700</v>
      </c>
      <c r="O538" s="1">
        <v>750</v>
      </c>
      <c r="Q538" s="1">
        <v>0</v>
      </c>
      <c r="Y538" s="1">
        <v>0.05</v>
      </c>
      <c r="Z538" s="1">
        <v>4</v>
      </c>
      <c r="AA538" s="1">
        <v>4</v>
      </c>
      <c r="AB538" s="1">
        <v>0.7</v>
      </c>
      <c r="AG538" s="1">
        <v>0</v>
      </c>
      <c r="AH538" s="1">
        <v>1</v>
      </c>
      <c r="AI538" s="1" t="s">
        <v>2475</v>
      </c>
      <c r="AJ538" s="1" t="s">
        <v>216</v>
      </c>
      <c r="AK538" s="1" t="s">
        <v>238</v>
      </c>
      <c r="AM538" s="1">
        <v>1</v>
      </c>
      <c r="AV538" s="1">
        <v>1</v>
      </c>
      <c r="AX538" s="1">
        <v>0.25</v>
      </c>
      <c r="BE538" s="1" t="str">
        <f t="shared" si="32"/>
        <v>enemy_1170_dushld</v>
      </c>
      <c r="BK538" s="1" t="s">
        <v>1012</v>
      </c>
      <c r="BL538" s="1" t="s">
        <v>2476</v>
      </c>
      <c r="BN538" s="1" t="s">
        <v>217</v>
      </c>
      <c r="BO538" s="1" t="s">
        <v>218</v>
      </c>
      <c r="BP538" s="1" t="s">
        <v>219</v>
      </c>
      <c r="BQ538" s="1" t="s">
        <v>220</v>
      </c>
      <c r="BT538" s="1">
        <v>1</v>
      </c>
    </row>
    <row r="539" spans="1:72">
      <c r="A539" s="1" t="s">
        <v>2477</v>
      </c>
      <c r="B539" s="1" t="s">
        <v>213</v>
      </c>
      <c r="C539" s="1">
        <v>1</v>
      </c>
      <c r="D539" s="1" t="s">
        <v>2478</v>
      </c>
      <c r="E539" s="1">
        <v>1170</v>
      </c>
      <c r="F539" s="1" t="str">
        <f t="shared" si="34"/>
        <v>enemy_1170_dushld_2</v>
      </c>
      <c r="G539" s="1">
        <v>1</v>
      </c>
      <c r="K539" s="1">
        <v>9000</v>
      </c>
      <c r="M539" s="1">
        <v>900</v>
      </c>
      <c r="O539" s="1">
        <v>1100</v>
      </c>
      <c r="Q539" s="1">
        <v>0</v>
      </c>
      <c r="Y539" s="1">
        <v>0.05</v>
      </c>
      <c r="Z539" s="1">
        <v>4</v>
      </c>
      <c r="AA539" s="1">
        <v>4</v>
      </c>
      <c r="AB539" s="1">
        <v>0.7</v>
      </c>
      <c r="AG539" s="1">
        <v>0</v>
      </c>
      <c r="AH539" s="1">
        <v>1</v>
      </c>
      <c r="AI539" s="1" t="s">
        <v>2479</v>
      </c>
      <c r="AJ539" s="1" t="s">
        <v>216</v>
      </c>
      <c r="AK539" s="1" t="s">
        <v>238</v>
      </c>
      <c r="AM539" s="1">
        <v>1</v>
      </c>
      <c r="AV539" s="1">
        <v>1</v>
      </c>
      <c r="AX539" s="1">
        <v>0.25</v>
      </c>
      <c r="BE539" s="1" t="str">
        <f t="shared" si="32"/>
        <v>enemy_1170_dushld_2</v>
      </c>
      <c r="BK539" s="1" t="s">
        <v>1012</v>
      </c>
      <c r="BL539" s="1" t="s">
        <v>2480</v>
      </c>
      <c r="BN539" s="1" t="s">
        <v>217</v>
      </c>
      <c r="BO539" s="1" t="s">
        <v>218</v>
      </c>
      <c r="BP539" s="1" t="s">
        <v>219</v>
      </c>
      <c r="BQ539" s="1" t="s">
        <v>220</v>
      </c>
      <c r="BT539" s="1">
        <v>1</v>
      </c>
    </row>
    <row r="540" spans="1:72">
      <c r="A540" s="1" t="s">
        <v>2481</v>
      </c>
      <c r="B540" s="1" t="s">
        <v>213</v>
      </c>
      <c r="C540" s="1">
        <v>1</v>
      </c>
      <c r="D540" s="1" t="s">
        <v>2482</v>
      </c>
      <c r="E540" s="1">
        <v>1171</v>
      </c>
      <c r="F540" s="1" t="str">
        <f t="shared" si="34"/>
        <v>enemy_1171_durokt</v>
      </c>
      <c r="G540" s="1">
        <v>1</v>
      </c>
      <c r="K540" s="1">
        <v>6000</v>
      </c>
      <c r="M540" s="1">
        <v>400</v>
      </c>
      <c r="O540" s="1">
        <v>350</v>
      </c>
      <c r="Q540" s="1">
        <v>0</v>
      </c>
      <c r="Y540" s="1">
        <v>0.05</v>
      </c>
      <c r="Z540" s="1">
        <v>3</v>
      </c>
      <c r="AA540" s="1">
        <v>2</v>
      </c>
      <c r="AB540" s="1">
        <v>0.8</v>
      </c>
      <c r="AG540" s="1">
        <v>0</v>
      </c>
      <c r="AH540" s="1">
        <v>1</v>
      </c>
      <c r="AI540" s="1" t="s">
        <v>2483</v>
      </c>
      <c r="AJ540" s="1" t="s">
        <v>216</v>
      </c>
      <c r="AK540" s="1" t="s">
        <v>238</v>
      </c>
      <c r="AM540" s="1">
        <v>1</v>
      </c>
      <c r="AV540" s="1">
        <v>1</v>
      </c>
      <c r="AX540" s="1">
        <v>0.25</v>
      </c>
      <c r="BE540" s="1" t="str">
        <f t="shared" si="32"/>
        <v>enemy_1171_durokt</v>
      </c>
      <c r="BK540" s="1" t="s">
        <v>959</v>
      </c>
      <c r="BL540" s="1" t="s">
        <v>2484</v>
      </c>
      <c r="BN540" s="1" t="s">
        <v>217</v>
      </c>
      <c r="BO540" s="1" t="s">
        <v>2366</v>
      </c>
      <c r="BP540" s="1" t="s">
        <v>2367</v>
      </c>
      <c r="BQ540" s="1" t="s">
        <v>220</v>
      </c>
      <c r="BT540" s="1">
        <v>1</v>
      </c>
    </row>
    <row r="541" spans="1:72">
      <c r="A541" s="1" t="s">
        <v>2485</v>
      </c>
      <c r="B541" s="1" t="s">
        <v>213</v>
      </c>
      <c r="C541" s="1">
        <v>1</v>
      </c>
      <c r="D541" s="1" t="s">
        <v>2486</v>
      </c>
      <c r="E541" s="1">
        <v>1171</v>
      </c>
      <c r="F541" s="1" t="str">
        <f t="shared" si="34"/>
        <v>enemy_1171_durokt_2</v>
      </c>
      <c r="G541" s="1">
        <v>1</v>
      </c>
      <c r="K541" s="1">
        <v>8000</v>
      </c>
      <c r="M541" s="1">
        <v>550</v>
      </c>
      <c r="O541" s="1">
        <v>450</v>
      </c>
      <c r="Q541" s="1">
        <v>0</v>
      </c>
      <c r="Y541" s="1">
        <v>0.05</v>
      </c>
      <c r="Z541" s="1">
        <v>3</v>
      </c>
      <c r="AA541" s="1">
        <v>2</v>
      </c>
      <c r="AB541" s="1">
        <v>0.8</v>
      </c>
      <c r="AG541" s="1">
        <v>0</v>
      </c>
      <c r="AH541" s="1">
        <v>1</v>
      </c>
      <c r="AI541" s="1" t="s">
        <v>2487</v>
      </c>
      <c r="AJ541" s="1" t="s">
        <v>216</v>
      </c>
      <c r="AK541" s="1" t="s">
        <v>238</v>
      </c>
      <c r="AM541" s="1">
        <v>1</v>
      </c>
      <c r="AV541" s="1">
        <v>1</v>
      </c>
      <c r="AX541" s="1">
        <v>0.25</v>
      </c>
      <c r="BE541" s="1" t="str">
        <f t="shared" si="32"/>
        <v>enemy_1171_durokt_2</v>
      </c>
      <c r="BK541" s="1" t="s">
        <v>959</v>
      </c>
      <c r="BL541" s="1" t="s">
        <v>2484</v>
      </c>
      <c r="BN541" s="1" t="s">
        <v>217</v>
      </c>
      <c r="BO541" s="1" t="s">
        <v>2366</v>
      </c>
      <c r="BP541" s="1" t="s">
        <v>2367</v>
      </c>
      <c r="BQ541" s="1" t="s">
        <v>220</v>
      </c>
      <c r="BT541" s="1">
        <v>1</v>
      </c>
    </row>
    <row r="542" spans="1:72">
      <c r="A542" s="1" t="s">
        <v>2488</v>
      </c>
      <c r="B542" s="1" t="s">
        <v>213</v>
      </c>
      <c r="C542" s="1">
        <v>1</v>
      </c>
      <c r="D542" s="1" t="s">
        <v>2489</v>
      </c>
      <c r="E542" s="1">
        <v>1172</v>
      </c>
      <c r="F542" s="1" t="str">
        <f t="shared" si="34"/>
        <v>enemy_1172_dugago</v>
      </c>
      <c r="G542" s="1">
        <v>1</v>
      </c>
      <c r="K542" s="1">
        <v>10000</v>
      </c>
      <c r="M542" s="1">
        <v>550</v>
      </c>
      <c r="O542" s="1">
        <v>550</v>
      </c>
      <c r="Q542" s="1">
        <v>0</v>
      </c>
      <c r="Y542" s="1">
        <v>0.05</v>
      </c>
      <c r="Z542" s="1">
        <v>4</v>
      </c>
      <c r="AA542" s="1">
        <v>4</v>
      </c>
      <c r="AB542" s="1">
        <v>0.5</v>
      </c>
      <c r="AG542" s="1">
        <v>0</v>
      </c>
      <c r="AH542" s="1">
        <v>1</v>
      </c>
      <c r="AI542" s="1" t="s">
        <v>2490</v>
      </c>
      <c r="AJ542" s="1" t="s">
        <v>216</v>
      </c>
      <c r="AK542" s="1" t="s">
        <v>238</v>
      </c>
      <c r="AM542" s="1">
        <v>1</v>
      </c>
      <c r="AV542" s="1">
        <v>1</v>
      </c>
      <c r="AX542" s="1">
        <v>0.25</v>
      </c>
      <c r="BE542" s="1" t="str">
        <f t="shared" si="32"/>
        <v>enemy_1172_dugago</v>
      </c>
      <c r="BK542" s="1" t="s">
        <v>2491</v>
      </c>
      <c r="BL542" s="1" t="s">
        <v>2492</v>
      </c>
      <c r="BN542" s="1" t="s">
        <v>217</v>
      </c>
      <c r="BO542" s="1" t="s">
        <v>218</v>
      </c>
      <c r="BP542" s="1" t="s">
        <v>239</v>
      </c>
      <c r="BQ542" s="1" t="s">
        <v>220</v>
      </c>
      <c r="BT542" s="1">
        <v>1</v>
      </c>
    </row>
    <row r="543" spans="1:72">
      <c r="A543" s="1" t="s">
        <v>2493</v>
      </c>
      <c r="B543" s="1" t="s">
        <v>213</v>
      </c>
      <c r="C543" s="1">
        <v>1</v>
      </c>
      <c r="D543" s="1" t="s">
        <v>2494</v>
      </c>
      <c r="E543" s="1">
        <v>1172</v>
      </c>
      <c r="F543" s="1" t="str">
        <f t="shared" si="34"/>
        <v>enemy_1172_dugago_2</v>
      </c>
      <c r="G543" s="1">
        <v>1</v>
      </c>
      <c r="K543" s="1">
        <v>12000</v>
      </c>
      <c r="M543" s="1">
        <v>750</v>
      </c>
      <c r="O543" s="1">
        <v>750</v>
      </c>
      <c r="Q543" s="1">
        <v>0</v>
      </c>
      <c r="Y543" s="1">
        <v>0.05</v>
      </c>
      <c r="Z543" s="1">
        <v>4</v>
      </c>
      <c r="AA543" s="1">
        <v>4</v>
      </c>
      <c r="AB543" s="1">
        <v>0.5</v>
      </c>
      <c r="AG543" s="1">
        <v>0</v>
      </c>
      <c r="AH543" s="1">
        <v>1</v>
      </c>
      <c r="AI543" s="1" t="s">
        <v>2495</v>
      </c>
      <c r="AJ543" s="1" t="s">
        <v>216</v>
      </c>
      <c r="AK543" s="1" t="s">
        <v>238</v>
      </c>
      <c r="AM543" s="1">
        <v>1</v>
      </c>
      <c r="AV543" s="1">
        <v>1</v>
      </c>
      <c r="AX543" s="1">
        <v>0.25</v>
      </c>
      <c r="BE543" s="1" t="str">
        <f t="shared" si="32"/>
        <v>enemy_1172_dugago_2</v>
      </c>
      <c r="BK543" s="1" t="s">
        <v>2491</v>
      </c>
      <c r="BL543" s="1" t="s">
        <v>2492</v>
      </c>
      <c r="BN543" s="1" t="s">
        <v>217</v>
      </c>
      <c r="BO543" s="1" t="s">
        <v>218</v>
      </c>
      <c r="BP543" s="1" t="s">
        <v>239</v>
      </c>
      <c r="BQ543" s="1" t="s">
        <v>220</v>
      </c>
      <c r="BT543" s="1">
        <v>1</v>
      </c>
    </row>
    <row r="544" spans="1:72">
      <c r="A544" s="1" t="s">
        <v>2496</v>
      </c>
      <c r="B544" s="1" t="s">
        <v>213</v>
      </c>
      <c r="C544" s="1">
        <v>1</v>
      </c>
      <c r="D544" s="1" t="s">
        <v>2497</v>
      </c>
      <c r="E544" s="1">
        <v>1173</v>
      </c>
      <c r="F544" s="1" t="str">
        <f t="shared" si="34"/>
        <v>enemy_1173_duspfr</v>
      </c>
      <c r="G544" s="1">
        <v>1</v>
      </c>
      <c r="K544" s="1">
        <v>8000</v>
      </c>
      <c r="M544" s="1">
        <v>500</v>
      </c>
      <c r="O544" s="1">
        <v>400</v>
      </c>
      <c r="Q544" s="1">
        <v>0</v>
      </c>
      <c r="Y544" s="1">
        <v>0.05</v>
      </c>
      <c r="Z544" s="1">
        <v>2</v>
      </c>
      <c r="AA544" s="1">
        <v>3</v>
      </c>
      <c r="AB544" s="1">
        <v>0.8</v>
      </c>
      <c r="AG544" s="1">
        <v>0</v>
      </c>
      <c r="AH544" s="1">
        <v>1</v>
      </c>
      <c r="AI544" s="1" t="s">
        <v>2498</v>
      </c>
      <c r="AJ544" s="1" t="s">
        <v>216</v>
      </c>
      <c r="AK544" s="1" t="s">
        <v>238</v>
      </c>
      <c r="AM544" s="1">
        <v>1</v>
      </c>
      <c r="AV544" s="1">
        <v>1</v>
      </c>
      <c r="AX544" s="1">
        <v>0.25</v>
      </c>
      <c r="BE544" s="1" t="str">
        <f t="shared" si="32"/>
        <v>enemy_1173_duspfr</v>
      </c>
      <c r="BK544" s="1" t="s">
        <v>980</v>
      </c>
      <c r="BL544" s="1" t="s">
        <v>2499</v>
      </c>
      <c r="BN544" s="1" t="s">
        <v>217</v>
      </c>
      <c r="BO544" s="1" t="s">
        <v>218</v>
      </c>
      <c r="BP544" s="1" t="s">
        <v>239</v>
      </c>
      <c r="BQ544" s="1" t="s">
        <v>220</v>
      </c>
      <c r="BT544" s="1">
        <v>1</v>
      </c>
    </row>
    <row r="545" spans="1:72">
      <c r="A545" s="1" t="s">
        <v>2500</v>
      </c>
      <c r="B545" s="1" t="s">
        <v>213</v>
      </c>
      <c r="C545" s="1">
        <v>1</v>
      </c>
      <c r="D545" s="1" t="s">
        <v>2501</v>
      </c>
      <c r="E545" s="1">
        <v>1173</v>
      </c>
      <c r="F545" s="1" t="str">
        <f t="shared" si="34"/>
        <v>enemy_1173_duspfr_2</v>
      </c>
      <c r="G545" s="1">
        <v>1</v>
      </c>
      <c r="K545" s="1">
        <v>10000</v>
      </c>
      <c r="M545" s="1">
        <v>600</v>
      </c>
      <c r="O545" s="1">
        <v>550</v>
      </c>
      <c r="Q545" s="1">
        <v>0</v>
      </c>
      <c r="Y545" s="1">
        <v>0.05</v>
      </c>
      <c r="Z545" s="1">
        <v>2</v>
      </c>
      <c r="AA545" s="1">
        <v>3</v>
      </c>
      <c r="AB545" s="1">
        <v>0.8</v>
      </c>
      <c r="AG545" s="1">
        <v>0</v>
      </c>
      <c r="AH545" s="1">
        <v>1</v>
      </c>
      <c r="AI545" s="1" t="s">
        <v>2502</v>
      </c>
      <c r="AJ545" s="1" t="s">
        <v>216</v>
      </c>
      <c r="AK545" s="1" t="s">
        <v>238</v>
      </c>
      <c r="AM545" s="1">
        <v>1</v>
      </c>
      <c r="AV545" s="1">
        <v>1</v>
      </c>
      <c r="AX545" s="1">
        <v>0.25</v>
      </c>
      <c r="BE545" s="1" t="str">
        <f t="shared" si="32"/>
        <v>enemy_1173_duspfr_2</v>
      </c>
      <c r="BK545" s="1" t="s">
        <v>980</v>
      </c>
      <c r="BL545" s="1" t="s">
        <v>2503</v>
      </c>
      <c r="BN545" s="1" t="s">
        <v>217</v>
      </c>
      <c r="BO545" s="1" t="s">
        <v>218</v>
      </c>
      <c r="BP545" s="1" t="s">
        <v>239</v>
      </c>
      <c r="BQ545" s="1" t="s">
        <v>220</v>
      </c>
      <c r="BT545" s="1">
        <v>1</v>
      </c>
    </row>
    <row r="546" spans="1:72">
      <c r="A546" s="1" t="s">
        <v>2504</v>
      </c>
      <c r="B546" s="1" t="s">
        <v>213</v>
      </c>
      <c r="C546" s="1">
        <v>1</v>
      </c>
      <c r="D546" s="1" t="s">
        <v>2505</v>
      </c>
      <c r="E546" s="1">
        <v>1174</v>
      </c>
      <c r="F546" s="1" t="str">
        <f t="shared" si="34"/>
        <v>enemy_1174_duholy</v>
      </c>
      <c r="G546" s="1">
        <v>1</v>
      </c>
      <c r="K546" s="1">
        <v>15000</v>
      </c>
      <c r="M546" s="1">
        <v>900</v>
      </c>
      <c r="O546" s="1">
        <v>900</v>
      </c>
      <c r="Q546" s="1">
        <v>0</v>
      </c>
      <c r="Y546" s="1">
        <v>0.05</v>
      </c>
      <c r="Z546" s="1">
        <v>4</v>
      </c>
      <c r="AA546" s="1">
        <v>5</v>
      </c>
      <c r="AB546" s="1">
        <v>0.8</v>
      </c>
      <c r="AG546" s="1">
        <v>1</v>
      </c>
      <c r="AH546" s="1">
        <v>1</v>
      </c>
      <c r="AI546" s="1" t="s">
        <v>2506</v>
      </c>
      <c r="AJ546" s="1" t="s">
        <v>216</v>
      </c>
      <c r="AK546" s="1" t="s">
        <v>238</v>
      </c>
      <c r="AM546" s="1">
        <v>1</v>
      </c>
      <c r="AV546" s="1">
        <v>1</v>
      </c>
      <c r="AX546" s="1">
        <v>0.25</v>
      </c>
      <c r="BE546" s="1" t="str">
        <f t="shared" si="32"/>
        <v>enemy_1174_duholy</v>
      </c>
      <c r="BK546" s="1" t="s">
        <v>2507</v>
      </c>
      <c r="BL546" s="1" t="s">
        <v>2508</v>
      </c>
      <c r="BN546" s="1" t="s">
        <v>217</v>
      </c>
      <c r="BO546" s="1" t="s">
        <v>218</v>
      </c>
      <c r="BP546" s="1" t="s">
        <v>239</v>
      </c>
      <c r="BQ546" s="1" t="s">
        <v>220</v>
      </c>
      <c r="BT546" s="1">
        <v>1</v>
      </c>
    </row>
    <row r="547" spans="1:72">
      <c r="A547" s="1" t="s">
        <v>2509</v>
      </c>
      <c r="B547" s="1" t="s">
        <v>213</v>
      </c>
      <c r="C547" s="1">
        <v>1</v>
      </c>
      <c r="D547" s="1" t="s">
        <v>2510</v>
      </c>
      <c r="E547" s="1">
        <v>1174</v>
      </c>
      <c r="F547" s="1" t="str">
        <f t="shared" si="34"/>
        <v>enemy_1174_duholy_2</v>
      </c>
      <c r="G547" s="1">
        <v>1</v>
      </c>
      <c r="K547" s="1">
        <v>20000</v>
      </c>
      <c r="M547" s="1">
        <v>1100</v>
      </c>
      <c r="O547" s="1">
        <v>1000</v>
      </c>
      <c r="Q547" s="1">
        <v>0</v>
      </c>
      <c r="Y547" s="1">
        <v>0.05</v>
      </c>
      <c r="Z547" s="1">
        <v>4</v>
      </c>
      <c r="AA547" s="1">
        <v>5</v>
      </c>
      <c r="AB547" s="1">
        <v>0.8</v>
      </c>
      <c r="AG547" s="1">
        <v>1</v>
      </c>
      <c r="AH547" s="1">
        <v>1</v>
      </c>
      <c r="AI547" s="1" t="s">
        <v>2511</v>
      </c>
      <c r="AJ547" s="1" t="s">
        <v>216</v>
      </c>
      <c r="AK547" s="1" t="s">
        <v>238</v>
      </c>
      <c r="AM547" s="1">
        <v>1</v>
      </c>
      <c r="AV547" s="1">
        <v>1</v>
      </c>
      <c r="AX547" s="1">
        <v>0.25</v>
      </c>
      <c r="BE547" s="1" t="str">
        <f t="shared" si="32"/>
        <v>enemy_1174_duholy_2</v>
      </c>
      <c r="BK547" s="1" t="s">
        <v>2507</v>
      </c>
      <c r="BL547" s="1" t="s">
        <v>2512</v>
      </c>
      <c r="BN547" s="1" t="s">
        <v>217</v>
      </c>
      <c r="BO547" s="1" t="s">
        <v>218</v>
      </c>
      <c r="BP547" s="1" t="s">
        <v>239</v>
      </c>
      <c r="BQ547" s="1" t="s">
        <v>220</v>
      </c>
      <c r="BT547" s="1">
        <v>1</v>
      </c>
    </row>
    <row r="548" spans="1:72">
      <c r="A548" s="1" t="s">
        <v>2513</v>
      </c>
      <c r="B548" s="1" t="s">
        <v>213</v>
      </c>
      <c r="C548" s="1">
        <v>1</v>
      </c>
      <c r="D548" s="1" t="s">
        <v>2514</v>
      </c>
      <c r="E548" s="1">
        <v>1175</v>
      </c>
      <c r="F548" s="1" t="str">
        <f t="shared" si="34"/>
        <v>enemy_1175_dushdo</v>
      </c>
      <c r="G548" s="1">
        <v>1</v>
      </c>
      <c r="K548" s="1">
        <v>12000</v>
      </c>
      <c r="M548" s="1">
        <v>400</v>
      </c>
      <c r="O548" s="1">
        <v>350</v>
      </c>
      <c r="Q548" s="1">
        <v>0</v>
      </c>
      <c r="Y548" s="1">
        <v>0.05</v>
      </c>
      <c r="Z548" s="1">
        <v>2.1</v>
      </c>
      <c r="AA548" s="1">
        <v>2</v>
      </c>
      <c r="AB548" s="1">
        <v>0.8</v>
      </c>
      <c r="AG548" s="1">
        <v>0</v>
      </c>
      <c r="AH548" s="1">
        <v>1</v>
      </c>
      <c r="AI548" s="1" t="s">
        <v>2515</v>
      </c>
      <c r="AJ548" s="1" t="s">
        <v>216</v>
      </c>
      <c r="AK548" s="1" t="s">
        <v>238</v>
      </c>
      <c r="AM548" s="1">
        <v>1</v>
      </c>
      <c r="AV548" s="1">
        <v>1</v>
      </c>
      <c r="AX548" s="1">
        <v>0.25</v>
      </c>
      <c r="BE548" s="1" t="str">
        <f t="shared" si="32"/>
        <v>enemy_1175_dushdo</v>
      </c>
      <c r="BK548" s="1" t="s">
        <v>2516</v>
      </c>
      <c r="BL548" s="1" t="s">
        <v>2517</v>
      </c>
      <c r="BN548" s="1" t="s">
        <v>217</v>
      </c>
      <c r="BO548" s="1" t="s">
        <v>218</v>
      </c>
      <c r="BP548" s="1" t="s">
        <v>239</v>
      </c>
      <c r="BQ548" s="1" t="s">
        <v>220</v>
      </c>
      <c r="BT548" s="1">
        <v>1</v>
      </c>
    </row>
    <row r="549" spans="1:72">
      <c r="A549" s="1" t="s">
        <v>2518</v>
      </c>
      <c r="B549" s="1" t="s">
        <v>213</v>
      </c>
      <c r="C549" s="1">
        <v>1</v>
      </c>
      <c r="D549" s="1" t="s">
        <v>2519</v>
      </c>
      <c r="E549" s="1">
        <v>1175</v>
      </c>
      <c r="F549" s="1" t="str">
        <f t="shared" si="34"/>
        <v>enemy_1175_dushdo_2</v>
      </c>
      <c r="G549" s="1">
        <v>1</v>
      </c>
      <c r="K549" s="1">
        <v>15000</v>
      </c>
      <c r="M549" s="1">
        <v>580</v>
      </c>
      <c r="O549" s="1">
        <v>550</v>
      </c>
      <c r="Q549" s="1">
        <v>0</v>
      </c>
      <c r="Y549" s="1">
        <v>0.05</v>
      </c>
      <c r="Z549" s="1">
        <v>2.1</v>
      </c>
      <c r="AA549" s="1">
        <v>2</v>
      </c>
      <c r="AB549" s="1">
        <v>0.8</v>
      </c>
      <c r="AG549" s="1">
        <v>0</v>
      </c>
      <c r="AH549" s="1">
        <v>1</v>
      </c>
      <c r="AI549" s="1" t="s">
        <v>2520</v>
      </c>
      <c r="AJ549" s="1" t="s">
        <v>216</v>
      </c>
      <c r="AK549" s="1" t="s">
        <v>238</v>
      </c>
      <c r="AM549" s="1">
        <v>1</v>
      </c>
      <c r="AV549" s="1">
        <v>1</v>
      </c>
      <c r="AX549" s="1">
        <v>0.25</v>
      </c>
      <c r="BE549" s="1" t="str">
        <f t="shared" si="32"/>
        <v>enemy_1175_dushdo_2</v>
      </c>
      <c r="BK549" s="1" t="s">
        <v>2516</v>
      </c>
      <c r="BL549" s="1" t="s">
        <v>2521</v>
      </c>
      <c r="BN549" s="1" t="s">
        <v>217</v>
      </c>
      <c r="BO549" s="1" t="s">
        <v>218</v>
      </c>
      <c r="BP549" s="1" t="s">
        <v>239</v>
      </c>
      <c r="BQ549" s="1" t="s">
        <v>220</v>
      </c>
      <c r="BT549" s="1">
        <v>1</v>
      </c>
    </row>
    <row r="550" spans="1:72">
      <c r="A550" s="1" t="s">
        <v>2522</v>
      </c>
      <c r="B550" s="1" t="s">
        <v>213</v>
      </c>
      <c r="C550" s="1">
        <v>1</v>
      </c>
      <c r="D550" s="1" t="s">
        <v>2523</v>
      </c>
      <c r="E550" s="1">
        <v>1176</v>
      </c>
      <c r="F550" s="1" t="str">
        <f t="shared" si="34"/>
        <v>enemy_1176_dusocr</v>
      </c>
      <c r="G550" s="1">
        <v>1</v>
      </c>
      <c r="K550" s="1">
        <v>15000</v>
      </c>
      <c r="M550" s="1">
        <v>0</v>
      </c>
      <c r="O550" s="1">
        <v>450</v>
      </c>
      <c r="Q550" s="1">
        <v>40</v>
      </c>
      <c r="Y550" s="1">
        <v>0.05</v>
      </c>
      <c r="Z550" s="1">
        <v>5</v>
      </c>
      <c r="AA550" s="1">
        <v>3</v>
      </c>
      <c r="AB550" s="1">
        <v>0.3</v>
      </c>
      <c r="AG550" s="1">
        <v>0</v>
      </c>
      <c r="AH550" s="1">
        <v>1</v>
      </c>
      <c r="AI550" s="1" t="s">
        <v>2524</v>
      </c>
      <c r="AJ550" s="1" t="s">
        <v>216</v>
      </c>
      <c r="AK550" s="1" t="s">
        <v>238</v>
      </c>
      <c r="AM550" s="1">
        <v>1</v>
      </c>
      <c r="AV550" s="1">
        <v>1</v>
      </c>
      <c r="AX550" s="1">
        <v>0.25</v>
      </c>
      <c r="BE550" s="1" t="str">
        <f t="shared" si="32"/>
        <v>enemy_1176_dusocr</v>
      </c>
      <c r="BK550" s="1" t="s">
        <v>1762</v>
      </c>
      <c r="BL550" s="1" t="s">
        <v>2525</v>
      </c>
      <c r="BN550" s="1" t="s">
        <v>217</v>
      </c>
      <c r="BO550" s="1" t="s">
        <v>218</v>
      </c>
      <c r="BP550" s="1" t="s">
        <v>239</v>
      </c>
      <c r="BQ550" s="1" t="s">
        <v>220</v>
      </c>
      <c r="BT550" s="1">
        <v>1</v>
      </c>
    </row>
    <row r="551" spans="1:72">
      <c r="A551" s="1" t="s">
        <v>2526</v>
      </c>
      <c r="B551" s="1" t="s">
        <v>213</v>
      </c>
      <c r="C551" s="1">
        <v>1</v>
      </c>
      <c r="D551" s="1" t="s">
        <v>2527</v>
      </c>
      <c r="E551" s="1">
        <v>1176</v>
      </c>
      <c r="F551" s="1" t="str">
        <f t="shared" si="34"/>
        <v>enemy_1176_dusocr_2</v>
      </c>
      <c r="G551" s="1">
        <v>1</v>
      </c>
      <c r="K551" s="1">
        <v>20000</v>
      </c>
      <c r="M551" s="1">
        <v>0</v>
      </c>
      <c r="O551" s="1">
        <v>550</v>
      </c>
      <c r="Q551" s="1">
        <v>50</v>
      </c>
      <c r="Y551" s="1">
        <v>0.05</v>
      </c>
      <c r="Z551" s="1">
        <v>5</v>
      </c>
      <c r="AA551" s="1">
        <v>3</v>
      </c>
      <c r="AB551" s="1">
        <v>0.3</v>
      </c>
      <c r="AG551" s="1">
        <v>0</v>
      </c>
      <c r="AH551" s="1">
        <v>1</v>
      </c>
      <c r="AI551" s="1" t="s">
        <v>2528</v>
      </c>
      <c r="AJ551" s="1" t="s">
        <v>216</v>
      </c>
      <c r="AK551" s="1" t="s">
        <v>238</v>
      </c>
      <c r="AM551" s="1">
        <v>1</v>
      </c>
      <c r="AV551" s="1">
        <v>1</v>
      </c>
      <c r="AX551" s="1">
        <v>0.25</v>
      </c>
      <c r="BE551" s="1" t="str">
        <f t="shared" si="32"/>
        <v>enemy_1176_dusocr_2</v>
      </c>
      <c r="BK551" s="1" t="s">
        <v>1762</v>
      </c>
      <c r="BL551" s="1" t="s">
        <v>2525</v>
      </c>
      <c r="BN551" s="1" t="s">
        <v>217</v>
      </c>
      <c r="BO551" s="1" t="s">
        <v>218</v>
      </c>
      <c r="BP551" s="1" t="s">
        <v>239</v>
      </c>
      <c r="BQ551" s="1" t="s">
        <v>220</v>
      </c>
      <c r="BT551" s="1">
        <v>1</v>
      </c>
    </row>
    <row r="552" spans="1:72">
      <c r="A552" s="1" t="s">
        <v>2529</v>
      </c>
      <c r="B552" s="1" t="s">
        <v>213</v>
      </c>
      <c r="C552" s="1">
        <v>1</v>
      </c>
      <c r="D552" s="1" t="s">
        <v>2530</v>
      </c>
      <c r="E552" s="1">
        <v>1177</v>
      </c>
      <c r="F552" s="1" t="str">
        <f t="shared" si="34"/>
        <v>enemy_1177_dufrbl</v>
      </c>
      <c r="G552" s="1">
        <v>1</v>
      </c>
      <c r="K552" s="1">
        <v>100</v>
      </c>
      <c r="M552" s="1">
        <v>500</v>
      </c>
      <c r="O552" s="1">
        <v>0</v>
      </c>
      <c r="Q552" s="1">
        <v>0</v>
      </c>
      <c r="Y552" s="1">
        <v>0.05</v>
      </c>
      <c r="Z552" s="1">
        <v>2</v>
      </c>
      <c r="AA552" s="1">
        <v>0</v>
      </c>
      <c r="AB552" s="1">
        <v>2.5</v>
      </c>
      <c r="AG552" s="1">
        <v>0</v>
      </c>
      <c r="AH552" s="1">
        <v>1</v>
      </c>
      <c r="AI552" s="1" t="s">
        <v>2531</v>
      </c>
      <c r="AJ552" s="1" t="s">
        <v>216</v>
      </c>
      <c r="AK552" s="1" t="s">
        <v>238</v>
      </c>
      <c r="AM552" s="1">
        <v>1</v>
      </c>
      <c r="AV552" s="1">
        <v>1</v>
      </c>
      <c r="AX552" s="1">
        <v>0.25</v>
      </c>
      <c r="BE552" s="1" t="str">
        <f t="shared" ref="BE552:BE615" si="35">"enemy_"&amp;E552&amp;"_"&amp;D552</f>
        <v>enemy_1177_dufrbl</v>
      </c>
      <c r="BK552" s="1" t="s">
        <v>2532</v>
      </c>
      <c r="BN552" s="1" t="s">
        <v>217</v>
      </c>
      <c r="BO552" s="1" t="s">
        <v>218</v>
      </c>
      <c r="BQ552" s="1" t="s">
        <v>220</v>
      </c>
      <c r="BT552" s="1">
        <v>1</v>
      </c>
    </row>
    <row r="553" spans="1:72">
      <c r="A553" s="1" t="s">
        <v>2533</v>
      </c>
      <c r="B553" s="1" t="s">
        <v>213</v>
      </c>
      <c r="C553" s="1">
        <v>1</v>
      </c>
      <c r="D553" s="1" t="s">
        <v>2534</v>
      </c>
      <c r="E553" s="1">
        <v>1177</v>
      </c>
      <c r="F553" s="1" t="str">
        <f t="shared" si="34"/>
        <v>enemy_1177_dufrbl_2</v>
      </c>
      <c r="G553" s="1">
        <v>1</v>
      </c>
      <c r="K553" s="1">
        <v>100</v>
      </c>
      <c r="M553" s="1">
        <v>600</v>
      </c>
      <c r="O553" s="1">
        <v>0</v>
      </c>
      <c r="Q553" s="1">
        <v>0</v>
      </c>
      <c r="Y553" s="1">
        <v>0.05</v>
      </c>
      <c r="Z553" s="1">
        <v>2</v>
      </c>
      <c r="AA553" s="1">
        <v>0</v>
      </c>
      <c r="AB553" s="1">
        <v>2.5</v>
      </c>
      <c r="AG553" s="1">
        <v>0</v>
      </c>
      <c r="AH553" s="1">
        <v>1</v>
      </c>
      <c r="AI553" s="1" t="s">
        <v>2531</v>
      </c>
      <c r="AJ553" s="1" t="s">
        <v>216</v>
      </c>
      <c r="AK553" s="1" t="s">
        <v>238</v>
      </c>
      <c r="AM553" s="1">
        <v>1</v>
      </c>
      <c r="AV553" s="1">
        <v>1</v>
      </c>
      <c r="AX553" s="1">
        <v>0.25</v>
      </c>
      <c r="BE553" s="1" t="str">
        <f t="shared" si="35"/>
        <v>enemy_1177_dufrbl_2</v>
      </c>
      <c r="BK553" s="1" t="s">
        <v>2532</v>
      </c>
      <c r="BN553" s="1" t="s">
        <v>217</v>
      </c>
      <c r="BO553" s="1" t="s">
        <v>218</v>
      </c>
      <c r="BQ553" s="1" t="s">
        <v>220</v>
      </c>
      <c r="BT553" s="1">
        <v>1</v>
      </c>
    </row>
    <row r="554" spans="1:72">
      <c r="A554" s="1" t="s">
        <v>2535</v>
      </c>
      <c r="B554" s="1" t="s">
        <v>213</v>
      </c>
      <c r="C554" s="1">
        <v>1</v>
      </c>
      <c r="D554" s="1" t="s">
        <v>2536</v>
      </c>
      <c r="E554" s="1">
        <v>1523</v>
      </c>
      <c r="F554" s="1" t="str">
        <f t="shared" si="34"/>
        <v>enemy_1523_mandra</v>
      </c>
      <c r="G554" s="1">
        <v>1</v>
      </c>
      <c r="K554" s="1">
        <v>50000</v>
      </c>
      <c r="M554" s="1">
        <v>640</v>
      </c>
      <c r="O554" s="1">
        <v>520</v>
      </c>
      <c r="Q554" s="1">
        <v>35</v>
      </c>
      <c r="Y554" s="1">
        <v>0.05</v>
      </c>
      <c r="Z554" s="1">
        <v>1.8</v>
      </c>
      <c r="AA554" s="1">
        <v>7</v>
      </c>
      <c r="AB554" s="1">
        <v>0.4</v>
      </c>
      <c r="AG554" s="1">
        <v>0</v>
      </c>
      <c r="AH554" s="1">
        <v>1</v>
      </c>
      <c r="AI554" s="1" t="s">
        <v>2537</v>
      </c>
      <c r="AJ554" s="1" t="s">
        <v>216</v>
      </c>
      <c r="AK554" s="1" t="s">
        <v>238</v>
      </c>
      <c r="AM554" s="1">
        <v>1</v>
      </c>
      <c r="AV554" s="1">
        <v>1</v>
      </c>
      <c r="AX554" s="1">
        <v>0.25</v>
      </c>
      <c r="BE554" s="1" t="str">
        <f t="shared" si="35"/>
        <v>enemy_1523_mandra</v>
      </c>
      <c r="BK554" s="1" t="s">
        <v>1342</v>
      </c>
      <c r="BL554" s="1" t="s">
        <v>2538</v>
      </c>
      <c r="BN554" s="1" t="s">
        <v>217</v>
      </c>
      <c r="BO554" s="1" t="s">
        <v>2035</v>
      </c>
      <c r="BP554" s="1" t="s">
        <v>2036</v>
      </c>
      <c r="BQ554" s="1" t="s">
        <v>2539</v>
      </c>
      <c r="BT554" s="1">
        <v>1</v>
      </c>
    </row>
    <row r="555" spans="1:72">
      <c r="A555" s="1" t="s">
        <v>2540</v>
      </c>
      <c r="B555" s="1" t="s">
        <v>213</v>
      </c>
      <c r="C555" s="1">
        <v>1</v>
      </c>
      <c r="D555" s="1" t="s">
        <v>2541</v>
      </c>
      <c r="E555" s="1">
        <v>1178</v>
      </c>
      <c r="F555" s="1" t="str">
        <f t="shared" si="34"/>
        <v>enemy_1178_dscorp</v>
      </c>
      <c r="G555" s="1">
        <v>1</v>
      </c>
      <c r="K555" s="1">
        <v>1800</v>
      </c>
      <c r="M555" s="1">
        <v>350</v>
      </c>
      <c r="O555" s="1">
        <v>300</v>
      </c>
      <c r="Q555" s="1">
        <v>30</v>
      </c>
      <c r="Y555" s="1">
        <v>0.05</v>
      </c>
      <c r="Z555" s="1">
        <v>2.1</v>
      </c>
      <c r="AA555" s="1">
        <v>0</v>
      </c>
      <c r="AB555" s="1">
        <v>1.5</v>
      </c>
      <c r="AG555" s="1">
        <v>0</v>
      </c>
      <c r="AH555" s="1">
        <v>1</v>
      </c>
      <c r="AI555" s="1" t="s">
        <v>2542</v>
      </c>
      <c r="AJ555" s="1" t="s">
        <v>216</v>
      </c>
      <c r="AK555" s="1" t="s">
        <v>238</v>
      </c>
      <c r="AM555" s="1">
        <v>1</v>
      </c>
      <c r="AV555" s="1">
        <v>1</v>
      </c>
      <c r="AX555" s="1">
        <v>0.25</v>
      </c>
      <c r="BE555" s="1" t="str">
        <f t="shared" si="35"/>
        <v>enemy_1178_dscorp</v>
      </c>
      <c r="BK555" s="1" t="s">
        <v>911</v>
      </c>
      <c r="BL555" s="1" t="s">
        <v>2543</v>
      </c>
      <c r="BN555" s="1" t="s">
        <v>217</v>
      </c>
      <c r="BO555" s="1" t="s">
        <v>218</v>
      </c>
      <c r="BP555" s="1" t="s">
        <v>239</v>
      </c>
      <c r="BQ555" s="1" t="s">
        <v>220</v>
      </c>
      <c r="BT555" s="1">
        <v>1</v>
      </c>
    </row>
    <row r="556" spans="1:72">
      <c r="A556" s="1" t="s">
        <v>2544</v>
      </c>
      <c r="B556" s="1" t="s">
        <v>213</v>
      </c>
      <c r="C556" s="1">
        <v>1</v>
      </c>
      <c r="D556" s="1" t="s">
        <v>2545</v>
      </c>
      <c r="E556" s="1">
        <v>1178</v>
      </c>
      <c r="F556" s="1" t="str">
        <f t="shared" si="34"/>
        <v>enemy_1178_dscorp_2</v>
      </c>
      <c r="G556" s="1">
        <v>1</v>
      </c>
      <c r="K556" s="1">
        <v>2800</v>
      </c>
      <c r="M556" s="1">
        <v>400</v>
      </c>
      <c r="O556" s="1">
        <v>400</v>
      </c>
      <c r="Q556" s="1">
        <v>30</v>
      </c>
      <c r="Y556" s="1">
        <v>0.05</v>
      </c>
      <c r="Z556" s="1">
        <v>2.1</v>
      </c>
      <c r="AA556" s="1">
        <v>0</v>
      </c>
      <c r="AB556" s="1">
        <v>1.5</v>
      </c>
      <c r="AG556" s="1">
        <v>0</v>
      </c>
      <c r="AH556" s="1">
        <v>1</v>
      </c>
      <c r="AI556" s="1" t="s">
        <v>2546</v>
      </c>
      <c r="AJ556" s="1" t="s">
        <v>216</v>
      </c>
      <c r="AK556" s="1" t="s">
        <v>238</v>
      </c>
      <c r="AM556" s="1">
        <v>1</v>
      </c>
      <c r="AV556" s="1">
        <v>1</v>
      </c>
      <c r="AX556" s="1">
        <v>0.25</v>
      </c>
      <c r="BE556" s="1" t="str">
        <f t="shared" si="35"/>
        <v>enemy_1178_dscorp_2</v>
      </c>
      <c r="BK556" s="1" t="s">
        <v>911</v>
      </c>
      <c r="BL556" s="1" t="s">
        <v>2547</v>
      </c>
      <c r="BN556" s="1" t="s">
        <v>217</v>
      </c>
      <c r="BO556" s="1" t="s">
        <v>218</v>
      </c>
      <c r="BP556" s="1" t="s">
        <v>239</v>
      </c>
      <c r="BQ556" s="1" t="s">
        <v>220</v>
      </c>
      <c r="BT556" s="1">
        <v>1</v>
      </c>
    </row>
    <row r="557" spans="1:72">
      <c r="A557" s="1" t="s">
        <v>2548</v>
      </c>
      <c r="B557" s="1" t="s">
        <v>213</v>
      </c>
      <c r="C557" s="1">
        <v>1</v>
      </c>
      <c r="D557" s="1" t="s">
        <v>2549</v>
      </c>
      <c r="E557" s="1">
        <v>1179</v>
      </c>
      <c r="F557" s="1" t="str">
        <f t="shared" si="34"/>
        <v>enemy_1179_aruarw</v>
      </c>
      <c r="G557" s="1">
        <v>1</v>
      </c>
      <c r="K557" s="1">
        <v>3000</v>
      </c>
      <c r="M557" s="1">
        <v>300</v>
      </c>
      <c r="O557" s="1">
        <v>100</v>
      </c>
      <c r="Q557" s="1">
        <v>0</v>
      </c>
      <c r="Y557" s="1">
        <v>0.05</v>
      </c>
      <c r="Z557" s="1">
        <v>2.9</v>
      </c>
      <c r="AA557" s="1">
        <v>1</v>
      </c>
      <c r="AB557" s="1">
        <v>0.9</v>
      </c>
      <c r="AG557" s="1">
        <v>0</v>
      </c>
      <c r="AH557" s="1">
        <v>1</v>
      </c>
      <c r="AI557" s="1" t="s">
        <v>2550</v>
      </c>
      <c r="AJ557" s="1" t="s">
        <v>216</v>
      </c>
      <c r="AK557" s="1" t="s">
        <v>238</v>
      </c>
      <c r="AM557" s="1">
        <v>1</v>
      </c>
      <c r="AV557" s="1">
        <v>1</v>
      </c>
      <c r="AX557" s="1">
        <v>0.25</v>
      </c>
      <c r="BE557" s="1" t="str">
        <f t="shared" si="35"/>
        <v>enemy_1179_aruarw</v>
      </c>
      <c r="BK557" s="1" t="s">
        <v>959</v>
      </c>
      <c r="BL557" s="1" t="s">
        <v>2551</v>
      </c>
      <c r="BN557" s="1" t="s">
        <v>217</v>
      </c>
      <c r="BO557" s="1" t="s">
        <v>218</v>
      </c>
      <c r="BP557" s="1" t="s">
        <v>239</v>
      </c>
      <c r="BQ557" s="1" t="s">
        <v>220</v>
      </c>
      <c r="BT557" s="1">
        <v>1</v>
      </c>
    </row>
    <row r="558" spans="1:72">
      <c r="A558" s="1" t="s">
        <v>2552</v>
      </c>
      <c r="B558" s="1" t="s">
        <v>213</v>
      </c>
      <c r="C558" s="1">
        <v>1</v>
      </c>
      <c r="D558" s="1" t="s">
        <v>2553</v>
      </c>
      <c r="E558" s="1">
        <v>1179</v>
      </c>
      <c r="F558" s="1" t="str">
        <f t="shared" si="34"/>
        <v>enemy_1179_aruarw_2</v>
      </c>
      <c r="G558" s="1">
        <v>1</v>
      </c>
      <c r="K558" s="1">
        <v>4000</v>
      </c>
      <c r="M558" s="1">
        <v>350</v>
      </c>
      <c r="O558" s="1">
        <v>150</v>
      </c>
      <c r="Q558" s="1">
        <v>0</v>
      </c>
      <c r="Y558" s="1">
        <v>0.05</v>
      </c>
      <c r="Z558" s="1">
        <v>2.9</v>
      </c>
      <c r="AA558" s="1">
        <v>1</v>
      </c>
      <c r="AB558" s="1">
        <v>0.9</v>
      </c>
      <c r="AG558" s="1">
        <v>0</v>
      </c>
      <c r="AH558" s="1">
        <v>1</v>
      </c>
      <c r="AI558" s="1" t="s">
        <v>2554</v>
      </c>
      <c r="AJ558" s="1" t="s">
        <v>216</v>
      </c>
      <c r="AK558" s="1" t="s">
        <v>238</v>
      </c>
      <c r="AM558" s="1">
        <v>1</v>
      </c>
      <c r="AV558" s="1">
        <v>1</v>
      </c>
      <c r="AX558" s="1">
        <v>0.25</v>
      </c>
      <c r="BE558" s="1" t="str">
        <f t="shared" si="35"/>
        <v>enemy_1179_aruarw_2</v>
      </c>
      <c r="BK558" s="1" t="s">
        <v>959</v>
      </c>
      <c r="BL558" s="1" t="s">
        <v>2555</v>
      </c>
      <c r="BN558" s="1" t="s">
        <v>217</v>
      </c>
      <c r="BO558" s="1" t="s">
        <v>218</v>
      </c>
      <c r="BP558" s="1" t="s">
        <v>239</v>
      </c>
      <c r="BQ558" s="1" t="s">
        <v>220</v>
      </c>
      <c r="BT558" s="1">
        <v>1</v>
      </c>
    </row>
    <row r="559" spans="1:72">
      <c r="A559" s="1" t="s">
        <v>2556</v>
      </c>
      <c r="B559" s="1" t="s">
        <v>213</v>
      </c>
      <c r="C559" s="1">
        <v>1</v>
      </c>
      <c r="D559" s="1" t="s">
        <v>2557</v>
      </c>
      <c r="E559" s="1">
        <v>1180</v>
      </c>
      <c r="F559" s="1" t="str">
        <f t="shared" si="34"/>
        <v>enemy_1180_aruass</v>
      </c>
      <c r="G559" s="1">
        <v>1</v>
      </c>
      <c r="K559" s="1">
        <v>4500</v>
      </c>
      <c r="M559" s="1">
        <v>400</v>
      </c>
      <c r="O559" s="1">
        <v>250</v>
      </c>
      <c r="Q559" s="1">
        <v>20</v>
      </c>
      <c r="Y559" s="1">
        <v>0.05</v>
      </c>
      <c r="Z559" s="1">
        <v>2.2</v>
      </c>
      <c r="AA559" s="1">
        <v>1</v>
      </c>
      <c r="AB559" s="1">
        <v>1</v>
      </c>
      <c r="AG559" s="1">
        <v>0</v>
      </c>
      <c r="AH559" s="1">
        <v>1</v>
      </c>
      <c r="AI559" s="1" t="s">
        <v>2558</v>
      </c>
      <c r="AJ559" s="1" t="s">
        <v>216</v>
      </c>
      <c r="AK559" s="1" t="s">
        <v>238</v>
      </c>
      <c r="AM559" s="1">
        <v>1</v>
      </c>
      <c r="AV559" s="1">
        <v>1</v>
      </c>
      <c r="AX559" s="1">
        <v>0.25</v>
      </c>
      <c r="BE559" s="1" t="str">
        <f t="shared" si="35"/>
        <v>enemy_1180_aruass</v>
      </c>
      <c r="BK559" s="1" t="s">
        <v>953</v>
      </c>
      <c r="BL559" s="1" t="s">
        <v>2559</v>
      </c>
      <c r="BN559" s="1" t="s">
        <v>217</v>
      </c>
      <c r="BO559" s="1" t="s">
        <v>218</v>
      </c>
      <c r="BP559" s="1" t="s">
        <v>239</v>
      </c>
      <c r="BQ559" s="1" t="s">
        <v>220</v>
      </c>
      <c r="BT559" s="1">
        <v>1</v>
      </c>
    </row>
    <row r="560" spans="1:72">
      <c r="A560" s="1" t="s">
        <v>2560</v>
      </c>
      <c r="B560" s="1" t="s">
        <v>213</v>
      </c>
      <c r="C560" s="1">
        <v>1</v>
      </c>
      <c r="D560" s="1" t="s">
        <v>2561</v>
      </c>
      <c r="E560" s="1">
        <v>1180</v>
      </c>
      <c r="F560" s="1" t="str">
        <f t="shared" si="34"/>
        <v>enemy_1180_aruass_2</v>
      </c>
      <c r="G560" s="1">
        <v>1</v>
      </c>
      <c r="K560" s="1">
        <v>5500</v>
      </c>
      <c r="M560" s="1">
        <v>500</v>
      </c>
      <c r="O560" s="1">
        <v>300</v>
      </c>
      <c r="Q560" s="1">
        <v>20</v>
      </c>
      <c r="Y560" s="1">
        <v>0.05</v>
      </c>
      <c r="Z560" s="1">
        <v>2.2</v>
      </c>
      <c r="AA560" s="1">
        <v>1</v>
      </c>
      <c r="AB560" s="1">
        <v>1</v>
      </c>
      <c r="AG560" s="1">
        <v>0</v>
      </c>
      <c r="AH560" s="1">
        <v>1</v>
      </c>
      <c r="AI560" s="1" t="s">
        <v>2562</v>
      </c>
      <c r="AJ560" s="1" t="s">
        <v>216</v>
      </c>
      <c r="AK560" s="1" t="s">
        <v>238</v>
      </c>
      <c r="AM560" s="1">
        <v>1</v>
      </c>
      <c r="AV560" s="1">
        <v>1</v>
      </c>
      <c r="AX560" s="1">
        <v>0.25</v>
      </c>
      <c r="BE560" s="1" t="str">
        <f t="shared" si="35"/>
        <v>enemy_1180_aruass_2</v>
      </c>
      <c r="BK560" s="1" t="s">
        <v>953</v>
      </c>
      <c r="BL560" s="1" t="s">
        <v>2563</v>
      </c>
      <c r="BN560" s="1" t="s">
        <v>217</v>
      </c>
      <c r="BO560" s="1" t="s">
        <v>218</v>
      </c>
      <c r="BP560" s="1" t="s">
        <v>239</v>
      </c>
      <c r="BQ560" s="1" t="s">
        <v>220</v>
      </c>
      <c r="BT560" s="1">
        <v>1</v>
      </c>
    </row>
    <row r="561" spans="1:72">
      <c r="A561" s="1" t="s">
        <v>2564</v>
      </c>
      <c r="B561" s="1" t="s">
        <v>213</v>
      </c>
      <c r="C561" s="1">
        <v>1</v>
      </c>
      <c r="D561" s="1" t="s">
        <v>2565</v>
      </c>
      <c r="E561" s="1">
        <v>1181</v>
      </c>
      <c r="F561" s="1" t="str">
        <f t="shared" si="34"/>
        <v>enemy_1181_napkgt</v>
      </c>
      <c r="G561" s="1">
        <v>1</v>
      </c>
      <c r="K561" s="1">
        <v>7500</v>
      </c>
      <c r="M561" s="1">
        <v>800</v>
      </c>
      <c r="O561" s="1">
        <v>550</v>
      </c>
      <c r="Q561" s="1">
        <v>20</v>
      </c>
      <c r="Y561" s="1">
        <v>0.05</v>
      </c>
      <c r="Z561" s="1">
        <v>2.5</v>
      </c>
      <c r="AA561" s="1">
        <v>3</v>
      </c>
      <c r="AB561" s="1">
        <v>1.3</v>
      </c>
      <c r="AG561" s="1">
        <v>0</v>
      </c>
      <c r="AH561" s="1">
        <v>1</v>
      </c>
      <c r="AI561" s="1" t="s">
        <v>2566</v>
      </c>
      <c r="AJ561" s="1" t="s">
        <v>216</v>
      </c>
      <c r="AK561" s="1" t="s">
        <v>238</v>
      </c>
      <c r="AM561" s="1">
        <v>1</v>
      </c>
      <c r="AV561" s="1">
        <v>1</v>
      </c>
      <c r="AX561" s="1">
        <v>0.25</v>
      </c>
      <c r="BE561" s="1" t="str">
        <f t="shared" si="35"/>
        <v>enemy_1181_napkgt</v>
      </c>
      <c r="BK561" s="1" t="s">
        <v>953</v>
      </c>
      <c r="BL561" s="1" t="s">
        <v>2567</v>
      </c>
      <c r="BN561" s="1" t="s">
        <v>217</v>
      </c>
      <c r="BO561" s="1" t="s">
        <v>218</v>
      </c>
      <c r="BP561" s="1" t="s">
        <v>239</v>
      </c>
      <c r="BQ561" s="1" t="s">
        <v>220</v>
      </c>
      <c r="BT561" s="1">
        <v>1</v>
      </c>
    </row>
    <row r="562" spans="1:72">
      <c r="A562" s="1" t="s">
        <v>2568</v>
      </c>
      <c r="B562" s="1" t="s">
        <v>213</v>
      </c>
      <c r="C562" s="1">
        <v>1</v>
      </c>
      <c r="D562" s="1" t="s">
        <v>2569</v>
      </c>
      <c r="E562" s="1">
        <v>1181</v>
      </c>
      <c r="F562" s="1" t="str">
        <f t="shared" si="34"/>
        <v>enemy_1181_napkgt_2</v>
      </c>
      <c r="G562" s="1">
        <v>1</v>
      </c>
      <c r="K562" s="1">
        <v>8500</v>
      </c>
      <c r="M562" s="1">
        <v>1000</v>
      </c>
      <c r="O562" s="1">
        <v>550</v>
      </c>
      <c r="Q562" s="1">
        <v>20</v>
      </c>
      <c r="Y562" s="1">
        <v>0.05</v>
      </c>
      <c r="Z562" s="1">
        <v>2.5</v>
      </c>
      <c r="AA562" s="1">
        <v>3</v>
      </c>
      <c r="AB562" s="1">
        <v>1.3</v>
      </c>
      <c r="AG562" s="1">
        <v>0</v>
      </c>
      <c r="AH562" s="1">
        <v>1</v>
      </c>
      <c r="AI562" s="1" t="s">
        <v>2570</v>
      </c>
      <c r="AJ562" s="1" t="s">
        <v>216</v>
      </c>
      <c r="AK562" s="1" t="s">
        <v>238</v>
      </c>
      <c r="AM562" s="1">
        <v>1</v>
      </c>
      <c r="AV562" s="1">
        <v>1</v>
      </c>
      <c r="AX562" s="1">
        <v>0.25</v>
      </c>
      <c r="BE562" s="1" t="str">
        <f t="shared" si="35"/>
        <v>enemy_1181_napkgt_2</v>
      </c>
      <c r="BK562" s="1" t="s">
        <v>953</v>
      </c>
      <c r="BL562" s="1" t="s">
        <v>2567</v>
      </c>
      <c r="BN562" s="1" t="s">
        <v>217</v>
      </c>
      <c r="BO562" s="1" t="s">
        <v>218</v>
      </c>
      <c r="BP562" s="1" t="s">
        <v>239</v>
      </c>
      <c r="BQ562" s="1" t="s">
        <v>220</v>
      </c>
      <c r="BT562" s="1">
        <v>1</v>
      </c>
    </row>
    <row r="563" spans="1:72">
      <c r="A563" s="1" t="s">
        <v>2571</v>
      </c>
      <c r="B563" s="1" t="s">
        <v>213</v>
      </c>
      <c r="C563" s="1">
        <v>1</v>
      </c>
      <c r="D563" s="1" t="s">
        <v>2572</v>
      </c>
      <c r="E563" s="1">
        <v>1182</v>
      </c>
      <c r="F563" s="1" t="str">
        <f t="shared" si="34"/>
        <v>enemy_1182_flasrt</v>
      </c>
      <c r="G563" s="1">
        <v>1</v>
      </c>
      <c r="K563" s="1">
        <v>6500</v>
      </c>
      <c r="M563" s="1">
        <v>500</v>
      </c>
      <c r="O563" s="1">
        <v>200</v>
      </c>
      <c r="Q563" s="1">
        <v>40</v>
      </c>
      <c r="Y563" s="1">
        <v>0.05</v>
      </c>
      <c r="Z563" s="1">
        <v>3</v>
      </c>
      <c r="AA563" s="1">
        <v>2</v>
      </c>
      <c r="AB563" s="1">
        <v>0.8</v>
      </c>
      <c r="AG563" s="1">
        <v>0</v>
      </c>
      <c r="AH563" s="1">
        <v>1</v>
      </c>
      <c r="AI563" s="1" t="s">
        <v>2573</v>
      </c>
      <c r="AJ563" s="1" t="s">
        <v>216</v>
      </c>
      <c r="AK563" s="1" t="s">
        <v>238</v>
      </c>
      <c r="AM563" s="1">
        <v>1</v>
      </c>
      <c r="AV563" s="1">
        <v>1</v>
      </c>
      <c r="AX563" s="1">
        <v>0.25</v>
      </c>
      <c r="BE563" s="1" t="str">
        <f t="shared" si="35"/>
        <v>enemy_1182_flasrt</v>
      </c>
      <c r="BK563" s="1" t="s">
        <v>980</v>
      </c>
      <c r="BL563" s="1" t="s">
        <v>2574</v>
      </c>
      <c r="BN563" s="1" t="s">
        <v>217</v>
      </c>
      <c r="BO563" s="1" t="s">
        <v>218</v>
      </c>
      <c r="BP563" s="1" t="s">
        <v>239</v>
      </c>
      <c r="BQ563" s="1" t="s">
        <v>220</v>
      </c>
      <c r="BT563" s="1">
        <v>1</v>
      </c>
    </row>
    <row r="564" spans="1:72">
      <c r="A564" s="1" t="s">
        <v>2575</v>
      </c>
      <c r="B564" s="1" t="s">
        <v>213</v>
      </c>
      <c r="C564" s="1">
        <v>1</v>
      </c>
      <c r="D564" s="1" t="s">
        <v>2576</v>
      </c>
      <c r="E564" s="1">
        <v>1182</v>
      </c>
      <c r="F564" s="1" t="str">
        <f t="shared" si="34"/>
        <v>enemy_1182_flasrt_2</v>
      </c>
      <c r="G564" s="1">
        <v>1</v>
      </c>
      <c r="K564" s="1">
        <v>8000</v>
      </c>
      <c r="M564" s="1">
        <v>600</v>
      </c>
      <c r="O564" s="1">
        <v>200</v>
      </c>
      <c r="Q564" s="1">
        <v>40</v>
      </c>
      <c r="Y564" s="1">
        <v>0.05</v>
      </c>
      <c r="Z564" s="1">
        <v>3</v>
      </c>
      <c r="AA564" s="1">
        <v>2</v>
      </c>
      <c r="AB564" s="1">
        <v>0.8</v>
      </c>
      <c r="AG564" s="1">
        <v>0</v>
      </c>
      <c r="AH564" s="1">
        <v>1</v>
      </c>
      <c r="AI564" s="1" t="s">
        <v>2577</v>
      </c>
      <c r="AJ564" s="1" t="s">
        <v>216</v>
      </c>
      <c r="AK564" s="1" t="s">
        <v>238</v>
      </c>
      <c r="AM564" s="1">
        <v>1</v>
      </c>
      <c r="AV564" s="1">
        <v>1</v>
      </c>
      <c r="AX564" s="1">
        <v>0.25</v>
      </c>
      <c r="BE564" s="1" t="str">
        <f t="shared" si="35"/>
        <v>enemy_1182_flasrt_2</v>
      </c>
      <c r="BK564" s="1" t="s">
        <v>980</v>
      </c>
      <c r="BL564" s="1" t="s">
        <v>2574</v>
      </c>
      <c r="BN564" s="1" t="s">
        <v>217</v>
      </c>
      <c r="BO564" s="1" t="s">
        <v>218</v>
      </c>
      <c r="BP564" s="1" t="s">
        <v>239</v>
      </c>
      <c r="BQ564" s="1" t="s">
        <v>220</v>
      </c>
      <c r="BT564" s="1">
        <v>1</v>
      </c>
    </row>
    <row r="565" spans="1:72">
      <c r="A565" s="1" t="s">
        <v>2578</v>
      </c>
      <c r="B565" s="1" t="s">
        <v>213</v>
      </c>
      <c r="C565" s="1">
        <v>1</v>
      </c>
      <c r="D565" s="1" t="s">
        <v>2579</v>
      </c>
      <c r="E565" s="1">
        <v>1182</v>
      </c>
      <c r="F565" s="1" t="str">
        <f t="shared" si="34"/>
        <v>enemy_1182_flasrt_3</v>
      </c>
      <c r="G565" s="1">
        <v>1</v>
      </c>
      <c r="K565" s="1">
        <v>9000</v>
      </c>
      <c r="M565" s="1">
        <v>600</v>
      </c>
      <c r="O565" s="1">
        <v>200</v>
      </c>
      <c r="Q565" s="1">
        <v>40</v>
      </c>
      <c r="Y565" s="1">
        <v>0.05</v>
      </c>
      <c r="Z565" s="1">
        <v>3</v>
      </c>
      <c r="AA565" s="1">
        <v>2</v>
      </c>
      <c r="AB565" s="1">
        <v>0.8</v>
      </c>
      <c r="AG565" s="1">
        <v>0</v>
      </c>
      <c r="AH565" s="1">
        <v>1</v>
      </c>
      <c r="AI565" s="1" t="s">
        <v>2580</v>
      </c>
      <c r="AJ565" s="1" t="s">
        <v>216</v>
      </c>
      <c r="AK565" s="1" t="s">
        <v>238</v>
      </c>
      <c r="AM565" s="1">
        <v>1</v>
      </c>
      <c r="AV565" s="1">
        <v>1</v>
      </c>
      <c r="AX565" s="1">
        <v>0.25</v>
      </c>
      <c r="BE565" s="1" t="str">
        <f t="shared" si="35"/>
        <v>enemy_1182_flasrt_3</v>
      </c>
      <c r="BK565" s="1" t="s">
        <v>980</v>
      </c>
      <c r="BL565" s="1" t="s">
        <v>2574</v>
      </c>
      <c r="BN565" s="1" t="s">
        <v>217</v>
      </c>
      <c r="BO565" s="1" t="s">
        <v>218</v>
      </c>
      <c r="BP565" s="1" t="s">
        <v>239</v>
      </c>
      <c r="BQ565" s="1" t="s">
        <v>220</v>
      </c>
      <c r="BT565" s="1">
        <v>1</v>
      </c>
    </row>
    <row r="566" spans="1:72">
      <c r="A566" s="1" t="s">
        <v>2581</v>
      </c>
      <c r="B566" s="1" t="s">
        <v>213</v>
      </c>
      <c r="C566" s="1">
        <v>1</v>
      </c>
      <c r="D566" s="1" t="s">
        <v>2582</v>
      </c>
      <c r="E566" s="1">
        <v>1183</v>
      </c>
      <c r="F566" s="1" t="str">
        <f t="shared" si="34"/>
        <v>enemy_1183_mlasrt</v>
      </c>
      <c r="G566" s="1">
        <v>1</v>
      </c>
      <c r="K566" s="1">
        <v>6500</v>
      </c>
      <c r="M566" s="1">
        <v>700</v>
      </c>
      <c r="O566" s="1">
        <v>200</v>
      </c>
      <c r="Q566" s="1">
        <v>40</v>
      </c>
      <c r="Y566" s="1">
        <v>0.05</v>
      </c>
      <c r="Z566" s="1">
        <v>5</v>
      </c>
      <c r="AA566" s="1">
        <v>2</v>
      </c>
      <c r="AB566" s="1">
        <v>0.8</v>
      </c>
      <c r="AG566" s="1">
        <v>0</v>
      </c>
      <c r="AH566" s="1">
        <v>1</v>
      </c>
      <c r="AI566" s="1" t="s">
        <v>2583</v>
      </c>
      <c r="AJ566" s="1" t="s">
        <v>216</v>
      </c>
      <c r="AK566" s="1" t="s">
        <v>238</v>
      </c>
      <c r="AM566" s="1">
        <v>1</v>
      </c>
      <c r="AV566" s="1">
        <v>1</v>
      </c>
      <c r="AX566" s="1">
        <v>0.25</v>
      </c>
      <c r="BE566" s="1" t="str">
        <f t="shared" si="35"/>
        <v>enemy_1183_mlasrt</v>
      </c>
      <c r="BK566" s="1" t="s">
        <v>980</v>
      </c>
      <c r="BL566" s="1" t="s">
        <v>2574</v>
      </c>
      <c r="BN566" s="1" t="s">
        <v>217</v>
      </c>
      <c r="BO566" s="1" t="s">
        <v>218</v>
      </c>
      <c r="BP566" s="1" t="s">
        <v>239</v>
      </c>
      <c r="BQ566" s="1" t="s">
        <v>220</v>
      </c>
      <c r="BT566" s="1">
        <v>1</v>
      </c>
    </row>
    <row r="567" spans="1:72">
      <c r="A567" s="1" t="s">
        <v>2584</v>
      </c>
      <c r="B567" s="1" t="s">
        <v>213</v>
      </c>
      <c r="C567" s="1">
        <v>1</v>
      </c>
      <c r="D567" s="1" t="s">
        <v>2585</v>
      </c>
      <c r="E567" s="1">
        <v>1183</v>
      </c>
      <c r="F567" s="1" t="str">
        <f t="shared" si="34"/>
        <v>enemy_1183_mlasrt_2</v>
      </c>
      <c r="G567" s="1">
        <v>1</v>
      </c>
      <c r="K567" s="1">
        <v>8000</v>
      </c>
      <c r="M567" s="1">
        <v>800</v>
      </c>
      <c r="O567" s="1">
        <v>200</v>
      </c>
      <c r="Q567" s="1">
        <v>40</v>
      </c>
      <c r="Y567" s="1">
        <v>0.05</v>
      </c>
      <c r="Z567" s="1">
        <v>5</v>
      </c>
      <c r="AA567" s="1">
        <v>2</v>
      </c>
      <c r="AB567" s="1">
        <v>0.8</v>
      </c>
      <c r="AG567" s="1">
        <v>0</v>
      </c>
      <c r="AH567" s="1">
        <v>1</v>
      </c>
      <c r="AI567" s="1" t="s">
        <v>2586</v>
      </c>
      <c r="AJ567" s="1" t="s">
        <v>216</v>
      </c>
      <c r="AK567" s="1" t="s">
        <v>238</v>
      </c>
      <c r="AM567" s="1">
        <v>1</v>
      </c>
      <c r="AV567" s="1">
        <v>1</v>
      </c>
      <c r="AX567" s="1">
        <v>0.25</v>
      </c>
      <c r="BE567" s="1" t="str">
        <f t="shared" si="35"/>
        <v>enemy_1183_mlasrt_2</v>
      </c>
      <c r="BK567" s="1" t="s">
        <v>980</v>
      </c>
      <c r="BL567" s="1" t="s">
        <v>2574</v>
      </c>
      <c r="BN567" s="1" t="s">
        <v>217</v>
      </c>
      <c r="BO567" s="1" t="s">
        <v>218</v>
      </c>
      <c r="BP567" s="1" t="s">
        <v>239</v>
      </c>
      <c r="BQ567" s="1" t="s">
        <v>220</v>
      </c>
      <c r="BT567" s="1">
        <v>1</v>
      </c>
    </row>
    <row r="568" spans="1:72">
      <c r="A568" s="1" t="s">
        <v>2587</v>
      </c>
      <c r="B568" s="1" t="s">
        <v>213</v>
      </c>
      <c r="C568" s="1">
        <v>1</v>
      </c>
      <c r="D568" s="1" t="s">
        <v>2588</v>
      </c>
      <c r="E568" s="1">
        <v>1183</v>
      </c>
      <c r="F568" s="1" t="str">
        <f t="shared" si="34"/>
        <v>enemy_1183_mlasrt_3</v>
      </c>
      <c r="G568" s="1">
        <v>1</v>
      </c>
      <c r="K568" s="1">
        <v>9000</v>
      </c>
      <c r="M568" s="1">
        <v>800</v>
      </c>
      <c r="O568" s="1">
        <v>200</v>
      </c>
      <c r="Q568" s="1">
        <v>40</v>
      </c>
      <c r="Y568" s="1">
        <v>0.05</v>
      </c>
      <c r="Z568" s="1">
        <v>5</v>
      </c>
      <c r="AA568" s="1">
        <v>2</v>
      </c>
      <c r="AB568" s="1">
        <v>0.8</v>
      </c>
      <c r="AG568" s="1">
        <v>0</v>
      </c>
      <c r="AH568" s="1">
        <v>1</v>
      </c>
      <c r="AI568" s="1" t="s">
        <v>2589</v>
      </c>
      <c r="AJ568" s="1" t="s">
        <v>216</v>
      </c>
      <c r="AK568" s="1" t="s">
        <v>238</v>
      </c>
      <c r="AM568" s="1">
        <v>1</v>
      </c>
      <c r="AV568" s="1">
        <v>1</v>
      </c>
      <c r="AX568" s="1">
        <v>0.25</v>
      </c>
      <c r="BE568" s="1" t="str">
        <f t="shared" si="35"/>
        <v>enemy_1183_mlasrt_3</v>
      </c>
      <c r="BK568" s="1" t="s">
        <v>980</v>
      </c>
      <c r="BL568" s="1" t="s">
        <v>2574</v>
      </c>
      <c r="BN568" s="1" t="s">
        <v>217</v>
      </c>
      <c r="BO568" s="1" t="s">
        <v>218</v>
      </c>
      <c r="BP568" s="1" t="s">
        <v>239</v>
      </c>
      <c r="BQ568" s="1" t="s">
        <v>220</v>
      </c>
      <c r="BT568" s="1">
        <v>1</v>
      </c>
    </row>
    <row r="569" spans="1:72">
      <c r="A569" s="1" t="s">
        <v>2590</v>
      </c>
      <c r="B569" s="1" t="s">
        <v>213</v>
      </c>
      <c r="C569" s="1">
        <v>1</v>
      </c>
      <c r="D569" s="1" t="s">
        <v>2591</v>
      </c>
      <c r="E569" s="1">
        <v>1184</v>
      </c>
      <c r="F569" s="1" t="str">
        <f t="shared" si="34"/>
        <v>enemy_1184_cadkgt</v>
      </c>
      <c r="G569" s="1">
        <v>1</v>
      </c>
      <c r="K569" s="1">
        <v>7500</v>
      </c>
      <c r="M569" s="1">
        <v>350</v>
      </c>
      <c r="O569" s="1">
        <v>300</v>
      </c>
      <c r="Q569" s="1">
        <v>60</v>
      </c>
      <c r="Y569" s="1">
        <v>0.05</v>
      </c>
      <c r="Z569" s="1">
        <v>3.2</v>
      </c>
      <c r="AA569" s="1">
        <v>4</v>
      </c>
      <c r="AB569" s="1">
        <v>0.7</v>
      </c>
      <c r="AG569" s="1">
        <v>0</v>
      </c>
      <c r="AH569" s="1">
        <v>1</v>
      </c>
      <c r="AI569" s="1" t="s">
        <v>2592</v>
      </c>
      <c r="AJ569" s="1" t="s">
        <v>216</v>
      </c>
      <c r="AK569" s="1" t="s">
        <v>238</v>
      </c>
      <c r="AM569" s="1">
        <v>1</v>
      </c>
      <c r="AV569" s="1">
        <v>1</v>
      </c>
      <c r="AX569" s="1">
        <v>0.25</v>
      </c>
      <c r="BE569" s="1" t="str">
        <f t="shared" si="35"/>
        <v>enemy_1184_cadkgt</v>
      </c>
      <c r="BK569" s="1" t="s">
        <v>980</v>
      </c>
      <c r="BL569" s="1" t="s">
        <v>2593</v>
      </c>
      <c r="BN569" s="1" t="s">
        <v>217</v>
      </c>
      <c r="BO569" s="1" t="s">
        <v>218</v>
      </c>
      <c r="BP569" s="1" t="s">
        <v>239</v>
      </c>
      <c r="BQ569" s="1" t="s">
        <v>220</v>
      </c>
      <c r="BT569" s="1">
        <v>1</v>
      </c>
    </row>
    <row r="570" spans="1:72">
      <c r="A570" s="1" t="s">
        <v>2594</v>
      </c>
      <c r="B570" s="1" t="s">
        <v>213</v>
      </c>
      <c r="C570" s="1">
        <v>1</v>
      </c>
      <c r="D570" s="1" t="s">
        <v>2595</v>
      </c>
      <c r="E570" s="1">
        <v>1184</v>
      </c>
      <c r="F570" s="1" t="str">
        <f t="shared" si="34"/>
        <v>enemy_1184_cadkgt_2</v>
      </c>
      <c r="G570" s="1">
        <v>1</v>
      </c>
      <c r="K570" s="1">
        <v>8500</v>
      </c>
      <c r="M570" s="1">
        <v>450</v>
      </c>
      <c r="O570" s="1">
        <v>350</v>
      </c>
      <c r="Q570" s="1">
        <v>60</v>
      </c>
      <c r="Y570" s="1">
        <v>0.05</v>
      </c>
      <c r="Z570" s="1">
        <v>3.2</v>
      </c>
      <c r="AA570" s="1">
        <v>4</v>
      </c>
      <c r="AB570" s="1">
        <v>0.7</v>
      </c>
      <c r="AG570" s="1">
        <v>0</v>
      </c>
      <c r="AH570" s="1">
        <v>1</v>
      </c>
      <c r="AI570" s="1" t="s">
        <v>2596</v>
      </c>
      <c r="AJ570" s="1" t="s">
        <v>216</v>
      </c>
      <c r="AK570" s="1" t="s">
        <v>238</v>
      </c>
      <c r="AM570" s="1">
        <v>1</v>
      </c>
      <c r="AV570" s="1">
        <v>1</v>
      </c>
      <c r="AX570" s="1">
        <v>0.25</v>
      </c>
      <c r="BE570" s="1" t="str">
        <f t="shared" si="35"/>
        <v>enemy_1184_cadkgt_2</v>
      </c>
      <c r="BK570" s="1" t="s">
        <v>980</v>
      </c>
      <c r="BL570" s="1" t="s">
        <v>2593</v>
      </c>
      <c r="BN570" s="1" t="s">
        <v>217</v>
      </c>
      <c r="BO570" s="1" t="s">
        <v>218</v>
      </c>
      <c r="BP570" s="1" t="s">
        <v>239</v>
      </c>
      <c r="BQ570" s="1" t="s">
        <v>220</v>
      </c>
      <c r="BT570" s="1">
        <v>1</v>
      </c>
    </row>
    <row r="571" spans="1:72">
      <c r="A571" s="1" t="s">
        <v>2597</v>
      </c>
      <c r="B571" s="1" t="s">
        <v>213</v>
      </c>
      <c r="C571" s="1">
        <v>1</v>
      </c>
      <c r="D571" s="1" t="s">
        <v>2598</v>
      </c>
      <c r="E571" s="1">
        <v>1184</v>
      </c>
      <c r="F571" s="1" t="str">
        <f t="shared" si="34"/>
        <v>enemy_1184_cadkgt_3</v>
      </c>
      <c r="G571" s="1">
        <v>1</v>
      </c>
      <c r="K571" s="1">
        <v>8500</v>
      </c>
      <c r="M571" s="1">
        <v>450</v>
      </c>
      <c r="O571" s="1">
        <v>350</v>
      </c>
      <c r="Q571" s="1">
        <v>60</v>
      </c>
      <c r="Y571" s="1">
        <v>0.05</v>
      </c>
      <c r="Z571" s="1">
        <v>3.2</v>
      </c>
      <c r="AA571" s="1">
        <v>4</v>
      </c>
      <c r="AB571" s="1">
        <v>0.7</v>
      </c>
      <c r="AG571" s="1">
        <v>0</v>
      </c>
      <c r="AH571" s="1">
        <v>1</v>
      </c>
      <c r="AI571" s="1" t="s">
        <v>2599</v>
      </c>
      <c r="AJ571" s="1" t="s">
        <v>216</v>
      </c>
      <c r="AK571" s="1" t="s">
        <v>238</v>
      </c>
      <c r="AM571" s="1">
        <v>1</v>
      </c>
      <c r="AV571" s="1">
        <v>1</v>
      </c>
      <c r="AX571" s="1">
        <v>0.25</v>
      </c>
      <c r="BE571" s="1" t="str">
        <f t="shared" si="35"/>
        <v>enemy_1184_cadkgt_3</v>
      </c>
      <c r="BK571" s="1" t="s">
        <v>980</v>
      </c>
      <c r="BL571" s="1" t="s">
        <v>2593</v>
      </c>
      <c r="BN571" s="1" t="s">
        <v>217</v>
      </c>
      <c r="BO571" s="1" t="s">
        <v>218</v>
      </c>
      <c r="BP571" s="1" t="s">
        <v>239</v>
      </c>
      <c r="BQ571" s="1" t="s">
        <v>220</v>
      </c>
      <c r="BT571" s="1">
        <v>1</v>
      </c>
    </row>
    <row r="572" spans="1:72">
      <c r="A572" s="1" t="s">
        <v>2600</v>
      </c>
      <c r="B572" s="1" t="s">
        <v>213</v>
      </c>
      <c r="C572" s="1">
        <v>1</v>
      </c>
      <c r="D572" s="1" t="s">
        <v>2601</v>
      </c>
      <c r="E572" s="1">
        <v>1185</v>
      </c>
      <c r="F572" s="1" t="str">
        <f t="shared" si="34"/>
        <v>enemy_1185_nmekgt</v>
      </c>
      <c r="G572" s="1">
        <v>1</v>
      </c>
      <c r="K572" s="1">
        <v>10000</v>
      </c>
      <c r="M572" s="1">
        <v>1200</v>
      </c>
      <c r="O572" s="1">
        <v>700</v>
      </c>
      <c r="Q572" s="1">
        <v>20</v>
      </c>
      <c r="Y572" s="1">
        <v>0.05</v>
      </c>
      <c r="Z572" s="1">
        <v>5</v>
      </c>
      <c r="AA572" s="1">
        <v>5</v>
      </c>
      <c r="AB572" s="1">
        <v>0.7</v>
      </c>
      <c r="AG572" s="1">
        <v>0</v>
      </c>
      <c r="AH572" s="1">
        <v>1</v>
      </c>
      <c r="AI572" s="1" t="s">
        <v>2602</v>
      </c>
      <c r="AJ572" s="1" t="s">
        <v>216</v>
      </c>
      <c r="AK572" s="1" t="s">
        <v>238</v>
      </c>
      <c r="AM572" s="1">
        <v>1</v>
      </c>
      <c r="AV572" s="1">
        <v>1</v>
      </c>
      <c r="AX572" s="1">
        <v>0.25</v>
      </c>
      <c r="BE572" s="1" t="str">
        <f t="shared" si="35"/>
        <v>enemy_1185_nmekgt</v>
      </c>
      <c r="BK572" s="1" t="s">
        <v>1012</v>
      </c>
      <c r="BL572" s="1" t="s">
        <v>2603</v>
      </c>
      <c r="BN572" s="1" t="s">
        <v>217</v>
      </c>
      <c r="BO572" s="1" t="s">
        <v>218</v>
      </c>
      <c r="BP572" s="1" t="s">
        <v>239</v>
      </c>
      <c r="BQ572" s="1" t="s">
        <v>220</v>
      </c>
      <c r="BT572" s="1">
        <v>1</v>
      </c>
    </row>
    <row r="573" spans="1:72">
      <c r="A573" s="1" t="s">
        <v>2604</v>
      </c>
      <c r="B573" s="1" t="s">
        <v>213</v>
      </c>
      <c r="C573" s="1">
        <v>1</v>
      </c>
      <c r="D573" s="1" t="s">
        <v>2605</v>
      </c>
      <c r="E573" s="1">
        <v>1185</v>
      </c>
      <c r="F573" s="1" t="str">
        <f t="shared" si="34"/>
        <v>enemy_1185_nmekgt_2</v>
      </c>
      <c r="G573" s="1">
        <v>1</v>
      </c>
      <c r="K573" s="1">
        <v>15000</v>
      </c>
      <c r="M573" s="1">
        <v>1500</v>
      </c>
      <c r="O573" s="1">
        <v>750</v>
      </c>
      <c r="Q573" s="1">
        <v>20</v>
      </c>
      <c r="Y573" s="1">
        <v>0.05</v>
      </c>
      <c r="Z573" s="1">
        <v>5</v>
      </c>
      <c r="AA573" s="1">
        <v>5</v>
      </c>
      <c r="AB573" s="1">
        <v>0.7</v>
      </c>
      <c r="AG573" s="1">
        <v>0</v>
      </c>
      <c r="AH573" s="1">
        <v>1</v>
      </c>
      <c r="AI573" s="1" t="s">
        <v>2606</v>
      </c>
      <c r="AJ573" s="1" t="s">
        <v>216</v>
      </c>
      <c r="AK573" s="1" t="s">
        <v>238</v>
      </c>
      <c r="AM573" s="1">
        <v>1</v>
      </c>
      <c r="AV573" s="1">
        <v>1</v>
      </c>
      <c r="AX573" s="1">
        <v>0.25</v>
      </c>
      <c r="BE573" s="1" t="str">
        <f t="shared" si="35"/>
        <v>enemy_1185_nmekgt_2</v>
      </c>
      <c r="BK573" s="1" t="s">
        <v>1012</v>
      </c>
      <c r="BL573" s="1" t="s">
        <v>2603</v>
      </c>
      <c r="BN573" s="1" t="s">
        <v>217</v>
      </c>
      <c r="BO573" s="1" t="s">
        <v>218</v>
      </c>
      <c r="BP573" s="1" t="s">
        <v>239</v>
      </c>
      <c r="BQ573" s="1" t="s">
        <v>220</v>
      </c>
      <c r="BT573" s="1">
        <v>1</v>
      </c>
    </row>
    <row r="574" spans="1:72">
      <c r="A574" s="1" t="s">
        <v>2607</v>
      </c>
      <c r="B574" s="1" t="s">
        <v>213</v>
      </c>
      <c r="C574" s="1">
        <v>1</v>
      </c>
      <c r="D574" s="1" t="s">
        <v>2608</v>
      </c>
      <c r="E574" s="1">
        <v>1185</v>
      </c>
      <c r="F574" s="1" t="str">
        <f t="shared" si="34"/>
        <v>enemy_1185_nmekgt_3</v>
      </c>
      <c r="G574" s="1">
        <v>1</v>
      </c>
      <c r="K574" s="1">
        <v>18000</v>
      </c>
      <c r="M574" s="1">
        <v>1200</v>
      </c>
      <c r="O574" s="1">
        <v>700</v>
      </c>
      <c r="Q574" s="1">
        <v>20</v>
      </c>
      <c r="Y574" s="1">
        <v>0.05</v>
      </c>
      <c r="Z574" s="1">
        <v>5</v>
      </c>
      <c r="AA574" s="1">
        <v>5</v>
      </c>
      <c r="AB574" s="1">
        <v>0.7</v>
      </c>
      <c r="AG574" s="1">
        <v>0</v>
      </c>
      <c r="AH574" s="1">
        <v>1</v>
      </c>
      <c r="AI574" s="1" t="s">
        <v>2609</v>
      </c>
      <c r="AJ574" s="1" t="s">
        <v>216</v>
      </c>
      <c r="AK574" s="1" t="s">
        <v>238</v>
      </c>
      <c r="AM574" s="1">
        <v>1</v>
      </c>
      <c r="AV574" s="1">
        <v>1</v>
      </c>
      <c r="AX574" s="1">
        <v>0.25</v>
      </c>
      <c r="BE574" s="1" t="str">
        <f t="shared" si="35"/>
        <v>enemy_1185_nmekgt_3</v>
      </c>
      <c r="BK574" s="1" t="s">
        <v>1012</v>
      </c>
      <c r="BL574" s="1" t="s">
        <v>2603</v>
      </c>
      <c r="BN574" s="1" t="s">
        <v>217</v>
      </c>
      <c r="BO574" s="1" t="s">
        <v>218</v>
      </c>
      <c r="BP574" s="1" t="s">
        <v>239</v>
      </c>
      <c r="BQ574" s="1" t="s">
        <v>220</v>
      </c>
      <c r="BT574" s="1">
        <v>1</v>
      </c>
    </row>
    <row r="575" spans="1:72">
      <c r="A575" s="1" t="s">
        <v>2610</v>
      </c>
      <c r="B575" s="1" t="s">
        <v>213</v>
      </c>
      <c r="C575" s="1">
        <v>1</v>
      </c>
      <c r="D575" s="1" t="s">
        <v>2611</v>
      </c>
      <c r="E575" s="1">
        <v>1186</v>
      </c>
      <c r="F575" s="1" t="str">
        <f t="shared" si="34"/>
        <v>enemy_1186_bldbld</v>
      </c>
      <c r="G575" s="1">
        <v>1</v>
      </c>
      <c r="K575" s="1">
        <v>8000</v>
      </c>
      <c r="M575" s="1">
        <v>800</v>
      </c>
      <c r="O575" s="1">
        <v>300</v>
      </c>
      <c r="Q575" s="1">
        <v>80</v>
      </c>
      <c r="Y575" s="1">
        <v>0.05</v>
      </c>
      <c r="Z575" s="1">
        <v>3</v>
      </c>
      <c r="AA575" s="1">
        <v>0</v>
      </c>
      <c r="AB575" s="1">
        <v>1.5</v>
      </c>
      <c r="AG575" s="1">
        <v>0</v>
      </c>
      <c r="AH575" s="1">
        <v>1</v>
      </c>
      <c r="AI575" s="1" t="s">
        <v>2612</v>
      </c>
      <c r="AJ575" s="1" t="s">
        <v>216</v>
      </c>
      <c r="AK575" s="1" t="s">
        <v>238</v>
      </c>
      <c r="AM575" s="1">
        <v>1</v>
      </c>
      <c r="AV575" s="1">
        <v>1</v>
      </c>
      <c r="AX575" s="1">
        <v>0.25</v>
      </c>
      <c r="BE575" s="1" t="str">
        <f t="shared" si="35"/>
        <v>enemy_1186_bldbld</v>
      </c>
      <c r="BK575" s="1" t="s">
        <v>1012</v>
      </c>
      <c r="BL575" s="1" t="s">
        <v>2613</v>
      </c>
      <c r="BN575" s="1" t="s">
        <v>217</v>
      </c>
      <c r="BO575" s="1" t="s">
        <v>218</v>
      </c>
      <c r="BP575" s="1" t="s">
        <v>239</v>
      </c>
      <c r="BQ575" s="1" t="s">
        <v>220</v>
      </c>
      <c r="BT575" s="1">
        <v>1</v>
      </c>
    </row>
    <row r="576" spans="1:72">
      <c r="A576" s="1" t="s">
        <v>2614</v>
      </c>
      <c r="B576" s="1" t="s">
        <v>213</v>
      </c>
      <c r="C576" s="1">
        <v>1</v>
      </c>
      <c r="D576" s="1" t="s">
        <v>2615</v>
      </c>
      <c r="E576" s="1">
        <v>1524</v>
      </c>
      <c r="F576" s="1" t="str">
        <f t="shared" si="34"/>
        <v>enemy_1524_bldkgt</v>
      </c>
      <c r="G576" s="1">
        <v>1</v>
      </c>
      <c r="K576" s="1">
        <v>30000</v>
      </c>
      <c r="M576" s="1">
        <v>1750</v>
      </c>
      <c r="O576" s="1">
        <v>1000</v>
      </c>
      <c r="Q576" s="1">
        <v>40</v>
      </c>
      <c r="Y576" s="1">
        <v>0.05</v>
      </c>
      <c r="Z576" s="1">
        <v>6</v>
      </c>
      <c r="AA576" s="1">
        <v>7</v>
      </c>
      <c r="AB576" s="1">
        <v>0.6</v>
      </c>
      <c r="AG576" s="1">
        <v>0</v>
      </c>
      <c r="AH576" s="1">
        <v>1</v>
      </c>
      <c r="AI576" s="1" t="s">
        <v>2616</v>
      </c>
      <c r="AJ576" s="1" t="s">
        <v>216</v>
      </c>
      <c r="AK576" s="1" t="s">
        <v>238</v>
      </c>
      <c r="AM576" s="1">
        <v>1</v>
      </c>
      <c r="AV576" s="1">
        <v>1</v>
      </c>
      <c r="AX576" s="1">
        <v>0.25</v>
      </c>
      <c r="BE576" s="1" t="str">
        <f t="shared" si="35"/>
        <v>enemy_1524_bldkgt</v>
      </c>
      <c r="BK576" s="1" t="s">
        <v>1342</v>
      </c>
      <c r="BL576" s="1" t="s">
        <v>2617</v>
      </c>
      <c r="BN576" s="1" t="s">
        <v>217</v>
      </c>
      <c r="BO576" s="1" t="s">
        <v>2618</v>
      </c>
      <c r="BP576" s="1" t="s">
        <v>2619</v>
      </c>
      <c r="BQ576" s="1" t="s">
        <v>2620</v>
      </c>
      <c r="BT576" s="1">
        <v>1</v>
      </c>
    </row>
    <row r="577" spans="1:72">
      <c r="A577" s="1" t="s">
        <v>2621</v>
      </c>
      <c r="B577" s="1" t="s">
        <v>213</v>
      </c>
      <c r="C577" s="1">
        <v>1</v>
      </c>
      <c r="D577" s="1" t="s">
        <v>2622</v>
      </c>
      <c r="E577" s="1">
        <v>1187</v>
      </c>
      <c r="F577" s="1" t="str">
        <f t="shared" si="34"/>
        <v>enemy_1187_krghd</v>
      </c>
      <c r="G577" s="1">
        <v>1</v>
      </c>
      <c r="K577" s="1">
        <v>3500</v>
      </c>
      <c r="M577" s="1">
        <v>290</v>
      </c>
      <c r="O577" s="1">
        <v>0</v>
      </c>
      <c r="Q577" s="1">
        <v>20</v>
      </c>
      <c r="Y577" s="1">
        <v>0.05</v>
      </c>
      <c r="Z577" s="1">
        <v>1.4</v>
      </c>
      <c r="AA577" s="1">
        <v>0</v>
      </c>
      <c r="AB577" s="1">
        <v>1.9</v>
      </c>
      <c r="AG577" s="1">
        <v>0</v>
      </c>
      <c r="AH577" s="1">
        <v>1</v>
      </c>
      <c r="AI577" s="1" t="s">
        <v>2623</v>
      </c>
      <c r="AJ577" s="1" t="s">
        <v>216</v>
      </c>
      <c r="AK577" s="1" t="s">
        <v>238</v>
      </c>
      <c r="AM577" s="1">
        <v>1</v>
      </c>
      <c r="AV577" s="1">
        <v>1</v>
      </c>
      <c r="AX577" s="1">
        <v>0.25</v>
      </c>
      <c r="BE577" s="1" t="str">
        <f t="shared" si="35"/>
        <v>enemy_1187_krghd</v>
      </c>
      <c r="BK577" s="1" t="s">
        <v>953</v>
      </c>
      <c r="BL577" s="1" t="s">
        <v>2624</v>
      </c>
      <c r="BN577" s="1" t="s">
        <v>217</v>
      </c>
      <c r="BO577" s="1" t="s">
        <v>218</v>
      </c>
      <c r="BP577" s="1" t="s">
        <v>239</v>
      </c>
      <c r="BQ577" s="1" t="s">
        <v>220</v>
      </c>
      <c r="BT577" s="1">
        <v>1</v>
      </c>
    </row>
    <row r="578" spans="1:72">
      <c r="A578" s="1" t="s">
        <v>2625</v>
      </c>
      <c r="B578" s="1" t="s">
        <v>213</v>
      </c>
      <c r="C578" s="1">
        <v>1</v>
      </c>
      <c r="D578" s="1" t="s">
        <v>2626</v>
      </c>
      <c r="E578" s="1">
        <v>1187</v>
      </c>
      <c r="F578" s="1" t="str">
        <f t="shared" si="34"/>
        <v>enemy_1187_krghd_2</v>
      </c>
      <c r="G578" s="1">
        <v>1</v>
      </c>
      <c r="K578" s="1">
        <v>4500</v>
      </c>
      <c r="M578" s="1">
        <v>340</v>
      </c>
      <c r="O578" s="1">
        <v>0</v>
      </c>
      <c r="Q578" s="1">
        <v>20</v>
      </c>
      <c r="Y578" s="1">
        <v>0.05</v>
      </c>
      <c r="Z578" s="1">
        <v>1.4</v>
      </c>
      <c r="AA578" s="1">
        <v>0</v>
      </c>
      <c r="AB578" s="1">
        <v>1.9</v>
      </c>
      <c r="AG578" s="1">
        <v>0</v>
      </c>
      <c r="AH578" s="1">
        <v>1</v>
      </c>
      <c r="AI578" s="1" t="s">
        <v>2627</v>
      </c>
      <c r="AJ578" s="1" t="s">
        <v>216</v>
      </c>
      <c r="AK578" s="1" t="s">
        <v>238</v>
      </c>
      <c r="AM578" s="1">
        <v>1</v>
      </c>
      <c r="AV578" s="1">
        <v>1</v>
      </c>
      <c r="AX578" s="1">
        <v>0.25</v>
      </c>
      <c r="BE578" s="1" t="str">
        <f t="shared" si="35"/>
        <v>enemy_1187_krghd_2</v>
      </c>
      <c r="BK578" s="1" t="s">
        <v>953</v>
      </c>
      <c r="BL578" s="1" t="s">
        <v>2624</v>
      </c>
      <c r="BN578" s="1" t="s">
        <v>217</v>
      </c>
      <c r="BO578" s="1" t="s">
        <v>218</v>
      </c>
      <c r="BP578" s="1" t="s">
        <v>239</v>
      </c>
      <c r="BQ578" s="1" t="s">
        <v>220</v>
      </c>
      <c r="BT578" s="1">
        <v>1</v>
      </c>
    </row>
    <row r="579" spans="1:72">
      <c r="A579" s="1" t="s">
        <v>2628</v>
      </c>
      <c r="B579" s="1" t="s">
        <v>213</v>
      </c>
      <c r="C579" s="1">
        <v>1</v>
      </c>
      <c r="D579" s="1" t="s">
        <v>2629</v>
      </c>
      <c r="E579" s="1">
        <v>1188</v>
      </c>
      <c r="F579" s="1" t="str">
        <f t="shared" si="34"/>
        <v>enemy_1188_krgdrn</v>
      </c>
      <c r="G579" s="1">
        <v>1</v>
      </c>
      <c r="K579" s="1">
        <v>5000</v>
      </c>
      <c r="M579" s="1">
        <v>300</v>
      </c>
      <c r="O579" s="1">
        <v>100</v>
      </c>
      <c r="Q579" s="1">
        <v>20</v>
      </c>
      <c r="Y579" s="1">
        <v>0.05</v>
      </c>
      <c r="Z579" s="1">
        <v>3</v>
      </c>
      <c r="AA579" s="1">
        <v>0</v>
      </c>
      <c r="AB579" s="1">
        <v>0.7</v>
      </c>
      <c r="AG579" s="1">
        <v>0</v>
      </c>
      <c r="AH579" s="1">
        <v>1</v>
      </c>
      <c r="AI579" s="1" t="s">
        <v>2630</v>
      </c>
      <c r="AJ579" s="1" t="s">
        <v>216</v>
      </c>
      <c r="AK579" s="1" t="s">
        <v>238</v>
      </c>
      <c r="AM579" s="1">
        <v>1</v>
      </c>
      <c r="AV579" s="1">
        <v>1</v>
      </c>
      <c r="AX579" s="1">
        <v>0.25</v>
      </c>
      <c r="BE579" s="1" t="str">
        <f t="shared" si="35"/>
        <v>enemy_1188_krgdrn</v>
      </c>
      <c r="BK579" s="1" t="s">
        <v>1050</v>
      </c>
      <c r="BL579" s="1" t="s">
        <v>2631</v>
      </c>
      <c r="BN579" s="1" t="s">
        <v>217</v>
      </c>
      <c r="BO579" s="1" t="s">
        <v>218</v>
      </c>
      <c r="BP579" s="1" t="s">
        <v>239</v>
      </c>
      <c r="BQ579" s="1" t="s">
        <v>220</v>
      </c>
      <c r="BT579" s="1">
        <v>1</v>
      </c>
    </row>
    <row r="580" spans="1:72">
      <c r="A580" s="1" t="s">
        <v>2632</v>
      </c>
      <c r="B580" s="1" t="s">
        <v>213</v>
      </c>
      <c r="C580" s="1">
        <v>1</v>
      </c>
      <c r="D580" s="1" t="s">
        <v>2633</v>
      </c>
      <c r="E580" s="1">
        <v>1188</v>
      </c>
      <c r="F580" s="1" t="str">
        <f t="shared" si="34"/>
        <v>enemy_1188_krgdrn_2</v>
      </c>
      <c r="G580" s="1">
        <v>1</v>
      </c>
      <c r="K580" s="1">
        <v>7000</v>
      </c>
      <c r="M580" s="1">
        <v>350</v>
      </c>
      <c r="O580" s="1">
        <v>150</v>
      </c>
      <c r="Q580" s="1">
        <v>20</v>
      </c>
      <c r="Y580" s="1">
        <v>0.05</v>
      </c>
      <c r="Z580" s="1">
        <v>3</v>
      </c>
      <c r="AA580" s="1">
        <v>0</v>
      </c>
      <c r="AB580" s="1">
        <v>0.7</v>
      </c>
      <c r="AG580" s="1">
        <v>0</v>
      </c>
      <c r="AH580" s="1">
        <v>1</v>
      </c>
      <c r="AI580" s="1" t="s">
        <v>2634</v>
      </c>
      <c r="AJ580" s="1" t="s">
        <v>216</v>
      </c>
      <c r="AK580" s="1" t="s">
        <v>238</v>
      </c>
      <c r="AM580" s="1">
        <v>1</v>
      </c>
      <c r="AV580" s="1">
        <v>1</v>
      </c>
      <c r="AX580" s="1">
        <v>0.25</v>
      </c>
      <c r="BE580" s="1" t="str">
        <f t="shared" si="35"/>
        <v>enemy_1188_krgdrn_2</v>
      </c>
      <c r="BK580" s="1" t="s">
        <v>1050</v>
      </c>
      <c r="BL580" s="1" t="s">
        <v>2635</v>
      </c>
      <c r="BN580" s="1" t="s">
        <v>217</v>
      </c>
      <c r="BO580" s="1" t="s">
        <v>218</v>
      </c>
      <c r="BP580" s="1" t="s">
        <v>239</v>
      </c>
      <c r="BQ580" s="1" t="s">
        <v>220</v>
      </c>
      <c r="BT580" s="1">
        <v>1</v>
      </c>
    </row>
    <row r="581" spans="1:72">
      <c r="A581" s="1" t="s">
        <v>2636</v>
      </c>
      <c r="B581" s="1" t="s">
        <v>213</v>
      </c>
      <c r="C581" s="1">
        <v>1</v>
      </c>
      <c r="D581" s="1" t="s">
        <v>2637</v>
      </c>
      <c r="E581" s="1">
        <v>1189</v>
      </c>
      <c r="F581" s="1" t="str">
        <f t="shared" si="34"/>
        <v>enemy_1189_krgaxe</v>
      </c>
      <c r="G581" s="1">
        <v>1</v>
      </c>
      <c r="K581" s="1">
        <v>3000</v>
      </c>
      <c r="M581" s="1">
        <v>300</v>
      </c>
      <c r="O581" s="1">
        <v>100</v>
      </c>
      <c r="Q581" s="1">
        <v>20</v>
      </c>
      <c r="Y581" s="1">
        <v>0.05</v>
      </c>
      <c r="Z581" s="1">
        <v>2.2</v>
      </c>
      <c r="AA581" s="1">
        <v>1</v>
      </c>
      <c r="AB581" s="1">
        <v>0.9</v>
      </c>
      <c r="AG581" s="1">
        <v>0</v>
      </c>
      <c r="AH581" s="1">
        <v>1</v>
      </c>
      <c r="AI581" s="1" t="s">
        <v>2638</v>
      </c>
      <c r="AJ581" s="1" t="s">
        <v>216</v>
      </c>
      <c r="AK581" s="1" t="s">
        <v>238</v>
      </c>
      <c r="AM581" s="1">
        <v>1</v>
      </c>
      <c r="AV581" s="1">
        <v>1</v>
      </c>
      <c r="AX581" s="1">
        <v>0.25</v>
      </c>
      <c r="BE581" s="1" t="str">
        <f t="shared" si="35"/>
        <v>enemy_1189_krgaxe</v>
      </c>
      <c r="BK581" s="1" t="s">
        <v>953</v>
      </c>
      <c r="BL581" s="1" t="s">
        <v>2639</v>
      </c>
      <c r="BN581" s="1" t="s">
        <v>217</v>
      </c>
      <c r="BO581" s="1" t="s">
        <v>218</v>
      </c>
      <c r="BP581" s="1" t="s">
        <v>239</v>
      </c>
      <c r="BQ581" s="1" t="s">
        <v>220</v>
      </c>
      <c r="BT581" s="1">
        <v>1</v>
      </c>
    </row>
    <row r="582" spans="1:72">
      <c r="A582" s="1" t="s">
        <v>2640</v>
      </c>
      <c r="B582" s="1" t="s">
        <v>213</v>
      </c>
      <c r="C582" s="1">
        <v>1</v>
      </c>
      <c r="D582" s="1" t="s">
        <v>2641</v>
      </c>
      <c r="E582" s="1">
        <v>1189</v>
      </c>
      <c r="F582" s="1" t="str">
        <f t="shared" si="34"/>
        <v>enemy_1189_krgaxe_2</v>
      </c>
      <c r="G582" s="1">
        <v>1</v>
      </c>
      <c r="K582" s="1">
        <v>4000</v>
      </c>
      <c r="M582" s="1">
        <v>350</v>
      </c>
      <c r="O582" s="1">
        <v>150</v>
      </c>
      <c r="Q582" s="1">
        <v>20</v>
      </c>
      <c r="Y582" s="1">
        <v>0.05</v>
      </c>
      <c r="Z582" s="1">
        <v>2.2</v>
      </c>
      <c r="AA582" s="1">
        <v>1</v>
      </c>
      <c r="AB582" s="1">
        <v>0.9</v>
      </c>
      <c r="AG582" s="1">
        <v>0</v>
      </c>
      <c r="AH582" s="1">
        <v>1</v>
      </c>
      <c r="AI582" s="1" t="s">
        <v>2642</v>
      </c>
      <c r="AJ582" s="1" t="s">
        <v>216</v>
      </c>
      <c r="AK582" s="1" t="s">
        <v>238</v>
      </c>
      <c r="AM582" s="1">
        <v>1</v>
      </c>
      <c r="AV582" s="1">
        <v>1</v>
      </c>
      <c r="AX582" s="1">
        <v>0.25</v>
      </c>
      <c r="BE582" s="1" t="str">
        <f t="shared" si="35"/>
        <v>enemy_1189_krgaxe_2</v>
      </c>
      <c r="BK582" s="1" t="s">
        <v>953</v>
      </c>
      <c r="BL582" s="1" t="s">
        <v>2643</v>
      </c>
      <c r="BN582" s="1" t="s">
        <v>217</v>
      </c>
      <c r="BO582" s="1" t="s">
        <v>218</v>
      </c>
      <c r="BP582" s="1" t="s">
        <v>239</v>
      </c>
      <c r="BQ582" s="1" t="s">
        <v>220</v>
      </c>
      <c r="BT582" s="1">
        <v>1</v>
      </c>
    </row>
    <row r="583" spans="1:72">
      <c r="A583" s="1" t="s">
        <v>2644</v>
      </c>
      <c r="B583" s="1" t="s">
        <v>213</v>
      </c>
      <c r="C583" s="1">
        <v>1</v>
      </c>
      <c r="D583" s="1" t="s">
        <v>2645</v>
      </c>
      <c r="E583" s="1">
        <v>1190</v>
      </c>
      <c r="F583" s="1" t="str">
        <f t="shared" si="34"/>
        <v>enemy_1190_krgbow</v>
      </c>
      <c r="G583" s="1">
        <v>1</v>
      </c>
      <c r="K583" s="1">
        <v>3500</v>
      </c>
      <c r="M583" s="1">
        <v>350</v>
      </c>
      <c r="O583" s="1">
        <v>100</v>
      </c>
      <c r="Q583" s="1">
        <v>20</v>
      </c>
      <c r="Y583" s="1">
        <v>0.05</v>
      </c>
      <c r="Z583" s="1">
        <v>3.5</v>
      </c>
      <c r="AA583" s="1">
        <v>1</v>
      </c>
      <c r="AB583" s="1">
        <v>1.1</v>
      </c>
      <c r="AG583" s="1">
        <v>0</v>
      </c>
      <c r="AH583" s="1">
        <v>1</v>
      </c>
      <c r="AI583" s="1" t="s">
        <v>2646</v>
      </c>
      <c r="AJ583" s="1" t="s">
        <v>216</v>
      </c>
      <c r="AK583" s="1" t="s">
        <v>238</v>
      </c>
      <c r="AM583" s="1">
        <v>1</v>
      </c>
      <c r="AV583" s="1">
        <v>1</v>
      </c>
      <c r="AX583" s="1">
        <v>0.25</v>
      </c>
      <c r="BE583" s="1" t="str">
        <f t="shared" si="35"/>
        <v>enemy_1190_krgbow</v>
      </c>
      <c r="BK583" s="1" t="s">
        <v>959</v>
      </c>
      <c r="BL583" s="1" t="s">
        <v>2647</v>
      </c>
      <c r="BN583" s="1" t="s">
        <v>217</v>
      </c>
      <c r="BO583" s="1" t="s">
        <v>218</v>
      </c>
      <c r="BP583" s="1" t="s">
        <v>239</v>
      </c>
      <c r="BQ583" s="1" t="s">
        <v>220</v>
      </c>
      <c r="BT583" s="1">
        <v>1</v>
      </c>
    </row>
    <row r="584" spans="1:72">
      <c r="A584" s="1" t="s">
        <v>2648</v>
      </c>
      <c r="B584" s="1" t="s">
        <v>213</v>
      </c>
      <c r="C584" s="1">
        <v>1</v>
      </c>
      <c r="D584" s="1" t="s">
        <v>2649</v>
      </c>
      <c r="E584" s="1">
        <v>1190</v>
      </c>
      <c r="F584" s="1" t="str">
        <f t="shared" si="34"/>
        <v>enemy_1190_krgbow_2</v>
      </c>
      <c r="G584" s="1">
        <v>1</v>
      </c>
      <c r="K584" s="1">
        <v>5000</v>
      </c>
      <c r="M584" s="1">
        <v>450</v>
      </c>
      <c r="O584" s="1">
        <v>150</v>
      </c>
      <c r="Q584" s="1">
        <v>20</v>
      </c>
      <c r="Y584" s="1">
        <v>0.05</v>
      </c>
      <c r="Z584" s="1">
        <v>3.5</v>
      </c>
      <c r="AA584" s="1">
        <v>1</v>
      </c>
      <c r="AB584" s="1">
        <v>1.1</v>
      </c>
      <c r="AG584" s="1">
        <v>0</v>
      </c>
      <c r="AH584" s="1">
        <v>1</v>
      </c>
      <c r="AI584" s="1" t="s">
        <v>2650</v>
      </c>
      <c r="AJ584" s="1" t="s">
        <v>216</v>
      </c>
      <c r="AK584" s="1" t="s">
        <v>238</v>
      </c>
      <c r="AM584" s="1">
        <v>1</v>
      </c>
      <c r="AV584" s="1">
        <v>1</v>
      </c>
      <c r="AX584" s="1">
        <v>0.25</v>
      </c>
      <c r="BE584" s="1" t="str">
        <f t="shared" si="35"/>
        <v>enemy_1190_krgbow_2</v>
      </c>
      <c r="BK584" s="1" t="s">
        <v>959</v>
      </c>
      <c r="BL584" s="1" t="s">
        <v>2651</v>
      </c>
      <c r="BN584" s="1" t="s">
        <v>217</v>
      </c>
      <c r="BO584" s="1" t="s">
        <v>218</v>
      </c>
      <c r="BP584" s="1" t="s">
        <v>239</v>
      </c>
      <c r="BQ584" s="1" t="s">
        <v>220</v>
      </c>
      <c r="BT584" s="1">
        <v>1</v>
      </c>
    </row>
    <row r="585" spans="1:72">
      <c r="A585" s="1" t="s">
        <v>2652</v>
      </c>
      <c r="B585" s="1" t="s">
        <v>213</v>
      </c>
      <c r="C585" s="1">
        <v>1</v>
      </c>
      <c r="D585" s="1" t="s">
        <v>2653</v>
      </c>
      <c r="E585" s="1">
        <v>1192</v>
      </c>
      <c r="F585" s="1" t="str">
        <f t="shared" si="34"/>
        <v>enemy_1192_krgscr</v>
      </c>
      <c r="G585" s="1">
        <v>1</v>
      </c>
      <c r="K585" s="1">
        <v>5000</v>
      </c>
      <c r="M585" s="1">
        <v>250</v>
      </c>
      <c r="O585" s="1">
        <v>200</v>
      </c>
      <c r="Q585" s="1">
        <v>50</v>
      </c>
      <c r="Y585" s="1">
        <v>0.05</v>
      </c>
      <c r="Z585" s="1">
        <v>4.5</v>
      </c>
      <c r="AA585" s="1">
        <v>2</v>
      </c>
      <c r="AB585" s="1">
        <v>0.7</v>
      </c>
      <c r="AG585" s="1">
        <v>0</v>
      </c>
      <c r="AH585" s="1">
        <v>1</v>
      </c>
      <c r="AI585" s="1" t="s">
        <v>2654</v>
      </c>
      <c r="AJ585" s="1" t="s">
        <v>216</v>
      </c>
      <c r="AK585" s="1" t="s">
        <v>238</v>
      </c>
      <c r="AM585" s="1">
        <v>1</v>
      </c>
      <c r="AV585" s="1">
        <v>1</v>
      </c>
      <c r="AX585" s="1">
        <v>0.25</v>
      </c>
      <c r="BE585" s="1" t="str">
        <f t="shared" si="35"/>
        <v>enemy_1192_krgscr</v>
      </c>
      <c r="BK585" s="1" t="s">
        <v>959</v>
      </c>
      <c r="BL585" s="1" t="s">
        <v>2655</v>
      </c>
      <c r="BN585" s="1" t="s">
        <v>217</v>
      </c>
      <c r="BO585" s="1" t="s">
        <v>218</v>
      </c>
      <c r="BP585" s="1" t="s">
        <v>239</v>
      </c>
      <c r="BQ585" s="1" t="s">
        <v>220</v>
      </c>
      <c r="BT585" s="1">
        <v>1</v>
      </c>
    </row>
    <row r="586" spans="1:72">
      <c r="A586" s="1" t="s">
        <v>2656</v>
      </c>
      <c r="B586" s="1" t="s">
        <v>213</v>
      </c>
      <c r="C586" s="1">
        <v>1</v>
      </c>
      <c r="D586" s="1" t="s">
        <v>2657</v>
      </c>
      <c r="E586" s="1">
        <v>1192</v>
      </c>
      <c r="F586" s="1" t="str">
        <f t="shared" si="34"/>
        <v>enemy_1192_krgscr_2</v>
      </c>
      <c r="G586" s="1">
        <v>1</v>
      </c>
      <c r="K586" s="1">
        <v>8000</v>
      </c>
      <c r="M586" s="1">
        <v>320</v>
      </c>
      <c r="O586" s="1">
        <v>200</v>
      </c>
      <c r="Q586" s="1">
        <v>50</v>
      </c>
      <c r="Y586" s="1">
        <v>0.05</v>
      </c>
      <c r="Z586" s="1">
        <v>4</v>
      </c>
      <c r="AA586" s="1">
        <v>2</v>
      </c>
      <c r="AB586" s="1">
        <v>0.7</v>
      </c>
      <c r="AG586" s="1">
        <v>0</v>
      </c>
      <c r="AH586" s="1">
        <v>1</v>
      </c>
      <c r="AI586" s="1" t="s">
        <v>2658</v>
      </c>
      <c r="AJ586" s="1" t="s">
        <v>216</v>
      </c>
      <c r="AK586" s="1" t="s">
        <v>238</v>
      </c>
      <c r="AM586" s="1">
        <v>1</v>
      </c>
      <c r="AV586" s="1">
        <v>1</v>
      </c>
      <c r="AX586" s="1">
        <v>0.25</v>
      </c>
      <c r="BE586" s="1" t="str">
        <f t="shared" si="35"/>
        <v>enemy_1192_krgscr_2</v>
      </c>
      <c r="BK586" s="1" t="s">
        <v>959</v>
      </c>
      <c r="BL586" s="1" t="s">
        <v>2655</v>
      </c>
      <c r="BN586" s="1" t="s">
        <v>217</v>
      </c>
      <c r="BO586" s="1" t="s">
        <v>218</v>
      </c>
      <c r="BP586" s="1" t="s">
        <v>239</v>
      </c>
      <c r="BQ586" s="1" t="s">
        <v>220</v>
      </c>
      <c r="BT586" s="1">
        <v>1</v>
      </c>
    </row>
    <row r="587" spans="1:72">
      <c r="A587" s="1" t="s">
        <v>2659</v>
      </c>
      <c r="B587" s="1" t="s">
        <v>213</v>
      </c>
      <c r="C587" s="1">
        <v>1</v>
      </c>
      <c r="D587" s="1" t="s">
        <v>2660</v>
      </c>
      <c r="E587" s="1">
        <v>1193</v>
      </c>
      <c r="F587" s="1" t="str">
        <f t="shared" si="34"/>
        <v>enemy_1193_krgbsk</v>
      </c>
      <c r="G587" s="1">
        <v>1</v>
      </c>
      <c r="K587" s="1">
        <v>12000</v>
      </c>
      <c r="M587" s="1">
        <v>800</v>
      </c>
      <c r="O587" s="1">
        <v>800</v>
      </c>
      <c r="Q587" s="1">
        <v>20</v>
      </c>
      <c r="Y587" s="1">
        <v>0.05</v>
      </c>
      <c r="Z587" s="1">
        <v>4</v>
      </c>
      <c r="AA587" s="1">
        <v>4</v>
      </c>
      <c r="AB587" s="1">
        <v>0.7</v>
      </c>
      <c r="AG587" s="1">
        <v>0</v>
      </c>
      <c r="AH587" s="1">
        <v>1</v>
      </c>
      <c r="AI587" s="1" t="s">
        <v>2661</v>
      </c>
      <c r="AJ587" s="1" t="s">
        <v>216</v>
      </c>
      <c r="AK587" s="1" t="s">
        <v>238</v>
      </c>
      <c r="AM587" s="1">
        <v>1</v>
      </c>
      <c r="AV587" s="1">
        <v>1</v>
      </c>
      <c r="AX587" s="1">
        <v>0.25</v>
      </c>
      <c r="BE587" s="1" t="str">
        <f t="shared" si="35"/>
        <v>enemy_1193_krgbsk</v>
      </c>
      <c r="BK587" s="1" t="s">
        <v>1012</v>
      </c>
      <c r="BL587" s="1" t="s">
        <v>2662</v>
      </c>
      <c r="BN587" s="1" t="s">
        <v>217</v>
      </c>
      <c r="BO587" s="1" t="s">
        <v>218</v>
      </c>
      <c r="BP587" s="1" t="s">
        <v>239</v>
      </c>
      <c r="BQ587" s="1" t="s">
        <v>220</v>
      </c>
      <c r="BT587" s="1">
        <v>1</v>
      </c>
    </row>
    <row r="588" spans="1:72">
      <c r="A588" s="1" t="s">
        <v>2663</v>
      </c>
      <c r="B588" s="1" t="s">
        <v>213</v>
      </c>
      <c r="C588" s="1">
        <v>1</v>
      </c>
      <c r="D588" s="1" t="s">
        <v>2664</v>
      </c>
      <c r="E588" s="1">
        <v>1193</v>
      </c>
      <c r="F588" s="1" t="str">
        <f t="shared" ref="F588:F651" si="36">"enemy_"&amp;E588&amp;"_"&amp;D588</f>
        <v>enemy_1193_krgbsk_2</v>
      </c>
      <c r="G588" s="1">
        <v>1</v>
      </c>
      <c r="K588" s="1">
        <v>18000</v>
      </c>
      <c r="M588" s="1">
        <v>1000</v>
      </c>
      <c r="O588" s="1">
        <v>1000</v>
      </c>
      <c r="Q588" s="1">
        <v>20</v>
      </c>
      <c r="Y588" s="1">
        <v>0.05</v>
      </c>
      <c r="Z588" s="1">
        <v>4</v>
      </c>
      <c r="AA588" s="1">
        <v>4</v>
      </c>
      <c r="AB588" s="1">
        <v>0.7</v>
      </c>
      <c r="AG588" s="1">
        <v>0</v>
      </c>
      <c r="AH588" s="1">
        <v>1</v>
      </c>
      <c r="AI588" s="1" t="s">
        <v>2665</v>
      </c>
      <c r="AJ588" s="1" t="s">
        <v>216</v>
      </c>
      <c r="AK588" s="1" t="s">
        <v>238</v>
      </c>
      <c r="AM588" s="1">
        <v>1</v>
      </c>
      <c r="AV588" s="1">
        <v>1</v>
      </c>
      <c r="AX588" s="1">
        <v>0.25</v>
      </c>
      <c r="BE588" s="1" t="str">
        <f t="shared" si="35"/>
        <v>enemy_1193_krgbsk_2</v>
      </c>
      <c r="BK588" s="1" t="s">
        <v>1012</v>
      </c>
      <c r="BL588" s="1" t="s">
        <v>2666</v>
      </c>
      <c r="BN588" s="1" t="s">
        <v>217</v>
      </c>
      <c r="BO588" s="1" t="s">
        <v>218</v>
      </c>
      <c r="BP588" s="1" t="s">
        <v>239</v>
      </c>
      <c r="BQ588" s="1" t="s">
        <v>220</v>
      </c>
      <c r="BT588" s="1">
        <v>1</v>
      </c>
    </row>
    <row r="589" spans="1:72">
      <c r="A589" s="1" t="s">
        <v>2667</v>
      </c>
      <c r="B589" s="1" t="s">
        <v>213</v>
      </c>
      <c r="C589" s="1">
        <v>1</v>
      </c>
      <c r="D589" s="1" t="s">
        <v>2668</v>
      </c>
      <c r="E589" s="1">
        <v>1191</v>
      </c>
      <c r="F589" s="1" t="str">
        <f t="shared" si="36"/>
        <v>enemy_1191_krgrg</v>
      </c>
      <c r="G589" s="1">
        <v>1</v>
      </c>
      <c r="K589" s="1">
        <v>5000</v>
      </c>
      <c r="M589" s="1">
        <v>600</v>
      </c>
      <c r="O589" s="1">
        <v>250</v>
      </c>
      <c r="Q589" s="1">
        <v>50</v>
      </c>
      <c r="Y589" s="1">
        <v>0.05</v>
      </c>
      <c r="Z589" s="1">
        <v>2.5</v>
      </c>
      <c r="AA589" s="1">
        <v>1</v>
      </c>
      <c r="AB589" s="1">
        <v>0.7</v>
      </c>
      <c r="AG589" s="1">
        <v>0</v>
      </c>
      <c r="AH589" s="1">
        <v>1</v>
      </c>
      <c r="AI589" s="1" t="s">
        <v>2669</v>
      </c>
      <c r="AJ589" s="1" t="s">
        <v>216</v>
      </c>
      <c r="AK589" s="1" t="s">
        <v>238</v>
      </c>
      <c r="AM589" s="1">
        <v>1</v>
      </c>
      <c r="AV589" s="1">
        <v>1</v>
      </c>
      <c r="AX589" s="1">
        <v>0.25</v>
      </c>
      <c r="BE589" s="1" t="str">
        <f t="shared" si="35"/>
        <v>enemy_1191_krgrg</v>
      </c>
      <c r="BK589" s="1" t="s">
        <v>1012</v>
      </c>
      <c r="BL589" s="1" t="s">
        <v>2670</v>
      </c>
      <c r="BN589" s="1" t="s">
        <v>217</v>
      </c>
      <c r="BO589" s="1" t="s">
        <v>218</v>
      </c>
      <c r="BP589" s="1" t="s">
        <v>239</v>
      </c>
      <c r="BQ589" s="1" t="s">
        <v>220</v>
      </c>
      <c r="BT589" s="1">
        <v>1</v>
      </c>
    </row>
    <row r="590" spans="1:72">
      <c r="A590" s="1" t="s">
        <v>2671</v>
      </c>
      <c r="B590" s="1" t="s">
        <v>213</v>
      </c>
      <c r="C590" s="1">
        <v>1</v>
      </c>
      <c r="D590" s="1" t="s">
        <v>2672</v>
      </c>
      <c r="E590" s="1">
        <v>1191</v>
      </c>
      <c r="F590" s="1" t="str">
        <f t="shared" si="36"/>
        <v>enemy_1191_krgrg_2</v>
      </c>
      <c r="G590" s="1">
        <v>1</v>
      </c>
      <c r="K590" s="1">
        <v>7000</v>
      </c>
      <c r="M590" s="1">
        <v>800</v>
      </c>
      <c r="O590" s="1">
        <v>350</v>
      </c>
      <c r="Q590" s="1">
        <v>50</v>
      </c>
      <c r="Y590" s="1">
        <v>0.05</v>
      </c>
      <c r="Z590" s="1">
        <v>2.5</v>
      </c>
      <c r="AA590" s="1">
        <v>1</v>
      </c>
      <c r="AB590" s="1">
        <v>0.7</v>
      </c>
      <c r="AG590" s="1">
        <v>0</v>
      </c>
      <c r="AH590" s="1">
        <v>1</v>
      </c>
      <c r="AI590" s="1" t="s">
        <v>2673</v>
      </c>
      <c r="AJ590" s="1" t="s">
        <v>216</v>
      </c>
      <c r="AK590" s="1" t="s">
        <v>238</v>
      </c>
      <c r="AM590" s="1">
        <v>1</v>
      </c>
      <c r="AV590" s="1">
        <v>1</v>
      </c>
      <c r="AX590" s="1">
        <v>0.25</v>
      </c>
      <c r="BE590" s="1" t="str">
        <f t="shared" si="35"/>
        <v>enemy_1191_krgrg_2</v>
      </c>
      <c r="BK590" s="1" t="s">
        <v>1012</v>
      </c>
      <c r="BL590" s="1" t="s">
        <v>2670</v>
      </c>
      <c r="BN590" s="1" t="s">
        <v>217</v>
      </c>
      <c r="BO590" s="1" t="s">
        <v>218</v>
      </c>
      <c r="BP590" s="1" t="s">
        <v>239</v>
      </c>
      <c r="BQ590" s="1" t="s">
        <v>220</v>
      </c>
      <c r="BT590" s="1">
        <v>1</v>
      </c>
    </row>
    <row r="591" spans="1:72">
      <c r="A591" s="1" t="s">
        <v>2674</v>
      </c>
      <c r="B591" s="1" t="s">
        <v>213</v>
      </c>
      <c r="C591" s="1">
        <v>1</v>
      </c>
      <c r="D591" s="1" t="s">
        <v>2675</v>
      </c>
      <c r="E591" s="1">
        <v>1194</v>
      </c>
      <c r="F591" s="1" t="str">
        <f t="shared" si="36"/>
        <v>enemy_1194_krgmtr</v>
      </c>
      <c r="G591" s="1">
        <v>1</v>
      </c>
      <c r="K591" s="1">
        <v>15000</v>
      </c>
      <c r="M591" s="1">
        <v>600</v>
      </c>
      <c r="O591" s="1">
        <v>600</v>
      </c>
      <c r="Q591" s="1">
        <v>50</v>
      </c>
      <c r="Y591" s="1">
        <v>0.05</v>
      </c>
      <c r="Z591" s="1">
        <v>3.7</v>
      </c>
      <c r="AA591" s="1">
        <v>5</v>
      </c>
      <c r="AB591" s="1">
        <v>0.9</v>
      </c>
      <c r="AG591" s="1">
        <v>0</v>
      </c>
      <c r="AH591" s="1">
        <v>1</v>
      </c>
      <c r="AI591" s="1" t="s">
        <v>2676</v>
      </c>
      <c r="AJ591" s="1" t="s">
        <v>216</v>
      </c>
      <c r="AK591" s="1" t="s">
        <v>238</v>
      </c>
      <c r="AM591" s="1">
        <v>1</v>
      </c>
      <c r="AV591" s="1">
        <v>1</v>
      </c>
      <c r="AX591" s="1">
        <v>0.25</v>
      </c>
      <c r="BE591" s="1" t="str">
        <f t="shared" si="35"/>
        <v>enemy_1194_krgmtr</v>
      </c>
      <c r="BK591" s="1" t="s">
        <v>980</v>
      </c>
      <c r="BL591" s="1" t="s">
        <v>2677</v>
      </c>
      <c r="BN591" s="1" t="s">
        <v>217</v>
      </c>
      <c r="BO591" s="1" t="s">
        <v>218</v>
      </c>
      <c r="BP591" s="1" t="s">
        <v>239</v>
      </c>
      <c r="BQ591" s="1" t="s">
        <v>220</v>
      </c>
      <c r="BT591" s="1">
        <v>1</v>
      </c>
    </row>
    <row r="592" spans="1:72">
      <c r="A592" s="1" t="s">
        <v>2678</v>
      </c>
      <c r="B592" s="1" t="s">
        <v>213</v>
      </c>
      <c r="C592" s="1">
        <v>1</v>
      </c>
      <c r="D592" s="1" t="s">
        <v>2679</v>
      </c>
      <c r="E592" s="1">
        <v>1194</v>
      </c>
      <c r="F592" s="1" t="str">
        <f t="shared" si="36"/>
        <v>enemy_1194_krgmtr_2</v>
      </c>
      <c r="G592" s="1">
        <v>1</v>
      </c>
      <c r="K592" s="1">
        <v>20000</v>
      </c>
      <c r="M592" s="1">
        <v>800</v>
      </c>
      <c r="O592" s="1">
        <v>700</v>
      </c>
      <c r="Q592" s="1">
        <v>50</v>
      </c>
      <c r="Y592" s="1">
        <v>0.05</v>
      </c>
      <c r="Z592" s="1">
        <v>3.7</v>
      </c>
      <c r="AA592" s="1">
        <v>5</v>
      </c>
      <c r="AB592" s="1">
        <v>0.9</v>
      </c>
      <c r="AG592" s="1">
        <v>0</v>
      </c>
      <c r="AH592" s="1">
        <v>1</v>
      </c>
      <c r="AI592" s="1" t="s">
        <v>2680</v>
      </c>
      <c r="AJ592" s="1" t="s">
        <v>216</v>
      </c>
      <c r="AK592" s="1" t="s">
        <v>238</v>
      </c>
      <c r="AM592" s="1">
        <v>1</v>
      </c>
      <c r="AV592" s="1">
        <v>1</v>
      </c>
      <c r="AX592" s="1">
        <v>0.25</v>
      </c>
      <c r="BE592" s="1" t="str">
        <f t="shared" si="35"/>
        <v>enemy_1194_krgmtr_2</v>
      </c>
      <c r="BK592" s="1" t="s">
        <v>980</v>
      </c>
      <c r="BL592" s="1" t="s">
        <v>2677</v>
      </c>
      <c r="BN592" s="1" t="s">
        <v>217</v>
      </c>
      <c r="BO592" s="1" t="s">
        <v>218</v>
      </c>
      <c r="BP592" s="1" t="s">
        <v>239</v>
      </c>
      <c r="BQ592" s="1" t="s">
        <v>220</v>
      </c>
      <c r="BT592" s="1">
        <v>1</v>
      </c>
    </row>
    <row r="593" spans="1:72">
      <c r="A593" s="1" t="s">
        <v>2681</v>
      </c>
      <c r="B593" s="1" t="s">
        <v>213</v>
      </c>
      <c r="C593" s="1">
        <v>1</v>
      </c>
      <c r="D593" s="1" t="s">
        <v>2682</v>
      </c>
      <c r="E593" s="1">
        <v>1525</v>
      </c>
      <c r="F593" s="1" t="str">
        <f t="shared" si="36"/>
        <v>enemy_1525_blkswb</v>
      </c>
      <c r="G593" s="1">
        <v>1</v>
      </c>
      <c r="K593" s="1">
        <v>28000</v>
      </c>
      <c r="M593" s="1">
        <v>900</v>
      </c>
      <c r="O593" s="1">
        <v>600</v>
      </c>
      <c r="Q593" s="1">
        <v>50</v>
      </c>
      <c r="Y593" s="1">
        <v>0.05</v>
      </c>
      <c r="Z593" s="1">
        <v>4</v>
      </c>
      <c r="AA593" s="1">
        <v>6</v>
      </c>
      <c r="AB593" s="1">
        <v>0.6</v>
      </c>
      <c r="AG593" s="1">
        <v>0</v>
      </c>
      <c r="AH593" s="1">
        <v>1</v>
      </c>
      <c r="AI593" s="1" t="s">
        <v>2683</v>
      </c>
      <c r="AJ593" s="1" t="s">
        <v>216</v>
      </c>
      <c r="AK593" s="1" t="s">
        <v>238</v>
      </c>
      <c r="AM593" s="1">
        <v>1</v>
      </c>
      <c r="AV593" s="1">
        <v>1</v>
      </c>
      <c r="AX593" s="1">
        <v>0.25</v>
      </c>
      <c r="BE593" s="1" t="str">
        <f t="shared" si="35"/>
        <v>enemy_1525_blkswb</v>
      </c>
      <c r="BK593" s="1" t="s">
        <v>1019</v>
      </c>
      <c r="BL593" s="1" t="s">
        <v>2684</v>
      </c>
      <c r="BN593" s="1" t="s">
        <v>217</v>
      </c>
      <c r="BO593" s="1" t="s">
        <v>2618</v>
      </c>
      <c r="BP593" s="1" t="s">
        <v>2619</v>
      </c>
      <c r="BQ593" s="1" t="s">
        <v>2620</v>
      </c>
      <c r="BT593" s="1">
        <v>1</v>
      </c>
    </row>
    <row r="594" spans="1:72">
      <c r="A594" s="1" t="s">
        <v>2685</v>
      </c>
      <c r="B594" s="1" t="s">
        <v>213</v>
      </c>
      <c r="C594" s="1">
        <v>1</v>
      </c>
      <c r="D594" s="1" t="s">
        <v>2686</v>
      </c>
      <c r="E594" s="1">
        <v>2009</v>
      </c>
      <c r="F594" s="1" t="str">
        <f t="shared" si="36"/>
        <v>enemy_2009_csaudc</v>
      </c>
      <c r="G594" s="1">
        <v>1</v>
      </c>
      <c r="K594" s="1">
        <v>8000</v>
      </c>
      <c r="M594" s="1">
        <v>750</v>
      </c>
      <c r="O594" s="1">
        <v>600</v>
      </c>
      <c r="Q594" s="1">
        <v>30</v>
      </c>
      <c r="Y594" s="1">
        <v>0.05</v>
      </c>
      <c r="Z594" s="1">
        <v>3</v>
      </c>
      <c r="AA594" s="1">
        <v>2</v>
      </c>
      <c r="AB594" s="1">
        <v>1.2</v>
      </c>
      <c r="AG594" s="1">
        <v>0</v>
      </c>
      <c r="AH594" s="1">
        <v>1</v>
      </c>
      <c r="AI594" s="1" t="s">
        <v>2687</v>
      </c>
      <c r="AJ594" s="1" t="s">
        <v>216</v>
      </c>
      <c r="AK594" s="1" t="s">
        <v>238</v>
      </c>
      <c r="AM594" s="1">
        <v>1</v>
      </c>
      <c r="AV594" s="1">
        <v>1</v>
      </c>
      <c r="AX594" s="1">
        <v>0.25</v>
      </c>
      <c r="BE594" s="1" t="str">
        <f t="shared" si="35"/>
        <v>enemy_2009_csaudc</v>
      </c>
      <c r="BK594" s="1" t="s">
        <v>1012</v>
      </c>
      <c r="BL594" s="1" t="s">
        <v>2688</v>
      </c>
      <c r="BN594" s="1" t="s">
        <v>217</v>
      </c>
      <c r="BO594" s="1" t="s">
        <v>218</v>
      </c>
      <c r="BP594" s="1" t="s">
        <v>239</v>
      </c>
      <c r="BQ594" s="1" t="s">
        <v>220</v>
      </c>
      <c r="BT594" s="1">
        <v>1</v>
      </c>
    </row>
    <row r="595" spans="1:72">
      <c r="A595" s="1" t="s">
        <v>2689</v>
      </c>
      <c r="B595" s="1" t="s">
        <v>213</v>
      </c>
      <c r="C595" s="1">
        <v>1</v>
      </c>
      <c r="D595" s="1" t="s">
        <v>2690</v>
      </c>
      <c r="E595" s="1">
        <v>2010</v>
      </c>
      <c r="F595" s="1" t="str">
        <f t="shared" si="36"/>
        <v>enemy_2010_csdcr</v>
      </c>
      <c r="G595" s="1">
        <v>1</v>
      </c>
      <c r="K595" s="1">
        <v>12000</v>
      </c>
      <c r="M595" s="1">
        <v>500</v>
      </c>
      <c r="O595" s="1">
        <v>300</v>
      </c>
      <c r="Q595" s="1">
        <v>60</v>
      </c>
      <c r="Y595" s="1">
        <v>0.05</v>
      </c>
      <c r="Z595" s="1">
        <v>4</v>
      </c>
      <c r="AA595" s="1">
        <v>3</v>
      </c>
      <c r="AB595" s="1">
        <v>0.8</v>
      </c>
      <c r="AG595" s="1">
        <v>0</v>
      </c>
      <c r="AH595" s="1">
        <v>1</v>
      </c>
      <c r="AI595" s="1" t="s">
        <v>2691</v>
      </c>
      <c r="AJ595" s="1" t="s">
        <v>216</v>
      </c>
      <c r="AK595" s="1" t="s">
        <v>238</v>
      </c>
      <c r="AM595" s="1">
        <v>1</v>
      </c>
      <c r="AV595" s="1">
        <v>1</v>
      </c>
      <c r="AX595" s="1">
        <v>0.25</v>
      </c>
      <c r="BE595" s="1" t="str">
        <f t="shared" si="35"/>
        <v>enemy_2010_csdcr</v>
      </c>
      <c r="BK595" s="1" t="s">
        <v>980</v>
      </c>
      <c r="BL595" s="1" t="s">
        <v>2692</v>
      </c>
      <c r="BN595" s="1" t="s">
        <v>217</v>
      </c>
      <c r="BO595" s="1" t="s">
        <v>218</v>
      </c>
      <c r="BP595" s="1" t="s">
        <v>239</v>
      </c>
      <c r="BQ595" s="1" t="s">
        <v>220</v>
      </c>
      <c r="BT595" s="1">
        <v>1</v>
      </c>
    </row>
    <row r="596" spans="1:72">
      <c r="A596" s="1" t="s">
        <v>2693</v>
      </c>
      <c r="B596" s="1" t="s">
        <v>213</v>
      </c>
      <c r="C596" s="1">
        <v>1</v>
      </c>
      <c r="D596" s="1" t="s">
        <v>2694</v>
      </c>
      <c r="E596" s="1">
        <v>2011</v>
      </c>
      <c r="F596" s="1" t="str">
        <f t="shared" si="36"/>
        <v>enemy_2011_csppt</v>
      </c>
      <c r="G596" s="1">
        <v>1</v>
      </c>
      <c r="K596" s="1">
        <v>24000</v>
      </c>
      <c r="M596" s="1">
        <v>1200</v>
      </c>
      <c r="O596" s="1">
        <v>300</v>
      </c>
      <c r="Q596" s="1">
        <v>30</v>
      </c>
      <c r="Y596" s="1">
        <v>0.05</v>
      </c>
      <c r="Z596" s="1">
        <v>5</v>
      </c>
      <c r="AA596" s="1">
        <v>5</v>
      </c>
      <c r="AB596" s="1">
        <v>0.5</v>
      </c>
      <c r="AG596" s="1">
        <v>0</v>
      </c>
      <c r="AH596" s="1">
        <v>1</v>
      </c>
      <c r="AI596" s="1" t="s">
        <v>2695</v>
      </c>
      <c r="AJ596" s="1" t="s">
        <v>216</v>
      </c>
      <c r="AK596" s="1" t="s">
        <v>238</v>
      </c>
      <c r="AM596" s="1">
        <v>1</v>
      </c>
      <c r="AV596" s="1">
        <v>1</v>
      </c>
      <c r="AX596" s="1">
        <v>0.25</v>
      </c>
      <c r="BE596" s="1" t="str">
        <f t="shared" si="35"/>
        <v>enemy_2011_csppt</v>
      </c>
      <c r="BK596" s="1" t="s">
        <v>2696</v>
      </c>
      <c r="BL596" s="1" t="s">
        <v>2697</v>
      </c>
      <c r="BN596" s="1" t="s">
        <v>217</v>
      </c>
      <c r="BO596" s="1" t="s">
        <v>218</v>
      </c>
      <c r="BP596" s="1" t="s">
        <v>239</v>
      </c>
      <c r="BQ596" s="1" t="s">
        <v>220</v>
      </c>
      <c r="BT596" s="1">
        <v>1</v>
      </c>
    </row>
    <row r="597" spans="1:72">
      <c r="A597" s="1" t="s">
        <v>2698</v>
      </c>
      <c r="B597" s="1" t="s">
        <v>213</v>
      </c>
      <c r="C597" s="1">
        <v>1</v>
      </c>
      <c r="D597" s="1" t="s">
        <v>2699</v>
      </c>
      <c r="E597" s="1">
        <v>2012</v>
      </c>
      <c r="F597" s="1" t="str">
        <f t="shared" si="36"/>
        <v>enemy_2012_csbln</v>
      </c>
      <c r="G597" s="1">
        <v>1</v>
      </c>
      <c r="K597" s="1">
        <v>4000</v>
      </c>
      <c r="M597" s="1">
        <v>400</v>
      </c>
      <c r="O597" s="1">
        <v>0</v>
      </c>
      <c r="Q597" s="1">
        <v>0</v>
      </c>
      <c r="Y597" s="1">
        <v>0.05</v>
      </c>
      <c r="Z597" s="1">
        <v>1</v>
      </c>
      <c r="AA597" s="1">
        <v>0</v>
      </c>
      <c r="AB597" s="1">
        <v>0.5</v>
      </c>
      <c r="AG597" s="1">
        <v>0</v>
      </c>
      <c r="AH597" s="1">
        <v>1</v>
      </c>
      <c r="AI597" s="1" t="s">
        <v>2700</v>
      </c>
      <c r="AJ597" s="1" t="s">
        <v>216</v>
      </c>
      <c r="AK597" s="1" t="s">
        <v>238</v>
      </c>
      <c r="AM597" s="1">
        <v>1</v>
      </c>
      <c r="AV597" s="1">
        <v>1</v>
      </c>
      <c r="AX597" s="1">
        <v>0.25</v>
      </c>
      <c r="BE597" s="1" t="str">
        <f t="shared" si="35"/>
        <v>enemy_2012_csbln</v>
      </c>
      <c r="BK597" s="1" t="s">
        <v>1040</v>
      </c>
      <c r="BL597" s="1" t="s">
        <v>2701</v>
      </c>
      <c r="BN597" s="1" t="s">
        <v>217</v>
      </c>
      <c r="BO597" s="1" t="s">
        <v>218</v>
      </c>
      <c r="BP597" s="1" t="s">
        <v>239</v>
      </c>
      <c r="BQ597" s="1" t="s">
        <v>220</v>
      </c>
      <c r="BT597" s="1">
        <v>1</v>
      </c>
    </row>
    <row r="598" spans="1:72">
      <c r="A598" s="1" t="s">
        <v>2702</v>
      </c>
      <c r="B598" s="1" t="s">
        <v>213</v>
      </c>
      <c r="C598" s="1">
        <v>1</v>
      </c>
      <c r="D598" s="1" t="s">
        <v>2703</v>
      </c>
      <c r="E598" s="1">
        <v>2013</v>
      </c>
      <c r="F598" s="1" t="str">
        <f t="shared" si="36"/>
        <v>enemy_2013_csbot</v>
      </c>
      <c r="G598" s="1">
        <v>1</v>
      </c>
      <c r="K598" s="1">
        <v>40000</v>
      </c>
      <c r="M598" s="1">
        <v>900</v>
      </c>
      <c r="O598" s="1">
        <v>800</v>
      </c>
      <c r="Q598" s="1">
        <v>50</v>
      </c>
      <c r="Y598" s="1">
        <v>0.05</v>
      </c>
      <c r="Z598" s="1">
        <v>1.5</v>
      </c>
      <c r="AA598" s="1">
        <v>4</v>
      </c>
      <c r="AB598" s="1">
        <v>0.5</v>
      </c>
      <c r="AG598" s="1">
        <v>0</v>
      </c>
      <c r="AH598" s="1">
        <v>1</v>
      </c>
      <c r="AI598" s="1" t="s">
        <v>2704</v>
      </c>
      <c r="AJ598" s="1" t="s">
        <v>216</v>
      </c>
      <c r="AK598" s="1" t="s">
        <v>238</v>
      </c>
      <c r="AM598" s="1">
        <v>1</v>
      </c>
      <c r="AV598" s="1">
        <v>1</v>
      </c>
      <c r="AX598" s="1">
        <v>0.25</v>
      </c>
      <c r="BE598" s="1" t="str">
        <f t="shared" si="35"/>
        <v>enemy_2013_csbot</v>
      </c>
      <c r="BK598" s="1" t="s">
        <v>1019</v>
      </c>
      <c r="BL598" s="1" t="s">
        <v>2705</v>
      </c>
      <c r="BN598" s="1" t="s">
        <v>217</v>
      </c>
      <c r="BO598" s="1" t="s">
        <v>218</v>
      </c>
      <c r="BP598" s="1" t="s">
        <v>239</v>
      </c>
      <c r="BQ598" s="1" t="s">
        <v>220</v>
      </c>
      <c r="BT598" s="1">
        <v>1</v>
      </c>
    </row>
    <row r="599" spans="1:72">
      <c r="A599" s="1" t="s">
        <v>2706</v>
      </c>
      <c r="B599" s="1" t="s">
        <v>213</v>
      </c>
      <c r="C599" s="1">
        <v>1</v>
      </c>
      <c r="D599" s="1" t="s">
        <v>2707</v>
      </c>
      <c r="E599" s="1">
        <v>2014</v>
      </c>
      <c r="F599" s="1" t="str">
        <f t="shared" si="36"/>
        <v>enemy_2014_csicer</v>
      </c>
      <c r="G599" s="1">
        <v>1</v>
      </c>
      <c r="K599" s="1">
        <v>40000</v>
      </c>
      <c r="M599" s="1">
        <v>700</v>
      </c>
      <c r="O599" s="1">
        <v>300</v>
      </c>
      <c r="Q599" s="1">
        <v>30</v>
      </c>
      <c r="Y599" s="1">
        <v>0.05</v>
      </c>
      <c r="Z599" s="1">
        <v>4</v>
      </c>
      <c r="AA599" s="1">
        <v>4</v>
      </c>
      <c r="AB599" s="1">
        <v>0.6</v>
      </c>
      <c r="AG599" s="1">
        <v>0</v>
      </c>
      <c r="AH599" s="1">
        <v>1</v>
      </c>
      <c r="AI599" s="1" t="s">
        <v>2708</v>
      </c>
      <c r="AJ599" s="1" t="s">
        <v>216</v>
      </c>
      <c r="AK599" s="1" t="s">
        <v>238</v>
      </c>
      <c r="AM599" s="1">
        <v>1</v>
      </c>
      <c r="AV599" s="1">
        <v>1</v>
      </c>
      <c r="AX599" s="1">
        <v>0.25</v>
      </c>
      <c r="BE599" s="1" t="str">
        <f t="shared" si="35"/>
        <v>enemy_2014_csicer</v>
      </c>
      <c r="BK599" s="1" t="s">
        <v>1351</v>
      </c>
      <c r="BL599" s="1" t="s">
        <v>2709</v>
      </c>
      <c r="BN599" s="1" t="s">
        <v>217</v>
      </c>
      <c r="BO599" s="1" t="s">
        <v>2366</v>
      </c>
      <c r="BP599" s="1" t="s">
        <v>2367</v>
      </c>
      <c r="BQ599" s="1" t="s">
        <v>220</v>
      </c>
      <c r="BT599" s="1">
        <v>1</v>
      </c>
    </row>
    <row r="600" spans="1:72">
      <c r="A600" s="1" t="s">
        <v>2710</v>
      </c>
      <c r="B600" s="1" t="s">
        <v>213</v>
      </c>
      <c r="C600" s="1">
        <v>1</v>
      </c>
      <c r="D600" s="1" t="s">
        <v>2711</v>
      </c>
      <c r="E600" s="1">
        <v>2015</v>
      </c>
      <c r="F600" s="1" t="str">
        <f t="shared" si="36"/>
        <v>enemy_2015_csicem</v>
      </c>
      <c r="G600" s="1">
        <v>1</v>
      </c>
      <c r="K600" s="1">
        <v>60000</v>
      </c>
      <c r="M600" s="1">
        <v>1200</v>
      </c>
      <c r="O600" s="1">
        <v>300</v>
      </c>
      <c r="Q600" s="1">
        <v>30</v>
      </c>
      <c r="Y600" s="1">
        <v>0.05</v>
      </c>
      <c r="Z600" s="1">
        <v>6</v>
      </c>
      <c r="AA600" s="1">
        <v>4</v>
      </c>
      <c r="AB600" s="1">
        <v>0.6</v>
      </c>
      <c r="AG600" s="1">
        <v>0</v>
      </c>
      <c r="AH600" s="1">
        <v>1</v>
      </c>
      <c r="AI600" s="1" t="s">
        <v>2712</v>
      </c>
      <c r="AJ600" s="1" t="s">
        <v>216</v>
      </c>
      <c r="AK600" s="1" t="s">
        <v>238</v>
      </c>
      <c r="AM600" s="1">
        <v>1</v>
      </c>
      <c r="AV600" s="1">
        <v>1</v>
      </c>
      <c r="AX600" s="1">
        <v>0.25</v>
      </c>
      <c r="BE600" s="1" t="str">
        <f t="shared" si="35"/>
        <v>enemy_2015_csicem</v>
      </c>
      <c r="BK600" s="1" t="s">
        <v>1019</v>
      </c>
      <c r="BL600" s="1" t="s">
        <v>2713</v>
      </c>
      <c r="BN600" s="1" t="s">
        <v>217</v>
      </c>
      <c r="BO600" s="1" t="s">
        <v>218</v>
      </c>
      <c r="BP600" s="1" t="s">
        <v>239</v>
      </c>
      <c r="BQ600" s="1" t="s">
        <v>220</v>
      </c>
      <c r="BT600" s="1">
        <v>1</v>
      </c>
    </row>
    <row r="601" spans="1:72">
      <c r="A601" s="1" t="s">
        <v>2714</v>
      </c>
      <c r="B601" s="1" t="s">
        <v>213</v>
      </c>
      <c r="C601" s="1">
        <v>1</v>
      </c>
      <c r="D601" s="1" t="s">
        <v>2715</v>
      </c>
      <c r="E601" s="1">
        <v>2016</v>
      </c>
      <c r="F601" s="1" t="str">
        <f t="shared" si="36"/>
        <v>enemy_2016_csphtm</v>
      </c>
      <c r="G601" s="1">
        <v>1</v>
      </c>
      <c r="K601" s="1">
        <v>80000</v>
      </c>
      <c r="M601" s="1">
        <v>1500</v>
      </c>
      <c r="O601" s="1">
        <v>600</v>
      </c>
      <c r="Q601" s="1">
        <v>40</v>
      </c>
      <c r="Y601" s="1">
        <v>0.05</v>
      </c>
      <c r="Z601" s="1">
        <v>3</v>
      </c>
      <c r="AA601" s="1">
        <v>6</v>
      </c>
      <c r="AB601" s="1">
        <v>0.6</v>
      </c>
      <c r="AG601" s="1">
        <v>0</v>
      </c>
      <c r="AH601" s="1">
        <v>1</v>
      </c>
      <c r="AI601" s="1" t="s">
        <v>2716</v>
      </c>
      <c r="AJ601" s="1" t="s">
        <v>216</v>
      </c>
      <c r="AK601" s="1" t="s">
        <v>238</v>
      </c>
      <c r="AM601" s="1">
        <v>1</v>
      </c>
      <c r="AV601" s="1">
        <v>1</v>
      </c>
      <c r="AX601" s="1">
        <v>0.25</v>
      </c>
      <c r="BE601" s="1" t="str">
        <f t="shared" si="35"/>
        <v>enemy_2016_csphtm</v>
      </c>
      <c r="BK601" s="1" t="s">
        <v>1019</v>
      </c>
      <c r="BL601" s="1" t="s">
        <v>2717</v>
      </c>
      <c r="BN601" s="1" t="s">
        <v>217</v>
      </c>
      <c r="BO601" s="1" t="s">
        <v>218</v>
      </c>
      <c r="BP601" s="1" t="s">
        <v>239</v>
      </c>
      <c r="BQ601" s="1" t="s">
        <v>220</v>
      </c>
      <c r="BT601" s="1">
        <v>1</v>
      </c>
    </row>
    <row r="602" spans="1:72">
      <c r="A602" s="1" t="s">
        <v>2718</v>
      </c>
      <c r="B602" s="1" t="s">
        <v>213</v>
      </c>
      <c r="C602" s="1">
        <v>1</v>
      </c>
      <c r="D602" s="1" t="s">
        <v>2719</v>
      </c>
      <c r="E602" s="1">
        <v>2017</v>
      </c>
      <c r="F602" s="1" t="str">
        <f t="shared" si="36"/>
        <v>enemy_2017_csphts</v>
      </c>
      <c r="G602" s="1">
        <v>1</v>
      </c>
      <c r="K602" s="1">
        <v>10000</v>
      </c>
      <c r="M602" s="1">
        <v>750</v>
      </c>
      <c r="O602" s="1">
        <v>400</v>
      </c>
      <c r="Q602" s="1">
        <v>20</v>
      </c>
      <c r="Y602" s="1">
        <v>0.05</v>
      </c>
      <c r="Z602" s="1">
        <v>3</v>
      </c>
      <c r="AA602" s="1">
        <v>2</v>
      </c>
      <c r="AB602" s="1">
        <v>0.6</v>
      </c>
      <c r="AG602" s="1">
        <v>0</v>
      </c>
      <c r="AH602" s="1">
        <v>1</v>
      </c>
      <c r="AI602" s="1" t="s">
        <v>2720</v>
      </c>
      <c r="AJ602" s="1" t="s">
        <v>216</v>
      </c>
      <c r="AK602" s="1" t="s">
        <v>238</v>
      </c>
      <c r="AM602" s="1">
        <v>1</v>
      </c>
      <c r="AV602" s="1">
        <v>1</v>
      </c>
      <c r="AX602" s="1">
        <v>0.25</v>
      </c>
      <c r="BE602" s="1" t="str">
        <f t="shared" si="35"/>
        <v>enemy_2017_csphts</v>
      </c>
      <c r="BK602" s="1" t="s">
        <v>1012</v>
      </c>
      <c r="BL602" s="1" t="s">
        <v>2721</v>
      </c>
      <c r="BN602" s="1" t="s">
        <v>217</v>
      </c>
      <c r="BO602" s="1" t="s">
        <v>218</v>
      </c>
      <c r="BP602" s="1" t="s">
        <v>239</v>
      </c>
      <c r="BQ602" s="1" t="s">
        <v>220</v>
      </c>
      <c r="BT602" s="1">
        <v>1</v>
      </c>
    </row>
    <row r="603" spans="1:72">
      <c r="A603" s="1" t="s">
        <v>2722</v>
      </c>
      <c r="B603" s="1" t="s">
        <v>213</v>
      </c>
      <c r="C603" s="1">
        <v>1</v>
      </c>
      <c r="D603" s="1" t="s">
        <v>2723</v>
      </c>
      <c r="E603" s="1">
        <v>2018</v>
      </c>
      <c r="F603" s="1" t="str">
        <f t="shared" si="36"/>
        <v>enemy_2018_csdoll</v>
      </c>
      <c r="G603" s="1">
        <v>1</v>
      </c>
      <c r="K603" s="1">
        <v>300000</v>
      </c>
      <c r="M603" s="1">
        <v>800</v>
      </c>
      <c r="O603" s="1">
        <v>700</v>
      </c>
      <c r="Q603" s="1">
        <v>60</v>
      </c>
      <c r="Y603" s="1">
        <v>0.05</v>
      </c>
      <c r="Z603" s="1">
        <v>4</v>
      </c>
      <c r="AA603" s="1">
        <v>10</v>
      </c>
      <c r="AB603" s="1">
        <v>1</v>
      </c>
      <c r="AG603" s="1">
        <v>0</v>
      </c>
      <c r="AH603" s="1">
        <v>1</v>
      </c>
      <c r="AI603" s="1" t="s">
        <v>2724</v>
      </c>
      <c r="AJ603" s="1" t="s">
        <v>216</v>
      </c>
      <c r="AK603" s="1" t="s">
        <v>238</v>
      </c>
      <c r="AM603" s="1">
        <v>1</v>
      </c>
      <c r="AV603" s="1">
        <v>1</v>
      </c>
      <c r="AX603" s="1">
        <v>0.25</v>
      </c>
      <c r="BE603" s="1" t="str">
        <f t="shared" si="35"/>
        <v>enemy_2018_csdoll</v>
      </c>
      <c r="BK603" s="1" t="s">
        <v>1351</v>
      </c>
      <c r="BL603" s="1" t="s">
        <v>2725</v>
      </c>
      <c r="BN603" s="1" t="s">
        <v>217</v>
      </c>
      <c r="BO603" s="1" t="s">
        <v>218</v>
      </c>
      <c r="BP603" s="1" t="s">
        <v>218</v>
      </c>
      <c r="BQ603" s="1" t="s">
        <v>220</v>
      </c>
      <c r="BT603" s="1">
        <v>1</v>
      </c>
    </row>
    <row r="604" spans="1:72">
      <c r="A604" s="1" t="s">
        <v>2726</v>
      </c>
      <c r="B604" s="1" t="s">
        <v>213</v>
      </c>
      <c r="C604" s="1">
        <v>1</v>
      </c>
      <c r="D604" s="1" t="s">
        <v>2727</v>
      </c>
      <c r="E604" s="1">
        <v>2019</v>
      </c>
      <c r="F604" s="1" t="str">
        <f t="shared" si="36"/>
        <v>enemy_2019_cshost</v>
      </c>
      <c r="G604" s="1">
        <v>1</v>
      </c>
      <c r="K604" s="1">
        <v>100000</v>
      </c>
      <c r="M604" s="1">
        <v>1000</v>
      </c>
      <c r="O604" s="1">
        <v>0</v>
      </c>
      <c r="Q604" s="1">
        <v>0</v>
      </c>
      <c r="Y604" s="1">
        <v>0.05</v>
      </c>
      <c r="Z604" s="1">
        <v>4</v>
      </c>
      <c r="AA604" s="1">
        <v>7</v>
      </c>
      <c r="AB604" s="1">
        <v>0.5</v>
      </c>
      <c r="AG604" s="1">
        <v>0</v>
      </c>
      <c r="AH604" s="1">
        <v>1</v>
      </c>
      <c r="AI604" s="1" t="s">
        <v>2728</v>
      </c>
      <c r="AJ604" s="1" t="s">
        <v>216</v>
      </c>
      <c r="AK604" s="1" t="s">
        <v>238</v>
      </c>
      <c r="AM604" s="1">
        <v>1</v>
      </c>
      <c r="AV604" s="1">
        <v>1</v>
      </c>
      <c r="AX604" s="1">
        <v>0.25</v>
      </c>
      <c r="BE604" s="1" t="str">
        <f t="shared" si="35"/>
        <v>enemy_2019_cshost</v>
      </c>
      <c r="BK604" s="1" t="s">
        <v>1351</v>
      </c>
      <c r="BL604" s="1" t="s">
        <v>2729</v>
      </c>
      <c r="BN604" s="1" t="s">
        <v>217</v>
      </c>
      <c r="BO604" s="1" t="s">
        <v>218</v>
      </c>
      <c r="BP604" s="1" t="s">
        <v>239</v>
      </c>
      <c r="BQ604" s="1" t="s">
        <v>220</v>
      </c>
      <c r="BT604" s="1">
        <v>1</v>
      </c>
    </row>
    <row r="605" spans="1:72">
      <c r="A605" s="1" t="s">
        <v>2730</v>
      </c>
      <c r="B605" s="1" t="s">
        <v>213</v>
      </c>
      <c r="C605" s="1">
        <v>1</v>
      </c>
      <c r="D605" s="1" t="s">
        <v>2731</v>
      </c>
      <c r="E605" s="1">
        <v>1195</v>
      </c>
      <c r="F605" s="1" t="str">
        <f t="shared" si="36"/>
        <v>enemy_1195_sfyin</v>
      </c>
      <c r="G605" s="1">
        <v>1</v>
      </c>
      <c r="K605" s="1">
        <v>2000</v>
      </c>
      <c r="M605" s="1">
        <v>310</v>
      </c>
      <c r="O605" s="1">
        <v>0</v>
      </c>
      <c r="Q605" s="1">
        <v>20</v>
      </c>
      <c r="Y605" s="1">
        <v>0.05</v>
      </c>
      <c r="Z605" s="1">
        <v>1.5</v>
      </c>
      <c r="AA605" s="1">
        <v>0</v>
      </c>
      <c r="AB605" s="1">
        <v>1.5</v>
      </c>
      <c r="AG605" s="1">
        <v>0</v>
      </c>
      <c r="AH605" s="1">
        <v>1</v>
      </c>
      <c r="AI605" s="1" t="s">
        <v>2732</v>
      </c>
      <c r="AJ605" s="1" t="s">
        <v>216</v>
      </c>
      <c r="AK605" s="1" t="s">
        <v>238</v>
      </c>
      <c r="AM605" s="1">
        <v>1</v>
      </c>
      <c r="AV605" s="1">
        <v>1</v>
      </c>
      <c r="AX605" s="1">
        <v>0.25</v>
      </c>
      <c r="BE605" s="1" t="str">
        <f t="shared" si="35"/>
        <v>enemy_1195_sfyin</v>
      </c>
      <c r="BK605" s="1" t="s">
        <v>2041</v>
      </c>
      <c r="BL605" s="1" t="s">
        <v>2733</v>
      </c>
      <c r="BN605" s="1" t="s">
        <v>217</v>
      </c>
      <c r="BO605" s="1" t="s">
        <v>218</v>
      </c>
      <c r="BP605" s="1" t="s">
        <v>239</v>
      </c>
      <c r="BQ605" s="1" t="s">
        <v>220</v>
      </c>
      <c r="BT605" s="1">
        <v>1</v>
      </c>
    </row>
    <row r="606" spans="1:72">
      <c r="A606" s="1" t="s">
        <v>2734</v>
      </c>
      <c r="B606" s="1" t="s">
        <v>213</v>
      </c>
      <c r="C606" s="1">
        <v>1</v>
      </c>
      <c r="D606" s="1" t="s">
        <v>2735</v>
      </c>
      <c r="E606" s="1">
        <v>1195</v>
      </c>
      <c r="F606" s="1" t="str">
        <f t="shared" si="36"/>
        <v>enemy_1195_sfyin_2</v>
      </c>
      <c r="G606" s="1">
        <v>1</v>
      </c>
      <c r="K606" s="1">
        <v>3100</v>
      </c>
      <c r="M606" s="1">
        <v>390</v>
      </c>
      <c r="O606" s="1">
        <v>0</v>
      </c>
      <c r="Q606" s="1">
        <v>20</v>
      </c>
      <c r="Y606" s="1">
        <v>0.05</v>
      </c>
      <c r="Z606" s="1">
        <v>1.5</v>
      </c>
      <c r="AA606" s="1">
        <v>0</v>
      </c>
      <c r="AB606" s="1">
        <v>1.5</v>
      </c>
      <c r="AG606" s="1">
        <v>0</v>
      </c>
      <c r="AH606" s="1">
        <v>1</v>
      </c>
      <c r="AI606" s="1" t="s">
        <v>2736</v>
      </c>
      <c r="AJ606" s="1" t="s">
        <v>216</v>
      </c>
      <c r="AK606" s="1" t="s">
        <v>238</v>
      </c>
      <c r="AM606" s="1">
        <v>1</v>
      </c>
      <c r="AV606" s="1">
        <v>1</v>
      </c>
      <c r="AX606" s="1">
        <v>0.25</v>
      </c>
      <c r="BE606" s="1" t="str">
        <f t="shared" si="35"/>
        <v>enemy_1195_sfyin_2</v>
      </c>
      <c r="BK606" s="1" t="s">
        <v>2041</v>
      </c>
      <c r="BL606" s="1" t="s">
        <v>2737</v>
      </c>
      <c r="BN606" s="1" t="s">
        <v>217</v>
      </c>
      <c r="BO606" s="1" t="s">
        <v>218</v>
      </c>
      <c r="BP606" s="1" t="s">
        <v>239</v>
      </c>
      <c r="BQ606" s="1" t="s">
        <v>220</v>
      </c>
      <c r="BT606" s="1">
        <v>1</v>
      </c>
    </row>
    <row r="607" spans="1:72">
      <c r="A607" s="1" t="s">
        <v>2738</v>
      </c>
      <c r="B607" s="1" t="s">
        <v>213</v>
      </c>
      <c r="C607" s="1">
        <v>1</v>
      </c>
      <c r="D607" s="1" t="s">
        <v>2739</v>
      </c>
      <c r="E607" s="1">
        <v>1196</v>
      </c>
      <c r="F607" s="1" t="str">
        <f t="shared" si="36"/>
        <v>enemy_1196_msfyin</v>
      </c>
      <c r="G607" s="1">
        <v>1</v>
      </c>
      <c r="K607" s="1">
        <v>2</v>
      </c>
      <c r="M607" s="1">
        <v>0</v>
      </c>
      <c r="O607" s="1">
        <v>0</v>
      </c>
      <c r="Q607" s="1">
        <v>0</v>
      </c>
      <c r="Y607" s="1">
        <v>0.05</v>
      </c>
      <c r="Z607" s="1">
        <v>1</v>
      </c>
      <c r="AA607" s="1">
        <v>0</v>
      </c>
      <c r="AB607" s="1">
        <v>0.8</v>
      </c>
      <c r="AG607" s="1">
        <v>0</v>
      </c>
      <c r="AH607" s="1">
        <v>1</v>
      </c>
      <c r="AI607" s="1" t="s">
        <v>2740</v>
      </c>
      <c r="AJ607" s="1" t="s">
        <v>216</v>
      </c>
      <c r="AK607" s="1" t="s">
        <v>238</v>
      </c>
      <c r="AM607" s="1">
        <v>1</v>
      </c>
      <c r="AV607" s="1">
        <v>1</v>
      </c>
      <c r="AX607" s="1">
        <v>0.25</v>
      </c>
      <c r="BE607" s="1" t="str">
        <f t="shared" si="35"/>
        <v>enemy_1196_msfyin</v>
      </c>
      <c r="BK607" s="1" t="s">
        <v>2741</v>
      </c>
      <c r="BL607" s="1" t="s">
        <v>2742</v>
      </c>
      <c r="BN607" s="1" t="s">
        <v>217</v>
      </c>
      <c r="BO607" s="1" t="s">
        <v>218</v>
      </c>
      <c r="BP607" s="1" t="s">
        <v>239</v>
      </c>
      <c r="BQ607" s="1" t="s">
        <v>220</v>
      </c>
      <c r="BT607" s="1">
        <v>1</v>
      </c>
    </row>
    <row r="608" spans="1:72">
      <c r="A608" s="1" t="s">
        <v>2743</v>
      </c>
      <c r="B608" s="1" t="s">
        <v>213</v>
      </c>
      <c r="C608" s="1">
        <v>1</v>
      </c>
      <c r="D608" s="1" t="s">
        <v>2744</v>
      </c>
      <c r="E608" s="1">
        <v>1196</v>
      </c>
      <c r="F608" s="1" t="str">
        <f t="shared" si="36"/>
        <v>enemy_1196_msfyin_2</v>
      </c>
      <c r="G608" s="1">
        <v>1</v>
      </c>
      <c r="K608" s="1">
        <v>3</v>
      </c>
      <c r="M608" s="1">
        <v>0</v>
      </c>
      <c r="O608" s="1">
        <v>0</v>
      </c>
      <c r="Q608" s="1">
        <v>0</v>
      </c>
      <c r="Y608" s="1">
        <v>0.05</v>
      </c>
      <c r="Z608" s="1">
        <v>1</v>
      </c>
      <c r="AA608" s="1">
        <v>0</v>
      </c>
      <c r="AB608" s="1">
        <v>0.8</v>
      </c>
      <c r="AG608" s="1">
        <v>0</v>
      </c>
      <c r="AH608" s="1">
        <v>1</v>
      </c>
      <c r="AI608" s="1" t="s">
        <v>2745</v>
      </c>
      <c r="AJ608" s="1" t="s">
        <v>216</v>
      </c>
      <c r="AK608" s="1" t="s">
        <v>238</v>
      </c>
      <c r="AM608" s="1">
        <v>1</v>
      </c>
      <c r="AV608" s="1">
        <v>1</v>
      </c>
      <c r="AX608" s="1">
        <v>0.25</v>
      </c>
      <c r="BE608" s="1" t="str">
        <f t="shared" si="35"/>
        <v>enemy_1196_msfyin_2</v>
      </c>
      <c r="BK608" s="1" t="s">
        <v>2741</v>
      </c>
      <c r="BL608" s="1" t="s">
        <v>2746</v>
      </c>
      <c r="BN608" s="1" t="s">
        <v>217</v>
      </c>
      <c r="BO608" s="1" t="s">
        <v>218</v>
      </c>
      <c r="BP608" s="1" t="s">
        <v>239</v>
      </c>
      <c r="BQ608" s="1" t="s">
        <v>220</v>
      </c>
      <c r="BT608" s="1">
        <v>1</v>
      </c>
    </row>
    <row r="609" spans="1:72">
      <c r="A609" s="1" t="s">
        <v>2747</v>
      </c>
      <c r="B609" s="1" t="s">
        <v>213</v>
      </c>
      <c r="C609" s="1">
        <v>1</v>
      </c>
      <c r="D609" s="1" t="s">
        <v>2748</v>
      </c>
      <c r="E609" s="1">
        <v>1197</v>
      </c>
      <c r="F609" s="1" t="str">
        <f t="shared" si="36"/>
        <v>enemy_1197_sfshu</v>
      </c>
      <c r="G609" s="1">
        <v>1</v>
      </c>
      <c r="K609" s="1">
        <v>2500</v>
      </c>
      <c r="M609" s="1">
        <v>320</v>
      </c>
      <c r="O609" s="1">
        <v>60</v>
      </c>
      <c r="Q609" s="1">
        <v>0</v>
      </c>
      <c r="Y609" s="1">
        <v>0.05</v>
      </c>
      <c r="Z609" s="1">
        <v>1.4</v>
      </c>
      <c r="AA609" s="1">
        <v>1</v>
      </c>
      <c r="AB609" s="1">
        <v>1.4</v>
      </c>
      <c r="AG609" s="1">
        <v>0</v>
      </c>
      <c r="AH609" s="1">
        <v>1</v>
      </c>
      <c r="AI609" s="1" t="s">
        <v>2749</v>
      </c>
      <c r="AJ609" s="1" t="s">
        <v>216</v>
      </c>
      <c r="AK609" s="1" t="s">
        <v>238</v>
      </c>
      <c r="AM609" s="1">
        <v>1</v>
      </c>
      <c r="AV609" s="1">
        <v>1</v>
      </c>
      <c r="AX609" s="1">
        <v>0.25</v>
      </c>
      <c r="BE609" s="1" t="str">
        <f t="shared" si="35"/>
        <v>enemy_1197_sfshu</v>
      </c>
      <c r="BK609" s="1" t="s">
        <v>2041</v>
      </c>
      <c r="BL609" s="1" t="s">
        <v>2750</v>
      </c>
      <c r="BN609" s="1" t="s">
        <v>217</v>
      </c>
      <c r="BO609" s="1" t="s">
        <v>218</v>
      </c>
      <c r="BP609" s="1" t="s">
        <v>239</v>
      </c>
      <c r="BQ609" s="1" t="s">
        <v>220</v>
      </c>
      <c r="BT609" s="1">
        <v>1</v>
      </c>
    </row>
    <row r="610" spans="1:72">
      <c r="A610" s="1" t="s">
        <v>2751</v>
      </c>
      <c r="B610" s="1" t="s">
        <v>213</v>
      </c>
      <c r="C610" s="1">
        <v>1</v>
      </c>
      <c r="D610" s="1" t="s">
        <v>2752</v>
      </c>
      <c r="E610" s="1">
        <v>1197</v>
      </c>
      <c r="F610" s="1" t="str">
        <f t="shared" si="36"/>
        <v>enemy_1197_sfshu_2</v>
      </c>
      <c r="G610" s="1">
        <v>1</v>
      </c>
      <c r="K610" s="1">
        <v>3350</v>
      </c>
      <c r="M610" s="1">
        <v>410</v>
      </c>
      <c r="O610" s="1">
        <v>70</v>
      </c>
      <c r="Q610" s="1">
        <v>0</v>
      </c>
      <c r="Y610" s="1">
        <v>0.05</v>
      </c>
      <c r="Z610" s="1">
        <v>2</v>
      </c>
      <c r="AA610" s="1">
        <v>1</v>
      </c>
      <c r="AB610" s="1">
        <v>1.4</v>
      </c>
      <c r="AG610" s="1">
        <v>0</v>
      </c>
      <c r="AH610" s="1">
        <v>1</v>
      </c>
      <c r="AI610" s="1" t="s">
        <v>2753</v>
      </c>
      <c r="AJ610" s="1" t="s">
        <v>216</v>
      </c>
      <c r="AK610" s="1" t="s">
        <v>238</v>
      </c>
      <c r="AM610" s="1">
        <v>1</v>
      </c>
      <c r="AV610" s="1">
        <v>1</v>
      </c>
      <c r="AX610" s="1">
        <v>0.25</v>
      </c>
      <c r="BE610" s="1" t="str">
        <f t="shared" si="35"/>
        <v>enemy_1197_sfshu_2</v>
      </c>
      <c r="BK610" s="1" t="s">
        <v>2041</v>
      </c>
      <c r="BL610" s="1" t="s">
        <v>2754</v>
      </c>
      <c r="BN610" s="1" t="s">
        <v>217</v>
      </c>
      <c r="BO610" s="1" t="s">
        <v>218</v>
      </c>
      <c r="BP610" s="1" t="s">
        <v>239</v>
      </c>
      <c r="BQ610" s="1" t="s">
        <v>220</v>
      </c>
      <c r="BT610" s="1">
        <v>1</v>
      </c>
    </row>
    <row r="611" spans="1:72">
      <c r="A611" s="1" t="s">
        <v>2755</v>
      </c>
      <c r="B611" s="1" t="s">
        <v>213</v>
      </c>
      <c r="C611" s="1">
        <v>1</v>
      </c>
      <c r="D611" s="1" t="s">
        <v>2756</v>
      </c>
      <c r="E611" s="1">
        <v>1198</v>
      </c>
      <c r="F611" s="1" t="str">
        <f t="shared" si="36"/>
        <v>enemy_1198_msfshu</v>
      </c>
      <c r="G611" s="1">
        <v>1</v>
      </c>
      <c r="K611" s="1">
        <v>3</v>
      </c>
      <c r="M611" s="1">
        <v>0</v>
      </c>
      <c r="O611" s="1">
        <v>0</v>
      </c>
      <c r="Q611" s="1">
        <v>0</v>
      </c>
      <c r="Y611" s="1">
        <v>0.05</v>
      </c>
      <c r="Z611" s="1">
        <v>1</v>
      </c>
      <c r="AA611" s="1">
        <v>0</v>
      </c>
      <c r="AB611" s="1">
        <v>0.9</v>
      </c>
      <c r="AG611" s="1">
        <v>0</v>
      </c>
      <c r="AH611" s="1">
        <v>1</v>
      </c>
      <c r="AI611" s="1" t="s">
        <v>2757</v>
      </c>
      <c r="AJ611" s="1" t="s">
        <v>216</v>
      </c>
      <c r="AK611" s="1" t="s">
        <v>238</v>
      </c>
      <c r="AM611" s="1">
        <v>1</v>
      </c>
      <c r="AV611" s="1">
        <v>1</v>
      </c>
      <c r="AX611" s="1">
        <v>0.25</v>
      </c>
      <c r="BE611" s="1" t="str">
        <f t="shared" si="35"/>
        <v>enemy_1198_msfshu</v>
      </c>
      <c r="BK611" s="1" t="s">
        <v>2741</v>
      </c>
      <c r="BL611" s="1" t="s">
        <v>2746</v>
      </c>
      <c r="BN611" s="1" t="s">
        <v>217</v>
      </c>
      <c r="BO611" s="1" t="s">
        <v>218</v>
      </c>
      <c r="BP611" s="1" t="s">
        <v>239</v>
      </c>
      <c r="BQ611" s="1" t="s">
        <v>220</v>
      </c>
      <c r="BT611" s="1">
        <v>1</v>
      </c>
    </row>
    <row r="612" spans="1:72">
      <c r="A612" s="1" t="s">
        <v>2758</v>
      </c>
      <c r="B612" s="1" t="s">
        <v>213</v>
      </c>
      <c r="C612" s="1">
        <v>1</v>
      </c>
      <c r="D612" s="1" t="s">
        <v>2759</v>
      </c>
      <c r="E612" s="1">
        <v>1198</v>
      </c>
      <c r="F612" s="1" t="str">
        <f t="shared" si="36"/>
        <v>enemy_1198_msfshu_2</v>
      </c>
      <c r="G612" s="1">
        <v>1</v>
      </c>
      <c r="K612" s="1">
        <v>4</v>
      </c>
      <c r="M612" s="1">
        <v>0</v>
      </c>
      <c r="O612" s="1">
        <v>0</v>
      </c>
      <c r="Q612" s="1">
        <v>0</v>
      </c>
      <c r="Y612" s="1">
        <v>0.05</v>
      </c>
      <c r="Z612" s="1">
        <v>1</v>
      </c>
      <c r="AA612" s="1">
        <v>0</v>
      </c>
      <c r="AB612" s="1">
        <v>0.9</v>
      </c>
      <c r="AG612" s="1">
        <v>0</v>
      </c>
      <c r="AH612" s="1">
        <v>1</v>
      </c>
      <c r="AI612" s="1" t="s">
        <v>2760</v>
      </c>
      <c r="AJ612" s="1" t="s">
        <v>216</v>
      </c>
      <c r="AK612" s="1" t="s">
        <v>238</v>
      </c>
      <c r="AM612" s="1">
        <v>1</v>
      </c>
      <c r="AV612" s="1">
        <v>1</v>
      </c>
      <c r="AX612" s="1">
        <v>0.25</v>
      </c>
      <c r="BE612" s="1" t="str">
        <f t="shared" si="35"/>
        <v>enemy_1198_msfshu_2</v>
      </c>
      <c r="BK612" s="1" t="s">
        <v>2741</v>
      </c>
      <c r="BL612" s="1" t="s">
        <v>2761</v>
      </c>
      <c r="BN612" s="1" t="s">
        <v>217</v>
      </c>
      <c r="BO612" s="1" t="s">
        <v>218</v>
      </c>
      <c r="BP612" s="1" t="s">
        <v>239</v>
      </c>
      <c r="BQ612" s="1" t="s">
        <v>220</v>
      </c>
      <c r="BT612" s="1">
        <v>1</v>
      </c>
    </row>
    <row r="613" spans="1:72">
      <c r="A613" s="1" t="s">
        <v>2762</v>
      </c>
      <c r="B613" s="1" t="s">
        <v>213</v>
      </c>
      <c r="C613" s="1">
        <v>1</v>
      </c>
      <c r="D613" s="1" t="s">
        <v>2763</v>
      </c>
      <c r="E613" s="1">
        <v>1199</v>
      </c>
      <c r="F613" s="1" t="str">
        <f t="shared" si="36"/>
        <v>enemy_1199_sfjin</v>
      </c>
      <c r="G613" s="1">
        <v>1</v>
      </c>
      <c r="K613" s="1">
        <v>6500</v>
      </c>
      <c r="M613" s="1">
        <v>700</v>
      </c>
      <c r="O613" s="1">
        <v>750</v>
      </c>
      <c r="Q613" s="1">
        <v>0</v>
      </c>
      <c r="Y613" s="1">
        <v>0.05</v>
      </c>
      <c r="Z613" s="1">
        <v>4</v>
      </c>
      <c r="AA613" s="1">
        <v>3</v>
      </c>
      <c r="AB613" s="1">
        <v>0.8</v>
      </c>
      <c r="AG613" s="1">
        <v>1</v>
      </c>
      <c r="AH613" s="1">
        <v>1</v>
      </c>
      <c r="AI613" s="1" t="s">
        <v>2764</v>
      </c>
      <c r="AJ613" s="1" t="s">
        <v>216</v>
      </c>
      <c r="AK613" s="1" t="s">
        <v>238</v>
      </c>
      <c r="AM613" s="1">
        <v>1</v>
      </c>
      <c r="AV613" s="1">
        <v>1</v>
      </c>
      <c r="AX613" s="1">
        <v>0.25</v>
      </c>
      <c r="BE613" s="1" t="str">
        <f t="shared" si="35"/>
        <v>enemy_1199_sfjin</v>
      </c>
      <c r="BK613" s="1" t="s">
        <v>2041</v>
      </c>
      <c r="BL613" s="1" t="s">
        <v>2765</v>
      </c>
      <c r="BN613" s="1" t="s">
        <v>217</v>
      </c>
      <c r="BO613" s="1" t="s">
        <v>218</v>
      </c>
      <c r="BP613" s="1" t="s">
        <v>239</v>
      </c>
      <c r="BQ613" s="1" t="s">
        <v>220</v>
      </c>
      <c r="BT613" s="1">
        <v>1</v>
      </c>
    </row>
    <row r="614" spans="1:72">
      <c r="A614" s="1" t="s">
        <v>2766</v>
      </c>
      <c r="B614" s="1" t="s">
        <v>213</v>
      </c>
      <c r="C614" s="1">
        <v>1</v>
      </c>
      <c r="D614" s="1" t="s">
        <v>2767</v>
      </c>
      <c r="E614" s="1">
        <v>1199</v>
      </c>
      <c r="F614" s="1" t="str">
        <f t="shared" si="36"/>
        <v>enemy_1199_sfjin_2</v>
      </c>
      <c r="G614" s="1">
        <v>1</v>
      </c>
      <c r="K614" s="1">
        <v>8000</v>
      </c>
      <c r="M614" s="1">
        <v>900</v>
      </c>
      <c r="O614" s="1">
        <v>900</v>
      </c>
      <c r="Q614" s="1">
        <v>0</v>
      </c>
      <c r="Y614" s="1">
        <v>0.05</v>
      </c>
      <c r="Z614" s="1">
        <v>4</v>
      </c>
      <c r="AA614" s="1">
        <v>3</v>
      </c>
      <c r="AB614" s="1">
        <v>0.8</v>
      </c>
      <c r="AG614" s="1">
        <v>1</v>
      </c>
      <c r="AH614" s="1">
        <v>1</v>
      </c>
      <c r="AI614" s="1" t="s">
        <v>2768</v>
      </c>
      <c r="AJ614" s="1" t="s">
        <v>216</v>
      </c>
      <c r="AK614" s="1" t="s">
        <v>238</v>
      </c>
      <c r="AM614" s="1">
        <v>1</v>
      </c>
      <c r="AV614" s="1">
        <v>1</v>
      </c>
      <c r="AX614" s="1">
        <v>0.25</v>
      </c>
      <c r="BE614" s="1" t="str">
        <f t="shared" si="35"/>
        <v>enemy_1199_sfjin_2</v>
      </c>
      <c r="BK614" s="1" t="s">
        <v>2041</v>
      </c>
      <c r="BL614" s="1" t="s">
        <v>2769</v>
      </c>
      <c r="BN614" s="1" t="s">
        <v>217</v>
      </c>
      <c r="BO614" s="1" t="s">
        <v>218</v>
      </c>
      <c r="BP614" s="1" t="s">
        <v>239</v>
      </c>
      <c r="BQ614" s="1" t="s">
        <v>220</v>
      </c>
      <c r="BT614" s="1">
        <v>1</v>
      </c>
    </row>
    <row r="615" spans="1:72">
      <c r="A615" s="1" t="s">
        <v>2770</v>
      </c>
      <c r="B615" s="1" t="s">
        <v>213</v>
      </c>
      <c r="C615" s="1">
        <v>1</v>
      </c>
      <c r="D615" s="1" t="s">
        <v>2771</v>
      </c>
      <c r="E615" s="1">
        <v>1200</v>
      </c>
      <c r="F615" s="1" t="str">
        <f t="shared" si="36"/>
        <v>enemy_1200_msfjin</v>
      </c>
      <c r="G615" s="1">
        <v>1</v>
      </c>
      <c r="K615" s="1">
        <v>30</v>
      </c>
      <c r="M615" s="1">
        <v>0</v>
      </c>
      <c r="O615" s="1">
        <v>0</v>
      </c>
      <c r="Q615" s="1">
        <v>0</v>
      </c>
      <c r="Y615" s="1">
        <v>0.05</v>
      </c>
      <c r="Z615" s="1">
        <v>1</v>
      </c>
      <c r="AA615" s="1">
        <v>0</v>
      </c>
      <c r="AB615" s="1">
        <v>0.5</v>
      </c>
      <c r="AG615" s="1">
        <v>0</v>
      </c>
      <c r="AH615" s="1">
        <v>1</v>
      </c>
      <c r="AI615" s="1" t="s">
        <v>2772</v>
      </c>
      <c r="AJ615" s="1" t="s">
        <v>216</v>
      </c>
      <c r="AK615" s="1" t="s">
        <v>238</v>
      </c>
      <c r="AM615" s="1">
        <v>1</v>
      </c>
      <c r="AV615" s="1">
        <v>1</v>
      </c>
      <c r="AX615" s="1">
        <v>0.25</v>
      </c>
      <c r="BE615" s="1" t="str">
        <f t="shared" si="35"/>
        <v>enemy_1200_msfjin</v>
      </c>
      <c r="BK615" s="1" t="s">
        <v>2741</v>
      </c>
      <c r="BL615" s="1" t="s">
        <v>2773</v>
      </c>
      <c r="BN615" s="1" t="s">
        <v>217</v>
      </c>
      <c r="BO615" s="1" t="s">
        <v>218</v>
      </c>
      <c r="BP615" s="1" t="s">
        <v>239</v>
      </c>
      <c r="BQ615" s="1" t="s">
        <v>220</v>
      </c>
      <c r="BT615" s="1">
        <v>1</v>
      </c>
    </row>
    <row r="616" spans="1:72">
      <c r="A616" s="1" t="s">
        <v>2774</v>
      </c>
      <c r="B616" s="1" t="s">
        <v>213</v>
      </c>
      <c r="C616" s="1">
        <v>1</v>
      </c>
      <c r="D616" s="1" t="s">
        <v>2775</v>
      </c>
      <c r="E616" s="1">
        <v>1200</v>
      </c>
      <c r="F616" s="1" t="str">
        <f t="shared" si="36"/>
        <v>enemy_1200_msfjin_2</v>
      </c>
      <c r="G616" s="1">
        <v>1</v>
      </c>
      <c r="K616" s="1">
        <v>35</v>
      </c>
      <c r="M616" s="1">
        <v>0</v>
      </c>
      <c r="O616" s="1">
        <v>0</v>
      </c>
      <c r="Q616" s="1">
        <v>0</v>
      </c>
      <c r="Y616" s="1">
        <v>0.05</v>
      </c>
      <c r="Z616" s="1">
        <v>1</v>
      </c>
      <c r="AA616" s="1">
        <v>0</v>
      </c>
      <c r="AB616" s="1">
        <v>0.5</v>
      </c>
      <c r="AG616" s="1">
        <v>0</v>
      </c>
      <c r="AH616" s="1">
        <v>1</v>
      </c>
      <c r="AI616" s="1" t="s">
        <v>2776</v>
      </c>
      <c r="AJ616" s="1" t="s">
        <v>216</v>
      </c>
      <c r="AK616" s="1" t="s">
        <v>238</v>
      </c>
      <c r="AM616" s="1">
        <v>1</v>
      </c>
      <c r="AV616" s="1">
        <v>1</v>
      </c>
      <c r="AX616" s="1">
        <v>0.25</v>
      </c>
      <c r="BE616" s="1" t="str">
        <f t="shared" ref="BE616:BE679" si="37">"enemy_"&amp;E616&amp;"_"&amp;D616</f>
        <v>enemy_1200_msfjin_2</v>
      </c>
      <c r="BK616" s="1" t="s">
        <v>2741</v>
      </c>
      <c r="BL616" s="1" t="s">
        <v>2777</v>
      </c>
      <c r="BN616" s="1" t="s">
        <v>217</v>
      </c>
      <c r="BO616" s="1" t="s">
        <v>218</v>
      </c>
      <c r="BP616" s="1" t="s">
        <v>239</v>
      </c>
      <c r="BQ616" s="1" t="s">
        <v>220</v>
      </c>
      <c r="BT616" s="1">
        <v>1</v>
      </c>
    </row>
    <row r="617" spans="1:72">
      <c r="A617" s="1" t="s">
        <v>2778</v>
      </c>
      <c r="B617" s="1" t="s">
        <v>213</v>
      </c>
      <c r="C617" s="1">
        <v>1</v>
      </c>
      <c r="D617" s="1" t="s">
        <v>2779</v>
      </c>
      <c r="E617" s="1">
        <v>1201</v>
      </c>
      <c r="F617" s="1" t="str">
        <f t="shared" si="36"/>
        <v>enemy_1201_sfzhi</v>
      </c>
      <c r="G617" s="1">
        <v>1</v>
      </c>
      <c r="K617" s="1">
        <v>6000</v>
      </c>
      <c r="M617" s="1">
        <v>400</v>
      </c>
      <c r="O617" s="1">
        <v>400</v>
      </c>
      <c r="Q617" s="1">
        <v>30</v>
      </c>
      <c r="Y617" s="1">
        <v>0.05</v>
      </c>
      <c r="Z617" s="1">
        <v>2.2</v>
      </c>
      <c r="AA617" s="1">
        <v>2</v>
      </c>
      <c r="AB617" s="1">
        <v>0.8</v>
      </c>
      <c r="AG617" s="1">
        <v>0</v>
      </c>
      <c r="AH617" s="1">
        <v>1</v>
      </c>
      <c r="AI617" s="1" t="s">
        <v>2780</v>
      </c>
      <c r="AJ617" s="1" t="s">
        <v>216</v>
      </c>
      <c r="AK617" s="1" t="s">
        <v>238</v>
      </c>
      <c r="AM617" s="1">
        <v>1</v>
      </c>
      <c r="AV617" s="1">
        <v>1</v>
      </c>
      <c r="AX617" s="1">
        <v>0.25</v>
      </c>
      <c r="BE617" s="1" t="str">
        <f t="shared" si="37"/>
        <v>enemy_1201_sfzhi</v>
      </c>
      <c r="BK617" s="1" t="s">
        <v>2056</v>
      </c>
      <c r="BL617" s="1" t="s">
        <v>2781</v>
      </c>
      <c r="BN617" s="1" t="s">
        <v>217</v>
      </c>
      <c r="BO617" s="1" t="s">
        <v>218</v>
      </c>
      <c r="BP617" s="1" t="s">
        <v>239</v>
      </c>
      <c r="BQ617" s="1" t="s">
        <v>220</v>
      </c>
      <c r="BT617" s="1">
        <v>1</v>
      </c>
    </row>
    <row r="618" spans="1:72">
      <c r="A618" s="1" t="s">
        <v>2782</v>
      </c>
      <c r="B618" s="1" t="s">
        <v>213</v>
      </c>
      <c r="C618" s="1">
        <v>1</v>
      </c>
      <c r="D618" s="1" t="s">
        <v>2783</v>
      </c>
      <c r="E618" s="1">
        <v>1201</v>
      </c>
      <c r="F618" s="1" t="str">
        <f t="shared" si="36"/>
        <v>enemy_1201_sfzhi_2</v>
      </c>
      <c r="G618" s="1">
        <v>1</v>
      </c>
      <c r="K618" s="1">
        <v>7600</v>
      </c>
      <c r="M618" s="1">
        <v>500</v>
      </c>
      <c r="O618" s="1">
        <v>500</v>
      </c>
      <c r="Q618" s="1">
        <v>30</v>
      </c>
      <c r="Y618" s="1">
        <v>0.05</v>
      </c>
      <c r="Z618" s="1">
        <v>2.2</v>
      </c>
      <c r="AA618" s="1">
        <v>2</v>
      </c>
      <c r="AB618" s="1">
        <v>0.8</v>
      </c>
      <c r="AG618" s="1">
        <v>0</v>
      </c>
      <c r="AH618" s="1">
        <v>1</v>
      </c>
      <c r="AI618" s="1" t="s">
        <v>2784</v>
      </c>
      <c r="AJ618" s="1" t="s">
        <v>216</v>
      </c>
      <c r="AK618" s="1" t="s">
        <v>238</v>
      </c>
      <c r="AM618" s="1">
        <v>1</v>
      </c>
      <c r="AV618" s="1">
        <v>1</v>
      </c>
      <c r="AX618" s="1">
        <v>0.25</v>
      </c>
      <c r="BE618" s="1" t="str">
        <f t="shared" si="37"/>
        <v>enemy_1201_sfzhi_2</v>
      </c>
      <c r="BK618" s="1" t="s">
        <v>2056</v>
      </c>
      <c r="BL618" s="1" t="s">
        <v>2785</v>
      </c>
      <c r="BN618" s="1" t="s">
        <v>217</v>
      </c>
      <c r="BO618" s="1" t="s">
        <v>218</v>
      </c>
      <c r="BP618" s="1" t="s">
        <v>239</v>
      </c>
      <c r="BQ618" s="1" t="s">
        <v>220</v>
      </c>
      <c r="BT618" s="1">
        <v>1</v>
      </c>
    </row>
    <row r="619" spans="1:72">
      <c r="A619" s="1" t="s">
        <v>2786</v>
      </c>
      <c r="B619" s="1" t="s">
        <v>213</v>
      </c>
      <c r="C619" s="1">
        <v>1</v>
      </c>
      <c r="D619" s="1" t="s">
        <v>2787</v>
      </c>
      <c r="E619" s="1">
        <v>1202</v>
      </c>
      <c r="F619" s="1" t="str">
        <f t="shared" si="36"/>
        <v>enemy_1202_msfzhi</v>
      </c>
      <c r="G619" s="1">
        <v>1</v>
      </c>
      <c r="K619" s="1">
        <v>3</v>
      </c>
      <c r="M619" s="1">
        <v>0</v>
      </c>
      <c r="O619" s="1">
        <v>0</v>
      </c>
      <c r="Q619" s="1">
        <v>0</v>
      </c>
      <c r="Y619" s="1">
        <v>0.05</v>
      </c>
      <c r="Z619" s="1">
        <v>1</v>
      </c>
      <c r="AA619" s="1">
        <v>0</v>
      </c>
      <c r="AB619" s="1">
        <v>0.9</v>
      </c>
      <c r="AG619" s="1">
        <v>0</v>
      </c>
      <c r="AH619" s="1">
        <v>1</v>
      </c>
      <c r="AI619" s="1" t="s">
        <v>2788</v>
      </c>
      <c r="AJ619" s="1" t="s">
        <v>216</v>
      </c>
      <c r="AK619" s="1" t="s">
        <v>238</v>
      </c>
      <c r="AM619" s="1">
        <v>1</v>
      </c>
      <c r="AV619" s="1">
        <v>1</v>
      </c>
      <c r="AX619" s="1">
        <v>0.25</v>
      </c>
      <c r="BE619" s="1" t="str">
        <f t="shared" si="37"/>
        <v>enemy_1202_msfzhi</v>
      </c>
      <c r="BK619" s="1" t="s">
        <v>2741</v>
      </c>
      <c r="BL619" s="1" t="s">
        <v>2746</v>
      </c>
      <c r="BN619" s="1" t="s">
        <v>217</v>
      </c>
      <c r="BO619" s="1" t="s">
        <v>218</v>
      </c>
      <c r="BP619" s="1" t="s">
        <v>239</v>
      </c>
      <c r="BQ619" s="1" t="s">
        <v>220</v>
      </c>
      <c r="BT619" s="1">
        <v>1</v>
      </c>
    </row>
    <row r="620" spans="1:72">
      <c r="A620" s="1" t="s">
        <v>2789</v>
      </c>
      <c r="B620" s="1" t="s">
        <v>213</v>
      </c>
      <c r="C620" s="1">
        <v>1</v>
      </c>
      <c r="D620" s="1" t="s">
        <v>2790</v>
      </c>
      <c r="E620" s="1">
        <v>1202</v>
      </c>
      <c r="F620" s="1" t="str">
        <f t="shared" si="36"/>
        <v>enemy_1202_msfzhi_2</v>
      </c>
      <c r="G620" s="1">
        <v>1</v>
      </c>
      <c r="K620" s="1">
        <v>4</v>
      </c>
      <c r="M620" s="1">
        <v>0</v>
      </c>
      <c r="O620" s="1">
        <v>0</v>
      </c>
      <c r="Q620" s="1">
        <v>0</v>
      </c>
      <c r="Y620" s="1">
        <v>0.05</v>
      </c>
      <c r="Z620" s="1">
        <v>1</v>
      </c>
      <c r="AA620" s="1">
        <v>0</v>
      </c>
      <c r="AB620" s="1">
        <v>0.9</v>
      </c>
      <c r="AG620" s="1">
        <v>0</v>
      </c>
      <c r="AH620" s="1">
        <v>1</v>
      </c>
      <c r="AI620" s="1" t="s">
        <v>2791</v>
      </c>
      <c r="AJ620" s="1" t="s">
        <v>216</v>
      </c>
      <c r="AK620" s="1" t="s">
        <v>238</v>
      </c>
      <c r="AM620" s="1">
        <v>1</v>
      </c>
      <c r="AV620" s="1">
        <v>1</v>
      </c>
      <c r="AX620" s="1">
        <v>0.25</v>
      </c>
      <c r="BE620" s="1" t="str">
        <f t="shared" si="37"/>
        <v>enemy_1202_msfzhi_2</v>
      </c>
      <c r="BK620" s="1" t="s">
        <v>2741</v>
      </c>
      <c r="BL620" s="1" t="s">
        <v>2761</v>
      </c>
      <c r="BN620" s="1" t="s">
        <v>217</v>
      </c>
      <c r="BO620" s="1" t="s">
        <v>218</v>
      </c>
      <c r="BP620" s="1" t="s">
        <v>239</v>
      </c>
      <c r="BQ620" s="1" t="s">
        <v>220</v>
      </c>
      <c r="BT620" s="1">
        <v>1</v>
      </c>
    </row>
    <row r="621" spans="1:72">
      <c r="A621" s="1" t="s">
        <v>2792</v>
      </c>
      <c r="B621" s="1" t="s">
        <v>213</v>
      </c>
      <c r="C621" s="1">
        <v>1</v>
      </c>
      <c r="D621" s="1" t="s">
        <v>2793</v>
      </c>
      <c r="E621" s="1">
        <v>1203</v>
      </c>
      <c r="F621" s="1" t="str">
        <f t="shared" si="36"/>
        <v>enemy_1203_sfhu</v>
      </c>
      <c r="G621" s="1">
        <v>1</v>
      </c>
      <c r="K621" s="1">
        <v>6500</v>
      </c>
      <c r="M621" s="1">
        <v>280</v>
      </c>
      <c r="O621" s="1">
        <v>290</v>
      </c>
      <c r="Q621" s="1">
        <v>50</v>
      </c>
      <c r="Y621" s="1">
        <v>0.05</v>
      </c>
      <c r="Z621" s="1">
        <v>3.5</v>
      </c>
      <c r="AA621" s="1">
        <v>2</v>
      </c>
      <c r="AB621" s="1">
        <v>0.8</v>
      </c>
      <c r="AG621" s="1">
        <v>0</v>
      </c>
      <c r="AH621" s="1">
        <v>1</v>
      </c>
      <c r="AI621" s="1" t="s">
        <v>2794</v>
      </c>
      <c r="AJ621" s="1" t="s">
        <v>216</v>
      </c>
      <c r="AK621" s="1" t="s">
        <v>238</v>
      </c>
      <c r="AM621" s="1">
        <v>1</v>
      </c>
      <c r="AV621" s="1">
        <v>1</v>
      </c>
      <c r="AX621" s="1">
        <v>0.25</v>
      </c>
      <c r="BE621" s="1" t="str">
        <f t="shared" si="37"/>
        <v>enemy_1203_sfhu</v>
      </c>
      <c r="BK621" s="1" t="s">
        <v>2056</v>
      </c>
      <c r="BL621" s="1" t="s">
        <v>2795</v>
      </c>
      <c r="BN621" s="1" t="s">
        <v>217</v>
      </c>
      <c r="BO621" s="1" t="s">
        <v>2174</v>
      </c>
      <c r="BP621" s="1" t="s">
        <v>2175</v>
      </c>
      <c r="BQ621" s="1" t="s">
        <v>2176</v>
      </c>
      <c r="BT621" s="1">
        <v>1</v>
      </c>
    </row>
    <row r="622" spans="1:72">
      <c r="A622" s="1" t="s">
        <v>2796</v>
      </c>
      <c r="B622" s="1" t="s">
        <v>213</v>
      </c>
      <c r="C622" s="1">
        <v>1</v>
      </c>
      <c r="D622" s="1" t="s">
        <v>2797</v>
      </c>
      <c r="E622" s="1">
        <v>1203</v>
      </c>
      <c r="F622" s="1" t="str">
        <f t="shared" si="36"/>
        <v>enemy_1203_sfhu_2</v>
      </c>
      <c r="G622" s="1">
        <v>1</v>
      </c>
      <c r="K622" s="1">
        <v>8750</v>
      </c>
      <c r="M622" s="1">
        <v>360</v>
      </c>
      <c r="O622" s="1">
        <v>380</v>
      </c>
      <c r="Q622" s="1">
        <v>50</v>
      </c>
      <c r="Y622" s="1">
        <v>0.05</v>
      </c>
      <c r="Z622" s="1">
        <v>3.5</v>
      </c>
      <c r="AA622" s="1">
        <v>2</v>
      </c>
      <c r="AB622" s="1">
        <v>0.8</v>
      </c>
      <c r="AG622" s="1">
        <v>0</v>
      </c>
      <c r="AH622" s="1">
        <v>1</v>
      </c>
      <c r="AI622" s="1" t="s">
        <v>2798</v>
      </c>
      <c r="AJ622" s="1" t="s">
        <v>216</v>
      </c>
      <c r="AK622" s="1" t="s">
        <v>238</v>
      </c>
      <c r="AM622" s="1">
        <v>1</v>
      </c>
      <c r="AV622" s="1">
        <v>1</v>
      </c>
      <c r="AX622" s="1">
        <v>0.25</v>
      </c>
      <c r="BE622" s="1" t="str">
        <f t="shared" si="37"/>
        <v>enemy_1203_sfhu_2</v>
      </c>
      <c r="BK622" s="1" t="s">
        <v>2056</v>
      </c>
      <c r="BL622" s="1" t="s">
        <v>2799</v>
      </c>
      <c r="BN622" s="1" t="s">
        <v>217</v>
      </c>
      <c r="BO622" s="1" t="s">
        <v>2174</v>
      </c>
      <c r="BP622" s="1" t="s">
        <v>2175</v>
      </c>
      <c r="BQ622" s="1" t="s">
        <v>2176</v>
      </c>
      <c r="BT622" s="1">
        <v>1</v>
      </c>
    </row>
    <row r="623" spans="1:72">
      <c r="A623" s="1" t="s">
        <v>2800</v>
      </c>
      <c r="B623" s="1" t="s">
        <v>213</v>
      </c>
      <c r="C623" s="1">
        <v>1</v>
      </c>
      <c r="D623" s="1" t="s">
        <v>2801</v>
      </c>
      <c r="E623" s="1">
        <v>1204</v>
      </c>
      <c r="F623" s="1" t="str">
        <f t="shared" si="36"/>
        <v>enemy_1204_msfhu</v>
      </c>
      <c r="G623" s="1">
        <v>1</v>
      </c>
      <c r="K623" s="1">
        <v>4</v>
      </c>
      <c r="M623" s="1">
        <v>0</v>
      </c>
      <c r="O623" s="1">
        <v>0</v>
      </c>
      <c r="Q623" s="1">
        <v>0</v>
      </c>
      <c r="Y623" s="1">
        <v>0.05</v>
      </c>
      <c r="Z623" s="1">
        <v>1</v>
      </c>
      <c r="AA623" s="1">
        <v>0</v>
      </c>
      <c r="AB623" s="1">
        <v>0.7</v>
      </c>
      <c r="AG623" s="1">
        <v>0</v>
      </c>
      <c r="AH623" s="1">
        <v>1</v>
      </c>
      <c r="AI623" s="1" t="s">
        <v>2802</v>
      </c>
      <c r="AJ623" s="1" t="s">
        <v>216</v>
      </c>
      <c r="AK623" s="1" t="s">
        <v>238</v>
      </c>
      <c r="AM623" s="1">
        <v>1</v>
      </c>
      <c r="AV623" s="1">
        <v>1</v>
      </c>
      <c r="AX623" s="1">
        <v>0.25</v>
      </c>
      <c r="BE623" s="1" t="str">
        <f t="shared" si="37"/>
        <v>enemy_1204_msfhu</v>
      </c>
      <c r="BK623" s="1" t="s">
        <v>2741</v>
      </c>
      <c r="BL623" s="1" t="s">
        <v>2803</v>
      </c>
      <c r="BN623" s="1" t="s">
        <v>217</v>
      </c>
      <c r="BO623" s="1" t="s">
        <v>218</v>
      </c>
      <c r="BP623" s="1" t="s">
        <v>239</v>
      </c>
      <c r="BQ623" s="1" t="s">
        <v>220</v>
      </c>
      <c r="BT623" s="1">
        <v>1</v>
      </c>
    </row>
    <row r="624" spans="1:72">
      <c r="A624" s="1" t="s">
        <v>2804</v>
      </c>
      <c r="B624" s="1" t="s">
        <v>213</v>
      </c>
      <c r="C624" s="1">
        <v>1</v>
      </c>
      <c r="D624" s="1" t="s">
        <v>2805</v>
      </c>
      <c r="E624" s="1">
        <v>1204</v>
      </c>
      <c r="F624" s="1" t="str">
        <f t="shared" si="36"/>
        <v>enemy_1204_msfhu_2</v>
      </c>
      <c r="G624" s="1">
        <v>1</v>
      </c>
      <c r="K624" s="1">
        <v>6</v>
      </c>
      <c r="M624" s="1">
        <v>0</v>
      </c>
      <c r="O624" s="1">
        <v>0</v>
      </c>
      <c r="Q624" s="1">
        <v>0</v>
      </c>
      <c r="Y624" s="1">
        <v>0.05</v>
      </c>
      <c r="Z624" s="1">
        <v>1</v>
      </c>
      <c r="AA624" s="1">
        <v>0</v>
      </c>
      <c r="AB624" s="1">
        <v>0.7</v>
      </c>
      <c r="AG624" s="1">
        <v>0</v>
      </c>
      <c r="AH624" s="1">
        <v>1</v>
      </c>
      <c r="AI624" s="1" t="s">
        <v>2806</v>
      </c>
      <c r="AJ624" s="1" t="s">
        <v>216</v>
      </c>
      <c r="AK624" s="1" t="s">
        <v>238</v>
      </c>
      <c r="AM624" s="1">
        <v>1</v>
      </c>
      <c r="AV624" s="1">
        <v>1</v>
      </c>
      <c r="AX624" s="1">
        <v>0.25</v>
      </c>
      <c r="BE624" s="1" t="str">
        <f t="shared" si="37"/>
        <v>enemy_1204_msfhu_2</v>
      </c>
      <c r="BK624" s="1" t="s">
        <v>2741</v>
      </c>
      <c r="BL624" s="1" t="s">
        <v>2807</v>
      </c>
      <c r="BN624" s="1" t="s">
        <v>217</v>
      </c>
      <c r="BO624" s="1" t="s">
        <v>218</v>
      </c>
      <c r="BP624" s="1" t="s">
        <v>239</v>
      </c>
      <c r="BQ624" s="1" t="s">
        <v>220</v>
      </c>
      <c r="BT624" s="1">
        <v>1</v>
      </c>
    </row>
    <row r="625" spans="1:72">
      <c r="A625" s="1" t="s">
        <v>2808</v>
      </c>
      <c r="B625" s="1" t="s">
        <v>213</v>
      </c>
      <c r="C625" s="1">
        <v>1</v>
      </c>
      <c r="D625" s="1" t="s">
        <v>2809</v>
      </c>
      <c r="E625" s="1">
        <v>1205</v>
      </c>
      <c r="F625" s="1" t="str">
        <f t="shared" si="36"/>
        <v>enemy_1205_sfpin</v>
      </c>
      <c r="G625" s="1">
        <v>1</v>
      </c>
      <c r="K625" s="1">
        <v>7000</v>
      </c>
      <c r="M625" s="1">
        <v>400</v>
      </c>
      <c r="O625" s="1">
        <v>350</v>
      </c>
      <c r="Q625" s="1">
        <v>50</v>
      </c>
      <c r="Y625" s="1">
        <v>0.05</v>
      </c>
      <c r="Z625" s="1">
        <v>3</v>
      </c>
      <c r="AA625" s="1">
        <v>1</v>
      </c>
      <c r="AB625" s="1">
        <v>0.9</v>
      </c>
      <c r="AG625" s="1">
        <v>0</v>
      </c>
      <c r="AH625" s="1">
        <v>1</v>
      </c>
      <c r="AI625" s="1" t="s">
        <v>2810</v>
      </c>
      <c r="AJ625" s="1" t="s">
        <v>216</v>
      </c>
      <c r="AK625" s="1" t="s">
        <v>238</v>
      </c>
      <c r="AM625" s="1">
        <v>1</v>
      </c>
      <c r="AV625" s="1">
        <v>1</v>
      </c>
      <c r="AX625" s="1">
        <v>0.25</v>
      </c>
      <c r="BE625" s="1" t="str">
        <f t="shared" si="37"/>
        <v>enemy_1205_sfpin</v>
      </c>
      <c r="BK625" s="1" t="s">
        <v>2087</v>
      </c>
      <c r="BL625" s="1" t="s">
        <v>2811</v>
      </c>
      <c r="BN625" s="1" t="s">
        <v>217</v>
      </c>
      <c r="BO625" s="1" t="s">
        <v>218</v>
      </c>
      <c r="BP625" s="1" t="s">
        <v>239</v>
      </c>
      <c r="BQ625" s="1" t="s">
        <v>220</v>
      </c>
      <c r="BT625" s="1">
        <v>1</v>
      </c>
    </row>
    <row r="626" spans="1:72">
      <c r="A626" s="1" t="s">
        <v>2812</v>
      </c>
      <c r="B626" s="1" t="s">
        <v>213</v>
      </c>
      <c r="C626" s="1">
        <v>1</v>
      </c>
      <c r="D626" s="1" t="s">
        <v>2813</v>
      </c>
      <c r="E626" s="1">
        <v>1205</v>
      </c>
      <c r="F626" s="1" t="str">
        <f t="shared" si="36"/>
        <v>enemy_1205_sfpin_2</v>
      </c>
      <c r="G626" s="1">
        <v>1</v>
      </c>
      <c r="K626" s="1">
        <v>8000</v>
      </c>
      <c r="M626" s="1">
        <v>570</v>
      </c>
      <c r="O626" s="1">
        <v>450</v>
      </c>
      <c r="Q626" s="1">
        <v>65</v>
      </c>
      <c r="Y626" s="1">
        <v>0.05</v>
      </c>
      <c r="Z626" s="1">
        <v>3</v>
      </c>
      <c r="AA626" s="1">
        <v>1</v>
      </c>
      <c r="AB626" s="1">
        <v>0.9</v>
      </c>
      <c r="AG626" s="1">
        <v>0</v>
      </c>
      <c r="AH626" s="1">
        <v>1</v>
      </c>
      <c r="AI626" s="1" t="s">
        <v>2814</v>
      </c>
      <c r="AJ626" s="1" t="s">
        <v>216</v>
      </c>
      <c r="AK626" s="1" t="s">
        <v>238</v>
      </c>
      <c r="AM626" s="1">
        <v>1</v>
      </c>
      <c r="AV626" s="1">
        <v>1</v>
      </c>
      <c r="AX626" s="1">
        <v>0.25</v>
      </c>
      <c r="BE626" s="1" t="str">
        <f t="shared" si="37"/>
        <v>enemy_1205_sfpin_2</v>
      </c>
      <c r="BK626" s="1" t="s">
        <v>2087</v>
      </c>
      <c r="BL626" s="1" t="s">
        <v>2815</v>
      </c>
      <c r="BN626" s="1" t="s">
        <v>217</v>
      </c>
      <c r="BO626" s="1" t="s">
        <v>218</v>
      </c>
      <c r="BP626" s="1" t="s">
        <v>239</v>
      </c>
      <c r="BQ626" s="1" t="s">
        <v>220</v>
      </c>
      <c r="BT626" s="1">
        <v>1</v>
      </c>
    </row>
    <row r="627" spans="1:72">
      <c r="A627" s="1" t="s">
        <v>2816</v>
      </c>
      <c r="B627" s="1" t="s">
        <v>213</v>
      </c>
      <c r="C627" s="1">
        <v>1</v>
      </c>
      <c r="D627" s="1" t="s">
        <v>2817</v>
      </c>
      <c r="E627" s="1">
        <v>1206</v>
      </c>
      <c r="F627" s="1" t="str">
        <f t="shared" si="36"/>
        <v>enemy_1206_msfpin</v>
      </c>
      <c r="G627" s="1">
        <v>1</v>
      </c>
      <c r="K627" s="1">
        <v>12</v>
      </c>
      <c r="M627" s="1">
        <v>0</v>
      </c>
      <c r="O627" s="1">
        <v>0</v>
      </c>
      <c r="Q627" s="1">
        <v>0</v>
      </c>
      <c r="Y627" s="1">
        <v>0.05</v>
      </c>
      <c r="Z627" s="1">
        <v>1</v>
      </c>
      <c r="AA627" s="1">
        <v>0</v>
      </c>
      <c r="AB627" s="1">
        <v>0.7</v>
      </c>
      <c r="AG627" s="1">
        <v>0</v>
      </c>
      <c r="AH627" s="1">
        <v>1</v>
      </c>
      <c r="AI627" s="1" t="s">
        <v>2818</v>
      </c>
      <c r="AJ627" s="1" t="s">
        <v>216</v>
      </c>
      <c r="AK627" s="1" t="s">
        <v>238</v>
      </c>
      <c r="AM627" s="1">
        <v>1</v>
      </c>
      <c r="AV627" s="1">
        <v>1</v>
      </c>
      <c r="AX627" s="1">
        <v>0.25</v>
      </c>
      <c r="BE627" s="1" t="str">
        <f t="shared" si="37"/>
        <v>enemy_1206_msfpin</v>
      </c>
      <c r="BK627" s="1" t="s">
        <v>2741</v>
      </c>
      <c r="BL627" s="1" t="s">
        <v>2819</v>
      </c>
      <c r="BN627" s="1" t="s">
        <v>217</v>
      </c>
      <c r="BO627" s="1" t="s">
        <v>218</v>
      </c>
      <c r="BP627" s="1" t="s">
        <v>239</v>
      </c>
      <c r="BQ627" s="1" t="s">
        <v>220</v>
      </c>
      <c r="BT627" s="1">
        <v>1</v>
      </c>
    </row>
    <row r="628" spans="1:72">
      <c r="A628" s="1" t="s">
        <v>2820</v>
      </c>
      <c r="B628" s="1" t="s">
        <v>213</v>
      </c>
      <c r="C628" s="1">
        <v>1</v>
      </c>
      <c r="D628" s="1" t="s">
        <v>2821</v>
      </c>
      <c r="E628" s="1">
        <v>1206</v>
      </c>
      <c r="F628" s="1" t="str">
        <f t="shared" si="36"/>
        <v>enemy_1206_msfpin_2</v>
      </c>
      <c r="G628" s="1">
        <v>1</v>
      </c>
      <c r="K628" s="1">
        <v>15</v>
      </c>
      <c r="M628" s="1">
        <v>0</v>
      </c>
      <c r="O628" s="1">
        <v>0</v>
      </c>
      <c r="Q628" s="1">
        <v>0</v>
      </c>
      <c r="Y628" s="1">
        <v>0.05</v>
      </c>
      <c r="Z628" s="1">
        <v>1</v>
      </c>
      <c r="AA628" s="1">
        <v>0</v>
      </c>
      <c r="AB628" s="1">
        <v>0.7</v>
      </c>
      <c r="AG628" s="1">
        <v>0</v>
      </c>
      <c r="AH628" s="1">
        <v>1</v>
      </c>
      <c r="AI628" s="1" t="s">
        <v>2822</v>
      </c>
      <c r="AJ628" s="1" t="s">
        <v>216</v>
      </c>
      <c r="AK628" s="1" t="s">
        <v>238</v>
      </c>
      <c r="AM628" s="1">
        <v>1</v>
      </c>
      <c r="AV628" s="1">
        <v>1</v>
      </c>
      <c r="AX628" s="1">
        <v>0.25</v>
      </c>
      <c r="BE628" s="1" t="str">
        <f t="shared" si="37"/>
        <v>enemy_1206_msfpin_2</v>
      </c>
      <c r="BK628" s="1" t="s">
        <v>2741</v>
      </c>
      <c r="BL628" s="1" t="s">
        <v>2823</v>
      </c>
      <c r="BN628" s="1" t="s">
        <v>217</v>
      </c>
      <c r="BO628" s="1" t="s">
        <v>218</v>
      </c>
      <c r="BP628" s="1" t="s">
        <v>239</v>
      </c>
      <c r="BQ628" s="1" t="s">
        <v>220</v>
      </c>
      <c r="BT628" s="1">
        <v>1</v>
      </c>
    </row>
    <row r="629" spans="1:72">
      <c r="A629" s="1" t="s">
        <v>2824</v>
      </c>
      <c r="B629" s="1" t="s">
        <v>213</v>
      </c>
      <c r="C629" s="1">
        <v>1</v>
      </c>
      <c r="D629" s="1" t="s">
        <v>2825</v>
      </c>
      <c r="E629" s="1">
        <v>1207</v>
      </c>
      <c r="F629" s="1" t="str">
        <f t="shared" si="36"/>
        <v>enemy_1207_sfji</v>
      </c>
      <c r="G629" s="1">
        <v>1</v>
      </c>
      <c r="K629" s="1">
        <v>11000</v>
      </c>
      <c r="M629" s="1">
        <v>1100</v>
      </c>
      <c r="O629" s="1">
        <v>600</v>
      </c>
      <c r="Q629" s="1">
        <v>30</v>
      </c>
      <c r="Y629" s="1">
        <v>0.05</v>
      </c>
      <c r="Z629" s="1">
        <v>2.2</v>
      </c>
      <c r="AA629" s="1">
        <v>3</v>
      </c>
      <c r="AB629" s="1">
        <v>1.3</v>
      </c>
      <c r="AG629" s="1">
        <v>0</v>
      </c>
      <c r="AH629" s="1">
        <v>1</v>
      </c>
      <c r="AI629" s="1" t="s">
        <v>2826</v>
      </c>
      <c r="AJ629" s="1" t="s">
        <v>216</v>
      </c>
      <c r="AK629" s="1" t="s">
        <v>238</v>
      </c>
      <c r="AM629" s="1">
        <v>1</v>
      </c>
      <c r="AV629" s="1">
        <v>1</v>
      </c>
      <c r="AX629" s="1">
        <v>0.25</v>
      </c>
      <c r="BE629" s="1" t="str">
        <f t="shared" si="37"/>
        <v>enemy_1207_sfji</v>
      </c>
      <c r="BK629" s="1" t="s">
        <v>2064</v>
      </c>
      <c r="BL629" s="1" t="s">
        <v>2827</v>
      </c>
      <c r="BN629" s="1" t="s">
        <v>217</v>
      </c>
      <c r="BO629" s="1" t="s">
        <v>218</v>
      </c>
      <c r="BP629" s="1" t="s">
        <v>239</v>
      </c>
      <c r="BQ629" s="1" t="s">
        <v>220</v>
      </c>
      <c r="BT629" s="1">
        <v>1</v>
      </c>
    </row>
    <row r="630" spans="1:72">
      <c r="A630" s="1" t="s">
        <v>2828</v>
      </c>
      <c r="B630" s="1" t="s">
        <v>213</v>
      </c>
      <c r="C630" s="1">
        <v>1</v>
      </c>
      <c r="D630" s="1" t="s">
        <v>2829</v>
      </c>
      <c r="E630" s="1">
        <v>1207</v>
      </c>
      <c r="F630" s="1" t="str">
        <f t="shared" si="36"/>
        <v>enemy_1207_sfji_2</v>
      </c>
      <c r="G630" s="1">
        <v>1</v>
      </c>
      <c r="K630" s="1">
        <v>14000</v>
      </c>
      <c r="M630" s="1">
        <v>1350</v>
      </c>
      <c r="O630" s="1">
        <v>750</v>
      </c>
      <c r="Q630" s="1">
        <v>30</v>
      </c>
      <c r="Y630" s="1">
        <v>0.05</v>
      </c>
      <c r="Z630" s="1">
        <v>2.2</v>
      </c>
      <c r="AA630" s="1">
        <v>3</v>
      </c>
      <c r="AB630" s="1">
        <v>1.3</v>
      </c>
      <c r="AG630" s="1">
        <v>0</v>
      </c>
      <c r="AH630" s="1">
        <v>1</v>
      </c>
      <c r="AI630" s="1" t="s">
        <v>2830</v>
      </c>
      <c r="AJ630" s="1" t="s">
        <v>216</v>
      </c>
      <c r="AK630" s="1" t="s">
        <v>238</v>
      </c>
      <c r="AM630" s="1">
        <v>1</v>
      </c>
      <c r="AV630" s="1">
        <v>1</v>
      </c>
      <c r="AX630" s="1">
        <v>0.25</v>
      </c>
      <c r="BE630" s="1" t="str">
        <f t="shared" si="37"/>
        <v>enemy_1207_sfji_2</v>
      </c>
      <c r="BK630" s="1" t="s">
        <v>2064</v>
      </c>
      <c r="BL630" s="1" t="s">
        <v>2831</v>
      </c>
      <c r="BN630" s="1" t="s">
        <v>217</v>
      </c>
      <c r="BO630" s="1" t="s">
        <v>218</v>
      </c>
      <c r="BP630" s="1" t="s">
        <v>239</v>
      </c>
      <c r="BQ630" s="1" t="s">
        <v>220</v>
      </c>
      <c r="BT630" s="1">
        <v>1</v>
      </c>
    </row>
    <row r="631" spans="1:72">
      <c r="A631" s="1" t="s">
        <v>2832</v>
      </c>
      <c r="B631" s="1" t="s">
        <v>213</v>
      </c>
      <c r="C631" s="1">
        <v>1</v>
      </c>
      <c r="D631" s="1" t="s">
        <v>2833</v>
      </c>
      <c r="E631" s="1">
        <v>1208</v>
      </c>
      <c r="F631" s="1" t="str">
        <f t="shared" si="36"/>
        <v>enemy_1208_msfji</v>
      </c>
      <c r="G631" s="1">
        <v>1</v>
      </c>
      <c r="K631" s="1">
        <v>25</v>
      </c>
      <c r="M631" s="1">
        <v>0</v>
      </c>
      <c r="O631" s="1">
        <v>0</v>
      </c>
      <c r="Q631" s="1">
        <v>0</v>
      </c>
      <c r="Y631" s="1">
        <v>0.05</v>
      </c>
      <c r="Z631" s="1">
        <v>1</v>
      </c>
      <c r="AA631" s="1">
        <v>0</v>
      </c>
      <c r="AB631" s="1">
        <v>0.7</v>
      </c>
      <c r="AG631" s="1">
        <v>0</v>
      </c>
      <c r="AH631" s="1">
        <v>1</v>
      </c>
      <c r="AI631" s="1" t="s">
        <v>2834</v>
      </c>
      <c r="AJ631" s="1" t="s">
        <v>216</v>
      </c>
      <c r="AK631" s="1" t="s">
        <v>238</v>
      </c>
      <c r="AM631" s="1">
        <v>1</v>
      </c>
      <c r="AV631" s="1">
        <v>1</v>
      </c>
      <c r="AX631" s="1">
        <v>0.25</v>
      </c>
      <c r="BE631" s="1" t="str">
        <f t="shared" si="37"/>
        <v>enemy_1208_msfji</v>
      </c>
      <c r="BK631" s="1" t="s">
        <v>2741</v>
      </c>
      <c r="BL631" s="1" t="s">
        <v>2835</v>
      </c>
      <c r="BN631" s="1" t="s">
        <v>217</v>
      </c>
      <c r="BO631" s="1" t="s">
        <v>218</v>
      </c>
      <c r="BP631" s="1" t="s">
        <v>239</v>
      </c>
      <c r="BQ631" s="1" t="s">
        <v>220</v>
      </c>
      <c r="BT631" s="1">
        <v>1</v>
      </c>
    </row>
    <row r="632" spans="1:72">
      <c r="A632" s="1" t="s">
        <v>2836</v>
      </c>
      <c r="B632" s="1" t="s">
        <v>213</v>
      </c>
      <c r="C632" s="1">
        <v>1</v>
      </c>
      <c r="D632" s="1" t="s">
        <v>2837</v>
      </c>
      <c r="E632" s="1">
        <v>1208</v>
      </c>
      <c r="F632" s="1" t="str">
        <f t="shared" si="36"/>
        <v>enemy_1208_msfji_2</v>
      </c>
      <c r="G632" s="1">
        <v>1</v>
      </c>
      <c r="K632" s="1">
        <v>30</v>
      </c>
      <c r="M632" s="1">
        <v>0</v>
      </c>
      <c r="O632" s="1">
        <v>0</v>
      </c>
      <c r="Q632" s="1">
        <v>0</v>
      </c>
      <c r="Y632" s="1">
        <v>0.05</v>
      </c>
      <c r="Z632" s="1">
        <v>1</v>
      </c>
      <c r="AA632" s="1">
        <v>0</v>
      </c>
      <c r="AB632" s="1">
        <v>0.7</v>
      </c>
      <c r="AG632" s="1">
        <v>0</v>
      </c>
      <c r="AH632" s="1">
        <v>1</v>
      </c>
      <c r="AI632" s="1" t="s">
        <v>2838</v>
      </c>
      <c r="AJ632" s="1" t="s">
        <v>216</v>
      </c>
      <c r="AK632" s="1" t="s">
        <v>238</v>
      </c>
      <c r="AM632" s="1">
        <v>1</v>
      </c>
      <c r="AV632" s="1">
        <v>1</v>
      </c>
      <c r="AX632" s="1">
        <v>0.25</v>
      </c>
      <c r="BE632" s="1" t="str">
        <f t="shared" si="37"/>
        <v>enemy_1208_msfji_2</v>
      </c>
      <c r="BK632" s="1" t="s">
        <v>2741</v>
      </c>
      <c r="BL632" s="1" t="s">
        <v>2773</v>
      </c>
      <c r="BN632" s="1" t="s">
        <v>217</v>
      </c>
      <c r="BO632" s="1" t="s">
        <v>218</v>
      </c>
      <c r="BP632" s="1" t="s">
        <v>239</v>
      </c>
      <c r="BQ632" s="1" t="s">
        <v>220</v>
      </c>
      <c r="BT632" s="1">
        <v>1</v>
      </c>
    </row>
    <row r="633" spans="1:72">
      <c r="A633" s="1" t="s">
        <v>2839</v>
      </c>
      <c r="B633" s="1" t="s">
        <v>213</v>
      </c>
      <c r="C633" s="1">
        <v>1</v>
      </c>
      <c r="D633" s="1" t="s">
        <v>2840</v>
      </c>
      <c r="E633" s="1">
        <v>1209</v>
      </c>
      <c r="F633" s="1" t="str">
        <f t="shared" si="36"/>
        <v>enemy_1209_sfden</v>
      </c>
      <c r="G633" s="1">
        <v>1</v>
      </c>
      <c r="K633" s="1">
        <v>14000</v>
      </c>
      <c r="M633" s="1">
        <v>550</v>
      </c>
      <c r="O633" s="1">
        <v>850</v>
      </c>
      <c r="Q633" s="1">
        <v>20</v>
      </c>
      <c r="Y633" s="1">
        <v>0.05</v>
      </c>
      <c r="Z633" s="1">
        <v>3</v>
      </c>
      <c r="AA633" s="1">
        <v>3</v>
      </c>
      <c r="AB633" s="1">
        <v>0.7</v>
      </c>
      <c r="AG633" s="1">
        <v>0</v>
      </c>
      <c r="AH633" s="1">
        <v>1</v>
      </c>
      <c r="AI633" s="1" t="s">
        <v>2841</v>
      </c>
      <c r="AJ633" s="1" t="s">
        <v>216</v>
      </c>
      <c r="AK633" s="1" t="s">
        <v>238</v>
      </c>
      <c r="AM633" s="1">
        <v>1</v>
      </c>
      <c r="AV633" s="1">
        <v>1</v>
      </c>
      <c r="AX633" s="1">
        <v>0.25</v>
      </c>
      <c r="BE633" s="1" t="str">
        <f t="shared" si="37"/>
        <v>enemy_1209_sfden</v>
      </c>
      <c r="BK633" s="1" t="s">
        <v>2064</v>
      </c>
      <c r="BL633" s="1" t="s">
        <v>2842</v>
      </c>
      <c r="BN633" s="1" t="s">
        <v>217</v>
      </c>
      <c r="BO633" s="1" t="s">
        <v>218</v>
      </c>
      <c r="BP633" s="1" t="s">
        <v>239</v>
      </c>
      <c r="BQ633" s="1" t="s">
        <v>220</v>
      </c>
      <c r="BT633" s="1">
        <v>1</v>
      </c>
    </row>
    <row r="634" spans="1:72">
      <c r="A634" s="1" t="s">
        <v>2843</v>
      </c>
      <c r="B634" s="1" t="s">
        <v>213</v>
      </c>
      <c r="C634" s="1">
        <v>1</v>
      </c>
      <c r="D634" s="1" t="s">
        <v>2844</v>
      </c>
      <c r="E634" s="1">
        <v>1209</v>
      </c>
      <c r="F634" s="1" t="str">
        <f t="shared" si="36"/>
        <v>enemy_1209_sfden_2</v>
      </c>
      <c r="G634" s="1">
        <v>1</v>
      </c>
      <c r="K634" s="1">
        <v>18000</v>
      </c>
      <c r="M634" s="1">
        <v>700</v>
      </c>
      <c r="O634" s="1">
        <v>1050</v>
      </c>
      <c r="Q634" s="1">
        <v>20</v>
      </c>
      <c r="Y634" s="1">
        <v>0.05</v>
      </c>
      <c r="Z634" s="1">
        <v>3</v>
      </c>
      <c r="AA634" s="1">
        <v>3</v>
      </c>
      <c r="AB634" s="1">
        <v>0.7</v>
      </c>
      <c r="AG634" s="1">
        <v>0</v>
      </c>
      <c r="AH634" s="1">
        <v>1</v>
      </c>
      <c r="AI634" s="1" t="s">
        <v>2845</v>
      </c>
      <c r="AJ634" s="1" t="s">
        <v>216</v>
      </c>
      <c r="AK634" s="1" t="s">
        <v>238</v>
      </c>
      <c r="AM634" s="1">
        <v>1</v>
      </c>
      <c r="AV634" s="1">
        <v>1</v>
      </c>
      <c r="AX634" s="1">
        <v>0.25</v>
      </c>
      <c r="BE634" s="1" t="str">
        <f t="shared" si="37"/>
        <v>enemy_1209_sfden_2</v>
      </c>
      <c r="BK634" s="1" t="s">
        <v>2064</v>
      </c>
      <c r="BL634" s="1" t="s">
        <v>2846</v>
      </c>
      <c r="BN634" s="1" t="s">
        <v>217</v>
      </c>
      <c r="BO634" s="1" t="s">
        <v>218</v>
      </c>
      <c r="BP634" s="1" t="s">
        <v>239</v>
      </c>
      <c r="BQ634" s="1" t="s">
        <v>220</v>
      </c>
      <c r="BT634" s="1">
        <v>1</v>
      </c>
    </row>
    <row r="635" spans="1:72">
      <c r="A635" s="1" t="s">
        <v>2847</v>
      </c>
      <c r="B635" s="1" t="s">
        <v>213</v>
      </c>
      <c r="C635" s="1">
        <v>1</v>
      </c>
      <c r="D635" s="1" t="s">
        <v>2848</v>
      </c>
      <c r="E635" s="1">
        <v>1210</v>
      </c>
      <c r="F635" s="1" t="str">
        <f t="shared" si="36"/>
        <v>enemy_1210_msfden</v>
      </c>
      <c r="G635" s="1">
        <v>1</v>
      </c>
      <c r="K635" s="1">
        <v>35</v>
      </c>
      <c r="M635" s="1">
        <v>0</v>
      </c>
      <c r="O635" s="1">
        <v>0</v>
      </c>
      <c r="Q635" s="1">
        <v>0</v>
      </c>
      <c r="Y635" s="1">
        <v>0.05</v>
      </c>
      <c r="Z635" s="1">
        <v>1</v>
      </c>
      <c r="AA635" s="1">
        <v>0</v>
      </c>
      <c r="AB635" s="1">
        <v>0.5</v>
      </c>
      <c r="AG635" s="1">
        <v>0</v>
      </c>
      <c r="AH635" s="1">
        <v>1</v>
      </c>
      <c r="AI635" s="1" t="s">
        <v>2849</v>
      </c>
      <c r="AJ635" s="1" t="s">
        <v>216</v>
      </c>
      <c r="AK635" s="1" t="s">
        <v>238</v>
      </c>
      <c r="AM635" s="1">
        <v>1</v>
      </c>
      <c r="AV635" s="1">
        <v>1</v>
      </c>
      <c r="AX635" s="1">
        <v>0.25</v>
      </c>
      <c r="BE635" s="1" t="str">
        <f t="shared" si="37"/>
        <v>enemy_1210_msfden</v>
      </c>
      <c r="BK635" s="1" t="s">
        <v>2741</v>
      </c>
      <c r="BL635" s="1" t="s">
        <v>2777</v>
      </c>
      <c r="BN635" s="1" t="s">
        <v>217</v>
      </c>
      <c r="BO635" s="1" t="s">
        <v>218</v>
      </c>
      <c r="BP635" s="1" t="s">
        <v>239</v>
      </c>
      <c r="BQ635" s="1" t="s">
        <v>220</v>
      </c>
      <c r="BT635" s="1">
        <v>1</v>
      </c>
    </row>
    <row r="636" spans="1:72">
      <c r="A636" s="1" t="s">
        <v>2850</v>
      </c>
      <c r="B636" s="1" t="s">
        <v>213</v>
      </c>
      <c r="C636" s="1">
        <v>1</v>
      </c>
      <c r="D636" s="1" t="s">
        <v>2851</v>
      </c>
      <c r="E636" s="1">
        <v>1210</v>
      </c>
      <c r="F636" s="1" t="str">
        <f t="shared" si="36"/>
        <v>enemy_1210_msfden_2</v>
      </c>
      <c r="G636" s="1">
        <v>1</v>
      </c>
      <c r="K636" s="1">
        <v>45</v>
      </c>
      <c r="M636" s="1">
        <v>0</v>
      </c>
      <c r="O636" s="1">
        <v>0</v>
      </c>
      <c r="Q636" s="1">
        <v>0</v>
      </c>
      <c r="Y636" s="1">
        <v>0.05</v>
      </c>
      <c r="Z636" s="1">
        <v>1</v>
      </c>
      <c r="AA636" s="1">
        <v>0</v>
      </c>
      <c r="AB636" s="1">
        <v>0.5</v>
      </c>
      <c r="AG636" s="1">
        <v>0</v>
      </c>
      <c r="AH636" s="1">
        <v>1</v>
      </c>
      <c r="AI636" s="1" t="s">
        <v>2852</v>
      </c>
      <c r="AJ636" s="1" t="s">
        <v>216</v>
      </c>
      <c r="AK636" s="1" t="s">
        <v>238</v>
      </c>
      <c r="AM636" s="1">
        <v>1</v>
      </c>
      <c r="AV636" s="1">
        <v>1</v>
      </c>
      <c r="AX636" s="1">
        <v>0.25</v>
      </c>
      <c r="BE636" s="1" t="str">
        <f t="shared" si="37"/>
        <v>enemy_1210_msfden_2</v>
      </c>
      <c r="BK636" s="1" t="s">
        <v>2741</v>
      </c>
      <c r="BL636" s="1" t="s">
        <v>2853</v>
      </c>
      <c r="BN636" s="1" t="s">
        <v>217</v>
      </c>
      <c r="BO636" s="1" t="s">
        <v>218</v>
      </c>
      <c r="BP636" s="1" t="s">
        <v>239</v>
      </c>
      <c r="BQ636" s="1" t="s">
        <v>220</v>
      </c>
      <c r="BT636" s="1">
        <v>1</v>
      </c>
    </row>
    <row r="637" spans="1:72">
      <c r="A637" s="1" t="s">
        <v>2854</v>
      </c>
      <c r="B637" s="1" t="s">
        <v>213</v>
      </c>
      <c r="C637" s="1">
        <v>1</v>
      </c>
      <c r="D637" s="1" t="s">
        <v>2855</v>
      </c>
      <c r="E637" s="1">
        <v>1211</v>
      </c>
      <c r="F637" s="1" t="str">
        <f t="shared" si="36"/>
        <v>enemy_1211_msfsui</v>
      </c>
      <c r="G637" s="1">
        <v>1</v>
      </c>
      <c r="K637" s="1">
        <v>10</v>
      </c>
      <c r="M637" s="1">
        <v>0</v>
      </c>
      <c r="O637" s="1">
        <v>0</v>
      </c>
      <c r="Q637" s="1">
        <v>0</v>
      </c>
      <c r="Y637" s="1">
        <v>0.05</v>
      </c>
      <c r="Z637" s="1">
        <v>1</v>
      </c>
      <c r="AA637" s="1">
        <v>0</v>
      </c>
      <c r="AB637" s="1">
        <v>0.6</v>
      </c>
      <c r="AG637" s="1">
        <v>0</v>
      </c>
      <c r="AH637" s="1">
        <v>1</v>
      </c>
      <c r="AI637" s="1" t="s">
        <v>2856</v>
      </c>
      <c r="AJ637" s="1" t="s">
        <v>216</v>
      </c>
      <c r="AK637" s="1" t="s">
        <v>238</v>
      </c>
      <c r="AM637" s="1">
        <v>1</v>
      </c>
      <c r="AV637" s="1">
        <v>1</v>
      </c>
      <c r="AX637" s="1">
        <v>0.25</v>
      </c>
      <c r="BE637" s="1" t="str">
        <f t="shared" si="37"/>
        <v>enemy_1211_msfsui</v>
      </c>
      <c r="BK637" s="1" t="s">
        <v>2741</v>
      </c>
      <c r="BL637" s="1" t="s">
        <v>2857</v>
      </c>
      <c r="BN637" s="1" t="s">
        <v>217</v>
      </c>
      <c r="BO637" s="1" t="s">
        <v>218</v>
      </c>
      <c r="BP637" s="1" t="s">
        <v>239</v>
      </c>
      <c r="BQ637" s="1" t="s">
        <v>220</v>
      </c>
      <c r="BT637" s="1">
        <v>1</v>
      </c>
    </row>
    <row r="638" spans="1:72">
      <c r="A638" s="1" t="s">
        <v>2858</v>
      </c>
      <c r="B638" s="1" t="s">
        <v>213</v>
      </c>
      <c r="C638" s="1">
        <v>1</v>
      </c>
      <c r="D638" s="1" t="s">
        <v>2859</v>
      </c>
      <c r="E638" s="1">
        <v>1526</v>
      </c>
      <c r="F638" s="1" t="str">
        <f t="shared" si="36"/>
        <v>enemy_1526_sfsui</v>
      </c>
      <c r="G638" s="1">
        <v>1</v>
      </c>
      <c r="K638" s="1">
        <v>55000</v>
      </c>
      <c r="M638" s="1">
        <v>1400</v>
      </c>
      <c r="O638" s="1">
        <v>550</v>
      </c>
      <c r="Q638" s="1">
        <v>30</v>
      </c>
      <c r="Y638" s="1">
        <v>0.05</v>
      </c>
      <c r="Z638" s="1">
        <v>2.5</v>
      </c>
      <c r="AA638" s="1">
        <v>9</v>
      </c>
      <c r="AB638" s="1">
        <v>1</v>
      </c>
      <c r="AG638" s="1">
        <v>0</v>
      </c>
      <c r="AH638" s="1">
        <v>1</v>
      </c>
      <c r="AI638" s="1" t="s">
        <v>2860</v>
      </c>
      <c r="AJ638" s="1" t="s">
        <v>216</v>
      </c>
      <c r="AK638" s="1" t="s">
        <v>238</v>
      </c>
      <c r="AM638" s="1">
        <v>1</v>
      </c>
      <c r="AV638" s="1">
        <v>1</v>
      </c>
      <c r="AX638" s="1">
        <v>0.25</v>
      </c>
      <c r="BE638" s="1" t="str">
        <f t="shared" si="37"/>
        <v>enemy_1526_sfsui</v>
      </c>
      <c r="BK638" s="1" t="s">
        <v>2102</v>
      </c>
      <c r="BL638" s="1" t="s">
        <v>2861</v>
      </c>
      <c r="BN638" s="1" t="s">
        <v>217</v>
      </c>
      <c r="BO638" s="1" t="s">
        <v>218</v>
      </c>
      <c r="BP638" s="1" t="s">
        <v>239</v>
      </c>
      <c r="BQ638" s="1" t="s">
        <v>220</v>
      </c>
      <c r="BT638" s="1">
        <v>1</v>
      </c>
    </row>
    <row r="639" spans="1:72">
      <c r="A639" s="1" t="s">
        <v>2862</v>
      </c>
      <c r="B639" s="1" t="s">
        <v>213</v>
      </c>
      <c r="C639" s="1">
        <v>1</v>
      </c>
      <c r="D639" s="1" t="s">
        <v>2863</v>
      </c>
      <c r="E639" s="1">
        <v>1212</v>
      </c>
      <c r="F639" s="1" t="str">
        <f t="shared" si="36"/>
        <v>enemy_1212_mtrfol</v>
      </c>
      <c r="G639" s="1">
        <v>1</v>
      </c>
      <c r="K639" s="1">
        <v>3500</v>
      </c>
      <c r="M639" s="1">
        <v>380</v>
      </c>
      <c r="O639" s="1">
        <v>150</v>
      </c>
      <c r="Q639" s="1">
        <v>0</v>
      </c>
      <c r="Y639" s="1">
        <v>0.05</v>
      </c>
      <c r="Z639" s="1">
        <v>2.5</v>
      </c>
      <c r="AA639" s="1">
        <v>1</v>
      </c>
      <c r="AB639" s="1">
        <v>1.1</v>
      </c>
      <c r="AG639" s="1">
        <v>0</v>
      </c>
      <c r="AH639" s="1">
        <v>1</v>
      </c>
      <c r="AI639" s="1" t="s">
        <v>2864</v>
      </c>
      <c r="AJ639" s="1" t="s">
        <v>216</v>
      </c>
      <c r="AK639" s="1" t="s">
        <v>238</v>
      </c>
      <c r="AM639" s="1">
        <v>1</v>
      </c>
      <c r="AV639" s="1">
        <v>1</v>
      </c>
      <c r="AX639" s="1">
        <v>0.25</v>
      </c>
      <c r="BE639" s="1" t="str">
        <f t="shared" si="37"/>
        <v>enemy_1212_mtrfol</v>
      </c>
      <c r="BK639" s="1" t="s">
        <v>953</v>
      </c>
      <c r="BL639" s="1" t="s">
        <v>2865</v>
      </c>
      <c r="BN639" s="1" t="s">
        <v>217</v>
      </c>
      <c r="BO639" s="1" t="s">
        <v>218</v>
      </c>
      <c r="BP639" s="1" t="s">
        <v>239</v>
      </c>
      <c r="BQ639" s="1" t="s">
        <v>220</v>
      </c>
      <c r="BT639" s="1">
        <v>1</v>
      </c>
    </row>
    <row r="640" spans="1:72">
      <c r="A640" s="1" t="s">
        <v>2866</v>
      </c>
      <c r="B640" s="1" t="s">
        <v>213</v>
      </c>
      <c r="C640" s="1">
        <v>1</v>
      </c>
      <c r="D640" s="1" t="s">
        <v>2867</v>
      </c>
      <c r="E640" s="1">
        <v>1212</v>
      </c>
      <c r="F640" s="1" t="str">
        <f t="shared" si="36"/>
        <v>enemy_1212_mtrfol_2</v>
      </c>
      <c r="G640" s="1">
        <v>1</v>
      </c>
      <c r="K640" s="1">
        <v>4800</v>
      </c>
      <c r="M640" s="1">
        <v>400</v>
      </c>
      <c r="O640" s="1">
        <v>200</v>
      </c>
      <c r="Q640" s="1">
        <v>0</v>
      </c>
      <c r="Y640" s="1">
        <v>0.05</v>
      </c>
      <c r="Z640" s="1">
        <v>2.5</v>
      </c>
      <c r="AA640" s="1">
        <v>1</v>
      </c>
      <c r="AB640" s="1">
        <v>1.1</v>
      </c>
      <c r="AG640" s="1">
        <v>0</v>
      </c>
      <c r="AH640" s="1">
        <v>1</v>
      </c>
      <c r="AI640" s="1" t="s">
        <v>2868</v>
      </c>
      <c r="AJ640" s="1" t="s">
        <v>216</v>
      </c>
      <c r="AK640" s="1" t="s">
        <v>238</v>
      </c>
      <c r="AM640" s="1">
        <v>1</v>
      </c>
      <c r="AV640" s="1">
        <v>1</v>
      </c>
      <c r="AX640" s="1">
        <v>0.25</v>
      </c>
      <c r="BE640" s="1" t="str">
        <f t="shared" si="37"/>
        <v>enemy_1212_mtrfol_2</v>
      </c>
      <c r="BK640" s="1" t="s">
        <v>953</v>
      </c>
      <c r="BL640" s="1" t="s">
        <v>2869</v>
      </c>
      <c r="BN640" s="1" t="s">
        <v>217</v>
      </c>
      <c r="BO640" s="1" t="s">
        <v>218</v>
      </c>
      <c r="BP640" s="1" t="s">
        <v>239</v>
      </c>
      <c r="BQ640" s="1" t="s">
        <v>220</v>
      </c>
      <c r="BT640" s="1">
        <v>1</v>
      </c>
    </row>
    <row r="641" spans="1:72">
      <c r="A641" s="1" t="s">
        <v>2870</v>
      </c>
      <c r="B641" s="1" t="s">
        <v>213</v>
      </c>
      <c r="C641" s="1">
        <v>1</v>
      </c>
      <c r="D641" s="1" t="s">
        <v>2871</v>
      </c>
      <c r="E641" s="1">
        <v>1213</v>
      </c>
      <c r="F641" s="1" t="str">
        <f t="shared" si="36"/>
        <v>enemy_1213_mtrsnp</v>
      </c>
      <c r="G641" s="1">
        <v>1</v>
      </c>
      <c r="K641" s="1">
        <v>3800</v>
      </c>
      <c r="M641" s="1">
        <v>300</v>
      </c>
      <c r="O641" s="1">
        <v>50</v>
      </c>
      <c r="Q641" s="1">
        <v>0</v>
      </c>
      <c r="Y641" s="1">
        <v>0.05</v>
      </c>
      <c r="Z641" s="1">
        <v>3</v>
      </c>
      <c r="AA641" s="1">
        <v>1</v>
      </c>
      <c r="AB641" s="1">
        <v>0.9</v>
      </c>
      <c r="AG641" s="1">
        <v>0</v>
      </c>
      <c r="AH641" s="1">
        <v>1</v>
      </c>
      <c r="AI641" s="1" t="s">
        <v>2872</v>
      </c>
      <c r="AJ641" s="1" t="s">
        <v>216</v>
      </c>
      <c r="AK641" s="1" t="s">
        <v>238</v>
      </c>
      <c r="AM641" s="1">
        <v>1</v>
      </c>
      <c r="AV641" s="1">
        <v>1</v>
      </c>
      <c r="AX641" s="1">
        <v>0.25</v>
      </c>
      <c r="BE641" s="1" t="str">
        <f t="shared" si="37"/>
        <v>enemy_1213_mtrsnp</v>
      </c>
      <c r="BK641" s="1" t="s">
        <v>959</v>
      </c>
      <c r="BL641" s="1" t="s">
        <v>2873</v>
      </c>
      <c r="BN641" s="1" t="s">
        <v>217</v>
      </c>
      <c r="BO641" s="1" t="s">
        <v>218</v>
      </c>
      <c r="BP641" s="1" t="s">
        <v>239</v>
      </c>
      <c r="BQ641" s="1" t="s">
        <v>220</v>
      </c>
      <c r="BT641" s="1">
        <v>1</v>
      </c>
    </row>
    <row r="642" spans="1:72">
      <c r="A642" s="1" t="s">
        <v>2874</v>
      </c>
      <c r="B642" s="1" t="s">
        <v>213</v>
      </c>
      <c r="C642" s="1">
        <v>1</v>
      </c>
      <c r="D642" s="1" t="s">
        <v>2875</v>
      </c>
      <c r="E642" s="1">
        <v>1213</v>
      </c>
      <c r="F642" s="1" t="str">
        <f t="shared" si="36"/>
        <v>enemy_1213_mtrsnp_2</v>
      </c>
      <c r="G642" s="1">
        <v>1</v>
      </c>
      <c r="K642" s="1">
        <v>5500</v>
      </c>
      <c r="M642" s="1">
        <v>350</v>
      </c>
      <c r="O642" s="1">
        <v>100</v>
      </c>
      <c r="Q642" s="1">
        <v>0</v>
      </c>
      <c r="Y642" s="1">
        <v>0.05</v>
      </c>
      <c r="Z642" s="1">
        <v>3</v>
      </c>
      <c r="AA642" s="1">
        <v>1</v>
      </c>
      <c r="AB642" s="1">
        <v>0.9</v>
      </c>
      <c r="AG642" s="1">
        <v>0</v>
      </c>
      <c r="AH642" s="1">
        <v>1</v>
      </c>
      <c r="AI642" s="1" t="s">
        <v>2876</v>
      </c>
      <c r="AJ642" s="1" t="s">
        <v>216</v>
      </c>
      <c r="AK642" s="1" t="s">
        <v>238</v>
      </c>
      <c r="AM642" s="1">
        <v>1</v>
      </c>
      <c r="AV642" s="1">
        <v>1</v>
      </c>
      <c r="AX642" s="1">
        <v>0.25</v>
      </c>
      <c r="BE642" s="1" t="str">
        <f t="shared" si="37"/>
        <v>enemy_1213_mtrsnp_2</v>
      </c>
      <c r="BK642" s="1" t="s">
        <v>959</v>
      </c>
      <c r="BL642" s="1" t="s">
        <v>2873</v>
      </c>
      <c r="BN642" s="1" t="s">
        <v>217</v>
      </c>
      <c r="BO642" s="1" t="s">
        <v>218</v>
      </c>
      <c r="BP642" s="1" t="s">
        <v>239</v>
      </c>
      <c r="BQ642" s="1" t="s">
        <v>220</v>
      </c>
      <c r="BT642" s="1">
        <v>1</v>
      </c>
    </row>
    <row r="643" spans="1:72">
      <c r="A643" s="1" t="s">
        <v>2877</v>
      </c>
      <c r="B643" s="1" t="s">
        <v>213</v>
      </c>
      <c r="C643" s="1">
        <v>1</v>
      </c>
      <c r="D643" s="1" t="s">
        <v>2878</v>
      </c>
      <c r="E643" s="1">
        <v>1214</v>
      </c>
      <c r="F643" s="1" t="str">
        <f t="shared" si="36"/>
        <v>enemy_1214_mtrmgc</v>
      </c>
      <c r="G643" s="1">
        <v>1</v>
      </c>
      <c r="K643" s="1">
        <v>6000</v>
      </c>
      <c r="M643" s="1">
        <v>320</v>
      </c>
      <c r="O643" s="1">
        <v>200</v>
      </c>
      <c r="Q643" s="1">
        <v>50</v>
      </c>
      <c r="Y643" s="1">
        <v>0.05</v>
      </c>
      <c r="Z643" s="1">
        <v>2.6</v>
      </c>
      <c r="AA643" s="1">
        <v>2</v>
      </c>
      <c r="AB643" s="1">
        <v>0.8</v>
      </c>
      <c r="AG643" s="1">
        <v>0</v>
      </c>
      <c r="AH643" s="1">
        <v>1</v>
      </c>
      <c r="AI643" s="1" t="s">
        <v>2879</v>
      </c>
      <c r="AJ643" s="1" t="s">
        <v>216</v>
      </c>
      <c r="AK643" s="1" t="s">
        <v>238</v>
      </c>
      <c r="AM643" s="1">
        <v>1</v>
      </c>
      <c r="AV643" s="1">
        <v>1</v>
      </c>
      <c r="AX643" s="1">
        <v>0.25</v>
      </c>
      <c r="BE643" s="1" t="str">
        <f t="shared" si="37"/>
        <v>enemy_1214_mtrmgc</v>
      </c>
      <c r="BK643" s="1" t="s">
        <v>959</v>
      </c>
      <c r="BL643" s="1" t="s">
        <v>2880</v>
      </c>
      <c r="BN643" s="1" t="s">
        <v>217</v>
      </c>
      <c r="BO643" s="1" t="s">
        <v>218</v>
      </c>
      <c r="BP643" s="1" t="s">
        <v>961</v>
      </c>
      <c r="BQ643" s="1" t="s">
        <v>220</v>
      </c>
      <c r="BT643" s="1">
        <v>1</v>
      </c>
    </row>
    <row r="644" spans="1:72">
      <c r="A644" s="1" t="s">
        <v>2881</v>
      </c>
      <c r="B644" s="1" t="s">
        <v>213</v>
      </c>
      <c r="C644" s="1">
        <v>1</v>
      </c>
      <c r="D644" s="1" t="s">
        <v>2882</v>
      </c>
      <c r="E644" s="1">
        <v>1214</v>
      </c>
      <c r="F644" s="1" t="str">
        <f t="shared" si="36"/>
        <v>enemy_1214_mtrmgc_2</v>
      </c>
      <c r="G644" s="1">
        <v>1</v>
      </c>
      <c r="K644" s="1">
        <v>7500</v>
      </c>
      <c r="M644" s="1">
        <v>385</v>
      </c>
      <c r="O644" s="1">
        <v>250</v>
      </c>
      <c r="Q644" s="1">
        <v>50</v>
      </c>
      <c r="Y644" s="1">
        <v>0.05</v>
      </c>
      <c r="Z644" s="1">
        <v>2.6</v>
      </c>
      <c r="AA644" s="1">
        <v>2</v>
      </c>
      <c r="AB644" s="1">
        <v>0.8</v>
      </c>
      <c r="AG644" s="1">
        <v>0</v>
      </c>
      <c r="AH644" s="1">
        <v>1</v>
      </c>
      <c r="AI644" s="1" t="s">
        <v>2883</v>
      </c>
      <c r="AJ644" s="1" t="s">
        <v>216</v>
      </c>
      <c r="AK644" s="1" t="s">
        <v>238</v>
      </c>
      <c r="AM644" s="1">
        <v>1</v>
      </c>
      <c r="AV644" s="1">
        <v>1</v>
      </c>
      <c r="AX644" s="1">
        <v>0.25</v>
      </c>
      <c r="BE644" s="1" t="str">
        <f t="shared" si="37"/>
        <v>enemy_1214_mtrmgc_2</v>
      </c>
      <c r="BK644" s="1" t="s">
        <v>959</v>
      </c>
      <c r="BL644" s="1" t="s">
        <v>2880</v>
      </c>
      <c r="BN644" s="1" t="s">
        <v>217</v>
      </c>
      <c r="BO644" s="1" t="s">
        <v>218</v>
      </c>
      <c r="BP644" s="1" t="s">
        <v>961</v>
      </c>
      <c r="BQ644" s="1" t="s">
        <v>220</v>
      </c>
      <c r="BT644" s="1">
        <v>1</v>
      </c>
    </row>
    <row r="645" spans="1:72">
      <c r="A645" s="1" t="s">
        <v>2884</v>
      </c>
      <c r="B645" s="1" t="s">
        <v>213</v>
      </c>
      <c r="C645" s="1">
        <v>1</v>
      </c>
      <c r="D645" s="1" t="s">
        <v>2885</v>
      </c>
      <c r="E645" s="1">
        <v>1215</v>
      </c>
      <c r="F645" s="1" t="str">
        <f t="shared" si="36"/>
        <v>enemy_1215_ptrarc</v>
      </c>
      <c r="G645" s="1">
        <v>1</v>
      </c>
      <c r="K645" s="1">
        <v>6000</v>
      </c>
      <c r="M645" s="1">
        <v>380</v>
      </c>
      <c r="O645" s="1">
        <v>200</v>
      </c>
      <c r="Q645" s="1">
        <v>0</v>
      </c>
      <c r="Y645" s="1">
        <v>0.05</v>
      </c>
      <c r="Z645" s="1">
        <v>2</v>
      </c>
      <c r="AA645" s="1">
        <v>2</v>
      </c>
      <c r="AB645" s="1">
        <v>0.8</v>
      </c>
      <c r="AG645" s="1">
        <v>0</v>
      </c>
      <c r="AH645" s="1">
        <v>1</v>
      </c>
      <c r="AI645" s="1" t="s">
        <v>2886</v>
      </c>
      <c r="AJ645" s="1" t="s">
        <v>216</v>
      </c>
      <c r="AK645" s="1" t="s">
        <v>238</v>
      </c>
      <c r="AM645" s="1">
        <v>1</v>
      </c>
      <c r="AV645" s="1">
        <v>1</v>
      </c>
      <c r="AX645" s="1">
        <v>0.25</v>
      </c>
      <c r="BE645" s="1" t="str">
        <f t="shared" si="37"/>
        <v>enemy_1215_ptrarc</v>
      </c>
      <c r="BK645" s="1" t="s">
        <v>959</v>
      </c>
      <c r="BL645" s="1" t="s">
        <v>2887</v>
      </c>
      <c r="BN645" s="1" t="s">
        <v>217</v>
      </c>
      <c r="BO645" s="1" t="s">
        <v>218</v>
      </c>
      <c r="BP645" s="1" t="s">
        <v>239</v>
      </c>
      <c r="BQ645" s="1" t="s">
        <v>220</v>
      </c>
      <c r="BT645" s="1">
        <v>1</v>
      </c>
    </row>
    <row r="646" spans="1:72">
      <c r="A646" s="1" t="s">
        <v>2888</v>
      </c>
      <c r="B646" s="1" t="s">
        <v>213</v>
      </c>
      <c r="C646" s="1">
        <v>1</v>
      </c>
      <c r="D646" s="1" t="s">
        <v>2889</v>
      </c>
      <c r="E646" s="1">
        <v>1215</v>
      </c>
      <c r="F646" s="1" t="str">
        <f t="shared" si="36"/>
        <v>enemy_1215_ptrarc_2</v>
      </c>
      <c r="G646" s="1">
        <v>1</v>
      </c>
      <c r="K646" s="1">
        <v>8000</v>
      </c>
      <c r="M646" s="1">
        <v>450</v>
      </c>
      <c r="O646" s="1">
        <v>250</v>
      </c>
      <c r="Q646" s="1">
        <v>0</v>
      </c>
      <c r="Y646" s="1">
        <v>0.05</v>
      </c>
      <c r="Z646" s="1">
        <v>2</v>
      </c>
      <c r="AA646" s="1">
        <v>2</v>
      </c>
      <c r="AB646" s="1">
        <v>0.8</v>
      </c>
      <c r="AG646" s="1">
        <v>0</v>
      </c>
      <c r="AH646" s="1">
        <v>1</v>
      </c>
      <c r="AI646" s="1" t="s">
        <v>2890</v>
      </c>
      <c r="AJ646" s="1" t="s">
        <v>216</v>
      </c>
      <c r="AK646" s="1" t="s">
        <v>238</v>
      </c>
      <c r="AM646" s="1">
        <v>1</v>
      </c>
      <c r="AV646" s="1">
        <v>1</v>
      </c>
      <c r="AX646" s="1">
        <v>0.25</v>
      </c>
      <c r="BE646" s="1" t="str">
        <f t="shared" si="37"/>
        <v>enemy_1215_ptrarc_2</v>
      </c>
      <c r="BK646" s="1" t="s">
        <v>959</v>
      </c>
      <c r="BL646" s="1" t="s">
        <v>2887</v>
      </c>
      <c r="BN646" s="1" t="s">
        <v>217</v>
      </c>
      <c r="BO646" s="1" t="s">
        <v>218</v>
      </c>
      <c r="BP646" s="1" t="s">
        <v>239</v>
      </c>
      <c r="BQ646" s="1" t="s">
        <v>220</v>
      </c>
      <c r="BT646" s="1">
        <v>1</v>
      </c>
    </row>
    <row r="647" spans="1:72">
      <c r="A647" s="1" t="s">
        <v>2891</v>
      </c>
      <c r="B647" s="1" t="s">
        <v>213</v>
      </c>
      <c r="C647" s="1">
        <v>1</v>
      </c>
      <c r="D647" s="1" t="s">
        <v>2892</v>
      </c>
      <c r="E647" s="1">
        <v>1216</v>
      </c>
      <c r="F647" s="1" t="str">
        <f t="shared" si="36"/>
        <v>enemy_1216_cansld</v>
      </c>
      <c r="G647" s="1">
        <v>1</v>
      </c>
      <c r="K647" s="1">
        <v>12000</v>
      </c>
      <c r="M647" s="1">
        <v>800</v>
      </c>
      <c r="O647" s="1">
        <v>1200</v>
      </c>
      <c r="Q647" s="1">
        <v>0</v>
      </c>
      <c r="Y647" s="1">
        <v>0.05</v>
      </c>
      <c r="Z647" s="1">
        <v>4.5</v>
      </c>
      <c r="AA647" s="1">
        <v>4</v>
      </c>
      <c r="AB647" s="1">
        <v>0.6</v>
      </c>
      <c r="AG647" s="1">
        <v>0</v>
      </c>
      <c r="AH647" s="1">
        <v>1</v>
      </c>
      <c r="AI647" s="1" t="s">
        <v>2893</v>
      </c>
      <c r="AJ647" s="1" t="s">
        <v>216</v>
      </c>
      <c r="AK647" s="1" t="s">
        <v>238</v>
      </c>
      <c r="AM647" s="1">
        <v>1</v>
      </c>
      <c r="AV647" s="1">
        <v>1</v>
      </c>
      <c r="AX647" s="1">
        <v>0.25</v>
      </c>
      <c r="BE647" s="1" t="str">
        <f t="shared" si="37"/>
        <v>enemy_1216_cansld</v>
      </c>
      <c r="BK647" s="1" t="s">
        <v>1927</v>
      </c>
      <c r="BL647" s="1" t="s">
        <v>2894</v>
      </c>
      <c r="BN647" s="1" t="s">
        <v>217</v>
      </c>
      <c r="BO647" s="1" t="s">
        <v>218</v>
      </c>
      <c r="BP647" s="1" t="s">
        <v>239</v>
      </c>
      <c r="BQ647" s="1" t="s">
        <v>220</v>
      </c>
      <c r="BT647" s="1">
        <v>1</v>
      </c>
    </row>
    <row r="648" spans="1:72">
      <c r="A648" s="1" t="s">
        <v>2895</v>
      </c>
      <c r="B648" s="1" t="s">
        <v>213</v>
      </c>
      <c r="C648" s="1">
        <v>1</v>
      </c>
      <c r="D648" s="1" t="s">
        <v>2896</v>
      </c>
      <c r="E648" s="1">
        <v>1216</v>
      </c>
      <c r="F648" s="1" t="str">
        <f t="shared" si="36"/>
        <v>enemy_1216_cansld_2</v>
      </c>
      <c r="G648" s="1">
        <v>1</v>
      </c>
      <c r="K648" s="1">
        <v>18000</v>
      </c>
      <c r="M648" s="1">
        <v>1000</v>
      </c>
      <c r="O648" s="1">
        <v>1500</v>
      </c>
      <c r="Q648" s="1">
        <v>0</v>
      </c>
      <c r="Y648" s="1">
        <v>0.05</v>
      </c>
      <c r="Z648" s="1">
        <v>4.5</v>
      </c>
      <c r="AA648" s="1">
        <v>4</v>
      </c>
      <c r="AB648" s="1">
        <v>0.6</v>
      </c>
      <c r="AG648" s="1">
        <v>0</v>
      </c>
      <c r="AH648" s="1">
        <v>1</v>
      </c>
      <c r="AI648" s="1" t="s">
        <v>2897</v>
      </c>
      <c r="AJ648" s="1" t="s">
        <v>216</v>
      </c>
      <c r="AK648" s="1" t="s">
        <v>238</v>
      </c>
      <c r="AM648" s="1">
        <v>1</v>
      </c>
      <c r="AV648" s="1">
        <v>1</v>
      </c>
      <c r="AX648" s="1">
        <v>0.25</v>
      </c>
      <c r="BE648" s="1" t="str">
        <f t="shared" si="37"/>
        <v>enemy_1216_cansld_2</v>
      </c>
      <c r="BK648" s="1" t="s">
        <v>1927</v>
      </c>
      <c r="BL648" s="1" t="s">
        <v>2894</v>
      </c>
      <c r="BN648" s="1" t="s">
        <v>217</v>
      </c>
      <c r="BO648" s="1" t="s">
        <v>218</v>
      </c>
      <c r="BP648" s="1" t="s">
        <v>239</v>
      </c>
      <c r="BQ648" s="1" t="s">
        <v>220</v>
      </c>
      <c r="BT648" s="1">
        <v>1</v>
      </c>
    </row>
    <row r="649" spans="1:72">
      <c r="A649" s="1" t="s">
        <v>2898</v>
      </c>
      <c r="B649" s="1" t="s">
        <v>213</v>
      </c>
      <c r="C649" s="1">
        <v>1</v>
      </c>
      <c r="D649" s="1" t="s">
        <v>2899</v>
      </c>
      <c r="E649" s="1">
        <v>1217</v>
      </c>
      <c r="F649" s="1" t="str">
        <f t="shared" si="36"/>
        <v>enemy_1217_rescar</v>
      </c>
      <c r="G649" s="1">
        <v>1</v>
      </c>
      <c r="K649" s="1">
        <v>17500</v>
      </c>
      <c r="M649" s="1">
        <v>500</v>
      </c>
      <c r="O649" s="1">
        <v>650</v>
      </c>
      <c r="Q649" s="1">
        <v>30</v>
      </c>
      <c r="Y649" s="1">
        <v>0.05</v>
      </c>
      <c r="Z649" s="1">
        <v>5</v>
      </c>
      <c r="AA649" s="1">
        <v>5</v>
      </c>
      <c r="AB649" s="1">
        <v>0.6</v>
      </c>
      <c r="AG649" s="1">
        <v>0</v>
      </c>
      <c r="AH649" s="1">
        <v>1</v>
      </c>
      <c r="AI649" s="1" t="s">
        <v>2900</v>
      </c>
      <c r="AJ649" s="1" t="s">
        <v>216</v>
      </c>
      <c r="AK649" s="1" t="s">
        <v>238</v>
      </c>
      <c r="AM649" s="1">
        <v>1</v>
      </c>
      <c r="AV649" s="1">
        <v>1</v>
      </c>
      <c r="AX649" s="1">
        <v>0.25</v>
      </c>
      <c r="BE649" s="1" t="str">
        <f t="shared" si="37"/>
        <v>enemy_1217_rescar</v>
      </c>
      <c r="BK649" s="1" t="s">
        <v>2398</v>
      </c>
      <c r="BL649" s="1" t="s">
        <v>2901</v>
      </c>
      <c r="BN649" s="1" t="s">
        <v>217</v>
      </c>
      <c r="BO649" s="1" t="s">
        <v>218</v>
      </c>
      <c r="BP649" s="1" t="s">
        <v>239</v>
      </c>
      <c r="BQ649" s="1" t="s">
        <v>220</v>
      </c>
      <c r="BT649" s="1">
        <v>1</v>
      </c>
    </row>
    <row r="650" spans="1:72">
      <c r="A650" s="1" t="s">
        <v>2902</v>
      </c>
      <c r="B650" s="1" t="s">
        <v>213</v>
      </c>
      <c r="C650" s="1">
        <v>1</v>
      </c>
      <c r="D650" s="1" t="s">
        <v>2903</v>
      </c>
      <c r="E650" s="1">
        <v>1217</v>
      </c>
      <c r="F650" s="1" t="str">
        <f t="shared" si="36"/>
        <v>enemy_1217_rescar_2</v>
      </c>
      <c r="G650" s="1">
        <v>1</v>
      </c>
      <c r="K650" s="1">
        <v>22500</v>
      </c>
      <c r="M650" s="1">
        <v>600</v>
      </c>
      <c r="O650" s="1">
        <v>650</v>
      </c>
      <c r="Q650" s="1">
        <v>30</v>
      </c>
      <c r="Y650" s="1">
        <v>0.05</v>
      </c>
      <c r="Z650" s="1">
        <v>5</v>
      </c>
      <c r="AA650" s="1">
        <v>5</v>
      </c>
      <c r="AB650" s="1">
        <v>0.6</v>
      </c>
      <c r="AG650" s="1">
        <v>0</v>
      </c>
      <c r="AH650" s="1">
        <v>1</v>
      </c>
      <c r="AI650" s="1" t="s">
        <v>2904</v>
      </c>
      <c r="AJ650" s="1" t="s">
        <v>216</v>
      </c>
      <c r="AK650" s="1" t="s">
        <v>238</v>
      </c>
      <c r="AM650" s="1">
        <v>1</v>
      </c>
      <c r="AV650" s="1">
        <v>1</v>
      </c>
      <c r="AX650" s="1">
        <v>0.25</v>
      </c>
      <c r="BE650" s="1" t="str">
        <f t="shared" si="37"/>
        <v>enemy_1217_rescar_2</v>
      </c>
      <c r="BK650" s="1" t="s">
        <v>2398</v>
      </c>
      <c r="BL650" s="1" t="s">
        <v>2905</v>
      </c>
      <c r="BN650" s="1" t="s">
        <v>217</v>
      </c>
      <c r="BO650" s="1" t="s">
        <v>218</v>
      </c>
      <c r="BP650" s="1" t="s">
        <v>239</v>
      </c>
      <c r="BQ650" s="1" t="s">
        <v>220</v>
      </c>
      <c r="BT650" s="1">
        <v>1</v>
      </c>
    </row>
    <row r="651" spans="1:72">
      <c r="A651" s="1" t="s">
        <v>2906</v>
      </c>
      <c r="B651" s="1" t="s">
        <v>213</v>
      </c>
      <c r="C651" s="1">
        <v>1</v>
      </c>
      <c r="D651" s="1" t="s">
        <v>2907</v>
      </c>
      <c r="E651" s="1">
        <v>1218</v>
      </c>
      <c r="F651" s="1" t="str">
        <f t="shared" si="36"/>
        <v>enemy_1218_bomscr</v>
      </c>
      <c r="G651" s="1">
        <v>1</v>
      </c>
      <c r="K651" s="1">
        <v>3500</v>
      </c>
      <c r="M651" s="1">
        <v>300</v>
      </c>
      <c r="O651" s="1">
        <v>100</v>
      </c>
      <c r="Q651" s="1">
        <v>20</v>
      </c>
      <c r="Y651" s="1">
        <v>0.05</v>
      </c>
      <c r="Z651" s="1">
        <v>1</v>
      </c>
      <c r="AA651" s="1">
        <v>1</v>
      </c>
      <c r="AB651" s="1">
        <v>1.6</v>
      </c>
      <c r="AG651" s="1">
        <v>0</v>
      </c>
      <c r="AH651" s="1">
        <v>1</v>
      </c>
      <c r="AI651" s="1" t="s">
        <v>2908</v>
      </c>
      <c r="AJ651" s="1" t="s">
        <v>216</v>
      </c>
      <c r="AK651" s="1" t="s">
        <v>238</v>
      </c>
      <c r="AM651" s="1">
        <v>1</v>
      </c>
      <c r="AV651" s="1">
        <v>1</v>
      </c>
      <c r="AX651" s="1">
        <v>0.25</v>
      </c>
      <c r="BE651" s="1" t="str">
        <f t="shared" si="37"/>
        <v>enemy_1218_bomscr</v>
      </c>
      <c r="BK651" s="1" t="s">
        <v>2125</v>
      </c>
      <c r="BL651" s="1" t="s">
        <v>2909</v>
      </c>
      <c r="BN651" s="1" t="s">
        <v>217</v>
      </c>
      <c r="BO651" s="1" t="s">
        <v>218</v>
      </c>
      <c r="BP651" s="1" t="s">
        <v>239</v>
      </c>
      <c r="BQ651" s="1" t="s">
        <v>220</v>
      </c>
      <c r="BT651" s="1">
        <v>1</v>
      </c>
    </row>
    <row r="652" spans="1:72">
      <c r="A652" s="1" t="s">
        <v>2910</v>
      </c>
      <c r="B652" s="1" t="s">
        <v>213</v>
      </c>
      <c r="C652" s="1">
        <v>1</v>
      </c>
      <c r="D652" s="1" t="s">
        <v>2911</v>
      </c>
      <c r="E652" s="1">
        <v>1218</v>
      </c>
      <c r="F652" s="1" t="str">
        <f t="shared" ref="F652:F679" si="38">"enemy_"&amp;E652&amp;"_"&amp;D652</f>
        <v>enemy_1218_bomscr_2</v>
      </c>
      <c r="G652" s="1">
        <v>1</v>
      </c>
      <c r="K652" s="1">
        <v>3800</v>
      </c>
      <c r="M652" s="1">
        <v>300</v>
      </c>
      <c r="O652" s="1">
        <v>200</v>
      </c>
      <c r="Q652" s="1">
        <v>20</v>
      </c>
      <c r="Y652" s="1">
        <v>0.05</v>
      </c>
      <c r="Z652" s="1">
        <v>1</v>
      </c>
      <c r="AA652" s="1">
        <v>1</v>
      </c>
      <c r="AB652" s="1">
        <v>1.6</v>
      </c>
      <c r="AG652" s="1">
        <v>0</v>
      </c>
      <c r="AH652" s="1">
        <v>1</v>
      </c>
      <c r="AI652" s="1" t="s">
        <v>2912</v>
      </c>
      <c r="AJ652" s="1" t="s">
        <v>216</v>
      </c>
      <c r="AK652" s="1" t="s">
        <v>238</v>
      </c>
      <c r="AM652" s="1">
        <v>1</v>
      </c>
      <c r="AV652" s="1">
        <v>1</v>
      </c>
      <c r="AX652" s="1">
        <v>0.25</v>
      </c>
      <c r="BE652" s="1" t="str">
        <f t="shared" si="37"/>
        <v>enemy_1218_bomscr_2</v>
      </c>
      <c r="BK652" s="1" t="s">
        <v>2125</v>
      </c>
      <c r="BL652" s="1" t="s">
        <v>2909</v>
      </c>
      <c r="BN652" s="1" t="s">
        <v>217</v>
      </c>
      <c r="BO652" s="1" t="s">
        <v>218</v>
      </c>
      <c r="BP652" s="1" t="s">
        <v>239</v>
      </c>
      <c r="BQ652" s="1" t="s">
        <v>220</v>
      </c>
      <c r="BT652" s="1">
        <v>1</v>
      </c>
    </row>
    <row r="653" spans="1:72">
      <c r="A653" s="1" t="s">
        <v>2913</v>
      </c>
      <c r="B653" s="1" t="s">
        <v>213</v>
      </c>
      <c r="C653" s="1">
        <v>1</v>
      </c>
      <c r="D653" s="1" t="s">
        <v>2914</v>
      </c>
      <c r="E653" s="1">
        <v>1219</v>
      </c>
      <c r="F653" s="1" t="str">
        <f t="shared" si="38"/>
        <v>enemy_1219_mtrbty</v>
      </c>
      <c r="G653" s="1">
        <v>1</v>
      </c>
      <c r="K653" s="1">
        <v>17000</v>
      </c>
      <c r="M653" s="1">
        <v>600</v>
      </c>
      <c r="O653" s="1">
        <v>500</v>
      </c>
      <c r="Q653" s="1">
        <v>60</v>
      </c>
      <c r="Y653" s="1">
        <v>0.05</v>
      </c>
      <c r="Z653" s="1">
        <v>2.7</v>
      </c>
      <c r="AA653" s="1">
        <v>4</v>
      </c>
      <c r="AB653" s="1">
        <v>0.8</v>
      </c>
      <c r="AG653" s="1">
        <v>0</v>
      </c>
      <c r="AH653" s="1">
        <v>1</v>
      </c>
      <c r="AI653" s="1" t="s">
        <v>2915</v>
      </c>
      <c r="AJ653" s="1" t="s">
        <v>216</v>
      </c>
      <c r="AK653" s="1" t="s">
        <v>238</v>
      </c>
      <c r="AM653" s="1">
        <v>1</v>
      </c>
      <c r="AV653" s="1">
        <v>1</v>
      </c>
      <c r="AX653" s="1">
        <v>0.25</v>
      </c>
      <c r="BE653" s="1" t="str">
        <f t="shared" si="37"/>
        <v>enemy_1219_mtrbty</v>
      </c>
      <c r="BK653" s="1" t="s">
        <v>1927</v>
      </c>
      <c r="BL653" s="1" t="s">
        <v>2916</v>
      </c>
      <c r="BN653" s="1" t="s">
        <v>217</v>
      </c>
      <c r="BO653" s="1" t="s">
        <v>218</v>
      </c>
      <c r="BP653" s="1" t="s">
        <v>239</v>
      </c>
      <c r="BQ653" s="1" t="s">
        <v>220</v>
      </c>
      <c r="BT653" s="1">
        <v>1</v>
      </c>
    </row>
    <row r="654" spans="1:72">
      <c r="A654" s="1" t="s">
        <v>2917</v>
      </c>
      <c r="B654" s="1" t="s">
        <v>213</v>
      </c>
      <c r="C654" s="1">
        <v>1</v>
      </c>
      <c r="D654" s="1" t="s">
        <v>2918</v>
      </c>
      <c r="E654" s="1">
        <v>1219</v>
      </c>
      <c r="F654" s="1" t="str">
        <f t="shared" si="38"/>
        <v>enemy_1219_mtrbty_2</v>
      </c>
      <c r="G654" s="1">
        <v>1</v>
      </c>
      <c r="K654" s="1">
        <v>23000</v>
      </c>
      <c r="M654" s="1">
        <v>700</v>
      </c>
      <c r="O654" s="1">
        <v>550</v>
      </c>
      <c r="Q654" s="1">
        <v>60</v>
      </c>
      <c r="Y654" s="1">
        <v>0.05</v>
      </c>
      <c r="Z654" s="1">
        <v>2.7</v>
      </c>
      <c r="AA654" s="1">
        <v>4</v>
      </c>
      <c r="AB654" s="1">
        <v>0.8</v>
      </c>
      <c r="AG654" s="1">
        <v>0</v>
      </c>
      <c r="AH654" s="1">
        <v>1</v>
      </c>
      <c r="AI654" s="1" t="s">
        <v>2919</v>
      </c>
      <c r="AJ654" s="1" t="s">
        <v>216</v>
      </c>
      <c r="AK654" s="1" t="s">
        <v>238</v>
      </c>
      <c r="AM654" s="1">
        <v>1</v>
      </c>
      <c r="AV654" s="1">
        <v>1</v>
      </c>
      <c r="AX654" s="1">
        <v>0.25</v>
      </c>
      <c r="BE654" s="1" t="str">
        <f t="shared" si="37"/>
        <v>enemy_1219_mtrbty_2</v>
      </c>
      <c r="BK654" s="1" t="s">
        <v>1927</v>
      </c>
      <c r="BL654" s="1" t="s">
        <v>2916</v>
      </c>
      <c r="BN654" s="1" t="s">
        <v>217</v>
      </c>
      <c r="BO654" s="1" t="s">
        <v>218</v>
      </c>
      <c r="BP654" s="1" t="s">
        <v>239</v>
      </c>
      <c r="BQ654" s="1" t="s">
        <v>220</v>
      </c>
      <c r="BT654" s="1">
        <v>1</v>
      </c>
    </row>
    <row r="655" spans="1:72">
      <c r="A655" s="1" t="s">
        <v>2920</v>
      </c>
      <c r="B655" s="1" t="s">
        <v>213</v>
      </c>
      <c r="C655" s="1">
        <v>1</v>
      </c>
      <c r="D655" s="1" t="s">
        <v>2921</v>
      </c>
      <c r="E655" s="1">
        <v>1527</v>
      </c>
      <c r="F655" s="1" t="str">
        <f t="shared" si="38"/>
        <v>enemy_1527_martyr</v>
      </c>
      <c r="G655" s="1">
        <v>1</v>
      </c>
      <c r="K655" s="1">
        <v>27000</v>
      </c>
      <c r="M655" s="1">
        <v>750</v>
      </c>
      <c r="O655" s="1">
        <v>550</v>
      </c>
      <c r="Q655" s="1">
        <v>60</v>
      </c>
      <c r="Y655" s="1">
        <v>0.05</v>
      </c>
      <c r="Z655" s="1">
        <v>5</v>
      </c>
      <c r="AA655" s="1">
        <v>10</v>
      </c>
      <c r="AB655" s="1">
        <v>0.5</v>
      </c>
      <c r="AG655" s="1">
        <v>0</v>
      </c>
      <c r="AH655" s="1">
        <v>1</v>
      </c>
      <c r="AI655" s="1" t="s">
        <v>2922</v>
      </c>
      <c r="AJ655" s="1" t="s">
        <v>216</v>
      </c>
      <c r="AK655" s="1" t="s">
        <v>238</v>
      </c>
      <c r="AM655" s="1">
        <v>1</v>
      </c>
      <c r="AV655" s="1">
        <v>1</v>
      </c>
      <c r="AX655" s="1">
        <v>0.25</v>
      </c>
      <c r="BE655" s="1" t="str">
        <f t="shared" si="37"/>
        <v>enemy_1527_martyr</v>
      </c>
      <c r="BK655" s="1" t="s">
        <v>1351</v>
      </c>
      <c r="BL655" s="1" t="s">
        <v>2923</v>
      </c>
      <c r="BN655" s="1" t="s">
        <v>217</v>
      </c>
      <c r="BO655" s="1" t="s">
        <v>2924</v>
      </c>
      <c r="BP655" s="1" t="s">
        <v>2925</v>
      </c>
      <c r="BQ655" s="1" t="s">
        <v>220</v>
      </c>
      <c r="BT655" s="1">
        <v>1</v>
      </c>
    </row>
    <row r="656" spans="1:72">
      <c r="A656" s="1" t="s">
        <v>2926</v>
      </c>
      <c r="B656" s="1" t="s">
        <v>213</v>
      </c>
      <c r="C656" s="1">
        <v>1</v>
      </c>
      <c r="D656" s="1" t="s">
        <v>2927</v>
      </c>
      <c r="E656" s="1">
        <v>1220</v>
      </c>
      <c r="F656" s="1" t="str">
        <f t="shared" si="38"/>
        <v>enemy_1220_dzoms</v>
      </c>
      <c r="G656" s="1">
        <v>1</v>
      </c>
      <c r="K656" s="1">
        <v>1500</v>
      </c>
      <c r="M656" s="1">
        <v>280</v>
      </c>
      <c r="O656" s="1">
        <v>100</v>
      </c>
      <c r="Q656" s="1">
        <v>10</v>
      </c>
      <c r="Y656" s="1">
        <v>0.05</v>
      </c>
      <c r="Z656" s="1">
        <v>2.5</v>
      </c>
      <c r="AA656" s="1">
        <v>0</v>
      </c>
      <c r="AB656" s="1">
        <v>1</v>
      </c>
      <c r="AG656" s="1">
        <v>0</v>
      </c>
      <c r="AH656" s="1">
        <v>1</v>
      </c>
      <c r="AI656" s="1" t="s">
        <v>2928</v>
      </c>
      <c r="AJ656" s="1" t="s">
        <v>216</v>
      </c>
      <c r="AK656" s="1" t="s">
        <v>238</v>
      </c>
      <c r="AM656" s="1">
        <v>1</v>
      </c>
      <c r="AV656" s="1">
        <v>1</v>
      </c>
      <c r="AX656" s="1">
        <v>0.25</v>
      </c>
      <c r="BE656" s="1" t="str">
        <f t="shared" si="37"/>
        <v>enemy_1220_dzoms</v>
      </c>
      <c r="BK656" s="1" t="s">
        <v>2929</v>
      </c>
      <c r="BL656" s="1" t="s">
        <v>2930</v>
      </c>
      <c r="BN656" s="1" t="s">
        <v>217</v>
      </c>
      <c r="BO656" s="1" t="s">
        <v>218</v>
      </c>
      <c r="BP656" s="1" t="s">
        <v>239</v>
      </c>
      <c r="BQ656" s="1" t="s">
        <v>220</v>
      </c>
      <c r="BT656" s="1">
        <v>1</v>
      </c>
    </row>
    <row r="657" spans="1:72">
      <c r="A657" s="1" t="s">
        <v>2931</v>
      </c>
      <c r="B657" s="1" t="s">
        <v>213</v>
      </c>
      <c r="C657" s="1">
        <v>1</v>
      </c>
      <c r="D657" s="1" t="s">
        <v>2932</v>
      </c>
      <c r="E657" s="1">
        <v>1220</v>
      </c>
      <c r="F657" s="1" t="str">
        <f t="shared" si="38"/>
        <v>enemy_1220_dzoms_2</v>
      </c>
      <c r="G657" s="1">
        <v>1</v>
      </c>
      <c r="K657" s="1">
        <v>1500</v>
      </c>
      <c r="M657" s="1">
        <v>380</v>
      </c>
      <c r="O657" s="1">
        <v>100</v>
      </c>
      <c r="Q657" s="1">
        <v>10</v>
      </c>
      <c r="Y657" s="1">
        <v>0.05</v>
      </c>
      <c r="Z657" s="1">
        <v>2.5</v>
      </c>
      <c r="AA657" s="1">
        <v>0</v>
      </c>
      <c r="AB657" s="1">
        <v>1</v>
      </c>
      <c r="AG657" s="1">
        <v>0</v>
      </c>
      <c r="AH657" s="1">
        <v>1</v>
      </c>
      <c r="AI657" s="1" t="s">
        <v>2933</v>
      </c>
      <c r="AJ657" s="1" t="s">
        <v>216</v>
      </c>
      <c r="AK657" s="1" t="s">
        <v>238</v>
      </c>
      <c r="AM657" s="1">
        <v>1</v>
      </c>
      <c r="AV657" s="1">
        <v>1</v>
      </c>
      <c r="AX657" s="1">
        <v>0.25</v>
      </c>
      <c r="BE657" s="1" t="str">
        <f t="shared" si="37"/>
        <v>enemy_1220_dzoms_2</v>
      </c>
      <c r="BK657" s="1" t="s">
        <v>2929</v>
      </c>
      <c r="BL657" s="1" t="s">
        <v>2930</v>
      </c>
      <c r="BN657" s="1" t="s">
        <v>217</v>
      </c>
      <c r="BO657" s="1" t="s">
        <v>218</v>
      </c>
      <c r="BP657" s="1" t="s">
        <v>239</v>
      </c>
      <c r="BQ657" s="1" t="s">
        <v>220</v>
      </c>
      <c r="BT657" s="1">
        <v>1</v>
      </c>
    </row>
    <row r="658" spans="1:72">
      <c r="A658" s="1" t="s">
        <v>2934</v>
      </c>
      <c r="B658" s="1" t="s">
        <v>213</v>
      </c>
      <c r="C658" s="1">
        <v>1</v>
      </c>
      <c r="D658" s="1" t="s">
        <v>2935</v>
      </c>
      <c r="E658" s="1">
        <v>1221</v>
      </c>
      <c r="F658" s="1" t="str">
        <f t="shared" si="38"/>
        <v>enemy_1221_dzomg</v>
      </c>
      <c r="G658" s="1">
        <v>1</v>
      </c>
      <c r="K658" s="1">
        <v>3000</v>
      </c>
      <c r="M658" s="1">
        <v>680</v>
      </c>
      <c r="O658" s="1">
        <v>200</v>
      </c>
      <c r="Q658" s="1">
        <v>20</v>
      </c>
      <c r="Y658" s="1">
        <v>0.05</v>
      </c>
      <c r="Z658" s="1">
        <v>4</v>
      </c>
      <c r="AA658" s="1">
        <v>3</v>
      </c>
      <c r="AB658" s="1">
        <v>0.7</v>
      </c>
      <c r="AG658" s="1">
        <v>0</v>
      </c>
      <c r="AH658" s="1">
        <v>1</v>
      </c>
      <c r="AI658" s="1" t="s">
        <v>2936</v>
      </c>
      <c r="AJ658" s="1" t="s">
        <v>216</v>
      </c>
      <c r="AK658" s="1" t="s">
        <v>238</v>
      </c>
      <c r="AM658" s="1">
        <v>1</v>
      </c>
      <c r="AV658" s="1">
        <v>1</v>
      </c>
      <c r="AX658" s="1">
        <v>0.25</v>
      </c>
      <c r="BE658" s="1" t="str">
        <f t="shared" si="37"/>
        <v>enemy_1221_dzomg</v>
      </c>
      <c r="BK658" s="1" t="s">
        <v>2929</v>
      </c>
      <c r="BL658" s="1" t="s">
        <v>2930</v>
      </c>
      <c r="BN658" s="1" t="s">
        <v>217</v>
      </c>
      <c r="BO658" s="1" t="s">
        <v>218</v>
      </c>
      <c r="BP658" s="1" t="s">
        <v>239</v>
      </c>
      <c r="BQ658" s="1" t="s">
        <v>220</v>
      </c>
      <c r="BT658" s="1">
        <v>1</v>
      </c>
    </row>
    <row r="659" spans="1:72">
      <c r="A659" s="1" t="s">
        <v>2937</v>
      </c>
      <c r="B659" s="1" t="s">
        <v>213</v>
      </c>
      <c r="C659" s="1">
        <v>1</v>
      </c>
      <c r="D659" s="1" t="s">
        <v>2938</v>
      </c>
      <c r="E659" s="1">
        <v>1221</v>
      </c>
      <c r="F659" s="1" t="str">
        <f t="shared" si="38"/>
        <v>enemy_1221_dzomg_2</v>
      </c>
      <c r="G659" s="1">
        <v>1</v>
      </c>
      <c r="K659" s="1">
        <v>3000</v>
      </c>
      <c r="M659" s="1">
        <v>800</v>
      </c>
      <c r="O659" s="1">
        <v>200</v>
      </c>
      <c r="Q659" s="1">
        <v>20</v>
      </c>
      <c r="Y659" s="1">
        <v>0.05</v>
      </c>
      <c r="Z659" s="1">
        <v>4</v>
      </c>
      <c r="AA659" s="1">
        <v>3</v>
      </c>
      <c r="AB659" s="1">
        <v>0.7</v>
      </c>
      <c r="AG659" s="1">
        <v>0</v>
      </c>
      <c r="AH659" s="1">
        <v>1</v>
      </c>
      <c r="AI659" s="1" t="s">
        <v>2939</v>
      </c>
      <c r="AJ659" s="1" t="s">
        <v>216</v>
      </c>
      <c r="AK659" s="1" t="s">
        <v>238</v>
      </c>
      <c r="AM659" s="1">
        <v>1</v>
      </c>
      <c r="AV659" s="1">
        <v>1</v>
      </c>
      <c r="AX659" s="1">
        <v>0.25</v>
      </c>
      <c r="BE659" s="1" t="str">
        <f t="shared" si="37"/>
        <v>enemy_1221_dzomg_2</v>
      </c>
      <c r="BK659" s="1" t="s">
        <v>2929</v>
      </c>
      <c r="BL659" s="1" t="s">
        <v>2930</v>
      </c>
      <c r="BN659" s="1" t="s">
        <v>217</v>
      </c>
      <c r="BO659" s="1" t="s">
        <v>218</v>
      </c>
      <c r="BP659" s="1" t="s">
        <v>239</v>
      </c>
      <c r="BQ659" s="1" t="s">
        <v>220</v>
      </c>
      <c r="BT659" s="1">
        <v>1</v>
      </c>
    </row>
    <row r="660" spans="1:72">
      <c r="A660" s="1" t="s">
        <v>2940</v>
      </c>
      <c r="B660" s="1" t="s">
        <v>213</v>
      </c>
      <c r="C660" s="1">
        <v>1</v>
      </c>
      <c r="D660" s="1" t="s">
        <v>2941</v>
      </c>
      <c r="E660" s="1">
        <v>1222</v>
      </c>
      <c r="F660" s="1" t="str">
        <f t="shared" si="38"/>
        <v>enemy_1222_dpvt</v>
      </c>
      <c r="G660" s="1">
        <v>1</v>
      </c>
      <c r="K660" s="1">
        <v>3600</v>
      </c>
      <c r="M660" s="1">
        <v>340</v>
      </c>
      <c r="O660" s="1">
        <v>120</v>
      </c>
      <c r="Q660" s="1">
        <v>30</v>
      </c>
      <c r="Y660" s="1">
        <v>0.05</v>
      </c>
      <c r="Z660" s="1">
        <v>2</v>
      </c>
      <c r="AA660" s="1">
        <v>1</v>
      </c>
      <c r="AB660" s="1">
        <v>1</v>
      </c>
      <c r="AG660" s="1">
        <v>0</v>
      </c>
      <c r="AH660" s="1">
        <v>1</v>
      </c>
      <c r="AI660" s="1" t="s">
        <v>2942</v>
      </c>
      <c r="AJ660" s="1" t="s">
        <v>216</v>
      </c>
      <c r="AK660" s="1" t="s">
        <v>238</v>
      </c>
      <c r="AM660" s="1">
        <v>1</v>
      </c>
      <c r="AV660" s="1">
        <v>1</v>
      </c>
      <c r="AX660" s="1">
        <v>0.25</v>
      </c>
      <c r="BE660" s="1" t="str">
        <f t="shared" si="37"/>
        <v>enemy_1222_dpvt</v>
      </c>
      <c r="BK660" s="1" t="s">
        <v>2943</v>
      </c>
      <c r="BL660" s="1" t="s">
        <v>2944</v>
      </c>
      <c r="BN660" s="1" t="s">
        <v>217</v>
      </c>
      <c r="BO660" s="1" t="s">
        <v>218</v>
      </c>
      <c r="BP660" s="1" t="s">
        <v>239</v>
      </c>
      <c r="BQ660" s="1" t="s">
        <v>220</v>
      </c>
      <c r="BT660" s="1">
        <v>1</v>
      </c>
    </row>
    <row r="661" spans="1:72">
      <c r="A661" s="1" t="s">
        <v>2945</v>
      </c>
      <c r="B661" s="1" t="s">
        <v>213</v>
      </c>
      <c r="C661" s="1">
        <v>1</v>
      </c>
      <c r="D661" s="1" t="s">
        <v>2946</v>
      </c>
      <c r="E661" s="1">
        <v>1222</v>
      </c>
      <c r="F661" s="1" t="str">
        <f t="shared" si="38"/>
        <v>enemy_1222_dpvt_2</v>
      </c>
      <c r="G661" s="1">
        <v>1</v>
      </c>
      <c r="K661" s="1">
        <v>4500</v>
      </c>
      <c r="M661" s="1">
        <v>400</v>
      </c>
      <c r="O661" s="1">
        <v>210</v>
      </c>
      <c r="Q661" s="1">
        <v>30</v>
      </c>
      <c r="Y661" s="1">
        <v>0.05</v>
      </c>
      <c r="Z661" s="1">
        <v>2</v>
      </c>
      <c r="AA661" s="1">
        <v>1</v>
      </c>
      <c r="AB661" s="1">
        <v>1</v>
      </c>
      <c r="AG661" s="1">
        <v>0</v>
      </c>
      <c r="AH661" s="1">
        <v>1</v>
      </c>
      <c r="AI661" s="1" t="s">
        <v>2947</v>
      </c>
      <c r="AJ661" s="1" t="s">
        <v>216</v>
      </c>
      <c r="AK661" s="1" t="s">
        <v>238</v>
      </c>
      <c r="AM661" s="1">
        <v>1</v>
      </c>
      <c r="AV661" s="1">
        <v>1</v>
      </c>
      <c r="AX661" s="1">
        <v>0.25</v>
      </c>
      <c r="BE661" s="1" t="str">
        <f t="shared" si="37"/>
        <v>enemy_1222_dpvt_2</v>
      </c>
      <c r="BK661" s="1" t="s">
        <v>2943</v>
      </c>
      <c r="BL661" s="1" t="s">
        <v>2948</v>
      </c>
      <c r="BN661" s="1" t="s">
        <v>217</v>
      </c>
      <c r="BO661" s="1" t="s">
        <v>218</v>
      </c>
      <c r="BP661" s="1" t="s">
        <v>239</v>
      </c>
      <c r="BQ661" s="1" t="s">
        <v>220</v>
      </c>
      <c r="BT661" s="1">
        <v>1</v>
      </c>
    </row>
    <row r="662" spans="1:72">
      <c r="A662" s="1" t="s">
        <v>2949</v>
      </c>
      <c r="B662" s="1" t="s">
        <v>213</v>
      </c>
      <c r="C662" s="1">
        <v>1</v>
      </c>
      <c r="D662" s="1" t="s">
        <v>2950</v>
      </c>
      <c r="E662" s="1">
        <v>1223</v>
      </c>
      <c r="F662" s="1" t="str">
        <f t="shared" si="38"/>
        <v>enemy_1223_dmech</v>
      </c>
      <c r="G662" s="1">
        <v>1</v>
      </c>
      <c r="K662" s="1">
        <v>6000</v>
      </c>
      <c r="M662" s="1">
        <v>300</v>
      </c>
      <c r="O662" s="1">
        <v>250</v>
      </c>
      <c r="Q662" s="1">
        <v>20</v>
      </c>
      <c r="Y662" s="1">
        <v>0.05</v>
      </c>
      <c r="Z662" s="1">
        <v>2</v>
      </c>
      <c r="AA662" s="1">
        <v>1</v>
      </c>
      <c r="AB662" s="1">
        <v>1</v>
      </c>
      <c r="AG662" s="1">
        <v>0</v>
      </c>
      <c r="AH662" s="1">
        <v>1</v>
      </c>
      <c r="AI662" s="1" t="s">
        <v>2951</v>
      </c>
      <c r="AJ662" s="1" t="s">
        <v>216</v>
      </c>
      <c r="AK662" s="1" t="s">
        <v>238</v>
      </c>
      <c r="AM662" s="1">
        <v>1</v>
      </c>
      <c r="AV662" s="1">
        <v>1</v>
      </c>
      <c r="AX662" s="1">
        <v>0.25</v>
      </c>
      <c r="BE662" s="1" t="str">
        <f t="shared" si="37"/>
        <v>enemy_1223_dmech</v>
      </c>
      <c r="BK662" s="1" t="s">
        <v>2943</v>
      </c>
      <c r="BL662" s="1" t="s">
        <v>2952</v>
      </c>
      <c r="BN662" s="1" t="s">
        <v>217</v>
      </c>
      <c r="BO662" s="1" t="s">
        <v>218</v>
      </c>
      <c r="BP662" s="1" t="s">
        <v>239</v>
      </c>
      <c r="BQ662" s="1" t="s">
        <v>220</v>
      </c>
      <c r="BT662" s="1">
        <v>1</v>
      </c>
    </row>
    <row r="663" spans="1:72">
      <c r="A663" s="1" t="s">
        <v>2953</v>
      </c>
      <c r="B663" s="1" t="s">
        <v>213</v>
      </c>
      <c r="C663" s="1">
        <v>1</v>
      </c>
      <c r="D663" s="1" t="s">
        <v>2954</v>
      </c>
      <c r="E663" s="1">
        <v>1223</v>
      </c>
      <c r="F663" s="1" t="str">
        <f t="shared" si="38"/>
        <v>enemy_1223_dmech_2</v>
      </c>
      <c r="G663" s="1">
        <v>1</v>
      </c>
      <c r="K663" s="1">
        <v>8000</v>
      </c>
      <c r="M663" s="1">
        <v>380</v>
      </c>
      <c r="O663" s="1">
        <v>350</v>
      </c>
      <c r="Q663" s="1">
        <v>20</v>
      </c>
      <c r="Y663" s="1">
        <v>0.05</v>
      </c>
      <c r="Z663" s="1">
        <v>2</v>
      </c>
      <c r="AA663" s="1">
        <v>1</v>
      </c>
      <c r="AB663" s="1">
        <v>1</v>
      </c>
      <c r="AG663" s="1">
        <v>0</v>
      </c>
      <c r="AH663" s="1">
        <v>1</v>
      </c>
      <c r="AI663" s="1" t="s">
        <v>2955</v>
      </c>
      <c r="AJ663" s="1" t="s">
        <v>216</v>
      </c>
      <c r="AK663" s="1" t="s">
        <v>238</v>
      </c>
      <c r="AM663" s="1">
        <v>1</v>
      </c>
      <c r="AV663" s="1">
        <v>1</v>
      </c>
      <c r="AX663" s="1">
        <v>0.25</v>
      </c>
      <c r="BE663" s="1" t="str">
        <f t="shared" si="37"/>
        <v>enemy_1223_dmech_2</v>
      </c>
      <c r="BK663" s="1" t="s">
        <v>2943</v>
      </c>
      <c r="BL663" s="1" t="s">
        <v>2956</v>
      </c>
      <c r="BN663" s="1" t="s">
        <v>217</v>
      </c>
      <c r="BO663" s="1" t="s">
        <v>218</v>
      </c>
      <c r="BP663" s="1" t="s">
        <v>239</v>
      </c>
      <c r="BQ663" s="1" t="s">
        <v>220</v>
      </c>
      <c r="BT663" s="1">
        <v>1</v>
      </c>
    </row>
    <row r="664" spans="1:72">
      <c r="A664" s="1" t="s">
        <v>2957</v>
      </c>
      <c r="B664" s="1" t="s">
        <v>213</v>
      </c>
      <c r="C664" s="1">
        <v>1</v>
      </c>
      <c r="D664" s="1" t="s">
        <v>2958</v>
      </c>
      <c r="E664" s="1">
        <v>1224</v>
      </c>
      <c r="F664" s="1" t="str">
        <f t="shared" si="38"/>
        <v>enemy_1224_dsuply</v>
      </c>
      <c r="G664" s="1">
        <v>1</v>
      </c>
      <c r="K664" s="1">
        <v>7000</v>
      </c>
      <c r="M664" s="1">
        <v>340</v>
      </c>
      <c r="O664" s="1">
        <v>550</v>
      </c>
      <c r="Q664" s="1">
        <v>10</v>
      </c>
      <c r="Y664" s="1">
        <v>0.05</v>
      </c>
      <c r="Z664" s="1">
        <v>1.7</v>
      </c>
      <c r="AA664" s="1">
        <v>4</v>
      </c>
      <c r="AB664" s="1">
        <v>0.7</v>
      </c>
      <c r="AG664" s="1">
        <v>0</v>
      </c>
      <c r="AH664" s="1">
        <v>1</v>
      </c>
      <c r="AI664" s="1" t="s">
        <v>2959</v>
      </c>
      <c r="AJ664" s="1" t="s">
        <v>216</v>
      </c>
      <c r="AK664" s="1" t="s">
        <v>238</v>
      </c>
      <c r="AM664" s="1">
        <v>1</v>
      </c>
      <c r="AV664" s="1">
        <v>1</v>
      </c>
      <c r="AX664" s="1">
        <v>0.25</v>
      </c>
      <c r="BE664" s="1" t="str">
        <f t="shared" si="37"/>
        <v>enemy_1224_dsuply</v>
      </c>
      <c r="BK664" s="1" t="s">
        <v>2398</v>
      </c>
      <c r="BL664" s="1" t="s">
        <v>2960</v>
      </c>
      <c r="BN664" s="1" t="s">
        <v>217</v>
      </c>
      <c r="BO664" s="1" t="s">
        <v>218</v>
      </c>
      <c r="BP664" s="1" t="s">
        <v>239</v>
      </c>
      <c r="BQ664" s="1" t="s">
        <v>220</v>
      </c>
      <c r="BT664" s="1">
        <v>1</v>
      </c>
    </row>
    <row r="665" spans="1:72">
      <c r="A665" s="1" t="s">
        <v>2961</v>
      </c>
      <c r="B665" s="1" t="s">
        <v>213</v>
      </c>
      <c r="C665" s="1">
        <v>1</v>
      </c>
      <c r="D665" s="1" t="s">
        <v>2962</v>
      </c>
      <c r="E665" s="1">
        <v>1224</v>
      </c>
      <c r="F665" s="1" t="str">
        <f t="shared" si="38"/>
        <v>enemy_1224_dsuply_2</v>
      </c>
      <c r="G665" s="1">
        <v>1</v>
      </c>
      <c r="K665" s="1">
        <v>9000</v>
      </c>
      <c r="M665" s="1">
        <v>420</v>
      </c>
      <c r="O665" s="1">
        <v>600</v>
      </c>
      <c r="Q665" s="1">
        <v>10</v>
      </c>
      <c r="Y665" s="1">
        <v>0.05</v>
      </c>
      <c r="Z665" s="1">
        <v>1.7</v>
      </c>
      <c r="AA665" s="1">
        <v>4</v>
      </c>
      <c r="AB665" s="1">
        <v>0.7</v>
      </c>
      <c r="AG665" s="1">
        <v>0</v>
      </c>
      <c r="AH665" s="1">
        <v>1</v>
      </c>
      <c r="AI665" s="1" t="s">
        <v>2963</v>
      </c>
      <c r="AJ665" s="1" t="s">
        <v>216</v>
      </c>
      <c r="AK665" s="1" t="s">
        <v>238</v>
      </c>
      <c r="AM665" s="1">
        <v>1</v>
      </c>
      <c r="AV665" s="1">
        <v>1</v>
      </c>
      <c r="AX665" s="1">
        <v>0.25</v>
      </c>
      <c r="BE665" s="1" t="str">
        <f t="shared" si="37"/>
        <v>enemy_1224_dsuply_2</v>
      </c>
      <c r="BK665" s="1" t="s">
        <v>2398</v>
      </c>
      <c r="BL665" s="1" t="s">
        <v>2960</v>
      </c>
      <c r="BN665" s="1" t="s">
        <v>217</v>
      </c>
      <c r="BO665" s="1" t="s">
        <v>218</v>
      </c>
      <c r="BP665" s="1" t="s">
        <v>239</v>
      </c>
      <c r="BQ665" s="1" t="s">
        <v>220</v>
      </c>
      <c r="BT665" s="1">
        <v>1</v>
      </c>
    </row>
    <row r="666" spans="1:72">
      <c r="A666" s="1" t="s">
        <v>2964</v>
      </c>
      <c r="B666" s="1" t="s">
        <v>213</v>
      </c>
      <c r="C666" s="1">
        <v>1</v>
      </c>
      <c r="D666" s="1" t="s">
        <v>2965</v>
      </c>
      <c r="E666" s="1">
        <v>1225</v>
      </c>
      <c r="F666" s="1" t="str">
        <f t="shared" si="38"/>
        <v>enemy_1225_dkmage</v>
      </c>
      <c r="G666" s="1">
        <v>1</v>
      </c>
      <c r="K666" s="1">
        <v>12000</v>
      </c>
      <c r="M666" s="1">
        <v>420</v>
      </c>
      <c r="O666" s="1">
        <v>450</v>
      </c>
      <c r="Q666" s="1">
        <v>50</v>
      </c>
      <c r="Y666" s="1">
        <v>0.05</v>
      </c>
      <c r="Z666" s="1">
        <v>4</v>
      </c>
      <c r="AA666" s="1">
        <v>3</v>
      </c>
      <c r="AB666" s="1">
        <v>0.7</v>
      </c>
      <c r="AG666" s="1">
        <v>0</v>
      </c>
      <c r="AH666" s="1">
        <v>1</v>
      </c>
      <c r="AI666" s="1" t="s">
        <v>2966</v>
      </c>
      <c r="AJ666" s="1" t="s">
        <v>216</v>
      </c>
      <c r="AK666" s="1" t="s">
        <v>238</v>
      </c>
      <c r="AM666" s="1">
        <v>1</v>
      </c>
      <c r="AV666" s="1">
        <v>1</v>
      </c>
      <c r="AX666" s="1">
        <v>0.25</v>
      </c>
      <c r="BE666" s="1" t="str">
        <f t="shared" si="37"/>
        <v>enemy_1225_dkmage</v>
      </c>
      <c r="BK666" s="1" t="s">
        <v>2967</v>
      </c>
      <c r="BL666" s="1" t="s">
        <v>2968</v>
      </c>
      <c r="BN666" s="1" t="s">
        <v>217</v>
      </c>
      <c r="BO666" s="1" t="s">
        <v>218</v>
      </c>
      <c r="BP666" s="1" t="s">
        <v>239</v>
      </c>
      <c r="BQ666" s="1" t="s">
        <v>220</v>
      </c>
      <c r="BT666" s="1">
        <v>1</v>
      </c>
    </row>
    <row r="667" spans="1:72">
      <c r="A667" s="1" t="s">
        <v>2969</v>
      </c>
      <c r="B667" s="1" t="s">
        <v>213</v>
      </c>
      <c r="C667" s="1">
        <v>1</v>
      </c>
      <c r="D667" s="1" t="s">
        <v>2970</v>
      </c>
      <c r="E667" s="1">
        <v>1225</v>
      </c>
      <c r="F667" s="1" t="str">
        <f t="shared" si="38"/>
        <v>enemy_1225_dkmage_2</v>
      </c>
      <c r="G667" s="1">
        <v>1</v>
      </c>
      <c r="K667" s="1">
        <v>16000</v>
      </c>
      <c r="M667" s="1">
        <v>550</v>
      </c>
      <c r="O667" s="1">
        <v>550</v>
      </c>
      <c r="Q667" s="1">
        <v>50</v>
      </c>
      <c r="Y667" s="1">
        <v>0.05</v>
      </c>
      <c r="Z667" s="1">
        <v>4</v>
      </c>
      <c r="AA667" s="1">
        <v>3</v>
      </c>
      <c r="AB667" s="1">
        <v>0.7</v>
      </c>
      <c r="AG667" s="1">
        <v>0</v>
      </c>
      <c r="AH667" s="1">
        <v>1</v>
      </c>
      <c r="AI667" s="1" t="s">
        <v>2971</v>
      </c>
      <c r="AJ667" s="1" t="s">
        <v>216</v>
      </c>
      <c r="AK667" s="1" t="s">
        <v>238</v>
      </c>
      <c r="AM667" s="1">
        <v>1</v>
      </c>
      <c r="AV667" s="1">
        <v>1</v>
      </c>
      <c r="AX667" s="1">
        <v>0.25</v>
      </c>
      <c r="BE667" s="1" t="str">
        <f t="shared" si="37"/>
        <v>enemy_1225_dkmage_2</v>
      </c>
      <c r="BK667" s="1" t="s">
        <v>2967</v>
      </c>
      <c r="BL667" s="1" t="s">
        <v>2972</v>
      </c>
      <c r="BN667" s="1" t="s">
        <v>217</v>
      </c>
      <c r="BO667" s="1" t="s">
        <v>218</v>
      </c>
      <c r="BP667" s="1" t="s">
        <v>239</v>
      </c>
      <c r="BQ667" s="1" t="s">
        <v>220</v>
      </c>
      <c r="BT667" s="1">
        <v>1</v>
      </c>
    </row>
    <row r="668" spans="1:72">
      <c r="A668" s="1" t="s">
        <v>2973</v>
      </c>
      <c r="B668" s="1" t="s">
        <v>213</v>
      </c>
      <c r="C668" s="1">
        <v>1</v>
      </c>
      <c r="D668" s="1" t="s">
        <v>2974</v>
      </c>
      <c r="E668" s="1">
        <v>1226</v>
      </c>
      <c r="F668" s="1" t="str">
        <f t="shared" si="38"/>
        <v>enemy_1226_dklord</v>
      </c>
      <c r="G668" s="1">
        <v>1</v>
      </c>
      <c r="K668" s="1">
        <v>14000</v>
      </c>
      <c r="M668" s="1">
        <v>1000</v>
      </c>
      <c r="O668" s="1">
        <v>800</v>
      </c>
      <c r="Q668" s="1">
        <v>20</v>
      </c>
      <c r="Y668" s="1">
        <v>0.05</v>
      </c>
      <c r="Z668" s="1">
        <v>5</v>
      </c>
      <c r="AA668" s="1">
        <v>4</v>
      </c>
      <c r="AB668" s="1">
        <v>0.5</v>
      </c>
      <c r="AG668" s="1">
        <v>0</v>
      </c>
      <c r="AH668" s="1">
        <v>1</v>
      </c>
      <c r="AI668" s="1" t="s">
        <v>2975</v>
      </c>
      <c r="AJ668" s="1" t="s">
        <v>216</v>
      </c>
      <c r="AK668" s="1" t="s">
        <v>238</v>
      </c>
      <c r="AM668" s="1">
        <v>1</v>
      </c>
      <c r="AV668" s="1">
        <v>1</v>
      </c>
      <c r="AX668" s="1">
        <v>0.25</v>
      </c>
      <c r="BE668" s="1" t="str">
        <f t="shared" si="37"/>
        <v>enemy_1226_dklord</v>
      </c>
      <c r="BK668" s="1" t="s">
        <v>2976</v>
      </c>
      <c r="BL668" s="1" t="s">
        <v>2977</v>
      </c>
      <c r="BN668" s="1" t="s">
        <v>217</v>
      </c>
      <c r="BO668" s="1" t="s">
        <v>218</v>
      </c>
      <c r="BP668" s="1" t="s">
        <v>239</v>
      </c>
      <c r="BQ668" s="1" t="s">
        <v>220</v>
      </c>
      <c r="BT668" s="1">
        <v>1</v>
      </c>
    </row>
    <row r="669" spans="1:72">
      <c r="A669" s="1" t="s">
        <v>2978</v>
      </c>
      <c r="B669" s="1" t="s">
        <v>213</v>
      </c>
      <c r="C669" s="1">
        <v>1</v>
      </c>
      <c r="D669" s="1" t="s">
        <v>2979</v>
      </c>
      <c r="E669" s="1">
        <v>1226</v>
      </c>
      <c r="F669" s="1" t="str">
        <f t="shared" si="38"/>
        <v>enemy_1226_dklord_2</v>
      </c>
      <c r="G669" s="1">
        <v>1</v>
      </c>
      <c r="K669" s="1">
        <v>20000</v>
      </c>
      <c r="M669" s="1">
        <v>1200</v>
      </c>
      <c r="O669" s="1">
        <v>800</v>
      </c>
      <c r="Q669" s="1">
        <v>20</v>
      </c>
      <c r="Y669" s="1">
        <v>0.05</v>
      </c>
      <c r="Z669" s="1">
        <v>5</v>
      </c>
      <c r="AA669" s="1">
        <v>4</v>
      </c>
      <c r="AB669" s="1">
        <v>0.5</v>
      </c>
      <c r="AG669" s="1">
        <v>0</v>
      </c>
      <c r="AH669" s="1">
        <v>1</v>
      </c>
      <c r="AI669" s="1" t="s">
        <v>2980</v>
      </c>
      <c r="AJ669" s="1" t="s">
        <v>216</v>
      </c>
      <c r="AK669" s="1" t="s">
        <v>238</v>
      </c>
      <c r="AM669" s="1">
        <v>1</v>
      </c>
      <c r="AV669" s="1">
        <v>1</v>
      </c>
      <c r="AX669" s="1">
        <v>0.25</v>
      </c>
      <c r="BE669" s="1" t="str">
        <f t="shared" si="37"/>
        <v>enemy_1226_dklord_2</v>
      </c>
      <c r="BK669" s="1" t="s">
        <v>2976</v>
      </c>
      <c r="BL669" s="1" t="s">
        <v>2981</v>
      </c>
      <c r="BN669" s="1" t="s">
        <v>217</v>
      </c>
      <c r="BO669" s="1" t="s">
        <v>218</v>
      </c>
      <c r="BP669" s="1" t="s">
        <v>239</v>
      </c>
      <c r="BQ669" s="1" t="s">
        <v>220</v>
      </c>
      <c r="BT669" s="1">
        <v>1</v>
      </c>
    </row>
    <row r="670" spans="1:72">
      <c r="A670" s="1" t="s">
        <v>2982</v>
      </c>
      <c r="B670" s="1" t="s">
        <v>213</v>
      </c>
      <c r="C670" s="1">
        <v>1</v>
      </c>
      <c r="D670" s="1" t="s">
        <v>2983</v>
      </c>
      <c r="E670" s="1">
        <v>1227</v>
      </c>
      <c r="F670" s="1" t="str">
        <f t="shared" si="38"/>
        <v>enemy_1227_dair</v>
      </c>
      <c r="G670" s="1">
        <v>1</v>
      </c>
      <c r="K670" s="1">
        <v>6000</v>
      </c>
      <c r="M670" s="1">
        <v>500</v>
      </c>
      <c r="O670" s="1">
        <v>150</v>
      </c>
      <c r="Q670" s="1">
        <v>10</v>
      </c>
      <c r="Y670" s="1">
        <v>0.05</v>
      </c>
      <c r="Z670" s="1">
        <v>4.5</v>
      </c>
      <c r="AA670" s="1">
        <v>1</v>
      </c>
      <c r="AB670" s="1">
        <v>0.5</v>
      </c>
      <c r="AG670" s="1">
        <v>0</v>
      </c>
      <c r="AH670" s="1">
        <v>1</v>
      </c>
      <c r="AI670" s="1" t="s">
        <v>2984</v>
      </c>
      <c r="AJ670" s="1" t="s">
        <v>216</v>
      </c>
      <c r="AK670" s="1" t="s">
        <v>238</v>
      </c>
      <c r="AM670" s="1">
        <v>1</v>
      </c>
      <c r="AV670" s="1">
        <v>1</v>
      </c>
      <c r="AX670" s="1">
        <v>0.25</v>
      </c>
      <c r="BE670" s="1" t="str">
        <f t="shared" si="37"/>
        <v>enemy_1227_dair</v>
      </c>
      <c r="BK670" s="1" t="s">
        <v>1050</v>
      </c>
      <c r="BL670" s="1" t="s">
        <v>2985</v>
      </c>
      <c r="BN670" s="1" t="s">
        <v>217</v>
      </c>
      <c r="BO670" s="1" t="s">
        <v>218</v>
      </c>
      <c r="BP670" s="1" t="s">
        <v>239</v>
      </c>
      <c r="BQ670" s="1" t="s">
        <v>220</v>
      </c>
      <c r="BT670" s="1">
        <v>1</v>
      </c>
    </row>
    <row r="671" spans="1:72">
      <c r="A671" s="1" t="s">
        <v>2986</v>
      </c>
      <c r="B671" s="1" t="s">
        <v>213</v>
      </c>
      <c r="C671" s="1">
        <v>1</v>
      </c>
      <c r="D671" s="1" t="s">
        <v>2987</v>
      </c>
      <c r="E671" s="1">
        <v>1227</v>
      </c>
      <c r="F671" s="1" t="str">
        <f t="shared" si="38"/>
        <v>enemy_1227_dair_2</v>
      </c>
      <c r="G671" s="1">
        <v>1</v>
      </c>
      <c r="K671" s="1">
        <v>9000</v>
      </c>
      <c r="M671" s="1">
        <v>650</v>
      </c>
      <c r="O671" s="1">
        <v>220</v>
      </c>
      <c r="Q671" s="1">
        <v>10</v>
      </c>
      <c r="Y671" s="1">
        <v>0.05</v>
      </c>
      <c r="Z671" s="1">
        <v>4.5</v>
      </c>
      <c r="AA671" s="1">
        <v>1</v>
      </c>
      <c r="AB671" s="1">
        <v>0.5</v>
      </c>
      <c r="AG671" s="1">
        <v>0</v>
      </c>
      <c r="AH671" s="1">
        <v>1</v>
      </c>
      <c r="AI671" s="1" t="s">
        <v>2988</v>
      </c>
      <c r="AJ671" s="1" t="s">
        <v>216</v>
      </c>
      <c r="AK671" s="1" t="s">
        <v>238</v>
      </c>
      <c r="AM671" s="1">
        <v>1</v>
      </c>
      <c r="AV671" s="1">
        <v>1</v>
      </c>
      <c r="AX671" s="1">
        <v>0.25</v>
      </c>
      <c r="BE671" s="1" t="str">
        <f t="shared" si="37"/>
        <v>enemy_1227_dair_2</v>
      </c>
      <c r="BK671" s="1" t="s">
        <v>1050</v>
      </c>
      <c r="BL671" s="1" t="s">
        <v>2985</v>
      </c>
      <c r="BN671" s="1" t="s">
        <v>217</v>
      </c>
      <c r="BO671" s="1" t="s">
        <v>218</v>
      </c>
      <c r="BP671" s="1" t="s">
        <v>239</v>
      </c>
      <c r="BQ671" s="1" t="s">
        <v>220</v>
      </c>
      <c r="BT671" s="1">
        <v>1</v>
      </c>
    </row>
    <row r="672" spans="1:72">
      <c r="A672" s="1" t="s">
        <v>2989</v>
      </c>
      <c r="B672" s="1" t="s">
        <v>213</v>
      </c>
      <c r="C672" s="1">
        <v>1</v>
      </c>
      <c r="D672" s="1" t="s">
        <v>2990</v>
      </c>
      <c r="E672" s="1">
        <v>1228</v>
      </c>
      <c r="F672" s="1" t="str">
        <f t="shared" si="38"/>
        <v>enemy_1228_dslime</v>
      </c>
      <c r="G672" s="1">
        <v>1</v>
      </c>
      <c r="K672" s="1">
        <v>4000</v>
      </c>
      <c r="M672" s="1">
        <v>90</v>
      </c>
      <c r="O672" s="1">
        <v>100</v>
      </c>
      <c r="Q672" s="1">
        <v>0</v>
      </c>
      <c r="Y672" s="1">
        <v>0.05</v>
      </c>
      <c r="Z672" s="1">
        <v>0.6</v>
      </c>
      <c r="AA672" s="1">
        <v>0</v>
      </c>
      <c r="AB672" s="1">
        <v>1.7</v>
      </c>
      <c r="AG672" s="1">
        <v>0</v>
      </c>
      <c r="AH672" s="1">
        <v>1</v>
      </c>
      <c r="AI672" s="1" t="s">
        <v>2991</v>
      </c>
      <c r="AJ672" s="1" t="s">
        <v>216</v>
      </c>
      <c r="AK672" s="1" t="s">
        <v>238</v>
      </c>
      <c r="AM672" s="1">
        <v>1</v>
      </c>
      <c r="AV672" s="1">
        <v>1</v>
      </c>
      <c r="AX672" s="1">
        <v>0.25</v>
      </c>
      <c r="BE672" s="1" t="str">
        <f t="shared" si="37"/>
        <v>enemy_1228_dslime</v>
      </c>
      <c r="BK672" s="1" t="s">
        <v>953</v>
      </c>
      <c r="BL672" s="1" t="s">
        <v>2992</v>
      </c>
      <c r="BN672" s="1" t="s">
        <v>217</v>
      </c>
      <c r="BO672" s="1" t="s">
        <v>218</v>
      </c>
      <c r="BP672" s="1" t="s">
        <v>239</v>
      </c>
      <c r="BQ672" s="1" t="s">
        <v>220</v>
      </c>
      <c r="BT672" s="1">
        <v>1</v>
      </c>
    </row>
    <row r="673" spans="1:72">
      <c r="A673" s="1" t="s">
        <v>2993</v>
      </c>
      <c r="B673" s="1" t="s">
        <v>213</v>
      </c>
      <c r="C673" s="1">
        <v>1</v>
      </c>
      <c r="D673" s="1" t="s">
        <v>2994</v>
      </c>
      <c r="E673" s="1">
        <v>1228</v>
      </c>
      <c r="F673" s="1" t="str">
        <f t="shared" si="38"/>
        <v>enemy_1228_dslime_2</v>
      </c>
      <c r="G673" s="1">
        <v>1</v>
      </c>
      <c r="K673" s="1">
        <v>6000</v>
      </c>
      <c r="M673" s="1">
        <v>120</v>
      </c>
      <c r="O673" s="1">
        <v>100</v>
      </c>
      <c r="Q673" s="1">
        <v>0</v>
      </c>
      <c r="Y673" s="1">
        <v>0.05</v>
      </c>
      <c r="Z673" s="1">
        <v>0.6</v>
      </c>
      <c r="AA673" s="1">
        <v>0</v>
      </c>
      <c r="AB673" s="1">
        <v>1.7</v>
      </c>
      <c r="AG673" s="1">
        <v>0</v>
      </c>
      <c r="AH673" s="1">
        <v>1</v>
      </c>
      <c r="AI673" s="1" t="s">
        <v>2995</v>
      </c>
      <c r="AJ673" s="1" t="s">
        <v>216</v>
      </c>
      <c r="AK673" s="1" t="s">
        <v>238</v>
      </c>
      <c r="AM673" s="1">
        <v>1</v>
      </c>
      <c r="AV673" s="1">
        <v>1</v>
      </c>
      <c r="AX673" s="1">
        <v>0.25</v>
      </c>
      <c r="BE673" s="1" t="str">
        <f t="shared" si="37"/>
        <v>enemy_1228_dslime_2</v>
      </c>
      <c r="BK673" s="1" t="s">
        <v>953</v>
      </c>
      <c r="BL673" s="1" t="s">
        <v>2992</v>
      </c>
      <c r="BN673" s="1" t="s">
        <v>217</v>
      </c>
      <c r="BO673" s="1" t="s">
        <v>218</v>
      </c>
      <c r="BP673" s="1" t="s">
        <v>239</v>
      </c>
      <c r="BQ673" s="1" t="s">
        <v>220</v>
      </c>
      <c r="BT673" s="1">
        <v>1</v>
      </c>
    </row>
    <row r="674" spans="1:72">
      <c r="A674" s="1" t="s">
        <v>2996</v>
      </c>
      <c r="B674" s="1" t="s">
        <v>213</v>
      </c>
      <c r="C674" s="1">
        <v>1</v>
      </c>
      <c r="D674" s="1" t="s">
        <v>2997</v>
      </c>
      <c r="E674" s="1">
        <v>1229</v>
      </c>
      <c r="F674" s="1" t="str">
        <f t="shared" si="38"/>
        <v>enemy_1229_darmy</v>
      </c>
      <c r="G674" s="1">
        <v>1</v>
      </c>
      <c r="K674" s="1">
        <v>4200</v>
      </c>
      <c r="M674" s="1">
        <v>240</v>
      </c>
      <c r="O674" s="1">
        <v>220</v>
      </c>
      <c r="Q674" s="1">
        <v>40</v>
      </c>
      <c r="Y674" s="1">
        <v>0.05</v>
      </c>
      <c r="Z674" s="1">
        <v>2.5</v>
      </c>
      <c r="AA674" s="1">
        <v>1</v>
      </c>
      <c r="AB674" s="1">
        <v>0.9</v>
      </c>
      <c r="AG674" s="1">
        <v>0</v>
      </c>
      <c r="AH674" s="1">
        <v>1</v>
      </c>
      <c r="AI674" s="1" t="s">
        <v>2998</v>
      </c>
      <c r="AJ674" s="1" t="s">
        <v>216</v>
      </c>
      <c r="AK674" s="1" t="s">
        <v>238</v>
      </c>
      <c r="AM674" s="1">
        <v>1</v>
      </c>
      <c r="AV674" s="1">
        <v>1</v>
      </c>
      <c r="AX674" s="1">
        <v>0.25</v>
      </c>
      <c r="BE674" s="1" t="str">
        <f t="shared" si="37"/>
        <v>enemy_1229_darmy</v>
      </c>
      <c r="BK674" s="1" t="s">
        <v>1496</v>
      </c>
      <c r="BL674" s="1" t="s">
        <v>2999</v>
      </c>
      <c r="BN674" s="1" t="s">
        <v>217</v>
      </c>
      <c r="BO674" s="1" t="s">
        <v>218</v>
      </c>
      <c r="BP674" s="1" t="s">
        <v>239</v>
      </c>
      <c r="BQ674" s="1" t="s">
        <v>220</v>
      </c>
      <c r="BT674" s="1">
        <v>1</v>
      </c>
    </row>
    <row r="675" spans="1:72">
      <c r="A675" s="1" t="s">
        <v>3000</v>
      </c>
      <c r="B675" s="1" t="s">
        <v>213</v>
      </c>
      <c r="C675" s="1">
        <v>1</v>
      </c>
      <c r="D675" s="1" t="s">
        <v>3001</v>
      </c>
      <c r="E675" s="1">
        <v>1229</v>
      </c>
      <c r="F675" s="1" t="str">
        <f t="shared" si="38"/>
        <v>enemy_1229_darmy_2</v>
      </c>
      <c r="G675" s="1">
        <v>1</v>
      </c>
      <c r="K675" s="1">
        <v>5500</v>
      </c>
      <c r="M675" s="1">
        <v>380</v>
      </c>
      <c r="O675" s="1">
        <v>280</v>
      </c>
      <c r="Q675" s="1">
        <v>40</v>
      </c>
      <c r="Y675" s="1">
        <v>0.05</v>
      </c>
      <c r="Z675" s="1">
        <v>2.5</v>
      </c>
      <c r="AA675" s="1">
        <v>1</v>
      </c>
      <c r="AB675" s="1">
        <v>0.9</v>
      </c>
      <c r="AG675" s="1">
        <v>0</v>
      </c>
      <c r="AH675" s="1">
        <v>1</v>
      </c>
      <c r="AI675" s="1" t="s">
        <v>3002</v>
      </c>
      <c r="AJ675" s="1" t="s">
        <v>216</v>
      </c>
      <c r="AK675" s="1" t="s">
        <v>238</v>
      </c>
      <c r="AM675" s="1">
        <v>1</v>
      </c>
      <c r="AV675" s="1">
        <v>1</v>
      </c>
      <c r="AX675" s="1">
        <v>0.25</v>
      </c>
      <c r="BE675" s="1" t="str">
        <f t="shared" si="37"/>
        <v>enemy_1229_darmy_2</v>
      </c>
      <c r="BK675" s="1" t="s">
        <v>1496</v>
      </c>
      <c r="BL675" s="1" t="s">
        <v>2999</v>
      </c>
      <c r="BN675" s="1" t="s">
        <v>217</v>
      </c>
      <c r="BO675" s="1" t="s">
        <v>218</v>
      </c>
      <c r="BP675" s="1" t="s">
        <v>239</v>
      </c>
      <c r="BQ675" s="1" t="s">
        <v>220</v>
      </c>
      <c r="BT675" s="1">
        <v>1</v>
      </c>
    </row>
    <row r="676" spans="1:72">
      <c r="A676" s="1" t="s">
        <v>3003</v>
      </c>
      <c r="B676" s="1" t="s">
        <v>213</v>
      </c>
      <c r="C676" s="1">
        <v>1</v>
      </c>
      <c r="D676" s="1" t="s">
        <v>3004</v>
      </c>
      <c r="E676" s="1">
        <v>1528</v>
      </c>
      <c r="F676" s="1" t="str">
        <f t="shared" si="38"/>
        <v>enemy_1528_manfri</v>
      </c>
      <c r="G676" s="1">
        <v>1</v>
      </c>
      <c r="K676" s="1">
        <v>40000</v>
      </c>
      <c r="M676" s="1">
        <v>1000</v>
      </c>
      <c r="O676" s="1">
        <v>600</v>
      </c>
      <c r="Q676" s="1">
        <v>40</v>
      </c>
      <c r="Y676" s="1">
        <v>0.05</v>
      </c>
      <c r="Z676" s="1">
        <v>5</v>
      </c>
      <c r="AA676" s="1">
        <v>8</v>
      </c>
      <c r="AB676" s="1">
        <v>0.5</v>
      </c>
      <c r="AG676" s="1">
        <v>0</v>
      </c>
      <c r="AH676" s="1">
        <v>1</v>
      </c>
      <c r="AI676" s="1" t="s">
        <v>3005</v>
      </c>
      <c r="AJ676" s="1" t="s">
        <v>216</v>
      </c>
      <c r="AK676" s="1" t="s">
        <v>238</v>
      </c>
      <c r="AM676" s="1">
        <v>1</v>
      </c>
      <c r="AV676" s="1">
        <v>1</v>
      </c>
      <c r="AX676" s="1">
        <v>0.25</v>
      </c>
      <c r="BE676" s="1" t="str">
        <f t="shared" si="37"/>
        <v>enemy_1528_manfri</v>
      </c>
      <c r="BK676" s="1" t="s">
        <v>1114</v>
      </c>
      <c r="BL676" s="1" t="s">
        <v>3006</v>
      </c>
      <c r="BN676" s="1" t="s">
        <v>217</v>
      </c>
      <c r="BO676" s="1" t="s">
        <v>218</v>
      </c>
      <c r="BP676" s="1" t="s">
        <v>239</v>
      </c>
      <c r="BQ676" s="1" t="s">
        <v>220</v>
      </c>
      <c r="BT676" s="1">
        <v>1</v>
      </c>
    </row>
    <row r="677" spans="1:72">
      <c r="A677" s="1" t="s">
        <v>3007</v>
      </c>
      <c r="B677" s="1" t="s">
        <v>213</v>
      </c>
      <c r="C677" s="1">
        <v>1</v>
      </c>
      <c r="D677" s="1" t="s">
        <v>3008</v>
      </c>
      <c r="E677" s="1">
        <v>1230</v>
      </c>
      <c r="F677" s="1" t="str">
        <f t="shared" si="38"/>
        <v>enemy_1230_dsbudr</v>
      </c>
      <c r="G677" s="1">
        <v>1</v>
      </c>
      <c r="K677" s="1">
        <v>7000</v>
      </c>
      <c r="M677" s="1">
        <v>450</v>
      </c>
      <c r="O677" s="1">
        <v>200</v>
      </c>
      <c r="Q677" s="1">
        <v>30</v>
      </c>
      <c r="Y677" s="1">
        <v>0.05</v>
      </c>
      <c r="Z677" s="1">
        <v>3</v>
      </c>
      <c r="AA677" s="1">
        <v>2</v>
      </c>
      <c r="AB677" s="1">
        <v>1</v>
      </c>
      <c r="AG677" s="1">
        <v>0</v>
      </c>
      <c r="AH677" s="1">
        <v>1</v>
      </c>
      <c r="AI677" s="1" t="s">
        <v>3009</v>
      </c>
      <c r="AJ677" s="1" t="s">
        <v>216</v>
      </c>
      <c r="AK677" s="1" t="s">
        <v>238</v>
      </c>
      <c r="AM677" s="1">
        <v>1</v>
      </c>
      <c r="AV677" s="1">
        <v>1</v>
      </c>
      <c r="AX677" s="1">
        <v>0.25</v>
      </c>
      <c r="BE677" s="1" t="str">
        <f t="shared" si="37"/>
        <v>enemy_1230_dsbudr</v>
      </c>
      <c r="BK677" s="1" t="s">
        <v>2313</v>
      </c>
      <c r="BL677" s="1" t="s">
        <v>3010</v>
      </c>
      <c r="BN677" s="1" t="s">
        <v>217</v>
      </c>
      <c r="BO677" s="1" t="s">
        <v>218</v>
      </c>
      <c r="BP677" s="1" t="s">
        <v>239</v>
      </c>
      <c r="BQ677" s="1" t="s">
        <v>220</v>
      </c>
      <c r="BT677" s="1">
        <v>1</v>
      </c>
    </row>
    <row r="678" spans="1:72">
      <c r="A678" s="1" t="s">
        <v>3011</v>
      </c>
      <c r="B678" s="1" t="s">
        <v>213</v>
      </c>
      <c r="C678" s="1">
        <v>1</v>
      </c>
      <c r="D678" s="1" t="s">
        <v>3012</v>
      </c>
      <c r="E678" s="1">
        <v>1230</v>
      </c>
      <c r="F678" s="1" t="str">
        <f t="shared" si="38"/>
        <v>enemy_1230_dsbudr_2</v>
      </c>
      <c r="G678" s="1">
        <v>1</v>
      </c>
      <c r="K678" s="1">
        <v>9000</v>
      </c>
      <c r="M678" s="1">
        <v>600</v>
      </c>
      <c r="O678" s="1">
        <v>250</v>
      </c>
      <c r="Q678" s="1">
        <v>30</v>
      </c>
      <c r="Y678" s="1">
        <v>0.05</v>
      </c>
      <c r="Z678" s="1">
        <v>3</v>
      </c>
      <c r="AA678" s="1">
        <v>2</v>
      </c>
      <c r="AB678" s="1">
        <v>1</v>
      </c>
      <c r="AG678" s="1">
        <v>0</v>
      </c>
      <c r="AH678" s="1">
        <v>1</v>
      </c>
      <c r="AI678" s="1" t="s">
        <v>3013</v>
      </c>
      <c r="AJ678" s="1" t="s">
        <v>216</v>
      </c>
      <c r="AK678" s="1" t="s">
        <v>238</v>
      </c>
      <c r="AM678" s="1">
        <v>1</v>
      </c>
      <c r="AV678" s="1">
        <v>1</v>
      </c>
      <c r="AX678" s="1">
        <v>0.25</v>
      </c>
      <c r="BE678" s="1" t="str">
        <f t="shared" si="37"/>
        <v>enemy_1230_dsbudr_2</v>
      </c>
      <c r="BK678" s="1" t="s">
        <v>2313</v>
      </c>
      <c r="BL678" s="1" t="s">
        <v>3010</v>
      </c>
      <c r="BN678" s="1" t="s">
        <v>217</v>
      </c>
      <c r="BO678" s="1" t="s">
        <v>218</v>
      </c>
      <c r="BP678" s="1" t="s">
        <v>239</v>
      </c>
      <c r="BQ678" s="1" t="s">
        <v>220</v>
      </c>
      <c r="BT678" s="1">
        <v>1</v>
      </c>
    </row>
    <row r="679" spans="1:72">
      <c r="A679" s="1" t="s">
        <v>3014</v>
      </c>
      <c r="B679" s="1" t="s">
        <v>213</v>
      </c>
      <c r="C679" s="1">
        <v>1</v>
      </c>
      <c r="D679" s="1" t="s">
        <v>3015</v>
      </c>
      <c r="E679" s="1">
        <v>1230</v>
      </c>
      <c r="F679" s="1" t="str">
        <f t="shared" si="38"/>
        <v>enemy_1230_dsbudr_3</v>
      </c>
      <c r="G679" s="1">
        <v>1</v>
      </c>
      <c r="K679" s="1">
        <v>100</v>
      </c>
      <c r="M679" s="1">
        <v>100</v>
      </c>
      <c r="O679" s="1">
        <v>0</v>
      </c>
      <c r="Q679" s="1">
        <v>0</v>
      </c>
      <c r="Y679" s="1">
        <v>0.05</v>
      </c>
      <c r="Z679" s="1">
        <v>1</v>
      </c>
      <c r="AA679" s="1">
        <v>0</v>
      </c>
      <c r="AB679" s="1">
        <v>1</v>
      </c>
      <c r="AG679" s="1">
        <v>0</v>
      </c>
      <c r="AH679" s="1">
        <v>1</v>
      </c>
      <c r="AI679" s="1" t="s">
        <v>3016</v>
      </c>
      <c r="AJ679" s="1" t="s">
        <v>216</v>
      </c>
      <c r="AK679" s="1" t="s">
        <v>238</v>
      </c>
      <c r="AM679" s="1">
        <v>1</v>
      </c>
      <c r="AV679" s="1">
        <v>1</v>
      </c>
      <c r="AX679" s="1">
        <v>0.25</v>
      </c>
      <c r="BE679" s="1" t="str">
        <f t="shared" si="37"/>
        <v>enemy_1230_dsbudr_3</v>
      </c>
      <c r="BK679" s="1" t="s">
        <v>953</v>
      </c>
      <c r="BN679" s="1" t="s">
        <v>217</v>
      </c>
      <c r="BO679" s="1" t="s">
        <v>218</v>
      </c>
      <c r="BP679" s="1" t="s">
        <v>239</v>
      </c>
      <c r="BQ679" s="1" t="s">
        <v>220</v>
      </c>
      <c r="BT679" s="1">
        <v>1</v>
      </c>
    </row>
    <row r="680" spans="1:72">
      <c r="A680" s="1" t="s">
        <v>3017</v>
      </c>
      <c r="B680" s="1" t="s">
        <v>213</v>
      </c>
      <c r="C680" s="1">
        <v>1</v>
      </c>
      <c r="D680" s="1" t="s">
        <v>3018</v>
      </c>
      <c r="E680" s="1">
        <v>1230</v>
      </c>
      <c r="F680" s="1" t="s">
        <v>3007</v>
      </c>
      <c r="G680" s="1">
        <v>1</v>
      </c>
      <c r="K680" s="1">
        <v>7000</v>
      </c>
      <c r="M680" s="1">
        <v>450</v>
      </c>
      <c r="O680" s="1">
        <v>200</v>
      </c>
      <c r="Q680" s="1">
        <v>30</v>
      </c>
      <c r="Y680" s="1">
        <v>0.05</v>
      </c>
      <c r="Z680" s="1">
        <v>3</v>
      </c>
      <c r="AA680" s="1">
        <v>2</v>
      </c>
      <c r="AB680" s="1">
        <v>1</v>
      </c>
      <c r="AG680" s="1">
        <v>0</v>
      </c>
      <c r="AH680" s="1">
        <v>1</v>
      </c>
      <c r="AI680" s="1" t="s">
        <v>3019</v>
      </c>
      <c r="AJ680" s="1" t="s">
        <v>216</v>
      </c>
      <c r="AK680" s="1" t="s">
        <v>238</v>
      </c>
      <c r="AM680" s="1">
        <v>1</v>
      </c>
      <c r="AV680" s="1">
        <v>1</v>
      </c>
      <c r="AX680" s="1">
        <v>0.25</v>
      </c>
      <c r="BE680" s="1" t="str">
        <f t="shared" ref="BE680:BE705" si="39">"enemy_"&amp;E680&amp;"_"&amp;D680</f>
        <v>enemy_1230_dsbudr_4</v>
      </c>
      <c r="BK680" s="1" t="s">
        <v>2313</v>
      </c>
      <c r="BL680" s="1" t="s">
        <v>3020</v>
      </c>
      <c r="BN680" s="1" t="s">
        <v>217</v>
      </c>
      <c r="BO680" s="1" t="s">
        <v>218</v>
      </c>
      <c r="BP680" s="1" t="s">
        <v>239</v>
      </c>
      <c r="BQ680" s="1" t="s">
        <v>220</v>
      </c>
      <c r="BT680" s="1">
        <v>1</v>
      </c>
    </row>
    <row r="681" spans="1:72">
      <c r="A681" s="1" t="s">
        <v>3021</v>
      </c>
      <c r="B681" s="1" t="s">
        <v>213</v>
      </c>
      <c r="C681" s="1">
        <v>1</v>
      </c>
      <c r="D681" s="1" t="s">
        <v>3022</v>
      </c>
      <c r="E681" s="1">
        <v>1231</v>
      </c>
      <c r="F681" s="1" t="str">
        <f t="shared" ref="F681:F705" si="40">"enemy_"&amp;E681&amp;"_"&amp;D681</f>
        <v>enemy_1231_dsrunr</v>
      </c>
      <c r="G681" s="1">
        <v>1</v>
      </c>
      <c r="K681" s="1">
        <v>4000</v>
      </c>
      <c r="M681" s="1">
        <v>450</v>
      </c>
      <c r="O681" s="1">
        <v>50</v>
      </c>
      <c r="Q681" s="1">
        <v>0</v>
      </c>
      <c r="Y681" s="1">
        <v>0.05</v>
      </c>
      <c r="Z681" s="1">
        <v>3</v>
      </c>
      <c r="AA681" s="1">
        <v>1</v>
      </c>
      <c r="AB681" s="1">
        <v>1</v>
      </c>
      <c r="AG681" s="1">
        <v>0</v>
      </c>
      <c r="AH681" s="1">
        <v>1</v>
      </c>
      <c r="AI681" s="1" t="s">
        <v>3023</v>
      </c>
      <c r="AJ681" s="1" t="s">
        <v>216</v>
      </c>
      <c r="AK681" s="1" t="s">
        <v>238</v>
      </c>
      <c r="AM681" s="1">
        <v>1</v>
      </c>
      <c r="AV681" s="1">
        <v>1</v>
      </c>
      <c r="AX681" s="1">
        <v>0.25</v>
      </c>
      <c r="BE681" s="1" t="str">
        <f t="shared" si="39"/>
        <v>enemy_1231_dsrunr</v>
      </c>
      <c r="BK681" s="1" t="s">
        <v>2275</v>
      </c>
      <c r="BL681" s="1" t="s">
        <v>3024</v>
      </c>
      <c r="BN681" s="1" t="s">
        <v>217</v>
      </c>
      <c r="BO681" s="1" t="s">
        <v>218</v>
      </c>
      <c r="BP681" s="1" t="s">
        <v>239</v>
      </c>
      <c r="BQ681" s="1" t="s">
        <v>220</v>
      </c>
      <c r="BT681" s="1">
        <v>1</v>
      </c>
    </row>
    <row r="682" spans="1:72">
      <c r="A682" s="1" t="s">
        <v>3025</v>
      </c>
      <c r="B682" s="1" t="s">
        <v>213</v>
      </c>
      <c r="C682" s="1">
        <v>1</v>
      </c>
      <c r="D682" s="1" t="s">
        <v>3026</v>
      </c>
      <c r="E682" s="1">
        <v>1231</v>
      </c>
      <c r="F682" s="1" t="str">
        <f t="shared" si="40"/>
        <v>enemy_1231_dsrunr_2</v>
      </c>
      <c r="G682" s="1">
        <v>1</v>
      </c>
      <c r="K682" s="1">
        <v>5000</v>
      </c>
      <c r="M682" s="1">
        <v>550</v>
      </c>
      <c r="O682" s="1">
        <v>80</v>
      </c>
      <c r="Q682" s="1">
        <v>0</v>
      </c>
      <c r="Y682" s="1">
        <v>0.05</v>
      </c>
      <c r="Z682" s="1">
        <v>3</v>
      </c>
      <c r="AA682" s="1">
        <v>1</v>
      </c>
      <c r="AB682" s="1">
        <v>1</v>
      </c>
      <c r="AG682" s="1">
        <v>0</v>
      </c>
      <c r="AH682" s="1">
        <v>1</v>
      </c>
      <c r="AI682" s="1" t="s">
        <v>3027</v>
      </c>
      <c r="AJ682" s="1" t="s">
        <v>216</v>
      </c>
      <c r="AK682" s="1" t="s">
        <v>238</v>
      </c>
      <c r="AM682" s="1">
        <v>1</v>
      </c>
      <c r="AV682" s="1">
        <v>1</v>
      </c>
      <c r="AX682" s="1">
        <v>0.25</v>
      </c>
      <c r="BE682" s="1" t="str">
        <f t="shared" si="39"/>
        <v>enemy_1231_dsrunr_2</v>
      </c>
      <c r="BK682" s="1" t="s">
        <v>2275</v>
      </c>
      <c r="BL682" s="1" t="s">
        <v>3024</v>
      </c>
      <c r="BN682" s="1" t="s">
        <v>217</v>
      </c>
      <c r="BO682" s="1" t="s">
        <v>218</v>
      </c>
      <c r="BP682" s="1" t="s">
        <v>239</v>
      </c>
      <c r="BQ682" s="1" t="s">
        <v>220</v>
      </c>
      <c r="BT682" s="1">
        <v>1</v>
      </c>
    </row>
    <row r="683" spans="1:72">
      <c r="A683" s="1" t="s">
        <v>3028</v>
      </c>
      <c r="B683" s="1" t="s">
        <v>213</v>
      </c>
      <c r="C683" s="1">
        <v>1</v>
      </c>
      <c r="D683" s="1" t="s">
        <v>3026</v>
      </c>
      <c r="E683" s="1">
        <v>1231</v>
      </c>
      <c r="F683" s="1" t="str">
        <f t="shared" si="40"/>
        <v>enemy_1231_dsrunr_2</v>
      </c>
      <c r="G683" s="1">
        <v>1</v>
      </c>
      <c r="K683" s="1">
        <v>100</v>
      </c>
      <c r="M683" s="1">
        <v>100</v>
      </c>
      <c r="O683" s="1">
        <v>0</v>
      </c>
      <c r="Q683" s="1">
        <v>0</v>
      </c>
      <c r="Y683" s="1">
        <v>0.05</v>
      </c>
      <c r="Z683" s="1">
        <v>1</v>
      </c>
      <c r="AA683" s="1">
        <v>0</v>
      </c>
      <c r="AB683" s="1">
        <v>1</v>
      </c>
      <c r="AG683" s="1">
        <v>0</v>
      </c>
      <c r="AH683" s="1">
        <v>1</v>
      </c>
      <c r="AI683" s="1" t="s">
        <v>3029</v>
      </c>
      <c r="AJ683" s="1" t="s">
        <v>216</v>
      </c>
      <c r="AK683" s="1" t="s">
        <v>238</v>
      </c>
      <c r="AM683" s="1">
        <v>1</v>
      </c>
      <c r="AV683" s="1">
        <v>1</v>
      </c>
      <c r="AX683" s="1">
        <v>0.25</v>
      </c>
      <c r="BE683" s="1" t="str">
        <f t="shared" si="39"/>
        <v>enemy_1231_dsrunr_2</v>
      </c>
      <c r="BK683" s="1" t="s">
        <v>953</v>
      </c>
      <c r="BN683" s="1" t="s">
        <v>217</v>
      </c>
      <c r="BO683" s="1" t="s">
        <v>218</v>
      </c>
      <c r="BP683" s="1" t="s">
        <v>239</v>
      </c>
      <c r="BQ683" s="1" t="s">
        <v>220</v>
      </c>
      <c r="BT683" s="1">
        <v>1</v>
      </c>
    </row>
    <row r="684" spans="1:72">
      <c r="A684" s="1" t="s">
        <v>3030</v>
      </c>
      <c r="B684" s="1" t="s">
        <v>213</v>
      </c>
      <c r="C684" s="1">
        <v>1</v>
      </c>
      <c r="D684" s="1" t="s">
        <v>3026</v>
      </c>
      <c r="E684" s="1">
        <v>1231</v>
      </c>
      <c r="F684" s="1" t="str">
        <f t="shared" si="40"/>
        <v>enemy_1231_dsrunr_2</v>
      </c>
      <c r="G684" s="1">
        <v>1</v>
      </c>
      <c r="K684" s="1">
        <v>4500</v>
      </c>
      <c r="M684" s="1">
        <v>450</v>
      </c>
      <c r="O684" s="1">
        <v>50</v>
      </c>
      <c r="Q684" s="1">
        <v>0</v>
      </c>
      <c r="Y684" s="1">
        <v>0.05</v>
      </c>
      <c r="Z684" s="1">
        <v>3</v>
      </c>
      <c r="AA684" s="1">
        <v>1</v>
      </c>
      <c r="AB684" s="1">
        <v>1</v>
      </c>
      <c r="AG684" s="1">
        <v>0</v>
      </c>
      <c r="AH684" s="1">
        <v>1</v>
      </c>
      <c r="AI684" s="1" t="s">
        <v>3031</v>
      </c>
      <c r="AJ684" s="1" t="s">
        <v>216</v>
      </c>
      <c r="AK684" s="1" t="s">
        <v>238</v>
      </c>
      <c r="AM684" s="1">
        <v>1</v>
      </c>
      <c r="AV684" s="1">
        <v>1</v>
      </c>
      <c r="AX684" s="1">
        <v>0.25</v>
      </c>
      <c r="BE684" s="1" t="str">
        <f t="shared" si="39"/>
        <v>enemy_1231_dsrunr_2</v>
      </c>
      <c r="BK684" s="1" t="s">
        <v>2275</v>
      </c>
      <c r="BL684" s="1" t="s">
        <v>3032</v>
      </c>
      <c r="BN684" s="1" t="s">
        <v>217</v>
      </c>
      <c r="BO684" s="1" t="s">
        <v>218</v>
      </c>
      <c r="BP684" s="1" t="s">
        <v>239</v>
      </c>
      <c r="BQ684" s="1" t="s">
        <v>220</v>
      </c>
      <c r="BT684" s="1">
        <v>1</v>
      </c>
    </row>
    <row r="685" spans="1:72">
      <c r="A685" s="1" t="s">
        <v>3033</v>
      </c>
      <c r="B685" s="1" t="s">
        <v>213</v>
      </c>
      <c r="C685" s="1">
        <v>1</v>
      </c>
      <c r="D685" s="1" t="s">
        <v>3034</v>
      </c>
      <c r="E685" s="1">
        <v>1232</v>
      </c>
      <c r="F685" s="1" t="str">
        <f t="shared" si="40"/>
        <v>enemy_1232_dssalr</v>
      </c>
      <c r="G685" s="1">
        <v>1</v>
      </c>
      <c r="K685" s="1">
        <v>19000</v>
      </c>
      <c r="M685" s="1">
        <v>800</v>
      </c>
      <c r="O685" s="1">
        <v>500</v>
      </c>
      <c r="Q685" s="1">
        <v>5</v>
      </c>
      <c r="Y685" s="1">
        <v>0.05</v>
      </c>
      <c r="Z685" s="1">
        <v>4</v>
      </c>
      <c r="AA685" s="1">
        <v>4</v>
      </c>
      <c r="AB685" s="1">
        <v>0.8</v>
      </c>
      <c r="AG685" s="1">
        <v>0</v>
      </c>
      <c r="AH685" s="1">
        <v>1</v>
      </c>
      <c r="AI685" s="1" t="s">
        <v>3035</v>
      </c>
      <c r="AJ685" s="1" t="s">
        <v>216</v>
      </c>
      <c r="AK685" s="1" t="s">
        <v>238</v>
      </c>
      <c r="AM685" s="1">
        <v>1</v>
      </c>
      <c r="AV685" s="1">
        <v>1</v>
      </c>
      <c r="AX685" s="1">
        <v>0.25</v>
      </c>
      <c r="BE685" s="1" t="str">
        <f t="shared" si="39"/>
        <v>enemy_1232_dssalr</v>
      </c>
      <c r="BK685" s="1" t="s">
        <v>2313</v>
      </c>
      <c r="BL685" s="1" t="s">
        <v>3036</v>
      </c>
      <c r="BN685" s="1" t="s">
        <v>217</v>
      </c>
      <c r="BO685" s="1" t="s">
        <v>218</v>
      </c>
      <c r="BP685" s="1" t="s">
        <v>239</v>
      </c>
      <c r="BQ685" s="1" t="s">
        <v>220</v>
      </c>
      <c r="BT685" s="1">
        <v>1</v>
      </c>
    </row>
    <row r="686" spans="1:72">
      <c r="A686" s="1" t="s">
        <v>3037</v>
      </c>
      <c r="B686" s="1" t="s">
        <v>213</v>
      </c>
      <c r="C686" s="1">
        <v>1</v>
      </c>
      <c r="D686" s="1" t="s">
        <v>3038</v>
      </c>
      <c r="E686" s="1">
        <v>1232</v>
      </c>
      <c r="F686" s="1" t="str">
        <f t="shared" si="40"/>
        <v>enemy_1232_dssalr_2</v>
      </c>
      <c r="G686" s="1">
        <v>1</v>
      </c>
      <c r="K686" s="1">
        <v>24000</v>
      </c>
      <c r="M686" s="1">
        <v>900</v>
      </c>
      <c r="O686" s="1">
        <v>500</v>
      </c>
      <c r="Q686" s="1">
        <v>5</v>
      </c>
      <c r="Y686" s="1">
        <v>0.05</v>
      </c>
      <c r="Z686" s="1">
        <v>4</v>
      </c>
      <c r="AA686" s="1">
        <v>4</v>
      </c>
      <c r="AB686" s="1">
        <v>0.8</v>
      </c>
      <c r="AG686" s="1">
        <v>0</v>
      </c>
      <c r="AH686" s="1">
        <v>1</v>
      </c>
      <c r="AI686" s="1" t="s">
        <v>3039</v>
      </c>
      <c r="AJ686" s="1" t="s">
        <v>216</v>
      </c>
      <c r="AK686" s="1" t="s">
        <v>238</v>
      </c>
      <c r="AM686" s="1">
        <v>1</v>
      </c>
      <c r="AV686" s="1">
        <v>1</v>
      </c>
      <c r="AX686" s="1">
        <v>0.25</v>
      </c>
      <c r="BE686" s="1" t="str">
        <f t="shared" si="39"/>
        <v>enemy_1232_dssalr_2</v>
      </c>
      <c r="BK686" s="1" t="s">
        <v>2313</v>
      </c>
      <c r="BL686" s="1" t="s">
        <v>3036</v>
      </c>
      <c r="BN686" s="1" t="s">
        <v>217</v>
      </c>
      <c r="BO686" s="1" t="s">
        <v>218</v>
      </c>
      <c r="BP686" s="1" t="s">
        <v>239</v>
      </c>
      <c r="BQ686" s="1" t="s">
        <v>220</v>
      </c>
      <c r="BT686" s="1">
        <v>1</v>
      </c>
    </row>
    <row r="687" spans="1:72">
      <c r="A687" s="1" t="s">
        <v>3040</v>
      </c>
      <c r="B687" s="1" t="s">
        <v>213</v>
      </c>
      <c r="C687" s="1">
        <v>1</v>
      </c>
      <c r="D687" s="1" t="s">
        <v>3038</v>
      </c>
      <c r="E687" s="1">
        <v>1232</v>
      </c>
      <c r="F687" s="1" t="str">
        <f t="shared" si="40"/>
        <v>enemy_1232_dssalr_2</v>
      </c>
      <c r="G687" s="1">
        <v>1</v>
      </c>
      <c r="K687" s="1">
        <v>100</v>
      </c>
      <c r="M687" s="1">
        <v>100</v>
      </c>
      <c r="O687" s="1">
        <v>0</v>
      </c>
      <c r="Q687" s="1">
        <v>0</v>
      </c>
      <c r="Y687" s="1">
        <v>0.05</v>
      </c>
      <c r="Z687" s="1">
        <v>1</v>
      </c>
      <c r="AA687" s="1">
        <v>0</v>
      </c>
      <c r="AB687" s="1">
        <v>1</v>
      </c>
      <c r="AG687" s="1">
        <v>0</v>
      </c>
      <c r="AH687" s="1">
        <v>1</v>
      </c>
      <c r="AI687" s="1" t="s">
        <v>3041</v>
      </c>
      <c r="AJ687" s="1" t="s">
        <v>216</v>
      </c>
      <c r="AK687" s="1" t="s">
        <v>238</v>
      </c>
      <c r="AM687" s="1">
        <v>1</v>
      </c>
      <c r="AV687" s="1">
        <v>1</v>
      </c>
      <c r="AX687" s="1">
        <v>0.25</v>
      </c>
      <c r="BE687" s="1" t="str">
        <f t="shared" si="39"/>
        <v>enemy_1232_dssalr_2</v>
      </c>
      <c r="BK687" s="1" t="s">
        <v>953</v>
      </c>
      <c r="BN687" s="1" t="s">
        <v>217</v>
      </c>
      <c r="BO687" s="1" t="s">
        <v>218</v>
      </c>
      <c r="BP687" s="1" t="s">
        <v>239</v>
      </c>
      <c r="BQ687" s="1" t="s">
        <v>220</v>
      </c>
      <c r="BT687" s="1">
        <v>1</v>
      </c>
    </row>
    <row r="688" spans="1:72">
      <c r="A688" s="1" t="s">
        <v>3042</v>
      </c>
      <c r="B688" s="1" t="s">
        <v>213</v>
      </c>
      <c r="C688" s="1">
        <v>1</v>
      </c>
      <c r="D688" s="1" t="s">
        <v>3038</v>
      </c>
      <c r="E688" s="1">
        <v>1232</v>
      </c>
      <c r="F688" s="1" t="str">
        <f t="shared" si="40"/>
        <v>enemy_1232_dssalr_2</v>
      </c>
      <c r="G688" s="1">
        <v>1</v>
      </c>
      <c r="K688" s="1">
        <v>19000</v>
      </c>
      <c r="M688" s="1">
        <v>800</v>
      </c>
      <c r="O688" s="1">
        <v>500</v>
      </c>
      <c r="Q688" s="1">
        <v>5</v>
      </c>
      <c r="Y688" s="1">
        <v>0.05</v>
      </c>
      <c r="Z688" s="1">
        <v>4</v>
      </c>
      <c r="AA688" s="1">
        <v>4</v>
      </c>
      <c r="AB688" s="1">
        <v>0.8</v>
      </c>
      <c r="AG688" s="1">
        <v>0</v>
      </c>
      <c r="AH688" s="1">
        <v>1</v>
      </c>
      <c r="AI688" s="1" t="s">
        <v>3043</v>
      </c>
      <c r="AJ688" s="1" t="s">
        <v>216</v>
      </c>
      <c r="AK688" s="1" t="s">
        <v>238</v>
      </c>
      <c r="AM688" s="1">
        <v>1</v>
      </c>
      <c r="AV688" s="1">
        <v>1</v>
      </c>
      <c r="AX688" s="1">
        <v>0.25</v>
      </c>
      <c r="BE688" s="1" t="str">
        <f t="shared" si="39"/>
        <v>enemy_1232_dssalr_2</v>
      </c>
      <c r="BK688" s="1" t="s">
        <v>2313</v>
      </c>
      <c r="BL688" s="1" t="s">
        <v>3044</v>
      </c>
      <c r="BN688" s="1" t="s">
        <v>217</v>
      </c>
      <c r="BO688" s="1" t="s">
        <v>218</v>
      </c>
      <c r="BP688" s="1" t="s">
        <v>239</v>
      </c>
      <c r="BQ688" s="1" t="s">
        <v>220</v>
      </c>
      <c r="BT688" s="1">
        <v>1</v>
      </c>
    </row>
    <row r="689" spans="1:72">
      <c r="A689" s="1" t="s">
        <v>3045</v>
      </c>
      <c r="B689" s="1" t="s">
        <v>213</v>
      </c>
      <c r="C689" s="1">
        <v>1</v>
      </c>
      <c r="D689" s="1" t="s">
        <v>3046</v>
      </c>
      <c r="E689" s="1">
        <v>1233</v>
      </c>
      <c r="F689" s="1" t="str">
        <f t="shared" si="40"/>
        <v>enemy_1233_dsshtr</v>
      </c>
      <c r="G689" s="1">
        <v>1</v>
      </c>
      <c r="K689" s="1">
        <v>4000</v>
      </c>
      <c r="M689" s="1">
        <v>650</v>
      </c>
      <c r="O689" s="1">
        <v>100</v>
      </c>
      <c r="Q689" s="1">
        <v>50</v>
      </c>
      <c r="Y689" s="1">
        <v>0.05</v>
      </c>
      <c r="Z689" s="1">
        <v>2</v>
      </c>
      <c r="AA689" s="1">
        <v>1</v>
      </c>
      <c r="AB689" s="1">
        <v>0.3</v>
      </c>
      <c r="AG689" s="1">
        <v>0</v>
      </c>
      <c r="AH689" s="1">
        <v>1</v>
      </c>
      <c r="AI689" s="1" t="s">
        <v>3047</v>
      </c>
      <c r="AJ689" s="1" t="s">
        <v>216</v>
      </c>
      <c r="AK689" s="1" t="s">
        <v>238</v>
      </c>
      <c r="AM689" s="1">
        <v>1</v>
      </c>
      <c r="AV689" s="1">
        <v>1</v>
      </c>
      <c r="AX689" s="1">
        <v>0.25</v>
      </c>
      <c r="BE689" s="1" t="str">
        <f t="shared" si="39"/>
        <v>enemy_1233_dsshtr</v>
      </c>
      <c r="BK689" s="1" t="s">
        <v>2294</v>
      </c>
      <c r="BL689" s="1" t="s">
        <v>3048</v>
      </c>
      <c r="BN689" s="1" t="s">
        <v>217</v>
      </c>
      <c r="BO689" s="1" t="s">
        <v>218</v>
      </c>
      <c r="BP689" s="1" t="s">
        <v>239</v>
      </c>
      <c r="BQ689" s="1" t="s">
        <v>220</v>
      </c>
      <c r="BT689" s="1">
        <v>1</v>
      </c>
    </row>
    <row r="690" spans="1:72">
      <c r="A690" s="1" t="s">
        <v>3049</v>
      </c>
      <c r="B690" s="1" t="s">
        <v>213</v>
      </c>
      <c r="C690" s="1">
        <v>1</v>
      </c>
      <c r="D690" s="1" t="s">
        <v>3050</v>
      </c>
      <c r="E690" s="1">
        <v>1233</v>
      </c>
      <c r="F690" s="1" t="str">
        <f t="shared" si="40"/>
        <v>enemy_1233_dsshtr_2</v>
      </c>
      <c r="G690" s="1">
        <v>1</v>
      </c>
      <c r="K690" s="1">
        <v>5000</v>
      </c>
      <c r="M690" s="1">
        <v>800</v>
      </c>
      <c r="O690" s="1">
        <v>100</v>
      </c>
      <c r="Q690" s="1">
        <v>50</v>
      </c>
      <c r="Y690" s="1">
        <v>0.05</v>
      </c>
      <c r="Z690" s="1">
        <v>2</v>
      </c>
      <c r="AA690" s="1">
        <v>1</v>
      </c>
      <c r="AB690" s="1">
        <v>0.3</v>
      </c>
      <c r="AG690" s="1">
        <v>0</v>
      </c>
      <c r="AH690" s="1">
        <v>1</v>
      </c>
      <c r="AI690" s="1" t="s">
        <v>3051</v>
      </c>
      <c r="AJ690" s="1" t="s">
        <v>216</v>
      </c>
      <c r="AK690" s="1" t="s">
        <v>238</v>
      </c>
      <c r="AM690" s="1">
        <v>1</v>
      </c>
      <c r="AV690" s="1">
        <v>1</v>
      </c>
      <c r="AX690" s="1">
        <v>0.25</v>
      </c>
      <c r="BE690" s="1" t="str">
        <f t="shared" si="39"/>
        <v>enemy_1233_dsshtr_2</v>
      </c>
      <c r="BK690" s="1" t="s">
        <v>2294</v>
      </c>
      <c r="BL690" s="1" t="s">
        <v>3048</v>
      </c>
      <c r="BN690" s="1" t="s">
        <v>217</v>
      </c>
      <c r="BO690" s="1" t="s">
        <v>218</v>
      </c>
      <c r="BP690" s="1" t="s">
        <v>239</v>
      </c>
      <c r="BQ690" s="1" t="s">
        <v>220</v>
      </c>
      <c r="BT690" s="1">
        <v>1</v>
      </c>
    </row>
    <row r="691" spans="1:72">
      <c r="A691" s="1" t="s">
        <v>3052</v>
      </c>
      <c r="B691" s="1" t="s">
        <v>213</v>
      </c>
      <c r="C691" s="1">
        <v>1</v>
      </c>
      <c r="D691" s="1" t="s">
        <v>3050</v>
      </c>
      <c r="E691" s="1">
        <v>1233</v>
      </c>
      <c r="F691" s="1" t="str">
        <f t="shared" si="40"/>
        <v>enemy_1233_dsshtr_2</v>
      </c>
      <c r="G691" s="1">
        <v>1</v>
      </c>
      <c r="K691" s="1">
        <v>100</v>
      </c>
      <c r="M691" s="1">
        <v>100</v>
      </c>
      <c r="O691" s="1">
        <v>0</v>
      </c>
      <c r="Q691" s="1">
        <v>0</v>
      </c>
      <c r="Y691" s="1">
        <v>0.05</v>
      </c>
      <c r="Z691" s="1">
        <v>1</v>
      </c>
      <c r="AA691" s="1">
        <v>0</v>
      </c>
      <c r="AB691" s="1">
        <v>1</v>
      </c>
      <c r="AG691" s="1">
        <v>0</v>
      </c>
      <c r="AH691" s="1">
        <v>1</v>
      </c>
      <c r="AI691" s="1" t="s">
        <v>3053</v>
      </c>
      <c r="AJ691" s="1" t="s">
        <v>216</v>
      </c>
      <c r="AK691" s="1" t="s">
        <v>238</v>
      </c>
      <c r="AM691" s="1">
        <v>1</v>
      </c>
      <c r="AV691" s="1">
        <v>1</v>
      </c>
      <c r="AX691" s="1">
        <v>0.25</v>
      </c>
      <c r="BE691" s="1" t="str">
        <f t="shared" si="39"/>
        <v>enemy_1233_dsshtr_2</v>
      </c>
      <c r="BK691" s="1" t="s">
        <v>953</v>
      </c>
      <c r="BN691" s="1" t="s">
        <v>217</v>
      </c>
      <c r="BO691" s="1" t="s">
        <v>218</v>
      </c>
      <c r="BP691" s="1" t="s">
        <v>239</v>
      </c>
      <c r="BQ691" s="1" t="s">
        <v>220</v>
      </c>
      <c r="BT691" s="1">
        <v>1</v>
      </c>
    </row>
    <row r="692" spans="1:72">
      <c r="A692" s="1" t="s">
        <v>3054</v>
      </c>
      <c r="B692" s="1" t="s">
        <v>213</v>
      </c>
      <c r="C692" s="1">
        <v>1</v>
      </c>
      <c r="D692" s="1" t="s">
        <v>3050</v>
      </c>
      <c r="E692" s="1">
        <v>1233</v>
      </c>
      <c r="F692" s="1" t="str">
        <f t="shared" si="40"/>
        <v>enemy_1233_dsshtr_2</v>
      </c>
      <c r="G692" s="1">
        <v>1</v>
      </c>
      <c r="K692" s="1">
        <v>4000</v>
      </c>
      <c r="M692" s="1">
        <v>650</v>
      </c>
      <c r="O692" s="1">
        <v>100</v>
      </c>
      <c r="Q692" s="1">
        <v>50</v>
      </c>
      <c r="Y692" s="1">
        <v>0.05</v>
      </c>
      <c r="Z692" s="1">
        <v>2</v>
      </c>
      <c r="AA692" s="1">
        <v>1</v>
      </c>
      <c r="AB692" s="1">
        <v>0.3</v>
      </c>
      <c r="AG692" s="1">
        <v>0</v>
      </c>
      <c r="AH692" s="1">
        <v>1</v>
      </c>
      <c r="AI692" s="1" t="s">
        <v>3055</v>
      </c>
      <c r="AJ692" s="1" t="s">
        <v>216</v>
      </c>
      <c r="AK692" s="1" t="s">
        <v>238</v>
      </c>
      <c r="AM692" s="1">
        <v>1</v>
      </c>
      <c r="AV692" s="1">
        <v>1</v>
      </c>
      <c r="AX692" s="1">
        <v>0.25</v>
      </c>
      <c r="BE692" s="1" t="str">
        <f t="shared" si="39"/>
        <v>enemy_1233_dsshtr_2</v>
      </c>
      <c r="BK692" s="1" t="s">
        <v>2294</v>
      </c>
      <c r="BL692" s="1" t="s">
        <v>3056</v>
      </c>
      <c r="BN692" s="1" t="s">
        <v>217</v>
      </c>
      <c r="BO692" s="1" t="s">
        <v>218</v>
      </c>
      <c r="BP692" s="1" t="s">
        <v>239</v>
      </c>
      <c r="BQ692" s="1" t="s">
        <v>220</v>
      </c>
      <c r="BT692" s="1">
        <v>1</v>
      </c>
    </row>
    <row r="693" spans="1:72">
      <c r="A693" s="1" t="s">
        <v>3057</v>
      </c>
      <c r="B693" s="1" t="s">
        <v>213</v>
      </c>
      <c r="C693" s="1">
        <v>1</v>
      </c>
      <c r="D693" s="1" t="s">
        <v>3058</v>
      </c>
      <c r="E693" s="1">
        <v>1234</v>
      </c>
      <c r="F693" s="1" t="str">
        <f t="shared" si="40"/>
        <v>enemy_1234_dsubrl</v>
      </c>
      <c r="G693" s="1">
        <v>1</v>
      </c>
      <c r="K693" s="1">
        <v>10000</v>
      </c>
      <c r="M693" s="1">
        <v>140</v>
      </c>
      <c r="O693" s="1">
        <v>550</v>
      </c>
      <c r="Q693" s="1">
        <v>60</v>
      </c>
      <c r="Y693" s="1">
        <v>0.05</v>
      </c>
      <c r="Z693" s="1">
        <v>1</v>
      </c>
      <c r="AA693" s="1">
        <v>3</v>
      </c>
      <c r="AB693" s="1">
        <v>0.8</v>
      </c>
      <c r="AG693" s="1">
        <v>0</v>
      </c>
      <c r="AH693" s="1">
        <v>1</v>
      </c>
      <c r="AI693" s="1" t="s">
        <v>3059</v>
      </c>
      <c r="AJ693" s="1" t="s">
        <v>216</v>
      </c>
      <c r="AK693" s="1" t="s">
        <v>238</v>
      </c>
      <c r="AM693" s="1">
        <v>1</v>
      </c>
      <c r="AV693" s="1">
        <v>1</v>
      </c>
      <c r="AX693" s="1">
        <v>0.25</v>
      </c>
      <c r="BE693" s="1" t="str">
        <f t="shared" si="39"/>
        <v>enemy_1234_dsubrl</v>
      </c>
      <c r="BK693" s="1" t="s">
        <v>2332</v>
      </c>
      <c r="BL693" s="1" t="s">
        <v>3060</v>
      </c>
      <c r="BN693" s="1" t="s">
        <v>217</v>
      </c>
      <c r="BO693" s="1" t="s">
        <v>218</v>
      </c>
      <c r="BP693" s="1" t="s">
        <v>239</v>
      </c>
      <c r="BQ693" s="1" t="s">
        <v>220</v>
      </c>
      <c r="BT693" s="1">
        <v>1</v>
      </c>
    </row>
    <row r="694" spans="1:72">
      <c r="A694" s="1" t="s">
        <v>3061</v>
      </c>
      <c r="B694" s="1" t="s">
        <v>213</v>
      </c>
      <c r="C694" s="1">
        <v>1</v>
      </c>
      <c r="D694" s="1" t="s">
        <v>3062</v>
      </c>
      <c r="E694" s="1">
        <v>1234</v>
      </c>
      <c r="F694" s="1" t="str">
        <f t="shared" si="40"/>
        <v>enemy_1234_dsubrl_2</v>
      </c>
      <c r="G694" s="1">
        <v>1</v>
      </c>
      <c r="K694" s="1">
        <v>14000</v>
      </c>
      <c r="M694" s="1">
        <v>160</v>
      </c>
      <c r="O694" s="1">
        <v>550</v>
      </c>
      <c r="Q694" s="1">
        <v>60</v>
      </c>
      <c r="Y694" s="1">
        <v>0.05</v>
      </c>
      <c r="Z694" s="1">
        <v>1</v>
      </c>
      <c r="AA694" s="1">
        <v>3</v>
      </c>
      <c r="AB694" s="1">
        <v>0.8</v>
      </c>
      <c r="AG694" s="1">
        <v>0</v>
      </c>
      <c r="AH694" s="1">
        <v>1</v>
      </c>
      <c r="AI694" s="1" t="s">
        <v>3063</v>
      </c>
      <c r="AJ694" s="1" t="s">
        <v>216</v>
      </c>
      <c r="AK694" s="1" t="s">
        <v>238</v>
      </c>
      <c r="AM694" s="1">
        <v>1</v>
      </c>
      <c r="AV694" s="1">
        <v>1</v>
      </c>
      <c r="AX694" s="1">
        <v>0.25</v>
      </c>
      <c r="BE694" s="1" t="str">
        <f t="shared" si="39"/>
        <v>enemy_1234_dsubrl_2</v>
      </c>
      <c r="BK694" s="1" t="s">
        <v>2332</v>
      </c>
      <c r="BL694" s="1" t="s">
        <v>3060</v>
      </c>
      <c r="BN694" s="1" t="s">
        <v>217</v>
      </c>
      <c r="BO694" s="1" t="s">
        <v>218</v>
      </c>
      <c r="BP694" s="1" t="s">
        <v>239</v>
      </c>
      <c r="BQ694" s="1" t="s">
        <v>220</v>
      </c>
      <c r="BT694" s="1">
        <v>1</v>
      </c>
    </row>
    <row r="695" spans="1:72">
      <c r="A695" s="1" t="s">
        <v>3064</v>
      </c>
      <c r="B695" s="1" t="s">
        <v>213</v>
      </c>
      <c r="C695" s="1">
        <v>1</v>
      </c>
      <c r="D695" s="1" t="s">
        <v>3062</v>
      </c>
      <c r="E695" s="1">
        <v>1234</v>
      </c>
      <c r="F695" s="1" t="str">
        <f t="shared" si="40"/>
        <v>enemy_1234_dsubrl_2</v>
      </c>
      <c r="G695" s="1">
        <v>1</v>
      </c>
      <c r="K695" s="1">
        <v>100</v>
      </c>
      <c r="M695" s="1">
        <v>100</v>
      </c>
      <c r="O695" s="1">
        <v>0</v>
      </c>
      <c r="Q695" s="1">
        <v>0</v>
      </c>
      <c r="Y695" s="1">
        <v>0.05</v>
      </c>
      <c r="Z695" s="1">
        <v>1</v>
      </c>
      <c r="AA695" s="1">
        <v>0</v>
      </c>
      <c r="AB695" s="1">
        <v>1</v>
      </c>
      <c r="AG695" s="1">
        <v>0</v>
      </c>
      <c r="AH695" s="1">
        <v>1</v>
      </c>
      <c r="AI695" s="1" t="s">
        <v>3065</v>
      </c>
      <c r="AJ695" s="1" t="s">
        <v>216</v>
      </c>
      <c r="AK695" s="1" t="s">
        <v>238</v>
      </c>
      <c r="AM695" s="1">
        <v>1</v>
      </c>
      <c r="AV695" s="1">
        <v>1</v>
      </c>
      <c r="AX695" s="1">
        <v>0.25</v>
      </c>
      <c r="BE695" s="1" t="str">
        <f t="shared" si="39"/>
        <v>enemy_1234_dsubrl_2</v>
      </c>
      <c r="BK695" s="1" t="s">
        <v>953</v>
      </c>
      <c r="BN695" s="1" t="s">
        <v>217</v>
      </c>
      <c r="BO695" s="1" t="s">
        <v>218</v>
      </c>
      <c r="BP695" s="1" t="s">
        <v>239</v>
      </c>
      <c r="BQ695" s="1" t="s">
        <v>220</v>
      </c>
      <c r="BT695" s="1">
        <v>1</v>
      </c>
    </row>
    <row r="696" spans="1:72">
      <c r="A696" s="1" t="s">
        <v>3066</v>
      </c>
      <c r="B696" s="1" t="s">
        <v>213</v>
      </c>
      <c r="C696" s="1">
        <v>1</v>
      </c>
      <c r="D696" s="1" t="s">
        <v>3062</v>
      </c>
      <c r="E696" s="1">
        <v>1234</v>
      </c>
      <c r="F696" s="1" t="str">
        <f t="shared" si="40"/>
        <v>enemy_1234_dsubrl_2</v>
      </c>
      <c r="G696" s="1">
        <v>1</v>
      </c>
      <c r="K696" s="1">
        <v>10000</v>
      </c>
      <c r="M696" s="1">
        <v>140</v>
      </c>
      <c r="O696" s="1">
        <v>550</v>
      </c>
      <c r="Q696" s="1">
        <v>60</v>
      </c>
      <c r="Y696" s="1">
        <v>0.05</v>
      </c>
      <c r="Z696" s="1">
        <v>1</v>
      </c>
      <c r="AA696" s="1">
        <v>3</v>
      </c>
      <c r="AB696" s="1">
        <v>0.8</v>
      </c>
      <c r="AG696" s="1">
        <v>0</v>
      </c>
      <c r="AH696" s="1">
        <v>1</v>
      </c>
      <c r="AI696" s="1" t="s">
        <v>3067</v>
      </c>
      <c r="AJ696" s="1" t="s">
        <v>216</v>
      </c>
      <c r="AK696" s="1" t="s">
        <v>238</v>
      </c>
      <c r="AM696" s="1">
        <v>1</v>
      </c>
      <c r="AV696" s="1">
        <v>1</v>
      </c>
      <c r="AX696" s="1">
        <v>0.25</v>
      </c>
      <c r="BE696" s="1" t="str">
        <f t="shared" si="39"/>
        <v>enemy_1234_dsubrl_2</v>
      </c>
      <c r="BK696" s="1" t="s">
        <v>2332</v>
      </c>
      <c r="BL696" s="1" t="s">
        <v>3068</v>
      </c>
      <c r="BN696" s="1" t="s">
        <v>217</v>
      </c>
      <c r="BO696" s="1" t="s">
        <v>218</v>
      </c>
      <c r="BP696" s="1" t="s">
        <v>239</v>
      </c>
      <c r="BQ696" s="1" t="s">
        <v>220</v>
      </c>
      <c r="BT696" s="1">
        <v>1</v>
      </c>
    </row>
    <row r="697" spans="1:72">
      <c r="A697" s="1" t="s">
        <v>3069</v>
      </c>
      <c r="B697" s="1" t="s">
        <v>213</v>
      </c>
      <c r="C697" s="1">
        <v>1</v>
      </c>
      <c r="D697" s="1" t="s">
        <v>3070</v>
      </c>
      <c r="E697" s="1">
        <v>1235</v>
      </c>
      <c r="F697" s="1" t="str">
        <f t="shared" si="40"/>
        <v>enemy_1235_dsbskr</v>
      </c>
      <c r="G697" s="1">
        <v>1</v>
      </c>
      <c r="K697" s="1">
        <v>20000</v>
      </c>
      <c r="M697" s="1">
        <v>300</v>
      </c>
      <c r="O697" s="1">
        <v>750</v>
      </c>
      <c r="Q697" s="1">
        <v>40</v>
      </c>
      <c r="Y697" s="1">
        <v>0.05</v>
      </c>
      <c r="Z697" s="1">
        <v>1.5</v>
      </c>
      <c r="AA697" s="1">
        <v>4</v>
      </c>
      <c r="AB697" s="1">
        <v>1.2</v>
      </c>
      <c r="AG697" s="1">
        <v>0</v>
      </c>
      <c r="AH697" s="1">
        <v>1</v>
      </c>
      <c r="AI697" s="1" t="s">
        <v>3071</v>
      </c>
      <c r="AJ697" s="1" t="s">
        <v>216</v>
      </c>
      <c r="AK697" s="1" t="s">
        <v>238</v>
      </c>
      <c r="AM697" s="1">
        <v>1</v>
      </c>
      <c r="AV697" s="1">
        <v>1</v>
      </c>
      <c r="AX697" s="1">
        <v>0.25</v>
      </c>
      <c r="BE697" s="1" t="str">
        <f t="shared" si="39"/>
        <v>enemy_1235_dsbskr</v>
      </c>
      <c r="BK697" s="1" t="s">
        <v>3072</v>
      </c>
      <c r="BL697" s="1" t="s">
        <v>3073</v>
      </c>
      <c r="BN697" s="1" t="s">
        <v>217</v>
      </c>
      <c r="BO697" s="1" t="s">
        <v>218</v>
      </c>
      <c r="BP697" s="1" t="s">
        <v>239</v>
      </c>
      <c r="BQ697" s="1" t="s">
        <v>220</v>
      </c>
      <c r="BT697" s="1">
        <v>1</v>
      </c>
    </row>
    <row r="698" spans="1:72">
      <c r="A698" s="1" t="s">
        <v>3074</v>
      </c>
      <c r="B698" s="1" t="s">
        <v>213</v>
      </c>
      <c r="C698" s="1">
        <v>1</v>
      </c>
      <c r="D698" s="1" t="s">
        <v>3075</v>
      </c>
      <c r="E698" s="1">
        <v>1235</v>
      </c>
      <c r="F698" s="1" t="str">
        <f t="shared" si="40"/>
        <v>enemy_1235_dsbskr_2</v>
      </c>
      <c r="G698" s="1">
        <v>1</v>
      </c>
      <c r="K698" s="1">
        <v>25000</v>
      </c>
      <c r="M698" s="1">
        <v>400</v>
      </c>
      <c r="O698" s="1">
        <v>750</v>
      </c>
      <c r="Q698" s="1">
        <v>40</v>
      </c>
      <c r="Y698" s="1">
        <v>0.05</v>
      </c>
      <c r="Z698" s="1">
        <v>1.5</v>
      </c>
      <c r="AA698" s="1">
        <v>4</v>
      </c>
      <c r="AB698" s="1">
        <v>1.2</v>
      </c>
      <c r="AG698" s="1">
        <v>0</v>
      </c>
      <c r="AH698" s="1">
        <v>1</v>
      </c>
      <c r="AI698" s="1" t="s">
        <v>3076</v>
      </c>
      <c r="AJ698" s="1" t="s">
        <v>216</v>
      </c>
      <c r="AK698" s="1" t="s">
        <v>238</v>
      </c>
      <c r="AM698" s="1">
        <v>1</v>
      </c>
      <c r="AV698" s="1">
        <v>1</v>
      </c>
      <c r="AX698" s="1">
        <v>0.25</v>
      </c>
      <c r="BE698" s="1" t="str">
        <f t="shared" si="39"/>
        <v>enemy_1235_dsbskr_2</v>
      </c>
      <c r="BK698" s="1" t="s">
        <v>3072</v>
      </c>
      <c r="BL698" s="1" t="s">
        <v>3073</v>
      </c>
      <c r="BN698" s="1" t="s">
        <v>217</v>
      </c>
      <c r="BO698" s="1" t="s">
        <v>218</v>
      </c>
      <c r="BP698" s="1" t="s">
        <v>239</v>
      </c>
      <c r="BQ698" s="1" t="s">
        <v>220</v>
      </c>
      <c r="BT698" s="1">
        <v>1</v>
      </c>
    </row>
    <row r="699" spans="1:72">
      <c r="A699" s="1" t="s">
        <v>3077</v>
      </c>
      <c r="B699" s="1" t="s">
        <v>213</v>
      </c>
      <c r="C699" s="1">
        <v>1</v>
      </c>
      <c r="D699" s="1" t="s">
        <v>3075</v>
      </c>
      <c r="E699" s="1">
        <v>1235</v>
      </c>
      <c r="F699" s="1" t="str">
        <f t="shared" si="40"/>
        <v>enemy_1235_dsbskr_2</v>
      </c>
      <c r="G699" s="1">
        <v>1</v>
      </c>
      <c r="K699" s="1">
        <v>100</v>
      </c>
      <c r="M699" s="1">
        <v>100</v>
      </c>
      <c r="O699" s="1">
        <v>0</v>
      </c>
      <c r="Q699" s="1">
        <v>0</v>
      </c>
      <c r="Y699" s="1">
        <v>0.05</v>
      </c>
      <c r="Z699" s="1">
        <v>1</v>
      </c>
      <c r="AA699" s="1">
        <v>0</v>
      </c>
      <c r="AB699" s="1">
        <v>1</v>
      </c>
      <c r="AG699" s="1">
        <v>0</v>
      </c>
      <c r="AH699" s="1">
        <v>1</v>
      </c>
      <c r="AI699" s="1" t="s">
        <v>3078</v>
      </c>
      <c r="AJ699" s="1" t="s">
        <v>216</v>
      </c>
      <c r="AK699" s="1" t="s">
        <v>238</v>
      </c>
      <c r="AM699" s="1">
        <v>1</v>
      </c>
      <c r="AV699" s="1">
        <v>1</v>
      </c>
      <c r="AX699" s="1">
        <v>0.25</v>
      </c>
      <c r="BE699" s="1" t="str">
        <f t="shared" si="39"/>
        <v>enemy_1235_dsbskr_2</v>
      </c>
      <c r="BK699" s="1" t="s">
        <v>953</v>
      </c>
      <c r="BN699" s="1" t="s">
        <v>217</v>
      </c>
      <c r="BO699" s="1" t="s">
        <v>218</v>
      </c>
      <c r="BQ699" s="1" t="s">
        <v>220</v>
      </c>
      <c r="BT699" s="1">
        <v>1</v>
      </c>
    </row>
    <row r="700" spans="1:72">
      <c r="A700" s="1" t="s">
        <v>3079</v>
      </c>
      <c r="B700" s="1" t="s">
        <v>213</v>
      </c>
      <c r="C700" s="1">
        <v>1</v>
      </c>
      <c r="D700" s="1" t="s">
        <v>3075</v>
      </c>
      <c r="E700" s="1">
        <v>1235</v>
      </c>
      <c r="F700" s="1" t="str">
        <f t="shared" si="40"/>
        <v>enemy_1235_dsbskr_2</v>
      </c>
      <c r="G700" s="1">
        <v>1</v>
      </c>
      <c r="K700" s="1">
        <v>20000</v>
      </c>
      <c r="M700" s="1">
        <v>300</v>
      </c>
      <c r="O700" s="1">
        <v>750</v>
      </c>
      <c r="Q700" s="1">
        <v>40</v>
      </c>
      <c r="Y700" s="1">
        <v>0.05</v>
      </c>
      <c r="Z700" s="1">
        <v>1.5</v>
      </c>
      <c r="AA700" s="1">
        <v>4</v>
      </c>
      <c r="AB700" s="1">
        <v>1.2</v>
      </c>
      <c r="AG700" s="1">
        <v>0</v>
      </c>
      <c r="AH700" s="1">
        <v>1</v>
      </c>
      <c r="AI700" s="1" t="s">
        <v>3080</v>
      </c>
      <c r="AJ700" s="1" t="s">
        <v>216</v>
      </c>
      <c r="AK700" s="1" t="s">
        <v>238</v>
      </c>
      <c r="AM700" s="1">
        <v>1</v>
      </c>
      <c r="AV700" s="1">
        <v>1</v>
      </c>
      <c r="AX700" s="1">
        <v>0.25</v>
      </c>
      <c r="BE700" s="1" t="str">
        <f t="shared" si="39"/>
        <v>enemy_1235_dsbskr_2</v>
      </c>
      <c r="BK700" s="1" t="s">
        <v>3072</v>
      </c>
      <c r="BL700" s="1" t="s">
        <v>3081</v>
      </c>
      <c r="BN700" s="1" t="s">
        <v>217</v>
      </c>
      <c r="BO700" s="1" t="s">
        <v>218</v>
      </c>
      <c r="BP700" s="1" t="s">
        <v>239</v>
      </c>
      <c r="BQ700" s="1" t="s">
        <v>220</v>
      </c>
      <c r="BT700" s="1">
        <v>1</v>
      </c>
    </row>
    <row r="701" spans="1:72">
      <c r="A701" s="1" t="s">
        <v>3082</v>
      </c>
      <c r="B701" s="1" t="s">
        <v>213</v>
      </c>
      <c r="C701" s="1">
        <v>1</v>
      </c>
      <c r="D701" s="1" t="s">
        <v>3083</v>
      </c>
      <c r="E701" s="1">
        <v>1236</v>
      </c>
      <c r="F701" s="1" t="str">
        <f t="shared" si="40"/>
        <v>enemy_1236_bouncy</v>
      </c>
      <c r="G701" s="1">
        <v>1</v>
      </c>
      <c r="K701" s="1">
        <v>80000</v>
      </c>
      <c r="M701" s="1">
        <v>2000</v>
      </c>
      <c r="O701" s="1">
        <v>600</v>
      </c>
      <c r="Q701" s="1">
        <v>30</v>
      </c>
      <c r="Y701" s="1">
        <v>0.05</v>
      </c>
      <c r="Z701" s="1">
        <v>1.5</v>
      </c>
      <c r="AA701" s="1">
        <v>-2</v>
      </c>
      <c r="AB701" s="1">
        <v>1.2</v>
      </c>
      <c r="AG701" s="1">
        <v>0</v>
      </c>
      <c r="AH701" s="1">
        <v>1</v>
      </c>
      <c r="AI701" s="1" t="s">
        <v>3084</v>
      </c>
      <c r="AJ701" s="1" t="s">
        <v>216</v>
      </c>
      <c r="AK701" s="1" t="s">
        <v>238</v>
      </c>
      <c r="AM701" s="1">
        <v>1</v>
      </c>
      <c r="AV701" s="1">
        <v>1</v>
      </c>
      <c r="AX701" s="1">
        <v>0.25</v>
      </c>
      <c r="BE701" s="1" t="str">
        <f t="shared" si="39"/>
        <v>enemy_1236_bouncy</v>
      </c>
      <c r="BL701" s="1" t="s">
        <v>3085</v>
      </c>
      <c r="BN701" s="1" t="s">
        <v>217</v>
      </c>
      <c r="BO701" s="1" t="s">
        <v>218</v>
      </c>
      <c r="BQ701" s="1" t="s">
        <v>220</v>
      </c>
      <c r="BT701" s="1">
        <v>1</v>
      </c>
    </row>
    <row r="702" spans="1:72">
      <c r="A702" s="1" t="s">
        <v>3086</v>
      </c>
      <c r="B702" s="1" t="s">
        <v>213</v>
      </c>
      <c r="C702" s="1">
        <v>1</v>
      </c>
      <c r="D702" s="1" t="s">
        <v>3087</v>
      </c>
      <c r="E702" s="1">
        <v>1236</v>
      </c>
      <c r="F702" s="1" t="str">
        <f t="shared" si="40"/>
        <v>enemy_1236_bouncy_2</v>
      </c>
      <c r="G702" s="1">
        <v>1</v>
      </c>
      <c r="K702" s="1">
        <v>80000</v>
      </c>
      <c r="M702" s="1">
        <v>2000</v>
      </c>
      <c r="O702" s="1">
        <v>600</v>
      </c>
      <c r="Q702" s="1">
        <v>30</v>
      </c>
      <c r="Y702" s="1">
        <v>0.05</v>
      </c>
      <c r="Z702" s="1">
        <v>1.5</v>
      </c>
      <c r="AA702" s="1">
        <v>-2</v>
      </c>
      <c r="AB702" s="1">
        <v>1.2</v>
      </c>
      <c r="AG702" s="1">
        <v>0</v>
      </c>
      <c r="AH702" s="1">
        <v>1</v>
      </c>
      <c r="AI702" s="1" t="s">
        <v>3088</v>
      </c>
      <c r="AJ702" s="1" t="s">
        <v>216</v>
      </c>
      <c r="AK702" s="1" t="s">
        <v>238</v>
      </c>
      <c r="AM702" s="1">
        <v>1</v>
      </c>
      <c r="AV702" s="1">
        <v>1</v>
      </c>
      <c r="AX702" s="1">
        <v>0.25</v>
      </c>
      <c r="BE702" s="1" t="str">
        <f t="shared" si="39"/>
        <v>enemy_1236_bouncy_2</v>
      </c>
      <c r="BL702" s="1" t="s">
        <v>3089</v>
      </c>
      <c r="BN702" s="1" t="s">
        <v>217</v>
      </c>
      <c r="BO702" s="1" t="s">
        <v>218</v>
      </c>
      <c r="BQ702" s="1" t="s">
        <v>220</v>
      </c>
      <c r="BT702" s="1">
        <v>1</v>
      </c>
    </row>
    <row r="703" spans="1:72">
      <c r="A703" s="1" t="s">
        <v>3090</v>
      </c>
      <c r="B703" s="1" t="s">
        <v>213</v>
      </c>
      <c r="C703" s="1">
        <v>1</v>
      </c>
      <c r="D703" s="1" t="s">
        <v>3091</v>
      </c>
      <c r="E703" s="1">
        <v>1236</v>
      </c>
      <c r="F703" s="1" t="str">
        <f t="shared" si="40"/>
        <v>enemy_1236_bouncy_3</v>
      </c>
      <c r="G703" s="1">
        <v>1</v>
      </c>
      <c r="K703" s="1">
        <v>80000</v>
      </c>
      <c r="M703" s="1">
        <v>2000</v>
      </c>
      <c r="O703" s="1">
        <v>600</v>
      </c>
      <c r="Q703" s="1">
        <v>30</v>
      </c>
      <c r="Y703" s="1">
        <v>0.05</v>
      </c>
      <c r="Z703" s="1">
        <v>1.5</v>
      </c>
      <c r="AA703" s="1">
        <v>-2</v>
      </c>
      <c r="AB703" s="1">
        <v>1.2</v>
      </c>
      <c r="AG703" s="1">
        <v>0</v>
      </c>
      <c r="AH703" s="1">
        <v>1</v>
      </c>
      <c r="AI703" s="1" t="s">
        <v>3092</v>
      </c>
      <c r="AJ703" s="1" t="s">
        <v>216</v>
      </c>
      <c r="AK703" s="1" t="s">
        <v>238</v>
      </c>
      <c r="AM703" s="1">
        <v>1</v>
      </c>
      <c r="AV703" s="1">
        <v>1</v>
      </c>
      <c r="AX703" s="1">
        <v>0.25</v>
      </c>
      <c r="BE703" s="1" t="str">
        <f t="shared" si="39"/>
        <v>enemy_1236_bouncy_3</v>
      </c>
      <c r="BL703" s="1" t="s">
        <v>3093</v>
      </c>
      <c r="BN703" s="1" t="s">
        <v>217</v>
      </c>
      <c r="BO703" s="1" t="s">
        <v>218</v>
      </c>
      <c r="BQ703" s="1" t="s">
        <v>220</v>
      </c>
      <c r="BT703" s="1">
        <v>1</v>
      </c>
    </row>
    <row r="704" spans="1:72">
      <c r="A704" s="1" t="s">
        <v>3094</v>
      </c>
      <c r="B704" s="1" t="s">
        <v>213</v>
      </c>
      <c r="C704" s="1">
        <v>1</v>
      </c>
      <c r="D704" s="1" t="s">
        <v>3095</v>
      </c>
      <c r="E704" s="1">
        <v>1529</v>
      </c>
      <c r="F704" s="1" t="str">
        <f t="shared" si="40"/>
        <v>enemy_1529_dsdevr</v>
      </c>
      <c r="G704" s="1">
        <v>1</v>
      </c>
      <c r="K704" s="1">
        <v>10000</v>
      </c>
      <c r="M704" s="1">
        <v>800</v>
      </c>
      <c r="O704" s="1">
        <v>700</v>
      </c>
      <c r="Q704" s="1">
        <v>0</v>
      </c>
      <c r="Y704" s="1">
        <v>0.05</v>
      </c>
      <c r="Z704" s="1">
        <v>2</v>
      </c>
      <c r="AA704" s="1">
        <v>5</v>
      </c>
      <c r="AB704" s="1">
        <v>0.8</v>
      </c>
      <c r="AG704" s="1">
        <v>0</v>
      </c>
      <c r="AH704" s="1">
        <v>1</v>
      </c>
      <c r="AI704" s="1" t="s">
        <v>3096</v>
      </c>
      <c r="AJ704" s="1" t="s">
        <v>216</v>
      </c>
      <c r="AK704" s="1" t="s">
        <v>238</v>
      </c>
      <c r="AM704" s="1">
        <v>1</v>
      </c>
      <c r="AV704" s="1">
        <v>1</v>
      </c>
      <c r="AX704" s="1">
        <v>0.25</v>
      </c>
      <c r="BE704" s="1" t="str">
        <f t="shared" si="39"/>
        <v>enemy_1529_dsdevr</v>
      </c>
      <c r="BK704" s="1" t="s">
        <v>3097</v>
      </c>
      <c r="BL704" s="1" t="s">
        <v>3098</v>
      </c>
      <c r="BN704" s="1" t="s">
        <v>217</v>
      </c>
      <c r="BO704" s="1" t="s">
        <v>218</v>
      </c>
      <c r="BP704" s="1" t="s">
        <v>1635</v>
      </c>
      <c r="BQ704" s="1" t="s">
        <v>220</v>
      </c>
      <c r="BT704" s="1">
        <v>1</v>
      </c>
    </row>
    <row r="705" spans="1:72">
      <c r="A705" s="1" t="s">
        <v>3099</v>
      </c>
      <c r="B705" s="1" t="s">
        <v>213</v>
      </c>
      <c r="C705" s="1">
        <v>1</v>
      </c>
      <c r="D705" s="1" t="s">
        <v>3100</v>
      </c>
      <c r="E705" s="1">
        <v>1529</v>
      </c>
      <c r="F705" s="1" t="str">
        <f t="shared" si="40"/>
        <v>enemy_1529_dsdevr_2</v>
      </c>
      <c r="G705" s="1">
        <v>1</v>
      </c>
      <c r="K705" s="1">
        <v>100</v>
      </c>
      <c r="M705" s="1">
        <v>100</v>
      </c>
      <c r="O705" s="1">
        <v>0</v>
      </c>
      <c r="Q705" s="1">
        <v>0</v>
      </c>
      <c r="Y705" s="1">
        <v>0.05</v>
      </c>
      <c r="Z705" s="1">
        <v>1</v>
      </c>
      <c r="AA705" s="1">
        <v>0</v>
      </c>
      <c r="AB705" s="1">
        <v>1</v>
      </c>
      <c r="AG705" s="1">
        <v>0</v>
      </c>
      <c r="AH705" s="1">
        <v>1</v>
      </c>
      <c r="AI705" s="1" t="s">
        <v>3096</v>
      </c>
      <c r="AJ705" s="1" t="s">
        <v>216</v>
      </c>
      <c r="AK705" s="1" t="s">
        <v>238</v>
      </c>
      <c r="AM705" s="1">
        <v>1</v>
      </c>
      <c r="AV705" s="1">
        <v>1</v>
      </c>
      <c r="AX705" s="1">
        <v>0.25</v>
      </c>
      <c r="BE705" s="1" t="str">
        <f t="shared" si="39"/>
        <v>enemy_1529_dsdevr_2</v>
      </c>
      <c r="BN705" s="1" t="s">
        <v>217</v>
      </c>
      <c r="BO705" s="1" t="s">
        <v>218</v>
      </c>
      <c r="BP705" s="1" t="s">
        <v>1635</v>
      </c>
      <c r="BQ705" s="1" t="s">
        <v>220</v>
      </c>
      <c r="BT705" s="1">
        <v>1</v>
      </c>
    </row>
    <row r="706" spans="1:72">
      <c r="A706" s="1" t="s">
        <v>3101</v>
      </c>
      <c r="B706" s="1" t="s">
        <v>213</v>
      </c>
      <c r="C706" s="1">
        <v>1</v>
      </c>
      <c r="D706" s="1" t="s">
        <v>3102</v>
      </c>
      <c r="E706" s="1">
        <v>1238</v>
      </c>
      <c r="F706" s="1" t="s">
        <v>3101</v>
      </c>
      <c r="G706" s="1">
        <v>1</v>
      </c>
      <c r="K706" s="1">
        <v>3500</v>
      </c>
      <c r="M706" s="1">
        <v>380</v>
      </c>
      <c r="O706" s="1">
        <v>50</v>
      </c>
      <c r="Q706" s="1">
        <v>0</v>
      </c>
      <c r="Y706" s="1">
        <v>0.05</v>
      </c>
      <c r="Z706" s="1">
        <v>2.2</v>
      </c>
      <c r="AA706" s="1">
        <v>1</v>
      </c>
      <c r="AB706" s="1">
        <v>1.3</v>
      </c>
      <c r="AG706" s="1">
        <v>0</v>
      </c>
      <c r="AH706" s="1">
        <v>1</v>
      </c>
      <c r="AI706" s="1" t="s">
        <v>3103</v>
      </c>
      <c r="AJ706" s="1" t="s">
        <v>275</v>
      </c>
      <c r="AK706" s="1" t="s">
        <v>238</v>
      </c>
      <c r="AM706" s="1">
        <v>1</v>
      </c>
      <c r="AV706" s="1">
        <v>1</v>
      </c>
      <c r="AX706" s="1">
        <v>0.1</v>
      </c>
      <c r="BE706" s="1" t="s">
        <v>3101</v>
      </c>
      <c r="BK706" s="1" t="s">
        <v>953</v>
      </c>
      <c r="BN706" s="1" t="s">
        <v>217</v>
      </c>
      <c r="BO706" s="1" t="s">
        <v>218</v>
      </c>
      <c r="BP706" s="1" t="s">
        <v>239</v>
      </c>
      <c r="BQ706" s="1" t="s">
        <v>220</v>
      </c>
      <c r="BT706" s="1">
        <v>1</v>
      </c>
    </row>
    <row r="707" spans="1:72">
      <c r="A707" s="1" t="s">
        <v>3104</v>
      </c>
      <c r="B707" s="1" t="s">
        <v>213</v>
      </c>
      <c r="C707" s="1">
        <v>1</v>
      </c>
      <c r="D707" s="1" t="s">
        <v>3105</v>
      </c>
      <c r="E707" s="1">
        <v>1238</v>
      </c>
      <c r="F707" s="1" t="s">
        <v>3104</v>
      </c>
      <c r="G707" s="1">
        <v>1</v>
      </c>
      <c r="K707" s="1">
        <v>4500</v>
      </c>
      <c r="M707" s="1">
        <v>520</v>
      </c>
      <c r="O707" s="1">
        <v>50</v>
      </c>
      <c r="Q707" s="1">
        <v>0</v>
      </c>
      <c r="Y707" s="1">
        <v>0.05</v>
      </c>
      <c r="Z707" s="1">
        <v>2.2</v>
      </c>
      <c r="AA707" s="1">
        <v>1</v>
      </c>
      <c r="AB707" s="1">
        <v>1.3</v>
      </c>
      <c r="AG707" s="1">
        <v>0</v>
      </c>
      <c r="AH707" s="1">
        <v>1</v>
      </c>
      <c r="AI707" s="1" t="s">
        <v>3106</v>
      </c>
      <c r="AJ707" s="1" t="s">
        <v>275</v>
      </c>
      <c r="AK707" s="1" t="s">
        <v>238</v>
      </c>
      <c r="AM707" s="1">
        <v>1</v>
      </c>
      <c r="AV707" s="1">
        <v>1</v>
      </c>
      <c r="AX707" s="1">
        <v>0.1</v>
      </c>
      <c r="BE707" s="1" t="s">
        <v>3104</v>
      </c>
      <c r="BK707" s="1" t="s">
        <v>953</v>
      </c>
      <c r="BN707" s="1" t="s">
        <v>217</v>
      </c>
      <c r="BO707" s="1" t="s">
        <v>218</v>
      </c>
      <c r="BP707" s="1" t="s">
        <v>239</v>
      </c>
      <c r="BQ707" s="1" t="s">
        <v>220</v>
      </c>
      <c r="BT707" s="1">
        <v>1</v>
      </c>
    </row>
    <row r="708" spans="1:72">
      <c r="A708" s="1" t="s">
        <v>3107</v>
      </c>
      <c r="B708" s="1" t="s">
        <v>213</v>
      </c>
      <c r="C708" s="1">
        <v>1</v>
      </c>
      <c r="D708" s="1" t="s">
        <v>3108</v>
      </c>
      <c r="E708" s="1">
        <v>1239</v>
      </c>
      <c r="F708" s="1" t="s">
        <v>3107</v>
      </c>
      <c r="G708" s="1">
        <v>1</v>
      </c>
      <c r="K708" s="1">
        <v>3300</v>
      </c>
      <c r="M708" s="1">
        <v>330</v>
      </c>
      <c r="O708" s="1">
        <v>80</v>
      </c>
      <c r="Q708" s="1">
        <v>10</v>
      </c>
      <c r="Y708" s="1">
        <v>0.05</v>
      </c>
      <c r="Z708" s="1">
        <v>3.5</v>
      </c>
      <c r="AA708" s="1">
        <v>1</v>
      </c>
      <c r="AB708" s="1">
        <v>0.9</v>
      </c>
      <c r="AG708" s="1">
        <v>0</v>
      </c>
      <c r="AH708" s="1">
        <v>1</v>
      </c>
      <c r="AI708" s="1" t="s">
        <v>3109</v>
      </c>
      <c r="AJ708" s="1" t="s">
        <v>275</v>
      </c>
      <c r="AK708" s="1" t="s">
        <v>238</v>
      </c>
      <c r="AM708" s="1">
        <v>1</v>
      </c>
      <c r="AV708" s="1">
        <v>1</v>
      </c>
      <c r="AX708" s="1">
        <v>0.1</v>
      </c>
      <c r="BE708" s="1" t="s">
        <v>3107</v>
      </c>
      <c r="BK708" s="1" t="s">
        <v>959</v>
      </c>
      <c r="BN708" s="1" t="s">
        <v>217</v>
      </c>
      <c r="BO708" s="1" t="s">
        <v>218</v>
      </c>
      <c r="BP708" s="1" t="s">
        <v>239</v>
      </c>
      <c r="BQ708" s="1" t="s">
        <v>220</v>
      </c>
      <c r="BT708" s="1">
        <v>1</v>
      </c>
    </row>
    <row r="709" spans="1:72">
      <c r="A709" s="1" t="s">
        <v>3110</v>
      </c>
      <c r="B709" s="1" t="s">
        <v>213</v>
      </c>
      <c r="C709" s="1">
        <v>1</v>
      </c>
      <c r="D709" s="1" t="s">
        <v>3111</v>
      </c>
      <c r="E709" s="1">
        <v>1239</v>
      </c>
      <c r="F709" s="1" t="s">
        <v>3110</v>
      </c>
      <c r="G709" s="1">
        <v>1</v>
      </c>
      <c r="K709" s="1">
        <v>4000</v>
      </c>
      <c r="M709" s="1">
        <v>360</v>
      </c>
      <c r="O709" s="1">
        <v>120</v>
      </c>
      <c r="Q709" s="1">
        <v>10</v>
      </c>
      <c r="Y709" s="1">
        <v>0.05</v>
      </c>
      <c r="Z709" s="1">
        <v>3.5</v>
      </c>
      <c r="AA709" s="1">
        <v>1</v>
      </c>
      <c r="AB709" s="1">
        <v>0.9</v>
      </c>
      <c r="AG709" s="1">
        <v>0</v>
      </c>
      <c r="AH709" s="1">
        <v>1</v>
      </c>
      <c r="AI709" s="1" t="s">
        <v>3112</v>
      </c>
      <c r="AJ709" s="1" t="s">
        <v>275</v>
      </c>
      <c r="AK709" s="1" t="s">
        <v>238</v>
      </c>
      <c r="AM709" s="1">
        <v>1</v>
      </c>
      <c r="AV709" s="1">
        <v>1</v>
      </c>
      <c r="AX709" s="1">
        <v>0.1</v>
      </c>
      <c r="BE709" s="1" t="s">
        <v>3110</v>
      </c>
      <c r="BK709" s="1" t="s">
        <v>959</v>
      </c>
      <c r="BN709" s="1" t="s">
        <v>217</v>
      </c>
      <c r="BO709" s="1" t="s">
        <v>218</v>
      </c>
      <c r="BP709" s="1" t="s">
        <v>239</v>
      </c>
      <c r="BQ709" s="1" t="s">
        <v>220</v>
      </c>
      <c r="BT709" s="1">
        <v>1</v>
      </c>
    </row>
    <row r="710" spans="1:72">
      <c r="A710" s="1" t="s">
        <v>3113</v>
      </c>
      <c r="B710" s="1" t="s">
        <v>213</v>
      </c>
      <c r="C710" s="1">
        <v>1</v>
      </c>
      <c r="D710" s="1" t="s">
        <v>3114</v>
      </c>
      <c r="E710" s="1">
        <v>1240</v>
      </c>
      <c r="F710" s="1" t="s">
        <v>3113</v>
      </c>
      <c r="G710" s="1">
        <v>1.2</v>
      </c>
      <c r="K710" s="1">
        <v>15000</v>
      </c>
      <c r="M710" s="1">
        <v>650</v>
      </c>
      <c r="O710" s="1">
        <v>1200</v>
      </c>
      <c r="Q710" s="1">
        <v>50</v>
      </c>
      <c r="Y710" s="1">
        <v>0.05</v>
      </c>
      <c r="Z710" s="1">
        <v>4</v>
      </c>
      <c r="AA710" s="1">
        <v>4</v>
      </c>
      <c r="AB710" s="1">
        <v>0.75</v>
      </c>
      <c r="AG710" s="1">
        <v>0</v>
      </c>
      <c r="AH710" s="1">
        <v>1</v>
      </c>
      <c r="AI710" s="1" t="s">
        <v>3115</v>
      </c>
      <c r="AJ710" s="1" t="s">
        <v>275</v>
      </c>
      <c r="AK710" s="1" t="s">
        <v>238</v>
      </c>
      <c r="AM710" s="1">
        <v>1</v>
      </c>
      <c r="AP710" s="1">
        <v>2</v>
      </c>
      <c r="AV710" s="1">
        <v>1</v>
      </c>
      <c r="AX710" s="1">
        <v>0.1</v>
      </c>
      <c r="BE710" s="1" t="s">
        <v>3113</v>
      </c>
      <c r="BK710" s="1" t="s">
        <v>1688</v>
      </c>
      <c r="BN710" s="1" t="s">
        <v>217</v>
      </c>
      <c r="BO710" s="1" t="s">
        <v>218</v>
      </c>
      <c r="BP710" s="1" t="s">
        <v>239</v>
      </c>
      <c r="BQ710" s="1" t="s">
        <v>220</v>
      </c>
      <c r="BT710" s="1">
        <v>1</v>
      </c>
    </row>
    <row r="711" spans="1:72">
      <c r="A711" s="1" t="s">
        <v>3116</v>
      </c>
      <c r="B711" s="1" t="s">
        <v>213</v>
      </c>
      <c r="C711" s="1">
        <v>1</v>
      </c>
      <c r="D711" s="1" t="s">
        <v>3117</v>
      </c>
      <c r="E711" s="1">
        <v>1240</v>
      </c>
      <c r="F711" s="1" t="s">
        <v>3116</v>
      </c>
      <c r="G711" s="1">
        <v>1.2</v>
      </c>
      <c r="K711" s="1">
        <v>20000</v>
      </c>
      <c r="M711" s="1">
        <v>800</v>
      </c>
      <c r="O711" s="1">
        <v>1400</v>
      </c>
      <c r="Q711" s="1">
        <v>50</v>
      </c>
      <c r="Y711" s="1">
        <v>0.05</v>
      </c>
      <c r="Z711" s="1">
        <v>4</v>
      </c>
      <c r="AA711" s="1">
        <v>4</v>
      </c>
      <c r="AB711" s="1">
        <v>0.75</v>
      </c>
      <c r="AG711" s="1">
        <v>0</v>
      </c>
      <c r="AH711" s="1">
        <v>1</v>
      </c>
      <c r="AI711" s="1" t="s">
        <v>3118</v>
      </c>
      <c r="AJ711" s="1" t="s">
        <v>275</v>
      </c>
      <c r="AK711" s="1" t="s">
        <v>238</v>
      </c>
      <c r="AM711" s="1">
        <v>1</v>
      </c>
      <c r="AP711" s="1">
        <v>2</v>
      </c>
      <c r="AV711" s="1">
        <v>1</v>
      </c>
      <c r="AX711" s="1">
        <v>0.1</v>
      </c>
      <c r="BE711" s="1" t="s">
        <v>3116</v>
      </c>
      <c r="BK711" s="1" t="s">
        <v>1688</v>
      </c>
      <c r="BN711" s="1" t="s">
        <v>217</v>
      </c>
      <c r="BO711" s="1" t="s">
        <v>218</v>
      </c>
      <c r="BP711" s="1" t="s">
        <v>239</v>
      </c>
      <c r="BQ711" s="1" t="s">
        <v>220</v>
      </c>
      <c r="BT711" s="1">
        <v>1</v>
      </c>
    </row>
    <row r="712" spans="1:72">
      <c r="A712" s="1" t="s">
        <v>3119</v>
      </c>
      <c r="B712" s="1" t="s">
        <v>213</v>
      </c>
      <c r="C712" s="1">
        <v>1</v>
      </c>
      <c r="D712" s="1" t="s">
        <v>3120</v>
      </c>
      <c r="E712" s="1">
        <v>1241</v>
      </c>
      <c r="F712" s="1" t="s">
        <v>3119</v>
      </c>
      <c r="G712" s="1">
        <v>1</v>
      </c>
      <c r="K712" s="1">
        <v>7000</v>
      </c>
      <c r="M712" s="1">
        <v>600</v>
      </c>
      <c r="O712" s="1">
        <v>160</v>
      </c>
      <c r="Q712" s="1">
        <v>65</v>
      </c>
      <c r="Y712" s="1">
        <v>0.05</v>
      </c>
      <c r="Z712" s="1">
        <v>7</v>
      </c>
      <c r="AA712" s="1">
        <v>2</v>
      </c>
      <c r="AB712" s="1">
        <v>0.6</v>
      </c>
      <c r="AG712" s="1">
        <v>0</v>
      </c>
      <c r="AH712" s="1">
        <v>1</v>
      </c>
      <c r="AI712" s="1" t="s">
        <v>3121</v>
      </c>
      <c r="AJ712" s="1" t="s">
        <v>275</v>
      </c>
      <c r="AK712" s="1" t="s">
        <v>238</v>
      </c>
      <c r="AM712" s="1">
        <v>1</v>
      </c>
      <c r="AV712" s="1">
        <v>1</v>
      </c>
      <c r="AX712" s="1">
        <v>0.1</v>
      </c>
      <c r="BE712" s="1" t="s">
        <v>3119</v>
      </c>
      <c r="BK712" s="1" t="s">
        <v>959</v>
      </c>
      <c r="BN712" s="1" t="s">
        <v>217</v>
      </c>
      <c r="BO712" s="1" t="s">
        <v>218</v>
      </c>
      <c r="BP712" s="1" t="s">
        <v>239</v>
      </c>
      <c r="BQ712" s="1" t="s">
        <v>220</v>
      </c>
      <c r="BT712" s="1">
        <v>1</v>
      </c>
    </row>
    <row r="713" spans="1:72">
      <c r="A713" s="1" t="s">
        <v>3122</v>
      </c>
      <c r="B713" s="1" t="s">
        <v>213</v>
      </c>
      <c r="C713" s="1">
        <v>1</v>
      </c>
      <c r="D713" s="1" t="s">
        <v>3123</v>
      </c>
      <c r="E713" s="1">
        <v>1241</v>
      </c>
      <c r="F713" s="1" t="s">
        <v>3122</v>
      </c>
      <c r="G713" s="1">
        <v>1</v>
      </c>
      <c r="K713" s="1">
        <v>9000</v>
      </c>
      <c r="M713" s="1">
        <v>780</v>
      </c>
      <c r="O713" s="1">
        <v>240</v>
      </c>
      <c r="Q713" s="1">
        <v>65</v>
      </c>
      <c r="Y713" s="1">
        <v>0.05</v>
      </c>
      <c r="Z713" s="1">
        <v>7</v>
      </c>
      <c r="AA713" s="1">
        <v>2</v>
      </c>
      <c r="AB713" s="1">
        <v>0.6</v>
      </c>
      <c r="AG713" s="1">
        <v>0</v>
      </c>
      <c r="AH713" s="1">
        <v>1</v>
      </c>
      <c r="AI713" s="1" t="s">
        <v>3124</v>
      </c>
      <c r="AJ713" s="1" t="s">
        <v>275</v>
      </c>
      <c r="AK713" s="1" t="s">
        <v>238</v>
      </c>
      <c r="AM713" s="1">
        <v>1</v>
      </c>
      <c r="AV713" s="1">
        <v>1</v>
      </c>
      <c r="AX713" s="1">
        <v>0.1</v>
      </c>
      <c r="BE713" s="1" t="s">
        <v>3122</v>
      </c>
      <c r="BK713" s="1" t="s">
        <v>959</v>
      </c>
      <c r="BN713" s="1" t="s">
        <v>217</v>
      </c>
      <c r="BO713" s="1" t="s">
        <v>218</v>
      </c>
      <c r="BP713" s="1" t="s">
        <v>239</v>
      </c>
      <c r="BQ713" s="1" t="s">
        <v>220</v>
      </c>
      <c r="BT713" s="1">
        <v>1</v>
      </c>
    </row>
    <row r="714" spans="1:72">
      <c r="A714" s="1" t="s">
        <v>3125</v>
      </c>
      <c r="B714" s="1" t="s">
        <v>213</v>
      </c>
      <c r="C714" s="1">
        <v>1</v>
      </c>
      <c r="D714" s="1" t="s">
        <v>3126</v>
      </c>
      <c r="E714" s="1">
        <v>1242</v>
      </c>
      <c r="F714" s="1" t="s">
        <v>3125</v>
      </c>
      <c r="G714" s="1">
        <v>1</v>
      </c>
      <c r="K714" s="1">
        <v>12000</v>
      </c>
      <c r="M714" s="1">
        <v>500</v>
      </c>
      <c r="O714" s="1">
        <v>450</v>
      </c>
      <c r="Q714" s="1">
        <v>40</v>
      </c>
      <c r="Y714" s="1">
        <v>0.05</v>
      </c>
      <c r="Z714" s="1">
        <v>5</v>
      </c>
      <c r="AA714" s="1">
        <v>3</v>
      </c>
      <c r="AB714" s="1">
        <v>0.4</v>
      </c>
      <c r="AG714" s="1">
        <v>0</v>
      </c>
      <c r="AH714" s="1">
        <v>1</v>
      </c>
      <c r="AI714" s="1" t="s">
        <v>3127</v>
      </c>
      <c r="AJ714" s="1" t="s">
        <v>275</v>
      </c>
      <c r="AK714" s="1" t="s">
        <v>238</v>
      </c>
      <c r="AM714" s="1">
        <v>1</v>
      </c>
      <c r="AV714" s="1">
        <v>1</v>
      </c>
      <c r="AX714" s="1">
        <v>0.1</v>
      </c>
      <c r="BE714" s="1" t="s">
        <v>3125</v>
      </c>
      <c r="BK714" s="1" t="s">
        <v>980</v>
      </c>
      <c r="BN714" s="1" t="s">
        <v>217</v>
      </c>
      <c r="BO714" s="1" t="s">
        <v>218</v>
      </c>
      <c r="BP714" s="1" t="s">
        <v>239</v>
      </c>
      <c r="BQ714" s="1" t="s">
        <v>220</v>
      </c>
      <c r="BT714" s="1">
        <v>1</v>
      </c>
    </row>
    <row r="715" spans="1:72">
      <c r="A715" s="1" t="s">
        <v>3128</v>
      </c>
      <c r="B715" s="1" t="s">
        <v>213</v>
      </c>
      <c r="C715" s="1">
        <v>1</v>
      </c>
      <c r="D715" s="1" t="s">
        <v>3129</v>
      </c>
      <c r="E715" s="1">
        <v>1242</v>
      </c>
      <c r="F715" s="1" t="s">
        <v>3128</v>
      </c>
      <c r="G715" s="1">
        <v>1</v>
      </c>
      <c r="K715" s="1">
        <v>18000</v>
      </c>
      <c r="M715" s="1">
        <v>650</v>
      </c>
      <c r="O715" s="1">
        <v>550</v>
      </c>
      <c r="Q715" s="1">
        <v>40</v>
      </c>
      <c r="Y715" s="1">
        <v>0.05</v>
      </c>
      <c r="Z715" s="1">
        <v>5</v>
      </c>
      <c r="AA715" s="1">
        <v>3</v>
      </c>
      <c r="AB715" s="1">
        <v>0.4</v>
      </c>
      <c r="AG715" s="1">
        <v>0</v>
      </c>
      <c r="AH715" s="1">
        <v>1</v>
      </c>
      <c r="AI715" s="1" t="s">
        <v>3130</v>
      </c>
      <c r="AJ715" s="1" t="s">
        <v>275</v>
      </c>
      <c r="AK715" s="1" t="s">
        <v>238</v>
      </c>
      <c r="AM715" s="1">
        <v>1</v>
      </c>
      <c r="AV715" s="1">
        <v>1</v>
      </c>
      <c r="AX715" s="1">
        <v>0.1</v>
      </c>
      <c r="BE715" s="1" t="s">
        <v>3128</v>
      </c>
      <c r="BK715" s="1" t="s">
        <v>980</v>
      </c>
      <c r="BN715" s="1" t="s">
        <v>217</v>
      </c>
      <c r="BO715" s="1" t="s">
        <v>218</v>
      </c>
      <c r="BP715" s="1" t="s">
        <v>239</v>
      </c>
      <c r="BQ715" s="1" t="s">
        <v>220</v>
      </c>
      <c r="BT715" s="1">
        <v>1</v>
      </c>
    </row>
    <row r="716" spans="1:72">
      <c r="A716" s="1" t="s">
        <v>3131</v>
      </c>
      <c r="B716" s="1" t="s">
        <v>213</v>
      </c>
      <c r="C716" s="1">
        <v>1</v>
      </c>
      <c r="D716" s="1" t="s">
        <v>3132</v>
      </c>
      <c r="E716" s="1">
        <v>1243</v>
      </c>
      <c r="F716" s="1" t="s">
        <v>3131</v>
      </c>
      <c r="G716" s="1">
        <v>1.1</v>
      </c>
      <c r="K716" s="1">
        <v>17500</v>
      </c>
      <c r="M716" s="1">
        <v>800</v>
      </c>
      <c r="O716" s="1">
        <v>650</v>
      </c>
      <c r="Q716" s="1">
        <v>20</v>
      </c>
      <c r="Y716" s="1">
        <v>0.05</v>
      </c>
      <c r="Z716" s="1">
        <v>4.5</v>
      </c>
      <c r="AA716" s="1">
        <v>4</v>
      </c>
      <c r="AB716" s="1">
        <v>0.8</v>
      </c>
      <c r="AG716" s="1">
        <v>0</v>
      </c>
      <c r="AH716" s="1">
        <v>1</v>
      </c>
      <c r="AI716" s="1" t="s">
        <v>3133</v>
      </c>
      <c r="AJ716" s="1" t="s">
        <v>275</v>
      </c>
      <c r="AK716" s="1" t="s">
        <v>238</v>
      </c>
      <c r="AM716" s="1">
        <v>1</v>
      </c>
      <c r="AV716" s="1">
        <v>1</v>
      </c>
      <c r="AX716" s="1">
        <v>0.1</v>
      </c>
      <c r="BE716" s="1" t="s">
        <v>3131</v>
      </c>
      <c r="BK716" s="1" t="s">
        <v>1012</v>
      </c>
      <c r="BN716" s="1" t="s">
        <v>217</v>
      </c>
      <c r="BO716" s="1" t="s">
        <v>218</v>
      </c>
      <c r="BP716" s="1" t="s">
        <v>239</v>
      </c>
      <c r="BQ716" s="1" t="s">
        <v>220</v>
      </c>
      <c r="BT716" s="1">
        <v>1</v>
      </c>
    </row>
    <row r="717" spans="1:72">
      <c r="A717" s="1" t="s">
        <v>3134</v>
      </c>
      <c r="B717" s="1" t="s">
        <v>213</v>
      </c>
      <c r="C717" s="1">
        <v>1</v>
      </c>
      <c r="D717" s="1" t="s">
        <v>3135</v>
      </c>
      <c r="E717" s="1">
        <v>1243</v>
      </c>
      <c r="F717" s="1" t="s">
        <v>3134</v>
      </c>
      <c r="G717" s="1">
        <v>1.1</v>
      </c>
      <c r="K717" s="1">
        <v>20000</v>
      </c>
      <c r="M717" s="1">
        <v>1000</v>
      </c>
      <c r="O717" s="1">
        <v>700</v>
      </c>
      <c r="Q717" s="1">
        <v>20</v>
      </c>
      <c r="Y717" s="1">
        <v>0.05</v>
      </c>
      <c r="Z717" s="1">
        <v>4.5</v>
      </c>
      <c r="AA717" s="1">
        <v>4</v>
      </c>
      <c r="AB717" s="1">
        <v>0.8</v>
      </c>
      <c r="AG717" s="1">
        <v>0</v>
      </c>
      <c r="AH717" s="1">
        <v>1</v>
      </c>
      <c r="AI717" s="1" t="s">
        <v>3136</v>
      </c>
      <c r="AJ717" s="1" t="s">
        <v>275</v>
      </c>
      <c r="AK717" s="1" t="s">
        <v>238</v>
      </c>
      <c r="AM717" s="1">
        <v>1</v>
      </c>
      <c r="AV717" s="1">
        <v>1</v>
      </c>
      <c r="AX717" s="1">
        <v>0.1</v>
      </c>
      <c r="BE717" s="1" t="s">
        <v>3134</v>
      </c>
      <c r="BK717" s="1" t="s">
        <v>1012</v>
      </c>
      <c r="BN717" s="1" t="s">
        <v>217</v>
      </c>
      <c r="BO717" s="1" t="s">
        <v>218</v>
      </c>
      <c r="BP717" s="1" t="s">
        <v>239</v>
      </c>
      <c r="BQ717" s="1" t="s">
        <v>220</v>
      </c>
      <c r="BT717" s="1">
        <v>1</v>
      </c>
    </row>
    <row r="718" spans="1:72">
      <c r="A718" s="1" t="s">
        <v>3137</v>
      </c>
      <c r="B718" s="1" t="s">
        <v>213</v>
      </c>
      <c r="C718" s="1">
        <v>1</v>
      </c>
      <c r="D718" s="1" t="s">
        <v>3138</v>
      </c>
      <c r="E718" s="1">
        <v>1244</v>
      </c>
      <c r="F718" s="1" t="s">
        <v>3137</v>
      </c>
      <c r="G718" s="1">
        <v>1</v>
      </c>
      <c r="K718" s="1">
        <v>15000</v>
      </c>
      <c r="M718" s="1">
        <v>0</v>
      </c>
      <c r="O718" s="1">
        <v>500</v>
      </c>
      <c r="Q718" s="1">
        <v>60</v>
      </c>
      <c r="Y718" s="1">
        <v>0.05</v>
      </c>
      <c r="Z718" s="1">
        <v>13</v>
      </c>
      <c r="AA718" s="1">
        <v>3</v>
      </c>
      <c r="AB718" s="1">
        <v>0.3</v>
      </c>
      <c r="AG718" s="1">
        <v>0</v>
      </c>
      <c r="AH718" s="1">
        <v>1</v>
      </c>
      <c r="AI718" s="1" t="s">
        <v>3139</v>
      </c>
      <c r="AJ718" s="1" t="s">
        <v>275</v>
      </c>
      <c r="AK718" s="1" t="s">
        <v>238</v>
      </c>
      <c r="AM718" s="1">
        <v>1</v>
      </c>
      <c r="AV718" s="1">
        <v>1</v>
      </c>
      <c r="AX718" s="1">
        <v>0.1</v>
      </c>
      <c r="BE718" s="1" t="s">
        <v>3137</v>
      </c>
      <c r="BK718" s="1" t="s">
        <v>3140</v>
      </c>
      <c r="BN718" s="1" t="s">
        <v>217</v>
      </c>
      <c r="BO718" s="1" t="s">
        <v>218</v>
      </c>
      <c r="BP718" s="1" t="s">
        <v>239</v>
      </c>
      <c r="BQ718" s="1" t="s">
        <v>220</v>
      </c>
      <c r="BT718" s="1">
        <v>1</v>
      </c>
    </row>
    <row r="719" spans="1:72">
      <c r="A719" s="1" t="s">
        <v>3141</v>
      </c>
      <c r="B719" s="1" t="s">
        <v>213</v>
      </c>
      <c r="C719" s="1">
        <v>1</v>
      </c>
      <c r="D719" s="1" t="s">
        <v>3142</v>
      </c>
      <c r="E719" s="1">
        <v>1244</v>
      </c>
      <c r="F719" s="1" t="s">
        <v>3141</v>
      </c>
      <c r="G719" s="1">
        <v>1</v>
      </c>
      <c r="K719" s="1">
        <v>20000</v>
      </c>
      <c r="M719" s="1">
        <v>0</v>
      </c>
      <c r="O719" s="1">
        <v>650</v>
      </c>
      <c r="Q719" s="1">
        <v>60</v>
      </c>
      <c r="Y719" s="1">
        <v>0.05</v>
      </c>
      <c r="Z719" s="1">
        <v>13</v>
      </c>
      <c r="AA719" s="1">
        <v>3</v>
      </c>
      <c r="AB719" s="1">
        <v>0.3</v>
      </c>
      <c r="AG719" s="1">
        <v>0</v>
      </c>
      <c r="AH719" s="1">
        <v>1</v>
      </c>
      <c r="AI719" s="1" t="s">
        <v>3143</v>
      </c>
      <c r="AJ719" s="1" t="s">
        <v>275</v>
      </c>
      <c r="AK719" s="1" t="s">
        <v>238</v>
      </c>
      <c r="AM719" s="1">
        <v>1</v>
      </c>
      <c r="AV719" s="1">
        <v>1</v>
      </c>
      <c r="AX719" s="1">
        <v>0.1</v>
      </c>
      <c r="BE719" s="1" t="s">
        <v>3141</v>
      </c>
      <c r="BK719" s="1" t="s">
        <v>3140</v>
      </c>
      <c r="BN719" s="1" t="s">
        <v>217</v>
      </c>
      <c r="BO719" s="1" t="s">
        <v>218</v>
      </c>
      <c r="BP719" s="1" t="s">
        <v>239</v>
      </c>
      <c r="BQ719" s="1" t="s">
        <v>220</v>
      </c>
      <c r="BT719" s="1">
        <v>1</v>
      </c>
    </row>
    <row r="720" spans="1:72">
      <c r="A720" s="1" t="s">
        <v>3144</v>
      </c>
      <c r="B720" s="1" t="s">
        <v>213</v>
      </c>
      <c r="C720" s="1">
        <v>1</v>
      </c>
      <c r="D720" s="1" t="s">
        <v>3145</v>
      </c>
      <c r="E720" s="1">
        <v>1246</v>
      </c>
      <c r="F720" s="1" t="s">
        <v>3144</v>
      </c>
      <c r="G720" s="1">
        <v>1</v>
      </c>
      <c r="K720" s="1">
        <v>2250</v>
      </c>
      <c r="M720" s="1">
        <v>280</v>
      </c>
      <c r="O720" s="1">
        <v>0</v>
      </c>
      <c r="Q720" s="1">
        <v>0</v>
      </c>
      <c r="Y720" s="1">
        <v>0.05</v>
      </c>
      <c r="Z720" s="1">
        <v>1.7</v>
      </c>
      <c r="AA720" s="1">
        <v>0</v>
      </c>
      <c r="AB720" s="1">
        <v>1</v>
      </c>
      <c r="AG720" s="1">
        <v>0</v>
      </c>
      <c r="AH720" s="1">
        <v>1</v>
      </c>
      <c r="AI720" s="1" t="s">
        <v>3146</v>
      </c>
      <c r="AJ720" s="1" t="s">
        <v>275</v>
      </c>
      <c r="AK720" s="1" t="s">
        <v>238</v>
      </c>
      <c r="AM720" s="1">
        <v>1</v>
      </c>
      <c r="AV720" s="1">
        <v>1</v>
      </c>
      <c r="AX720" s="1">
        <v>0.1</v>
      </c>
      <c r="BE720" s="1" t="s">
        <v>3144</v>
      </c>
      <c r="BK720" s="1" t="s">
        <v>911</v>
      </c>
      <c r="BN720" s="1" t="s">
        <v>217</v>
      </c>
      <c r="BO720" s="1" t="s">
        <v>218</v>
      </c>
      <c r="BP720" s="1" t="s">
        <v>239</v>
      </c>
      <c r="BQ720" s="1" t="s">
        <v>220</v>
      </c>
      <c r="BT720" s="1">
        <v>1</v>
      </c>
    </row>
    <row r="721" spans="1:72">
      <c r="A721" s="1" t="s">
        <v>3147</v>
      </c>
      <c r="B721" s="1" t="s">
        <v>213</v>
      </c>
      <c r="C721" s="1">
        <v>1</v>
      </c>
      <c r="D721" s="1" t="s">
        <v>3148</v>
      </c>
      <c r="E721" s="1">
        <v>1246</v>
      </c>
      <c r="F721" s="1" t="s">
        <v>3147</v>
      </c>
      <c r="G721" s="1">
        <v>1</v>
      </c>
      <c r="K721" s="1">
        <v>3500</v>
      </c>
      <c r="M721" s="1">
        <v>370</v>
      </c>
      <c r="O721" s="1">
        <v>0</v>
      </c>
      <c r="Q721" s="1">
        <v>0</v>
      </c>
      <c r="Y721" s="1">
        <v>0.05</v>
      </c>
      <c r="Z721" s="1">
        <v>1.7</v>
      </c>
      <c r="AA721" s="1">
        <v>0</v>
      </c>
      <c r="AB721" s="1">
        <v>1</v>
      </c>
      <c r="AG721" s="1">
        <v>0</v>
      </c>
      <c r="AH721" s="1">
        <v>1</v>
      </c>
      <c r="AI721" s="1" t="s">
        <v>3149</v>
      </c>
      <c r="AJ721" s="1" t="s">
        <v>275</v>
      </c>
      <c r="AK721" s="1" t="s">
        <v>238</v>
      </c>
      <c r="AM721" s="1">
        <v>1</v>
      </c>
      <c r="AV721" s="1">
        <v>1</v>
      </c>
      <c r="AX721" s="1">
        <v>0.1</v>
      </c>
      <c r="BE721" s="1" t="s">
        <v>3147</v>
      </c>
      <c r="BK721" s="1" t="s">
        <v>911</v>
      </c>
      <c r="BN721" s="1" t="s">
        <v>217</v>
      </c>
      <c r="BO721" s="1" t="s">
        <v>218</v>
      </c>
      <c r="BP721" s="1" t="s">
        <v>239</v>
      </c>
      <c r="BQ721" s="1" t="s">
        <v>220</v>
      </c>
      <c r="BT721" s="1">
        <v>1</v>
      </c>
    </row>
    <row r="722" spans="1:72">
      <c r="A722" s="1" t="s">
        <v>3150</v>
      </c>
      <c r="B722" s="1" t="s">
        <v>213</v>
      </c>
      <c r="C722" s="1">
        <v>1</v>
      </c>
      <c r="D722" s="1" t="s">
        <v>3151</v>
      </c>
      <c r="E722" s="1">
        <v>1247</v>
      </c>
      <c r="F722" s="1" t="s">
        <v>3150</v>
      </c>
      <c r="G722" s="1">
        <v>1.1</v>
      </c>
      <c r="K722" s="1">
        <v>20000</v>
      </c>
      <c r="M722" s="1">
        <v>700</v>
      </c>
      <c r="O722" s="1">
        <v>450</v>
      </c>
      <c r="Q722" s="1">
        <v>35</v>
      </c>
      <c r="Y722" s="1">
        <v>0.05</v>
      </c>
      <c r="Z722" s="1">
        <v>5</v>
      </c>
      <c r="AA722" s="1">
        <v>3</v>
      </c>
      <c r="AB722" s="1">
        <v>1</v>
      </c>
      <c r="AG722" s="1">
        <v>0</v>
      </c>
      <c r="AH722" s="1">
        <v>1</v>
      </c>
      <c r="AI722" s="1" t="s">
        <v>3152</v>
      </c>
      <c r="AJ722" s="1" t="s">
        <v>275</v>
      </c>
      <c r="AK722" s="1" t="s">
        <v>238</v>
      </c>
      <c r="AM722" s="1">
        <v>1</v>
      </c>
      <c r="AV722" s="1">
        <v>1</v>
      </c>
      <c r="AX722" s="1">
        <v>0.1</v>
      </c>
      <c r="BE722" s="1" t="s">
        <v>3150</v>
      </c>
      <c r="BK722" s="1" t="s">
        <v>980</v>
      </c>
      <c r="BN722" s="1" t="s">
        <v>217</v>
      </c>
      <c r="BO722" s="1" t="s">
        <v>218</v>
      </c>
      <c r="BP722" s="1" t="s">
        <v>239</v>
      </c>
      <c r="BQ722" s="1" t="s">
        <v>220</v>
      </c>
      <c r="BT722" s="1">
        <v>1</v>
      </c>
    </row>
    <row r="723" spans="1:72">
      <c r="A723" s="1" t="s">
        <v>3153</v>
      </c>
      <c r="B723" s="1" t="s">
        <v>213</v>
      </c>
      <c r="C723" s="1">
        <v>1</v>
      </c>
      <c r="D723" s="1" t="s">
        <v>3154</v>
      </c>
      <c r="E723" s="1">
        <v>1530</v>
      </c>
      <c r="F723" s="1" t="s">
        <v>3153</v>
      </c>
      <c r="G723" s="1">
        <v>1</v>
      </c>
      <c r="K723" s="1">
        <v>60000</v>
      </c>
      <c r="M723" s="1">
        <v>800</v>
      </c>
      <c r="O723" s="1">
        <v>400</v>
      </c>
      <c r="Q723" s="1">
        <v>20</v>
      </c>
      <c r="Y723" s="1">
        <v>0.05</v>
      </c>
      <c r="Z723" s="1">
        <v>5</v>
      </c>
      <c r="AA723" s="1">
        <v>10</v>
      </c>
      <c r="AB723" s="1">
        <v>0.4</v>
      </c>
      <c r="AG723" s="1">
        <v>0</v>
      </c>
      <c r="AH723" s="1">
        <v>1</v>
      </c>
      <c r="AI723" s="1" t="s">
        <v>3155</v>
      </c>
      <c r="AJ723" s="1" t="s">
        <v>275</v>
      </c>
      <c r="AK723" s="1" t="s">
        <v>238</v>
      </c>
      <c r="AM723" s="1">
        <v>1</v>
      </c>
      <c r="AV723" s="1">
        <v>1</v>
      </c>
      <c r="AX723" s="1">
        <v>0.1</v>
      </c>
      <c r="BE723" s="1" t="s">
        <v>3153</v>
      </c>
      <c r="BK723" s="1" t="s">
        <v>3156</v>
      </c>
      <c r="BN723" s="1" t="s">
        <v>217</v>
      </c>
      <c r="BO723" s="1" t="s">
        <v>2618</v>
      </c>
      <c r="BP723" s="1" t="s">
        <v>2619</v>
      </c>
      <c r="BQ723" s="1" t="s">
        <v>3157</v>
      </c>
      <c r="BT723" s="1">
        <v>1</v>
      </c>
    </row>
    <row r="724" spans="1:72">
      <c r="A724" s="1" t="s">
        <v>3158</v>
      </c>
      <c r="B724" s="1" t="s">
        <v>213</v>
      </c>
      <c r="C724" s="1">
        <v>1</v>
      </c>
      <c r="D724" s="1" t="s">
        <v>3154</v>
      </c>
      <c r="E724" s="1">
        <v>1530</v>
      </c>
      <c r="F724" s="1" t="s">
        <v>3153</v>
      </c>
      <c r="G724" s="1">
        <v>1</v>
      </c>
      <c r="K724" s="1">
        <v>100000</v>
      </c>
      <c r="M724" s="1">
        <v>1000</v>
      </c>
      <c r="O724" s="1">
        <v>500</v>
      </c>
      <c r="Q724" s="1">
        <v>20</v>
      </c>
      <c r="Y724" s="1">
        <v>0.05</v>
      </c>
      <c r="Z724" s="1">
        <v>5</v>
      </c>
      <c r="AA724" s="1">
        <v>10</v>
      </c>
      <c r="AB724" s="1">
        <v>0.4</v>
      </c>
      <c r="AG724" s="1">
        <v>0</v>
      </c>
      <c r="AH724" s="1">
        <v>1</v>
      </c>
      <c r="AI724" s="1" t="s">
        <v>3159</v>
      </c>
      <c r="AJ724" s="1" t="s">
        <v>275</v>
      </c>
      <c r="AK724" s="1" t="s">
        <v>238</v>
      </c>
      <c r="AM724" s="1">
        <v>1</v>
      </c>
      <c r="AV724" s="1">
        <v>1</v>
      </c>
      <c r="AX724" s="1">
        <v>0.1</v>
      </c>
      <c r="BE724" s="1" t="s">
        <v>3153</v>
      </c>
      <c r="BK724" s="1" t="s">
        <v>3156</v>
      </c>
      <c r="BN724" s="1" t="s">
        <v>217</v>
      </c>
      <c r="BO724" s="1" t="s">
        <v>2618</v>
      </c>
      <c r="BP724" s="1" t="s">
        <v>2619</v>
      </c>
      <c r="BQ724" s="1" t="s">
        <v>3157</v>
      </c>
      <c r="BT724" s="1">
        <v>1</v>
      </c>
    </row>
    <row r="725" spans="1:72">
      <c r="A725" s="1" t="s">
        <v>3160</v>
      </c>
      <c r="B725" s="1" t="s">
        <v>213</v>
      </c>
      <c r="C725" s="1">
        <v>1</v>
      </c>
      <c r="D725" s="1" t="s">
        <v>3161</v>
      </c>
      <c r="E725" s="1">
        <v>1249</v>
      </c>
      <c r="F725" s="1" t="s">
        <v>3160</v>
      </c>
      <c r="G725" s="1">
        <v>1</v>
      </c>
      <c r="K725" s="1">
        <v>4500</v>
      </c>
      <c r="M725" s="1">
        <v>410</v>
      </c>
      <c r="O725" s="1">
        <v>250</v>
      </c>
      <c r="Q725" s="1">
        <v>0</v>
      </c>
      <c r="Y725" s="1">
        <v>0.05</v>
      </c>
      <c r="Z725" s="1">
        <v>2.8</v>
      </c>
      <c r="AA725" s="1">
        <v>2</v>
      </c>
      <c r="AB725" s="1">
        <v>1</v>
      </c>
      <c r="AG725" s="1">
        <v>0</v>
      </c>
      <c r="AH725" s="1">
        <v>1</v>
      </c>
      <c r="AI725" s="1" t="s">
        <v>3162</v>
      </c>
      <c r="AJ725" s="1" t="s">
        <v>275</v>
      </c>
      <c r="AK725" s="1" t="s">
        <v>238</v>
      </c>
      <c r="AM725" s="1">
        <v>1</v>
      </c>
      <c r="AV725" s="1">
        <v>1</v>
      </c>
      <c r="AX725" s="1">
        <v>0.1</v>
      </c>
      <c r="BE725" s="1" t="s">
        <v>3160</v>
      </c>
      <c r="BK725" s="1" t="s">
        <v>953</v>
      </c>
      <c r="BN725" s="1" t="s">
        <v>217</v>
      </c>
      <c r="BO725" s="1" t="s">
        <v>218</v>
      </c>
      <c r="BP725" s="1" t="s">
        <v>239</v>
      </c>
      <c r="BQ725" s="1" t="s">
        <v>220</v>
      </c>
      <c r="BT725" s="1">
        <v>1</v>
      </c>
    </row>
    <row r="726" spans="1:72">
      <c r="A726" s="1" t="s">
        <v>3163</v>
      </c>
      <c r="B726" s="1" t="s">
        <v>213</v>
      </c>
      <c r="C726" s="1">
        <v>1</v>
      </c>
      <c r="D726" s="1" t="s">
        <v>3164</v>
      </c>
      <c r="E726" s="1">
        <v>1249</v>
      </c>
      <c r="F726" s="1" t="s">
        <v>3163</v>
      </c>
      <c r="G726" s="1">
        <v>1</v>
      </c>
      <c r="K726" s="1">
        <v>6000</v>
      </c>
      <c r="M726" s="1">
        <v>485</v>
      </c>
      <c r="O726" s="1">
        <v>300</v>
      </c>
      <c r="Q726" s="1">
        <v>0</v>
      </c>
      <c r="Y726" s="1">
        <v>0.05</v>
      </c>
      <c r="Z726" s="1">
        <v>2.8</v>
      </c>
      <c r="AA726" s="1">
        <v>2</v>
      </c>
      <c r="AB726" s="1">
        <v>1</v>
      </c>
      <c r="AG726" s="1">
        <v>0</v>
      </c>
      <c r="AH726" s="1">
        <v>1</v>
      </c>
      <c r="AI726" s="1" t="s">
        <v>3165</v>
      </c>
      <c r="AJ726" s="1" t="s">
        <v>275</v>
      </c>
      <c r="AK726" s="1" t="s">
        <v>238</v>
      </c>
      <c r="AM726" s="1">
        <v>1</v>
      </c>
      <c r="AV726" s="1">
        <v>1</v>
      </c>
      <c r="AX726" s="1">
        <v>0.1</v>
      </c>
      <c r="BE726" s="1" t="s">
        <v>3163</v>
      </c>
      <c r="BK726" s="1" t="s">
        <v>953</v>
      </c>
      <c r="BN726" s="1" t="s">
        <v>217</v>
      </c>
      <c r="BO726" s="1" t="s">
        <v>218</v>
      </c>
      <c r="BP726" s="1" t="s">
        <v>239</v>
      </c>
      <c r="BQ726" s="1" t="s">
        <v>220</v>
      </c>
      <c r="BT726" s="1">
        <v>1</v>
      </c>
    </row>
    <row r="727" spans="1:72">
      <c r="A727" s="1" t="s">
        <v>3166</v>
      </c>
      <c r="B727" s="1" t="s">
        <v>213</v>
      </c>
      <c r="C727" s="1">
        <v>1</v>
      </c>
      <c r="D727" s="1" t="s">
        <v>3167</v>
      </c>
      <c r="E727" s="1">
        <v>1250</v>
      </c>
      <c r="F727" s="1" t="s">
        <v>3166</v>
      </c>
      <c r="G727" s="1">
        <v>1</v>
      </c>
      <c r="K727" s="1">
        <v>6500</v>
      </c>
      <c r="M727" s="1">
        <v>300</v>
      </c>
      <c r="O727" s="1">
        <v>100</v>
      </c>
      <c r="Q727" s="1">
        <v>60</v>
      </c>
      <c r="Y727" s="1">
        <v>0.05</v>
      </c>
      <c r="Z727" s="1">
        <v>3.8</v>
      </c>
      <c r="AA727" s="1">
        <v>1</v>
      </c>
      <c r="AB727" s="1">
        <v>0.7</v>
      </c>
      <c r="AG727" s="1">
        <v>0</v>
      </c>
      <c r="AH727" s="1">
        <v>1</v>
      </c>
      <c r="AI727" s="1" t="s">
        <v>3168</v>
      </c>
      <c r="AJ727" s="1" t="s">
        <v>275</v>
      </c>
      <c r="AK727" s="1" t="s">
        <v>238</v>
      </c>
      <c r="AM727" s="1">
        <v>1</v>
      </c>
      <c r="AV727" s="1">
        <v>1</v>
      </c>
      <c r="AX727" s="1">
        <v>0.1</v>
      </c>
      <c r="BE727" s="1" t="s">
        <v>3166</v>
      </c>
      <c r="BK727" s="1" t="s">
        <v>959</v>
      </c>
      <c r="BN727" s="1" t="s">
        <v>217</v>
      </c>
      <c r="BO727" s="1" t="s">
        <v>218</v>
      </c>
      <c r="BP727" s="1" t="s">
        <v>239</v>
      </c>
      <c r="BQ727" s="1" t="s">
        <v>220</v>
      </c>
      <c r="BT727" s="1">
        <v>1</v>
      </c>
    </row>
    <row r="728" spans="1:72">
      <c r="A728" s="1" t="s">
        <v>3169</v>
      </c>
      <c r="B728" s="1" t="s">
        <v>213</v>
      </c>
      <c r="C728" s="1">
        <v>1</v>
      </c>
      <c r="D728" s="1" t="s">
        <v>3170</v>
      </c>
      <c r="E728" s="1">
        <v>1250</v>
      </c>
      <c r="F728" s="1" t="s">
        <v>3169</v>
      </c>
      <c r="G728" s="1">
        <v>1</v>
      </c>
      <c r="K728" s="1">
        <v>8000</v>
      </c>
      <c r="M728" s="1">
        <v>375</v>
      </c>
      <c r="O728" s="1">
        <v>100</v>
      </c>
      <c r="Q728" s="1">
        <v>60</v>
      </c>
      <c r="Y728" s="1">
        <v>0.05</v>
      </c>
      <c r="Z728" s="1">
        <v>3.8</v>
      </c>
      <c r="AA728" s="1">
        <v>1</v>
      </c>
      <c r="AB728" s="1">
        <v>0.7</v>
      </c>
      <c r="AG728" s="1">
        <v>0</v>
      </c>
      <c r="AH728" s="1">
        <v>1</v>
      </c>
      <c r="AI728" s="1" t="s">
        <v>3171</v>
      </c>
      <c r="AJ728" s="1" t="s">
        <v>275</v>
      </c>
      <c r="AK728" s="1" t="s">
        <v>238</v>
      </c>
      <c r="AM728" s="1">
        <v>1</v>
      </c>
      <c r="AV728" s="1">
        <v>1</v>
      </c>
      <c r="AX728" s="1">
        <v>0.1</v>
      </c>
      <c r="BE728" s="1" t="s">
        <v>3169</v>
      </c>
      <c r="BK728" s="1" t="s">
        <v>959</v>
      </c>
      <c r="BN728" s="1" t="s">
        <v>217</v>
      </c>
      <c r="BO728" s="1" t="s">
        <v>218</v>
      </c>
      <c r="BP728" s="1" t="s">
        <v>239</v>
      </c>
      <c r="BQ728" s="1" t="s">
        <v>220</v>
      </c>
      <c r="BT728" s="1">
        <v>1</v>
      </c>
    </row>
    <row r="729" spans="1:72">
      <c r="A729" s="1" t="s">
        <v>3172</v>
      </c>
      <c r="B729" s="1" t="s">
        <v>213</v>
      </c>
      <c r="C729" s="1">
        <v>1</v>
      </c>
      <c r="D729" s="1" t="s">
        <v>3173</v>
      </c>
      <c r="E729" s="1">
        <v>1251</v>
      </c>
      <c r="F729" s="1" t="s">
        <v>3172</v>
      </c>
      <c r="G729" s="1">
        <v>1</v>
      </c>
      <c r="K729" s="1">
        <v>2750</v>
      </c>
      <c r="M729" s="1">
        <v>310</v>
      </c>
      <c r="O729" s="1">
        <v>0</v>
      </c>
      <c r="Q729" s="1">
        <v>50</v>
      </c>
      <c r="Y729" s="1">
        <v>0.05</v>
      </c>
      <c r="Z729" s="1">
        <v>1.8</v>
      </c>
      <c r="AA729" s="1">
        <v>0</v>
      </c>
      <c r="AB729" s="1">
        <v>1.5</v>
      </c>
      <c r="AG729" s="1">
        <v>0</v>
      </c>
      <c r="AH729" s="1">
        <v>1</v>
      </c>
      <c r="AI729" s="1" t="s">
        <v>3174</v>
      </c>
      <c r="AJ729" s="1" t="s">
        <v>275</v>
      </c>
      <c r="AK729" s="1" t="s">
        <v>238</v>
      </c>
      <c r="AM729" s="1">
        <v>1</v>
      </c>
      <c r="AV729" s="1">
        <v>1</v>
      </c>
      <c r="AX729" s="1">
        <v>0.1</v>
      </c>
      <c r="BE729" s="1" t="s">
        <v>3172</v>
      </c>
      <c r="BK729" s="1" t="s">
        <v>3175</v>
      </c>
      <c r="BN729" s="1" t="s">
        <v>217</v>
      </c>
      <c r="BO729" s="1" t="s">
        <v>218</v>
      </c>
      <c r="BP729" s="1" t="s">
        <v>239</v>
      </c>
      <c r="BQ729" s="1" t="s">
        <v>220</v>
      </c>
      <c r="BT729" s="1">
        <v>1</v>
      </c>
    </row>
    <row r="730" spans="1:72">
      <c r="A730" s="1" t="s">
        <v>3176</v>
      </c>
      <c r="B730" s="1" t="s">
        <v>213</v>
      </c>
      <c r="C730" s="1">
        <v>1</v>
      </c>
      <c r="D730" s="1" t="s">
        <v>3177</v>
      </c>
      <c r="E730" s="1">
        <v>1251</v>
      </c>
      <c r="F730" s="1" t="s">
        <v>3176</v>
      </c>
      <c r="G730" s="1">
        <v>1</v>
      </c>
      <c r="K730" s="1">
        <v>3200</v>
      </c>
      <c r="M730" s="1">
        <v>360</v>
      </c>
      <c r="O730" s="1">
        <v>50</v>
      </c>
      <c r="Q730" s="1">
        <v>50</v>
      </c>
      <c r="Y730" s="1">
        <v>0.05</v>
      </c>
      <c r="Z730" s="1">
        <v>1.8</v>
      </c>
      <c r="AA730" s="1">
        <v>0</v>
      </c>
      <c r="AB730" s="1">
        <v>1.5</v>
      </c>
      <c r="AG730" s="1">
        <v>0</v>
      </c>
      <c r="AH730" s="1">
        <v>1</v>
      </c>
      <c r="AI730" s="1" t="s">
        <v>3178</v>
      </c>
      <c r="AJ730" s="1" t="s">
        <v>275</v>
      </c>
      <c r="AK730" s="1" t="s">
        <v>238</v>
      </c>
      <c r="AM730" s="1">
        <v>1</v>
      </c>
      <c r="AV730" s="1">
        <v>1</v>
      </c>
      <c r="AX730" s="1">
        <v>0.1</v>
      </c>
      <c r="BE730" s="1" t="s">
        <v>3176</v>
      </c>
      <c r="BK730" s="1" t="s">
        <v>3175</v>
      </c>
      <c r="BN730" s="1" t="s">
        <v>217</v>
      </c>
      <c r="BO730" s="1" t="s">
        <v>218</v>
      </c>
      <c r="BP730" s="1" t="s">
        <v>239</v>
      </c>
      <c r="BQ730" s="1" t="s">
        <v>220</v>
      </c>
      <c r="BT730" s="1">
        <v>1</v>
      </c>
    </row>
    <row r="731" spans="1:72">
      <c r="A731" s="1" t="s">
        <v>3179</v>
      </c>
      <c r="B731" s="1" t="s">
        <v>213</v>
      </c>
      <c r="C731" s="1">
        <v>1</v>
      </c>
      <c r="D731" s="1" t="s">
        <v>3180</v>
      </c>
      <c r="E731" s="1">
        <v>1252</v>
      </c>
      <c r="F731" s="1" t="s">
        <v>3179</v>
      </c>
      <c r="G731" s="1">
        <v>1</v>
      </c>
      <c r="K731" s="1">
        <v>8000</v>
      </c>
      <c r="M731" s="1">
        <v>390</v>
      </c>
      <c r="O731" s="1">
        <v>0</v>
      </c>
      <c r="Q731" s="1">
        <v>50</v>
      </c>
      <c r="Y731" s="1">
        <v>0.05</v>
      </c>
      <c r="Z731" s="1">
        <v>3.2</v>
      </c>
      <c r="AA731" s="1">
        <v>2</v>
      </c>
      <c r="AB731" s="1">
        <v>0.9</v>
      </c>
      <c r="AG731" s="1">
        <v>0</v>
      </c>
      <c r="AH731" s="1">
        <v>1</v>
      </c>
      <c r="AI731" s="1" t="s">
        <v>3181</v>
      </c>
      <c r="AJ731" s="1" t="s">
        <v>275</v>
      </c>
      <c r="AK731" s="1" t="s">
        <v>238</v>
      </c>
      <c r="AM731" s="1">
        <v>1</v>
      </c>
      <c r="AV731" s="1">
        <v>1</v>
      </c>
      <c r="AX731" s="1">
        <v>0.1</v>
      </c>
      <c r="BE731" s="1" t="s">
        <v>3179</v>
      </c>
      <c r="BK731" s="1" t="s">
        <v>3182</v>
      </c>
      <c r="BN731" s="1" t="s">
        <v>217</v>
      </c>
      <c r="BO731" s="1" t="s">
        <v>218</v>
      </c>
      <c r="BP731" s="1" t="s">
        <v>239</v>
      </c>
      <c r="BQ731" s="1" t="s">
        <v>220</v>
      </c>
      <c r="BT731" s="1">
        <v>1</v>
      </c>
    </row>
    <row r="732" spans="1:72">
      <c r="A732" s="1" t="s">
        <v>3183</v>
      </c>
      <c r="B732" s="1" t="s">
        <v>213</v>
      </c>
      <c r="C732" s="1">
        <v>1</v>
      </c>
      <c r="D732" s="1" t="s">
        <v>3184</v>
      </c>
      <c r="E732" s="1">
        <v>1252</v>
      </c>
      <c r="F732" s="1" t="s">
        <v>3183</v>
      </c>
      <c r="G732" s="1">
        <v>1</v>
      </c>
      <c r="K732" s="1">
        <v>9000</v>
      </c>
      <c r="M732" s="1">
        <v>420</v>
      </c>
      <c r="O732" s="1">
        <v>50</v>
      </c>
      <c r="Q732" s="1">
        <v>50</v>
      </c>
      <c r="Y732" s="1">
        <v>0.05</v>
      </c>
      <c r="Z732" s="1">
        <v>3.2</v>
      </c>
      <c r="AA732" s="1">
        <v>2</v>
      </c>
      <c r="AB732" s="1">
        <v>0.9</v>
      </c>
      <c r="AG732" s="1">
        <v>0</v>
      </c>
      <c r="AH732" s="1">
        <v>1</v>
      </c>
      <c r="AI732" s="1" t="s">
        <v>3185</v>
      </c>
      <c r="AJ732" s="1" t="s">
        <v>275</v>
      </c>
      <c r="AK732" s="1" t="s">
        <v>238</v>
      </c>
      <c r="AM732" s="1">
        <v>1</v>
      </c>
      <c r="AV732" s="1">
        <v>1</v>
      </c>
      <c r="AX732" s="1">
        <v>0.1</v>
      </c>
      <c r="BE732" s="1" t="s">
        <v>3183</v>
      </c>
      <c r="BK732" s="1" t="s">
        <v>3182</v>
      </c>
      <c r="BN732" s="1" t="s">
        <v>217</v>
      </c>
      <c r="BO732" s="1" t="s">
        <v>218</v>
      </c>
      <c r="BP732" s="1" t="s">
        <v>239</v>
      </c>
      <c r="BQ732" s="1" t="s">
        <v>220</v>
      </c>
      <c r="BT732" s="1">
        <v>1</v>
      </c>
    </row>
    <row r="733" spans="1:72">
      <c r="A733" s="1" t="s">
        <v>3186</v>
      </c>
      <c r="B733" s="1" t="s">
        <v>213</v>
      </c>
      <c r="C733" s="1">
        <v>1</v>
      </c>
      <c r="D733" s="1" t="s">
        <v>3187</v>
      </c>
      <c r="E733" s="1">
        <v>1253</v>
      </c>
      <c r="F733" s="1" t="s">
        <v>3186</v>
      </c>
      <c r="G733" s="1">
        <v>1</v>
      </c>
      <c r="K733" s="1">
        <v>5000</v>
      </c>
      <c r="M733" s="1">
        <v>500</v>
      </c>
      <c r="O733" s="1">
        <v>1000</v>
      </c>
      <c r="Q733" s="1">
        <v>50</v>
      </c>
      <c r="Y733" s="1">
        <v>0.05</v>
      </c>
      <c r="Z733" s="1">
        <v>3.2</v>
      </c>
      <c r="AA733" s="1">
        <v>3</v>
      </c>
      <c r="AB733" s="1">
        <v>0.8</v>
      </c>
      <c r="AG733" s="1">
        <v>0</v>
      </c>
      <c r="AH733" s="1">
        <v>1</v>
      </c>
      <c r="AI733" s="1" t="s">
        <v>3188</v>
      </c>
      <c r="AJ733" s="1" t="s">
        <v>275</v>
      </c>
      <c r="AK733" s="1" t="s">
        <v>238</v>
      </c>
      <c r="AM733" s="1">
        <v>1</v>
      </c>
      <c r="AV733" s="1">
        <v>1</v>
      </c>
      <c r="AX733" s="1">
        <v>0.1</v>
      </c>
      <c r="BE733" s="1" t="s">
        <v>3186</v>
      </c>
      <c r="BK733" s="1" t="s">
        <v>3189</v>
      </c>
      <c r="BN733" s="1" t="s">
        <v>217</v>
      </c>
      <c r="BO733" s="1" t="s">
        <v>218</v>
      </c>
      <c r="BP733" s="1" t="s">
        <v>239</v>
      </c>
      <c r="BQ733" s="1" t="s">
        <v>220</v>
      </c>
      <c r="BT733" s="1">
        <v>1</v>
      </c>
    </row>
    <row r="734" spans="1:72">
      <c r="A734" s="1" t="s">
        <v>3190</v>
      </c>
      <c r="B734" s="1" t="s">
        <v>213</v>
      </c>
      <c r="C734" s="1">
        <v>1</v>
      </c>
      <c r="D734" s="1" t="s">
        <v>3191</v>
      </c>
      <c r="E734" s="1">
        <v>1253</v>
      </c>
      <c r="F734" s="1" t="s">
        <v>3190</v>
      </c>
      <c r="G734" s="1">
        <v>1</v>
      </c>
      <c r="K734" s="1">
        <v>7500</v>
      </c>
      <c r="M734" s="1">
        <v>600</v>
      </c>
      <c r="O734" s="1">
        <v>1200</v>
      </c>
      <c r="Q734" s="1">
        <v>50</v>
      </c>
      <c r="Y734" s="1">
        <v>0.05</v>
      </c>
      <c r="Z734" s="1">
        <v>3.2</v>
      </c>
      <c r="AA734" s="1">
        <v>3</v>
      </c>
      <c r="AB734" s="1">
        <v>0.8</v>
      </c>
      <c r="AG734" s="1">
        <v>0</v>
      </c>
      <c r="AH734" s="1">
        <v>1</v>
      </c>
      <c r="AI734" s="1" t="s">
        <v>3192</v>
      </c>
      <c r="AJ734" s="1" t="s">
        <v>275</v>
      </c>
      <c r="AK734" s="1" t="s">
        <v>238</v>
      </c>
      <c r="AM734" s="1">
        <v>1</v>
      </c>
      <c r="AV734" s="1">
        <v>1</v>
      </c>
      <c r="AX734" s="1">
        <v>0.1</v>
      </c>
      <c r="BE734" s="1" t="s">
        <v>3190</v>
      </c>
      <c r="BK734" s="1" t="s">
        <v>3189</v>
      </c>
      <c r="BN734" s="1" t="s">
        <v>217</v>
      </c>
      <c r="BO734" s="1" t="s">
        <v>218</v>
      </c>
      <c r="BP734" s="1" t="s">
        <v>239</v>
      </c>
      <c r="BQ734" s="1" t="s">
        <v>220</v>
      </c>
      <c r="BT734" s="1">
        <v>1</v>
      </c>
    </row>
    <row r="735" spans="1:72">
      <c r="A735" s="1" t="s">
        <v>3193</v>
      </c>
      <c r="B735" s="1" t="s">
        <v>213</v>
      </c>
      <c r="C735" s="1">
        <v>1</v>
      </c>
      <c r="D735" s="1" t="s">
        <v>3194</v>
      </c>
      <c r="E735" s="1">
        <v>1254</v>
      </c>
      <c r="F735" s="1" t="s">
        <v>3193</v>
      </c>
      <c r="G735" s="1">
        <v>1</v>
      </c>
      <c r="K735" s="1">
        <v>8000</v>
      </c>
      <c r="M735" s="1">
        <v>750</v>
      </c>
      <c r="O735" s="1">
        <v>700</v>
      </c>
      <c r="Q735" s="1">
        <v>20</v>
      </c>
      <c r="Y735" s="1">
        <v>0.05</v>
      </c>
      <c r="Z735" s="1">
        <v>1.3</v>
      </c>
      <c r="AA735" s="1">
        <v>3</v>
      </c>
      <c r="AB735" s="1">
        <v>1.2</v>
      </c>
      <c r="AG735" s="1">
        <v>0</v>
      </c>
      <c r="AH735" s="1">
        <v>1</v>
      </c>
      <c r="AI735" s="1" t="s">
        <v>3195</v>
      </c>
      <c r="AJ735" s="1" t="s">
        <v>275</v>
      </c>
      <c r="AK735" s="1" t="s">
        <v>238</v>
      </c>
      <c r="AM735" s="1">
        <v>1</v>
      </c>
      <c r="AV735" s="1">
        <v>1</v>
      </c>
      <c r="AX735" s="1">
        <v>0.1</v>
      </c>
      <c r="BE735" s="1" t="s">
        <v>3193</v>
      </c>
      <c r="BK735" s="1" t="s">
        <v>2407</v>
      </c>
      <c r="BN735" s="1" t="s">
        <v>217</v>
      </c>
      <c r="BO735" s="1" t="s">
        <v>218</v>
      </c>
      <c r="BP735" s="1" t="s">
        <v>239</v>
      </c>
      <c r="BQ735" s="1" t="s">
        <v>220</v>
      </c>
      <c r="BT735" s="1">
        <v>1</v>
      </c>
    </row>
    <row r="736" spans="1:72">
      <c r="A736" s="1" t="s">
        <v>3196</v>
      </c>
      <c r="B736" s="1" t="s">
        <v>213</v>
      </c>
      <c r="C736" s="1">
        <v>1</v>
      </c>
      <c r="D736" s="1" t="s">
        <v>3197</v>
      </c>
      <c r="E736" s="1">
        <v>1254</v>
      </c>
      <c r="F736" s="1" t="s">
        <v>3196</v>
      </c>
      <c r="G736" s="1">
        <v>1</v>
      </c>
      <c r="K736" s="1">
        <v>10000</v>
      </c>
      <c r="M736" s="1">
        <v>850</v>
      </c>
      <c r="O736" s="1">
        <v>800</v>
      </c>
      <c r="Q736" s="1">
        <v>20</v>
      </c>
      <c r="Y736" s="1">
        <v>0.05</v>
      </c>
      <c r="Z736" s="1">
        <v>1.3</v>
      </c>
      <c r="AA736" s="1">
        <v>3</v>
      </c>
      <c r="AB736" s="1">
        <v>1.2</v>
      </c>
      <c r="AG736" s="1">
        <v>0</v>
      </c>
      <c r="AH736" s="1">
        <v>1</v>
      </c>
      <c r="AI736" s="1" t="s">
        <v>3198</v>
      </c>
      <c r="AJ736" s="1" t="s">
        <v>275</v>
      </c>
      <c r="AK736" s="1" t="s">
        <v>238</v>
      </c>
      <c r="AM736" s="1">
        <v>1</v>
      </c>
      <c r="AV736" s="1">
        <v>1</v>
      </c>
      <c r="AX736" s="1">
        <v>0.1</v>
      </c>
      <c r="BE736" s="1" t="s">
        <v>3196</v>
      </c>
      <c r="BK736" s="1" t="s">
        <v>2407</v>
      </c>
      <c r="BN736" s="1" t="s">
        <v>217</v>
      </c>
      <c r="BO736" s="1" t="s">
        <v>218</v>
      </c>
      <c r="BP736" s="1" t="s">
        <v>239</v>
      </c>
      <c r="BQ736" s="1" t="s">
        <v>220</v>
      </c>
      <c r="BT736" s="1">
        <v>1</v>
      </c>
    </row>
    <row r="737" spans="1:72">
      <c r="A737" s="1" t="s">
        <v>3199</v>
      </c>
      <c r="B737" s="1" t="s">
        <v>213</v>
      </c>
      <c r="C737" s="1">
        <v>1</v>
      </c>
      <c r="D737" s="1" t="s">
        <v>3200</v>
      </c>
      <c r="E737" s="1">
        <v>1255</v>
      </c>
      <c r="F737" s="1" t="s">
        <v>3199</v>
      </c>
      <c r="G737" s="1">
        <v>1</v>
      </c>
      <c r="K737" s="1">
        <v>25000</v>
      </c>
      <c r="M737" s="1">
        <v>1600</v>
      </c>
      <c r="O737" s="1">
        <v>1200</v>
      </c>
      <c r="Q737" s="1">
        <v>20</v>
      </c>
      <c r="Y737" s="1">
        <v>0.05</v>
      </c>
      <c r="Z737" s="1">
        <v>4</v>
      </c>
      <c r="AA737" s="1">
        <v>5</v>
      </c>
      <c r="AB737" s="1">
        <v>0.3</v>
      </c>
      <c r="AG737" s="1">
        <v>0</v>
      </c>
      <c r="AH737" s="1">
        <v>1</v>
      </c>
      <c r="AI737" s="1" t="s">
        <v>3201</v>
      </c>
      <c r="AJ737" s="1" t="s">
        <v>275</v>
      </c>
      <c r="AK737" s="1" t="s">
        <v>238</v>
      </c>
      <c r="AM737" s="1">
        <v>1</v>
      </c>
      <c r="AV737" s="1">
        <v>1</v>
      </c>
      <c r="AX737" s="1">
        <v>0.1</v>
      </c>
      <c r="BE737" s="1" t="s">
        <v>3199</v>
      </c>
      <c r="BK737" s="1" t="s">
        <v>2407</v>
      </c>
      <c r="BN737" s="1" t="s">
        <v>217</v>
      </c>
      <c r="BO737" s="1" t="s">
        <v>218</v>
      </c>
      <c r="BP737" s="1" t="s">
        <v>239</v>
      </c>
      <c r="BQ737" s="1" t="s">
        <v>3202</v>
      </c>
      <c r="BT737" s="1">
        <v>1</v>
      </c>
    </row>
    <row r="738" spans="1:72">
      <c r="A738" s="1" t="s">
        <v>3203</v>
      </c>
      <c r="B738" s="1" t="s">
        <v>213</v>
      </c>
      <c r="C738" s="1">
        <v>1</v>
      </c>
      <c r="D738" s="1" t="s">
        <v>3204</v>
      </c>
      <c r="E738" s="1">
        <v>1255</v>
      </c>
      <c r="F738" s="1" t="s">
        <v>3203</v>
      </c>
      <c r="G738" s="1">
        <v>1</v>
      </c>
      <c r="K738" s="1">
        <v>32500</v>
      </c>
      <c r="M738" s="1">
        <v>2000</v>
      </c>
      <c r="O738" s="1">
        <v>1500</v>
      </c>
      <c r="Q738" s="1">
        <v>20</v>
      </c>
      <c r="Y738" s="1">
        <v>0.05</v>
      </c>
      <c r="Z738" s="1">
        <v>4</v>
      </c>
      <c r="AA738" s="1">
        <v>5</v>
      </c>
      <c r="AB738" s="1">
        <v>0.3</v>
      </c>
      <c r="AG738" s="1">
        <v>0</v>
      </c>
      <c r="AH738" s="1">
        <v>1</v>
      </c>
      <c r="AI738" s="1" t="s">
        <v>3205</v>
      </c>
      <c r="AJ738" s="1" t="s">
        <v>275</v>
      </c>
      <c r="AK738" s="1" t="s">
        <v>238</v>
      </c>
      <c r="AM738" s="1">
        <v>1</v>
      </c>
      <c r="AV738" s="1">
        <v>1</v>
      </c>
      <c r="AX738" s="1">
        <v>0.1</v>
      </c>
      <c r="BE738" s="1" t="s">
        <v>3203</v>
      </c>
      <c r="BK738" s="1" t="s">
        <v>2407</v>
      </c>
      <c r="BN738" s="1" t="s">
        <v>217</v>
      </c>
      <c r="BO738" s="1" t="s">
        <v>218</v>
      </c>
      <c r="BP738" s="1" t="s">
        <v>239</v>
      </c>
      <c r="BQ738" s="1" t="s">
        <v>3202</v>
      </c>
      <c r="BT738" s="1">
        <v>1</v>
      </c>
    </row>
    <row r="739" spans="1:72">
      <c r="A739" s="1" t="s">
        <v>3206</v>
      </c>
      <c r="B739" s="1" t="s">
        <v>213</v>
      </c>
      <c r="C739" s="1">
        <v>1</v>
      </c>
      <c r="D739" s="1" t="s">
        <v>3207</v>
      </c>
      <c r="E739" s="1">
        <v>1256</v>
      </c>
      <c r="F739" s="1" t="s">
        <v>3206</v>
      </c>
      <c r="G739" s="1">
        <v>1</v>
      </c>
      <c r="K739" s="1">
        <v>25000</v>
      </c>
      <c r="M739" s="1">
        <v>1200</v>
      </c>
      <c r="O739" s="1">
        <v>1200</v>
      </c>
      <c r="Q739" s="1">
        <v>20</v>
      </c>
      <c r="Y739" s="1">
        <v>0.05</v>
      </c>
      <c r="Z739" s="1">
        <v>5</v>
      </c>
      <c r="AA739" s="1">
        <v>5</v>
      </c>
      <c r="AB739" s="1">
        <v>0.3</v>
      </c>
      <c r="AG739" s="1">
        <v>0</v>
      </c>
      <c r="AH739" s="1">
        <v>1</v>
      </c>
      <c r="AI739" s="1" t="s">
        <v>3208</v>
      </c>
      <c r="AJ739" s="1" t="s">
        <v>275</v>
      </c>
      <c r="AK739" s="1" t="s">
        <v>238</v>
      </c>
      <c r="AM739" s="1">
        <v>1</v>
      </c>
      <c r="AV739" s="1">
        <v>1</v>
      </c>
      <c r="AX739" s="1">
        <v>0.1</v>
      </c>
      <c r="BE739" s="1" t="s">
        <v>3206</v>
      </c>
      <c r="BK739" s="1" t="s">
        <v>2398</v>
      </c>
      <c r="BN739" s="1" t="s">
        <v>217</v>
      </c>
      <c r="BO739" s="1" t="s">
        <v>218</v>
      </c>
      <c r="BP739" s="1" t="s">
        <v>239</v>
      </c>
      <c r="BQ739" s="1" t="s">
        <v>3209</v>
      </c>
      <c r="BT739" s="1">
        <v>1</v>
      </c>
    </row>
    <row r="740" spans="1:72">
      <c r="A740" s="1" t="s">
        <v>3210</v>
      </c>
      <c r="B740" s="1" t="s">
        <v>213</v>
      </c>
      <c r="C740" s="1">
        <v>1</v>
      </c>
      <c r="D740" s="1" t="s">
        <v>3211</v>
      </c>
      <c r="E740" s="1">
        <v>1256</v>
      </c>
      <c r="F740" s="1" t="s">
        <v>3210</v>
      </c>
      <c r="G740" s="1">
        <v>1</v>
      </c>
      <c r="K740" s="1">
        <v>32500</v>
      </c>
      <c r="M740" s="1">
        <v>1350</v>
      </c>
      <c r="O740" s="1">
        <v>1500</v>
      </c>
      <c r="Q740" s="1">
        <v>20</v>
      </c>
      <c r="Y740" s="1">
        <v>0.05</v>
      </c>
      <c r="Z740" s="1">
        <v>5</v>
      </c>
      <c r="AA740" s="1">
        <v>5</v>
      </c>
      <c r="AB740" s="1">
        <v>0.3</v>
      </c>
      <c r="AG740" s="1">
        <v>0</v>
      </c>
      <c r="AH740" s="1">
        <v>1</v>
      </c>
      <c r="AI740" s="1" t="s">
        <v>3212</v>
      </c>
      <c r="AJ740" s="1" t="s">
        <v>275</v>
      </c>
      <c r="AK740" s="1" t="s">
        <v>238</v>
      </c>
      <c r="AM740" s="1">
        <v>1</v>
      </c>
      <c r="AV740" s="1">
        <v>1</v>
      </c>
      <c r="AX740" s="1">
        <v>0.1</v>
      </c>
      <c r="BE740" s="1" t="s">
        <v>3210</v>
      </c>
      <c r="BK740" s="1" t="s">
        <v>2398</v>
      </c>
      <c r="BN740" s="1" t="s">
        <v>217</v>
      </c>
      <c r="BO740" s="1" t="s">
        <v>218</v>
      </c>
      <c r="BP740" s="1" t="s">
        <v>239</v>
      </c>
      <c r="BQ740" s="1" t="s">
        <v>3209</v>
      </c>
      <c r="BT740" s="1">
        <v>1</v>
      </c>
    </row>
    <row r="741" spans="1:72">
      <c r="A741" s="1" t="s">
        <v>3213</v>
      </c>
      <c r="B741" s="1" t="s">
        <v>213</v>
      </c>
      <c r="C741" s="1">
        <v>1</v>
      </c>
      <c r="D741" s="1" t="s">
        <v>3200</v>
      </c>
      <c r="E741" s="1">
        <v>1255</v>
      </c>
      <c r="F741" s="1" t="s">
        <v>3199</v>
      </c>
      <c r="G741" s="1">
        <v>1</v>
      </c>
      <c r="K741" s="1">
        <v>25000</v>
      </c>
      <c r="M741" s="1">
        <v>1600</v>
      </c>
      <c r="O741" s="1">
        <v>1200</v>
      </c>
      <c r="Q741" s="1">
        <v>20</v>
      </c>
      <c r="Y741" s="1">
        <v>0.05</v>
      </c>
      <c r="Z741" s="1">
        <v>4</v>
      </c>
      <c r="AA741" s="1">
        <v>5</v>
      </c>
      <c r="AB741" s="1">
        <v>0</v>
      </c>
      <c r="AG741" s="1">
        <v>0</v>
      </c>
      <c r="AH741" s="1">
        <v>1</v>
      </c>
      <c r="AI741" s="1" t="s">
        <v>3214</v>
      </c>
      <c r="AJ741" s="1" t="s">
        <v>275</v>
      </c>
      <c r="AK741" s="1" t="s">
        <v>238</v>
      </c>
      <c r="AM741" s="1">
        <v>1</v>
      </c>
      <c r="AV741" s="1">
        <v>0</v>
      </c>
      <c r="AX741" s="1">
        <v>0.1</v>
      </c>
      <c r="BE741" s="1" t="s">
        <v>3199</v>
      </c>
      <c r="BK741" s="1" t="s">
        <v>3215</v>
      </c>
      <c r="BN741" s="1" t="s">
        <v>217</v>
      </c>
      <c r="BO741" s="1" t="s">
        <v>3216</v>
      </c>
      <c r="BP741" s="1" t="s">
        <v>3216</v>
      </c>
      <c r="BQ741" s="1" t="s">
        <v>3217</v>
      </c>
      <c r="BT741" s="1">
        <v>1</v>
      </c>
    </row>
    <row r="742" spans="1:72">
      <c r="A742" s="1" t="s">
        <v>3218</v>
      </c>
      <c r="B742" s="1" t="s">
        <v>213</v>
      </c>
      <c r="C742" s="1">
        <v>1</v>
      </c>
      <c r="D742" s="1" t="s">
        <v>3204</v>
      </c>
      <c r="E742" s="1">
        <v>1255</v>
      </c>
      <c r="F742" s="1" t="s">
        <v>3203</v>
      </c>
      <c r="G742" s="1">
        <v>1</v>
      </c>
      <c r="K742" s="1">
        <v>32500</v>
      </c>
      <c r="M742" s="1">
        <v>2000</v>
      </c>
      <c r="O742" s="1">
        <v>1500</v>
      </c>
      <c r="Q742" s="1">
        <v>20</v>
      </c>
      <c r="Y742" s="1">
        <v>0.05</v>
      </c>
      <c r="Z742" s="1">
        <v>4</v>
      </c>
      <c r="AA742" s="1">
        <v>5</v>
      </c>
      <c r="AB742" s="1">
        <v>0</v>
      </c>
      <c r="AG742" s="1">
        <v>0</v>
      </c>
      <c r="AH742" s="1">
        <v>1</v>
      </c>
      <c r="AI742" s="1" t="s">
        <v>3219</v>
      </c>
      <c r="AJ742" s="1" t="s">
        <v>275</v>
      </c>
      <c r="AK742" s="1" t="s">
        <v>238</v>
      </c>
      <c r="AM742" s="1">
        <v>1</v>
      </c>
      <c r="AV742" s="1">
        <v>0</v>
      </c>
      <c r="AX742" s="1">
        <v>0.1</v>
      </c>
      <c r="BE742" s="1" t="s">
        <v>3203</v>
      </c>
      <c r="BK742" s="1" t="s">
        <v>3215</v>
      </c>
      <c r="BN742" s="1" t="s">
        <v>217</v>
      </c>
      <c r="BO742" s="1" t="s">
        <v>3216</v>
      </c>
      <c r="BP742" s="1" t="s">
        <v>3216</v>
      </c>
      <c r="BQ742" s="1" t="s">
        <v>3217</v>
      </c>
      <c r="BT742" s="1">
        <v>1</v>
      </c>
    </row>
    <row r="743" spans="1:72">
      <c r="A743" s="1" t="s">
        <v>3220</v>
      </c>
      <c r="B743" s="1" t="s">
        <v>213</v>
      </c>
      <c r="C743" s="1">
        <v>1</v>
      </c>
      <c r="D743" s="1" t="s">
        <v>3207</v>
      </c>
      <c r="E743" s="1">
        <v>1256</v>
      </c>
      <c r="F743" s="1" t="s">
        <v>3206</v>
      </c>
      <c r="G743" s="1">
        <v>1</v>
      </c>
      <c r="K743" s="1">
        <v>25000</v>
      </c>
      <c r="M743" s="1">
        <v>1200</v>
      </c>
      <c r="O743" s="1">
        <v>1200</v>
      </c>
      <c r="Q743" s="1">
        <v>20</v>
      </c>
      <c r="Y743" s="1">
        <v>0.05</v>
      </c>
      <c r="Z743" s="1">
        <v>5</v>
      </c>
      <c r="AA743" s="1">
        <v>5</v>
      </c>
      <c r="AB743" s="1">
        <v>0</v>
      </c>
      <c r="AG743" s="1">
        <v>0</v>
      </c>
      <c r="AH743" s="1">
        <v>1</v>
      </c>
      <c r="AI743" s="1" t="s">
        <v>3221</v>
      </c>
      <c r="AJ743" s="1" t="s">
        <v>275</v>
      </c>
      <c r="AK743" s="1" t="s">
        <v>238</v>
      </c>
      <c r="AM743" s="1">
        <v>1</v>
      </c>
      <c r="AV743" s="1">
        <v>0</v>
      </c>
      <c r="AX743" s="1">
        <v>0.1</v>
      </c>
      <c r="BE743" s="1" t="s">
        <v>3206</v>
      </c>
      <c r="BK743" s="1" t="s">
        <v>3215</v>
      </c>
      <c r="BN743" s="1" t="s">
        <v>217</v>
      </c>
      <c r="BO743" s="1" t="s">
        <v>3216</v>
      </c>
      <c r="BP743" s="1" t="s">
        <v>3216</v>
      </c>
      <c r="BQ743" s="1" t="s">
        <v>3222</v>
      </c>
      <c r="BT743" s="1">
        <v>1</v>
      </c>
    </row>
    <row r="744" spans="1:72">
      <c r="A744" s="1" t="s">
        <v>3223</v>
      </c>
      <c r="B744" s="1" t="s">
        <v>213</v>
      </c>
      <c r="C744" s="1">
        <v>1</v>
      </c>
      <c r="D744" s="1" t="s">
        <v>3211</v>
      </c>
      <c r="E744" s="1">
        <v>1256</v>
      </c>
      <c r="F744" s="1" t="s">
        <v>3210</v>
      </c>
      <c r="G744" s="1">
        <v>1</v>
      </c>
      <c r="K744" s="1">
        <v>32500</v>
      </c>
      <c r="M744" s="1">
        <v>1350</v>
      </c>
      <c r="O744" s="1">
        <v>1500</v>
      </c>
      <c r="Q744" s="1">
        <v>20</v>
      </c>
      <c r="Y744" s="1">
        <v>0.05</v>
      </c>
      <c r="Z744" s="1">
        <v>5</v>
      </c>
      <c r="AA744" s="1">
        <v>5</v>
      </c>
      <c r="AB744" s="1">
        <v>0</v>
      </c>
      <c r="AG744" s="1">
        <v>0</v>
      </c>
      <c r="AH744" s="1">
        <v>1</v>
      </c>
      <c r="AI744" s="1" t="s">
        <v>3224</v>
      </c>
      <c r="AJ744" s="1" t="s">
        <v>275</v>
      </c>
      <c r="AK744" s="1" t="s">
        <v>238</v>
      </c>
      <c r="AM744" s="1">
        <v>1</v>
      </c>
      <c r="AV744" s="1">
        <v>0</v>
      </c>
      <c r="AX744" s="1">
        <v>0.1</v>
      </c>
      <c r="BE744" s="1" t="s">
        <v>3210</v>
      </c>
      <c r="BK744" s="1" t="s">
        <v>3215</v>
      </c>
      <c r="BN744" s="1" t="s">
        <v>217</v>
      </c>
      <c r="BO744" s="1" t="s">
        <v>3216</v>
      </c>
      <c r="BP744" s="1" t="s">
        <v>3216</v>
      </c>
      <c r="BQ744" s="1" t="s">
        <v>3222</v>
      </c>
      <c r="BT744" s="1">
        <v>1</v>
      </c>
    </row>
    <row r="745" spans="1:72">
      <c r="A745" s="1" t="s">
        <v>3225</v>
      </c>
      <c r="B745" s="1" t="s">
        <v>213</v>
      </c>
      <c r="C745" s="1">
        <v>1</v>
      </c>
      <c r="D745" s="1" t="s">
        <v>3226</v>
      </c>
      <c r="E745" s="1">
        <v>1257</v>
      </c>
      <c r="F745" s="1" t="s">
        <v>3225</v>
      </c>
      <c r="G745" s="1">
        <v>1</v>
      </c>
      <c r="K745" s="1">
        <v>37500</v>
      </c>
      <c r="M745" s="1">
        <v>650</v>
      </c>
      <c r="O745" s="1">
        <v>600</v>
      </c>
      <c r="Q745" s="1">
        <v>0</v>
      </c>
      <c r="Y745" s="1">
        <v>0.05</v>
      </c>
      <c r="Z745" s="1">
        <v>3</v>
      </c>
      <c r="AA745" s="1">
        <v>10</v>
      </c>
      <c r="AB745" s="1">
        <v>0.5</v>
      </c>
      <c r="AG745" s="1">
        <v>0</v>
      </c>
      <c r="AH745" s="1">
        <v>1</v>
      </c>
      <c r="AI745" s="1" t="s">
        <v>3227</v>
      </c>
      <c r="AJ745" s="1" t="s">
        <v>275</v>
      </c>
      <c r="AK745" s="1" t="s">
        <v>238</v>
      </c>
      <c r="AM745" s="1">
        <v>1</v>
      </c>
      <c r="AV745" s="1">
        <v>0</v>
      </c>
      <c r="AX745" s="1">
        <v>0.1</v>
      </c>
      <c r="BE745" s="1" t="s">
        <v>3225</v>
      </c>
      <c r="BK745" s="1" t="s">
        <v>980</v>
      </c>
      <c r="BN745" s="1" t="s">
        <v>217</v>
      </c>
      <c r="BO745" s="1" t="s">
        <v>3228</v>
      </c>
      <c r="BP745" s="1" t="s">
        <v>3229</v>
      </c>
      <c r="BQ745" s="1" t="s">
        <v>3230</v>
      </c>
      <c r="BT745" s="1">
        <v>1</v>
      </c>
    </row>
    <row r="746" spans="1:72">
      <c r="A746" s="1" t="s">
        <v>3231</v>
      </c>
      <c r="B746" s="1" t="s">
        <v>213</v>
      </c>
      <c r="C746" s="1">
        <v>1</v>
      </c>
      <c r="D746" s="1" t="s">
        <v>3232</v>
      </c>
      <c r="E746" s="1">
        <v>1531</v>
      </c>
      <c r="F746" s="1" t="s">
        <v>3231</v>
      </c>
      <c r="G746" s="1">
        <v>1</v>
      </c>
      <c r="K746" s="1">
        <v>37500</v>
      </c>
      <c r="M746" s="1">
        <v>1200</v>
      </c>
      <c r="O746" s="1">
        <v>650</v>
      </c>
      <c r="Q746" s="1">
        <v>50</v>
      </c>
      <c r="Y746" s="1">
        <v>0.05</v>
      </c>
      <c r="Z746" s="1">
        <v>5</v>
      </c>
      <c r="AA746" s="1">
        <v>10</v>
      </c>
      <c r="AB746" s="1">
        <v>0.5</v>
      </c>
      <c r="AG746" s="1">
        <v>0</v>
      </c>
      <c r="AH746" s="1">
        <v>1</v>
      </c>
      <c r="AI746" s="1" t="s">
        <v>3233</v>
      </c>
      <c r="AJ746" s="1" t="s">
        <v>275</v>
      </c>
      <c r="AK746" s="1" t="s">
        <v>238</v>
      </c>
      <c r="AM746" s="1">
        <v>1</v>
      </c>
      <c r="AV746" s="1">
        <v>1</v>
      </c>
      <c r="AX746" s="1">
        <v>0.1</v>
      </c>
      <c r="BE746" s="1" t="s">
        <v>3231</v>
      </c>
      <c r="BK746" s="1" t="s">
        <v>1351</v>
      </c>
      <c r="BN746" s="1" t="s">
        <v>217</v>
      </c>
      <c r="BO746" s="1" t="s">
        <v>218</v>
      </c>
      <c r="BP746" s="1" t="s">
        <v>218</v>
      </c>
      <c r="BQ746" s="1" t="s">
        <v>3234</v>
      </c>
      <c r="BT746" s="1">
        <v>1</v>
      </c>
    </row>
    <row r="747" spans="1:72">
      <c r="A747" s="1" t="s">
        <v>3235</v>
      </c>
      <c r="B747" s="1" t="s">
        <v>213</v>
      </c>
      <c r="C747" s="1">
        <v>1</v>
      </c>
      <c r="D747" s="1" t="s">
        <v>3232</v>
      </c>
      <c r="E747" s="1">
        <v>1531</v>
      </c>
      <c r="F747" s="1" t="s">
        <v>3231</v>
      </c>
      <c r="G747" s="1">
        <v>1</v>
      </c>
      <c r="K747" s="1">
        <v>50000</v>
      </c>
      <c r="M747" s="1">
        <v>1350</v>
      </c>
      <c r="O747" s="1">
        <v>750</v>
      </c>
      <c r="Q747" s="1">
        <v>50</v>
      </c>
      <c r="Y747" s="1">
        <v>0.05</v>
      </c>
      <c r="Z747" s="1">
        <v>5</v>
      </c>
      <c r="AA747" s="1">
        <v>10</v>
      </c>
      <c r="AB747" s="1">
        <v>0.5</v>
      </c>
      <c r="AG747" s="1">
        <v>0</v>
      </c>
      <c r="AH747" s="1">
        <v>1</v>
      </c>
      <c r="AI747" s="1" t="s">
        <v>3236</v>
      </c>
      <c r="AJ747" s="1" t="s">
        <v>275</v>
      </c>
      <c r="AK747" s="1" t="s">
        <v>238</v>
      </c>
      <c r="AM747" s="1">
        <v>1</v>
      </c>
      <c r="AV747" s="1">
        <v>1</v>
      </c>
      <c r="AX747" s="1">
        <v>0.1</v>
      </c>
      <c r="BE747" s="1" t="s">
        <v>3231</v>
      </c>
      <c r="BK747" s="1" t="s">
        <v>1351</v>
      </c>
      <c r="BN747" s="1" t="s">
        <v>217</v>
      </c>
      <c r="BO747" s="1" t="s">
        <v>218</v>
      </c>
      <c r="BP747" s="1" t="s">
        <v>218</v>
      </c>
      <c r="BQ747" s="1" t="s">
        <v>3234</v>
      </c>
      <c r="BT747" s="1">
        <v>1</v>
      </c>
    </row>
    <row r="748" spans="1:72">
      <c r="A748" s="1" t="s">
        <v>3237</v>
      </c>
      <c r="B748" s="1" t="s">
        <v>213</v>
      </c>
      <c r="C748" s="1">
        <v>1</v>
      </c>
      <c r="D748" s="1" t="s">
        <v>3238</v>
      </c>
      <c r="E748" s="1">
        <v>1258</v>
      </c>
      <c r="F748" s="1" t="s">
        <v>3237</v>
      </c>
      <c r="G748" s="1">
        <v>1</v>
      </c>
      <c r="K748" s="1">
        <v>2800</v>
      </c>
      <c r="M748" s="1">
        <v>300</v>
      </c>
      <c r="O748" s="1">
        <v>100</v>
      </c>
      <c r="Q748" s="1">
        <v>50</v>
      </c>
      <c r="Y748" s="1">
        <v>0.05</v>
      </c>
      <c r="Z748" s="1">
        <v>2</v>
      </c>
      <c r="AA748" s="1">
        <v>1</v>
      </c>
      <c r="AB748" s="1">
        <v>1.1</v>
      </c>
      <c r="AG748" s="1">
        <v>0</v>
      </c>
      <c r="AH748" s="1">
        <v>1</v>
      </c>
      <c r="AI748" s="1" t="s">
        <v>3239</v>
      </c>
      <c r="AJ748" s="1" t="s">
        <v>275</v>
      </c>
      <c r="AK748" s="1" t="s">
        <v>238</v>
      </c>
      <c r="AM748" s="1">
        <v>1</v>
      </c>
      <c r="AV748" s="1">
        <v>1</v>
      </c>
      <c r="AX748" s="1">
        <v>0.1</v>
      </c>
      <c r="BE748" s="1" t="s">
        <v>3237</v>
      </c>
      <c r="BK748" s="1" t="s">
        <v>953</v>
      </c>
      <c r="BN748" s="1" t="s">
        <v>217</v>
      </c>
      <c r="BO748" s="1" t="s">
        <v>218</v>
      </c>
      <c r="BP748" s="1" t="s">
        <v>239</v>
      </c>
      <c r="BQ748" s="1" t="s">
        <v>220</v>
      </c>
      <c r="BT748" s="1">
        <v>1</v>
      </c>
    </row>
    <row r="749" spans="1:72">
      <c r="A749" s="1" t="s">
        <v>3240</v>
      </c>
      <c r="B749" s="1" t="s">
        <v>213</v>
      </c>
      <c r="C749" s="1">
        <v>1</v>
      </c>
      <c r="D749" s="1" t="s">
        <v>3241</v>
      </c>
      <c r="E749" s="1">
        <v>1258</v>
      </c>
      <c r="F749" s="1" t="s">
        <v>3240</v>
      </c>
      <c r="G749" s="1">
        <v>1</v>
      </c>
      <c r="K749" s="1">
        <v>3600</v>
      </c>
      <c r="M749" s="1">
        <v>400</v>
      </c>
      <c r="O749" s="1">
        <v>150</v>
      </c>
      <c r="Q749" s="1">
        <v>50</v>
      </c>
      <c r="Y749" s="1">
        <v>0.05</v>
      </c>
      <c r="Z749" s="1">
        <v>2</v>
      </c>
      <c r="AA749" s="1">
        <v>1</v>
      </c>
      <c r="AB749" s="1">
        <v>1.1</v>
      </c>
      <c r="AG749" s="1">
        <v>0</v>
      </c>
      <c r="AH749" s="1">
        <v>1</v>
      </c>
      <c r="AI749" s="1" t="s">
        <v>3242</v>
      </c>
      <c r="AJ749" s="1" t="s">
        <v>275</v>
      </c>
      <c r="AK749" s="1" t="s">
        <v>238</v>
      </c>
      <c r="AM749" s="1">
        <v>1</v>
      </c>
      <c r="AV749" s="1">
        <v>1</v>
      </c>
      <c r="AX749" s="1">
        <v>0.1</v>
      </c>
      <c r="BE749" s="1" t="s">
        <v>3240</v>
      </c>
      <c r="BK749" s="1" t="s">
        <v>953</v>
      </c>
      <c r="BN749" s="1" t="s">
        <v>217</v>
      </c>
      <c r="BO749" s="1" t="s">
        <v>218</v>
      </c>
      <c r="BP749" s="1" t="s">
        <v>239</v>
      </c>
      <c r="BQ749" s="1" t="s">
        <v>220</v>
      </c>
      <c r="BT749" s="1">
        <v>1</v>
      </c>
    </row>
    <row r="750" spans="1:72">
      <c r="A750" s="1" t="s">
        <v>3243</v>
      </c>
      <c r="B750" s="1" t="s">
        <v>213</v>
      </c>
      <c r="C750" s="1">
        <v>1</v>
      </c>
      <c r="D750" s="1" t="s">
        <v>3244</v>
      </c>
      <c r="E750" s="1">
        <v>1259</v>
      </c>
      <c r="F750" s="1" t="s">
        <v>3243</v>
      </c>
      <c r="G750" s="1">
        <v>1</v>
      </c>
      <c r="K750" s="1">
        <v>4000</v>
      </c>
      <c r="M750" s="1">
        <v>320</v>
      </c>
      <c r="O750" s="1">
        <v>250</v>
      </c>
      <c r="Q750" s="1">
        <v>50</v>
      </c>
      <c r="Y750" s="1">
        <v>0.05</v>
      </c>
      <c r="Z750" s="1">
        <v>0.4</v>
      </c>
      <c r="AA750" s="1">
        <v>2</v>
      </c>
      <c r="AB750" s="1">
        <v>0.95</v>
      </c>
      <c r="AG750" s="1">
        <v>0</v>
      </c>
      <c r="AH750" s="1">
        <v>1</v>
      </c>
      <c r="AI750" s="1" t="s">
        <v>3245</v>
      </c>
      <c r="AJ750" s="1" t="s">
        <v>275</v>
      </c>
      <c r="AK750" s="1" t="s">
        <v>238</v>
      </c>
      <c r="AM750" s="1">
        <v>1</v>
      </c>
      <c r="AV750" s="1">
        <v>1</v>
      </c>
      <c r="AX750" s="1">
        <v>0.1</v>
      </c>
      <c r="BE750" s="1" t="s">
        <v>3243</v>
      </c>
      <c r="BK750" s="1" t="s">
        <v>953</v>
      </c>
      <c r="BN750" s="1" t="s">
        <v>217</v>
      </c>
      <c r="BO750" s="1" t="s">
        <v>218</v>
      </c>
      <c r="BP750" s="1" t="s">
        <v>239</v>
      </c>
      <c r="BQ750" s="1" t="s">
        <v>220</v>
      </c>
      <c r="BT750" s="1">
        <v>1</v>
      </c>
    </row>
    <row r="751" spans="1:72">
      <c r="A751" s="1" t="s">
        <v>3246</v>
      </c>
      <c r="B751" s="1" t="s">
        <v>213</v>
      </c>
      <c r="C751" s="1">
        <v>1</v>
      </c>
      <c r="D751" s="1" t="s">
        <v>3247</v>
      </c>
      <c r="E751" s="1">
        <v>1259</v>
      </c>
      <c r="F751" s="1" t="s">
        <v>3246</v>
      </c>
      <c r="G751" s="1">
        <v>1</v>
      </c>
      <c r="K751" s="1">
        <v>6000</v>
      </c>
      <c r="M751" s="1">
        <v>420</v>
      </c>
      <c r="O751" s="1">
        <v>250</v>
      </c>
      <c r="Q751" s="1">
        <v>50</v>
      </c>
      <c r="Y751" s="1">
        <v>0.05</v>
      </c>
      <c r="Z751" s="1">
        <v>0.4</v>
      </c>
      <c r="AA751" s="1">
        <v>2</v>
      </c>
      <c r="AB751" s="1">
        <v>0.95</v>
      </c>
      <c r="AG751" s="1">
        <v>0</v>
      </c>
      <c r="AH751" s="1">
        <v>1</v>
      </c>
      <c r="AI751" s="1" t="s">
        <v>3248</v>
      </c>
      <c r="AJ751" s="1" t="s">
        <v>275</v>
      </c>
      <c r="AK751" s="1" t="s">
        <v>238</v>
      </c>
      <c r="AM751" s="1">
        <v>1</v>
      </c>
      <c r="AV751" s="1">
        <v>1</v>
      </c>
      <c r="AX751" s="1">
        <v>0.1</v>
      </c>
      <c r="BE751" s="1" t="s">
        <v>3246</v>
      </c>
      <c r="BK751" s="1" t="s">
        <v>953</v>
      </c>
      <c r="BN751" s="1" t="s">
        <v>217</v>
      </c>
      <c r="BO751" s="1" t="s">
        <v>218</v>
      </c>
      <c r="BP751" s="1" t="s">
        <v>239</v>
      </c>
      <c r="BQ751" s="1" t="s">
        <v>220</v>
      </c>
      <c r="BT751" s="1">
        <v>1</v>
      </c>
    </row>
    <row r="752" spans="1:72">
      <c r="A752" s="1" t="s">
        <v>3249</v>
      </c>
      <c r="B752" s="1" t="s">
        <v>213</v>
      </c>
      <c r="C752" s="1">
        <v>1</v>
      </c>
      <c r="D752" s="1" t="s">
        <v>3250</v>
      </c>
      <c r="E752" s="1">
        <v>1260</v>
      </c>
      <c r="F752" s="1" t="s">
        <v>3249</v>
      </c>
      <c r="G752" s="1">
        <v>1</v>
      </c>
      <c r="K752" s="1">
        <v>3500</v>
      </c>
      <c r="M752" s="1">
        <v>150</v>
      </c>
      <c r="O752" s="1">
        <v>300</v>
      </c>
      <c r="Q752" s="1">
        <v>50</v>
      </c>
      <c r="Y752" s="1">
        <v>0.05</v>
      </c>
      <c r="Z752" s="1">
        <v>1.5</v>
      </c>
      <c r="AA752" s="1">
        <v>2</v>
      </c>
      <c r="AB752" s="1">
        <v>0.7</v>
      </c>
      <c r="AG752" s="1">
        <v>0</v>
      </c>
      <c r="AH752" s="1">
        <v>1</v>
      </c>
      <c r="AI752" s="1" t="s">
        <v>3251</v>
      </c>
      <c r="AJ752" s="1" t="s">
        <v>275</v>
      </c>
      <c r="AK752" s="1" t="s">
        <v>238</v>
      </c>
      <c r="AM752" s="1">
        <v>1</v>
      </c>
      <c r="AV752" s="1">
        <v>1</v>
      </c>
      <c r="AX752" s="1">
        <v>0.1</v>
      </c>
      <c r="BE752" s="1" t="s">
        <v>3249</v>
      </c>
      <c r="BK752" s="1" t="s">
        <v>959</v>
      </c>
      <c r="BN752" s="1" t="s">
        <v>217</v>
      </c>
      <c r="BO752" s="1" t="s">
        <v>218</v>
      </c>
      <c r="BP752" s="1" t="s">
        <v>239</v>
      </c>
      <c r="BQ752" s="1" t="s">
        <v>220</v>
      </c>
      <c r="BT752" s="1">
        <v>1</v>
      </c>
    </row>
    <row r="753" spans="1:72">
      <c r="A753" s="1" t="s">
        <v>3252</v>
      </c>
      <c r="B753" s="1" t="s">
        <v>213</v>
      </c>
      <c r="C753" s="1">
        <v>1</v>
      </c>
      <c r="D753" s="1" t="s">
        <v>3253</v>
      </c>
      <c r="E753" s="1">
        <v>1260</v>
      </c>
      <c r="F753" s="1" t="s">
        <v>3252</v>
      </c>
      <c r="G753" s="1">
        <v>1</v>
      </c>
      <c r="K753" s="1">
        <v>5000</v>
      </c>
      <c r="M753" s="1">
        <v>200</v>
      </c>
      <c r="O753" s="1">
        <v>300</v>
      </c>
      <c r="Q753" s="1">
        <v>50</v>
      </c>
      <c r="Y753" s="1">
        <v>0.05</v>
      </c>
      <c r="Z753" s="1">
        <v>1.5</v>
      </c>
      <c r="AA753" s="1">
        <v>2</v>
      </c>
      <c r="AB753" s="1">
        <v>0.7</v>
      </c>
      <c r="AG753" s="1">
        <v>0</v>
      </c>
      <c r="AH753" s="1">
        <v>1</v>
      </c>
      <c r="AI753" s="1" t="s">
        <v>3254</v>
      </c>
      <c r="AJ753" s="1" t="s">
        <v>275</v>
      </c>
      <c r="AK753" s="1" t="s">
        <v>238</v>
      </c>
      <c r="AM753" s="1">
        <v>1</v>
      </c>
      <c r="AV753" s="1">
        <v>1</v>
      </c>
      <c r="AX753" s="1">
        <v>0.1</v>
      </c>
      <c r="BE753" s="1" t="s">
        <v>3252</v>
      </c>
      <c r="BK753" s="1" t="s">
        <v>959</v>
      </c>
      <c r="BN753" s="1" t="s">
        <v>217</v>
      </c>
      <c r="BO753" s="1" t="s">
        <v>218</v>
      </c>
      <c r="BP753" s="1" t="s">
        <v>239</v>
      </c>
      <c r="BQ753" s="1" t="s">
        <v>220</v>
      </c>
      <c r="BT753" s="1">
        <v>1</v>
      </c>
    </row>
    <row r="754" spans="1:72">
      <c r="A754" s="1" t="s">
        <v>3255</v>
      </c>
      <c r="B754" s="1" t="s">
        <v>213</v>
      </c>
      <c r="C754" s="1">
        <v>1</v>
      </c>
      <c r="D754" s="1" t="s">
        <v>3256</v>
      </c>
      <c r="E754" s="1">
        <v>1261</v>
      </c>
      <c r="F754" s="1" t="s">
        <v>3255</v>
      </c>
      <c r="G754" s="1">
        <v>1</v>
      </c>
      <c r="K754" s="1">
        <v>6000</v>
      </c>
      <c r="M754" s="1">
        <v>350</v>
      </c>
      <c r="O754" s="1">
        <v>400</v>
      </c>
      <c r="Q754" s="1">
        <v>10</v>
      </c>
      <c r="Y754" s="1">
        <v>0.05</v>
      </c>
      <c r="Z754" s="1">
        <v>2.5</v>
      </c>
      <c r="AA754" s="1">
        <v>3</v>
      </c>
      <c r="AB754" s="1">
        <v>0.8</v>
      </c>
      <c r="AG754" s="1">
        <v>0</v>
      </c>
      <c r="AH754" s="1">
        <v>1</v>
      </c>
      <c r="AI754" s="1" t="s">
        <v>3257</v>
      </c>
      <c r="AJ754" s="1" t="s">
        <v>275</v>
      </c>
      <c r="AK754" s="1" t="s">
        <v>238</v>
      </c>
      <c r="AM754" s="1">
        <v>1</v>
      </c>
      <c r="AV754" s="1">
        <v>1</v>
      </c>
      <c r="AX754" s="1">
        <v>0.1</v>
      </c>
      <c r="BE754" s="1" t="s">
        <v>3255</v>
      </c>
      <c r="BK754" s="1" t="s">
        <v>3258</v>
      </c>
      <c r="BN754" s="1" t="s">
        <v>217</v>
      </c>
      <c r="BO754" s="1" t="s">
        <v>218</v>
      </c>
      <c r="BP754" s="1" t="s">
        <v>239</v>
      </c>
      <c r="BQ754" s="1" t="s">
        <v>220</v>
      </c>
      <c r="BT754" s="1">
        <v>1</v>
      </c>
    </row>
    <row r="755" spans="1:72">
      <c r="A755" s="1" t="s">
        <v>3259</v>
      </c>
      <c r="B755" s="1" t="s">
        <v>213</v>
      </c>
      <c r="C755" s="1">
        <v>1</v>
      </c>
      <c r="D755" s="1" t="s">
        <v>3260</v>
      </c>
      <c r="E755" s="1">
        <v>1261</v>
      </c>
      <c r="F755" s="1" t="s">
        <v>3259</v>
      </c>
      <c r="G755" s="1">
        <v>1</v>
      </c>
      <c r="K755" s="1">
        <v>8000</v>
      </c>
      <c r="M755" s="1">
        <v>450</v>
      </c>
      <c r="O755" s="1">
        <v>400</v>
      </c>
      <c r="Q755" s="1">
        <v>10</v>
      </c>
      <c r="Y755" s="1">
        <v>0.05</v>
      </c>
      <c r="Z755" s="1">
        <v>2.5</v>
      </c>
      <c r="AA755" s="1">
        <v>3</v>
      </c>
      <c r="AB755" s="1">
        <v>0.8</v>
      </c>
      <c r="AG755" s="1">
        <v>0</v>
      </c>
      <c r="AH755" s="1">
        <v>1</v>
      </c>
      <c r="AI755" s="1" t="s">
        <v>3261</v>
      </c>
      <c r="AJ755" s="1" t="s">
        <v>275</v>
      </c>
      <c r="AK755" s="1" t="s">
        <v>238</v>
      </c>
      <c r="AM755" s="1">
        <v>1</v>
      </c>
      <c r="AV755" s="1">
        <v>1</v>
      </c>
      <c r="AX755" s="1">
        <v>0.1</v>
      </c>
      <c r="BE755" s="1" t="s">
        <v>3259</v>
      </c>
      <c r="BK755" s="1" t="s">
        <v>3258</v>
      </c>
      <c r="BN755" s="1" t="s">
        <v>217</v>
      </c>
      <c r="BO755" s="1" t="s">
        <v>218</v>
      </c>
      <c r="BP755" s="1" t="s">
        <v>239</v>
      </c>
      <c r="BQ755" s="1" t="s">
        <v>220</v>
      </c>
      <c r="BT755" s="1">
        <v>1</v>
      </c>
    </row>
    <row r="756" spans="1:72">
      <c r="A756" s="1" t="s">
        <v>3262</v>
      </c>
      <c r="B756" s="1" t="s">
        <v>213</v>
      </c>
      <c r="C756" s="1">
        <v>1</v>
      </c>
      <c r="D756" s="1" t="s">
        <v>3263</v>
      </c>
      <c r="E756" s="1">
        <v>1262</v>
      </c>
      <c r="F756" s="1" t="s">
        <v>3262</v>
      </c>
      <c r="G756" s="1">
        <v>1</v>
      </c>
      <c r="K756" s="1">
        <v>8000</v>
      </c>
      <c r="M756" s="1">
        <v>400</v>
      </c>
      <c r="O756" s="1">
        <v>800</v>
      </c>
      <c r="Q756" s="1">
        <v>10</v>
      </c>
      <c r="Y756" s="1">
        <v>0.05</v>
      </c>
      <c r="Z756" s="1">
        <v>3</v>
      </c>
      <c r="AA756" s="1">
        <v>3</v>
      </c>
      <c r="AB756" s="1">
        <v>0.75</v>
      </c>
      <c r="AG756" s="1">
        <v>0</v>
      </c>
      <c r="AH756" s="1">
        <v>1</v>
      </c>
      <c r="AI756" s="1" t="s">
        <v>3264</v>
      </c>
      <c r="AJ756" s="1" t="s">
        <v>275</v>
      </c>
      <c r="AK756" s="1" t="s">
        <v>238</v>
      </c>
      <c r="AM756" s="1">
        <v>1</v>
      </c>
      <c r="AV756" s="1">
        <v>1</v>
      </c>
      <c r="AX756" s="1">
        <v>0.1</v>
      </c>
      <c r="BE756" s="1" t="s">
        <v>3262</v>
      </c>
      <c r="BK756" s="1" t="s">
        <v>2407</v>
      </c>
      <c r="BN756" s="1" t="s">
        <v>217</v>
      </c>
      <c r="BO756" s="1" t="s">
        <v>218</v>
      </c>
      <c r="BP756" s="1" t="s">
        <v>239</v>
      </c>
      <c r="BQ756" s="1" t="s">
        <v>220</v>
      </c>
      <c r="BT756" s="1">
        <v>1</v>
      </c>
    </row>
    <row r="757" spans="1:72">
      <c r="A757" s="1" t="s">
        <v>3265</v>
      </c>
      <c r="B757" s="1" t="s">
        <v>213</v>
      </c>
      <c r="C757" s="1">
        <v>1</v>
      </c>
      <c r="D757" s="1" t="s">
        <v>3266</v>
      </c>
      <c r="E757" s="1">
        <v>1262</v>
      </c>
      <c r="F757" s="1" t="s">
        <v>3265</v>
      </c>
      <c r="G757" s="1">
        <v>1</v>
      </c>
      <c r="K757" s="1">
        <v>12000</v>
      </c>
      <c r="M757" s="1">
        <v>500</v>
      </c>
      <c r="O757" s="1">
        <v>1000</v>
      </c>
      <c r="Q757" s="1">
        <v>10</v>
      </c>
      <c r="Y757" s="1">
        <v>0.05</v>
      </c>
      <c r="Z757" s="1">
        <v>3</v>
      </c>
      <c r="AA757" s="1">
        <v>3</v>
      </c>
      <c r="AB757" s="1">
        <v>0.75</v>
      </c>
      <c r="AG757" s="1">
        <v>0</v>
      </c>
      <c r="AH757" s="1">
        <v>1</v>
      </c>
      <c r="AI757" s="1" t="s">
        <v>3267</v>
      </c>
      <c r="AJ757" s="1" t="s">
        <v>275</v>
      </c>
      <c r="AK757" s="1" t="s">
        <v>238</v>
      </c>
      <c r="AM757" s="1">
        <v>1</v>
      </c>
      <c r="AV757" s="1">
        <v>1</v>
      </c>
      <c r="AX757" s="1">
        <v>0.1</v>
      </c>
      <c r="BE757" s="1" t="s">
        <v>3265</v>
      </c>
      <c r="BK757" s="1" t="s">
        <v>2407</v>
      </c>
      <c r="BN757" s="1" t="s">
        <v>217</v>
      </c>
      <c r="BO757" s="1" t="s">
        <v>218</v>
      </c>
      <c r="BP757" s="1" t="s">
        <v>239</v>
      </c>
      <c r="BQ757" s="1" t="s">
        <v>220</v>
      </c>
      <c r="BT757" s="1">
        <v>1</v>
      </c>
    </row>
    <row r="758" spans="1:72">
      <c r="A758" s="1" t="s">
        <v>3268</v>
      </c>
      <c r="B758" s="1" t="s">
        <v>213</v>
      </c>
      <c r="C758" s="1">
        <v>1</v>
      </c>
      <c r="D758" s="1" t="s">
        <v>3269</v>
      </c>
      <c r="E758" s="1">
        <v>1263</v>
      </c>
      <c r="F758" s="1" t="s">
        <v>3268</v>
      </c>
      <c r="G758" s="1">
        <v>1</v>
      </c>
      <c r="K758" s="1">
        <v>20000</v>
      </c>
      <c r="M758" s="1">
        <v>800</v>
      </c>
      <c r="O758" s="1">
        <v>1000</v>
      </c>
      <c r="Q758" s="1">
        <v>10</v>
      </c>
      <c r="Y758" s="1">
        <v>0.05</v>
      </c>
      <c r="Z758" s="1">
        <v>3.5</v>
      </c>
      <c r="AA758" s="1">
        <v>4</v>
      </c>
      <c r="AB758" s="1">
        <v>1.3</v>
      </c>
      <c r="AG758" s="1">
        <v>0</v>
      </c>
      <c r="AH758" s="1">
        <v>1</v>
      </c>
      <c r="AI758" s="1" t="s">
        <v>3270</v>
      </c>
      <c r="AJ758" s="1" t="s">
        <v>275</v>
      </c>
      <c r="AK758" s="1" t="s">
        <v>238</v>
      </c>
      <c r="AM758" s="1">
        <v>1</v>
      </c>
      <c r="AP758" s="1">
        <v>3</v>
      </c>
      <c r="AV758" s="1">
        <v>1</v>
      </c>
      <c r="AX758" s="1">
        <v>0.1</v>
      </c>
      <c r="BE758" s="1" t="s">
        <v>3268</v>
      </c>
      <c r="BK758" s="1" t="s">
        <v>2407</v>
      </c>
      <c r="BN758" s="1" t="s">
        <v>217</v>
      </c>
      <c r="BO758" s="1" t="s">
        <v>218</v>
      </c>
      <c r="BP758" s="1" t="s">
        <v>239</v>
      </c>
      <c r="BQ758" s="1" t="s">
        <v>220</v>
      </c>
      <c r="BT758" s="1">
        <v>1</v>
      </c>
    </row>
    <row r="759" spans="1:72">
      <c r="A759" s="1" t="s">
        <v>3271</v>
      </c>
      <c r="B759" s="1" t="s">
        <v>213</v>
      </c>
      <c r="C759" s="1">
        <v>1</v>
      </c>
      <c r="D759" s="1" t="s">
        <v>3272</v>
      </c>
      <c r="E759" s="1">
        <v>1263</v>
      </c>
      <c r="F759" s="1" t="s">
        <v>3271</v>
      </c>
      <c r="G759" s="1">
        <v>1</v>
      </c>
      <c r="K759" s="1">
        <v>30000</v>
      </c>
      <c r="M759" s="1">
        <v>1000</v>
      </c>
      <c r="O759" s="1">
        <v>1000</v>
      </c>
      <c r="Q759" s="1">
        <v>10</v>
      </c>
      <c r="Y759" s="1">
        <v>0.05</v>
      </c>
      <c r="Z759" s="1">
        <v>3.5</v>
      </c>
      <c r="AA759" s="1">
        <v>4</v>
      </c>
      <c r="AB759" s="1">
        <v>1.3</v>
      </c>
      <c r="AG759" s="1">
        <v>0</v>
      </c>
      <c r="AH759" s="1">
        <v>1</v>
      </c>
      <c r="AI759" s="1" t="s">
        <v>3273</v>
      </c>
      <c r="AJ759" s="1" t="s">
        <v>275</v>
      </c>
      <c r="AK759" s="1" t="s">
        <v>238</v>
      </c>
      <c r="AM759" s="1">
        <v>1</v>
      </c>
      <c r="AP759" s="1">
        <v>3</v>
      </c>
      <c r="AV759" s="1">
        <v>1</v>
      </c>
      <c r="AX759" s="1">
        <v>0.1</v>
      </c>
      <c r="BE759" s="1" t="s">
        <v>3271</v>
      </c>
      <c r="BK759" s="1" t="s">
        <v>2407</v>
      </c>
      <c r="BN759" s="1" t="s">
        <v>217</v>
      </c>
      <c r="BO759" s="1" t="s">
        <v>218</v>
      </c>
      <c r="BP759" s="1" t="s">
        <v>239</v>
      </c>
      <c r="BQ759" s="1" t="s">
        <v>220</v>
      </c>
      <c r="BT759" s="1">
        <v>1</v>
      </c>
    </row>
    <row r="760" spans="1:72">
      <c r="A760" s="1" t="s">
        <v>3274</v>
      </c>
      <c r="B760" s="1" t="s">
        <v>213</v>
      </c>
      <c r="C760" s="1">
        <v>1</v>
      </c>
      <c r="D760" s="1" t="s">
        <v>3275</v>
      </c>
      <c r="E760" s="1">
        <v>1264</v>
      </c>
      <c r="F760" s="1" t="s">
        <v>3274</v>
      </c>
      <c r="G760" s="1">
        <v>1</v>
      </c>
      <c r="K760" s="1">
        <v>10000</v>
      </c>
      <c r="M760" s="1">
        <v>1100</v>
      </c>
      <c r="O760" s="1">
        <v>1500</v>
      </c>
      <c r="Q760" s="1">
        <v>10</v>
      </c>
      <c r="Y760" s="1">
        <v>0.05</v>
      </c>
      <c r="Z760" s="1">
        <v>3</v>
      </c>
      <c r="AA760" s="1">
        <v>5</v>
      </c>
      <c r="AB760" s="1">
        <v>0.7</v>
      </c>
      <c r="AG760" s="1">
        <v>0</v>
      </c>
      <c r="AH760" s="1">
        <v>1</v>
      </c>
      <c r="AI760" s="1" t="s">
        <v>3276</v>
      </c>
      <c r="AJ760" s="1" t="s">
        <v>275</v>
      </c>
      <c r="AK760" s="1" t="s">
        <v>238</v>
      </c>
      <c r="AM760" s="1">
        <v>1</v>
      </c>
      <c r="AV760" s="1">
        <v>1</v>
      </c>
      <c r="AX760" s="1">
        <v>0.1</v>
      </c>
      <c r="BE760" s="1" t="s">
        <v>3274</v>
      </c>
      <c r="BK760" s="1" t="s">
        <v>2407</v>
      </c>
      <c r="BN760" s="1" t="s">
        <v>217</v>
      </c>
      <c r="BO760" s="1" t="s">
        <v>218</v>
      </c>
      <c r="BP760" s="1" t="s">
        <v>239</v>
      </c>
      <c r="BQ760" s="1" t="s">
        <v>220</v>
      </c>
      <c r="BT760" s="1">
        <v>1</v>
      </c>
    </row>
    <row r="761" spans="1:72">
      <c r="A761" s="1" t="s">
        <v>3277</v>
      </c>
      <c r="B761" s="1" t="s">
        <v>213</v>
      </c>
      <c r="C761" s="1">
        <v>1</v>
      </c>
      <c r="D761" s="1" t="s">
        <v>3278</v>
      </c>
      <c r="E761" s="1">
        <v>1264</v>
      </c>
      <c r="F761" s="1" t="s">
        <v>3277</v>
      </c>
      <c r="G761" s="1">
        <v>1</v>
      </c>
      <c r="K761" s="1">
        <v>18000</v>
      </c>
      <c r="M761" s="1">
        <v>1500</v>
      </c>
      <c r="O761" s="1">
        <v>1500</v>
      </c>
      <c r="Q761" s="1">
        <v>10</v>
      </c>
      <c r="Y761" s="1">
        <v>0.05</v>
      </c>
      <c r="Z761" s="1">
        <v>3</v>
      </c>
      <c r="AA761" s="1">
        <v>5</v>
      </c>
      <c r="AB761" s="1">
        <v>0.7</v>
      </c>
      <c r="AG761" s="1">
        <v>0</v>
      </c>
      <c r="AH761" s="1">
        <v>1</v>
      </c>
      <c r="AI761" s="1" t="s">
        <v>3279</v>
      </c>
      <c r="AJ761" s="1" t="s">
        <v>275</v>
      </c>
      <c r="AK761" s="1" t="s">
        <v>238</v>
      </c>
      <c r="AM761" s="1">
        <v>1</v>
      </c>
      <c r="AV761" s="1">
        <v>1</v>
      </c>
      <c r="AX761" s="1">
        <v>0.1</v>
      </c>
      <c r="BE761" s="1" t="s">
        <v>3277</v>
      </c>
      <c r="BK761" s="1" t="s">
        <v>2407</v>
      </c>
      <c r="BN761" s="1" t="s">
        <v>217</v>
      </c>
      <c r="BO761" s="1" t="s">
        <v>218</v>
      </c>
      <c r="BP761" s="1" t="s">
        <v>239</v>
      </c>
      <c r="BQ761" s="1" t="s">
        <v>220</v>
      </c>
      <c r="BT761" s="1">
        <v>1</v>
      </c>
    </row>
    <row r="762" spans="1:72">
      <c r="A762" s="1" t="s">
        <v>3280</v>
      </c>
      <c r="B762" s="1" t="s">
        <v>213</v>
      </c>
      <c r="C762" s="1">
        <v>1</v>
      </c>
      <c r="D762" s="1" t="s">
        <v>3281</v>
      </c>
      <c r="E762" s="1">
        <v>1532</v>
      </c>
      <c r="F762" s="1" t="s">
        <v>3280</v>
      </c>
      <c r="G762" s="1">
        <v>1</v>
      </c>
      <c r="K762" s="1">
        <v>10000</v>
      </c>
      <c r="Y762" s="1">
        <v>0.05</v>
      </c>
      <c r="Z762" s="1">
        <v>1</v>
      </c>
      <c r="AA762" s="1">
        <v>6</v>
      </c>
      <c r="AB762" s="1">
        <v>0.5</v>
      </c>
      <c r="AG762" s="1">
        <v>0</v>
      </c>
      <c r="AH762" s="1">
        <v>1</v>
      </c>
      <c r="AI762" s="1" t="s">
        <v>3282</v>
      </c>
      <c r="AJ762" s="1" t="s">
        <v>275</v>
      </c>
      <c r="AK762" s="1" t="s">
        <v>238</v>
      </c>
      <c r="AM762" s="1">
        <v>1</v>
      </c>
      <c r="AN762" s="1">
        <v>1</v>
      </c>
      <c r="AV762" s="1">
        <v>1</v>
      </c>
      <c r="AX762" s="1">
        <v>0.1</v>
      </c>
      <c r="BE762" s="1" t="s">
        <v>3280</v>
      </c>
      <c r="BK762" s="1" t="s">
        <v>3283</v>
      </c>
      <c r="BN762" s="1" t="s">
        <v>3284</v>
      </c>
      <c r="BO762" s="1" t="s">
        <v>3285</v>
      </c>
      <c r="BP762" s="1" t="s">
        <v>3286</v>
      </c>
      <c r="BQ762" s="1" t="s">
        <v>3287</v>
      </c>
      <c r="BT762" s="1">
        <v>1</v>
      </c>
    </row>
    <row r="763" spans="1:72">
      <c r="A763" s="1" t="s">
        <v>3288</v>
      </c>
      <c r="B763" s="1" t="s">
        <v>213</v>
      </c>
      <c r="C763" s="1">
        <v>1</v>
      </c>
      <c r="D763" s="1" t="s">
        <v>3289</v>
      </c>
      <c r="E763" s="1">
        <v>1267</v>
      </c>
      <c r="F763" s="1" t="s">
        <v>3288</v>
      </c>
      <c r="G763" s="1">
        <v>0.9</v>
      </c>
      <c r="K763" s="1">
        <v>4500</v>
      </c>
      <c r="M763" s="1">
        <v>380</v>
      </c>
      <c r="O763" s="1">
        <v>100</v>
      </c>
      <c r="Q763" s="1">
        <v>20</v>
      </c>
      <c r="Y763" s="1">
        <v>0.05</v>
      </c>
      <c r="Z763" s="1">
        <v>2.5</v>
      </c>
      <c r="AA763" s="1">
        <v>1</v>
      </c>
      <c r="AB763" s="1">
        <v>0.8</v>
      </c>
      <c r="AG763" s="1">
        <v>0</v>
      </c>
      <c r="AH763" s="1">
        <v>1</v>
      </c>
      <c r="AI763" s="1" t="s">
        <v>3290</v>
      </c>
      <c r="AJ763" s="1" t="s">
        <v>275</v>
      </c>
      <c r="AK763" s="1" t="s">
        <v>238</v>
      </c>
      <c r="AM763" s="1">
        <v>1</v>
      </c>
      <c r="AV763" s="1">
        <v>1</v>
      </c>
      <c r="AX763" s="1">
        <v>0.1</v>
      </c>
      <c r="BE763" s="1" t="s">
        <v>3288</v>
      </c>
      <c r="BK763" s="1" t="s">
        <v>1496</v>
      </c>
      <c r="BN763" s="1" t="s">
        <v>3291</v>
      </c>
      <c r="BO763" s="1" t="s">
        <v>3228</v>
      </c>
      <c r="BP763" s="1" t="s">
        <v>3229</v>
      </c>
      <c r="BQ763" s="1" t="s">
        <v>3230</v>
      </c>
      <c r="BT763" s="1">
        <v>1</v>
      </c>
    </row>
    <row r="764" spans="1:72">
      <c r="A764" s="1" t="s">
        <v>3292</v>
      </c>
      <c r="B764" s="1" t="s">
        <v>213</v>
      </c>
      <c r="C764" s="1">
        <v>1</v>
      </c>
      <c r="D764" s="1" t="s">
        <v>3293</v>
      </c>
      <c r="E764" s="1">
        <v>1267</v>
      </c>
      <c r="F764" s="1" t="s">
        <v>3292</v>
      </c>
      <c r="G764" s="1">
        <v>0.9</v>
      </c>
      <c r="K764" s="1">
        <v>5500</v>
      </c>
      <c r="M764" s="1">
        <v>450</v>
      </c>
      <c r="O764" s="1">
        <v>100</v>
      </c>
      <c r="Q764" s="1">
        <v>20</v>
      </c>
      <c r="Y764" s="1">
        <v>0.05</v>
      </c>
      <c r="Z764" s="1">
        <v>2.5</v>
      </c>
      <c r="AA764" s="1">
        <v>1</v>
      </c>
      <c r="AB764" s="1">
        <v>0.8</v>
      </c>
      <c r="AG764" s="1">
        <v>0</v>
      </c>
      <c r="AH764" s="1">
        <v>1</v>
      </c>
      <c r="AI764" s="1" t="s">
        <v>3294</v>
      </c>
      <c r="AJ764" s="1" t="s">
        <v>275</v>
      </c>
      <c r="AK764" s="1" t="s">
        <v>238</v>
      </c>
      <c r="AM764" s="1">
        <v>1</v>
      </c>
      <c r="AV764" s="1">
        <v>1</v>
      </c>
      <c r="AX764" s="1">
        <v>0.1</v>
      </c>
      <c r="BE764" s="1" t="s">
        <v>3292</v>
      </c>
      <c r="BK764" s="1" t="s">
        <v>1496</v>
      </c>
      <c r="BN764" s="1" t="s">
        <v>3291</v>
      </c>
      <c r="BO764" s="1" t="s">
        <v>3228</v>
      </c>
      <c r="BP764" s="1" t="s">
        <v>3229</v>
      </c>
      <c r="BQ764" s="1" t="s">
        <v>3230</v>
      </c>
      <c r="BT764" s="1">
        <v>1</v>
      </c>
    </row>
    <row r="765" spans="1:72">
      <c r="A765" s="1" t="s">
        <v>3295</v>
      </c>
      <c r="B765" s="1" t="s">
        <v>213</v>
      </c>
      <c r="C765" s="1">
        <v>1</v>
      </c>
      <c r="D765" s="1" t="s">
        <v>3296</v>
      </c>
      <c r="E765" s="1">
        <v>1268</v>
      </c>
      <c r="F765" s="1" t="s">
        <v>3295</v>
      </c>
      <c r="G765" s="1">
        <v>0.92</v>
      </c>
      <c r="K765" s="1">
        <v>6500</v>
      </c>
      <c r="M765" s="1">
        <v>320</v>
      </c>
      <c r="O765" s="1">
        <v>200</v>
      </c>
      <c r="Q765" s="1">
        <v>50</v>
      </c>
      <c r="Y765" s="1">
        <v>0.05</v>
      </c>
      <c r="Z765" s="1">
        <v>3</v>
      </c>
      <c r="AA765" s="1">
        <v>2</v>
      </c>
      <c r="AB765" s="1">
        <v>0.7</v>
      </c>
      <c r="AG765" s="1">
        <v>0</v>
      </c>
      <c r="AH765" s="1">
        <v>1</v>
      </c>
      <c r="AI765" s="1" t="s">
        <v>3297</v>
      </c>
      <c r="AJ765" s="1" t="s">
        <v>275</v>
      </c>
      <c r="AK765" s="1" t="s">
        <v>238</v>
      </c>
      <c r="AM765" s="1">
        <v>1</v>
      </c>
      <c r="AV765" s="1">
        <v>1</v>
      </c>
      <c r="AX765" s="1">
        <v>0.1</v>
      </c>
      <c r="BE765" s="1" t="s">
        <v>3295</v>
      </c>
      <c r="BK765" s="1" t="s">
        <v>3298</v>
      </c>
      <c r="BN765" s="1" t="s">
        <v>217</v>
      </c>
      <c r="BO765" s="1" t="s">
        <v>218</v>
      </c>
      <c r="BP765" s="1" t="s">
        <v>239</v>
      </c>
      <c r="BQ765" s="1" t="s">
        <v>220</v>
      </c>
      <c r="BT765" s="1">
        <v>1</v>
      </c>
    </row>
    <row r="766" spans="1:72">
      <c r="A766" s="1" t="s">
        <v>3299</v>
      </c>
      <c r="B766" s="1" t="s">
        <v>213</v>
      </c>
      <c r="C766" s="1">
        <v>1</v>
      </c>
      <c r="D766" s="1" t="s">
        <v>3300</v>
      </c>
      <c r="E766" s="1">
        <v>1268</v>
      </c>
      <c r="F766" s="1" t="s">
        <v>3299</v>
      </c>
      <c r="G766" s="1">
        <v>0.92</v>
      </c>
      <c r="K766" s="1">
        <v>8000</v>
      </c>
      <c r="M766" s="1">
        <v>380</v>
      </c>
      <c r="O766" s="1">
        <v>200</v>
      </c>
      <c r="Q766" s="1">
        <v>50</v>
      </c>
      <c r="Y766" s="1">
        <v>0.05</v>
      </c>
      <c r="Z766" s="1">
        <v>3</v>
      </c>
      <c r="AA766" s="1">
        <v>2</v>
      </c>
      <c r="AB766" s="1">
        <v>0.7</v>
      </c>
      <c r="AG766" s="1">
        <v>0</v>
      </c>
      <c r="AH766" s="1">
        <v>1</v>
      </c>
      <c r="AI766" s="1" t="s">
        <v>3301</v>
      </c>
      <c r="AJ766" s="1" t="s">
        <v>275</v>
      </c>
      <c r="AK766" s="1" t="s">
        <v>238</v>
      </c>
      <c r="AM766" s="1">
        <v>1</v>
      </c>
      <c r="AV766" s="1">
        <v>1</v>
      </c>
      <c r="AX766" s="1">
        <v>0.1</v>
      </c>
      <c r="BE766" s="1" t="s">
        <v>3299</v>
      </c>
      <c r="BK766" s="1" t="s">
        <v>3298</v>
      </c>
      <c r="BN766" s="1" t="s">
        <v>217</v>
      </c>
      <c r="BO766" s="1" t="s">
        <v>218</v>
      </c>
      <c r="BP766" s="1" t="s">
        <v>239</v>
      </c>
      <c r="BQ766" s="1" t="s">
        <v>220</v>
      </c>
      <c r="BT766" s="1">
        <v>1</v>
      </c>
    </row>
    <row r="767" spans="1:72">
      <c r="A767" s="1" t="s">
        <v>3302</v>
      </c>
      <c r="B767" s="1" t="s">
        <v>213</v>
      </c>
      <c r="C767" s="1">
        <v>1</v>
      </c>
      <c r="D767" s="1" t="s">
        <v>3303</v>
      </c>
      <c r="E767" s="1">
        <v>1269</v>
      </c>
      <c r="F767" s="1" t="s">
        <v>3302</v>
      </c>
      <c r="G767" s="1">
        <v>0.92</v>
      </c>
      <c r="K767" s="1">
        <v>1200</v>
      </c>
      <c r="M767" s="1">
        <v>750</v>
      </c>
      <c r="O767" s="1">
        <v>0</v>
      </c>
      <c r="Q767" s="1">
        <v>0</v>
      </c>
      <c r="Y767" s="1">
        <v>0.05</v>
      </c>
      <c r="Z767" s="1">
        <v>1</v>
      </c>
      <c r="AA767" s="1">
        <v>0</v>
      </c>
      <c r="AB767" s="1">
        <v>0.6</v>
      </c>
      <c r="AG767" s="1">
        <v>0</v>
      </c>
      <c r="AH767" s="1">
        <v>1</v>
      </c>
      <c r="AI767" s="1" t="s">
        <v>3304</v>
      </c>
      <c r="AJ767" s="1" t="s">
        <v>275</v>
      </c>
      <c r="AK767" s="1" t="s">
        <v>238</v>
      </c>
      <c r="AM767" s="1">
        <v>1</v>
      </c>
      <c r="AN767" s="1">
        <v>1</v>
      </c>
      <c r="AV767" s="1">
        <v>1</v>
      </c>
      <c r="AX767" s="1">
        <v>0.1</v>
      </c>
      <c r="BE767" s="1" t="s">
        <v>3302</v>
      </c>
      <c r="BK767" s="1" t="s">
        <v>959</v>
      </c>
      <c r="BN767" s="1" t="s">
        <v>217</v>
      </c>
      <c r="BO767" s="1" t="s">
        <v>218</v>
      </c>
      <c r="BP767" s="1" t="s">
        <v>239</v>
      </c>
      <c r="BQ767" s="1" t="s">
        <v>220</v>
      </c>
      <c r="BT767" s="1">
        <v>1</v>
      </c>
    </row>
    <row r="768" spans="1:72">
      <c r="A768" s="1" t="s">
        <v>3305</v>
      </c>
      <c r="B768" s="1" t="s">
        <v>213</v>
      </c>
      <c r="C768" s="1">
        <v>1</v>
      </c>
      <c r="D768" s="1" t="s">
        <v>3306</v>
      </c>
      <c r="E768" s="1">
        <v>1269</v>
      </c>
      <c r="F768" s="1" t="s">
        <v>3305</v>
      </c>
      <c r="G768" s="1">
        <v>0.92</v>
      </c>
      <c r="K768" s="1">
        <v>1550</v>
      </c>
      <c r="M768" s="1">
        <v>1250</v>
      </c>
      <c r="O768" s="1">
        <v>0</v>
      </c>
      <c r="Q768" s="1">
        <v>0</v>
      </c>
      <c r="Y768" s="1">
        <v>0.05</v>
      </c>
      <c r="Z768" s="1">
        <v>1</v>
      </c>
      <c r="AA768" s="1">
        <v>0</v>
      </c>
      <c r="AB768" s="1">
        <v>0.6</v>
      </c>
      <c r="AG768" s="1">
        <v>0</v>
      </c>
      <c r="AH768" s="1">
        <v>1</v>
      </c>
      <c r="AI768" s="1" t="s">
        <v>3307</v>
      </c>
      <c r="AJ768" s="1" t="s">
        <v>275</v>
      </c>
      <c r="AK768" s="1" t="s">
        <v>238</v>
      </c>
      <c r="AM768" s="1">
        <v>1</v>
      </c>
      <c r="AN768" s="1">
        <v>1</v>
      </c>
      <c r="AV768" s="1">
        <v>1</v>
      </c>
      <c r="AX768" s="1">
        <v>0.1</v>
      </c>
      <c r="BE768" s="1" t="s">
        <v>3305</v>
      </c>
      <c r="BK768" s="1" t="s">
        <v>959</v>
      </c>
      <c r="BN768" s="1" t="s">
        <v>217</v>
      </c>
      <c r="BO768" s="1" t="s">
        <v>218</v>
      </c>
      <c r="BP768" s="1" t="s">
        <v>239</v>
      </c>
      <c r="BQ768" s="1" t="s">
        <v>220</v>
      </c>
      <c r="BT768" s="1">
        <v>1</v>
      </c>
    </row>
    <row r="769" spans="1:72">
      <c r="A769" s="1" t="s">
        <v>3308</v>
      </c>
      <c r="B769" s="1" t="s">
        <v>213</v>
      </c>
      <c r="C769" s="1">
        <v>1</v>
      </c>
      <c r="D769" s="1" t="s">
        <v>3303</v>
      </c>
      <c r="E769" s="1">
        <v>1269</v>
      </c>
      <c r="F769" s="1" t="s">
        <v>3302</v>
      </c>
      <c r="G769" s="1">
        <v>0.92</v>
      </c>
      <c r="K769" s="1">
        <v>1200</v>
      </c>
      <c r="M769" s="1">
        <v>750</v>
      </c>
      <c r="O769" s="1">
        <v>0</v>
      </c>
      <c r="Q769" s="1">
        <v>0</v>
      </c>
      <c r="Y769" s="1">
        <v>0.05</v>
      </c>
      <c r="Z769" s="1">
        <v>1</v>
      </c>
      <c r="AA769" s="1">
        <v>0</v>
      </c>
      <c r="AB769" s="1">
        <v>0.6</v>
      </c>
      <c r="AG769" s="1">
        <v>0</v>
      </c>
      <c r="AH769" s="1">
        <v>1</v>
      </c>
      <c r="AI769" s="1" t="s">
        <v>3309</v>
      </c>
      <c r="AJ769" s="1" t="s">
        <v>275</v>
      </c>
      <c r="AK769" s="1" t="s">
        <v>238</v>
      </c>
      <c r="AM769" s="1">
        <v>1</v>
      </c>
      <c r="AN769" s="1">
        <v>1</v>
      </c>
      <c r="AV769" s="1">
        <v>1</v>
      </c>
      <c r="AX769" s="1">
        <v>0.1</v>
      </c>
      <c r="BE769" s="1" t="s">
        <v>3302</v>
      </c>
      <c r="BK769" s="1" t="s">
        <v>959</v>
      </c>
      <c r="BN769" s="1" t="s">
        <v>217</v>
      </c>
      <c r="BO769" s="1" t="s">
        <v>218</v>
      </c>
      <c r="BP769" s="1" t="s">
        <v>239</v>
      </c>
      <c r="BQ769" s="1" t="s">
        <v>220</v>
      </c>
      <c r="BT769" s="1">
        <v>1</v>
      </c>
    </row>
    <row r="770" spans="1:72">
      <c r="A770" s="1" t="s">
        <v>3310</v>
      </c>
      <c r="B770" s="1" t="s">
        <v>213</v>
      </c>
      <c r="C770" s="1">
        <v>1</v>
      </c>
      <c r="D770" s="1" t="s">
        <v>3306</v>
      </c>
      <c r="E770" s="1">
        <v>1269</v>
      </c>
      <c r="F770" s="1" t="s">
        <v>3305</v>
      </c>
      <c r="G770" s="1">
        <v>0.92</v>
      </c>
      <c r="K770" s="1">
        <v>1550</v>
      </c>
      <c r="M770" s="1">
        <v>1250</v>
      </c>
      <c r="O770" s="1">
        <v>0</v>
      </c>
      <c r="Q770" s="1">
        <v>0</v>
      </c>
      <c r="Y770" s="1">
        <v>0.05</v>
      </c>
      <c r="Z770" s="1">
        <v>1</v>
      </c>
      <c r="AA770" s="1">
        <v>0</v>
      </c>
      <c r="AB770" s="1">
        <v>0.6</v>
      </c>
      <c r="AG770" s="1">
        <v>0</v>
      </c>
      <c r="AH770" s="1">
        <v>1</v>
      </c>
      <c r="AI770" s="1" t="s">
        <v>3311</v>
      </c>
      <c r="AJ770" s="1" t="s">
        <v>275</v>
      </c>
      <c r="AK770" s="1" t="s">
        <v>238</v>
      </c>
      <c r="AM770" s="1">
        <v>1</v>
      </c>
      <c r="AN770" s="1">
        <v>1</v>
      </c>
      <c r="AV770" s="1">
        <v>1</v>
      </c>
      <c r="AX770" s="1">
        <v>0.1</v>
      </c>
      <c r="BE770" s="1" t="s">
        <v>3305</v>
      </c>
      <c r="BK770" s="1" t="s">
        <v>959</v>
      </c>
      <c r="BN770" s="1" t="s">
        <v>217</v>
      </c>
      <c r="BO770" s="1" t="s">
        <v>218</v>
      </c>
      <c r="BP770" s="1" t="s">
        <v>239</v>
      </c>
      <c r="BQ770" s="1" t="s">
        <v>220</v>
      </c>
      <c r="BT770" s="1">
        <v>1</v>
      </c>
    </row>
    <row r="771" spans="1:72">
      <c r="A771" s="1" t="s">
        <v>3312</v>
      </c>
      <c r="B771" s="1" t="s">
        <v>213</v>
      </c>
      <c r="C771" s="1">
        <v>1</v>
      </c>
      <c r="D771" s="1" t="s">
        <v>3313</v>
      </c>
      <c r="E771" s="1">
        <v>1270</v>
      </c>
      <c r="F771" s="1" t="s">
        <v>3312</v>
      </c>
      <c r="G771" s="1">
        <v>0.94</v>
      </c>
      <c r="K771" s="1">
        <v>12000</v>
      </c>
      <c r="M771" s="1">
        <v>550</v>
      </c>
      <c r="O771" s="1">
        <v>150</v>
      </c>
      <c r="Q771" s="1">
        <v>20</v>
      </c>
      <c r="Y771" s="1">
        <v>0.05</v>
      </c>
      <c r="Z771" s="1">
        <v>1.8</v>
      </c>
      <c r="AA771" s="1">
        <v>2</v>
      </c>
      <c r="AB771" s="1">
        <v>1.4</v>
      </c>
      <c r="AG771" s="1">
        <v>0</v>
      </c>
      <c r="AH771" s="1">
        <v>1</v>
      </c>
      <c r="AI771" s="1" t="s">
        <v>3314</v>
      </c>
      <c r="AJ771" s="1" t="s">
        <v>275</v>
      </c>
      <c r="AK771" s="1" t="s">
        <v>238</v>
      </c>
      <c r="AM771" s="1">
        <v>1</v>
      </c>
      <c r="AV771" s="1">
        <v>1</v>
      </c>
      <c r="AX771" s="1">
        <v>0.1</v>
      </c>
      <c r="BE771" s="1" t="s">
        <v>3312</v>
      </c>
      <c r="BK771" s="1" t="s">
        <v>3315</v>
      </c>
      <c r="BN771" s="1" t="s">
        <v>217</v>
      </c>
      <c r="BO771" s="1" t="s">
        <v>218</v>
      </c>
      <c r="BP771" s="1" t="s">
        <v>239</v>
      </c>
      <c r="BQ771" s="1" t="s">
        <v>220</v>
      </c>
      <c r="BT771" s="1">
        <v>1</v>
      </c>
    </row>
    <row r="772" spans="1:72">
      <c r="A772" s="1" t="s">
        <v>3316</v>
      </c>
      <c r="B772" s="1" t="s">
        <v>213</v>
      </c>
      <c r="C772" s="1">
        <v>1</v>
      </c>
      <c r="D772" s="1" t="s">
        <v>3317</v>
      </c>
      <c r="E772" s="1">
        <v>1270</v>
      </c>
      <c r="F772" s="1" t="s">
        <v>3316</v>
      </c>
      <c r="G772" s="1">
        <v>0.94</v>
      </c>
      <c r="K772" s="1">
        <v>16000</v>
      </c>
      <c r="M772" s="1">
        <v>700</v>
      </c>
      <c r="O772" s="1">
        <v>200</v>
      </c>
      <c r="Q772" s="1">
        <v>20</v>
      </c>
      <c r="Y772" s="1">
        <v>0.05</v>
      </c>
      <c r="Z772" s="1">
        <v>1.8</v>
      </c>
      <c r="AA772" s="1">
        <v>2</v>
      </c>
      <c r="AB772" s="1">
        <v>1.4</v>
      </c>
      <c r="AG772" s="1">
        <v>0</v>
      </c>
      <c r="AH772" s="1">
        <v>1</v>
      </c>
      <c r="AI772" s="1" t="s">
        <v>3318</v>
      </c>
      <c r="AJ772" s="1" t="s">
        <v>275</v>
      </c>
      <c r="AK772" s="1" t="s">
        <v>238</v>
      </c>
      <c r="AM772" s="1">
        <v>1</v>
      </c>
      <c r="AV772" s="1">
        <v>1</v>
      </c>
      <c r="AX772" s="1">
        <v>0.1</v>
      </c>
      <c r="BE772" s="1" t="s">
        <v>3316</v>
      </c>
      <c r="BK772" s="1" t="s">
        <v>3315</v>
      </c>
      <c r="BN772" s="1" t="s">
        <v>217</v>
      </c>
      <c r="BO772" s="1" t="s">
        <v>218</v>
      </c>
      <c r="BP772" s="1" t="s">
        <v>239</v>
      </c>
      <c r="BQ772" s="1" t="s">
        <v>220</v>
      </c>
      <c r="BT772" s="1">
        <v>1</v>
      </c>
    </row>
    <row r="773" spans="1:72">
      <c r="A773" s="1" t="s">
        <v>3319</v>
      </c>
      <c r="B773" s="1" t="s">
        <v>213</v>
      </c>
      <c r="C773" s="1">
        <v>1</v>
      </c>
      <c r="D773" s="1" t="s">
        <v>3320</v>
      </c>
      <c r="E773" s="1">
        <v>1271</v>
      </c>
      <c r="F773" s="1" t="s">
        <v>3319</v>
      </c>
      <c r="G773" s="1">
        <v>0.92</v>
      </c>
      <c r="K773" s="1">
        <v>30000</v>
      </c>
      <c r="M773" s="1">
        <v>1050</v>
      </c>
      <c r="O773" s="1">
        <v>0</v>
      </c>
      <c r="Q773" s="1">
        <v>20</v>
      </c>
      <c r="Y773" s="1">
        <v>0.05</v>
      </c>
      <c r="Z773" s="1">
        <v>3.5</v>
      </c>
      <c r="AA773" s="1">
        <v>4</v>
      </c>
      <c r="AB773" s="1">
        <v>0.6</v>
      </c>
      <c r="AG773" s="1">
        <v>0</v>
      </c>
      <c r="AH773" s="1">
        <v>1</v>
      </c>
      <c r="AI773" s="1" t="s">
        <v>3321</v>
      </c>
      <c r="AJ773" s="1" t="s">
        <v>275</v>
      </c>
      <c r="AK773" s="1" t="s">
        <v>238</v>
      </c>
      <c r="AM773" s="1">
        <v>1</v>
      </c>
      <c r="AV773" s="1">
        <v>1</v>
      </c>
      <c r="AX773" s="1">
        <v>0.1</v>
      </c>
      <c r="BE773" s="1" t="s">
        <v>3319</v>
      </c>
      <c r="BK773" s="1" t="s">
        <v>1086</v>
      </c>
      <c r="BN773" s="1" t="s">
        <v>217</v>
      </c>
      <c r="BO773" s="1" t="s">
        <v>1959</v>
      </c>
      <c r="BP773" s="1" t="s">
        <v>1960</v>
      </c>
      <c r="BQ773" s="1" t="s">
        <v>3322</v>
      </c>
      <c r="BT773" s="1">
        <v>1</v>
      </c>
    </row>
    <row r="774" spans="1:72">
      <c r="A774" s="1" t="s">
        <v>3323</v>
      </c>
      <c r="B774" s="1" t="s">
        <v>213</v>
      </c>
      <c r="C774" s="1">
        <v>1</v>
      </c>
      <c r="D774" s="1" t="s">
        <v>3324</v>
      </c>
      <c r="E774" s="1">
        <v>1271</v>
      </c>
      <c r="F774" s="1" t="s">
        <v>3323</v>
      </c>
      <c r="G774" s="1">
        <v>0.92</v>
      </c>
      <c r="K774" s="1">
        <v>40000</v>
      </c>
      <c r="M774" s="1">
        <v>1350</v>
      </c>
      <c r="O774" s="1">
        <v>0</v>
      </c>
      <c r="Q774" s="1">
        <v>20</v>
      </c>
      <c r="Y774" s="1">
        <v>0.05</v>
      </c>
      <c r="Z774" s="1">
        <v>3.5</v>
      </c>
      <c r="AA774" s="1">
        <v>4</v>
      </c>
      <c r="AB774" s="1">
        <v>0.6</v>
      </c>
      <c r="AG774" s="1">
        <v>0</v>
      </c>
      <c r="AH774" s="1">
        <v>1</v>
      </c>
      <c r="AI774" s="1" t="s">
        <v>3325</v>
      </c>
      <c r="AJ774" s="1" t="s">
        <v>275</v>
      </c>
      <c r="AK774" s="1" t="s">
        <v>238</v>
      </c>
      <c r="AM774" s="1">
        <v>1</v>
      </c>
      <c r="AV774" s="1">
        <v>1</v>
      </c>
      <c r="AX774" s="1">
        <v>0.1</v>
      </c>
      <c r="BE774" s="1" t="s">
        <v>3323</v>
      </c>
      <c r="BK774" s="1" t="s">
        <v>1086</v>
      </c>
      <c r="BN774" s="1" t="s">
        <v>217</v>
      </c>
      <c r="BO774" s="1" t="s">
        <v>1959</v>
      </c>
      <c r="BP774" s="1" t="s">
        <v>1960</v>
      </c>
      <c r="BQ774" s="1" t="s">
        <v>3322</v>
      </c>
      <c r="BT774" s="1">
        <v>1</v>
      </c>
    </row>
    <row r="775" spans="1:72">
      <c r="A775" s="1" t="s">
        <v>3326</v>
      </c>
      <c r="B775" s="1" t="s">
        <v>213</v>
      </c>
      <c r="C775" s="1">
        <v>1</v>
      </c>
      <c r="D775" s="1" t="s">
        <v>3327</v>
      </c>
      <c r="E775" s="1">
        <v>1272</v>
      </c>
      <c r="F775" s="1" t="s">
        <v>3326</v>
      </c>
      <c r="G775" s="1">
        <v>0.92</v>
      </c>
      <c r="K775" s="1">
        <v>12000</v>
      </c>
      <c r="M775" s="1">
        <v>750</v>
      </c>
      <c r="O775" s="1">
        <v>750</v>
      </c>
      <c r="Q775" s="1">
        <v>10</v>
      </c>
      <c r="Y775" s="1">
        <v>0.05</v>
      </c>
      <c r="Z775" s="1">
        <v>4.5</v>
      </c>
      <c r="AA775" s="1">
        <v>4</v>
      </c>
      <c r="AB775" s="1">
        <v>0.7</v>
      </c>
      <c r="AG775" s="1">
        <v>0</v>
      </c>
      <c r="AH775" s="1">
        <v>1</v>
      </c>
      <c r="AI775" s="1" t="s">
        <v>3328</v>
      </c>
      <c r="AJ775" s="1" t="s">
        <v>275</v>
      </c>
      <c r="AK775" s="1" t="s">
        <v>238</v>
      </c>
      <c r="AM775" s="1">
        <v>1</v>
      </c>
      <c r="AV775" s="1">
        <v>1</v>
      </c>
      <c r="AX775" s="1">
        <v>0.1</v>
      </c>
      <c r="BE775" s="1" t="s">
        <v>3326</v>
      </c>
      <c r="BK775" s="1" t="s">
        <v>2398</v>
      </c>
      <c r="BN775" s="1" t="s">
        <v>217</v>
      </c>
      <c r="BO775" s="1" t="s">
        <v>218</v>
      </c>
      <c r="BP775" s="1" t="s">
        <v>239</v>
      </c>
      <c r="BQ775" s="1" t="s">
        <v>220</v>
      </c>
      <c r="BT775" s="1">
        <v>1</v>
      </c>
    </row>
    <row r="776" spans="1:72">
      <c r="A776" s="1" t="s">
        <v>3329</v>
      </c>
      <c r="B776" s="1" t="s">
        <v>213</v>
      </c>
      <c r="C776" s="1">
        <v>1</v>
      </c>
      <c r="D776" s="1" t="s">
        <v>3330</v>
      </c>
      <c r="E776" s="1">
        <v>1272</v>
      </c>
      <c r="F776" s="1" t="s">
        <v>3329</v>
      </c>
      <c r="G776" s="1">
        <v>0.92</v>
      </c>
      <c r="K776" s="1">
        <v>15000</v>
      </c>
      <c r="M776" s="1">
        <v>850</v>
      </c>
      <c r="O776" s="1">
        <v>750</v>
      </c>
      <c r="Q776" s="1">
        <v>10</v>
      </c>
      <c r="Y776" s="1">
        <v>0.05</v>
      </c>
      <c r="Z776" s="1">
        <v>4.5</v>
      </c>
      <c r="AA776" s="1">
        <v>4</v>
      </c>
      <c r="AB776" s="1">
        <v>0.7</v>
      </c>
      <c r="AG776" s="1">
        <v>0</v>
      </c>
      <c r="AH776" s="1">
        <v>1</v>
      </c>
      <c r="AI776" s="1" t="s">
        <v>3331</v>
      </c>
      <c r="AJ776" s="1" t="s">
        <v>275</v>
      </c>
      <c r="AK776" s="1" t="s">
        <v>238</v>
      </c>
      <c r="AM776" s="1">
        <v>1</v>
      </c>
      <c r="AV776" s="1">
        <v>1</v>
      </c>
      <c r="AX776" s="1">
        <v>0.1</v>
      </c>
      <c r="BE776" s="1" t="s">
        <v>3329</v>
      </c>
      <c r="BK776" s="1" t="s">
        <v>2398</v>
      </c>
      <c r="BN776" s="1" t="s">
        <v>217</v>
      </c>
      <c r="BO776" s="1" t="s">
        <v>218</v>
      </c>
      <c r="BP776" s="1" t="s">
        <v>239</v>
      </c>
      <c r="BQ776" s="1" t="s">
        <v>220</v>
      </c>
      <c r="BT776" s="1">
        <v>1</v>
      </c>
    </row>
    <row r="777" spans="1:72">
      <c r="A777" s="1" t="s">
        <v>3332</v>
      </c>
      <c r="B777" s="1" t="s">
        <v>213</v>
      </c>
      <c r="C777" s="1">
        <v>1</v>
      </c>
      <c r="D777" s="1" t="s">
        <v>3333</v>
      </c>
      <c r="E777" s="1">
        <v>1273</v>
      </c>
      <c r="F777" s="1" t="s">
        <v>3332</v>
      </c>
      <c r="G777" s="1">
        <v>1</v>
      </c>
      <c r="K777" s="1">
        <v>15000</v>
      </c>
      <c r="M777" s="1">
        <v>600</v>
      </c>
      <c r="O777" s="1">
        <v>1500</v>
      </c>
      <c r="Q777" s="1">
        <v>10</v>
      </c>
      <c r="Y777" s="1">
        <v>0.05</v>
      </c>
      <c r="Z777" s="1">
        <v>6</v>
      </c>
      <c r="AA777" s="1">
        <v>4</v>
      </c>
      <c r="AB777" s="1">
        <v>0.5</v>
      </c>
      <c r="AG777" s="1">
        <v>0</v>
      </c>
      <c r="AH777" s="1">
        <v>1</v>
      </c>
      <c r="AI777" s="1" t="s">
        <v>3334</v>
      </c>
      <c r="AJ777" s="1" t="s">
        <v>275</v>
      </c>
      <c r="AK777" s="1" t="s">
        <v>238</v>
      </c>
      <c r="AM777" s="1">
        <v>1</v>
      </c>
      <c r="AV777" s="1">
        <v>1</v>
      </c>
      <c r="AX777" s="1">
        <v>0.1</v>
      </c>
      <c r="BE777" s="1" t="s">
        <v>3332</v>
      </c>
      <c r="BK777" s="1" t="s">
        <v>2398</v>
      </c>
      <c r="BN777" s="1" t="s">
        <v>217</v>
      </c>
      <c r="BO777" s="1" t="s">
        <v>218</v>
      </c>
      <c r="BP777" s="1" t="s">
        <v>239</v>
      </c>
      <c r="BQ777" s="1" t="s">
        <v>220</v>
      </c>
      <c r="BT777" s="1">
        <v>1</v>
      </c>
    </row>
    <row r="778" spans="1:72">
      <c r="A778" s="1" t="s">
        <v>3335</v>
      </c>
      <c r="B778" s="1" t="s">
        <v>213</v>
      </c>
      <c r="C778" s="1">
        <v>1</v>
      </c>
      <c r="D778" s="1" t="s">
        <v>3336</v>
      </c>
      <c r="E778" s="1">
        <v>1273</v>
      </c>
      <c r="F778" s="1" t="s">
        <v>3335</v>
      </c>
      <c r="G778" s="1">
        <v>1</v>
      </c>
      <c r="K778" s="1">
        <v>18000</v>
      </c>
      <c r="M778" s="1">
        <v>750</v>
      </c>
      <c r="O778" s="1">
        <v>1500</v>
      </c>
      <c r="Q778" s="1">
        <v>10</v>
      </c>
      <c r="Y778" s="1">
        <v>0.05</v>
      </c>
      <c r="Z778" s="1">
        <v>6</v>
      </c>
      <c r="AA778" s="1">
        <v>4</v>
      </c>
      <c r="AB778" s="1">
        <v>0.5</v>
      </c>
      <c r="AG778" s="1">
        <v>0</v>
      </c>
      <c r="AH778" s="1">
        <v>1</v>
      </c>
      <c r="AI778" s="1" t="s">
        <v>3337</v>
      </c>
      <c r="AJ778" s="1" t="s">
        <v>275</v>
      </c>
      <c r="AK778" s="1" t="s">
        <v>238</v>
      </c>
      <c r="AM778" s="1">
        <v>1</v>
      </c>
      <c r="AV778" s="1">
        <v>1</v>
      </c>
      <c r="AX778" s="1">
        <v>0.1</v>
      </c>
      <c r="BE778" s="1" t="s">
        <v>3335</v>
      </c>
      <c r="BK778" s="1" t="s">
        <v>2398</v>
      </c>
      <c r="BN778" s="1" t="s">
        <v>217</v>
      </c>
      <c r="BO778" s="1" t="s">
        <v>218</v>
      </c>
      <c r="BP778" s="1" t="s">
        <v>239</v>
      </c>
      <c r="BQ778" s="1" t="s">
        <v>220</v>
      </c>
      <c r="BT778" s="1">
        <v>1</v>
      </c>
    </row>
    <row r="779" spans="1:72">
      <c r="A779" s="1" t="s">
        <v>3338</v>
      </c>
      <c r="B779" s="1" t="s">
        <v>213</v>
      </c>
      <c r="C779" s="1">
        <v>1</v>
      </c>
      <c r="D779" s="1" t="s">
        <v>3339</v>
      </c>
      <c r="E779" s="1">
        <v>1274</v>
      </c>
      <c r="F779" s="1" t="s">
        <v>3338</v>
      </c>
      <c r="G779" s="1">
        <v>0.92</v>
      </c>
      <c r="K779" s="1">
        <v>10000</v>
      </c>
      <c r="M779" s="1">
        <v>650</v>
      </c>
      <c r="O779" s="1">
        <v>800</v>
      </c>
      <c r="Q779" s="1">
        <v>20</v>
      </c>
      <c r="Y779" s="1">
        <v>0.05</v>
      </c>
      <c r="Z779" s="1">
        <v>3</v>
      </c>
      <c r="AA779" s="1">
        <v>3</v>
      </c>
      <c r="AB779" s="1">
        <v>0.7</v>
      </c>
      <c r="AG779" s="1">
        <v>0</v>
      </c>
      <c r="AH779" s="1">
        <v>1</v>
      </c>
      <c r="AI779" s="1" t="s">
        <v>3340</v>
      </c>
      <c r="AJ779" s="1" t="s">
        <v>275</v>
      </c>
      <c r="AK779" s="1" t="s">
        <v>238</v>
      </c>
      <c r="AM779" s="1">
        <v>1</v>
      </c>
      <c r="AV779" s="1">
        <v>1</v>
      </c>
      <c r="AX779" s="1">
        <v>0.1</v>
      </c>
      <c r="BE779" s="1" t="s">
        <v>3338</v>
      </c>
      <c r="BK779" s="1" t="s">
        <v>2407</v>
      </c>
      <c r="BN779" s="1" t="s">
        <v>217</v>
      </c>
      <c r="BO779" s="1" t="s">
        <v>218</v>
      </c>
      <c r="BP779" s="1" t="s">
        <v>239</v>
      </c>
      <c r="BQ779" s="1" t="s">
        <v>220</v>
      </c>
      <c r="BT779" s="1">
        <v>1</v>
      </c>
    </row>
    <row r="780" spans="1:72">
      <c r="A780" s="1" t="s">
        <v>3341</v>
      </c>
      <c r="B780" s="1" t="s">
        <v>213</v>
      </c>
      <c r="C780" s="1">
        <v>1</v>
      </c>
      <c r="D780" s="1" t="s">
        <v>3342</v>
      </c>
      <c r="E780" s="1">
        <v>1274</v>
      </c>
      <c r="F780" s="1" t="s">
        <v>3341</v>
      </c>
      <c r="G780" s="1">
        <v>0.92</v>
      </c>
      <c r="K780" s="1">
        <v>13500</v>
      </c>
      <c r="M780" s="1">
        <v>750</v>
      </c>
      <c r="O780" s="1">
        <v>800</v>
      </c>
      <c r="Q780" s="1">
        <v>20</v>
      </c>
      <c r="Y780" s="1">
        <v>0.05</v>
      </c>
      <c r="Z780" s="1">
        <v>3</v>
      </c>
      <c r="AA780" s="1">
        <v>3</v>
      </c>
      <c r="AB780" s="1">
        <v>0.7</v>
      </c>
      <c r="AG780" s="1">
        <v>0</v>
      </c>
      <c r="AH780" s="1">
        <v>1</v>
      </c>
      <c r="AI780" s="1" t="s">
        <v>3343</v>
      </c>
      <c r="AJ780" s="1" t="s">
        <v>275</v>
      </c>
      <c r="AK780" s="1" t="s">
        <v>238</v>
      </c>
      <c r="AM780" s="1">
        <v>1</v>
      </c>
      <c r="AV780" s="1">
        <v>1</v>
      </c>
      <c r="AX780" s="1">
        <v>0.1</v>
      </c>
      <c r="BE780" s="1" t="s">
        <v>3341</v>
      </c>
      <c r="BK780" s="1" t="s">
        <v>2407</v>
      </c>
      <c r="BN780" s="1" t="s">
        <v>217</v>
      </c>
      <c r="BO780" s="1" t="s">
        <v>218</v>
      </c>
      <c r="BP780" s="1" t="s">
        <v>239</v>
      </c>
      <c r="BQ780" s="1" t="s">
        <v>220</v>
      </c>
      <c r="BT780" s="1">
        <v>1</v>
      </c>
    </row>
    <row r="781" spans="1:72">
      <c r="A781" s="1" t="s">
        <v>3344</v>
      </c>
      <c r="B781" s="1" t="s">
        <v>213</v>
      </c>
      <c r="C781" s="1">
        <v>1</v>
      </c>
      <c r="D781" s="1" t="s">
        <v>3345</v>
      </c>
      <c r="E781" s="1">
        <v>1275</v>
      </c>
      <c r="F781" s="1" t="s">
        <v>3344</v>
      </c>
      <c r="G781" s="1">
        <v>0.94</v>
      </c>
      <c r="K781" s="1">
        <v>12000</v>
      </c>
      <c r="M781" s="1">
        <v>450</v>
      </c>
      <c r="O781" s="1">
        <v>250</v>
      </c>
      <c r="Q781" s="1">
        <v>50</v>
      </c>
      <c r="Y781" s="1">
        <v>0.05</v>
      </c>
      <c r="Z781" s="1">
        <v>4</v>
      </c>
      <c r="AA781" s="1">
        <v>2</v>
      </c>
      <c r="AB781" s="1">
        <v>0.8</v>
      </c>
      <c r="AG781" s="1">
        <v>0</v>
      </c>
      <c r="AH781" s="1">
        <v>1</v>
      </c>
      <c r="AI781" s="1" t="s">
        <v>3346</v>
      </c>
      <c r="AJ781" s="1" t="s">
        <v>275</v>
      </c>
      <c r="AK781" s="1" t="s">
        <v>238</v>
      </c>
      <c r="AM781" s="1">
        <v>1</v>
      </c>
      <c r="AV781" s="1">
        <v>1</v>
      </c>
      <c r="AX781" s="1">
        <v>0.1</v>
      </c>
      <c r="BE781" s="1" t="s">
        <v>3344</v>
      </c>
      <c r="BK781" s="1" t="s">
        <v>1096</v>
      </c>
      <c r="BN781" s="1" t="s">
        <v>217</v>
      </c>
      <c r="BO781" s="1" t="s">
        <v>218</v>
      </c>
      <c r="BP781" s="1" t="s">
        <v>239</v>
      </c>
      <c r="BQ781" s="1" t="s">
        <v>220</v>
      </c>
      <c r="BT781" s="1">
        <v>1</v>
      </c>
    </row>
    <row r="782" spans="1:72">
      <c r="A782" s="1" t="s">
        <v>3347</v>
      </c>
      <c r="B782" s="1" t="s">
        <v>213</v>
      </c>
      <c r="C782" s="1">
        <v>1</v>
      </c>
      <c r="D782" s="1" t="s">
        <v>3348</v>
      </c>
      <c r="E782" s="1">
        <v>1275</v>
      </c>
      <c r="F782" s="1" t="s">
        <v>3347</v>
      </c>
      <c r="G782" s="1">
        <v>0.94</v>
      </c>
      <c r="K782" s="1">
        <v>14000</v>
      </c>
      <c r="M782" s="1">
        <v>500</v>
      </c>
      <c r="O782" s="1">
        <v>250</v>
      </c>
      <c r="Q782" s="1">
        <v>50</v>
      </c>
      <c r="Y782" s="1">
        <v>0.05</v>
      </c>
      <c r="Z782" s="1">
        <v>4</v>
      </c>
      <c r="AA782" s="1">
        <v>2</v>
      </c>
      <c r="AB782" s="1">
        <v>0.8</v>
      </c>
      <c r="AG782" s="1">
        <v>0</v>
      </c>
      <c r="AH782" s="1">
        <v>1</v>
      </c>
      <c r="AI782" s="1" t="s">
        <v>3349</v>
      </c>
      <c r="AJ782" s="1" t="s">
        <v>275</v>
      </c>
      <c r="AK782" s="1" t="s">
        <v>238</v>
      </c>
      <c r="AM782" s="1">
        <v>1</v>
      </c>
      <c r="AV782" s="1">
        <v>1</v>
      </c>
      <c r="AX782" s="1">
        <v>0.1</v>
      </c>
      <c r="BE782" s="1" t="s">
        <v>3347</v>
      </c>
      <c r="BK782" s="1" t="s">
        <v>1096</v>
      </c>
      <c r="BN782" s="1" t="s">
        <v>217</v>
      </c>
      <c r="BO782" s="1" t="s">
        <v>218</v>
      </c>
      <c r="BP782" s="1" t="s">
        <v>239</v>
      </c>
      <c r="BQ782" s="1" t="s">
        <v>220</v>
      </c>
      <c r="BT782" s="1">
        <v>1</v>
      </c>
    </row>
    <row r="783" spans="1:72">
      <c r="A783" s="1" t="s">
        <v>3350</v>
      </c>
      <c r="B783" s="1" t="s">
        <v>213</v>
      </c>
      <c r="C783" s="1">
        <v>1</v>
      </c>
      <c r="D783" s="1" t="s">
        <v>3351</v>
      </c>
      <c r="E783" s="1">
        <v>1533</v>
      </c>
      <c r="F783" s="1" t="s">
        <v>3350</v>
      </c>
      <c r="G783" s="1">
        <v>1.08</v>
      </c>
      <c r="K783" s="1">
        <v>65000</v>
      </c>
      <c r="M783" s="1">
        <v>1600</v>
      </c>
      <c r="O783" s="1">
        <v>2000</v>
      </c>
      <c r="Q783" s="1">
        <v>40</v>
      </c>
      <c r="Y783" s="1">
        <v>0.05</v>
      </c>
      <c r="Z783" s="1">
        <v>5</v>
      </c>
      <c r="AA783" s="1">
        <v>10</v>
      </c>
      <c r="AB783" s="1">
        <v>0.5</v>
      </c>
      <c r="AG783" s="1">
        <v>0</v>
      </c>
      <c r="AH783" s="1">
        <v>1</v>
      </c>
      <c r="AI783" s="1" t="s">
        <v>3352</v>
      </c>
      <c r="AJ783" s="1" t="s">
        <v>275</v>
      </c>
      <c r="AK783" s="1" t="s">
        <v>238</v>
      </c>
      <c r="AM783" s="1">
        <v>1</v>
      </c>
      <c r="AV783" s="1">
        <v>2</v>
      </c>
      <c r="AX783" s="1">
        <v>0.1</v>
      </c>
      <c r="BE783" s="1" t="s">
        <v>3350</v>
      </c>
      <c r="BK783" s="1" t="s">
        <v>3353</v>
      </c>
      <c r="BN783" s="1" t="s">
        <v>3354</v>
      </c>
      <c r="BO783" s="1" t="s">
        <v>1959</v>
      </c>
      <c r="BP783" s="1" t="s">
        <v>1960</v>
      </c>
      <c r="BQ783" s="1" t="s">
        <v>3355</v>
      </c>
      <c r="BR783" s="1" t="s">
        <v>3356</v>
      </c>
      <c r="BT783" s="1">
        <v>5</v>
      </c>
    </row>
    <row r="784" spans="1:72">
      <c r="A784" s="1" t="s">
        <v>3357</v>
      </c>
      <c r="B784" s="1" t="s">
        <v>213</v>
      </c>
      <c r="C784" s="1">
        <v>1</v>
      </c>
      <c r="D784" s="1" t="s">
        <v>3351</v>
      </c>
      <c r="E784" s="1">
        <v>1533</v>
      </c>
      <c r="F784" s="1" t="s">
        <v>3350</v>
      </c>
      <c r="G784" s="1">
        <v>1.08</v>
      </c>
      <c r="K784" s="1">
        <v>80000</v>
      </c>
      <c r="M784" s="1">
        <v>1800</v>
      </c>
      <c r="O784" s="1">
        <v>2400</v>
      </c>
      <c r="Q784" s="1">
        <v>40</v>
      </c>
      <c r="Y784" s="1">
        <v>0.05</v>
      </c>
      <c r="Z784" s="1">
        <v>5</v>
      </c>
      <c r="AA784" s="1">
        <v>10</v>
      </c>
      <c r="AB784" s="1">
        <v>0.5</v>
      </c>
      <c r="AG784" s="1">
        <v>0</v>
      </c>
      <c r="AH784" s="1">
        <v>1</v>
      </c>
      <c r="AI784" s="1" t="s">
        <v>3358</v>
      </c>
      <c r="AJ784" s="1" t="s">
        <v>275</v>
      </c>
      <c r="AK784" s="1" t="s">
        <v>238</v>
      </c>
      <c r="AM784" s="1">
        <v>1</v>
      </c>
      <c r="AV784" s="1">
        <v>2</v>
      </c>
      <c r="AX784" s="1">
        <v>0.1</v>
      </c>
      <c r="BE784" s="1" t="s">
        <v>3350</v>
      </c>
      <c r="BK784" s="1" t="s">
        <v>3353</v>
      </c>
      <c r="BN784" s="1" t="s">
        <v>3354</v>
      </c>
      <c r="BO784" s="1" t="s">
        <v>1959</v>
      </c>
      <c r="BP784" s="1" t="s">
        <v>1960</v>
      </c>
      <c r="BQ784" s="1" t="s">
        <v>3355</v>
      </c>
      <c r="BR784" s="1" t="s">
        <v>3356</v>
      </c>
      <c r="BT784" s="1">
        <v>5</v>
      </c>
    </row>
    <row r="785" spans="1:72">
      <c r="A785" s="1" t="s">
        <v>3359</v>
      </c>
      <c r="B785" s="1" t="s">
        <v>213</v>
      </c>
      <c r="C785" s="1">
        <v>1</v>
      </c>
      <c r="D785" s="1" t="s">
        <v>3351</v>
      </c>
      <c r="E785" s="1">
        <v>1533</v>
      </c>
      <c r="F785" s="1" t="s">
        <v>3350</v>
      </c>
      <c r="G785" s="1">
        <v>1.08</v>
      </c>
      <c r="K785" s="1">
        <v>80000</v>
      </c>
      <c r="M785" s="1">
        <v>1800</v>
      </c>
      <c r="O785" s="1">
        <v>2400</v>
      </c>
      <c r="Q785" s="1">
        <v>40</v>
      </c>
      <c r="Y785" s="1">
        <v>0.05</v>
      </c>
      <c r="Z785" s="1">
        <v>5</v>
      </c>
      <c r="AA785" s="1">
        <v>10</v>
      </c>
      <c r="AB785" s="1">
        <v>0.5</v>
      </c>
      <c r="AG785" s="1">
        <v>0</v>
      </c>
      <c r="AH785" s="1">
        <v>1</v>
      </c>
      <c r="AI785" s="1" t="s">
        <v>3360</v>
      </c>
      <c r="AJ785" s="1" t="s">
        <v>275</v>
      </c>
      <c r="AK785" s="1" t="s">
        <v>238</v>
      </c>
      <c r="AM785" s="1">
        <v>1</v>
      </c>
      <c r="AV785" s="1">
        <v>2</v>
      </c>
      <c r="AX785" s="1">
        <v>0.1</v>
      </c>
      <c r="BE785" s="1" t="s">
        <v>3350</v>
      </c>
      <c r="BK785" s="1" t="s">
        <v>3361</v>
      </c>
      <c r="BN785" s="1" t="s">
        <v>3354</v>
      </c>
      <c r="BO785" s="1" t="s">
        <v>1959</v>
      </c>
      <c r="BP785" s="1" t="s">
        <v>1960</v>
      </c>
      <c r="BQ785" s="1" t="s">
        <v>3355</v>
      </c>
      <c r="BR785" s="1" t="s">
        <v>3356</v>
      </c>
      <c r="BT785" s="1">
        <v>5</v>
      </c>
    </row>
    <row r="786" spans="1:72">
      <c r="A786" s="1" t="s">
        <v>3362</v>
      </c>
      <c r="B786" s="1" t="s">
        <v>213</v>
      </c>
      <c r="C786" s="1">
        <v>1</v>
      </c>
      <c r="D786" s="1" t="s">
        <v>3363</v>
      </c>
      <c r="E786" s="1">
        <v>1276</v>
      </c>
      <c r="F786" s="1" t="s">
        <v>3362</v>
      </c>
      <c r="G786" s="1">
        <v>1</v>
      </c>
      <c r="K786" s="1">
        <v>50000</v>
      </c>
      <c r="M786" s="1">
        <v>0</v>
      </c>
      <c r="O786" s="1">
        <v>3000</v>
      </c>
      <c r="Q786" s="1">
        <v>90</v>
      </c>
      <c r="Y786" s="1">
        <v>0.05</v>
      </c>
      <c r="Z786" s="1">
        <v>4</v>
      </c>
      <c r="AA786" s="1">
        <v>6</v>
      </c>
      <c r="AB786" s="1">
        <v>0.5</v>
      </c>
      <c r="AG786" s="1">
        <v>0</v>
      </c>
      <c r="AH786" s="1">
        <v>1</v>
      </c>
      <c r="AI786" s="1" t="s">
        <v>3364</v>
      </c>
      <c r="AJ786" s="1" t="s">
        <v>275</v>
      </c>
      <c r="AK786" s="1" t="s">
        <v>238</v>
      </c>
      <c r="AM786" s="1">
        <v>1</v>
      </c>
      <c r="AV786" s="1">
        <v>1</v>
      </c>
      <c r="AX786" s="1">
        <v>0.1</v>
      </c>
      <c r="BE786" s="1" t="s">
        <v>3362</v>
      </c>
      <c r="BK786" s="1" t="s">
        <v>3365</v>
      </c>
      <c r="BN786" s="1" t="s">
        <v>217</v>
      </c>
      <c r="BO786" s="1" t="s">
        <v>218</v>
      </c>
      <c r="BP786" s="1" t="s">
        <v>239</v>
      </c>
      <c r="BQ786" s="1" t="s">
        <v>218</v>
      </c>
      <c r="BT786" s="1">
        <v>1</v>
      </c>
    </row>
    <row r="787" spans="1:72">
      <c r="A787" s="1" t="s">
        <v>3366</v>
      </c>
      <c r="B787" s="1" t="s">
        <v>213</v>
      </c>
      <c r="C787" s="1">
        <v>1</v>
      </c>
      <c r="D787" s="1" t="s">
        <v>3367</v>
      </c>
      <c r="E787" s="1">
        <v>1266</v>
      </c>
      <c r="F787" s="1" t="s">
        <v>3366</v>
      </c>
      <c r="G787" s="1">
        <v>1</v>
      </c>
      <c r="K787" s="1">
        <v>40000</v>
      </c>
      <c r="M787" s="1">
        <v>2000</v>
      </c>
      <c r="O787" s="1">
        <v>1000</v>
      </c>
      <c r="Q787" s="1">
        <v>30</v>
      </c>
      <c r="Y787" s="1">
        <v>0.05</v>
      </c>
      <c r="Z787" s="1">
        <v>3</v>
      </c>
      <c r="AA787" s="1">
        <v>4</v>
      </c>
      <c r="AB787" s="1">
        <v>0.5</v>
      </c>
      <c r="AG787" s="1">
        <v>0</v>
      </c>
      <c r="AH787" s="1">
        <v>1</v>
      </c>
      <c r="AI787" s="1" t="s">
        <v>3368</v>
      </c>
      <c r="AJ787" s="1" t="s">
        <v>275</v>
      </c>
      <c r="AK787" s="1" t="s">
        <v>238</v>
      </c>
      <c r="AM787" s="1">
        <v>1</v>
      </c>
      <c r="AV787" s="1">
        <v>1</v>
      </c>
      <c r="AX787" s="1">
        <v>0.1</v>
      </c>
      <c r="BE787" s="1" t="s">
        <v>3366</v>
      </c>
      <c r="BK787" s="1" t="s">
        <v>1012</v>
      </c>
      <c r="BN787" s="1" t="s">
        <v>217</v>
      </c>
      <c r="BO787" s="1" t="s">
        <v>218</v>
      </c>
      <c r="BP787" s="1" t="s">
        <v>239</v>
      </c>
      <c r="BQ787" s="1" t="s">
        <v>220</v>
      </c>
      <c r="BT787" s="1">
        <v>1</v>
      </c>
    </row>
    <row r="788" spans="1:72">
      <c r="A788" s="1" t="s">
        <v>3369</v>
      </c>
      <c r="B788" s="1" t="s">
        <v>213</v>
      </c>
      <c r="C788" s="1">
        <v>1</v>
      </c>
      <c r="D788" s="1" t="s">
        <v>3370</v>
      </c>
      <c r="E788" s="1">
        <v>1266</v>
      </c>
      <c r="F788" s="1" t="s">
        <v>3369</v>
      </c>
      <c r="G788" s="1">
        <v>1</v>
      </c>
      <c r="K788" s="1">
        <v>50000</v>
      </c>
      <c r="M788" s="1">
        <v>2400</v>
      </c>
      <c r="O788" s="1">
        <v>1200</v>
      </c>
      <c r="Q788" s="1">
        <v>40</v>
      </c>
      <c r="Y788" s="1">
        <v>0.05</v>
      </c>
      <c r="Z788" s="1">
        <v>3</v>
      </c>
      <c r="AA788" s="1">
        <v>4</v>
      </c>
      <c r="AB788" s="1">
        <v>0.5</v>
      </c>
      <c r="AG788" s="1">
        <v>0</v>
      </c>
      <c r="AH788" s="1">
        <v>1</v>
      </c>
      <c r="AI788" s="1" t="s">
        <v>3371</v>
      </c>
      <c r="AJ788" s="1" t="s">
        <v>275</v>
      </c>
      <c r="AK788" s="1" t="s">
        <v>238</v>
      </c>
      <c r="AM788" s="1">
        <v>1</v>
      </c>
      <c r="AV788" s="1">
        <v>1</v>
      </c>
      <c r="AX788" s="1">
        <v>0.1</v>
      </c>
      <c r="BE788" s="1" t="s">
        <v>3366</v>
      </c>
      <c r="BK788" s="1" t="s">
        <v>1012</v>
      </c>
      <c r="BN788" s="1" t="s">
        <v>217</v>
      </c>
      <c r="BO788" s="1" t="s">
        <v>218</v>
      </c>
      <c r="BP788" s="1" t="s">
        <v>239</v>
      </c>
      <c r="BQ788" s="1" t="s">
        <v>220</v>
      </c>
      <c r="BT788" s="1">
        <v>1</v>
      </c>
    </row>
    <row r="789" spans="1:72">
      <c r="A789" s="1" t="s">
        <v>3372</v>
      </c>
      <c r="B789" s="1" t="s">
        <v>213</v>
      </c>
      <c r="C789" s="1">
        <v>1</v>
      </c>
      <c r="D789" s="1" t="s">
        <v>3367</v>
      </c>
      <c r="E789" s="1">
        <v>1266</v>
      </c>
      <c r="F789" s="1" t="s">
        <v>3366</v>
      </c>
      <c r="G789" s="1">
        <v>1</v>
      </c>
      <c r="K789" s="1">
        <v>40000</v>
      </c>
      <c r="M789" s="1">
        <v>2000</v>
      </c>
      <c r="O789" s="1">
        <v>1000</v>
      </c>
      <c r="Q789" s="1">
        <v>30</v>
      </c>
      <c r="Y789" s="1">
        <v>0.05</v>
      </c>
      <c r="Z789" s="1">
        <v>3</v>
      </c>
      <c r="AA789" s="1">
        <v>4</v>
      </c>
      <c r="AB789" s="1">
        <v>0.5</v>
      </c>
      <c r="AG789" s="1">
        <v>0</v>
      </c>
      <c r="AH789" s="1">
        <v>1</v>
      </c>
      <c r="AI789" s="1" t="s">
        <v>3373</v>
      </c>
      <c r="AJ789" s="1" t="s">
        <v>275</v>
      </c>
      <c r="AK789" s="1" t="s">
        <v>238</v>
      </c>
      <c r="AM789" s="1">
        <v>1</v>
      </c>
      <c r="AV789" s="1">
        <v>1</v>
      </c>
      <c r="AX789" s="1">
        <v>0.1</v>
      </c>
      <c r="BE789" s="1" t="s">
        <v>3366</v>
      </c>
      <c r="BK789" s="1" t="s">
        <v>1012</v>
      </c>
      <c r="BN789" s="1" t="s">
        <v>217</v>
      </c>
      <c r="BO789" s="1" t="s">
        <v>218</v>
      </c>
      <c r="BP789" s="1" t="s">
        <v>239</v>
      </c>
      <c r="BQ789" s="1" t="s">
        <v>220</v>
      </c>
      <c r="BT789" s="1">
        <v>1</v>
      </c>
    </row>
    <row r="790" spans="1:72">
      <c r="A790" s="1" t="s">
        <v>3374</v>
      </c>
      <c r="B790" s="1" t="s">
        <v>213</v>
      </c>
      <c r="C790" s="1">
        <v>1</v>
      </c>
      <c r="D790" s="1" t="s">
        <v>3370</v>
      </c>
      <c r="E790" s="1">
        <v>1266</v>
      </c>
      <c r="F790" s="1" t="s">
        <v>3369</v>
      </c>
      <c r="G790" s="1">
        <v>1</v>
      </c>
      <c r="K790" s="1">
        <v>50000</v>
      </c>
      <c r="M790" s="1">
        <v>2400</v>
      </c>
      <c r="O790" s="1">
        <v>1200</v>
      </c>
      <c r="Q790" s="1">
        <v>40</v>
      </c>
      <c r="Y790" s="1">
        <v>0.05</v>
      </c>
      <c r="Z790" s="1">
        <v>3</v>
      </c>
      <c r="AA790" s="1">
        <v>4</v>
      </c>
      <c r="AB790" s="1">
        <v>0.5</v>
      </c>
      <c r="AG790" s="1">
        <v>0</v>
      </c>
      <c r="AH790" s="1">
        <v>1</v>
      </c>
      <c r="AI790" s="1" t="s">
        <v>3375</v>
      </c>
      <c r="AJ790" s="1" t="s">
        <v>275</v>
      </c>
      <c r="AK790" s="1" t="s">
        <v>238</v>
      </c>
      <c r="AM790" s="1">
        <v>1</v>
      </c>
      <c r="AV790" s="1">
        <v>1</v>
      </c>
      <c r="AX790" s="1">
        <v>0.1</v>
      </c>
      <c r="BE790" s="1" t="s">
        <v>3366</v>
      </c>
      <c r="BK790" s="1" t="s">
        <v>1012</v>
      </c>
      <c r="BN790" s="1" t="s">
        <v>217</v>
      </c>
      <c r="BO790" s="1" t="s">
        <v>218</v>
      </c>
      <c r="BP790" s="1" t="s">
        <v>239</v>
      </c>
      <c r="BQ790" s="1" t="s">
        <v>220</v>
      </c>
      <c r="BT790" s="1">
        <v>1</v>
      </c>
    </row>
    <row r="791" spans="1:72">
      <c r="A791" s="1" t="s">
        <v>3376</v>
      </c>
      <c r="B791" s="1" t="s">
        <v>213</v>
      </c>
      <c r="C791" s="1">
        <v>1</v>
      </c>
      <c r="D791" s="1" t="s">
        <v>3377</v>
      </c>
      <c r="E791" s="1">
        <v>1277</v>
      </c>
      <c r="F791" s="1" t="s">
        <v>3376</v>
      </c>
      <c r="G791" s="1">
        <v>1</v>
      </c>
      <c r="K791" s="1">
        <v>3500</v>
      </c>
      <c r="M791" s="1">
        <v>320</v>
      </c>
      <c r="O791" s="1">
        <v>120</v>
      </c>
      <c r="Q791" s="1">
        <v>10</v>
      </c>
      <c r="Y791" s="1">
        <v>0.05</v>
      </c>
      <c r="Z791" s="1">
        <v>1.8</v>
      </c>
      <c r="AA791" s="1">
        <v>1</v>
      </c>
      <c r="AB791" s="1">
        <v>1</v>
      </c>
      <c r="AG791" s="1">
        <v>0</v>
      </c>
      <c r="AH791" s="1">
        <v>1</v>
      </c>
      <c r="AI791" s="1" t="s">
        <v>3378</v>
      </c>
      <c r="AJ791" s="1" t="s">
        <v>216</v>
      </c>
      <c r="AK791" s="1" t="s">
        <v>238</v>
      </c>
      <c r="AM791" s="1">
        <v>1</v>
      </c>
      <c r="AV791" s="1">
        <v>1</v>
      </c>
      <c r="AX791" s="1">
        <v>0.1</v>
      </c>
      <c r="BE791" s="1" t="s">
        <v>3376</v>
      </c>
      <c r="BK791" s="1" t="s">
        <v>953</v>
      </c>
      <c r="BN791" s="1" t="s">
        <v>217</v>
      </c>
      <c r="BO791" s="1" t="s">
        <v>218</v>
      </c>
      <c r="BP791" s="1" t="s">
        <v>239</v>
      </c>
      <c r="BQ791" s="1" t="s">
        <v>220</v>
      </c>
      <c r="BT791" s="1">
        <v>1</v>
      </c>
    </row>
    <row r="792" spans="1:72">
      <c r="A792" s="1" t="s">
        <v>3379</v>
      </c>
      <c r="B792" s="1" t="s">
        <v>213</v>
      </c>
      <c r="C792" s="1">
        <v>1</v>
      </c>
      <c r="D792" s="1" t="s">
        <v>3380</v>
      </c>
      <c r="E792" s="1" t="s">
        <v>3381</v>
      </c>
      <c r="F792" s="1" t="s">
        <v>3379</v>
      </c>
      <c r="G792" s="1">
        <v>1</v>
      </c>
      <c r="K792" s="1">
        <v>4400</v>
      </c>
      <c r="M792" s="1">
        <v>375</v>
      </c>
      <c r="O792" s="1">
        <v>180</v>
      </c>
      <c r="Q792" s="1">
        <v>10</v>
      </c>
      <c r="Y792" s="1">
        <v>0.05</v>
      </c>
      <c r="Z792" s="1">
        <v>1.8</v>
      </c>
      <c r="AA792" s="1">
        <v>1</v>
      </c>
      <c r="AB792" s="1">
        <v>1</v>
      </c>
      <c r="AG792" s="1">
        <v>0</v>
      </c>
      <c r="AH792" s="1">
        <v>1</v>
      </c>
      <c r="AI792" s="1" t="s">
        <v>3382</v>
      </c>
      <c r="AJ792" s="1" t="s">
        <v>216</v>
      </c>
      <c r="AK792" s="1" t="s">
        <v>238</v>
      </c>
      <c r="AM792" s="1">
        <v>1</v>
      </c>
      <c r="AV792" s="1">
        <v>1</v>
      </c>
      <c r="AX792" s="1">
        <v>0.1</v>
      </c>
      <c r="BE792" s="1" t="s">
        <v>3379</v>
      </c>
      <c r="BK792" s="1" t="s">
        <v>953</v>
      </c>
      <c r="BN792" s="1" t="s">
        <v>217</v>
      </c>
      <c r="BO792" s="1" t="s">
        <v>218</v>
      </c>
      <c r="BP792" s="1" t="s">
        <v>239</v>
      </c>
      <c r="BQ792" s="1" t="s">
        <v>220</v>
      </c>
      <c r="BT792" s="1">
        <v>1</v>
      </c>
    </row>
    <row r="793" spans="1:72">
      <c r="A793" s="1" t="s">
        <v>3383</v>
      </c>
      <c r="B793" s="1" t="s">
        <v>213</v>
      </c>
      <c r="C793" s="1">
        <v>1</v>
      </c>
      <c r="D793" s="1" t="s">
        <v>3384</v>
      </c>
      <c r="E793" s="1" t="s">
        <v>3385</v>
      </c>
      <c r="F793" s="1" t="s">
        <v>3383</v>
      </c>
      <c r="G793" s="1">
        <v>1</v>
      </c>
      <c r="K793" s="1">
        <v>4000</v>
      </c>
      <c r="M793" s="1">
        <v>300</v>
      </c>
      <c r="O793" s="1">
        <v>200</v>
      </c>
      <c r="Q793" s="1">
        <v>10</v>
      </c>
      <c r="Y793" s="1">
        <v>0.05</v>
      </c>
      <c r="Z793" s="1">
        <v>2.8</v>
      </c>
      <c r="AA793" s="1">
        <v>1</v>
      </c>
      <c r="AB793" s="1">
        <v>1</v>
      </c>
      <c r="AG793" s="1">
        <v>0</v>
      </c>
      <c r="AH793" s="1">
        <v>1</v>
      </c>
      <c r="AI793" s="1" t="s">
        <v>3386</v>
      </c>
      <c r="AJ793" s="1" t="s">
        <v>216</v>
      </c>
      <c r="AK793" s="1" t="s">
        <v>238</v>
      </c>
      <c r="AM793" s="1">
        <v>1</v>
      </c>
      <c r="AV793" s="1">
        <v>1</v>
      </c>
      <c r="AX793" s="1">
        <v>0.1</v>
      </c>
      <c r="BE793" s="1" t="s">
        <v>3383</v>
      </c>
      <c r="BK793" s="1" t="s">
        <v>959</v>
      </c>
      <c r="BN793" s="1" t="s">
        <v>217</v>
      </c>
      <c r="BO793" s="1" t="s">
        <v>218</v>
      </c>
      <c r="BP793" s="1" t="s">
        <v>239</v>
      </c>
      <c r="BQ793" s="1" t="s">
        <v>220</v>
      </c>
      <c r="BT793" s="1">
        <v>1</v>
      </c>
    </row>
    <row r="794" spans="1:72">
      <c r="A794" s="1" t="s">
        <v>3387</v>
      </c>
      <c r="B794" s="1" t="s">
        <v>213</v>
      </c>
      <c r="C794" s="1">
        <v>1</v>
      </c>
      <c r="D794" s="1" t="s">
        <v>3388</v>
      </c>
      <c r="E794" s="1" t="s">
        <v>3385</v>
      </c>
      <c r="F794" s="1" t="s">
        <v>3387</v>
      </c>
      <c r="G794" s="1">
        <v>1</v>
      </c>
      <c r="K794" s="1">
        <v>5500</v>
      </c>
      <c r="M794" s="1">
        <v>380</v>
      </c>
      <c r="O794" s="1">
        <v>200</v>
      </c>
      <c r="Q794" s="1">
        <v>10</v>
      </c>
      <c r="Y794" s="1">
        <v>0.05</v>
      </c>
      <c r="Z794" s="1">
        <v>2.8</v>
      </c>
      <c r="AA794" s="1">
        <v>1</v>
      </c>
      <c r="AB794" s="1">
        <v>1</v>
      </c>
      <c r="AG794" s="1">
        <v>0</v>
      </c>
      <c r="AH794" s="1">
        <v>1</v>
      </c>
      <c r="AI794" s="1" t="s">
        <v>3389</v>
      </c>
      <c r="AJ794" s="1" t="s">
        <v>216</v>
      </c>
      <c r="AK794" s="1" t="s">
        <v>238</v>
      </c>
      <c r="AM794" s="1">
        <v>1</v>
      </c>
      <c r="AV794" s="1">
        <v>1</v>
      </c>
      <c r="AX794" s="1">
        <v>0.1</v>
      </c>
      <c r="BE794" s="1" t="s">
        <v>3387</v>
      </c>
      <c r="BK794" s="1" t="s">
        <v>959</v>
      </c>
      <c r="BN794" s="1" t="s">
        <v>217</v>
      </c>
      <c r="BO794" s="1" t="s">
        <v>218</v>
      </c>
      <c r="BP794" s="1" t="s">
        <v>239</v>
      </c>
      <c r="BQ794" s="1" t="s">
        <v>220</v>
      </c>
      <c r="BT794" s="1">
        <v>1</v>
      </c>
    </row>
    <row r="795" spans="1:72">
      <c r="A795" s="1" t="s">
        <v>3390</v>
      </c>
      <c r="B795" s="1" t="s">
        <v>213</v>
      </c>
      <c r="C795" s="1">
        <v>1</v>
      </c>
      <c r="D795" s="1" t="s">
        <v>3391</v>
      </c>
      <c r="E795" s="1" t="s">
        <v>3392</v>
      </c>
      <c r="F795" s="1" t="s">
        <v>3390</v>
      </c>
      <c r="G795" s="1">
        <v>1</v>
      </c>
      <c r="K795" s="1">
        <v>9000</v>
      </c>
      <c r="M795" s="1">
        <v>500</v>
      </c>
      <c r="O795" s="1">
        <v>900</v>
      </c>
      <c r="Q795" s="1">
        <v>10</v>
      </c>
      <c r="Y795" s="1">
        <v>0.05</v>
      </c>
      <c r="Z795" s="1">
        <v>3</v>
      </c>
      <c r="AA795" s="1">
        <v>4</v>
      </c>
      <c r="AB795" s="1">
        <v>0.5</v>
      </c>
      <c r="AG795" s="1">
        <v>1</v>
      </c>
      <c r="AH795" s="1">
        <v>1</v>
      </c>
      <c r="AI795" s="1" t="s">
        <v>3393</v>
      </c>
      <c r="AJ795" s="1" t="s">
        <v>3394</v>
      </c>
      <c r="AK795" s="1" t="s">
        <v>238</v>
      </c>
      <c r="AM795" s="1">
        <v>1</v>
      </c>
      <c r="AV795" s="1">
        <v>1</v>
      </c>
      <c r="AX795" s="1">
        <v>0.1</v>
      </c>
      <c r="BE795" s="1" t="s">
        <v>3390</v>
      </c>
      <c r="BK795" s="1" t="s">
        <v>953</v>
      </c>
      <c r="BN795" s="1" t="s">
        <v>217</v>
      </c>
      <c r="BO795" s="1" t="s">
        <v>218</v>
      </c>
      <c r="BP795" s="1" t="s">
        <v>239</v>
      </c>
      <c r="BQ795" s="1" t="s">
        <v>220</v>
      </c>
      <c r="BT795" s="1">
        <v>1</v>
      </c>
    </row>
    <row r="796" spans="1:72">
      <c r="A796" s="1" t="s">
        <v>3395</v>
      </c>
      <c r="B796" s="1" t="s">
        <v>213</v>
      </c>
      <c r="C796" s="1">
        <v>1</v>
      </c>
      <c r="D796" s="1" t="s">
        <v>3396</v>
      </c>
      <c r="E796" s="1" t="s">
        <v>3392</v>
      </c>
      <c r="F796" s="1" t="s">
        <v>3395</v>
      </c>
      <c r="G796" s="1">
        <v>1</v>
      </c>
      <c r="K796" s="1">
        <v>12000</v>
      </c>
      <c r="M796" s="1">
        <v>600</v>
      </c>
      <c r="O796" s="1">
        <v>1100</v>
      </c>
      <c r="Q796" s="1">
        <v>10</v>
      </c>
      <c r="Y796" s="1">
        <v>0.05</v>
      </c>
      <c r="Z796" s="1">
        <v>3</v>
      </c>
      <c r="AA796" s="1">
        <v>4</v>
      </c>
      <c r="AB796" s="1">
        <v>0.5</v>
      </c>
      <c r="AG796" s="1">
        <v>1</v>
      </c>
      <c r="AH796" s="1">
        <v>1</v>
      </c>
      <c r="AI796" s="1" t="s">
        <v>3397</v>
      </c>
      <c r="AJ796" s="1" t="s">
        <v>3394</v>
      </c>
      <c r="AK796" s="1" t="s">
        <v>238</v>
      </c>
      <c r="AM796" s="1">
        <v>1</v>
      </c>
      <c r="AV796" s="1">
        <v>1</v>
      </c>
      <c r="AX796" s="1">
        <v>0.1</v>
      </c>
      <c r="BE796" s="1" t="s">
        <v>3395</v>
      </c>
      <c r="BK796" s="1" t="s">
        <v>953</v>
      </c>
      <c r="BN796" s="1" t="s">
        <v>217</v>
      </c>
      <c r="BO796" s="1" t="s">
        <v>218</v>
      </c>
      <c r="BP796" s="1" t="s">
        <v>239</v>
      </c>
      <c r="BQ796" s="1" t="s">
        <v>220</v>
      </c>
      <c r="BT796" s="1">
        <v>1</v>
      </c>
    </row>
    <row r="797" spans="1:72">
      <c r="A797" s="1" t="s">
        <v>3398</v>
      </c>
      <c r="B797" s="1" t="s">
        <v>213</v>
      </c>
      <c r="C797" s="1">
        <v>1</v>
      </c>
      <c r="D797" s="1" t="s">
        <v>3399</v>
      </c>
      <c r="E797" s="1">
        <v>1280</v>
      </c>
      <c r="F797" s="1" t="s">
        <v>3398</v>
      </c>
      <c r="G797" s="1">
        <v>1</v>
      </c>
      <c r="K797" s="1">
        <v>4500</v>
      </c>
      <c r="M797" s="1">
        <v>320</v>
      </c>
      <c r="O797" s="1">
        <v>250</v>
      </c>
      <c r="Q797" s="1">
        <v>40</v>
      </c>
      <c r="Y797" s="1">
        <v>0.05</v>
      </c>
      <c r="Z797" s="1">
        <v>3.5</v>
      </c>
      <c r="AA797" s="1">
        <v>2</v>
      </c>
      <c r="AB797" s="1">
        <v>0.8</v>
      </c>
      <c r="AG797" s="1">
        <v>0</v>
      </c>
      <c r="AH797" s="1">
        <v>1</v>
      </c>
      <c r="AI797" s="1" t="s">
        <v>3400</v>
      </c>
      <c r="AJ797" s="1" t="s">
        <v>3401</v>
      </c>
      <c r="AK797" s="1" t="s">
        <v>238</v>
      </c>
      <c r="AM797" s="1">
        <v>1</v>
      </c>
      <c r="AV797" s="1">
        <v>1</v>
      </c>
      <c r="AX797" s="1">
        <v>0.1</v>
      </c>
      <c r="BE797" s="1" t="s">
        <v>3398</v>
      </c>
      <c r="BK797" s="1" t="s">
        <v>959</v>
      </c>
      <c r="BN797" s="1" t="s">
        <v>217</v>
      </c>
      <c r="BO797" s="1" t="s">
        <v>218</v>
      </c>
      <c r="BP797" s="1" t="s">
        <v>239</v>
      </c>
      <c r="BQ797" s="1" t="s">
        <v>220</v>
      </c>
      <c r="BT797" s="1">
        <v>1</v>
      </c>
    </row>
    <row r="798" spans="1:72">
      <c r="A798" s="1" t="s">
        <v>3402</v>
      </c>
      <c r="B798" s="1" t="s">
        <v>213</v>
      </c>
      <c r="C798" s="1">
        <v>1</v>
      </c>
      <c r="D798" s="1" t="s">
        <v>3403</v>
      </c>
      <c r="E798" s="1" t="s">
        <v>3404</v>
      </c>
      <c r="F798" s="1" t="s">
        <v>3402</v>
      </c>
      <c r="G798" s="1">
        <v>1</v>
      </c>
      <c r="K798" s="1">
        <v>6000</v>
      </c>
      <c r="M798" s="1">
        <v>400</v>
      </c>
      <c r="O798" s="1">
        <v>250</v>
      </c>
      <c r="Q798" s="1">
        <v>40</v>
      </c>
      <c r="Y798" s="1">
        <v>0.05</v>
      </c>
      <c r="Z798" s="1">
        <v>3.5</v>
      </c>
      <c r="AA798" s="1">
        <v>2</v>
      </c>
      <c r="AB798" s="1">
        <v>0.8</v>
      </c>
      <c r="AG798" s="1">
        <v>0</v>
      </c>
      <c r="AH798" s="1">
        <v>1</v>
      </c>
      <c r="AI798" s="1" t="s">
        <v>3405</v>
      </c>
      <c r="AJ798" s="1" t="s">
        <v>3401</v>
      </c>
      <c r="AK798" s="1" t="s">
        <v>238</v>
      </c>
      <c r="AM798" s="1">
        <v>1</v>
      </c>
      <c r="AV798" s="1">
        <v>1</v>
      </c>
      <c r="AX798" s="1">
        <v>0.1</v>
      </c>
      <c r="BE798" s="1" t="s">
        <v>3402</v>
      </c>
      <c r="BK798" s="1" t="s">
        <v>959</v>
      </c>
      <c r="BN798" s="1" t="s">
        <v>217</v>
      </c>
      <c r="BO798" s="1" t="s">
        <v>218</v>
      </c>
      <c r="BP798" s="1" t="s">
        <v>239</v>
      </c>
      <c r="BQ798" s="1" t="s">
        <v>220</v>
      </c>
      <c r="BT798" s="1">
        <v>1</v>
      </c>
    </row>
    <row r="799" spans="1:72">
      <c r="A799" s="1" t="s">
        <v>3406</v>
      </c>
      <c r="B799" s="1" t="s">
        <v>213</v>
      </c>
      <c r="C799" s="1">
        <v>1</v>
      </c>
      <c r="D799" s="1" t="s">
        <v>3407</v>
      </c>
      <c r="E799" s="1" t="s">
        <v>3408</v>
      </c>
      <c r="F799" s="1" t="s">
        <v>3406</v>
      </c>
      <c r="G799" s="1">
        <v>1</v>
      </c>
      <c r="K799" s="1">
        <v>10000</v>
      </c>
      <c r="M799" s="1">
        <v>900</v>
      </c>
      <c r="O799" s="1">
        <v>1000</v>
      </c>
      <c r="Q799" s="1">
        <v>15</v>
      </c>
      <c r="Y799" s="1">
        <v>0.05</v>
      </c>
      <c r="Z799" s="1">
        <v>5</v>
      </c>
      <c r="AA799" s="1">
        <v>4</v>
      </c>
      <c r="AB799" s="1">
        <v>1.2</v>
      </c>
      <c r="AG799" s="1">
        <v>0</v>
      </c>
      <c r="AH799" s="1">
        <v>1</v>
      </c>
      <c r="AI799" s="1" t="s">
        <v>3409</v>
      </c>
      <c r="AJ799" s="1" t="s">
        <v>3410</v>
      </c>
      <c r="AK799" s="1" t="s">
        <v>238</v>
      </c>
      <c r="AM799" s="1">
        <v>1</v>
      </c>
      <c r="AV799" s="1">
        <v>1</v>
      </c>
      <c r="AX799" s="1">
        <v>0.1</v>
      </c>
      <c r="BE799" s="1" t="s">
        <v>3406</v>
      </c>
      <c r="BK799" s="1" t="s">
        <v>2407</v>
      </c>
      <c r="BN799" s="1" t="s">
        <v>217</v>
      </c>
      <c r="BO799" s="1" t="s">
        <v>218</v>
      </c>
      <c r="BP799" s="1" t="s">
        <v>239</v>
      </c>
      <c r="BQ799" s="1" t="s">
        <v>3222</v>
      </c>
      <c r="BT799" s="1">
        <v>1</v>
      </c>
    </row>
    <row r="800" spans="1:72">
      <c r="A800" s="1" t="s">
        <v>3411</v>
      </c>
      <c r="B800" s="1" t="s">
        <v>213</v>
      </c>
      <c r="C800" s="1">
        <v>1</v>
      </c>
      <c r="D800" s="1" t="s">
        <v>3412</v>
      </c>
      <c r="E800" s="1" t="s">
        <v>3408</v>
      </c>
      <c r="F800" s="1" t="s">
        <v>3411</v>
      </c>
      <c r="G800" s="1">
        <v>1</v>
      </c>
      <c r="K800" s="1">
        <v>18000</v>
      </c>
      <c r="M800" s="1">
        <v>1100</v>
      </c>
      <c r="O800" s="1">
        <v>1300</v>
      </c>
      <c r="Q800" s="1">
        <v>15</v>
      </c>
      <c r="Y800" s="1">
        <v>0.05</v>
      </c>
      <c r="Z800" s="1">
        <v>5</v>
      </c>
      <c r="AA800" s="1">
        <v>4</v>
      </c>
      <c r="AB800" s="1">
        <v>1.2</v>
      </c>
      <c r="AG800" s="1">
        <v>0</v>
      </c>
      <c r="AH800" s="1">
        <v>1</v>
      </c>
      <c r="AI800" s="1" t="s">
        <v>3413</v>
      </c>
      <c r="AJ800" s="1" t="s">
        <v>3410</v>
      </c>
      <c r="AK800" s="1" t="s">
        <v>238</v>
      </c>
      <c r="AM800" s="1">
        <v>1</v>
      </c>
      <c r="AV800" s="1">
        <v>1</v>
      </c>
      <c r="AX800" s="1">
        <v>0.1</v>
      </c>
      <c r="BE800" s="1" t="s">
        <v>3411</v>
      </c>
      <c r="BK800" s="1" t="s">
        <v>2407</v>
      </c>
      <c r="BN800" s="1" t="s">
        <v>217</v>
      </c>
      <c r="BO800" s="1" t="s">
        <v>218</v>
      </c>
      <c r="BP800" s="1" t="s">
        <v>239</v>
      </c>
      <c r="BQ800" s="1" t="s">
        <v>3222</v>
      </c>
      <c r="BT800" s="1">
        <v>1</v>
      </c>
    </row>
    <row r="801" spans="1:72">
      <c r="A801" s="1" t="s">
        <v>3414</v>
      </c>
      <c r="B801" s="1" t="s">
        <v>213</v>
      </c>
      <c r="C801" s="1">
        <v>1</v>
      </c>
      <c r="D801" s="1" t="s">
        <v>3415</v>
      </c>
      <c r="E801" s="1" t="s">
        <v>3416</v>
      </c>
      <c r="F801" s="1" t="s">
        <v>3414</v>
      </c>
      <c r="G801" s="1">
        <v>1</v>
      </c>
      <c r="K801" s="1">
        <v>7500</v>
      </c>
      <c r="M801" s="1">
        <v>500</v>
      </c>
      <c r="O801" s="1">
        <v>500</v>
      </c>
      <c r="Q801" s="1">
        <v>25</v>
      </c>
      <c r="Y801" s="1">
        <v>0.05</v>
      </c>
      <c r="Z801" s="1">
        <v>2.5</v>
      </c>
      <c r="AA801" s="1">
        <v>1</v>
      </c>
      <c r="AB801" s="1">
        <v>0.7</v>
      </c>
      <c r="AG801" s="1">
        <v>0</v>
      </c>
      <c r="AH801" s="1">
        <v>1</v>
      </c>
      <c r="AI801" s="1" t="s">
        <v>3417</v>
      </c>
      <c r="AJ801" s="1" t="s">
        <v>3418</v>
      </c>
      <c r="AK801" s="1" t="s">
        <v>238</v>
      </c>
      <c r="AM801" s="1">
        <v>1</v>
      </c>
      <c r="AV801" s="1">
        <v>1</v>
      </c>
      <c r="AX801" s="1">
        <v>0.1</v>
      </c>
      <c r="BE801" s="1" t="s">
        <v>3414</v>
      </c>
      <c r="BK801" s="1" t="s">
        <v>1012</v>
      </c>
      <c r="BN801" s="1" t="s">
        <v>217</v>
      </c>
      <c r="BO801" s="1" t="s">
        <v>218</v>
      </c>
      <c r="BP801" s="1" t="s">
        <v>239</v>
      </c>
      <c r="BQ801" s="1" t="s">
        <v>220</v>
      </c>
      <c r="BT801" s="1">
        <v>1</v>
      </c>
    </row>
    <row r="802" spans="1:72">
      <c r="A802" s="1" t="s">
        <v>3419</v>
      </c>
      <c r="B802" s="1" t="s">
        <v>213</v>
      </c>
      <c r="C802" s="1">
        <v>1</v>
      </c>
      <c r="D802" s="1" t="s">
        <v>3420</v>
      </c>
      <c r="E802" s="1" t="s">
        <v>3416</v>
      </c>
      <c r="F802" s="1" t="s">
        <v>3419</v>
      </c>
      <c r="G802" s="1">
        <v>1</v>
      </c>
      <c r="K802" s="1">
        <v>9500</v>
      </c>
      <c r="M802" s="1">
        <v>600</v>
      </c>
      <c r="O802" s="1">
        <v>500</v>
      </c>
      <c r="Q802" s="1">
        <v>25</v>
      </c>
      <c r="Y802" s="1">
        <v>0.05</v>
      </c>
      <c r="Z802" s="1">
        <v>2.5</v>
      </c>
      <c r="AA802" s="1">
        <v>1</v>
      </c>
      <c r="AB802" s="1">
        <v>0.7</v>
      </c>
      <c r="AG802" s="1">
        <v>0</v>
      </c>
      <c r="AH802" s="1">
        <v>1</v>
      </c>
      <c r="AI802" s="1" t="s">
        <v>3421</v>
      </c>
      <c r="AJ802" s="1" t="s">
        <v>3418</v>
      </c>
      <c r="AK802" s="1" t="s">
        <v>238</v>
      </c>
      <c r="AM802" s="1">
        <v>1</v>
      </c>
      <c r="AV802" s="1">
        <v>1</v>
      </c>
      <c r="AX802" s="1">
        <v>0.1</v>
      </c>
      <c r="BE802" s="1" t="s">
        <v>3419</v>
      </c>
      <c r="BK802" s="1" t="s">
        <v>1012</v>
      </c>
      <c r="BN802" s="1" t="s">
        <v>217</v>
      </c>
      <c r="BO802" s="1" t="s">
        <v>218</v>
      </c>
      <c r="BP802" s="1" t="s">
        <v>239</v>
      </c>
      <c r="BQ802" s="1" t="s">
        <v>220</v>
      </c>
      <c r="BT802" s="1">
        <v>1</v>
      </c>
    </row>
    <row r="803" spans="1:72">
      <c r="A803" s="1" t="s">
        <v>3422</v>
      </c>
      <c r="B803" s="1" t="s">
        <v>213</v>
      </c>
      <c r="C803" s="1">
        <v>1</v>
      </c>
      <c r="D803" s="1" t="s">
        <v>3423</v>
      </c>
      <c r="E803" s="1" t="s">
        <v>3424</v>
      </c>
      <c r="F803" s="1" t="s">
        <v>3422</v>
      </c>
      <c r="G803" s="1">
        <v>1</v>
      </c>
      <c r="K803" s="1">
        <v>12000</v>
      </c>
      <c r="M803" s="1">
        <v>800</v>
      </c>
      <c r="O803" s="1">
        <v>800</v>
      </c>
      <c r="Q803" s="1">
        <v>45</v>
      </c>
      <c r="Y803" s="1">
        <v>0.05</v>
      </c>
      <c r="Z803" s="1">
        <v>3</v>
      </c>
      <c r="AA803" s="1">
        <v>3</v>
      </c>
      <c r="AB803" s="1">
        <v>0.9</v>
      </c>
      <c r="AG803" s="1">
        <v>0</v>
      </c>
      <c r="AH803" s="1">
        <v>1</v>
      </c>
      <c r="AI803" s="1" t="s">
        <v>3425</v>
      </c>
      <c r="AJ803" s="1" t="s">
        <v>3394</v>
      </c>
      <c r="AK803" s="1" t="s">
        <v>238</v>
      </c>
      <c r="AM803" s="1">
        <v>1</v>
      </c>
      <c r="AV803" s="1">
        <v>1</v>
      </c>
      <c r="AX803" s="1">
        <v>0.1</v>
      </c>
      <c r="BE803" s="1" t="s">
        <v>3422</v>
      </c>
      <c r="BK803" s="1" t="s">
        <v>980</v>
      </c>
      <c r="BN803" s="1" t="s">
        <v>217</v>
      </c>
      <c r="BO803" s="1" t="s">
        <v>218</v>
      </c>
      <c r="BP803" s="1" t="s">
        <v>239</v>
      </c>
      <c r="BQ803" s="1" t="s">
        <v>220</v>
      </c>
      <c r="BT803" s="1">
        <v>1</v>
      </c>
    </row>
    <row r="804" spans="1:72">
      <c r="A804" s="1" t="s">
        <v>3426</v>
      </c>
      <c r="B804" s="1" t="s">
        <v>213</v>
      </c>
      <c r="C804" s="1">
        <v>1</v>
      </c>
      <c r="D804" s="1" t="s">
        <v>3427</v>
      </c>
      <c r="E804" s="1" t="s">
        <v>3424</v>
      </c>
      <c r="F804" s="1" t="s">
        <v>3426</v>
      </c>
      <c r="G804" s="1">
        <v>1</v>
      </c>
      <c r="K804" s="1">
        <v>18000</v>
      </c>
      <c r="M804" s="1">
        <v>1050</v>
      </c>
      <c r="O804" s="1">
        <v>800</v>
      </c>
      <c r="Q804" s="1">
        <v>45</v>
      </c>
      <c r="Y804" s="1">
        <v>0.05</v>
      </c>
      <c r="Z804" s="1">
        <v>3</v>
      </c>
      <c r="AA804" s="1">
        <v>3</v>
      </c>
      <c r="AB804" s="1">
        <v>0.9</v>
      </c>
      <c r="AG804" s="1">
        <v>0</v>
      </c>
      <c r="AH804" s="1">
        <v>1</v>
      </c>
      <c r="AI804" s="1" t="s">
        <v>3428</v>
      </c>
      <c r="AJ804" s="1" t="s">
        <v>3394</v>
      </c>
      <c r="AK804" s="1" t="s">
        <v>238</v>
      </c>
      <c r="AM804" s="1">
        <v>1</v>
      </c>
      <c r="AV804" s="1">
        <v>1</v>
      </c>
      <c r="AX804" s="1">
        <v>0.1</v>
      </c>
      <c r="BE804" s="1" t="s">
        <v>3426</v>
      </c>
      <c r="BK804" s="1" t="s">
        <v>980</v>
      </c>
      <c r="BN804" s="1" t="s">
        <v>217</v>
      </c>
      <c r="BO804" s="1" t="s">
        <v>218</v>
      </c>
      <c r="BP804" s="1" t="s">
        <v>239</v>
      </c>
      <c r="BQ804" s="1" t="s">
        <v>220</v>
      </c>
      <c r="BT804" s="1">
        <v>1</v>
      </c>
    </row>
    <row r="805" spans="1:72">
      <c r="A805" s="1" t="s">
        <v>3429</v>
      </c>
      <c r="B805" s="1" t="s">
        <v>213</v>
      </c>
      <c r="C805" s="1">
        <v>1</v>
      </c>
      <c r="D805" s="1" t="s">
        <v>3430</v>
      </c>
      <c r="E805" s="1" t="s">
        <v>3431</v>
      </c>
      <c r="F805" s="1" t="s">
        <v>3429</v>
      </c>
      <c r="G805" s="1">
        <v>1</v>
      </c>
      <c r="K805" s="1">
        <v>22000</v>
      </c>
      <c r="M805" s="1">
        <v>900</v>
      </c>
      <c r="O805" s="1">
        <v>500</v>
      </c>
      <c r="Q805" s="1">
        <v>40</v>
      </c>
      <c r="Y805" s="1">
        <v>0.05</v>
      </c>
      <c r="Z805" s="1">
        <v>4.5</v>
      </c>
      <c r="AA805" s="1">
        <v>5</v>
      </c>
      <c r="AB805" s="1">
        <v>1</v>
      </c>
      <c r="AG805" s="1">
        <v>0</v>
      </c>
      <c r="AH805" s="1">
        <v>1</v>
      </c>
      <c r="AI805" s="1" t="s">
        <v>3432</v>
      </c>
      <c r="AJ805" s="1" t="s">
        <v>3433</v>
      </c>
      <c r="AK805" s="1" t="s">
        <v>238</v>
      </c>
      <c r="AM805" s="1">
        <v>4</v>
      </c>
      <c r="AV805" s="1">
        <v>1</v>
      </c>
      <c r="AX805" s="1">
        <v>0.1</v>
      </c>
      <c r="BE805" s="1" t="s">
        <v>3429</v>
      </c>
      <c r="BK805" s="1" t="s">
        <v>980</v>
      </c>
      <c r="BN805" s="1" t="s">
        <v>217</v>
      </c>
      <c r="BO805" s="1" t="s">
        <v>218</v>
      </c>
      <c r="BP805" s="1" t="s">
        <v>239</v>
      </c>
      <c r="BQ805" s="1" t="s">
        <v>220</v>
      </c>
      <c r="BT805" s="1">
        <v>1</v>
      </c>
    </row>
    <row r="806" spans="1:72">
      <c r="A806" s="1" t="s">
        <v>3434</v>
      </c>
      <c r="B806" s="1" t="s">
        <v>213</v>
      </c>
      <c r="C806" s="1">
        <v>1</v>
      </c>
      <c r="D806" s="1" t="s">
        <v>3435</v>
      </c>
      <c r="E806" s="1">
        <v>1285</v>
      </c>
      <c r="F806" s="1" t="s">
        <v>3434</v>
      </c>
      <c r="G806" s="1">
        <v>1</v>
      </c>
      <c r="K806" s="1">
        <v>30000</v>
      </c>
      <c r="M806" s="1">
        <v>0</v>
      </c>
      <c r="O806" s="1">
        <v>200</v>
      </c>
      <c r="Q806" s="1">
        <v>0</v>
      </c>
      <c r="Y806" s="1">
        <v>0.05</v>
      </c>
      <c r="Z806" s="1">
        <v>1</v>
      </c>
      <c r="AA806" s="1">
        <v>5</v>
      </c>
      <c r="AB806" s="1">
        <v>1</v>
      </c>
      <c r="AG806" s="1">
        <v>0</v>
      </c>
      <c r="AH806" s="1">
        <v>1</v>
      </c>
      <c r="AI806" s="1" t="s">
        <v>3436</v>
      </c>
      <c r="AJ806" s="1" t="s">
        <v>275</v>
      </c>
      <c r="AK806" s="1" t="s">
        <v>238</v>
      </c>
      <c r="AM806" s="1">
        <v>1</v>
      </c>
      <c r="AV806" s="1">
        <v>1</v>
      </c>
      <c r="AX806" s="1">
        <v>0.1</v>
      </c>
      <c r="BE806" s="1" t="s">
        <v>3434</v>
      </c>
      <c r="BK806" s="1" t="s">
        <v>3437</v>
      </c>
      <c r="BN806" s="1" t="s">
        <v>217</v>
      </c>
      <c r="BO806" s="1" t="s">
        <v>218</v>
      </c>
      <c r="BP806" s="1" t="s">
        <v>239</v>
      </c>
      <c r="BQ806" s="1" t="s">
        <v>220</v>
      </c>
      <c r="BT806" s="1">
        <v>1</v>
      </c>
    </row>
    <row r="807" spans="1:72">
      <c r="A807" s="1" t="s">
        <v>3438</v>
      </c>
      <c r="B807" s="1" t="s">
        <v>213</v>
      </c>
      <c r="C807" s="1">
        <v>1</v>
      </c>
      <c r="D807" s="1" t="s">
        <v>3439</v>
      </c>
      <c r="E807" s="1" t="s">
        <v>3440</v>
      </c>
      <c r="F807" s="1" t="s">
        <v>3438</v>
      </c>
      <c r="G807" s="1">
        <v>1</v>
      </c>
      <c r="K807" s="1">
        <v>35000</v>
      </c>
      <c r="M807" s="1">
        <v>800</v>
      </c>
      <c r="O807" s="1">
        <v>1000</v>
      </c>
      <c r="Q807" s="1">
        <v>60</v>
      </c>
      <c r="Y807" s="1">
        <v>0.05</v>
      </c>
      <c r="Z807" s="1">
        <v>4</v>
      </c>
      <c r="AA807" s="1">
        <v>5</v>
      </c>
      <c r="AB807" s="1">
        <v>0.6</v>
      </c>
      <c r="AG807" s="1">
        <v>0</v>
      </c>
      <c r="AH807" s="1">
        <v>1</v>
      </c>
      <c r="AI807" s="1" t="s">
        <v>3441</v>
      </c>
      <c r="AJ807" s="1" t="s">
        <v>275</v>
      </c>
      <c r="AK807" s="1" t="s">
        <v>238</v>
      </c>
      <c r="AM807" s="1">
        <v>1</v>
      </c>
      <c r="AV807" s="1">
        <v>2</v>
      </c>
      <c r="AX807" s="1">
        <v>0.1</v>
      </c>
      <c r="BE807" s="1" t="s">
        <v>3438</v>
      </c>
      <c r="BK807" s="1" t="s">
        <v>3442</v>
      </c>
      <c r="BN807" s="1" t="s">
        <v>3443</v>
      </c>
      <c r="BO807" s="1" t="s">
        <v>2618</v>
      </c>
      <c r="BP807" s="1" t="s">
        <v>2619</v>
      </c>
      <c r="BQ807" s="1" t="s">
        <v>2620</v>
      </c>
      <c r="BT807" s="1">
        <v>1</v>
      </c>
    </row>
    <row r="808" spans="1:72">
      <c r="A808" s="1" t="s">
        <v>3444</v>
      </c>
      <c r="B808" s="1" t="s">
        <v>213</v>
      </c>
      <c r="C808" s="1">
        <v>1</v>
      </c>
      <c r="D808" s="1" t="s">
        <v>3445</v>
      </c>
      <c r="E808" s="1" t="s">
        <v>3446</v>
      </c>
      <c r="F808" s="1" t="s">
        <v>3444</v>
      </c>
      <c r="G808" s="1">
        <v>1</v>
      </c>
      <c r="K808" s="1">
        <v>3000</v>
      </c>
      <c r="M808" s="1">
        <v>0</v>
      </c>
      <c r="O808" s="1">
        <v>50</v>
      </c>
      <c r="Q808" s="1">
        <v>0</v>
      </c>
      <c r="Y808" s="1">
        <v>0.05</v>
      </c>
      <c r="Z808" s="1">
        <v>0</v>
      </c>
      <c r="AA808" s="1">
        <v>1</v>
      </c>
      <c r="AB808" s="1">
        <v>0.65</v>
      </c>
      <c r="AG808" s="1">
        <v>1</v>
      </c>
      <c r="AH808" s="1">
        <v>0</v>
      </c>
      <c r="AI808" s="1" t="s">
        <v>3447</v>
      </c>
      <c r="AJ808" s="1" t="s">
        <v>275</v>
      </c>
      <c r="AK808" s="1" t="s">
        <v>238</v>
      </c>
      <c r="AM808" s="1">
        <v>1</v>
      </c>
      <c r="AV808" s="1">
        <v>0</v>
      </c>
      <c r="AX808" s="1">
        <v>0.1</v>
      </c>
      <c r="BE808" s="1" t="s">
        <v>3444</v>
      </c>
      <c r="BK808" s="1" t="s">
        <v>3448</v>
      </c>
      <c r="BL808" s="1" t="s">
        <v>3449</v>
      </c>
      <c r="BN808" s="1" t="s">
        <v>217</v>
      </c>
      <c r="BO808" s="1" t="s">
        <v>218</v>
      </c>
      <c r="BP808" s="1" t="s">
        <v>239</v>
      </c>
      <c r="BQ808" s="1" t="s">
        <v>220</v>
      </c>
      <c r="BT808" s="1">
        <v>1</v>
      </c>
    </row>
    <row r="809" spans="1:72">
      <c r="A809" s="1" t="s">
        <v>3450</v>
      </c>
      <c r="B809" s="1" t="s">
        <v>213</v>
      </c>
      <c r="C809" s="1">
        <v>1</v>
      </c>
      <c r="D809" s="1" t="s">
        <v>3451</v>
      </c>
      <c r="E809" s="1">
        <v>1286</v>
      </c>
      <c r="F809" s="1" t="s">
        <v>3450</v>
      </c>
      <c r="G809" s="1">
        <v>1</v>
      </c>
      <c r="K809" s="1">
        <v>3500</v>
      </c>
      <c r="M809" s="1">
        <v>330</v>
      </c>
      <c r="O809" s="1">
        <v>150</v>
      </c>
      <c r="Q809" s="1">
        <v>0</v>
      </c>
      <c r="Y809" s="1">
        <v>0.05</v>
      </c>
      <c r="Z809" s="1">
        <v>2.2</v>
      </c>
      <c r="AA809" s="1">
        <v>1</v>
      </c>
      <c r="AB809" s="1">
        <v>0.9</v>
      </c>
      <c r="AG809" s="1">
        <v>0</v>
      </c>
      <c r="AH809" s="1">
        <v>1</v>
      </c>
      <c r="AI809" s="1" t="s">
        <v>3452</v>
      </c>
      <c r="AJ809" s="1" t="s">
        <v>275</v>
      </c>
      <c r="AK809" s="1" t="s">
        <v>238</v>
      </c>
      <c r="AM809" s="1">
        <v>1</v>
      </c>
      <c r="AV809" s="1">
        <v>1</v>
      </c>
      <c r="AX809" s="1">
        <v>0.1</v>
      </c>
      <c r="BE809" s="1" t="s">
        <v>3450</v>
      </c>
      <c r="BK809" s="1" t="s">
        <v>953</v>
      </c>
      <c r="BN809" s="1" t="s">
        <v>217</v>
      </c>
      <c r="BO809" s="1" t="s">
        <v>218</v>
      </c>
      <c r="BP809" s="1" t="s">
        <v>239</v>
      </c>
      <c r="BQ809" s="1" t="s">
        <v>220</v>
      </c>
      <c r="BT809" s="1">
        <v>1</v>
      </c>
    </row>
    <row r="810" spans="1:72">
      <c r="A810" s="1" t="s">
        <v>3453</v>
      </c>
      <c r="B810" s="1" t="s">
        <v>213</v>
      </c>
      <c r="C810" s="1">
        <v>1</v>
      </c>
      <c r="D810" s="1" t="s">
        <v>3454</v>
      </c>
      <c r="E810" s="1">
        <v>1286</v>
      </c>
      <c r="F810" s="1" t="s">
        <v>3453</v>
      </c>
      <c r="G810" s="1">
        <v>1</v>
      </c>
      <c r="K810" s="1">
        <v>4800</v>
      </c>
      <c r="M810" s="1">
        <v>380</v>
      </c>
      <c r="O810" s="1">
        <v>200</v>
      </c>
      <c r="Q810" s="1">
        <v>0</v>
      </c>
      <c r="Y810" s="1">
        <v>0.05</v>
      </c>
      <c r="Z810" s="1">
        <v>2.2</v>
      </c>
      <c r="AA810" s="1">
        <v>1</v>
      </c>
      <c r="AB810" s="1">
        <v>0.9</v>
      </c>
      <c r="AG810" s="1">
        <v>0</v>
      </c>
      <c r="AH810" s="1">
        <v>1</v>
      </c>
      <c r="AI810" s="1" t="s">
        <v>3455</v>
      </c>
      <c r="AJ810" s="1" t="s">
        <v>275</v>
      </c>
      <c r="AK810" s="1" t="s">
        <v>238</v>
      </c>
      <c r="AM810" s="1">
        <v>1</v>
      </c>
      <c r="AV810" s="1">
        <v>1</v>
      </c>
      <c r="AX810" s="1">
        <v>0.1</v>
      </c>
      <c r="BE810" s="1" t="s">
        <v>3453</v>
      </c>
      <c r="BK810" s="1" t="s">
        <v>953</v>
      </c>
      <c r="BN810" s="1" t="s">
        <v>217</v>
      </c>
      <c r="BO810" s="1" t="s">
        <v>218</v>
      </c>
      <c r="BP810" s="1" t="s">
        <v>239</v>
      </c>
      <c r="BQ810" s="1" t="s">
        <v>220</v>
      </c>
      <c r="BT810" s="1">
        <v>1</v>
      </c>
    </row>
    <row r="811" spans="1:72">
      <c r="A811" s="1" t="s">
        <v>3456</v>
      </c>
      <c r="B811" s="1" t="s">
        <v>213</v>
      </c>
      <c r="C811" s="1">
        <v>1</v>
      </c>
      <c r="D811" s="1" t="s">
        <v>3457</v>
      </c>
      <c r="E811" s="1">
        <v>1287</v>
      </c>
      <c r="F811" s="1" t="s">
        <v>3456</v>
      </c>
      <c r="G811" s="1">
        <v>1.1</v>
      </c>
      <c r="K811" s="1">
        <v>2000</v>
      </c>
      <c r="M811" s="1">
        <v>350</v>
      </c>
      <c r="O811" s="1">
        <v>400</v>
      </c>
      <c r="Q811" s="1">
        <v>30</v>
      </c>
      <c r="Y811" s="1">
        <v>0.05</v>
      </c>
      <c r="Z811" s="1">
        <v>2</v>
      </c>
      <c r="AA811" s="1">
        <v>0</v>
      </c>
      <c r="AB811" s="1">
        <v>1</v>
      </c>
      <c r="AG811" s="1">
        <v>0</v>
      </c>
      <c r="AH811" s="1">
        <v>1</v>
      </c>
      <c r="AI811" s="1" t="s">
        <v>3458</v>
      </c>
      <c r="AJ811" s="1" t="s">
        <v>275</v>
      </c>
      <c r="AK811" s="1" t="s">
        <v>238</v>
      </c>
      <c r="AM811" s="1">
        <v>1</v>
      </c>
      <c r="AV811" s="1">
        <v>1</v>
      </c>
      <c r="AX811" s="1">
        <v>0.1</v>
      </c>
      <c r="BE811" s="1" t="s">
        <v>3456</v>
      </c>
      <c r="BK811" s="1" t="s">
        <v>3459</v>
      </c>
      <c r="BN811" s="1" t="s">
        <v>217</v>
      </c>
      <c r="BO811" s="1" t="s">
        <v>218</v>
      </c>
      <c r="BP811" s="1" t="s">
        <v>239</v>
      </c>
      <c r="BQ811" s="1" t="s">
        <v>220</v>
      </c>
      <c r="BT811" s="1">
        <v>1</v>
      </c>
    </row>
    <row r="812" spans="1:72">
      <c r="A812" s="1" t="s">
        <v>3460</v>
      </c>
      <c r="B812" s="1" t="s">
        <v>213</v>
      </c>
      <c r="C812" s="1">
        <v>1</v>
      </c>
      <c r="D812" s="1" t="s">
        <v>3461</v>
      </c>
      <c r="E812" s="1">
        <v>1287</v>
      </c>
      <c r="F812" s="1" t="s">
        <v>3460</v>
      </c>
      <c r="G812" s="1">
        <v>1.1</v>
      </c>
      <c r="K812" s="1">
        <v>3000</v>
      </c>
      <c r="M812" s="1">
        <v>420</v>
      </c>
      <c r="O812" s="1">
        <v>500</v>
      </c>
      <c r="Q812" s="1">
        <v>50</v>
      </c>
      <c r="Y812" s="1">
        <v>0.05</v>
      </c>
      <c r="Z812" s="1">
        <v>2</v>
      </c>
      <c r="AA812" s="1">
        <v>0</v>
      </c>
      <c r="AB812" s="1">
        <v>1</v>
      </c>
      <c r="AG812" s="1">
        <v>0</v>
      </c>
      <c r="AH812" s="1">
        <v>1</v>
      </c>
      <c r="AI812" s="1" t="s">
        <v>3462</v>
      </c>
      <c r="AJ812" s="1" t="s">
        <v>275</v>
      </c>
      <c r="AK812" s="1" t="s">
        <v>238</v>
      </c>
      <c r="AM812" s="1">
        <v>1</v>
      </c>
      <c r="AV812" s="1">
        <v>1</v>
      </c>
      <c r="AX812" s="1">
        <v>0.1</v>
      </c>
      <c r="BE812" s="1" t="s">
        <v>3460</v>
      </c>
      <c r="BK812" s="1" t="s">
        <v>3459</v>
      </c>
      <c r="BN812" s="1" t="s">
        <v>217</v>
      </c>
      <c r="BO812" s="1" t="s">
        <v>218</v>
      </c>
      <c r="BP812" s="1" t="s">
        <v>239</v>
      </c>
      <c r="BQ812" s="1" t="s">
        <v>220</v>
      </c>
      <c r="BT812" s="1">
        <v>1</v>
      </c>
    </row>
    <row r="813" spans="1:72">
      <c r="A813" s="1" t="s">
        <v>3463</v>
      </c>
      <c r="B813" s="1" t="s">
        <v>213</v>
      </c>
      <c r="C813" s="1">
        <v>1</v>
      </c>
      <c r="D813" s="1" t="s">
        <v>3464</v>
      </c>
      <c r="E813" s="1">
        <v>1288</v>
      </c>
      <c r="F813" s="1" t="s">
        <v>3463</v>
      </c>
      <c r="G813" s="1">
        <v>1</v>
      </c>
      <c r="K813" s="1">
        <v>5000</v>
      </c>
      <c r="M813" s="1">
        <v>150</v>
      </c>
      <c r="O813" s="1">
        <v>50</v>
      </c>
      <c r="Q813" s="1">
        <v>50</v>
      </c>
      <c r="Y813" s="1">
        <v>0.05</v>
      </c>
      <c r="Z813" s="1">
        <v>2</v>
      </c>
      <c r="AA813" s="1">
        <v>1</v>
      </c>
      <c r="AB813" s="1">
        <v>0.7</v>
      </c>
      <c r="AG813" s="1">
        <v>0</v>
      </c>
      <c r="AH813" s="1">
        <v>1</v>
      </c>
      <c r="AI813" s="1" t="s">
        <v>3465</v>
      </c>
      <c r="AJ813" s="1" t="s">
        <v>275</v>
      </c>
      <c r="AK813" s="1" t="s">
        <v>238</v>
      </c>
      <c r="AM813" s="1">
        <v>1</v>
      </c>
      <c r="AV813" s="1">
        <v>1</v>
      </c>
      <c r="AX813" s="1">
        <v>0.1</v>
      </c>
      <c r="BE813" s="1" t="s">
        <v>3463</v>
      </c>
      <c r="BK813" s="1" t="s">
        <v>3466</v>
      </c>
      <c r="BN813" s="1" t="s">
        <v>217</v>
      </c>
      <c r="BO813" s="1" t="s">
        <v>218</v>
      </c>
      <c r="BP813" s="1" t="s">
        <v>239</v>
      </c>
      <c r="BQ813" s="1" t="s">
        <v>3209</v>
      </c>
      <c r="BT813" s="1">
        <v>1</v>
      </c>
    </row>
    <row r="814" spans="1:72">
      <c r="A814" s="1" t="s">
        <v>3467</v>
      </c>
      <c r="B814" s="1" t="s">
        <v>213</v>
      </c>
      <c r="C814" s="1">
        <v>1</v>
      </c>
      <c r="D814" s="1" t="s">
        <v>3468</v>
      </c>
      <c r="E814" s="1">
        <v>1288</v>
      </c>
      <c r="F814" s="1" t="s">
        <v>3467</v>
      </c>
      <c r="G814" s="1">
        <v>1</v>
      </c>
      <c r="K814" s="1">
        <v>6000</v>
      </c>
      <c r="M814" s="1">
        <v>180</v>
      </c>
      <c r="O814" s="1">
        <v>100</v>
      </c>
      <c r="Q814" s="1">
        <v>50</v>
      </c>
      <c r="Y814" s="1">
        <v>0.05</v>
      </c>
      <c r="Z814" s="1">
        <v>2</v>
      </c>
      <c r="AA814" s="1">
        <v>1</v>
      </c>
      <c r="AB814" s="1">
        <v>0.7</v>
      </c>
      <c r="AG814" s="1">
        <v>0</v>
      </c>
      <c r="AH814" s="1">
        <v>1</v>
      </c>
      <c r="AI814" s="1" t="s">
        <v>3469</v>
      </c>
      <c r="AJ814" s="1" t="s">
        <v>275</v>
      </c>
      <c r="AK814" s="1" t="s">
        <v>238</v>
      </c>
      <c r="AM814" s="1">
        <v>1</v>
      </c>
      <c r="AV814" s="1">
        <v>1</v>
      </c>
      <c r="AX814" s="1">
        <v>0.1</v>
      </c>
      <c r="BE814" s="1" t="s">
        <v>3467</v>
      </c>
      <c r="BK814" s="1" t="s">
        <v>3470</v>
      </c>
      <c r="BN814" s="1" t="s">
        <v>217</v>
      </c>
      <c r="BO814" s="1" t="s">
        <v>218</v>
      </c>
      <c r="BP814" s="1" t="s">
        <v>239</v>
      </c>
      <c r="BQ814" s="1" t="s">
        <v>3209</v>
      </c>
      <c r="BT814" s="1">
        <v>1</v>
      </c>
    </row>
    <row r="815" spans="1:72">
      <c r="A815" s="1" t="s">
        <v>3471</v>
      </c>
      <c r="B815" s="1" t="s">
        <v>213</v>
      </c>
      <c r="C815" s="1">
        <v>1</v>
      </c>
      <c r="D815" s="1" t="s">
        <v>3472</v>
      </c>
      <c r="E815" s="1">
        <v>1289</v>
      </c>
      <c r="F815" s="1" t="s">
        <v>3471</v>
      </c>
      <c r="G815" s="1">
        <v>1</v>
      </c>
      <c r="K815" s="1">
        <v>6000</v>
      </c>
      <c r="M815" s="1">
        <v>500</v>
      </c>
      <c r="O815" s="1">
        <v>300</v>
      </c>
      <c r="Q815" s="1">
        <v>20</v>
      </c>
      <c r="Y815" s="1">
        <v>0.05</v>
      </c>
      <c r="Z815" s="1">
        <v>5</v>
      </c>
      <c r="AA815" s="1">
        <v>2</v>
      </c>
      <c r="AB815" s="1">
        <v>0.6</v>
      </c>
      <c r="AG815" s="1">
        <v>0</v>
      </c>
      <c r="AH815" s="1">
        <v>1</v>
      </c>
      <c r="AI815" s="1" t="s">
        <v>3473</v>
      </c>
      <c r="AJ815" s="1" t="s">
        <v>275</v>
      </c>
      <c r="AK815" s="1" t="s">
        <v>238</v>
      </c>
      <c r="AM815" s="1">
        <v>1</v>
      </c>
      <c r="AV815" s="1">
        <v>1</v>
      </c>
      <c r="AX815" s="1">
        <v>0.1</v>
      </c>
      <c r="BE815" s="1" t="s">
        <v>3471</v>
      </c>
      <c r="BK815" s="1" t="s">
        <v>959</v>
      </c>
      <c r="BN815" s="1" t="s">
        <v>217</v>
      </c>
      <c r="BO815" s="1" t="s">
        <v>218</v>
      </c>
      <c r="BP815" s="1" t="s">
        <v>239</v>
      </c>
      <c r="BQ815" s="1" t="s">
        <v>220</v>
      </c>
      <c r="BT815" s="1">
        <v>1</v>
      </c>
    </row>
    <row r="816" spans="1:72">
      <c r="A816" s="1" t="s">
        <v>3474</v>
      </c>
      <c r="B816" s="1" t="s">
        <v>213</v>
      </c>
      <c r="C816" s="1">
        <v>1</v>
      </c>
      <c r="D816" s="1" t="s">
        <v>3475</v>
      </c>
      <c r="E816" s="1">
        <v>1289</v>
      </c>
      <c r="F816" s="1" t="s">
        <v>3474</v>
      </c>
      <c r="G816" s="1">
        <v>1</v>
      </c>
      <c r="K816" s="1">
        <v>7500</v>
      </c>
      <c r="M816" s="1">
        <v>600</v>
      </c>
      <c r="O816" s="1">
        <v>350</v>
      </c>
      <c r="Q816" s="1">
        <v>20</v>
      </c>
      <c r="Y816" s="1">
        <v>0.05</v>
      </c>
      <c r="Z816" s="1">
        <v>5</v>
      </c>
      <c r="AA816" s="1">
        <v>2</v>
      </c>
      <c r="AB816" s="1">
        <v>0.6</v>
      </c>
      <c r="AG816" s="1">
        <v>0</v>
      </c>
      <c r="AH816" s="1">
        <v>1</v>
      </c>
      <c r="AI816" s="1" t="s">
        <v>3476</v>
      </c>
      <c r="AJ816" s="1" t="s">
        <v>275</v>
      </c>
      <c r="AK816" s="1" t="s">
        <v>238</v>
      </c>
      <c r="AM816" s="1">
        <v>1</v>
      </c>
      <c r="AV816" s="1">
        <v>1</v>
      </c>
      <c r="AX816" s="1">
        <v>0.1</v>
      </c>
      <c r="BE816" s="1" t="s">
        <v>3474</v>
      </c>
      <c r="BK816" s="1" t="s">
        <v>959</v>
      </c>
      <c r="BN816" s="1" t="s">
        <v>217</v>
      </c>
      <c r="BO816" s="1" t="s">
        <v>218</v>
      </c>
      <c r="BP816" s="1" t="s">
        <v>239</v>
      </c>
      <c r="BQ816" s="1" t="s">
        <v>220</v>
      </c>
      <c r="BT816" s="1">
        <v>1</v>
      </c>
    </row>
    <row r="817" spans="1:72">
      <c r="A817" s="1" t="s">
        <v>3477</v>
      </c>
      <c r="B817" s="1" t="s">
        <v>213</v>
      </c>
      <c r="C817" s="1">
        <v>1</v>
      </c>
      <c r="D817" s="1" t="s">
        <v>3478</v>
      </c>
      <c r="E817" s="1">
        <v>1290</v>
      </c>
      <c r="F817" s="1" t="s">
        <v>3477</v>
      </c>
      <c r="G817" s="1">
        <v>1</v>
      </c>
      <c r="K817" s="1">
        <v>7500</v>
      </c>
      <c r="M817" s="1">
        <v>300</v>
      </c>
      <c r="O817" s="1">
        <v>300</v>
      </c>
      <c r="Q817" s="1">
        <v>50</v>
      </c>
      <c r="Y817" s="1">
        <v>0.05</v>
      </c>
      <c r="Z817" s="1">
        <v>3</v>
      </c>
      <c r="AA817" s="1">
        <v>2</v>
      </c>
      <c r="AB817" s="1">
        <v>0.7</v>
      </c>
      <c r="AG817" s="1">
        <v>0</v>
      </c>
      <c r="AH817" s="1">
        <v>1</v>
      </c>
      <c r="AI817" s="1" t="s">
        <v>3479</v>
      </c>
      <c r="AJ817" s="1" t="s">
        <v>275</v>
      </c>
      <c r="AK817" s="1" t="s">
        <v>238</v>
      </c>
      <c r="AM817" s="1">
        <v>1</v>
      </c>
      <c r="AV817" s="1">
        <v>1</v>
      </c>
      <c r="AX817" s="1">
        <v>0.1</v>
      </c>
      <c r="BE817" s="1" t="s">
        <v>3477</v>
      </c>
      <c r="BK817" s="1" t="s">
        <v>959</v>
      </c>
      <c r="BN817" s="1" t="s">
        <v>217</v>
      </c>
      <c r="BO817" s="1" t="s">
        <v>218</v>
      </c>
      <c r="BP817" s="1" t="s">
        <v>239</v>
      </c>
      <c r="BQ817" s="1" t="s">
        <v>220</v>
      </c>
      <c r="BT817" s="1">
        <v>1</v>
      </c>
    </row>
    <row r="818" spans="1:72">
      <c r="A818" s="1" t="s">
        <v>3480</v>
      </c>
      <c r="B818" s="1" t="s">
        <v>213</v>
      </c>
      <c r="C818" s="1">
        <v>1</v>
      </c>
      <c r="D818" s="1" t="s">
        <v>3481</v>
      </c>
      <c r="E818" s="1">
        <v>1290</v>
      </c>
      <c r="F818" s="1" t="s">
        <v>3480</v>
      </c>
      <c r="G818" s="1">
        <v>1</v>
      </c>
      <c r="K818" s="1">
        <v>9000</v>
      </c>
      <c r="M818" s="1">
        <v>400</v>
      </c>
      <c r="O818" s="1">
        <v>350</v>
      </c>
      <c r="Q818" s="1">
        <v>50</v>
      </c>
      <c r="Y818" s="1">
        <v>0.05</v>
      </c>
      <c r="Z818" s="1">
        <v>3</v>
      </c>
      <c r="AA818" s="1">
        <v>2</v>
      </c>
      <c r="AB818" s="1">
        <v>0.7</v>
      </c>
      <c r="AG818" s="1">
        <v>0</v>
      </c>
      <c r="AH818" s="1">
        <v>1</v>
      </c>
      <c r="AI818" s="1" t="s">
        <v>3482</v>
      </c>
      <c r="AJ818" s="1" t="s">
        <v>275</v>
      </c>
      <c r="AK818" s="1" t="s">
        <v>238</v>
      </c>
      <c r="AM818" s="1">
        <v>1</v>
      </c>
      <c r="AV818" s="1">
        <v>1</v>
      </c>
      <c r="AX818" s="1">
        <v>0.1</v>
      </c>
      <c r="BE818" s="1" t="s">
        <v>3480</v>
      </c>
      <c r="BK818" s="1" t="s">
        <v>959</v>
      </c>
      <c r="BN818" s="1" t="s">
        <v>217</v>
      </c>
      <c r="BO818" s="1" t="s">
        <v>218</v>
      </c>
      <c r="BP818" s="1" t="s">
        <v>239</v>
      </c>
      <c r="BQ818" s="1" t="s">
        <v>220</v>
      </c>
      <c r="BT818" s="1">
        <v>1</v>
      </c>
    </row>
    <row r="819" spans="1:72">
      <c r="A819" s="1" t="s">
        <v>3483</v>
      </c>
      <c r="B819" s="1" t="s">
        <v>213</v>
      </c>
      <c r="C819" s="1">
        <v>1</v>
      </c>
      <c r="D819" s="1" t="s">
        <v>3484</v>
      </c>
      <c r="E819" s="1">
        <v>1291</v>
      </c>
      <c r="F819" s="1" t="s">
        <v>3483</v>
      </c>
      <c r="G819" s="1">
        <v>1</v>
      </c>
      <c r="K819" s="1">
        <v>15000</v>
      </c>
      <c r="M819" s="1">
        <v>600</v>
      </c>
      <c r="O819" s="1">
        <v>1300</v>
      </c>
      <c r="Q819" s="1">
        <v>0</v>
      </c>
      <c r="Y819" s="1">
        <v>0.05</v>
      </c>
      <c r="Z819" s="1">
        <v>4</v>
      </c>
      <c r="AA819" s="1">
        <v>5</v>
      </c>
      <c r="AB819" s="1">
        <v>0.8</v>
      </c>
      <c r="AG819" s="1">
        <v>0</v>
      </c>
      <c r="AH819" s="1">
        <v>1</v>
      </c>
      <c r="AI819" s="1" t="s">
        <v>3485</v>
      </c>
      <c r="AJ819" s="1" t="s">
        <v>275</v>
      </c>
      <c r="AK819" s="1" t="s">
        <v>238</v>
      </c>
      <c r="AM819" s="1">
        <v>1</v>
      </c>
      <c r="AV819" s="1">
        <v>1</v>
      </c>
      <c r="AX819" s="1">
        <v>0.1</v>
      </c>
      <c r="BE819" s="1" t="s">
        <v>3483</v>
      </c>
      <c r="BK819" s="1" t="s">
        <v>2407</v>
      </c>
      <c r="BN819" s="1" t="s">
        <v>217</v>
      </c>
      <c r="BO819" s="1" t="s">
        <v>218</v>
      </c>
      <c r="BP819" s="1" t="s">
        <v>239</v>
      </c>
      <c r="BQ819" s="1" t="s">
        <v>220</v>
      </c>
      <c r="BT819" s="1">
        <v>1</v>
      </c>
    </row>
    <row r="820" spans="1:72">
      <c r="A820" s="1" t="s">
        <v>3486</v>
      </c>
      <c r="B820" s="1" t="s">
        <v>213</v>
      </c>
      <c r="C820" s="1">
        <v>1</v>
      </c>
      <c r="D820" s="1" t="s">
        <v>3487</v>
      </c>
      <c r="E820" s="1">
        <v>1291</v>
      </c>
      <c r="F820" s="1" t="s">
        <v>3486</v>
      </c>
      <c r="G820" s="1">
        <v>1</v>
      </c>
      <c r="K820" s="1">
        <v>20000</v>
      </c>
      <c r="M820" s="1">
        <v>800</v>
      </c>
      <c r="O820" s="1">
        <v>1500</v>
      </c>
      <c r="Q820" s="1">
        <v>0</v>
      </c>
      <c r="Y820" s="1">
        <v>0.05</v>
      </c>
      <c r="Z820" s="1">
        <v>4</v>
      </c>
      <c r="AA820" s="1">
        <v>5</v>
      </c>
      <c r="AB820" s="1">
        <v>0.8</v>
      </c>
      <c r="AG820" s="1">
        <v>0</v>
      </c>
      <c r="AH820" s="1">
        <v>1</v>
      </c>
      <c r="AI820" s="1" t="s">
        <v>3488</v>
      </c>
      <c r="AJ820" s="1" t="s">
        <v>275</v>
      </c>
      <c r="AK820" s="1" t="s">
        <v>238</v>
      </c>
      <c r="AM820" s="1">
        <v>1</v>
      </c>
      <c r="AV820" s="1">
        <v>1</v>
      </c>
      <c r="AX820" s="1">
        <v>0.1</v>
      </c>
      <c r="BE820" s="1" t="s">
        <v>3486</v>
      </c>
      <c r="BK820" s="1" t="s">
        <v>2407</v>
      </c>
      <c r="BN820" s="1" t="s">
        <v>217</v>
      </c>
      <c r="BO820" s="1" t="s">
        <v>218</v>
      </c>
      <c r="BP820" s="1" t="s">
        <v>239</v>
      </c>
      <c r="BQ820" s="1" t="s">
        <v>220</v>
      </c>
      <c r="BT820" s="1">
        <v>1</v>
      </c>
    </row>
    <row r="821" spans="1:72">
      <c r="A821" s="1" t="s">
        <v>3489</v>
      </c>
      <c r="B821" s="1" t="s">
        <v>213</v>
      </c>
      <c r="C821" s="1">
        <v>1</v>
      </c>
      <c r="D821" s="1" t="s">
        <v>3490</v>
      </c>
      <c r="E821" s="1">
        <v>1292</v>
      </c>
      <c r="F821" s="1" t="s">
        <v>3489</v>
      </c>
      <c r="G821" s="1">
        <v>1</v>
      </c>
      <c r="K821" s="1">
        <v>10000</v>
      </c>
      <c r="M821" s="1">
        <v>350</v>
      </c>
      <c r="O821" s="1">
        <v>550</v>
      </c>
      <c r="Q821" s="1">
        <v>60</v>
      </c>
      <c r="Y821" s="1">
        <v>0.05</v>
      </c>
      <c r="Z821" s="1">
        <v>3.5</v>
      </c>
      <c r="AA821" s="1">
        <v>4</v>
      </c>
      <c r="AB821" s="1">
        <v>0.5</v>
      </c>
      <c r="AG821" s="1">
        <v>0</v>
      </c>
      <c r="AH821" s="1">
        <v>1</v>
      </c>
      <c r="AI821" s="1" t="s">
        <v>3491</v>
      </c>
      <c r="AJ821" s="1" t="s">
        <v>275</v>
      </c>
      <c r="AK821" s="1" t="s">
        <v>238</v>
      </c>
      <c r="AM821" s="1">
        <v>1</v>
      </c>
      <c r="AV821" s="1">
        <v>1</v>
      </c>
      <c r="AX821" s="1">
        <v>0.1</v>
      </c>
      <c r="BE821" s="1" t="s">
        <v>3489</v>
      </c>
      <c r="BK821" s="1" t="s">
        <v>3492</v>
      </c>
      <c r="BN821" s="1" t="s">
        <v>217</v>
      </c>
      <c r="BO821" s="1" t="s">
        <v>218</v>
      </c>
      <c r="BP821" s="1" t="s">
        <v>239</v>
      </c>
      <c r="BQ821" s="1" t="s">
        <v>3209</v>
      </c>
      <c r="BT821" s="1">
        <v>1</v>
      </c>
    </row>
    <row r="822" spans="1:72">
      <c r="A822" s="1" t="s">
        <v>3493</v>
      </c>
      <c r="B822" s="1" t="s">
        <v>213</v>
      </c>
      <c r="C822" s="1">
        <v>1</v>
      </c>
      <c r="D822" s="1" t="s">
        <v>3494</v>
      </c>
      <c r="E822" s="1">
        <v>1292</v>
      </c>
      <c r="F822" s="1" t="s">
        <v>3493</v>
      </c>
      <c r="G822" s="1">
        <v>1</v>
      </c>
      <c r="K822" s="1">
        <v>15000</v>
      </c>
      <c r="M822" s="1">
        <v>450</v>
      </c>
      <c r="O822" s="1">
        <v>750</v>
      </c>
      <c r="Q822" s="1">
        <v>60</v>
      </c>
      <c r="Y822" s="1">
        <v>0.05</v>
      </c>
      <c r="Z822" s="1">
        <v>3.5</v>
      </c>
      <c r="AA822" s="1">
        <v>4</v>
      </c>
      <c r="AB822" s="1">
        <v>0.5</v>
      </c>
      <c r="AG822" s="1">
        <v>0</v>
      </c>
      <c r="AH822" s="1">
        <v>1</v>
      </c>
      <c r="AI822" s="1" t="s">
        <v>3495</v>
      </c>
      <c r="AJ822" s="1" t="s">
        <v>275</v>
      </c>
      <c r="AK822" s="1" t="s">
        <v>238</v>
      </c>
      <c r="AM822" s="1">
        <v>1</v>
      </c>
      <c r="AV822" s="1">
        <v>1</v>
      </c>
      <c r="AX822" s="1">
        <v>0.1</v>
      </c>
      <c r="BE822" s="1" t="s">
        <v>3493</v>
      </c>
      <c r="BK822" s="1" t="s">
        <v>3492</v>
      </c>
      <c r="BN822" s="1" t="s">
        <v>217</v>
      </c>
      <c r="BO822" s="1" t="s">
        <v>218</v>
      </c>
      <c r="BP822" s="1" t="s">
        <v>239</v>
      </c>
      <c r="BQ822" s="1" t="s">
        <v>3209</v>
      </c>
      <c r="BT822" s="1">
        <v>1</v>
      </c>
    </row>
    <row r="823" spans="1:72">
      <c r="A823" s="1" t="s">
        <v>3496</v>
      </c>
      <c r="B823" s="1" t="s">
        <v>213</v>
      </c>
      <c r="C823" s="1">
        <v>1</v>
      </c>
      <c r="D823" s="1" t="s">
        <v>3497</v>
      </c>
      <c r="E823" s="1">
        <v>1293</v>
      </c>
      <c r="F823" s="1" t="s">
        <v>3496</v>
      </c>
      <c r="G823" s="1">
        <v>1</v>
      </c>
      <c r="K823" s="1">
        <v>17000</v>
      </c>
      <c r="M823" s="1">
        <v>650</v>
      </c>
      <c r="O823" s="1">
        <v>500</v>
      </c>
      <c r="Q823" s="1">
        <v>40</v>
      </c>
      <c r="Y823" s="1">
        <v>0.05</v>
      </c>
      <c r="Z823" s="1">
        <v>2.5</v>
      </c>
      <c r="AA823" s="1">
        <v>5</v>
      </c>
      <c r="AB823" s="1">
        <v>0.6</v>
      </c>
      <c r="AG823" s="1">
        <v>0</v>
      </c>
      <c r="AH823" s="1">
        <v>1</v>
      </c>
      <c r="AI823" s="1" t="s">
        <v>3498</v>
      </c>
      <c r="AJ823" s="1" t="s">
        <v>275</v>
      </c>
      <c r="AK823" s="1" t="s">
        <v>238</v>
      </c>
      <c r="AM823" s="1">
        <v>1</v>
      </c>
      <c r="AV823" s="1">
        <v>1</v>
      </c>
      <c r="AX823" s="1">
        <v>0.1</v>
      </c>
      <c r="BE823" s="1" t="s">
        <v>3496</v>
      </c>
      <c r="BK823" s="1" t="s">
        <v>1012</v>
      </c>
      <c r="BN823" s="1" t="s">
        <v>217</v>
      </c>
      <c r="BO823" s="1" t="s">
        <v>218</v>
      </c>
      <c r="BP823" s="1" t="s">
        <v>239</v>
      </c>
      <c r="BQ823" s="1" t="s">
        <v>220</v>
      </c>
      <c r="BT823" s="1">
        <v>1</v>
      </c>
    </row>
    <row r="824" spans="1:72">
      <c r="A824" s="1" t="s">
        <v>3499</v>
      </c>
      <c r="B824" s="1" t="s">
        <v>213</v>
      </c>
      <c r="C824" s="1">
        <v>1</v>
      </c>
      <c r="D824" s="1" t="s">
        <v>3500</v>
      </c>
      <c r="E824" s="1">
        <v>1293</v>
      </c>
      <c r="F824" s="1" t="s">
        <v>3499</v>
      </c>
      <c r="G824" s="1">
        <v>1</v>
      </c>
      <c r="K824" s="1">
        <v>22000</v>
      </c>
      <c r="M824" s="1">
        <v>750</v>
      </c>
      <c r="O824" s="1">
        <v>600</v>
      </c>
      <c r="Q824" s="1">
        <v>40</v>
      </c>
      <c r="Y824" s="1">
        <v>0.05</v>
      </c>
      <c r="Z824" s="1">
        <v>2.5</v>
      </c>
      <c r="AA824" s="1">
        <v>5</v>
      </c>
      <c r="AB824" s="1">
        <v>0.6</v>
      </c>
      <c r="AG824" s="1">
        <v>0</v>
      </c>
      <c r="AH824" s="1">
        <v>1</v>
      </c>
      <c r="AI824" s="1" t="s">
        <v>3501</v>
      </c>
      <c r="AJ824" s="1" t="s">
        <v>275</v>
      </c>
      <c r="AK824" s="1" t="s">
        <v>238</v>
      </c>
      <c r="AM824" s="1">
        <v>1</v>
      </c>
      <c r="AV824" s="1">
        <v>1</v>
      </c>
      <c r="AX824" s="1">
        <v>0.1</v>
      </c>
      <c r="BE824" s="1" t="s">
        <v>3499</v>
      </c>
      <c r="BK824" s="1" t="s">
        <v>1012</v>
      </c>
      <c r="BN824" s="1" t="s">
        <v>217</v>
      </c>
      <c r="BO824" s="1" t="s">
        <v>218</v>
      </c>
      <c r="BP824" s="1" t="s">
        <v>239</v>
      </c>
      <c r="BQ824" s="1" t="s">
        <v>220</v>
      </c>
      <c r="BT824" s="1">
        <v>1</v>
      </c>
    </row>
    <row r="825" spans="1:72">
      <c r="A825" s="1" t="s">
        <v>3502</v>
      </c>
      <c r="B825" s="1" t="s">
        <v>213</v>
      </c>
      <c r="C825" s="1">
        <v>1</v>
      </c>
      <c r="D825" s="1" t="s">
        <v>3503</v>
      </c>
      <c r="E825" s="1">
        <v>1293</v>
      </c>
      <c r="F825" s="1" t="s">
        <v>3502</v>
      </c>
      <c r="G825" s="1">
        <v>1</v>
      </c>
      <c r="K825" s="1">
        <v>27000</v>
      </c>
      <c r="M825" s="1">
        <v>800</v>
      </c>
      <c r="O825" s="1">
        <v>700</v>
      </c>
      <c r="Q825" s="1">
        <v>40</v>
      </c>
      <c r="Y825" s="1">
        <v>0.05</v>
      </c>
      <c r="Z825" s="1">
        <v>2.5</v>
      </c>
      <c r="AA825" s="1">
        <v>5</v>
      </c>
      <c r="AB825" s="1">
        <v>0.6</v>
      </c>
      <c r="AG825" s="1">
        <v>0</v>
      </c>
      <c r="AH825" s="1">
        <v>1</v>
      </c>
      <c r="AI825" s="1" t="s">
        <v>3504</v>
      </c>
      <c r="AJ825" s="1" t="s">
        <v>275</v>
      </c>
      <c r="AK825" s="1" t="s">
        <v>238</v>
      </c>
      <c r="AM825" s="1">
        <v>1</v>
      </c>
      <c r="AV825" s="1">
        <v>1</v>
      </c>
      <c r="AX825" s="1">
        <v>0.1</v>
      </c>
      <c r="BE825" s="1" t="s">
        <v>3502</v>
      </c>
      <c r="BK825" s="1" t="s">
        <v>1012</v>
      </c>
      <c r="BN825" s="1" t="s">
        <v>217</v>
      </c>
      <c r="BO825" s="1" t="s">
        <v>218</v>
      </c>
      <c r="BP825" s="1" t="s">
        <v>239</v>
      </c>
      <c r="BQ825" s="1" t="s">
        <v>220</v>
      </c>
      <c r="BT825" s="1">
        <v>1</v>
      </c>
    </row>
    <row r="826" spans="1:72">
      <c r="A826" s="1" t="s">
        <v>3505</v>
      </c>
      <c r="B826" s="1" t="s">
        <v>213</v>
      </c>
      <c r="C826" s="1">
        <v>1</v>
      </c>
      <c r="D826" s="1" t="s">
        <v>3506</v>
      </c>
      <c r="E826" s="1">
        <v>1536</v>
      </c>
      <c r="F826" s="1" t="s">
        <v>3505</v>
      </c>
      <c r="G826" s="1">
        <v>1</v>
      </c>
      <c r="K826" s="1">
        <v>30000</v>
      </c>
      <c r="M826" s="1">
        <v>800</v>
      </c>
      <c r="O826" s="1">
        <v>750</v>
      </c>
      <c r="Q826" s="1">
        <v>60</v>
      </c>
      <c r="Y826" s="1">
        <v>0.05</v>
      </c>
      <c r="Z826" s="1">
        <v>4.5</v>
      </c>
      <c r="AA826" s="1">
        <v>7</v>
      </c>
      <c r="AB826" s="1">
        <v>0.5</v>
      </c>
      <c r="AG826" s="1">
        <v>0</v>
      </c>
      <c r="AH826" s="1">
        <v>1</v>
      </c>
      <c r="AI826" s="1" t="s">
        <v>3507</v>
      </c>
      <c r="AJ826" s="1" t="s">
        <v>275</v>
      </c>
      <c r="AK826" s="1" t="s">
        <v>238</v>
      </c>
      <c r="AM826" s="1">
        <v>1</v>
      </c>
      <c r="AV826" s="1">
        <v>1</v>
      </c>
      <c r="AX826" s="1">
        <v>0.1</v>
      </c>
      <c r="BE826" s="1" t="s">
        <v>3505</v>
      </c>
      <c r="BK826" s="1" t="s">
        <v>1351</v>
      </c>
      <c r="BN826" s="1" t="s">
        <v>217</v>
      </c>
      <c r="BO826" s="1" t="s">
        <v>3508</v>
      </c>
      <c r="BP826" s="1" t="s">
        <v>3509</v>
      </c>
      <c r="BQ826" s="1" t="s">
        <v>3209</v>
      </c>
      <c r="BT826" s="1">
        <v>1</v>
      </c>
    </row>
    <row r="827" spans="1:72">
      <c r="A827" s="1" t="s">
        <v>3510</v>
      </c>
      <c r="B827" s="1" t="s">
        <v>213</v>
      </c>
      <c r="C827" s="1">
        <v>1</v>
      </c>
      <c r="D827" s="1" t="s">
        <v>3506</v>
      </c>
      <c r="E827" s="1">
        <v>1536</v>
      </c>
      <c r="F827" s="1" t="s">
        <v>3505</v>
      </c>
      <c r="G827" s="1">
        <v>1</v>
      </c>
      <c r="K827" s="1">
        <v>50000</v>
      </c>
      <c r="M827" s="1">
        <v>1000</v>
      </c>
      <c r="O827" s="1">
        <v>800</v>
      </c>
      <c r="Q827" s="1">
        <v>60</v>
      </c>
      <c r="Y827" s="1">
        <v>0.05</v>
      </c>
      <c r="Z827" s="1">
        <v>4.5</v>
      </c>
      <c r="AA827" s="1">
        <v>7</v>
      </c>
      <c r="AB827" s="1">
        <v>0.5</v>
      </c>
      <c r="AG827" s="1">
        <v>0</v>
      </c>
      <c r="AH827" s="1">
        <v>1</v>
      </c>
      <c r="AI827" s="1" t="s">
        <v>3511</v>
      </c>
      <c r="AJ827" s="1" t="s">
        <v>275</v>
      </c>
      <c r="AK827" s="1" t="s">
        <v>238</v>
      </c>
      <c r="AM827" s="1">
        <v>1</v>
      </c>
      <c r="AV827" s="1">
        <v>1</v>
      </c>
      <c r="AX827" s="1">
        <v>0.1</v>
      </c>
      <c r="BE827" s="1" t="s">
        <v>3505</v>
      </c>
      <c r="BK827" s="1" t="s">
        <v>1351</v>
      </c>
      <c r="BN827" s="1" t="s">
        <v>217</v>
      </c>
      <c r="BO827" s="1" t="s">
        <v>3508</v>
      </c>
      <c r="BP827" s="1" t="s">
        <v>3509</v>
      </c>
      <c r="BQ827" s="1" t="s">
        <v>3209</v>
      </c>
      <c r="BT827" s="1">
        <v>1</v>
      </c>
    </row>
    <row r="828" spans="1:72">
      <c r="A828" s="1" t="s">
        <v>3512</v>
      </c>
      <c r="B828" s="1" t="s">
        <v>213</v>
      </c>
      <c r="C828" s="1">
        <v>1</v>
      </c>
      <c r="D828" s="1" t="s">
        <v>3464</v>
      </c>
      <c r="E828" s="1">
        <v>1288</v>
      </c>
      <c r="F828" s="1" t="s">
        <v>3463</v>
      </c>
      <c r="G828" s="1">
        <v>1</v>
      </c>
      <c r="K828" s="1">
        <v>5000</v>
      </c>
      <c r="M828" s="1">
        <v>150</v>
      </c>
      <c r="O828" s="1">
        <v>50</v>
      </c>
      <c r="Q828" s="1">
        <v>50</v>
      </c>
      <c r="Y828" s="1">
        <v>0.05</v>
      </c>
      <c r="Z828" s="1">
        <v>2</v>
      </c>
      <c r="AA828" s="1">
        <v>1</v>
      </c>
      <c r="AB828" s="1">
        <v>0.7</v>
      </c>
      <c r="AG828" s="1">
        <v>0</v>
      </c>
      <c r="AH828" s="1">
        <v>1</v>
      </c>
      <c r="AI828" s="1" t="s">
        <v>3513</v>
      </c>
      <c r="AJ828" s="1" t="s">
        <v>275</v>
      </c>
      <c r="AK828" s="1" t="s">
        <v>238</v>
      </c>
      <c r="AM828" s="1">
        <v>1</v>
      </c>
      <c r="AV828" s="1">
        <v>1</v>
      </c>
      <c r="AX828" s="1">
        <v>0.1</v>
      </c>
      <c r="BE828" s="1" t="s">
        <v>3463</v>
      </c>
      <c r="BK828" s="1" t="s">
        <v>3514</v>
      </c>
      <c r="BN828" s="1" t="s">
        <v>217</v>
      </c>
      <c r="BO828" s="1" t="s">
        <v>218</v>
      </c>
      <c r="BP828" s="1" t="s">
        <v>239</v>
      </c>
      <c r="BQ828" s="1" t="s">
        <v>3209</v>
      </c>
      <c r="BT828" s="1">
        <v>1</v>
      </c>
    </row>
    <row r="829" spans="1:72">
      <c r="A829" s="1" t="s">
        <v>3515</v>
      </c>
      <c r="B829" s="1" t="s">
        <v>213</v>
      </c>
      <c r="C829" s="1">
        <v>1</v>
      </c>
      <c r="D829" s="1" t="s">
        <v>3468</v>
      </c>
      <c r="E829" s="1">
        <v>1288</v>
      </c>
      <c r="F829" s="1" t="s">
        <v>3467</v>
      </c>
      <c r="G829" s="1">
        <v>1</v>
      </c>
      <c r="K829" s="1">
        <v>6000</v>
      </c>
      <c r="M829" s="1">
        <v>180</v>
      </c>
      <c r="O829" s="1">
        <v>100</v>
      </c>
      <c r="Q829" s="1">
        <v>50</v>
      </c>
      <c r="Y829" s="1">
        <v>0.05</v>
      </c>
      <c r="Z829" s="1">
        <v>2</v>
      </c>
      <c r="AA829" s="1">
        <v>1</v>
      </c>
      <c r="AB829" s="1">
        <v>0.7</v>
      </c>
      <c r="AG829" s="1">
        <v>0</v>
      </c>
      <c r="AH829" s="1">
        <v>1</v>
      </c>
      <c r="AI829" s="1" t="s">
        <v>3516</v>
      </c>
      <c r="AJ829" s="1" t="s">
        <v>275</v>
      </c>
      <c r="AK829" s="1" t="s">
        <v>238</v>
      </c>
      <c r="AM829" s="1">
        <v>1</v>
      </c>
      <c r="AV829" s="1">
        <v>1</v>
      </c>
      <c r="AX829" s="1">
        <v>0.1</v>
      </c>
      <c r="BE829" s="1" t="s">
        <v>3467</v>
      </c>
      <c r="BK829" s="1" t="s">
        <v>3517</v>
      </c>
      <c r="BN829" s="1" t="s">
        <v>217</v>
      </c>
      <c r="BO829" s="1" t="s">
        <v>218</v>
      </c>
      <c r="BP829" s="1" t="s">
        <v>239</v>
      </c>
      <c r="BQ829" s="1" t="s">
        <v>3209</v>
      </c>
      <c r="BT829" s="1">
        <v>1</v>
      </c>
    </row>
    <row r="830" spans="1:72">
      <c r="A830" s="1" t="s">
        <v>3518</v>
      </c>
      <c r="B830" s="1" t="s">
        <v>213</v>
      </c>
      <c r="C830" s="1">
        <v>1</v>
      </c>
      <c r="D830" s="1" t="s">
        <v>3519</v>
      </c>
      <c r="E830" s="1">
        <v>1295</v>
      </c>
      <c r="F830" s="1" t="s">
        <v>3518</v>
      </c>
      <c r="G830" s="1">
        <v>1</v>
      </c>
      <c r="K830" s="1">
        <v>6500</v>
      </c>
      <c r="M830" s="1">
        <v>250</v>
      </c>
      <c r="O830" s="1">
        <v>50</v>
      </c>
      <c r="Q830" s="1">
        <v>0</v>
      </c>
      <c r="Y830" s="1">
        <v>0.05</v>
      </c>
      <c r="Z830" s="1">
        <v>1.5</v>
      </c>
      <c r="AA830" s="1">
        <v>1</v>
      </c>
      <c r="AB830" s="1">
        <v>1.5</v>
      </c>
      <c r="AG830" s="1">
        <v>0</v>
      </c>
      <c r="AH830" s="1">
        <v>1</v>
      </c>
      <c r="AI830" s="1" t="s">
        <v>3520</v>
      </c>
      <c r="AJ830" s="1" t="s">
        <v>3521</v>
      </c>
      <c r="AK830" s="1" t="s">
        <v>238</v>
      </c>
      <c r="AM830" s="1">
        <v>1</v>
      </c>
      <c r="AV830" s="1">
        <v>1</v>
      </c>
      <c r="AX830" s="1">
        <v>0.1</v>
      </c>
      <c r="BE830" s="1" t="s">
        <v>3518</v>
      </c>
      <c r="BK830" s="1" t="s">
        <v>3315</v>
      </c>
      <c r="BN830" s="1" t="s">
        <v>217</v>
      </c>
      <c r="BO830" s="1" t="s">
        <v>218</v>
      </c>
      <c r="BP830" s="1" t="s">
        <v>239</v>
      </c>
      <c r="BQ830" s="1" t="s">
        <v>220</v>
      </c>
      <c r="BT830" s="1">
        <v>1</v>
      </c>
    </row>
    <row r="831" spans="1:72">
      <c r="A831" s="1" t="s">
        <v>3522</v>
      </c>
      <c r="B831" s="1" t="s">
        <v>213</v>
      </c>
      <c r="C831" s="1">
        <v>1</v>
      </c>
      <c r="D831" s="1" t="s">
        <v>3523</v>
      </c>
      <c r="E831" s="1">
        <v>1295</v>
      </c>
      <c r="F831" s="1" t="s">
        <v>3522</v>
      </c>
      <c r="G831" s="1">
        <v>1</v>
      </c>
      <c r="K831" s="1">
        <v>8500</v>
      </c>
      <c r="M831" s="1">
        <v>280</v>
      </c>
      <c r="O831" s="1">
        <v>80</v>
      </c>
      <c r="Q831" s="1">
        <v>0</v>
      </c>
      <c r="Y831" s="1">
        <v>0.05</v>
      </c>
      <c r="Z831" s="1">
        <v>1.5</v>
      </c>
      <c r="AA831" s="1">
        <v>1</v>
      </c>
      <c r="AB831" s="1">
        <v>1.5</v>
      </c>
      <c r="AG831" s="1">
        <v>0</v>
      </c>
      <c r="AH831" s="1">
        <v>1</v>
      </c>
      <c r="AI831" s="1" t="s">
        <v>3524</v>
      </c>
      <c r="AJ831" s="1" t="s">
        <v>3521</v>
      </c>
      <c r="AK831" s="1" t="s">
        <v>238</v>
      </c>
      <c r="AM831" s="1">
        <v>1</v>
      </c>
      <c r="AV831" s="1">
        <v>1</v>
      </c>
      <c r="AX831" s="1">
        <v>0.1</v>
      </c>
      <c r="BE831" s="1" t="s">
        <v>3522</v>
      </c>
      <c r="BK831" s="1" t="s">
        <v>3315</v>
      </c>
      <c r="BN831" s="1" t="s">
        <v>217</v>
      </c>
      <c r="BO831" s="1" t="s">
        <v>218</v>
      </c>
      <c r="BP831" s="1" t="s">
        <v>239</v>
      </c>
      <c r="BQ831" s="1" t="s">
        <v>220</v>
      </c>
      <c r="BT831" s="1">
        <v>1</v>
      </c>
    </row>
    <row r="832" spans="1:72">
      <c r="A832" s="1" t="s">
        <v>3525</v>
      </c>
      <c r="B832" s="1" t="s">
        <v>213</v>
      </c>
      <c r="C832" s="1">
        <v>1</v>
      </c>
      <c r="D832" s="1" t="s">
        <v>3526</v>
      </c>
      <c r="E832" s="1">
        <v>1296</v>
      </c>
      <c r="F832" s="1" t="s">
        <v>3525</v>
      </c>
      <c r="G832" s="1">
        <v>1</v>
      </c>
      <c r="K832" s="1">
        <v>4500</v>
      </c>
      <c r="M832" s="1">
        <v>400</v>
      </c>
      <c r="O832" s="1">
        <v>200</v>
      </c>
      <c r="Q832" s="1">
        <v>20</v>
      </c>
      <c r="Y832" s="1">
        <v>0.05</v>
      </c>
      <c r="Z832" s="1">
        <v>2.5</v>
      </c>
      <c r="AA832" s="1">
        <v>1</v>
      </c>
      <c r="AB832" s="1">
        <v>0.8</v>
      </c>
      <c r="AG832" s="1">
        <v>0</v>
      </c>
      <c r="AH832" s="1">
        <v>1</v>
      </c>
      <c r="AI832" s="1" t="s">
        <v>3527</v>
      </c>
      <c r="AJ832" s="1" t="s">
        <v>216</v>
      </c>
      <c r="AK832" s="1" t="s">
        <v>238</v>
      </c>
      <c r="AM832" s="1">
        <v>1</v>
      </c>
      <c r="AV832" s="1">
        <v>1</v>
      </c>
      <c r="AX832" s="1">
        <v>0.1</v>
      </c>
      <c r="BE832" s="1" t="s">
        <v>3525</v>
      </c>
      <c r="BK832" s="1" t="s">
        <v>959</v>
      </c>
      <c r="BN832" s="1" t="s">
        <v>217</v>
      </c>
      <c r="BO832" s="1" t="s">
        <v>218</v>
      </c>
      <c r="BP832" s="1" t="s">
        <v>239</v>
      </c>
      <c r="BQ832" s="1" t="s">
        <v>220</v>
      </c>
      <c r="BT832" s="1">
        <v>1</v>
      </c>
    </row>
    <row r="833" spans="1:72">
      <c r="A833" s="1" t="s">
        <v>3528</v>
      </c>
      <c r="B833" s="1" t="s">
        <v>213</v>
      </c>
      <c r="C833" s="1">
        <v>1</v>
      </c>
      <c r="D833" s="1" t="s">
        <v>3529</v>
      </c>
      <c r="E833" s="1">
        <v>1296</v>
      </c>
      <c r="F833" s="1" t="s">
        <v>3528</v>
      </c>
      <c r="G833" s="1">
        <v>1</v>
      </c>
      <c r="K833" s="1">
        <v>6000</v>
      </c>
      <c r="M833" s="1">
        <v>480</v>
      </c>
      <c r="O833" s="1">
        <v>200</v>
      </c>
      <c r="Q833" s="1">
        <v>20</v>
      </c>
      <c r="Y833" s="1">
        <v>0.05</v>
      </c>
      <c r="Z833" s="1">
        <v>2.5</v>
      </c>
      <c r="AA833" s="1">
        <v>1</v>
      </c>
      <c r="AB833" s="1">
        <v>0.8</v>
      </c>
      <c r="AG833" s="1">
        <v>0</v>
      </c>
      <c r="AH833" s="1">
        <v>1</v>
      </c>
      <c r="AI833" s="1" t="s">
        <v>3530</v>
      </c>
      <c r="AJ833" s="1" t="s">
        <v>216</v>
      </c>
      <c r="AK833" s="1" t="s">
        <v>238</v>
      </c>
      <c r="AM833" s="1">
        <v>1</v>
      </c>
      <c r="AV833" s="1">
        <v>1</v>
      </c>
      <c r="AX833" s="1">
        <v>0.1</v>
      </c>
      <c r="BE833" s="1" t="s">
        <v>3528</v>
      </c>
      <c r="BK833" s="1" t="s">
        <v>959</v>
      </c>
      <c r="BN833" s="1" t="s">
        <v>217</v>
      </c>
      <c r="BO833" s="1" t="s">
        <v>218</v>
      </c>
      <c r="BP833" s="1" t="s">
        <v>239</v>
      </c>
      <c r="BQ833" s="1" t="s">
        <v>220</v>
      </c>
      <c r="BT833" s="1">
        <v>1</v>
      </c>
    </row>
    <row r="834" spans="1:72">
      <c r="A834" s="1" t="s">
        <v>3531</v>
      </c>
      <c r="B834" s="1" t="s">
        <v>213</v>
      </c>
      <c r="C834" s="1">
        <v>1</v>
      </c>
      <c r="D834" s="1" t="s">
        <v>3532</v>
      </c>
      <c r="E834" s="1">
        <v>1297</v>
      </c>
      <c r="F834" s="1" t="s">
        <v>3531</v>
      </c>
      <c r="G834" s="1">
        <v>1</v>
      </c>
      <c r="K834" s="1">
        <v>7500</v>
      </c>
      <c r="M834" s="1">
        <v>350</v>
      </c>
      <c r="O834" s="1">
        <v>150</v>
      </c>
      <c r="Q834" s="1">
        <v>20</v>
      </c>
      <c r="Y834" s="1">
        <v>0.05</v>
      </c>
      <c r="Z834" s="1">
        <v>3</v>
      </c>
      <c r="AA834" s="1">
        <v>2</v>
      </c>
      <c r="AB834" s="1">
        <v>1.2</v>
      </c>
      <c r="AG834" s="1">
        <v>0</v>
      </c>
      <c r="AH834" s="1">
        <v>1</v>
      </c>
      <c r="AI834" s="1" t="s">
        <v>3533</v>
      </c>
      <c r="AJ834" s="1" t="s">
        <v>3534</v>
      </c>
      <c r="AK834" s="1" t="s">
        <v>238</v>
      </c>
      <c r="AM834" s="1">
        <v>1</v>
      </c>
      <c r="AV834" s="1">
        <v>1</v>
      </c>
      <c r="AX834" s="1">
        <v>0.1</v>
      </c>
      <c r="BE834" s="1" t="s">
        <v>3531</v>
      </c>
      <c r="BK834" s="1" t="s">
        <v>3535</v>
      </c>
      <c r="BN834" s="1" t="s">
        <v>217</v>
      </c>
      <c r="BO834" s="1" t="s">
        <v>1959</v>
      </c>
      <c r="BP834" s="1" t="s">
        <v>1960</v>
      </c>
      <c r="BQ834" s="1" t="s">
        <v>3322</v>
      </c>
      <c r="BT834" s="1">
        <v>1</v>
      </c>
    </row>
    <row r="835" spans="1:72">
      <c r="A835" s="1" t="s">
        <v>3536</v>
      </c>
      <c r="B835" s="1" t="s">
        <v>213</v>
      </c>
      <c r="C835" s="1">
        <v>1</v>
      </c>
      <c r="D835" s="1" t="s">
        <v>3537</v>
      </c>
      <c r="E835" s="1">
        <v>1297</v>
      </c>
      <c r="F835" s="1" t="s">
        <v>3536</v>
      </c>
      <c r="G835" s="1">
        <v>1</v>
      </c>
      <c r="K835" s="1">
        <v>11000</v>
      </c>
      <c r="M835" s="1">
        <v>420</v>
      </c>
      <c r="O835" s="1">
        <v>250</v>
      </c>
      <c r="Q835" s="1">
        <v>20</v>
      </c>
      <c r="Y835" s="1">
        <v>0.05</v>
      </c>
      <c r="Z835" s="1">
        <v>3</v>
      </c>
      <c r="AA835" s="1">
        <v>2</v>
      </c>
      <c r="AB835" s="1">
        <v>1.2</v>
      </c>
      <c r="AG835" s="1">
        <v>0</v>
      </c>
      <c r="AH835" s="1">
        <v>1</v>
      </c>
      <c r="AI835" s="1" t="s">
        <v>3538</v>
      </c>
      <c r="AJ835" s="1" t="s">
        <v>3534</v>
      </c>
      <c r="AK835" s="1" t="s">
        <v>238</v>
      </c>
      <c r="AM835" s="1">
        <v>1</v>
      </c>
      <c r="AV835" s="1">
        <v>1</v>
      </c>
      <c r="AX835" s="1">
        <v>0.1</v>
      </c>
      <c r="BE835" s="1" t="s">
        <v>3536</v>
      </c>
      <c r="BK835" s="1" t="s">
        <v>3535</v>
      </c>
      <c r="BN835" s="1" t="s">
        <v>217</v>
      </c>
      <c r="BO835" s="1" t="s">
        <v>1959</v>
      </c>
      <c r="BP835" s="1" t="s">
        <v>1960</v>
      </c>
      <c r="BQ835" s="1" t="s">
        <v>3322</v>
      </c>
      <c r="BT835" s="1">
        <v>1</v>
      </c>
    </row>
    <row r="836" spans="1:72">
      <c r="A836" s="1" t="s">
        <v>3539</v>
      </c>
      <c r="B836" s="1" t="s">
        <v>213</v>
      </c>
      <c r="C836" s="1">
        <v>1</v>
      </c>
      <c r="D836" s="1" t="s">
        <v>3540</v>
      </c>
      <c r="E836" s="1">
        <v>1298</v>
      </c>
      <c r="F836" s="1" t="s">
        <v>3539</v>
      </c>
      <c r="G836" s="1">
        <v>1</v>
      </c>
      <c r="K836" s="1">
        <v>12000</v>
      </c>
      <c r="M836" s="1">
        <v>600</v>
      </c>
      <c r="O836" s="1">
        <v>800</v>
      </c>
      <c r="Q836" s="1">
        <v>35</v>
      </c>
      <c r="Y836" s="1">
        <v>0.05</v>
      </c>
      <c r="Z836" s="1">
        <v>4</v>
      </c>
      <c r="AA836" s="1">
        <v>4</v>
      </c>
      <c r="AB836" s="1">
        <v>0.7</v>
      </c>
      <c r="AG836" s="1">
        <v>0</v>
      </c>
      <c r="AH836" s="1">
        <v>1</v>
      </c>
      <c r="AI836" s="1" t="s">
        <v>3541</v>
      </c>
      <c r="AJ836" s="1" t="s">
        <v>3542</v>
      </c>
      <c r="AK836" s="1" t="s">
        <v>238</v>
      </c>
      <c r="AM836" s="1">
        <v>1</v>
      </c>
      <c r="AV836" s="1">
        <v>1</v>
      </c>
      <c r="AX836" s="1">
        <v>0.1</v>
      </c>
      <c r="BE836" s="1" t="s">
        <v>3539</v>
      </c>
      <c r="BK836" s="1" t="s">
        <v>953</v>
      </c>
      <c r="BN836" s="1" t="s">
        <v>217</v>
      </c>
      <c r="BO836" s="1" t="s">
        <v>218</v>
      </c>
      <c r="BP836" s="1" t="s">
        <v>239</v>
      </c>
      <c r="BQ836" s="1" t="s">
        <v>220</v>
      </c>
      <c r="BT836" s="1">
        <v>1</v>
      </c>
    </row>
    <row r="837" spans="1:72">
      <c r="A837" s="1" t="s">
        <v>3543</v>
      </c>
      <c r="B837" s="1" t="s">
        <v>213</v>
      </c>
      <c r="C837" s="1">
        <v>1</v>
      </c>
      <c r="D837" s="1" t="s">
        <v>3544</v>
      </c>
      <c r="E837" s="1">
        <v>1298</v>
      </c>
      <c r="F837" s="1" t="s">
        <v>3543</v>
      </c>
      <c r="G837" s="1">
        <v>1</v>
      </c>
      <c r="K837" s="1">
        <v>15000</v>
      </c>
      <c r="M837" s="1">
        <v>750</v>
      </c>
      <c r="O837" s="1">
        <v>1000</v>
      </c>
      <c r="Q837" s="1">
        <v>35</v>
      </c>
      <c r="Y837" s="1">
        <v>0.05</v>
      </c>
      <c r="Z837" s="1">
        <v>4</v>
      </c>
      <c r="AA837" s="1">
        <v>4</v>
      </c>
      <c r="AB837" s="1">
        <v>0.7</v>
      </c>
      <c r="AG837" s="1">
        <v>0</v>
      </c>
      <c r="AH837" s="1">
        <v>1</v>
      </c>
      <c r="AI837" s="1" t="s">
        <v>3545</v>
      </c>
      <c r="AJ837" s="1" t="s">
        <v>3542</v>
      </c>
      <c r="AK837" s="1" t="s">
        <v>238</v>
      </c>
      <c r="AM837" s="1">
        <v>1</v>
      </c>
      <c r="AV837" s="1">
        <v>1</v>
      </c>
      <c r="AX837" s="1">
        <v>0.1</v>
      </c>
      <c r="BE837" s="1" t="s">
        <v>3543</v>
      </c>
      <c r="BK837" s="1" t="s">
        <v>953</v>
      </c>
      <c r="BN837" s="1" t="s">
        <v>217</v>
      </c>
      <c r="BO837" s="1" t="s">
        <v>218</v>
      </c>
      <c r="BP837" s="1" t="s">
        <v>239</v>
      </c>
      <c r="BQ837" s="1" t="s">
        <v>220</v>
      </c>
      <c r="BT837" s="1">
        <v>1</v>
      </c>
    </row>
    <row r="838" spans="1:72">
      <c r="A838" s="1" t="s">
        <v>3546</v>
      </c>
      <c r="B838" s="1" t="s">
        <v>213</v>
      </c>
      <c r="C838" s="1">
        <v>1</v>
      </c>
      <c r="D838" s="1" t="s">
        <v>3547</v>
      </c>
      <c r="E838" s="1">
        <v>1299</v>
      </c>
      <c r="F838" s="1" t="s">
        <v>3546</v>
      </c>
      <c r="G838" s="1">
        <v>1</v>
      </c>
      <c r="K838" s="1">
        <v>8500</v>
      </c>
      <c r="M838" s="1">
        <v>800</v>
      </c>
      <c r="O838" s="1">
        <v>250</v>
      </c>
      <c r="Q838" s="1">
        <v>20</v>
      </c>
      <c r="Y838" s="1">
        <v>0.05</v>
      </c>
      <c r="Z838" s="1">
        <v>2.5</v>
      </c>
      <c r="AA838" s="1">
        <v>3</v>
      </c>
      <c r="AB838" s="1">
        <v>1.1</v>
      </c>
      <c r="AG838" s="1">
        <v>0</v>
      </c>
      <c r="AH838" s="1">
        <v>1</v>
      </c>
      <c r="AI838" s="1" t="s">
        <v>3548</v>
      </c>
      <c r="AJ838" s="1" t="s">
        <v>3542</v>
      </c>
      <c r="AK838" s="1" t="s">
        <v>238</v>
      </c>
      <c r="AM838" s="1">
        <v>1</v>
      </c>
      <c r="AV838" s="1">
        <v>1</v>
      </c>
      <c r="AX838" s="1">
        <v>0.1</v>
      </c>
      <c r="BE838" s="1" t="s">
        <v>3546</v>
      </c>
      <c r="BK838" s="1" t="s">
        <v>1012</v>
      </c>
      <c r="BN838" s="1" t="s">
        <v>217</v>
      </c>
      <c r="BO838" s="1" t="s">
        <v>218</v>
      </c>
      <c r="BP838" s="1" t="s">
        <v>239</v>
      </c>
      <c r="BQ838" s="1" t="s">
        <v>220</v>
      </c>
      <c r="BT838" s="1">
        <v>1</v>
      </c>
    </row>
    <row r="839" spans="1:72">
      <c r="A839" s="1" t="s">
        <v>3549</v>
      </c>
      <c r="B839" s="1" t="s">
        <v>213</v>
      </c>
      <c r="C839" s="1">
        <v>1</v>
      </c>
      <c r="D839" s="1" t="s">
        <v>3550</v>
      </c>
      <c r="E839" s="1">
        <v>1299</v>
      </c>
      <c r="F839" s="1" t="s">
        <v>3549</v>
      </c>
      <c r="G839" s="1">
        <v>1</v>
      </c>
      <c r="K839" s="1">
        <v>11000</v>
      </c>
      <c r="M839" s="1">
        <v>1000</v>
      </c>
      <c r="O839" s="1">
        <v>300</v>
      </c>
      <c r="Q839" s="1">
        <v>20</v>
      </c>
      <c r="Y839" s="1">
        <v>0.05</v>
      </c>
      <c r="Z839" s="1">
        <v>2.5</v>
      </c>
      <c r="AA839" s="1">
        <v>3</v>
      </c>
      <c r="AB839" s="1">
        <v>1.1</v>
      </c>
      <c r="AG839" s="1">
        <v>0</v>
      </c>
      <c r="AH839" s="1">
        <v>1</v>
      </c>
      <c r="AI839" s="1" t="s">
        <v>3551</v>
      </c>
      <c r="AJ839" s="1" t="s">
        <v>3542</v>
      </c>
      <c r="AK839" s="1" t="s">
        <v>238</v>
      </c>
      <c r="AM839" s="1">
        <v>1</v>
      </c>
      <c r="AV839" s="1">
        <v>1</v>
      </c>
      <c r="AX839" s="1">
        <v>0.1</v>
      </c>
      <c r="BE839" s="1" t="s">
        <v>3549</v>
      </c>
      <c r="BK839" s="1" t="s">
        <v>1012</v>
      </c>
      <c r="BN839" s="1" t="s">
        <v>217</v>
      </c>
      <c r="BO839" s="1" t="s">
        <v>218</v>
      </c>
      <c r="BP839" s="1" t="s">
        <v>239</v>
      </c>
      <c r="BQ839" s="1" t="s">
        <v>220</v>
      </c>
      <c r="BT839" s="1">
        <v>1</v>
      </c>
    </row>
    <row r="840" spans="1:72">
      <c r="A840" s="1" t="s">
        <v>3552</v>
      </c>
      <c r="B840" s="1" t="s">
        <v>213</v>
      </c>
      <c r="C840" s="1">
        <v>1</v>
      </c>
      <c r="D840" s="1" t="s">
        <v>3553</v>
      </c>
      <c r="E840" s="1">
        <v>1300</v>
      </c>
      <c r="F840" s="1" t="s">
        <v>3552</v>
      </c>
      <c r="G840" s="1">
        <v>1</v>
      </c>
      <c r="K840" s="1">
        <v>10000</v>
      </c>
      <c r="M840" s="1">
        <v>400</v>
      </c>
      <c r="O840" s="1">
        <v>200</v>
      </c>
      <c r="Q840" s="1">
        <v>40</v>
      </c>
      <c r="Y840" s="1">
        <v>0.05</v>
      </c>
      <c r="Z840" s="1">
        <v>2.5</v>
      </c>
      <c r="AA840" s="1">
        <v>3</v>
      </c>
      <c r="AB840" s="1">
        <v>0.8</v>
      </c>
      <c r="AG840" s="1">
        <v>0</v>
      </c>
      <c r="AH840" s="1">
        <v>1</v>
      </c>
      <c r="AI840" s="1" t="s">
        <v>3554</v>
      </c>
      <c r="AJ840" s="1" t="s">
        <v>3534</v>
      </c>
      <c r="AK840" s="1" t="s">
        <v>238</v>
      </c>
      <c r="AM840" s="1">
        <v>1</v>
      </c>
      <c r="AV840" s="1">
        <v>1</v>
      </c>
      <c r="AX840" s="1">
        <v>0.1</v>
      </c>
      <c r="BE840" s="1" t="s">
        <v>3552</v>
      </c>
      <c r="BK840" s="1" t="s">
        <v>980</v>
      </c>
      <c r="BN840" s="1" t="s">
        <v>217</v>
      </c>
      <c r="BO840" s="1" t="s">
        <v>218</v>
      </c>
      <c r="BP840" s="1" t="s">
        <v>239</v>
      </c>
      <c r="BQ840" s="1" t="s">
        <v>220</v>
      </c>
      <c r="BT840" s="1">
        <v>1</v>
      </c>
    </row>
    <row r="841" spans="1:72">
      <c r="A841" s="1" t="s">
        <v>3555</v>
      </c>
      <c r="B841" s="1" t="s">
        <v>213</v>
      </c>
      <c r="C841" s="1">
        <v>1</v>
      </c>
      <c r="D841" s="1" t="s">
        <v>3556</v>
      </c>
      <c r="E841" s="1">
        <v>1300</v>
      </c>
      <c r="F841" s="1" t="s">
        <v>3555</v>
      </c>
      <c r="G841" s="1">
        <v>1</v>
      </c>
      <c r="K841" s="1">
        <v>13000</v>
      </c>
      <c r="M841" s="1">
        <v>500</v>
      </c>
      <c r="O841" s="1">
        <v>250</v>
      </c>
      <c r="Q841" s="1">
        <v>40</v>
      </c>
      <c r="Y841" s="1">
        <v>0.05</v>
      </c>
      <c r="Z841" s="1">
        <v>2.5</v>
      </c>
      <c r="AA841" s="1">
        <v>3</v>
      </c>
      <c r="AB841" s="1">
        <v>0.8</v>
      </c>
      <c r="AG841" s="1">
        <v>0</v>
      </c>
      <c r="AH841" s="1">
        <v>1</v>
      </c>
      <c r="AI841" s="1" t="s">
        <v>3557</v>
      </c>
      <c r="AJ841" s="1" t="s">
        <v>3534</v>
      </c>
      <c r="AK841" s="1" t="s">
        <v>238</v>
      </c>
      <c r="AM841" s="1">
        <v>1</v>
      </c>
      <c r="AV841" s="1">
        <v>1</v>
      </c>
      <c r="AX841" s="1">
        <v>0.1</v>
      </c>
      <c r="BE841" s="1" t="s">
        <v>3555</v>
      </c>
      <c r="BK841" s="1" t="s">
        <v>980</v>
      </c>
      <c r="BN841" s="1" t="s">
        <v>217</v>
      </c>
      <c r="BO841" s="1" t="s">
        <v>218</v>
      </c>
      <c r="BP841" s="1" t="s">
        <v>239</v>
      </c>
      <c r="BQ841" s="1" t="s">
        <v>220</v>
      </c>
      <c r="BT841" s="1">
        <v>1</v>
      </c>
    </row>
    <row r="842" spans="1:72">
      <c r="A842" s="1" t="s">
        <v>3558</v>
      </c>
      <c r="B842" s="1" t="s">
        <v>213</v>
      </c>
      <c r="C842" s="1">
        <v>1</v>
      </c>
      <c r="D842" s="1" t="s">
        <v>3559</v>
      </c>
      <c r="E842" s="1">
        <v>1301</v>
      </c>
      <c r="F842" s="1" t="s">
        <v>3558</v>
      </c>
      <c r="G842" s="1">
        <v>1</v>
      </c>
      <c r="K842" s="1">
        <v>15000</v>
      </c>
      <c r="M842" s="1">
        <v>1000</v>
      </c>
      <c r="O842" s="1">
        <v>1200</v>
      </c>
      <c r="Q842" s="1">
        <v>10</v>
      </c>
      <c r="Y842" s="1">
        <v>0.05</v>
      </c>
      <c r="Z842" s="1">
        <v>4.5</v>
      </c>
      <c r="AA842" s="1">
        <v>4</v>
      </c>
      <c r="AB842" s="1">
        <v>0.8</v>
      </c>
      <c r="AG842" s="1">
        <v>0</v>
      </c>
      <c r="AH842" s="1">
        <v>1</v>
      </c>
      <c r="AI842" s="1" t="s">
        <v>3560</v>
      </c>
      <c r="AJ842" s="1" t="s">
        <v>3561</v>
      </c>
      <c r="AK842" s="1" t="s">
        <v>238</v>
      </c>
      <c r="AM842" s="1">
        <v>1</v>
      </c>
      <c r="AV842" s="1">
        <v>1</v>
      </c>
      <c r="AX842" s="1">
        <v>0.1</v>
      </c>
      <c r="BE842" s="1" t="s">
        <v>3558</v>
      </c>
      <c r="BK842" s="1" t="s">
        <v>2398</v>
      </c>
      <c r="BN842" s="1" t="s">
        <v>217</v>
      </c>
      <c r="BO842" s="1" t="s">
        <v>218</v>
      </c>
      <c r="BP842" s="1" t="s">
        <v>239</v>
      </c>
      <c r="BQ842" s="1" t="s">
        <v>220</v>
      </c>
      <c r="BT842" s="1">
        <v>1</v>
      </c>
    </row>
    <row r="843" spans="1:72">
      <c r="A843" s="1" t="s">
        <v>3562</v>
      </c>
      <c r="B843" s="1" t="s">
        <v>213</v>
      </c>
      <c r="C843" s="1">
        <v>1</v>
      </c>
      <c r="D843" s="1" t="s">
        <v>3563</v>
      </c>
      <c r="E843" s="1">
        <v>1301</v>
      </c>
      <c r="F843" s="1" t="s">
        <v>3562</v>
      </c>
      <c r="G843" s="1">
        <v>1</v>
      </c>
      <c r="K843" s="1">
        <v>18000</v>
      </c>
      <c r="M843" s="1">
        <v>1200</v>
      </c>
      <c r="O843" s="1">
        <v>1200</v>
      </c>
      <c r="Q843" s="1">
        <v>10</v>
      </c>
      <c r="Y843" s="1">
        <v>0.05</v>
      </c>
      <c r="Z843" s="1">
        <v>4.5</v>
      </c>
      <c r="AA843" s="1">
        <v>4</v>
      </c>
      <c r="AB843" s="1">
        <v>0.8</v>
      </c>
      <c r="AG843" s="1">
        <v>0</v>
      </c>
      <c r="AH843" s="1">
        <v>1</v>
      </c>
      <c r="AI843" s="1" t="s">
        <v>3564</v>
      </c>
      <c r="AJ843" s="1" t="s">
        <v>3561</v>
      </c>
      <c r="AK843" s="1" t="s">
        <v>238</v>
      </c>
      <c r="AM843" s="1">
        <v>1</v>
      </c>
      <c r="AV843" s="1">
        <v>1</v>
      </c>
      <c r="AX843" s="1">
        <v>0.1</v>
      </c>
      <c r="BE843" s="1" t="s">
        <v>3562</v>
      </c>
      <c r="BK843" s="1" t="s">
        <v>2398</v>
      </c>
      <c r="BN843" s="1" t="s">
        <v>217</v>
      </c>
      <c r="BO843" s="1" t="s">
        <v>218</v>
      </c>
      <c r="BP843" s="1" t="s">
        <v>239</v>
      </c>
      <c r="BQ843" s="1" t="s">
        <v>220</v>
      </c>
      <c r="BT843" s="1">
        <v>1</v>
      </c>
    </row>
    <row r="844" spans="1:72">
      <c r="A844" s="1" t="s">
        <v>3565</v>
      </c>
      <c r="B844" s="1" t="s">
        <v>213</v>
      </c>
      <c r="C844" s="1">
        <v>1</v>
      </c>
      <c r="D844" s="1" t="s">
        <v>3566</v>
      </c>
      <c r="E844" s="1">
        <v>1302</v>
      </c>
      <c r="F844" s="1" t="s">
        <v>3565</v>
      </c>
      <c r="G844" s="1">
        <v>1</v>
      </c>
      <c r="K844" s="1">
        <v>22500</v>
      </c>
      <c r="M844" s="1">
        <v>800</v>
      </c>
      <c r="O844" s="1">
        <v>1200</v>
      </c>
      <c r="Q844" s="1">
        <v>10</v>
      </c>
      <c r="Y844" s="1">
        <v>0.05</v>
      </c>
      <c r="Z844" s="1">
        <v>4</v>
      </c>
      <c r="AA844" s="1">
        <v>4</v>
      </c>
      <c r="AB844" s="1">
        <v>0.3</v>
      </c>
      <c r="AG844" s="1">
        <v>0</v>
      </c>
      <c r="AH844" s="1">
        <v>1</v>
      </c>
      <c r="AI844" s="1" t="s">
        <v>3567</v>
      </c>
      <c r="AJ844" s="23" t="s">
        <v>3568</v>
      </c>
      <c r="AK844" s="1" t="s">
        <v>238</v>
      </c>
      <c r="AM844" s="1">
        <v>1</v>
      </c>
      <c r="AP844" s="1">
        <v>4</v>
      </c>
      <c r="AV844" s="1">
        <v>1</v>
      </c>
      <c r="AX844" s="1">
        <v>0.1</v>
      </c>
      <c r="BE844" s="1" t="s">
        <v>3565</v>
      </c>
      <c r="BK844" s="1" t="s">
        <v>2407</v>
      </c>
      <c r="BN844" s="1" t="s">
        <v>217</v>
      </c>
      <c r="BO844" s="1" t="s">
        <v>218</v>
      </c>
      <c r="BP844" s="1" t="s">
        <v>239</v>
      </c>
      <c r="BQ844" s="1" t="s">
        <v>220</v>
      </c>
      <c r="BT844" s="1">
        <v>1</v>
      </c>
    </row>
    <row r="845" spans="1:72">
      <c r="A845" s="1" t="s">
        <v>3569</v>
      </c>
      <c r="B845" s="1" t="s">
        <v>213</v>
      </c>
      <c r="C845" s="1">
        <v>1</v>
      </c>
      <c r="D845" s="1" t="s">
        <v>3570</v>
      </c>
      <c r="E845" s="1">
        <v>1302</v>
      </c>
      <c r="F845" s="1" t="s">
        <v>3569</v>
      </c>
      <c r="G845" s="1">
        <v>1</v>
      </c>
      <c r="K845" s="1">
        <v>30000</v>
      </c>
      <c r="M845" s="1">
        <v>1000</v>
      </c>
      <c r="O845" s="1">
        <v>1500</v>
      </c>
      <c r="Q845" s="1">
        <v>10</v>
      </c>
      <c r="Y845" s="1">
        <v>0.05</v>
      </c>
      <c r="Z845" s="1">
        <v>4</v>
      </c>
      <c r="AA845" s="1">
        <v>4</v>
      </c>
      <c r="AB845" s="1">
        <v>0.3</v>
      </c>
      <c r="AG845" s="1">
        <v>0</v>
      </c>
      <c r="AH845" s="1">
        <v>1</v>
      </c>
      <c r="AI845" s="1" t="s">
        <v>3571</v>
      </c>
      <c r="AJ845" s="23" t="s">
        <v>3568</v>
      </c>
      <c r="AK845" s="1" t="s">
        <v>238</v>
      </c>
      <c r="AM845" s="1">
        <v>1</v>
      </c>
      <c r="AP845" s="1">
        <v>4</v>
      </c>
      <c r="AV845" s="1">
        <v>1</v>
      </c>
      <c r="AX845" s="1">
        <v>0.1</v>
      </c>
      <c r="BE845" s="1" t="s">
        <v>3569</v>
      </c>
      <c r="BK845" s="1" t="s">
        <v>2407</v>
      </c>
      <c r="BN845" s="1" t="s">
        <v>217</v>
      </c>
      <c r="BO845" s="1" t="s">
        <v>218</v>
      </c>
      <c r="BP845" s="1" t="s">
        <v>239</v>
      </c>
      <c r="BQ845" s="1" t="s">
        <v>220</v>
      </c>
      <c r="BT845" s="1">
        <v>1</v>
      </c>
    </row>
    <row r="846" spans="1:72">
      <c r="A846" s="1" t="s">
        <v>3572</v>
      </c>
      <c r="B846" s="1" t="s">
        <v>213</v>
      </c>
      <c r="C846" s="1">
        <v>1</v>
      </c>
      <c r="D846" s="1" t="s">
        <v>3573</v>
      </c>
      <c r="E846" s="1">
        <v>1538</v>
      </c>
      <c r="F846" s="1" t="s">
        <v>3572</v>
      </c>
      <c r="G846" s="1">
        <v>1</v>
      </c>
      <c r="K846" s="1">
        <v>60000</v>
      </c>
      <c r="M846" s="1">
        <v>600</v>
      </c>
      <c r="O846" s="1">
        <v>450</v>
      </c>
      <c r="Q846" s="1">
        <v>50</v>
      </c>
      <c r="Y846" s="1">
        <v>0.05</v>
      </c>
      <c r="Z846" s="1">
        <v>5</v>
      </c>
      <c r="AA846" s="1">
        <v>7</v>
      </c>
      <c r="AB846" s="1">
        <v>0.3</v>
      </c>
      <c r="AG846" s="1">
        <v>0</v>
      </c>
      <c r="AH846" s="1">
        <v>1</v>
      </c>
      <c r="AI846" s="1" t="s">
        <v>3574</v>
      </c>
      <c r="AJ846" s="1" t="s">
        <v>3542</v>
      </c>
      <c r="AK846" s="1" t="s">
        <v>238</v>
      </c>
      <c r="AM846" s="1">
        <v>1</v>
      </c>
      <c r="AV846" s="1">
        <v>1</v>
      </c>
      <c r="AX846" s="1">
        <v>0.1</v>
      </c>
      <c r="BE846" s="1" t="s">
        <v>3572</v>
      </c>
      <c r="BK846" s="1" t="s">
        <v>3575</v>
      </c>
      <c r="BN846" s="1" t="s">
        <v>2034</v>
      </c>
      <c r="BO846" s="1" t="s">
        <v>2035</v>
      </c>
      <c r="BP846" s="1" t="s">
        <v>2036</v>
      </c>
      <c r="BQ846" s="1" t="s">
        <v>3576</v>
      </c>
      <c r="BT846" s="1">
        <v>1</v>
      </c>
    </row>
    <row r="847" spans="1:72">
      <c r="A847" s="1" t="s">
        <v>3577</v>
      </c>
      <c r="B847" s="1" t="s">
        <v>213</v>
      </c>
      <c r="C847" s="1">
        <v>1</v>
      </c>
      <c r="D847" s="1" t="s">
        <v>3573</v>
      </c>
      <c r="E847" s="1">
        <v>1538</v>
      </c>
      <c r="F847" s="1" t="s">
        <v>3572</v>
      </c>
      <c r="G847" s="1">
        <v>1</v>
      </c>
      <c r="K847" s="1">
        <v>4000</v>
      </c>
      <c r="M847" s="1">
        <v>0</v>
      </c>
      <c r="O847" s="1">
        <v>0</v>
      </c>
      <c r="Q847" s="1">
        <v>0</v>
      </c>
      <c r="Y847" s="1">
        <v>0.05</v>
      </c>
      <c r="Z847" s="1">
        <v>5</v>
      </c>
      <c r="AA847" s="1">
        <v>7</v>
      </c>
      <c r="AB847" s="1">
        <v>0.7</v>
      </c>
      <c r="AG847" s="1">
        <v>0</v>
      </c>
      <c r="AH847" s="1">
        <v>1</v>
      </c>
      <c r="AI847" s="1" t="s">
        <v>3577</v>
      </c>
      <c r="AJ847" s="1" t="s">
        <v>3542</v>
      </c>
      <c r="AK847" s="1" t="s">
        <v>238</v>
      </c>
      <c r="AM847" s="1">
        <v>1</v>
      </c>
      <c r="AV847" s="1">
        <v>1</v>
      </c>
      <c r="AX847" s="1">
        <v>0.1</v>
      </c>
      <c r="BE847" s="1" t="s">
        <v>3572</v>
      </c>
      <c r="BK847" s="1" t="s">
        <v>3575</v>
      </c>
      <c r="BN847" s="1" t="s">
        <v>2034</v>
      </c>
      <c r="BO847" s="1" t="s">
        <v>3578</v>
      </c>
      <c r="BP847" s="1" t="s">
        <v>3579</v>
      </c>
      <c r="BQ847" s="1" t="s">
        <v>3576</v>
      </c>
      <c r="BT847" s="1">
        <v>1</v>
      </c>
    </row>
    <row r="848" spans="1:72">
      <c r="A848" s="1" t="s">
        <v>3580</v>
      </c>
      <c r="B848" s="1" t="s">
        <v>213</v>
      </c>
      <c r="C848" s="1">
        <v>1</v>
      </c>
      <c r="D848" s="1" t="s">
        <v>3573</v>
      </c>
      <c r="E848" s="1">
        <v>1538</v>
      </c>
      <c r="F848" s="1" t="s">
        <v>3572</v>
      </c>
      <c r="G848" s="1">
        <v>1</v>
      </c>
      <c r="K848" s="1">
        <v>50000</v>
      </c>
      <c r="M848" s="1">
        <v>400</v>
      </c>
      <c r="O848" s="1">
        <v>400</v>
      </c>
      <c r="Q848" s="1">
        <v>40</v>
      </c>
      <c r="Y848" s="1">
        <v>0.05</v>
      </c>
      <c r="Z848" s="1">
        <v>5</v>
      </c>
      <c r="AA848" s="1">
        <v>7</v>
      </c>
      <c r="AB848" s="1">
        <v>0.3</v>
      </c>
      <c r="AG848" s="1">
        <v>0</v>
      </c>
      <c r="AH848" s="1">
        <v>1</v>
      </c>
      <c r="AI848" s="1" t="s">
        <v>3580</v>
      </c>
      <c r="AJ848" s="1" t="s">
        <v>3542</v>
      </c>
      <c r="AK848" s="1" t="s">
        <v>238</v>
      </c>
      <c r="AM848" s="1">
        <v>1</v>
      </c>
      <c r="AV848" s="1">
        <v>1</v>
      </c>
      <c r="AX848" s="1">
        <v>0.1</v>
      </c>
      <c r="BE848" s="1" t="s">
        <v>3572</v>
      </c>
      <c r="BK848" s="1" t="s">
        <v>3575</v>
      </c>
      <c r="BN848" s="1" t="s">
        <v>2034</v>
      </c>
      <c r="BO848" s="1" t="s">
        <v>3578</v>
      </c>
      <c r="BP848" s="1" t="s">
        <v>3579</v>
      </c>
      <c r="BQ848" s="1" t="s">
        <v>3576</v>
      </c>
      <c r="BT848" s="1">
        <v>1</v>
      </c>
    </row>
    <row r="849" spans="1:72">
      <c r="A849" s="1" t="s">
        <v>3581</v>
      </c>
      <c r="B849" s="1" t="s">
        <v>213</v>
      </c>
      <c r="C849" s="1">
        <v>1</v>
      </c>
      <c r="D849" s="1" t="s">
        <v>3573</v>
      </c>
      <c r="E849" s="1">
        <v>1538</v>
      </c>
      <c r="F849" s="1" t="s">
        <v>3572</v>
      </c>
      <c r="G849" s="1">
        <v>1</v>
      </c>
      <c r="K849" s="1">
        <v>85000</v>
      </c>
      <c r="M849" s="1">
        <v>800</v>
      </c>
      <c r="O849" s="1">
        <v>550</v>
      </c>
      <c r="Q849" s="1">
        <v>50</v>
      </c>
      <c r="Y849" s="1">
        <v>0.05</v>
      </c>
      <c r="Z849" s="1">
        <v>5</v>
      </c>
      <c r="AA849" s="1">
        <v>7</v>
      </c>
      <c r="AB849" s="1">
        <v>0.3</v>
      </c>
      <c r="AG849" s="1">
        <v>0</v>
      </c>
      <c r="AH849" s="1">
        <v>1</v>
      </c>
      <c r="AI849" s="1" t="s">
        <v>3582</v>
      </c>
      <c r="AJ849" s="1" t="s">
        <v>275</v>
      </c>
      <c r="AK849" s="1" t="s">
        <v>238</v>
      </c>
      <c r="AM849" s="1">
        <v>1</v>
      </c>
      <c r="AV849" s="1">
        <v>1</v>
      </c>
      <c r="AX849" s="1">
        <v>0.1</v>
      </c>
      <c r="BE849" s="1" t="s">
        <v>3572</v>
      </c>
      <c r="BK849" s="1" t="s">
        <v>3575</v>
      </c>
      <c r="BN849" s="1" t="s">
        <v>2034</v>
      </c>
      <c r="BO849" s="1" t="s">
        <v>2035</v>
      </c>
      <c r="BP849" s="1" t="s">
        <v>2036</v>
      </c>
      <c r="BQ849" s="1" t="s">
        <v>3576</v>
      </c>
      <c r="BT849" s="1">
        <v>1</v>
      </c>
    </row>
    <row r="850" spans="1:72">
      <c r="A850" s="1" t="s">
        <v>3583</v>
      </c>
      <c r="B850" s="1" t="s">
        <v>213</v>
      </c>
      <c r="C850" s="1">
        <v>1</v>
      </c>
      <c r="D850" s="1" t="s">
        <v>3584</v>
      </c>
      <c r="E850" s="1">
        <v>1303</v>
      </c>
      <c r="F850" s="1" t="s">
        <v>3583</v>
      </c>
      <c r="G850" s="1">
        <v>1</v>
      </c>
      <c r="K850" s="1">
        <v>5000</v>
      </c>
      <c r="M850" s="1">
        <v>250</v>
      </c>
      <c r="O850" s="1">
        <v>0</v>
      </c>
      <c r="Q850" s="1">
        <v>0</v>
      </c>
      <c r="Y850" s="1">
        <v>0.05</v>
      </c>
      <c r="Z850" s="1">
        <v>2.3</v>
      </c>
      <c r="AA850" s="1">
        <v>1</v>
      </c>
      <c r="AB850" s="1">
        <v>0.8</v>
      </c>
      <c r="AG850" s="1">
        <v>0</v>
      </c>
      <c r="AH850" s="1">
        <v>1</v>
      </c>
      <c r="AI850" s="1" t="s">
        <v>3585</v>
      </c>
      <c r="AJ850" s="1" t="s">
        <v>275</v>
      </c>
      <c r="AK850" s="1" t="s">
        <v>238</v>
      </c>
      <c r="AM850" s="1">
        <v>1</v>
      </c>
      <c r="AV850" s="1">
        <v>1</v>
      </c>
      <c r="AX850" s="1">
        <v>0.1</v>
      </c>
      <c r="BE850" s="1" t="s">
        <v>3583</v>
      </c>
      <c r="BK850" s="1" t="s">
        <v>3586</v>
      </c>
      <c r="BN850" s="1" t="s">
        <v>217</v>
      </c>
      <c r="BO850" s="1" t="s">
        <v>218</v>
      </c>
      <c r="BP850" s="1" t="s">
        <v>239</v>
      </c>
      <c r="BQ850" s="1" t="s">
        <v>220</v>
      </c>
      <c r="BT850" s="1">
        <v>1</v>
      </c>
    </row>
    <row r="851" spans="1:72">
      <c r="A851" s="1" t="s">
        <v>3587</v>
      </c>
      <c r="B851" s="1" t="s">
        <v>213</v>
      </c>
      <c r="C851" s="1">
        <v>1</v>
      </c>
      <c r="D851" s="1" t="s">
        <v>3588</v>
      </c>
      <c r="E851" s="1">
        <v>1303</v>
      </c>
      <c r="F851" s="1" t="s">
        <v>3587</v>
      </c>
      <c r="G851" s="1">
        <v>1</v>
      </c>
      <c r="K851" s="1">
        <v>6500</v>
      </c>
      <c r="M851" s="1">
        <v>320</v>
      </c>
      <c r="O851" s="1">
        <v>0</v>
      </c>
      <c r="Q851" s="1">
        <v>0</v>
      </c>
      <c r="Y851" s="1">
        <v>0.05</v>
      </c>
      <c r="Z851" s="1">
        <v>2.3</v>
      </c>
      <c r="AA851" s="1">
        <v>1</v>
      </c>
      <c r="AB851" s="1">
        <v>0.8</v>
      </c>
      <c r="AG851" s="1">
        <v>0</v>
      </c>
      <c r="AH851" s="1">
        <v>1</v>
      </c>
      <c r="AI851" s="1" t="s">
        <v>3589</v>
      </c>
      <c r="AJ851" s="1" t="s">
        <v>275</v>
      </c>
      <c r="AK851" s="1" t="s">
        <v>238</v>
      </c>
      <c r="AM851" s="1">
        <v>1</v>
      </c>
      <c r="AV851" s="1">
        <v>1</v>
      </c>
      <c r="AX851" s="1">
        <v>0.1</v>
      </c>
      <c r="BE851" s="1" t="s">
        <v>3587</v>
      </c>
      <c r="BK851" s="1" t="s">
        <v>3586</v>
      </c>
      <c r="BN851" s="1" t="s">
        <v>217</v>
      </c>
      <c r="BO851" s="1" t="s">
        <v>218</v>
      </c>
      <c r="BP851" s="1" t="s">
        <v>239</v>
      </c>
      <c r="BQ851" s="1" t="s">
        <v>220</v>
      </c>
      <c r="BT851" s="1">
        <v>1</v>
      </c>
    </row>
    <row r="852" spans="1:72">
      <c r="A852" s="1" t="s">
        <v>3590</v>
      </c>
      <c r="B852" s="1" t="s">
        <v>213</v>
      </c>
      <c r="C852" s="1">
        <v>1</v>
      </c>
      <c r="D852" s="1" t="s">
        <v>3584</v>
      </c>
      <c r="E852" s="1">
        <v>1303</v>
      </c>
      <c r="F852" s="1" t="s">
        <v>3583</v>
      </c>
      <c r="G852" s="1">
        <v>1</v>
      </c>
      <c r="K852" s="1">
        <v>5000</v>
      </c>
      <c r="M852" s="1">
        <v>250</v>
      </c>
      <c r="O852" s="1">
        <v>0</v>
      </c>
      <c r="Q852" s="1">
        <v>0</v>
      </c>
      <c r="Y852" s="1">
        <v>0.05</v>
      </c>
      <c r="Z852" s="1">
        <v>2.3</v>
      </c>
      <c r="AA852" s="1">
        <v>1</v>
      </c>
      <c r="AB852" s="1">
        <v>0.8</v>
      </c>
      <c r="AG852" s="1">
        <v>0</v>
      </c>
      <c r="AH852" s="1">
        <v>1</v>
      </c>
      <c r="AI852" s="1" t="s">
        <v>3591</v>
      </c>
      <c r="AJ852" s="1" t="s">
        <v>275</v>
      </c>
      <c r="AK852" s="1" t="s">
        <v>238</v>
      </c>
      <c r="AM852" s="1">
        <v>1</v>
      </c>
      <c r="AV852" s="1">
        <v>1</v>
      </c>
      <c r="AX852" s="1">
        <v>0.1</v>
      </c>
      <c r="BE852" s="1" t="s">
        <v>3583</v>
      </c>
      <c r="BK852" s="1" t="s">
        <v>3586</v>
      </c>
      <c r="BN852" s="1" t="s">
        <v>217</v>
      </c>
      <c r="BO852" s="1" t="s">
        <v>218</v>
      </c>
      <c r="BP852" s="1" t="s">
        <v>239</v>
      </c>
      <c r="BQ852" s="1" t="s">
        <v>220</v>
      </c>
      <c r="BT852" s="1">
        <v>1</v>
      </c>
    </row>
    <row r="853" spans="1:72">
      <c r="A853" s="1" t="s">
        <v>3592</v>
      </c>
      <c r="B853" s="1" t="s">
        <v>213</v>
      </c>
      <c r="C853" s="1">
        <v>1</v>
      </c>
      <c r="D853" s="1" t="s">
        <v>3588</v>
      </c>
      <c r="E853" s="1">
        <v>1303</v>
      </c>
      <c r="F853" s="1" t="s">
        <v>3587</v>
      </c>
      <c r="G853" s="1">
        <v>1</v>
      </c>
      <c r="K853" s="1">
        <v>6500</v>
      </c>
      <c r="M853" s="1">
        <v>320</v>
      </c>
      <c r="O853" s="1">
        <v>0</v>
      </c>
      <c r="Q853" s="1">
        <v>0</v>
      </c>
      <c r="Y853" s="1">
        <v>0.05</v>
      </c>
      <c r="Z853" s="1">
        <v>2.3</v>
      </c>
      <c r="AA853" s="1">
        <v>1</v>
      </c>
      <c r="AB853" s="1">
        <v>0.8</v>
      </c>
      <c r="AG853" s="1">
        <v>0</v>
      </c>
      <c r="AH853" s="1">
        <v>1</v>
      </c>
      <c r="AI853" s="1" t="s">
        <v>3593</v>
      </c>
      <c r="AJ853" s="1" t="s">
        <v>275</v>
      </c>
      <c r="AK853" s="1" t="s">
        <v>238</v>
      </c>
      <c r="AM853" s="1">
        <v>1</v>
      </c>
      <c r="AV853" s="1">
        <v>1</v>
      </c>
      <c r="AX853" s="1">
        <v>0.1</v>
      </c>
      <c r="BE853" s="1" t="s">
        <v>3587</v>
      </c>
      <c r="BK853" s="1" t="s">
        <v>3586</v>
      </c>
      <c r="BN853" s="1" t="s">
        <v>217</v>
      </c>
      <c r="BO853" s="1" t="s">
        <v>218</v>
      </c>
      <c r="BP853" s="1" t="s">
        <v>239</v>
      </c>
      <c r="BQ853" s="1" t="s">
        <v>220</v>
      </c>
      <c r="BT853" s="1">
        <v>1</v>
      </c>
    </row>
    <row r="854" spans="1:72">
      <c r="A854" s="1" t="s">
        <v>3594</v>
      </c>
      <c r="B854" s="1" t="s">
        <v>213</v>
      </c>
      <c r="C854" s="1">
        <v>1</v>
      </c>
      <c r="D854" s="1" t="s">
        <v>3595</v>
      </c>
      <c r="E854" s="1">
        <v>1304</v>
      </c>
      <c r="F854" s="1" t="s">
        <v>3594</v>
      </c>
      <c r="G854" s="1">
        <v>1</v>
      </c>
      <c r="K854" s="1">
        <v>4500</v>
      </c>
      <c r="M854" s="1">
        <v>310</v>
      </c>
      <c r="O854" s="1">
        <v>0</v>
      </c>
      <c r="Q854" s="1">
        <v>5</v>
      </c>
      <c r="Y854" s="1">
        <v>0.05</v>
      </c>
      <c r="Z854" s="1">
        <v>1.8</v>
      </c>
      <c r="AA854" s="1">
        <v>1</v>
      </c>
      <c r="AB854" s="1">
        <v>1.5</v>
      </c>
      <c r="AG854" s="1">
        <v>0</v>
      </c>
      <c r="AH854" s="1">
        <v>1</v>
      </c>
      <c r="AI854" s="1" t="s">
        <v>3596</v>
      </c>
      <c r="AJ854" s="1" t="s">
        <v>275</v>
      </c>
      <c r="AK854" s="1" t="s">
        <v>238</v>
      </c>
      <c r="AM854" s="1">
        <v>1</v>
      </c>
      <c r="AV854" s="1">
        <v>1</v>
      </c>
      <c r="AX854" s="1">
        <v>0.1</v>
      </c>
      <c r="BE854" s="1" t="s">
        <v>3594</v>
      </c>
      <c r="BK854" s="1" t="s">
        <v>953</v>
      </c>
      <c r="BN854" s="1" t="s">
        <v>217</v>
      </c>
      <c r="BO854" s="1" t="s">
        <v>218</v>
      </c>
      <c r="BP854" s="1" t="s">
        <v>239</v>
      </c>
      <c r="BQ854" s="1" t="s">
        <v>220</v>
      </c>
      <c r="BT854" s="1">
        <v>1</v>
      </c>
    </row>
    <row r="855" spans="1:72">
      <c r="A855" s="1" t="s">
        <v>3597</v>
      </c>
      <c r="B855" s="1" t="s">
        <v>213</v>
      </c>
      <c r="C855" s="1">
        <v>1</v>
      </c>
      <c r="D855" s="1" t="s">
        <v>3598</v>
      </c>
      <c r="E855" s="1">
        <v>1304</v>
      </c>
      <c r="F855" s="1" t="s">
        <v>3597</v>
      </c>
      <c r="G855" s="1">
        <v>1</v>
      </c>
      <c r="K855" s="1">
        <v>6500</v>
      </c>
      <c r="M855" s="1">
        <v>380</v>
      </c>
      <c r="O855" s="1">
        <v>0</v>
      </c>
      <c r="Q855" s="1">
        <v>5</v>
      </c>
      <c r="Y855" s="1">
        <v>0.05</v>
      </c>
      <c r="Z855" s="1">
        <v>1.8</v>
      </c>
      <c r="AA855" s="1">
        <v>1</v>
      </c>
      <c r="AB855" s="1">
        <v>1.5</v>
      </c>
      <c r="AG855" s="1">
        <v>0</v>
      </c>
      <c r="AH855" s="1">
        <v>1</v>
      </c>
      <c r="AI855" s="1" t="s">
        <v>3599</v>
      </c>
      <c r="AJ855" s="1" t="s">
        <v>275</v>
      </c>
      <c r="AK855" s="1" t="s">
        <v>238</v>
      </c>
      <c r="AM855" s="1">
        <v>1</v>
      </c>
      <c r="AV855" s="1">
        <v>1</v>
      </c>
      <c r="AX855" s="1">
        <v>0.1</v>
      </c>
      <c r="BE855" s="1" t="s">
        <v>3597</v>
      </c>
      <c r="BK855" s="1" t="s">
        <v>953</v>
      </c>
      <c r="BN855" s="1" t="s">
        <v>217</v>
      </c>
      <c r="BO855" s="1" t="s">
        <v>218</v>
      </c>
      <c r="BP855" s="1" t="s">
        <v>239</v>
      </c>
      <c r="BQ855" s="1" t="s">
        <v>220</v>
      </c>
      <c r="BT855" s="1">
        <v>1</v>
      </c>
    </row>
    <row r="856" spans="1:72">
      <c r="A856" s="1" t="s">
        <v>3600</v>
      </c>
      <c r="B856" s="1" t="s">
        <v>213</v>
      </c>
      <c r="C856" s="1">
        <v>1</v>
      </c>
      <c r="D856" s="1" t="s">
        <v>3601</v>
      </c>
      <c r="E856" s="1">
        <v>1305</v>
      </c>
      <c r="F856" s="1" t="s">
        <v>3600</v>
      </c>
      <c r="G856" s="1">
        <v>1</v>
      </c>
      <c r="K856" s="1">
        <v>1200</v>
      </c>
      <c r="M856" s="1">
        <v>50</v>
      </c>
      <c r="O856" s="1">
        <v>0</v>
      </c>
      <c r="Q856" s="1">
        <v>0</v>
      </c>
      <c r="Y856" s="1">
        <v>0.05</v>
      </c>
      <c r="Z856" s="1">
        <v>2</v>
      </c>
      <c r="AA856" s="1">
        <v>0</v>
      </c>
      <c r="AB856" s="1">
        <v>0.8</v>
      </c>
      <c r="AG856" s="1">
        <v>0</v>
      </c>
      <c r="AH856" s="1">
        <v>1</v>
      </c>
      <c r="AI856" s="1" t="s">
        <v>3602</v>
      </c>
      <c r="AJ856" s="1" t="s">
        <v>275</v>
      </c>
      <c r="AK856" s="1" t="s">
        <v>238</v>
      </c>
      <c r="AM856" s="1">
        <v>1</v>
      </c>
      <c r="AV856" s="1">
        <v>1</v>
      </c>
      <c r="AX856" s="1">
        <v>0.1</v>
      </c>
      <c r="BE856" s="1" t="s">
        <v>3600</v>
      </c>
      <c r="BK856" s="1" t="s">
        <v>924</v>
      </c>
      <c r="BN856" s="1" t="s">
        <v>217</v>
      </c>
      <c r="BO856" s="1" t="s">
        <v>218</v>
      </c>
      <c r="BP856" s="1" t="s">
        <v>239</v>
      </c>
      <c r="BQ856" s="1" t="s">
        <v>220</v>
      </c>
      <c r="BT856" s="1">
        <v>1</v>
      </c>
    </row>
    <row r="857" spans="1:72">
      <c r="A857" s="1" t="s">
        <v>3603</v>
      </c>
      <c r="B857" s="1" t="s">
        <v>213</v>
      </c>
      <c r="C857" s="1">
        <v>1</v>
      </c>
      <c r="D857" s="1" t="s">
        <v>3604</v>
      </c>
      <c r="E857" s="1">
        <v>1305</v>
      </c>
      <c r="F857" s="1" t="s">
        <v>3603</v>
      </c>
      <c r="G857" s="1">
        <v>1</v>
      </c>
      <c r="K857" s="1">
        <v>1800</v>
      </c>
      <c r="M857" s="1">
        <v>80</v>
      </c>
      <c r="O857" s="1">
        <v>0</v>
      </c>
      <c r="Q857" s="1">
        <v>0</v>
      </c>
      <c r="Y857" s="1">
        <v>0.05</v>
      </c>
      <c r="Z857" s="1">
        <v>2</v>
      </c>
      <c r="AA857" s="1">
        <v>0</v>
      </c>
      <c r="AB857" s="1">
        <v>0.8</v>
      </c>
      <c r="AG857" s="1">
        <v>0</v>
      </c>
      <c r="AH857" s="1">
        <v>1</v>
      </c>
      <c r="AI857" s="1" t="s">
        <v>3605</v>
      </c>
      <c r="AJ857" s="1" t="s">
        <v>275</v>
      </c>
      <c r="AK857" s="1" t="s">
        <v>238</v>
      </c>
      <c r="AM857" s="1">
        <v>1</v>
      </c>
      <c r="AV857" s="1">
        <v>1</v>
      </c>
      <c r="AX857" s="1">
        <v>0.1</v>
      </c>
      <c r="BE857" s="1" t="s">
        <v>3603</v>
      </c>
      <c r="BK857" s="1" t="s">
        <v>924</v>
      </c>
      <c r="BN857" s="1" t="s">
        <v>217</v>
      </c>
      <c r="BO857" s="1" t="s">
        <v>218</v>
      </c>
      <c r="BP857" s="1" t="s">
        <v>239</v>
      </c>
      <c r="BQ857" s="1" t="s">
        <v>220</v>
      </c>
      <c r="BT857" s="1">
        <v>1</v>
      </c>
    </row>
    <row r="858" spans="1:72">
      <c r="A858" s="1" t="s">
        <v>3606</v>
      </c>
      <c r="B858" s="1" t="s">
        <v>213</v>
      </c>
      <c r="C858" s="1">
        <v>1</v>
      </c>
      <c r="D858" s="1" t="s">
        <v>3607</v>
      </c>
      <c r="E858" s="1">
        <v>1306</v>
      </c>
      <c r="F858" s="1" t="s">
        <v>3606</v>
      </c>
      <c r="G858" s="1">
        <v>1</v>
      </c>
      <c r="K858" s="1">
        <v>14000</v>
      </c>
      <c r="M858" s="1">
        <v>600</v>
      </c>
      <c r="O858" s="1">
        <v>120</v>
      </c>
      <c r="Q858" s="1">
        <v>0</v>
      </c>
      <c r="Y858" s="1">
        <v>0.05</v>
      </c>
      <c r="Z858" s="1">
        <v>4</v>
      </c>
      <c r="AA858" s="1">
        <v>2</v>
      </c>
      <c r="AB858" s="1">
        <v>0.7</v>
      </c>
      <c r="AG858" s="1">
        <v>0</v>
      </c>
      <c r="AH858" s="1">
        <v>1</v>
      </c>
      <c r="AI858" s="1" t="s">
        <v>3608</v>
      </c>
      <c r="AJ858" s="1" t="s">
        <v>275</v>
      </c>
      <c r="AK858" s="1" t="s">
        <v>238</v>
      </c>
      <c r="AM858" s="1">
        <v>1</v>
      </c>
      <c r="AV858" s="1">
        <v>1</v>
      </c>
      <c r="AX858" s="1">
        <v>0.1</v>
      </c>
      <c r="BE858" s="1" t="s">
        <v>3606</v>
      </c>
      <c r="BK858" s="1" t="s">
        <v>3609</v>
      </c>
      <c r="BN858" s="1" t="s">
        <v>217</v>
      </c>
      <c r="BO858" s="1" t="s">
        <v>218</v>
      </c>
      <c r="BP858" s="1" t="s">
        <v>239</v>
      </c>
      <c r="BQ858" s="1" t="s">
        <v>220</v>
      </c>
      <c r="BT858" s="1">
        <v>1</v>
      </c>
    </row>
    <row r="859" spans="1:72">
      <c r="A859" s="1" t="s">
        <v>3610</v>
      </c>
      <c r="B859" s="1" t="s">
        <v>213</v>
      </c>
      <c r="C859" s="1">
        <v>1</v>
      </c>
      <c r="D859" s="1" t="s">
        <v>3611</v>
      </c>
      <c r="E859" s="1">
        <v>1306</v>
      </c>
      <c r="F859" s="1" t="s">
        <v>3610</v>
      </c>
      <c r="G859" s="1">
        <v>1</v>
      </c>
      <c r="K859" s="1">
        <v>18000</v>
      </c>
      <c r="M859" s="1">
        <v>680</v>
      </c>
      <c r="O859" s="1">
        <v>130</v>
      </c>
      <c r="Q859" s="1">
        <v>0</v>
      </c>
      <c r="Y859" s="1">
        <v>0.05</v>
      </c>
      <c r="Z859" s="1">
        <v>4</v>
      </c>
      <c r="AA859" s="1">
        <v>2</v>
      </c>
      <c r="AB859" s="1">
        <v>0.7</v>
      </c>
      <c r="AG859" s="1">
        <v>0</v>
      </c>
      <c r="AH859" s="1">
        <v>1</v>
      </c>
      <c r="AI859" s="1" t="s">
        <v>3612</v>
      </c>
      <c r="AJ859" s="1" t="s">
        <v>275</v>
      </c>
      <c r="AK859" s="1" t="s">
        <v>238</v>
      </c>
      <c r="AM859" s="1">
        <v>1</v>
      </c>
      <c r="AV859" s="1">
        <v>1</v>
      </c>
      <c r="AX859" s="1">
        <v>0.1</v>
      </c>
      <c r="BE859" s="1" t="s">
        <v>3610</v>
      </c>
      <c r="BK859" s="1" t="s">
        <v>3609</v>
      </c>
      <c r="BN859" s="1" t="s">
        <v>217</v>
      </c>
      <c r="BO859" s="1" t="s">
        <v>218</v>
      </c>
      <c r="BP859" s="1" t="s">
        <v>239</v>
      </c>
      <c r="BQ859" s="1" t="s">
        <v>220</v>
      </c>
      <c r="BT859" s="1">
        <v>1</v>
      </c>
    </row>
    <row r="860" spans="1:72">
      <c r="A860" s="1" t="s">
        <v>3613</v>
      </c>
      <c r="B860" s="1" t="s">
        <v>213</v>
      </c>
      <c r="C860" s="1">
        <v>1</v>
      </c>
      <c r="D860" s="1" t="s">
        <v>3614</v>
      </c>
      <c r="E860" s="1">
        <v>1307</v>
      </c>
      <c r="F860" s="1" t="s">
        <v>3613</v>
      </c>
      <c r="G860" s="1">
        <v>1</v>
      </c>
      <c r="K860" s="1">
        <v>12000</v>
      </c>
      <c r="M860" s="1">
        <v>600</v>
      </c>
      <c r="O860" s="1">
        <v>140</v>
      </c>
      <c r="Q860" s="1">
        <v>0</v>
      </c>
      <c r="Y860" s="1">
        <v>0.05</v>
      </c>
      <c r="Z860" s="1">
        <v>4</v>
      </c>
      <c r="AA860" s="1">
        <v>2</v>
      </c>
      <c r="AB860" s="1">
        <v>0.7</v>
      </c>
      <c r="AG860" s="1">
        <v>0</v>
      </c>
      <c r="AH860" s="1">
        <v>1</v>
      </c>
      <c r="AI860" s="1" t="s">
        <v>3615</v>
      </c>
      <c r="AJ860" s="1" t="s">
        <v>275</v>
      </c>
      <c r="AK860" s="1" t="s">
        <v>238</v>
      </c>
      <c r="AM860" s="1">
        <v>1</v>
      </c>
      <c r="AV860" s="1">
        <v>1</v>
      </c>
      <c r="AX860" s="1">
        <v>0.1</v>
      </c>
      <c r="BE860" s="1" t="s">
        <v>3613</v>
      </c>
      <c r="BK860" s="1" t="s">
        <v>3616</v>
      </c>
      <c r="BN860" s="1" t="s">
        <v>217</v>
      </c>
      <c r="BO860" s="1" t="s">
        <v>218</v>
      </c>
      <c r="BP860" s="1" t="s">
        <v>239</v>
      </c>
      <c r="BQ860" s="1" t="s">
        <v>220</v>
      </c>
      <c r="BT860" s="1">
        <v>1</v>
      </c>
    </row>
    <row r="861" spans="1:72">
      <c r="A861" s="1" t="s">
        <v>3617</v>
      </c>
      <c r="B861" s="1" t="s">
        <v>213</v>
      </c>
      <c r="C861" s="1">
        <v>1</v>
      </c>
      <c r="D861" s="1" t="s">
        <v>3618</v>
      </c>
      <c r="E861" s="1">
        <v>1307</v>
      </c>
      <c r="F861" s="1" t="s">
        <v>3617</v>
      </c>
      <c r="G861" s="1">
        <v>1</v>
      </c>
      <c r="K861" s="1">
        <v>16000</v>
      </c>
      <c r="M861" s="1">
        <v>750</v>
      </c>
      <c r="O861" s="1">
        <v>160</v>
      </c>
      <c r="Q861" s="1">
        <v>0</v>
      </c>
      <c r="Y861" s="1">
        <v>0.05</v>
      </c>
      <c r="Z861" s="1">
        <v>4</v>
      </c>
      <c r="AA861" s="1">
        <v>2</v>
      </c>
      <c r="AB861" s="1">
        <v>0.7</v>
      </c>
      <c r="AG861" s="1">
        <v>0</v>
      </c>
      <c r="AH861" s="1">
        <v>1</v>
      </c>
      <c r="AI861" s="1" t="s">
        <v>3619</v>
      </c>
      <c r="AJ861" s="1" t="s">
        <v>275</v>
      </c>
      <c r="AK861" s="1" t="s">
        <v>238</v>
      </c>
      <c r="AM861" s="1">
        <v>1</v>
      </c>
      <c r="AV861" s="1">
        <v>1</v>
      </c>
      <c r="AX861" s="1">
        <v>0.1</v>
      </c>
      <c r="BE861" s="1" t="s">
        <v>3617</v>
      </c>
      <c r="BK861" s="1" t="s">
        <v>3616</v>
      </c>
      <c r="BN861" s="1" t="s">
        <v>217</v>
      </c>
      <c r="BO861" s="1" t="s">
        <v>218</v>
      </c>
      <c r="BP861" s="1" t="s">
        <v>239</v>
      </c>
      <c r="BQ861" s="1" t="s">
        <v>220</v>
      </c>
      <c r="BT861" s="1">
        <v>1</v>
      </c>
    </row>
    <row r="862" spans="1:72">
      <c r="A862" s="1" t="s">
        <v>3620</v>
      </c>
      <c r="B862" s="1" t="s">
        <v>213</v>
      </c>
      <c r="C862" s="1">
        <v>1</v>
      </c>
      <c r="D862" s="1" t="s">
        <v>3621</v>
      </c>
      <c r="E862" s="1">
        <v>1308</v>
      </c>
      <c r="F862" s="1" t="s">
        <v>3620</v>
      </c>
      <c r="G862" s="1">
        <v>1.1</v>
      </c>
      <c r="K862" s="1">
        <v>9000</v>
      </c>
      <c r="M862" s="1">
        <v>450</v>
      </c>
      <c r="O862" s="1">
        <v>50</v>
      </c>
      <c r="Q862" s="1">
        <v>5</v>
      </c>
      <c r="Y862" s="1">
        <v>0.05</v>
      </c>
      <c r="Z862" s="1">
        <v>2.5</v>
      </c>
      <c r="AA862" s="1">
        <v>0</v>
      </c>
      <c r="AB862" s="1">
        <v>0.65</v>
      </c>
      <c r="AG862" s="1">
        <v>0</v>
      </c>
      <c r="AH862" s="1">
        <v>1</v>
      </c>
      <c r="AI862" s="1" t="s">
        <v>3622</v>
      </c>
      <c r="AJ862" s="1" t="s">
        <v>275</v>
      </c>
      <c r="AK862" s="1" t="s">
        <v>238</v>
      </c>
      <c r="AM862" s="1">
        <v>1</v>
      </c>
      <c r="AN862" s="1">
        <v>1</v>
      </c>
      <c r="AV862" s="1">
        <v>1</v>
      </c>
      <c r="AX862" s="1">
        <v>0.1</v>
      </c>
      <c r="BE862" s="1" t="s">
        <v>3620</v>
      </c>
      <c r="BK862" s="1" t="s">
        <v>959</v>
      </c>
      <c r="BN862" s="1" t="s">
        <v>3623</v>
      </c>
      <c r="BO862" s="1" t="s">
        <v>3624</v>
      </c>
      <c r="BP862" s="1" t="s">
        <v>3625</v>
      </c>
      <c r="BQ862" s="1" t="s">
        <v>3355</v>
      </c>
      <c r="BR862" s="1" t="s">
        <v>3626</v>
      </c>
      <c r="BT862" s="1">
        <v>1</v>
      </c>
    </row>
    <row r="863" spans="1:72">
      <c r="A863" s="1" t="s">
        <v>3627</v>
      </c>
      <c r="B863" s="1" t="s">
        <v>213</v>
      </c>
      <c r="C863" s="1">
        <v>1</v>
      </c>
      <c r="D863" s="1" t="s">
        <v>3628</v>
      </c>
      <c r="E863" s="1">
        <v>1308</v>
      </c>
      <c r="F863" s="1" t="s">
        <v>3627</v>
      </c>
      <c r="G863" s="1">
        <v>1.1</v>
      </c>
      <c r="K863" s="1">
        <v>12000</v>
      </c>
      <c r="M863" s="1">
        <v>550</v>
      </c>
      <c r="O863" s="1">
        <v>80</v>
      </c>
      <c r="Q863" s="1">
        <v>5</v>
      </c>
      <c r="Y863" s="1">
        <v>0.05</v>
      </c>
      <c r="Z863" s="1">
        <v>2.5</v>
      </c>
      <c r="AA863" s="1">
        <v>0</v>
      </c>
      <c r="AB863" s="1">
        <v>0.65</v>
      </c>
      <c r="AG863" s="1">
        <v>0</v>
      </c>
      <c r="AH863" s="1">
        <v>1</v>
      </c>
      <c r="AI863" s="1" t="s">
        <v>3629</v>
      </c>
      <c r="AJ863" s="1" t="s">
        <v>275</v>
      </c>
      <c r="AK863" s="1" t="s">
        <v>238</v>
      </c>
      <c r="AM863" s="1">
        <v>1</v>
      </c>
      <c r="AN863" s="1">
        <v>1</v>
      </c>
      <c r="AV863" s="1">
        <v>1</v>
      </c>
      <c r="AX863" s="1">
        <v>0.1</v>
      </c>
      <c r="BE863" s="1" t="s">
        <v>3627</v>
      </c>
      <c r="BK863" s="1" t="s">
        <v>959</v>
      </c>
      <c r="BN863" s="1" t="s">
        <v>3623</v>
      </c>
      <c r="BO863" s="1" t="s">
        <v>3624</v>
      </c>
      <c r="BP863" s="1" t="s">
        <v>3625</v>
      </c>
      <c r="BQ863" s="1" t="s">
        <v>3355</v>
      </c>
      <c r="BR863" s="1" t="s">
        <v>3626</v>
      </c>
      <c r="BT863" s="1">
        <v>1</v>
      </c>
    </row>
    <row r="864" spans="1:72">
      <c r="A864" s="1" t="s">
        <v>3630</v>
      </c>
      <c r="B864" s="1" t="s">
        <v>213</v>
      </c>
      <c r="C864" s="1">
        <v>1</v>
      </c>
      <c r="D864" s="1" t="s">
        <v>3621</v>
      </c>
      <c r="E864" s="1">
        <v>1308</v>
      </c>
      <c r="F864" s="1" t="s">
        <v>3620</v>
      </c>
      <c r="G864" s="1">
        <v>1.1</v>
      </c>
      <c r="K864" s="1">
        <v>9000</v>
      </c>
      <c r="M864" s="1">
        <v>450</v>
      </c>
      <c r="O864" s="1">
        <v>50</v>
      </c>
      <c r="Q864" s="1">
        <v>5</v>
      </c>
      <c r="Y864" s="1">
        <v>0.05</v>
      </c>
      <c r="Z864" s="1">
        <v>2.5</v>
      </c>
      <c r="AA864" s="1">
        <v>0</v>
      </c>
      <c r="AB864" s="1">
        <v>0.65</v>
      </c>
      <c r="AG864" s="1">
        <v>0</v>
      </c>
      <c r="AH864" s="1">
        <v>1</v>
      </c>
      <c r="AI864" s="1" t="s">
        <v>3631</v>
      </c>
      <c r="AJ864" s="1" t="s">
        <v>275</v>
      </c>
      <c r="AK864" s="1" t="s">
        <v>238</v>
      </c>
      <c r="AM864" s="1">
        <v>1</v>
      </c>
      <c r="AN864" s="1">
        <v>1</v>
      </c>
      <c r="AV864" s="1">
        <v>1</v>
      </c>
      <c r="AX864" s="1">
        <v>0.1</v>
      </c>
      <c r="BE864" s="1" t="s">
        <v>3620</v>
      </c>
      <c r="BK864" s="1" t="s">
        <v>959</v>
      </c>
      <c r="BN864" s="1" t="s">
        <v>3623</v>
      </c>
      <c r="BO864" s="1" t="s">
        <v>3624</v>
      </c>
      <c r="BP864" s="1" t="s">
        <v>3625</v>
      </c>
      <c r="BQ864" s="1" t="s">
        <v>3355</v>
      </c>
      <c r="BR864" s="1" t="s">
        <v>3626</v>
      </c>
      <c r="BT864" s="1">
        <v>1</v>
      </c>
    </row>
    <row r="865" spans="1:72">
      <c r="A865" s="1" t="s">
        <v>3632</v>
      </c>
      <c r="B865" s="1" t="s">
        <v>213</v>
      </c>
      <c r="C865" s="1">
        <v>1</v>
      </c>
      <c r="D865" s="1" t="s">
        <v>3628</v>
      </c>
      <c r="E865" s="1">
        <v>1308</v>
      </c>
      <c r="F865" s="1" t="s">
        <v>3627</v>
      </c>
      <c r="G865" s="1">
        <v>1.1</v>
      </c>
      <c r="K865" s="1">
        <v>12000</v>
      </c>
      <c r="M865" s="1">
        <v>550</v>
      </c>
      <c r="O865" s="1">
        <v>80</v>
      </c>
      <c r="Q865" s="1">
        <v>5</v>
      </c>
      <c r="Y865" s="1">
        <v>0.05</v>
      </c>
      <c r="Z865" s="1">
        <v>2.5</v>
      </c>
      <c r="AA865" s="1">
        <v>0</v>
      </c>
      <c r="AB865" s="1">
        <v>0.65</v>
      </c>
      <c r="AG865" s="1">
        <v>0</v>
      </c>
      <c r="AH865" s="1">
        <v>1</v>
      </c>
      <c r="AI865" s="1" t="s">
        <v>3633</v>
      </c>
      <c r="AJ865" s="1" t="s">
        <v>275</v>
      </c>
      <c r="AK865" s="1" t="s">
        <v>238</v>
      </c>
      <c r="AM865" s="1">
        <v>1</v>
      </c>
      <c r="AN865" s="1">
        <v>1</v>
      </c>
      <c r="AV865" s="1">
        <v>1</v>
      </c>
      <c r="AX865" s="1">
        <v>0.1</v>
      </c>
      <c r="BE865" s="1" t="s">
        <v>3627</v>
      </c>
      <c r="BK865" s="1" t="s">
        <v>959</v>
      </c>
      <c r="BN865" s="1" t="s">
        <v>3623</v>
      </c>
      <c r="BO865" s="1" t="s">
        <v>3624</v>
      </c>
      <c r="BP865" s="1" t="s">
        <v>3625</v>
      </c>
      <c r="BQ865" s="1" t="s">
        <v>3355</v>
      </c>
      <c r="BR865" s="1" t="s">
        <v>3626</v>
      </c>
      <c r="BT865" s="1">
        <v>1</v>
      </c>
    </row>
    <row r="866" spans="1:72">
      <c r="A866" s="1" t="s">
        <v>3634</v>
      </c>
      <c r="B866" s="1" t="s">
        <v>213</v>
      </c>
      <c r="C866" s="1">
        <v>1</v>
      </c>
      <c r="D866" s="1" t="s">
        <v>3635</v>
      </c>
      <c r="E866" s="1">
        <v>1309</v>
      </c>
      <c r="F866" s="1" t="s">
        <v>3634</v>
      </c>
      <c r="G866" s="1">
        <v>1</v>
      </c>
      <c r="K866" s="1">
        <v>25000</v>
      </c>
      <c r="M866" s="1">
        <v>600</v>
      </c>
      <c r="O866" s="1">
        <v>20</v>
      </c>
      <c r="Q866" s="1">
        <v>0</v>
      </c>
      <c r="Y866" s="1">
        <v>0.05</v>
      </c>
      <c r="Z866" s="1">
        <v>4</v>
      </c>
      <c r="AA866" s="1">
        <v>2</v>
      </c>
      <c r="AB866" s="1">
        <v>0.35</v>
      </c>
      <c r="AG866" s="1">
        <v>0</v>
      </c>
      <c r="AH866" s="1">
        <v>1</v>
      </c>
      <c r="AI866" s="1" t="s">
        <v>3636</v>
      </c>
      <c r="AJ866" s="1" t="s">
        <v>275</v>
      </c>
      <c r="AK866" s="1" t="s">
        <v>238</v>
      </c>
      <c r="AM866" s="1">
        <v>1</v>
      </c>
      <c r="AP866" s="1">
        <v>2</v>
      </c>
      <c r="AV866" s="1">
        <v>1</v>
      </c>
      <c r="AX866" s="1">
        <v>0.1</v>
      </c>
      <c r="BE866" s="1" t="s">
        <v>3634</v>
      </c>
      <c r="BK866" s="1" t="s">
        <v>1012</v>
      </c>
      <c r="BN866" s="1" t="s">
        <v>217</v>
      </c>
      <c r="BO866" s="1" t="s">
        <v>218</v>
      </c>
      <c r="BP866" s="1" t="s">
        <v>239</v>
      </c>
      <c r="BQ866" s="1" t="s">
        <v>220</v>
      </c>
      <c r="BT866" s="1">
        <v>1</v>
      </c>
    </row>
    <row r="867" spans="1:72">
      <c r="A867" s="1" t="s">
        <v>3637</v>
      </c>
      <c r="B867" s="1" t="s">
        <v>213</v>
      </c>
      <c r="C867" s="1">
        <v>1</v>
      </c>
      <c r="D867" s="1" t="s">
        <v>3638</v>
      </c>
      <c r="E867" s="1">
        <v>1309</v>
      </c>
      <c r="F867" s="1" t="s">
        <v>3637</v>
      </c>
      <c r="G867" s="1">
        <v>1</v>
      </c>
      <c r="K867" s="1">
        <v>32000</v>
      </c>
      <c r="M867" s="1">
        <v>700</v>
      </c>
      <c r="O867" s="1">
        <v>50</v>
      </c>
      <c r="Q867" s="1">
        <v>0</v>
      </c>
      <c r="Y867" s="1">
        <v>0.05</v>
      </c>
      <c r="Z867" s="1">
        <v>4</v>
      </c>
      <c r="AA867" s="1">
        <v>2</v>
      </c>
      <c r="AB867" s="1">
        <v>0.4</v>
      </c>
      <c r="AG867" s="1">
        <v>0</v>
      </c>
      <c r="AH867" s="1">
        <v>1</v>
      </c>
      <c r="AI867" s="1" t="s">
        <v>3639</v>
      </c>
      <c r="AJ867" s="1" t="s">
        <v>275</v>
      </c>
      <c r="AK867" s="1" t="s">
        <v>238</v>
      </c>
      <c r="AM867" s="1">
        <v>1</v>
      </c>
      <c r="AP867" s="1">
        <v>2</v>
      </c>
      <c r="AV867" s="1">
        <v>1</v>
      </c>
      <c r="AX867" s="1">
        <v>0.1</v>
      </c>
      <c r="BE867" s="1" t="s">
        <v>3637</v>
      </c>
      <c r="BK867" s="1" t="s">
        <v>1012</v>
      </c>
      <c r="BN867" s="1" t="s">
        <v>217</v>
      </c>
      <c r="BO867" s="1" t="s">
        <v>218</v>
      </c>
      <c r="BP867" s="1" t="s">
        <v>239</v>
      </c>
      <c r="BQ867" s="1" t="s">
        <v>220</v>
      </c>
      <c r="BT867" s="1">
        <v>1</v>
      </c>
    </row>
    <row r="868" spans="1:72">
      <c r="A868" s="1" t="s">
        <v>3640</v>
      </c>
      <c r="B868" s="1" t="s">
        <v>213</v>
      </c>
      <c r="C868" s="1">
        <v>1</v>
      </c>
      <c r="D868" s="1" t="s">
        <v>3641</v>
      </c>
      <c r="E868" s="1">
        <v>1310</v>
      </c>
      <c r="F868" s="1" t="s">
        <v>3640</v>
      </c>
      <c r="G868" s="1">
        <v>1</v>
      </c>
      <c r="K868" s="1">
        <v>25000</v>
      </c>
      <c r="M868" s="1">
        <v>580</v>
      </c>
      <c r="O868" s="1">
        <v>130</v>
      </c>
      <c r="Q868" s="1">
        <v>5</v>
      </c>
      <c r="Y868" s="1">
        <v>0.05</v>
      </c>
      <c r="Z868" s="1">
        <v>3.5</v>
      </c>
      <c r="AA868" s="1">
        <v>3</v>
      </c>
      <c r="AB868" s="1">
        <v>0.3</v>
      </c>
      <c r="AG868" s="1">
        <v>0</v>
      </c>
      <c r="AH868" s="1">
        <v>1</v>
      </c>
      <c r="AI868" s="1" t="s">
        <v>3642</v>
      </c>
      <c r="AJ868" s="1" t="s">
        <v>275</v>
      </c>
      <c r="AK868" s="1" t="s">
        <v>238</v>
      </c>
      <c r="AM868" s="1">
        <v>1</v>
      </c>
      <c r="AV868" s="1">
        <v>1</v>
      </c>
      <c r="AX868" s="1">
        <v>0.1</v>
      </c>
      <c r="BE868" s="1" t="s">
        <v>3640</v>
      </c>
      <c r="BK868" s="1" t="s">
        <v>1012</v>
      </c>
      <c r="BN868" s="1" t="s">
        <v>217</v>
      </c>
      <c r="BO868" s="1" t="s">
        <v>218</v>
      </c>
      <c r="BP868" s="1" t="s">
        <v>239</v>
      </c>
      <c r="BQ868" s="1" t="s">
        <v>220</v>
      </c>
      <c r="BT868" s="1">
        <v>1</v>
      </c>
    </row>
    <row r="869" spans="1:72">
      <c r="A869" s="1" t="s">
        <v>3643</v>
      </c>
      <c r="B869" s="1" t="s">
        <v>213</v>
      </c>
      <c r="C869" s="1">
        <v>1</v>
      </c>
      <c r="D869" s="1" t="s">
        <v>3644</v>
      </c>
      <c r="E869" s="1">
        <v>1310</v>
      </c>
      <c r="F869" s="1" t="s">
        <v>3643</v>
      </c>
      <c r="G869" s="1">
        <v>1</v>
      </c>
      <c r="K869" s="1">
        <v>35000</v>
      </c>
      <c r="M869" s="1">
        <v>720</v>
      </c>
      <c r="O869" s="1">
        <v>150</v>
      </c>
      <c r="Q869" s="1">
        <v>8</v>
      </c>
      <c r="Y869" s="1">
        <v>0.05</v>
      </c>
      <c r="Z869" s="1">
        <v>3.5</v>
      </c>
      <c r="AA869" s="1">
        <v>3</v>
      </c>
      <c r="AB869" s="1">
        <v>0.3</v>
      </c>
      <c r="AG869" s="1">
        <v>0</v>
      </c>
      <c r="AH869" s="1">
        <v>1</v>
      </c>
      <c r="AI869" s="1" t="s">
        <v>3645</v>
      </c>
      <c r="AJ869" s="1" t="s">
        <v>275</v>
      </c>
      <c r="AK869" s="1" t="s">
        <v>238</v>
      </c>
      <c r="AM869" s="1">
        <v>1</v>
      </c>
      <c r="AV869" s="1">
        <v>1</v>
      </c>
      <c r="AX869" s="1">
        <v>0.1</v>
      </c>
      <c r="BE869" s="1" t="s">
        <v>3643</v>
      </c>
      <c r="BK869" s="1" t="s">
        <v>1012</v>
      </c>
      <c r="BN869" s="1" t="s">
        <v>217</v>
      </c>
      <c r="BO869" s="1" t="s">
        <v>218</v>
      </c>
      <c r="BP869" s="1" t="s">
        <v>239</v>
      </c>
      <c r="BQ869" s="1" t="s">
        <v>220</v>
      </c>
      <c r="BT869" s="1">
        <v>1</v>
      </c>
    </row>
    <row r="870" spans="1:72">
      <c r="A870" s="1" t="s">
        <v>3646</v>
      </c>
      <c r="B870" s="1" t="s">
        <v>213</v>
      </c>
      <c r="C870" s="1">
        <v>1</v>
      </c>
      <c r="D870" s="1" t="s">
        <v>3647</v>
      </c>
      <c r="E870" s="1">
        <v>1311</v>
      </c>
      <c r="F870" s="1" t="s">
        <v>3646</v>
      </c>
      <c r="G870" s="1">
        <v>1</v>
      </c>
      <c r="K870" s="1">
        <v>20000</v>
      </c>
      <c r="M870" s="1">
        <v>1090</v>
      </c>
      <c r="O870" s="1">
        <v>480</v>
      </c>
      <c r="Q870" s="1">
        <v>0</v>
      </c>
      <c r="Y870" s="1">
        <v>0.05</v>
      </c>
      <c r="Z870" s="1">
        <v>1.8</v>
      </c>
      <c r="AA870" s="1">
        <v>3</v>
      </c>
      <c r="AB870" s="1">
        <v>0.7</v>
      </c>
      <c r="AG870" s="1">
        <v>0</v>
      </c>
      <c r="AH870" s="1">
        <v>1</v>
      </c>
      <c r="AI870" s="1" t="s">
        <v>3648</v>
      </c>
      <c r="AJ870" s="1" t="s">
        <v>275</v>
      </c>
      <c r="AK870" s="1" t="s">
        <v>238</v>
      </c>
      <c r="AM870" s="1">
        <v>1</v>
      </c>
      <c r="AV870" s="1">
        <v>1</v>
      </c>
      <c r="AX870" s="1">
        <v>0.1</v>
      </c>
      <c r="BE870" s="1" t="s">
        <v>3646</v>
      </c>
      <c r="BK870" s="1" t="s">
        <v>3649</v>
      </c>
      <c r="BN870" s="1" t="s">
        <v>3354</v>
      </c>
      <c r="BO870" s="1" t="s">
        <v>1959</v>
      </c>
      <c r="BP870" s="1" t="s">
        <v>1960</v>
      </c>
      <c r="BQ870" s="1" t="s">
        <v>3322</v>
      </c>
      <c r="BT870" s="1">
        <v>1</v>
      </c>
    </row>
    <row r="871" spans="1:72">
      <c r="A871" s="1" t="s">
        <v>3650</v>
      </c>
      <c r="B871" s="1" t="s">
        <v>213</v>
      </c>
      <c r="C871" s="1">
        <v>1</v>
      </c>
      <c r="D871" s="1" t="s">
        <v>3651</v>
      </c>
      <c r="E871" s="1">
        <v>1311</v>
      </c>
      <c r="F871" s="1" t="s">
        <v>3650</v>
      </c>
      <c r="G871" s="1">
        <v>1</v>
      </c>
      <c r="K871" s="1">
        <v>27000</v>
      </c>
      <c r="M871" s="1">
        <v>1260</v>
      </c>
      <c r="O871" s="1">
        <v>550</v>
      </c>
      <c r="Q871" s="1">
        <v>1</v>
      </c>
      <c r="Y871" s="1">
        <v>0.05</v>
      </c>
      <c r="Z871" s="1">
        <v>1.8</v>
      </c>
      <c r="AA871" s="1">
        <v>3</v>
      </c>
      <c r="AB871" s="1">
        <v>0.75</v>
      </c>
      <c r="AG871" s="1">
        <v>0</v>
      </c>
      <c r="AH871" s="1">
        <v>1</v>
      </c>
      <c r="AI871" s="1" t="s">
        <v>3652</v>
      </c>
      <c r="AJ871" s="1" t="s">
        <v>275</v>
      </c>
      <c r="AK871" s="1" t="s">
        <v>238</v>
      </c>
      <c r="AM871" s="1">
        <v>1</v>
      </c>
      <c r="AV871" s="1">
        <v>1</v>
      </c>
      <c r="AX871" s="1">
        <v>0.1</v>
      </c>
      <c r="BE871" s="1" t="s">
        <v>3650</v>
      </c>
      <c r="BK871" s="1" t="s">
        <v>3649</v>
      </c>
      <c r="BN871" s="1" t="s">
        <v>3354</v>
      </c>
      <c r="BO871" s="1" t="s">
        <v>1959</v>
      </c>
      <c r="BP871" s="1" t="s">
        <v>1960</v>
      </c>
      <c r="BQ871" s="1" t="s">
        <v>3322</v>
      </c>
      <c r="BT871" s="1">
        <v>1</v>
      </c>
    </row>
    <row r="872" spans="1:72">
      <c r="A872" s="1" t="s">
        <v>3653</v>
      </c>
      <c r="B872" s="1" t="s">
        <v>213</v>
      </c>
      <c r="C872" s="1">
        <v>1</v>
      </c>
      <c r="D872" s="1" t="s">
        <v>3654</v>
      </c>
      <c r="E872" s="1">
        <v>1537</v>
      </c>
      <c r="F872" s="1" t="s">
        <v>3653</v>
      </c>
      <c r="G872" s="1">
        <v>1</v>
      </c>
      <c r="K872" s="1">
        <v>20000</v>
      </c>
      <c r="M872" s="1">
        <v>900</v>
      </c>
      <c r="O872" s="1">
        <v>200</v>
      </c>
      <c r="Q872" s="1">
        <v>0</v>
      </c>
      <c r="Y872" s="1">
        <v>0.05</v>
      </c>
      <c r="Z872" s="1">
        <v>2.8</v>
      </c>
      <c r="AA872" s="1">
        <v>3</v>
      </c>
      <c r="AB872" s="1">
        <v>0.65</v>
      </c>
      <c r="AG872" s="1">
        <v>0</v>
      </c>
      <c r="AH872" s="1">
        <v>1</v>
      </c>
      <c r="AI872" s="1" t="s">
        <v>3655</v>
      </c>
      <c r="AJ872" s="1" t="s">
        <v>275</v>
      </c>
      <c r="AK872" s="1" t="s">
        <v>238</v>
      </c>
      <c r="AM872" s="1">
        <v>1</v>
      </c>
      <c r="AV872" s="1">
        <v>1</v>
      </c>
      <c r="AX872" s="1">
        <v>0.1</v>
      </c>
      <c r="BE872" s="1" t="s">
        <v>3653</v>
      </c>
      <c r="BK872" s="1" t="s">
        <v>1351</v>
      </c>
      <c r="BN872" s="1" t="s">
        <v>217</v>
      </c>
      <c r="BO872" s="1" t="s">
        <v>218</v>
      </c>
      <c r="BP872" s="1" t="s">
        <v>239</v>
      </c>
      <c r="BQ872" s="1" t="s">
        <v>220</v>
      </c>
      <c r="BT872" s="1">
        <v>1</v>
      </c>
    </row>
    <row r="873" spans="1:72">
      <c r="A873" s="1" t="s">
        <v>3656</v>
      </c>
      <c r="B873" s="1" t="s">
        <v>213</v>
      </c>
      <c r="C873" s="1">
        <v>1</v>
      </c>
      <c r="D873" s="1" t="s">
        <v>3657</v>
      </c>
      <c r="E873" s="1">
        <v>1539</v>
      </c>
      <c r="F873" s="1" t="s">
        <v>3656</v>
      </c>
      <c r="G873" s="1">
        <v>1</v>
      </c>
      <c r="K873" s="1">
        <v>57500</v>
      </c>
      <c r="M873" s="1">
        <v>800</v>
      </c>
      <c r="O873" s="1">
        <v>650</v>
      </c>
      <c r="Q873" s="1">
        <v>60</v>
      </c>
      <c r="Y873" s="1">
        <v>0.05</v>
      </c>
      <c r="Z873" s="1">
        <v>3</v>
      </c>
      <c r="AA873" s="1">
        <v>3</v>
      </c>
      <c r="AB873" s="1">
        <v>0.65</v>
      </c>
      <c r="AG873" s="1">
        <v>0</v>
      </c>
      <c r="AH873" s="1">
        <v>1</v>
      </c>
      <c r="AI873" s="1" t="s">
        <v>3658</v>
      </c>
      <c r="AJ873" s="1" t="s">
        <v>275</v>
      </c>
      <c r="AK873" s="1" t="s">
        <v>238</v>
      </c>
      <c r="AM873" s="1">
        <v>1</v>
      </c>
      <c r="AV873" s="1">
        <v>1</v>
      </c>
      <c r="AX873" s="1">
        <v>0.1</v>
      </c>
      <c r="BE873" s="1" t="s">
        <v>3656</v>
      </c>
      <c r="BK873" s="1" t="s">
        <v>3659</v>
      </c>
      <c r="BN873" s="1" t="s">
        <v>217</v>
      </c>
      <c r="BO873" s="1" t="s">
        <v>218</v>
      </c>
      <c r="BP873" s="1" t="s">
        <v>239</v>
      </c>
      <c r="BQ873" s="1" t="s">
        <v>220</v>
      </c>
      <c r="BT873" s="1">
        <v>1</v>
      </c>
    </row>
    <row r="874" spans="1:72">
      <c r="A874" s="1" t="s">
        <v>3660</v>
      </c>
      <c r="B874" s="1" t="s">
        <v>213</v>
      </c>
      <c r="C874" s="1">
        <v>1</v>
      </c>
      <c r="D874" s="1" t="s">
        <v>3661</v>
      </c>
      <c r="E874" s="1">
        <v>1313</v>
      </c>
      <c r="F874" s="1" t="s">
        <v>3660</v>
      </c>
      <c r="G874" s="1">
        <v>1</v>
      </c>
      <c r="K874" s="1">
        <v>5000</v>
      </c>
      <c r="M874" s="1">
        <v>250</v>
      </c>
      <c r="O874" s="1">
        <v>50</v>
      </c>
      <c r="Q874" s="1">
        <v>0</v>
      </c>
      <c r="Y874" s="1">
        <v>0.05</v>
      </c>
      <c r="Z874" s="1">
        <v>2.5</v>
      </c>
      <c r="AA874" s="1">
        <v>1</v>
      </c>
      <c r="AB874" s="1">
        <v>0.65</v>
      </c>
      <c r="AG874" s="1">
        <v>0</v>
      </c>
      <c r="AH874" s="1">
        <v>0</v>
      </c>
      <c r="AI874" s="1" t="s">
        <v>3662</v>
      </c>
      <c r="AJ874" s="1" t="s">
        <v>3401</v>
      </c>
      <c r="AK874" s="1" t="s">
        <v>238</v>
      </c>
      <c r="AM874" s="1">
        <v>6</v>
      </c>
      <c r="AV874" s="1">
        <v>0</v>
      </c>
      <c r="AX874" s="1">
        <v>0.1</v>
      </c>
      <c r="BE874" s="1" t="s">
        <v>3663</v>
      </c>
      <c r="BK874" s="1" t="s">
        <v>3448</v>
      </c>
      <c r="BN874" s="1" t="s">
        <v>217</v>
      </c>
      <c r="BO874" s="1" t="s">
        <v>218</v>
      </c>
      <c r="BP874" s="1" t="s">
        <v>239</v>
      </c>
      <c r="BQ874" s="1" t="s">
        <v>220</v>
      </c>
      <c r="BT874" s="1">
        <v>1</v>
      </c>
    </row>
    <row r="875" spans="1:72">
      <c r="A875" s="1" t="s">
        <v>3663</v>
      </c>
      <c r="B875" s="1" t="s">
        <v>213</v>
      </c>
      <c r="C875" s="1">
        <v>1</v>
      </c>
      <c r="D875" s="1" t="s">
        <v>3661</v>
      </c>
      <c r="E875" s="1">
        <v>1313</v>
      </c>
      <c r="F875" s="1" t="s">
        <v>3660</v>
      </c>
      <c r="G875" s="1">
        <v>1</v>
      </c>
      <c r="K875" s="1">
        <v>5000</v>
      </c>
      <c r="M875" s="1">
        <v>250</v>
      </c>
      <c r="O875" s="1">
        <v>50</v>
      </c>
      <c r="Q875" s="1">
        <v>0</v>
      </c>
      <c r="Y875" s="1">
        <v>0.05</v>
      </c>
      <c r="Z875" s="1">
        <v>2.5</v>
      </c>
      <c r="AA875" s="1">
        <v>1</v>
      </c>
      <c r="AB875" s="1">
        <v>0.65</v>
      </c>
      <c r="AG875" s="1">
        <v>0</v>
      </c>
      <c r="AH875" s="1">
        <v>0</v>
      </c>
      <c r="AI875" s="1" t="s">
        <v>3664</v>
      </c>
      <c r="AJ875" s="1" t="s">
        <v>3401</v>
      </c>
      <c r="AK875" s="1" t="s">
        <v>238</v>
      </c>
      <c r="AM875" s="1">
        <v>6</v>
      </c>
      <c r="AV875" s="1">
        <v>0</v>
      </c>
      <c r="AX875" s="1">
        <v>0.1</v>
      </c>
      <c r="BE875" s="1" t="s">
        <v>3663</v>
      </c>
      <c r="BK875" s="1" t="s">
        <v>3448</v>
      </c>
      <c r="BN875" s="1" t="s">
        <v>217</v>
      </c>
      <c r="BO875" s="1" t="s">
        <v>218</v>
      </c>
      <c r="BP875" s="1" t="s">
        <v>239</v>
      </c>
      <c r="BQ875" s="1" t="s">
        <v>220</v>
      </c>
      <c r="BT875" s="1">
        <v>1</v>
      </c>
    </row>
    <row r="876" spans="1:72">
      <c r="A876" s="1" t="s">
        <v>3665</v>
      </c>
      <c r="B876" s="1" t="s">
        <v>213</v>
      </c>
      <c r="C876" s="1">
        <v>1</v>
      </c>
      <c r="D876" s="1" t="s">
        <v>3666</v>
      </c>
      <c r="E876" s="1">
        <v>1314</v>
      </c>
      <c r="F876" s="1" t="s">
        <v>3665</v>
      </c>
      <c r="G876" s="1">
        <v>1</v>
      </c>
      <c r="K876" s="1">
        <v>6500</v>
      </c>
      <c r="M876" s="1">
        <v>500</v>
      </c>
      <c r="O876" s="1">
        <v>300</v>
      </c>
      <c r="Q876" s="1">
        <v>20</v>
      </c>
      <c r="Y876" s="1">
        <v>0.05</v>
      </c>
      <c r="Z876" s="1">
        <v>2.3</v>
      </c>
      <c r="AA876" s="1">
        <v>2</v>
      </c>
      <c r="AB876" s="1">
        <v>0.65</v>
      </c>
      <c r="AG876" s="1">
        <v>0</v>
      </c>
      <c r="AH876" s="1">
        <v>1</v>
      </c>
      <c r="AI876" s="1" t="s">
        <v>3667</v>
      </c>
      <c r="AJ876" s="1" t="s">
        <v>3401</v>
      </c>
      <c r="AK876" s="1" t="s">
        <v>238</v>
      </c>
      <c r="AM876" s="1">
        <v>6</v>
      </c>
      <c r="AV876" s="1">
        <v>1</v>
      </c>
      <c r="AX876" s="1">
        <v>0.1</v>
      </c>
      <c r="BE876" s="1" t="s">
        <v>3665</v>
      </c>
      <c r="BK876" s="1" t="s">
        <v>953</v>
      </c>
      <c r="BN876" s="1" t="s">
        <v>217</v>
      </c>
      <c r="BO876" s="1" t="s">
        <v>1959</v>
      </c>
      <c r="BP876" s="1" t="s">
        <v>1960</v>
      </c>
      <c r="BQ876" s="1" t="s">
        <v>3355</v>
      </c>
      <c r="BT876" s="1">
        <v>1</v>
      </c>
    </row>
    <row r="877" spans="1:72">
      <c r="A877" s="1" t="s">
        <v>3668</v>
      </c>
      <c r="B877" s="1" t="s">
        <v>213</v>
      </c>
      <c r="C877" s="1">
        <v>1</v>
      </c>
      <c r="D877" s="1" t="s">
        <v>3669</v>
      </c>
      <c r="E877" s="1">
        <v>1314</v>
      </c>
      <c r="F877" s="1" t="s">
        <v>3668</v>
      </c>
      <c r="G877" s="1">
        <v>1</v>
      </c>
      <c r="K877" s="1">
        <v>8000</v>
      </c>
      <c r="M877" s="1">
        <v>600</v>
      </c>
      <c r="O877" s="1">
        <v>350</v>
      </c>
      <c r="Q877" s="1">
        <v>20</v>
      </c>
      <c r="Y877" s="1">
        <v>0.05</v>
      </c>
      <c r="Z877" s="1">
        <v>2.3</v>
      </c>
      <c r="AA877" s="1">
        <v>2</v>
      </c>
      <c r="AB877" s="1">
        <v>0.65</v>
      </c>
      <c r="AG877" s="1">
        <v>0</v>
      </c>
      <c r="AH877" s="1">
        <v>1</v>
      </c>
      <c r="AI877" s="1" t="s">
        <v>3670</v>
      </c>
      <c r="AJ877" s="1" t="s">
        <v>3401</v>
      </c>
      <c r="AK877" s="1" t="s">
        <v>238</v>
      </c>
      <c r="AM877" s="1">
        <v>6</v>
      </c>
      <c r="AV877" s="1">
        <v>1</v>
      </c>
      <c r="AX877" s="1">
        <v>0.1</v>
      </c>
      <c r="BE877" s="1" t="s">
        <v>3668</v>
      </c>
      <c r="BK877" s="1" t="s">
        <v>953</v>
      </c>
      <c r="BN877" s="1" t="s">
        <v>217</v>
      </c>
      <c r="BO877" s="1" t="s">
        <v>1959</v>
      </c>
      <c r="BP877" s="1" t="s">
        <v>1960</v>
      </c>
      <c r="BQ877" s="1" t="s">
        <v>3355</v>
      </c>
      <c r="BT877" s="1">
        <v>1</v>
      </c>
    </row>
    <row r="878" spans="1:72">
      <c r="A878" s="1" t="s">
        <v>3671</v>
      </c>
      <c r="B878" s="1" t="s">
        <v>213</v>
      </c>
      <c r="C878" s="1">
        <v>1</v>
      </c>
      <c r="D878" s="1" t="s">
        <v>3672</v>
      </c>
      <c r="E878" s="1">
        <v>1315</v>
      </c>
      <c r="F878" s="1" t="s">
        <v>3671</v>
      </c>
      <c r="G878" s="1">
        <v>1</v>
      </c>
      <c r="K878" s="1">
        <v>5500</v>
      </c>
      <c r="M878" s="1">
        <v>700</v>
      </c>
      <c r="O878" s="1">
        <v>150</v>
      </c>
      <c r="Q878" s="1">
        <v>35</v>
      </c>
      <c r="Y878" s="1">
        <v>0.05</v>
      </c>
      <c r="Z878" s="1">
        <v>3.3</v>
      </c>
      <c r="AA878" s="1">
        <v>2</v>
      </c>
      <c r="AB878" s="1">
        <v>0.65</v>
      </c>
      <c r="AG878" s="1">
        <v>0</v>
      </c>
      <c r="AH878" s="1">
        <v>1</v>
      </c>
      <c r="AI878" s="1" t="s">
        <v>3673</v>
      </c>
      <c r="AJ878" s="1" t="s">
        <v>3401</v>
      </c>
      <c r="AK878" s="1" t="s">
        <v>238</v>
      </c>
      <c r="AM878" s="1">
        <v>6</v>
      </c>
      <c r="AV878" s="1">
        <v>1</v>
      </c>
      <c r="AX878" s="1">
        <v>0.1</v>
      </c>
      <c r="BE878" s="1" t="s">
        <v>3671</v>
      </c>
      <c r="BK878" s="1" t="s">
        <v>953</v>
      </c>
      <c r="BN878" s="1" t="s">
        <v>217</v>
      </c>
      <c r="BO878" s="1" t="s">
        <v>1959</v>
      </c>
      <c r="BP878" s="1" t="s">
        <v>1960</v>
      </c>
      <c r="BQ878" s="1" t="s">
        <v>3355</v>
      </c>
      <c r="BT878" s="1">
        <v>1</v>
      </c>
    </row>
    <row r="879" spans="1:72">
      <c r="A879" s="1" t="s">
        <v>3674</v>
      </c>
      <c r="B879" s="1" t="s">
        <v>213</v>
      </c>
      <c r="C879" s="1">
        <v>1</v>
      </c>
      <c r="D879" s="1" t="s">
        <v>3675</v>
      </c>
      <c r="E879" s="1">
        <v>1315</v>
      </c>
      <c r="F879" s="1" t="s">
        <v>3674</v>
      </c>
      <c r="G879" s="1">
        <v>1</v>
      </c>
      <c r="K879" s="1">
        <v>6500</v>
      </c>
      <c r="M879" s="1">
        <v>800</v>
      </c>
      <c r="O879" s="1">
        <v>200</v>
      </c>
      <c r="Q879" s="1">
        <v>35</v>
      </c>
      <c r="Y879" s="1">
        <v>0.05</v>
      </c>
      <c r="Z879" s="1">
        <v>3.3</v>
      </c>
      <c r="AA879" s="1">
        <v>2</v>
      </c>
      <c r="AB879" s="1">
        <v>0.65</v>
      </c>
      <c r="AG879" s="1">
        <v>0</v>
      </c>
      <c r="AH879" s="1">
        <v>1</v>
      </c>
      <c r="AI879" s="1" t="s">
        <v>3676</v>
      </c>
      <c r="AJ879" s="1" t="s">
        <v>3401</v>
      </c>
      <c r="AK879" s="1" t="s">
        <v>238</v>
      </c>
      <c r="AM879" s="1">
        <v>6</v>
      </c>
      <c r="AV879" s="1">
        <v>1</v>
      </c>
      <c r="AX879" s="1">
        <v>0.1</v>
      </c>
      <c r="BE879" s="1" t="s">
        <v>3674</v>
      </c>
      <c r="BK879" s="1" t="s">
        <v>953</v>
      </c>
      <c r="BN879" s="1" t="s">
        <v>217</v>
      </c>
      <c r="BO879" s="1" t="s">
        <v>1959</v>
      </c>
      <c r="BP879" s="1" t="s">
        <v>1960</v>
      </c>
      <c r="BQ879" s="1" t="s">
        <v>3355</v>
      </c>
      <c r="BT879" s="1">
        <v>1</v>
      </c>
    </row>
    <row r="880" spans="1:72">
      <c r="A880" s="1" t="s">
        <v>3677</v>
      </c>
      <c r="B880" s="1" t="s">
        <v>213</v>
      </c>
      <c r="C880" s="1">
        <v>1</v>
      </c>
      <c r="D880" s="1" t="s">
        <v>3678</v>
      </c>
      <c r="E880" s="1">
        <v>1316</v>
      </c>
      <c r="F880" s="1" t="s">
        <v>3677</v>
      </c>
      <c r="G880" s="1">
        <v>1</v>
      </c>
      <c r="K880" s="1">
        <v>12000</v>
      </c>
      <c r="M880" s="1">
        <v>1000</v>
      </c>
      <c r="O880" s="1">
        <v>1200</v>
      </c>
      <c r="Q880" s="1">
        <v>0</v>
      </c>
      <c r="Y880" s="1">
        <v>0.05</v>
      </c>
      <c r="Z880" s="1">
        <v>3.5</v>
      </c>
      <c r="AA880" s="1">
        <v>5</v>
      </c>
      <c r="AB880" s="1">
        <v>0.35</v>
      </c>
      <c r="AG880" s="1">
        <v>0</v>
      </c>
      <c r="AH880" s="1">
        <v>1</v>
      </c>
      <c r="AI880" s="1" t="s">
        <v>3679</v>
      </c>
      <c r="AJ880" s="1" t="s">
        <v>3401</v>
      </c>
      <c r="AK880" s="1" t="s">
        <v>238</v>
      </c>
      <c r="AM880" s="1">
        <v>6</v>
      </c>
      <c r="AV880" s="1">
        <v>1</v>
      </c>
      <c r="AX880" s="1">
        <v>0.1</v>
      </c>
      <c r="BE880" s="1" t="s">
        <v>3677</v>
      </c>
      <c r="BK880" s="1" t="s">
        <v>1012</v>
      </c>
      <c r="BN880" s="1" t="s">
        <v>217</v>
      </c>
      <c r="BO880" s="1" t="s">
        <v>1959</v>
      </c>
      <c r="BP880" s="1" t="s">
        <v>1960</v>
      </c>
      <c r="BQ880" s="1" t="s">
        <v>3355</v>
      </c>
      <c r="BT880" s="1">
        <v>1</v>
      </c>
    </row>
    <row r="881" spans="1:72">
      <c r="A881" s="1" t="s">
        <v>3680</v>
      </c>
      <c r="B881" s="1" t="s">
        <v>213</v>
      </c>
      <c r="C881" s="1">
        <v>1</v>
      </c>
      <c r="D881" s="1" t="s">
        <v>3681</v>
      </c>
      <c r="E881" s="1">
        <v>1316</v>
      </c>
      <c r="F881" s="1" t="s">
        <v>3680</v>
      </c>
      <c r="G881" s="1">
        <v>1</v>
      </c>
      <c r="K881" s="1">
        <v>15000</v>
      </c>
      <c r="M881" s="1">
        <v>1200</v>
      </c>
      <c r="O881" s="1">
        <v>1500</v>
      </c>
      <c r="Q881" s="1">
        <v>0</v>
      </c>
      <c r="Y881" s="1">
        <v>0.05</v>
      </c>
      <c r="Z881" s="1">
        <v>3.5</v>
      </c>
      <c r="AA881" s="1">
        <v>5</v>
      </c>
      <c r="AB881" s="1">
        <v>0.35</v>
      </c>
      <c r="AG881" s="1">
        <v>0</v>
      </c>
      <c r="AH881" s="1">
        <v>1</v>
      </c>
      <c r="AI881" s="1" t="s">
        <v>3682</v>
      </c>
      <c r="AJ881" s="1" t="s">
        <v>3401</v>
      </c>
      <c r="AK881" s="1" t="s">
        <v>238</v>
      </c>
      <c r="AM881" s="1">
        <v>6</v>
      </c>
      <c r="AV881" s="1">
        <v>1</v>
      </c>
      <c r="AX881" s="1">
        <v>0.1</v>
      </c>
      <c r="BE881" s="1" t="s">
        <v>3680</v>
      </c>
      <c r="BK881" s="1" t="s">
        <v>1012</v>
      </c>
      <c r="BN881" s="1" t="s">
        <v>217</v>
      </c>
      <c r="BO881" s="1" t="s">
        <v>1959</v>
      </c>
      <c r="BP881" s="1" t="s">
        <v>1960</v>
      </c>
      <c r="BQ881" s="1" t="s">
        <v>3355</v>
      </c>
      <c r="BT881" s="1">
        <v>1</v>
      </c>
    </row>
    <row r="882" spans="1:72">
      <c r="A882" s="1" t="s">
        <v>3683</v>
      </c>
      <c r="B882" s="1" t="s">
        <v>213</v>
      </c>
      <c r="C882" s="1">
        <v>1</v>
      </c>
      <c r="D882" s="1" t="s">
        <v>3684</v>
      </c>
      <c r="E882" s="1">
        <v>1317</v>
      </c>
      <c r="F882" s="1" t="s">
        <v>3683</v>
      </c>
      <c r="G882" s="1">
        <v>1</v>
      </c>
      <c r="K882" s="1">
        <v>6000</v>
      </c>
      <c r="M882" s="1">
        <v>600</v>
      </c>
      <c r="O882" s="1">
        <v>300</v>
      </c>
      <c r="Q882" s="1">
        <v>30</v>
      </c>
      <c r="Y882" s="1">
        <v>0.05</v>
      </c>
      <c r="Z882" s="1">
        <v>3.5</v>
      </c>
      <c r="AA882" s="1">
        <v>3</v>
      </c>
      <c r="AB882" s="1">
        <v>0.8</v>
      </c>
      <c r="AG882" s="1">
        <v>0</v>
      </c>
      <c r="AH882" s="1">
        <v>1</v>
      </c>
      <c r="AI882" s="1" t="s">
        <v>3685</v>
      </c>
      <c r="AJ882" s="1" t="s">
        <v>275</v>
      </c>
      <c r="AK882" s="1" t="s">
        <v>238</v>
      </c>
      <c r="AM882" s="1">
        <v>4</v>
      </c>
      <c r="AV882" s="1">
        <v>1</v>
      </c>
      <c r="AX882" s="1">
        <v>0.1</v>
      </c>
      <c r="BE882" s="1" t="s">
        <v>3683</v>
      </c>
      <c r="BK882" s="1" t="s">
        <v>959</v>
      </c>
      <c r="BN882" s="1" t="s">
        <v>217</v>
      </c>
      <c r="BO882" s="1" t="s">
        <v>218</v>
      </c>
      <c r="BP882" s="1" t="s">
        <v>239</v>
      </c>
      <c r="BQ882" s="1" t="s">
        <v>220</v>
      </c>
      <c r="BT882" s="1">
        <v>1</v>
      </c>
    </row>
    <row r="883" spans="1:72">
      <c r="A883" s="1" t="s">
        <v>3686</v>
      </c>
      <c r="B883" s="1" t="s">
        <v>213</v>
      </c>
      <c r="C883" s="1">
        <v>1</v>
      </c>
      <c r="D883" s="1" t="s">
        <v>3687</v>
      </c>
      <c r="E883" s="1">
        <v>1317</v>
      </c>
      <c r="F883" s="1" t="s">
        <v>3686</v>
      </c>
      <c r="G883" s="1">
        <v>1</v>
      </c>
      <c r="K883" s="1">
        <v>7500</v>
      </c>
      <c r="M883" s="1">
        <v>650</v>
      </c>
      <c r="O883" s="1">
        <v>350</v>
      </c>
      <c r="Q883" s="1">
        <v>35</v>
      </c>
      <c r="Y883" s="1">
        <v>0.05</v>
      </c>
      <c r="Z883" s="1">
        <v>3.5</v>
      </c>
      <c r="AA883" s="1">
        <v>3</v>
      </c>
      <c r="AB883" s="1">
        <v>0.8</v>
      </c>
      <c r="AG883" s="1">
        <v>0</v>
      </c>
      <c r="AH883" s="1">
        <v>1</v>
      </c>
      <c r="AI883" s="1" t="s">
        <v>3688</v>
      </c>
      <c r="AJ883" s="1" t="s">
        <v>275</v>
      </c>
      <c r="AK883" s="1" t="s">
        <v>238</v>
      </c>
      <c r="AM883" s="1">
        <v>4</v>
      </c>
      <c r="AV883" s="1">
        <v>1</v>
      </c>
      <c r="AX883" s="1">
        <v>0.1</v>
      </c>
      <c r="BE883" s="1" t="s">
        <v>3686</v>
      </c>
      <c r="BK883" s="1" t="s">
        <v>959</v>
      </c>
      <c r="BN883" s="1" t="s">
        <v>217</v>
      </c>
      <c r="BO883" s="1" t="s">
        <v>218</v>
      </c>
      <c r="BP883" s="1" t="s">
        <v>239</v>
      </c>
      <c r="BQ883" s="1" t="s">
        <v>220</v>
      </c>
      <c r="BT883" s="1">
        <v>1</v>
      </c>
    </row>
    <row r="884" spans="1:72">
      <c r="A884" s="1" t="s">
        <v>3689</v>
      </c>
      <c r="B884" s="1" t="s">
        <v>213</v>
      </c>
      <c r="C884" s="1">
        <v>1</v>
      </c>
      <c r="D884" s="1" t="s">
        <v>3690</v>
      </c>
      <c r="E884" s="1">
        <v>1318</v>
      </c>
      <c r="F884" s="1" t="s">
        <v>3689</v>
      </c>
      <c r="G884" s="1">
        <v>1</v>
      </c>
      <c r="K884" s="1">
        <v>9000</v>
      </c>
      <c r="M884" s="1">
        <v>550</v>
      </c>
      <c r="O884" s="1">
        <v>200</v>
      </c>
      <c r="Q884" s="1">
        <v>50</v>
      </c>
      <c r="Y884" s="1">
        <v>0.05</v>
      </c>
      <c r="Z884" s="1">
        <v>3.8</v>
      </c>
      <c r="AA884" s="1">
        <v>3</v>
      </c>
      <c r="AB884" s="1">
        <v>0.7</v>
      </c>
      <c r="AG884" s="1">
        <v>0</v>
      </c>
      <c r="AH884" s="1">
        <v>1</v>
      </c>
      <c r="AI884" s="1" t="s">
        <v>3691</v>
      </c>
      <c r="AJ884" s="1" t="s">
        <v>275</v>
      </c>
      <c r="AK884" s="1" t="s">
        <v>238</v>
      </c>
      <c r="AM884" s="1">
        <v>1</v>
      </c>
      <c r="AV884" s="1">
        <v>1</v>
      </c>
      <c r="AX884" s="1">
        <v>0.1</v>
      </c>
      <c r="BE884" s="1" t="s">
        <v>3689</v>
      </c>
      <c r="BK884" s="1" t="s">
        <v>959</v>
      </c>
      <c r="BN884" s="1" t="s">
        <v>217</v>
      </c>
      <c r="BO884" s="1" t="s">
        <v>218</v>
      </c>
      <c r="BP884" s="1" t="s">
        <v>239</v>
      </c>
      <c r="BQ884" s="1" t="s">
        <v>220</v>
      </c>
      <c r="BT884" s="1">
        <v>1</v>
      </c>
    </row>
    <row r="885" spans="1:72">
      <c r="A885" s="1" t="s">
        <v>3692</v>
      </c>
      <c r="B885" s="1" t="s">
        <v>213</v>
      </c>
      <c r="C885" s="1">
        <v>1</v>
      </c>
      <c r="D885" s="1" t="s">
        <v>3693</v>
      </c>
      <c r="E885" s="1">
        <v>1318</v>
      </c>
      <c r="F885" s="1" t="s">
        <v>3692</v>
      </c>
      <c r="G885" s="1">
        <v>1</v>
      </c>
      <c r="K885" s="1">
        <v>12000</v>
      </c>
      <c r="M885" s="1">
        <v>650</v>
      </c>
      <c r="O885" s="1">
        <v>250</v>
      </c>
      <c r="Q885" s="1">
        <v>60</v>
      </c>
      <c r="Y885" s="1">
        <v>0.05</v>
      </c>
      <c r="Z885" s="1">
        <v>3.8</v>
      </c>
      <c r="AA885" s="1">
        <v>3</v>
      </c>
      <c r="AB885" s="1">
        <v>0.7</v>
      </c>
      <c r="AG885" s="1">
        <v>0</v>
      </c>
      <c r="AH885" s="1">
        <v>1</v>
      </c>
      <c r="AI885" s="1" t="s">
        <v>3694</v>
      </c>
      <c r="AJ885" s="1" t="s">
        <v>275</v>
      </c>
      <c r="AK885" s="1" t="s">
        <v>238</v>
      </c>
      <c r="AM885" s="1">
        <v>1</v>
      </c>
      <c r="AV885" s="1">
        <v>1</v>
      </c>
      <c r="AX885" s="1">
        <v>0.1</v>
      </c>
      <c r="BE885" s="1" t="s">
        <v>3692</v>
      </c>
      <c r="BK885" s="1" t="s">
        <v>959</v>
      </c>
      <c r="BN885" s="1" t="s">
        <v>217</v>
      </c>
      <c r="BO885" s="1" t="s">
        <v>218</v>
      </c>
      <c r="BP885" s="1" t="s">
        <v>239</v>
      </c>
      <c r="BQ885" s="1" t="s">
        <v>220</v>
      </c>
      <c r="BT885" s="1">
        <v>1</v>
      </c>
    </row>
    <row r="886" spans="1:72">
      <c r="A886" s="1" t="s">
        <v>3695</v>
      </c>
      <c r="B886" s="1" t="s">
        <v>213</v>
      </c>
      <c r="C886" s="1">
        <v>1</v>
      </c>
      <c r="D886" s="1" t="s">
        <v>3696</v>
      </c>
      <c r="E886" s="1">
        <v>1319</v>
      </c>
      <c r="F886" s="1" t="s">
        <v>3695</v>
      </c>
      <c r="G886" s="1">
        <v>1</v>
      </c>
      <c r="K886" s="1">
        <v>10000</v>
      </c>
      <c r="M886" s="1">
        <v>250</v>
      </c>
      <c r="O886" s="1">
        <v>100</v>
      </c>
      <c r="Q886" s="1">
        <v>50</v>
      </c>
      <c r="Y886" s="1">
        <v>0.05</v>
      </c>
      <c r="Z886" s="1">
        <v>5</v>
      </c>
      <c r="AA886" s="1">
        <v>2</v>
      </c>
      <c r="AB886" s="1">
        <v>0.6</v>
      </c>
      <c r="AG886" s="1">
        <v>0</v>
      </c>
      <c r="AH886" s="1">
        <v>1</v>
      </c>
      <c r="AI886" s="1" t="s">
        <v>3697</v>
      </c>
      <c r="AJ886" s="1" t="s">
        <v>275</v>
      </c>
      <c r="AK886" s="1" t="s">
        <v>238</v>
      </c>
      <c r="AM886" s="1">
        <v>1</v>
      </c>
      <c r="AV886" s="1">
        <v>1</v>
      </c>
      <c r="AX886" s="1">
        <v>0.1</v>
      </c>
      <c r="BE886" s="1" t="s">
        <v>3695</v>
      </c>
      <c r="BK886" s="1" t="s">
        <v>1012</v>
      </c>
      <c r="BN886" s="1" t="s">
        <v>217</v>
      </c>
      <c r="BO886" s="1" t="s">
        <v>218</v>
      </c>
      <c r="BP886" s="1" t="s">
        <v>239</v>
      </c>
      <c r="BQ886" s="1" t="s">
        <v>220</v>
      </c>
      <c r="BT886" s="1">
        <v>1</v>
      </c>
    </row>
    <row r="887" spans="1:72">
      <c r="A887" s="1" t="s">
        <v>3698</v>
      </c>
      <c r="B887" s="1" t="s">
        <v>213</v>
      </c>
      <c r="C887" s="1">
        <v>1</v>
      </c>
      <c r="D887" s="1" t="s">
        <v>3699</v>
      </c>
      <c r="E887" s="1">
        <v>1319</v>
      </c>
      <c r="F887" s="1" t="s">
        <v>3698</v>
      </c>
      <c r="G887" s="1">
        <v>1</v>
      </c>
      <c r="K887" s="1">
        <v>12000</v>
      </c>
      <c r="M887" s="1">
        <v>300</v>
      </c>
      <c r="O887" s="1">
        <v>150</v>
      </c>
      <c r="Q887" s="1">
        <v>50</v>
      </c>
      <c r="Y887" s="1">
        <v>0.05</v>
      </c>
      <c r="Z887" s="1">
        <v>5</v>
      </c>
      <c r="AA887" s="1">
        <v>2</v>
      </c>
      <c r="AB887" s="1">
        <v>0.6</v>
      </c>
      <c r="AG887" s="1">
        <v>0</v>
      </c>
      <c r="AH887" s="1">
        <v>1</v>
      </c>
      <c r="AI887" s="1" t="s">
        <v>3700</v>
      </c>
      <c r="AJ887" s="1" t="s">
        <v>275</v>
      </c>
      <c r="AK887" s="1" t="s">
        <v>238</v>
      </c>
      <c r="AM887" s="1">
        <v>1</v>
      </c>
      <c r="AV887" s="1">
        <v>1</v>
      </c>
      <c r="AX887" s="1">
        <v>0.1</v>
      </c>
      <c r="BE887" s="1" t="s">
        <v>3698</v>
      </c>
      <c r="BK887" s="1" t="s">
        <v>1012</v>
      </c>
      <c r="BN887" s="1" t="s">
        <v>217</v>
      </c>
      <c r="BO887" s="1" t="s">
        <v>218</v>
      </c>
      <c r="BP887" s="1" t="s">
        <v>239</v>
      </c>
      <c r="BQ887" s="1" t="s">
        <v>220</v>
      </c>
      <c r="BT887" s="1">
        <v>1</v>
      </c>
    </row>
    <row r="888" spans="1:72">
      <c r="A888" s="1" t="s">
        <v>3701</v>
      </c>
      <c r="B888" s="1" t="s">
        <v>213</v>
      </c>
      <c r="C888" s="1">
        <v>1</v>
      </c>
      <c r="D888" s="1" t="s">
        <v>3702</v>
      </c>
      <c r="E888" s="1">
        <v>1320</v>
      </c>
      <c r="F888" s="1" t="s">
        <v>3701</v>
      </c>
      <c r="G888" s="1">
        <v>1</v>
      </c>
      <c r="K888" s="1">
        <v>20000</v>
      </c>
      <c r="M888" s="1">
        <v>800</v>
      </c>
      <c r="O888" s="1">
        <v>700</v>
      </c>
      <c r="Q888" s="1">
        <v>20</v>
      </c>
      <c r="Y888" s="1">
        <v>0.05</v>
      </c>
      <c r="Z888" s="1">
        <v>2.9</v>
      </c>
      <c r="AA888" s="1">
        <v>5</v>
      </c>
      <c r="AB888" s="1">
        <v>0.8</v>
      </c>
      <c r="AG888" s="1">
        <v>0</v>
      </c>
      <c r="AH888" s="1">
        <v>1</v>
      </c>
      <c r="AI888" s="1" t="s">
        <v>3703</v>
      </c>
      <c r="AJ888" s="1" t="s">
        <v>275</v>
      </c>
      <c r="AK888" s="1" t="s">
        <v>238</v>
      </c>
      <c r="AM888" s="1">
        <v>1</v>
      </c>
      <c r="AP888" s="1">
        <v>3</v>
      </c>
      <c r="AV888" s="1">
        <v>1</v>
      </c>
      <c r="AX888" s="1">
        <v>0.1</v>
      </c>
      <c r="BE888" s="1" t="s">
        <v>3701</v>
      </c>
      <c r="BK888" s="1" t="s">
        <v>1012</v>
      </c>
      <c r="BN888" s="1" t="s">
        <v>217</v>
      </c>
      <c r="BO888" s="1" t="s">
        <v>218</v>
      </c>
      <c r="BP888" s="1" t="s">
        <v>239</v>
      </c>
      <c r="BQ888" s="1" t="s">
        <v>220</v>
      </c>
      <c r="BT888" s="1">
        <v>1</v>
      </c>
    </row>
    <row r="889" spans="1:72">
      <c r="A889" s="1" t="s">
        <v>3704</v>
      </c>
      <c r="B889" s="1" t="s">
        <v>213</v>
      </c>
      <c r="C889" s="1">
        <v>1</v>
      </c>
      <c r="D889" s="1" t="s">
        <v>3705</v>
      </c>
      <c r="E889" s="1">
        <v>1320</v>
      </c>
      <c r="F889" s="1" t="s">
        <v>3704</v>
      </c>
      <c r="G889" s="1">
        <v>1</v>
      </c>
      <c r="K889" s="1">
        <v>25000</v>
      </c>
      <c r="M889" s="1">
        <v>1200</v>
      </c>
      <c r="O889" s="1">
        <v>800</v>
      </c>
      <c r="Q889" s="1">
        <v>20</v>
      </c>
      <c r="Y889" s="1">
        <v>0.05</v>
      </c>
      <c r="Z889" s="1">
        <v>2.9</v>
      </c>
      <c r="AA889" s="1">
        <v>5</v>
      </c>
      <c r="AB889" s="1">
        <v>0.8</v>
      </c>
      <c r="AG889" s="1">
        <v>0</v>
      </c>
      <c r="AH889" s="1">
        <v>1</v>
      </c>
      <c r="AI889" s="1" t="s">
        <v>3706</v>
      </c>
      <c r="AJ889" s="1" t="s">
        <v>275</v>
      </c>
      <c r="AK889" s="1" t="s">
        <v>238</v>
      </c>
      <c r="AM889" s="1">
        <v>1</v>
      </c>
      <c r="AP889" s="1">
        <v>3</v>
      </c>
      <c r="AV889" s="1">
        <v>1</v>
      </c>
      <c r="AX889" s="1">
        <v>0.1</v>
      </c>
      <c r="BE889" s="1" t="s">
        <v>3704</v>
      </c>
      <c r="BK889" s="1" t="s">
        <v>1012</v>
      </c>
      <c r="BN889" s="1" t="s">
        <v>217</v>
      </c>
      <c r="BO889" s="1" t="s">
        <v>218</v>
      </c>
      <c r="BP889" s="1" t="s">
        <v>239</v>
      </c>
      <c r="BQ889" s="1" t="s">
        <v>220</v>
      </c>
      <c r="BT889" s="1">
        <v>1</v>
      </c>
    </row>
    <row r="890" spans="1:72">
      <c r="A890" s="1" t="s">
        <v>3707</v>
      </c>
      <c r="B890" s="1" t="s">
        <v>213</v>
      </c>
      <c r="C890" s="1">
        <v>1</v>
      </c>
      <c r="D890" s="1" t="s">
        <v>3708</v>
      </c>
      <c r="E890" s="1">
        <v>1321</v>
      </c>
      <c r="F890" s="1" t="s">
        <v>3707</v>
      </c>
      <c r="G890" s="1">
        <v>1</v>
      </c>
      <c r="K890" s="1">
        <v>30000</v>
      </c>
      <c r="M890" s="1">
        <v>500</v>
      </c>
      <c r="O890" s="1">
        <v>250</v>
      </c>
      <c r="Q890" s="1">
        <v>30</v>
      </c>
      <c r="Y890" s="1">
        <v>0.05</v>
      </c>
      <c r="Z890" s="1">
        <v>5</v>
      </c>
      <c r="AA890" s="1">
        <v>5</v>
      </c>
      <c r="AB890" s="1">
        <v>0.3</v>
      </c>
      <c r="AG890" s="1">
        <v>0</v>
      </c>
      <c r="AH890" s="1">
        <v>1</v>
      </c>
      <c r="AI890" s="1" t="s">
        <v>3709</v>
      </c>
      <c r="AJ890" s="1" t="s">
        <v>275</v>
      </c>
      <c r="AK890" s="1" t="s">
        <v>238</v>
      </c>
      <c r="AM890" s="1">
        <v>1</v>
      </c>
      <c r="AN890" s="1">
        <v>1</v>
      </c>
      <c r="AV890" s="1">
        <v>1</v>
      </c>
      <c r="AX890" s="1">
        <v>0.1</v>
      </c>
      <c r="BE890" s="1" t="s">
        <v>3707</v>
      </c>
      <c r="BK890" s="1" t="s">
        <v>3140</v>
      </c>
      <c r="BN890" s="1" t="s">
        <v>217</v>
      </c>
      <c r="BO890" s="1" t="s">
        <v>218</v>
      </c>
      <c r="BP890" s="1" t="s">
        <v>239</v>
      </c>
      <c r="BQ890" s="1" t="s">
        <v>220</v>
      </c>
      <c r="BT890" s="1">
        <v>1</v>
      </c>
    </row>
    <row r="891" spans="1:72">
      <c r="A891" s="1" t="s">
        <v>3710</v>
      </c>
      <c r="B891" s="1" t="s">
        <v>213</v>
      </c>
      <c r="C891" s="1">
        <v>1</v>
      </c>
      <c r="D891" s="1" t="s">
        <v>3711</v>
      </c>
      <c r="E891" s="1">
        <v>1321</v>
      </c>
      <c r="F891" s="1" t="s">
        <v>3710</v>
      </c>
      <c r="G891" s="1">
        <v>1</v>
      </c>
      <c r="K891" s="1">
        <v>35000</v>
      </c>
      <c r="M891" s="1">
        <v>500</v>
      </c>
      <c r="O891" s="1">
        <v>300</v>
      </c>
      <c r="Q891" s="1">
        <v>35</v>
      </c>
      <c r="Y891" s="1">
        <v>0.05</v>
      </c>
      <c r="Z891" s="1">
        <v>5</v>
      </c>
      <c r="AA891" s="1">
        <v>5</v>
      </c>
      <c r="AB891" s="1">
        <v>0.3</v>
      </c>
      <c r="AG891" s="1">
        <v>0</v>
      </c>
      <c r="AH891" s="1">
        <v>1</v>
      </c>
      <c r="AI891" s="1" t="s">
        <v>3712</v>
      </c>
      <c r="AJ891" s="1" t="s">
        <v>275</v>
      </c>
      <c r="AK891" s="1" t="s">
        <v>238</v>
      </c>
      <c r="AM891" s="1">
        <v>1</v>
      </c>
      <c r="AN891" s="1">
        <v>1</v>
      </c>
      <c r="AV891" s="1">
        <v>1</v>
      </c>
      <c r="AX891" s="1">
        <v>0.1</v>
      </c>
      <c r="BE891" s="1" t="s">
        <v>3710</v>
      </c>
      <c r="BK891" s="1" t="s">
        <v>3140</v>
      </c>
      <c r="BN891" s="1" t="s">
        <v>217</v>
      </c>
      <c r="BO891" s="1" t="s">
        <v>218</v>
      </c>
      <c r="BP891" s="1" t="s">
        <v>239</v>
      </c>
      <c r="BQ891" s="1" t="s">
        <v>220</v>
      </c>
      <c r="BT891" s="1">
        <v>1</v>
      </c>
    </row>
    <row r="892" spans="1:72">
      <c r="A892" s="1" t="s">
        <v>3713</v>
      </c>
      <c r="B892" s="1" t="s">
        <v>213</v>
      </c>
      <c r="C892" s="1">
        <v>1</v>
      </c>
      <c r="D892" s="1" t="s">
        <v>3714</v>
      </c>
      <c r="E892" s="1">
        <v>1322</v>
      </c>
      <c r="F892" s="1" t="s">
        <v>3713</v>
      </c>
      <c r="G892" s="1">
        <v>1</v>
      </c>
      <c r="K892" s="1">
        <v>36000</v>
      </c>
      <c r="M892" s="1">
        <v>2250</v>
      </c>
      <c r="O892" s="1">
        <v>500</v>
      </c>
      <c r="Q892" s="1">
        <v>35</v>
      </c>
      <c r="Y892" s="1">
        <v>0.05</v>
      </c>
      <c r="Z892" s="1">
        <v>6</v>
      </c>
      <c r="AA892" s="1">
        <v>10</v>
      </c>
      <c r="AB892" s="1">
        <v>0.7</v>
      </c>
      <c r="AG892" s="1">
        <v>0</v>
      </c>
      <c r="AH892" s="1">
        <v>1</v>
      </c>
      <c r="AI892" s="1" t="s">
        <v>3715</v>
      </c>
      <c r="AJ892" s="1" t="s">
        <v>275</v>
      </c>
      <c r="AK892" s="1" t="s">
        <v>238</v>
      </c>
      <c r="AM892" s="1">
        <v>1</v>
      </c>
      <c r="AV892" s="1">
        <v>1</v>
      </c>
      <c r="AX892" s="1">
        <v>0.1</v>
      </c>
      <c r="BE892" s="1" t="s">
        <v>3713</v>
      </c>
      <c r="BK892" s="1" t="s">
        <v>1012</v>
      </c>
      <c r="BN892" s="1" t="s">
        <v>217</v>
      </c>
      <c r="BO892" s="1" t="s">
        <v>218</v>
      </c>
      <c r="BP892" s="1" t="s">
        <v>239</v>
      </c>
      <c r="BQ892" s="1" t="s">
        <v>220</v>
      </c>
      <c r="BT892" s="1">
        <v>1</v>
      </c>
    </row>
    <row r="893" spans="1:72">
      <c r="A893" s="1" t="s">
        <v>3716</v>
      </c>
      <c r="B893" s="1" t="s">
        <v>213</v>
      </c>
      <c r="C893" s="1">
        <v>1</v>
      </c>
      <c r="D893" s="1" t="s">
        <v>3717</v>
      </c>
      <c r="E893" s="1">
        <v>1322</v>
      </c>
      <c r="F893" s="1" t="s">
        <v>3716</v>
      </c>
      <c r="G893" s="1">
        <v>1</v>
      </c>
      <c r="K893" s="1">
        <v>15000</v>
      </c>
      <c r="M893" s="1">
        <v>1800</v>
      </c>
      <c r="O893" s="1">
        <v>375</v>
      </c>
      <c r="Q893" s="1">
        <v>30</v>
      </c>
      <c r="Y893" s="1">
        <v>0.05</v>
      </c>
      <c r="Z893" s="1">
        <v>6</v>
      </c>
      <c r="AA893" s="1">
        <v>10</v>
      </c>
      <c r="AB893" s="1">
        <v>0.7</v>
      </c>
      <c r="AG893" s="1">
        <v>0</v>
      </c>
      <c r="AH893" s="1">
        <v>1</v>
      </c>
      <c r="AI893" s="1" t="s">
        <v>3718</v>
      </c>
      <c r="AJ893" s="1" t="s">
        <v>275</v>
      </c>
      <c r="AK893" s="1" t="s">
        <v>238</v>
      </c>
      <c r="AM893" s="1">
        <v>1</v>
      </c>
      <c r="AV893" s="1">
        <v>1</v>
      </c>
      <c r="AX893" s="1">
        <v>0.1</v>
      </c>
      <c r="BE893" s="1" t="s">
        <v>3716</v>
      </c>
      <c r="BK893" s="1" t="s">
        <v>1012</v>
      </c>
      <c r="BN893" s="1" t="s">
        <v>217</v>
      </c>
      <c r="BO893" s="1" t="s">
        <v>218</v>
      </c>
      <c r="BP893" s="1" t="s">
        <v>239</v>
      </c>
      <c r="BQ893" s="1" t="s">
        <v>220</v>
      </c>
      <c r="BT893" s="1">
        <v>1</v>
      </c>
    </row>
    <row r="894" spans="1:72">
      <c r="A894" s="1" t="s">
        <v>3719</v>
      </c>
      <c r="B894" s="1" t="s">
        <v>213</v>
      </c>
      <c r="C894" s="1">
        <v>1</v>
      </c>
      <c r="D894" s="1" t="s">
        <v>3720</v>
      </c>
      <c r="E894" s="1">
        <v>1323</v>
      </c>
      <c r="F894" s="1" t="s">
        <v>3719</v>
      </c>
      <c r="G894" s="1">
        <v>1</v>
      </c>
      <c r="K894" s="1">
        <v>3500</v>
      </c>
      <c r="M894" s="1">
        <v>250</v>
      </c>
      <c r="O894" s="1">
        <v>300</v>
      </c>
      <c r="Q894" s="1">
        <v>50</v>
      </c>
      <c r="Y894" s="1">
        <v>0.05</v>
      </c>
      <c r="Z894" s="1">
        <v>1.9</v>
      </c>
      <c r="AA894" s="1">
        <v>5</v>
      </c>
      <c r="AB894" s="1">
        <v>0.2</v>
      </c>
      <c r="AG894" s="1">
        <v>0</v>
      </c>
      <c r="AH894" s="1">
        <v>1</v>
      </c>
      <c r="AI894" s="1" t="s">
        <v>3721</v>
      </c>
      <c r="AJ894" s="1" t="s">
        <v>275</v>
      </c>
      <c r="AK894" s="1" t="s">
        <v>238</v>
      </c>
      <c r="AM894" s="1">
        <v>1</v>
      </c>
      <c r="AN894" s="1">
        <v>1</v>
      </c>
      <c r="AT894" s="1">
        <v>-250</v>
      </c>
      <c r="AV894" s="1">
        <v>1</v>
      </c>
      <c r="AX894" s="1">
        <v>0.1</v>
      </c>
      <c r="BE894" s="1" t="s">
        <v>3719</v>
      </c>
      <c r="BK894" s="1" t="s">
        <v>3722</v>
      </c>
      <c r="BN894" s="1" t="s">
        <v>217</v>
      </c>
      <c r="BO894" s="1" t="s">
        <v>218</v>
      </c>
      <c r="BP894" s="1" t="s">
        <v>239</v>
      </c>
      <c r="BQ894" s="1" t="s">
        <v>220</v>
      </c>
      <c r="BT894" s="1">
        <v>1</v>
      </c>
    </row>
    <row r="895" spans="1:72">
      <c r="A895" s="1" t="s">
        <v>3723</v>
      </c>
      <c r="B895" s="1" t="s">
        <v>213</v>
      </c>
      <c r="C895" s="1">
        <v>1</v>
      </c>
      <c r="D895" s="1" t="s">
        <v>3724</v>
      </c>
      <c r="E895" s="1">
        <v>1324</v>
      </c>
      <c r="F895" s="1" t="s">
        <v>3723</v>
      </c>
      <c r="G895" s="1">
        <v>1</v>
      </c>
      <c r="K895" s="1">
        <v>9000</v>
      </c>
      <c r="M895" s="1">
        <v>550</v>
      </c>
      <c r="O895" s="1">
        <v>200</v>
      </c>
      <c r="Q895" s="1">
        <v>50</v>
      </c>
      <c r="Y895" s="1">
        <v>0.05</v>
      </c>
      <c r="Z895" s="1">
        <v>1</v>
      </c>
      <c r="AA895" s="1">
        <v>3</v>
      </c>
      <c r="AB895" s="1">
        <v>0</v>
      </c>
      <c r="AG895" s="1">
        <v>1</v>
      </c>
      <c r="AH895" s="1">
        <v>1</v>
      </c>
      <c r="AI895" s="1" t="s">
        <v>3725</v>
      </c>
      <c r="AJ895" s="1" t="s">
        <v>275</v>
      </c>
      <c r="AK895" s="1" t="s">
        <v>238</v>
      </c>
      <c r="AM895" s="1">
        <v>1</v>
      </c>
      <c r="AV895" s="1">
        <v>1</v>
      </c>
      <c r="AX895" s="1">
        <v>0.1</v>
      </c>
      <c r="BE895" s="1" t="s">
        <v>3723</v>
      </c>
      <c r="BK895" s="1" t="s">
        <v>3437</v>
      </c>
      <c r="BN895" s="1" t="s">
        <v>217</v>
      </c>
      <c r="BO895" s="1" t="s">
        <v>218</v>
      </c>
      <c r="BP895" s="1" t="s">
        <v>218</v>
      </c>
      <c r="BQ895" s="1" t="s">
        <v>220</v>
      </c>
      <c r="BT895" s="1">
        <v>1</v>
      </c>
    </row>
    <row r="896" spans="1:72">
      <c r="A896" s="1" t="s">
        <v>3726</v>
      </c>
      <c r="B896" s="1" t="s">
        <v>213</v>
      </c>
      <c r="C896" s="1">
        <v>1</v>
      </c>
      <c r="D896" s="1" t="s">
        <v>3727</v>
      </c>
      <c r="E896" s="1">
        <v>1324</v>
      </c>
      <c r="F896" s="1" t="s">
        <v>3726</v>
      </c>
      <c r="G896" s="1">
        <v>1</v>
      </c>
      <c r="K896" s="1">
        <v>12000</v>
      </c>
      <c r="M896" s="1">
        <v>650</v>
      </c>
      <c r="O896" s="1">
        <v>250</v>
      </c>
      <c r="Q896" s="1">
        <v>60</v>
      </c>
      <c r="Y896" s="1">
        <v>0.05</v>
      </c>
      <c r="Z896" s="1">
        <v>1</v>
      </c>
      <c r="AA896" s="1">
        <v>3</v>
      </c>
      <c r="AB896" s="1">
        <v>0</v>
      </c>
      <c r="AG896" s="1">
        <v>1</v>
      </c>
      <c r="AH896" s="1">
        <v>1</v>
      </c>
      <c r="AI896" s="1" t="s">
        <v>3728</v>
      </c>
      <c r="AJ896" s="1" t="s">
        <v>275</v>
      </c>
      <c r="AK896" s="1" t="s">
        <v>238</v>
      </c>
      <c r="AM896" s="1">
        <v>1</v>
      </c>
      <c r="AV896" s="1">
        <v>1</v>
      </c>
      <c r="AX896" s="1">
        <v>0.1</v>
      </c>
      <c r="BE896" s="1" t="s">
        <v>3726</v>
      </c>
      <c r="BK896" s="1" t="s">
        <v>3437</v>
      </c>
      <c r="BN896" s="1" t="s">
        <v>217</v>
      </c>
      <c r="BO896" s="1" t="s">
        <v>218</v>
      </c>
      <c r="BP896" s="1" t="s">
        <v>218</v>
      </c>
      <c r="BQ896" s="1" t="s">
        <v>220</v>
      </c>
      <c r="BT896" s="1">
        <v>1</v>
      </c>
    </row>
    <row r="897" spans="1:72">
      <c r="A897" s="1" t="s">
        <v>3729</v>
      </c>
      <c r="B897" s="1" t="s">
        <v>213</v>
      </c>
      <c r="C897" s="1">
        <v>1</v>
      </c>
      <c r="D897" s="1" t="s">
        <v>3730</v>
      </c>
      <c r="E897" s="1">
        <v>1542</v>
      </c>
      <c r="F897" s="1" t="s">
        <v>3729</v>
      </c>
      <c r="G897" s="1">
        <v>1</v>
      </c>
      <c r="K897" s="1">
        <v>100000</v>
      </c>
      <c r="M897" s="1">
        <v>550</v>
      </c>
      <c r="O897" s="1">
        <v>750</v>
      </c>
      <c r="Q897" s="1">
        <v>50</v>
      </c>
      <c r="Y897" s="1">
        <v>0.05</v>
      </c>
      <c r="Z897" s="1">
        <v>2.5</v>
      </c>
      <c r="AA897" s="1">
        <v>3</v>
      </c>
      <c r="AB897" s="1">
        <v>0.5</v>
      </c>
      <c r="AG897" s="1">
        <v>0</v>
      </c>
      <c r="AH897" s="1">
        <v>1</v>
      </c>
      <c r="AI897" s="1" t="s">
        <v>3731</v>
      </c>
      <c r="AJ897" s="1" t="s">
        <v>275</v>
      </c>
      <c r="AK897" s="1" t="s">
        <v>238</v>
      </c>
      <c r="AM897" s="1">
        <v>6</v>
      </c>
      <c r="AV897" s="1">
        <v>2</v>
      </c>
      <c r="AX897" s="1">
        <v>0.1</v>
      </c>
      <c r="BE897" s="1" t="s">
        <v>3729</v>
      </c>
      <c r="BK897" s="1" t="s">
        <v>3732</v>
      </c>
      <c r="BN897" s="1" t="s">
        <v>217</v>
      </c>
      <c r="BO897" s="1" t="s">
        <v>218</v>
      </c>
      <c r="BP897" s="1" t="s">
        <v>239</v>
      </c>
      <c r="BQ897" s="1" t="s">
        <v>3733</v>
      </c>
      <c r="BT897" s="1">
        <v>1</v>
      </c>
    </row>
    <row r="898" spans="1:72">
      <c r="A898" s="1" t="s">
        <v>3734</v>
      </c>
      <c r="B898" s="1" t="s">
        <v>213</v>
      </c>
      <c r="C898" s="1">
        <v>1</v>
      </c>
      <c r="D898" s="1" t="s">
        <v>3730</v>
      </c>
      <c r="E898" s="1">
        <v>1542</v>
      </c>
      <c r="F898" s="1" t="s">
        <v>3729</v>
      </c>
      <c r="G898" s="1">
        <v>1</v>
      </c>
      <c r="K898" s="1">
        <v>100000</v>
      </c>
      <c r="M898" s="1">
        <v>550</v>
      </c>
      <c r="O898" s="1">
        <v>750</v>
      </c>
      <c r="Q898" s="1">
        <v>50</v>
      </c>
      <c r="Y898" s="1">
        <v>0.05</v>
      </c>
      <c r="Z898" s="1">
        <v>2.5</v>
      </c>
      <c r="AA898" s="1">
        <v>3</v>
      </c>
      <c r="AB898" s="1">
        <v>0.5</v>
      </c>
      <c r="AG898" s="1">
        <v>0</v>
      </c>
      <c r="AH898" s="1">
        <v>1</v>
      </c>
      <c r="AI898" s="1" t="s">
        <v>3735</v>
      </c>
      <c r="AJ898" s="1" t="s">
        <v>275</v>
      </c>
      <c r="AK898" s="1" t="s">
        <v>238</v>
      </c>
      <c r="AM898" s="1">
        <v>6</v>
      </c>
      <c r="AV898" s="1">
        <v>2</v>
      </c>
      <c r="AX898" s="1">
        <v>0.1</v>
      </c>
      <c r="BE898" s="1" t="s">
        <v>3729</v>
      </c>
      <c r="BK898" s="1" t="s">
        <v>3732</v>
      </c>
      <c r="BN898" s="1" t="s">
        <v>217</v>
      </c>
      <c r="BO898" s="1" t="s">
        <v>218</v>
      </c>
      <c r="BP898" s="1" t="s">
        <v>239</v>
      </c>
      <c r="BQ898" s="1" t="s">
        <v>3733</v>
      </c>
      <c r="BT898" s="1">
        <v>1</v>
      </c>
    </row>
    <row r="899" spans="1:72">
      <c r="A899" s="1" t="s">
        <v>3736</v>
      </c>
      <c r="B899" s="1" t="s">
        <v>213</v>
      </c>
      <c r="C899" s="1">
        <v>1</v>
      </c>
      <c r="D899" s="1" t="s">
        <v>3730</v>
      </c>
      <c r="E899" s="1">
        <v>1542</v>
      </c>
      <c r="F899" s="1" t="s">
        <v>3729</v>
      </c>
      <c r="G899" s="1">
        <v>1</v>
      </c>
      <c r="K899" s="1">
        <v>100000</v>
      </c>
      <c r="M899" s="1">
        <v>550</v>
      </c>
      <c r="O899" s="1">
        <v>750</v>
      </c>
      <c r="Q899" s="1">
        <v>50</v>
      </c>
      <c r="Y899" s="1">
        <v>0.05</v>
      </c>
      <c r="Z899" s="1">
        <v>2.5</v>
      </c>
      <c r="AA899" s="1">
        <v>3</v>
      </c>
      <c r="AB899" s="1">
        <v>0.5</v>
      </c>
      <c r="AG899" s="1">
        <v>0</v>
      </c>
      <c r="AH899" s="1">
        <v>1</v>
      </c>
      <c r="AI899" s="1" t="s">
        <v>3737</v>
      </c>
      <c r="AJ899" s="1" t="s">
        <v>275</v>
      </c>
      <c r="AK899" s="1" t="s">
        <v>238</v>
      </c>
      <c r="AM899" s="1">
        <v>6</v>
      </c>
      <c r="AV899" s="1">
        <v>2</v>
      </c>
      <c r="AX899" s="1">
        <v>0.1</v>
      </c>
      <c r="BE899" s="1" t="s">
        <v>3729</v>
      </c>
      <c r="BK899" s="1" t="s">
        <v>3732</v>
      </c>
      <c r="BN899" s="1" t="s">
        <v>217</v>
      </c>
      <c r="BO899" s="1" t="s">
        <v>218</v>
      </c>
      <c r="BP899" s="1" t="s">
        <v>239</v>
      </c>
      <c r="BQ899" s="1" t="s">
        <v>3733</v>
      </c>
      <c r="BT899" s="1">
        <v>1</v>
      </c>
    </row>
    <row r="900" spans="1:72">
      <c r="A900" s="1" t="s">
        <v>3738</v>
      </c>
      <c r="B900" s="1" t="s">
        <v>213</v>
      </c>
      <c r="C900" s="1">
        <v>1</v>
      </c>
      <c r="D900" s="1" t="s">
        <v>3730</v>
      </c>
      <c r="E900" s="1">
        <v>1542</v>
      </c>
      <c r="F900" s="1" t="s">
        <v>3729</v>
      </c>
      <c r="G900" s="1">
        <v>1</v>
      </c>
      <c r="K900" s="1">
        <v>100000</v>
      </c>
      <c r="M900" s="1">
        <v>550</v>
      </c>
      <c r="O900" s="1">
        <v>750</v>
      </c>
      <c r="Q900" s="1">
        <v>50</v>
      </c>
      <c r="Y900" s="1">
        <v>0.05</v>
      </c>
      <c r="Z900" s="1">
        <v>2.5</v>
      </c>
      <c r="AA900" s="1">
        <v>3</v>
      </c>
      <c r="AB900" s="1">
        <v>0.5</v>
      </c>
      <c r="AG900" s="1">
        <v>0</v>
      </c>
      <c r="AH900" s="1">
        <v>1</v>
      </c>
      <c r="AI900" s="1" t="s">
        <v>3739</v>
      </c>
      <c r="AJ900" s="1" t="s">
        <v>275</v>
      </c>
      <c r="AK900" s="1" t="s">
        <v>238</v>
      </c>
      <c r="AM900" s="1">
        <v>6</v>
      </c>
      <c r="AV900" s="1">
        <v>2</v>
      </c>
      <c r="AX900" s="1">
        <v>0.1</v>
      </c>
      <c r="BE900" s="1" t="s">
        <v>3729</v>
      </c>
      <c r="BK900" s="1" t="s">
        <v>3740</v>
      </c>
      <c r="BN900" s="1" t="s">
        <v>217</v>
      </c>
      <c r="BO900" s="1" t="s">
        <v>218</v>
      </c>
      <c r="BP900" s="1" t="s">
        <v>239</v>
      </c>
      <c r="BQ900" s="1" t="s">
        <v>3733</v>
      </c>
      <c r="BT900" s="1">
        <v>1</v>
      </c>
    </row>
    <row r="901" spans="1:72">
      <c r="A901" s="1" t="s">
        <v>3741</v>
      </c>
      <c r="B901" s="1" t="s">
        <v>213</v>
      </c>
      <c r="C901" s="1">
        <v>1</v>
      </c>
      <c r="D901" s="1" t="s">
        <v>3730</v>
      </c>
      <c r="E901" s="1">
        <v>1542</v>
      </c>
      <c r="F901" s="1" t="s">
        <v>3729</v>
      </c>
      <c r="G901" s="1">
        <v>1</v>
      </c>
      <c r="K901" s="1">
        <v>100000</v>
      </c>
      <c r="M901" s="1">
        <v>550</v>
      </c>
      <c r="O901" s="1">
        <v>750</v>
      </c>
      <c r="Q901" s="1">
        <v>50</v>
      </c>
      <c r="Y901" s="1">
        <v>0.05</v>
      </c>
      <c r="Z901" s="1">
        <v>2.5</v>
      </c>
      <c r="AA901" s="1">
        <v>3</v>
      </c>
      <c r="AB901" s="1">
        <v>0.5</v>
      </c>
      <c r="AG901" s="1">
        <v>0</v>
      </c>
      <c r="AH901" s="1">
        <v>1</v>
      </c>
      <c r="AI901" s="1" t="s">
        <v>3742</v>
      </c>
      <c r="AJ901" s="1" t="s">
        <v>275</v>
      </c>
      <c r="AK901" s="1" t="s">
        <v>238</v>
      </c>
      <c r="AM901" s="1">
        <v>6</v>
      </c>
      <c r="AV901" s="1">
        <v>2</v>
      </c>
      <c r="AX901" s="1">
        <v>0.1</v>
      </c>
      <c r="BE901" s="1" t="s">
        <v>3729</v>
      </c>
      <c r="BK901" s="1" t="s">
        <v>3740</v>
      </c>
      <c r="BN901" s="1" t="s">
        <v>217</v>
      </c>
      <c r="BO901" s="1" t="s">
        <v>218</v>
      </c>
      <c r="BP901" s="1" t="s">
        <v>239</v>
      </c>
      <c r="BQ901" s="1" t="s">
        <v>3733</v>
      </c>
      <c r="BT901" s="1">
        <v>1</v>
      </c>
    </row>
    <row r="902" spans="1:72">
      <c r="A902" s="1" t="s">
        <v>3743</v>
      </c>
      <c r="B902" s="1" t="s">
        <v>213</v>
      </c>
      <c r="C902" s="1">
        <v>1</v>
      </c>
      <c r="D902" s="1" t="s">
        <v>3730</v>
      </c>
      <c r="E902" s="1">
        <v>1542</v>
      </c>
      <c r="F902" s="1" t="s">
        <v>3729</v>
      </c>
      <c r="G902" s="1">
        <v>1</v>
      </c>
      <c r="K902" s="1">
        <v>100000</v>
      </c>
      <c r="M902" s="1">
        <v>550</v>
      </c>
      <c r="O902" s="1">
        <v>750</v>
      </c>
      <c r="Q902" s="1">
        <v>50</v>
      </c>
      <c r="Y902" s="1">
        <v>0.05</v>
      </c>
      <c r="Z902" s="1">
        <v>2.5</v>
      </c>
      <c r="AA902" s="1">
        <v>3</v>
      </c>
      <c r="AB902" s="1">
        <v>0.5</v>
      </c>
      <c r="AG902" s="1">
        <v>0</v>
      </c>
      <c r="AH902" s="1">
        <v>1</v>
      </c>
      <c r="AI902" s="1" t="s">
        <v>3744</v>
      </c>
      <c r="AJ902" s="1" t="s">
        <v>275</v>
      </c>
      <c r="AK902" s="1" t="s">
        <v>238</v>
      </c>
      <c r="AM902" s="1">
        <v>1</v>
      </c>
      <c r="AN902" s="1">
        <v>1</v>
      </c>
      <c r="AV902" s="1">
        <v>2</v>
      </c>
      <c r="AX902" s="1">
        <v>0.1</v>
      </c>
      <c r="BE902" s="1" t="s">
        <v>3729</v>
      </c>
      <c r="BN902" s="1" t="s">
        <v>217</v>
      </c>
      <c r="BO902" s="1" t="s">
        <v>3745</v>
      </c>
      <c r="BP902" s="1" t="s">
        <v>3746</v>
      </c>
      <c r="BQ902" s="1" t="s">
        <v>3747</v>
      </c>
      <c r="BT902" s="1">
        <v>1</v>
      </c>
    </row>
    <row r="903" spans="1:72">
      <c r="A903" s="1" t="s">
        <v>3748</v>
      </c>
      <c r="B903" s="1" t="s">
        <v>213</v>
      </c>
      <c r="C903" s="1">
        <v>1</v>
      </c>
      <c r="D903" s="1" t="s">
        <v>3730</v>
      </c>
      <c r="E903" s="1">
        <v>1542</v>
      </c>
      <c r="F903" s="1" t="s">
        <v>3729</v>
      </c>
      <c r="G903" s="1">
        <v>1</v>
      </c>
      <c r="K903" s="1">
        <v>100000</v>
      </c>
      <c r="M903" s="1">
        <v>550</v>
      </c>
      <c r="O903" s="1">
        <v>750</v>
      </c>
      <c r="Q903" s="1">
        <v>50</v>
      </c>
      <c r="Y903" s="1">
        <v>0.05</v>
      </c>
      <c r="Z903" s="1">
        <v>2.5</v>
      </c>
      <c r="AA903" s="1">
        <v>3</v>
      </c>
      <c r="AB903" s="1">
        <v>0.5</v>
      </c>
      <c r="AG903" s="1">
        <v>0</v>
      </c>
      <c r="AH903" s="1">
        <v>1</v>
      </c>
      <c r="AI903" s="1" t="s">
        <v>3749</v>
      </c>
      <c r="AJ903" s="1" t="s">
        <v>275</v>
      </c>
      <c r="AK903" s="1" t="s">
        <v>238</v>
      </c>
      <c r="AM903" s="1">
        <v>1</v>
      </c>
      <c r="AV903" s="1">
        <v>2</v>
      </c>
      <c r="AX903" s="1">
        <v>0.1</v>
      </c>
      <c r="BE903" s="1" t="s">
        <v>3729</v>
      </c>
      <c r="BK903" s="1" t="s">
        <v>3740</v>
      </c>
      <c r="BN903" s="1" t="s">
        <v>217</v>
      </c>
      <c r="BO903" s="1" t="s">
        <v>218</v>
      </c>
      <c r="BP903" s="1" t="s">
        <v>239</v>
      </c>
      <c r="BQ903" s="1" t="s">
        <v>3733</v>
      </c>
      <c r="BT903" s="1">
        <v>1</v>
      </c>
    </row>
    <row r="904" spans="1:72">
      <c r="A904" s="1" t="s">
        <v>3750</v>
      </c>
      <c r="B904" s="1" t="s">
        <v>213</v>
      </c>
      <c r="C904" s="1">
        <v>1</v>
      </c>
      <c r="D904" s="1" t="s">
        <v>3751</v>
      </c>
      <c r="E904" s="1">
        <v>1325</v>
      </c>
      <c r="F904" s="1" t="s">
        <v>3750</v>
      </c>
      <c r="G904" s="1">
        <v>1</v>
      </c>
      <c r="K904" s="1">
        <v>3800</v>
      </c>
      <c r="M904" s="1">
        <v>290</v>
      </c>
      <c r="O904" s="1">
        <v>0</v>
      </c>
      <c r="Q904" s="1">
        <v>30</v>
      </c>
      <c r="Y904" s="1">
        <v>0.05</v>
      </c>
      <c r="Z904" s="1">
        <v>1.5</v>
      </c>
      <c r="AA904" s="1">
        <v>1</v>
      </c>
      <c r="AB904" s="1">
        <v>1.7</v>
      </c>
      <c r="AG904" s="1">
        <v>0</v>
      </c>
      <c r="AH904" s="1">
        <v>1</v>
      </c>
      <c r="AI904" s="1" t="s">
        <v>3752</v>
      </c>
      <c r="AJ904" s="1" t="s">
        <v>275</v>
      </c>
      <c r="AK904" s="1" t="s">
        <v>238</v>
      </c>
      <c r="AM904" s="1">
        <v>1</v>
      </c>
      <c r="AV904" s="1">
        <v>1</v>
      </c>
      <c r="AX904" s="1">
        <v>0.1</v>
      </c>
      <c r="BE904" s="1" t="s">
        <v>3750</v>
      </c>
      <c r="BK904" s="1" t="s">
        <v>911</v>
      </c>
      <c r="BN904" s="1" t="s">
        <v>217</v>
      </c>
      <c r="BO904" s="1" t="s">
        <v>218</v>
      </c>
      <c r="BP904" s="1" t="s">
        <v>239</v>
      </c>
      <c r="BQ904" s="1" t="s">
        <v>220</v>
      </c>
      <c r="BT904" s="1">
        <v>1</v>
      </c>
    </row>
    <row r="905" spans="1:72">
      <c r="A905" s="1" t="s">
        <v>3753</v>
      </c>
      <c r="B905" s="1" t="s">
        <v>213</v>
      </c>
      <c r="C905" s="1">
        <v>1</v>
      </c>
      <c r="D905" s="1" t="s">
        <v>3754</v>
      </c>
      <c r="E905" s="1">
        <v>1325</v>
      </c>
      <c r="F905" s="1" t="s">
        <v>3753</v>
      </c>
      <c r="G905" s="1">
        <v>1</v>
      </c>
      <c r="K905" s="1">
        <v>4600</v>
      </c>
      <c r="M905" s="1">
        <v>380</v>
      </c>
      <c r="O905" s="1">
        <v>0</v>
      </c>
      <c r="Q905" s="1">
        <v>30</v>
      </c>
      <c r="Y905" s="1">
        <v>0.05</v>
      </c>
      <c r="Z905" s="1">
        <v>1.5</v>
      </c>
      <c r="AA905" s="1">
        <v>1</v>
      </c>
      <c r="AB905" s="1">
        <v>1.7</v>
      </c>
      <c r="AG905" s="1">
        <v>0</v>
      </c>
      <c r="AH905" s="1">
        <v>1</v>
      </c>
      <c r="AI905" s="1" t="s">
        <v>3755</v>
      </c>
      <c r="AJ905" s="1" t="s">
        <v>275</v>
      </c>
      <c r="AK905" s="1" t="s">
        <v>238</v>
      </c>
      <c r="AM905" s="1">
        <v>1</v>
      </c>
      <c r="AV905" s="1">
        <v>1</v>
      </c>
      <c r="AX905" s="1">
        <v>0.1</v>
      </c>
      <c r="BE905" s="1" t="s">
        <v>3753</v>
      </c>
      <c r="BK905" s="1" t="s">
        <v>911</v>
      </c>
      <c r="BN905" s="1" t="s">
        <v>217</v>
      </c>
      <c r="BO905" s="1" t="s">
        <v>218</v>
      </c>
      <c r="BP905" s="1" t="s">
        <v>239</v>
      </c>
      <c r="BQ905" s="1" t="s">
        <v>220</v>
      </c>
      <c r="BT905" s="1">
        <v>1</v>
      </c>
    </row>
    <row r="906" spans="1:72">
      <c r="A906" s="1" t="s">
        <v>3756</v>
      </c>
      <c r="B906" s="1" t="s">
        <v>213</v>
      </c>
      <c r="C906" s="1">
        <v>1</v>
      </c>
      <c r="D906" s="1" t="s">
        <v>3757</v>
      </c>
      <c r="E906" s="1">
        <v>1326</v>
      </c>
      <c r="F906" s="1" t="s">
        <v>3756</v>
      </c>
      <c r="G906" s="1">
        <v>1</v>
      </c>
      <c r="K906" s="1">
        <v>5800</v>
      </c>
      <c r="M906" s="1">
        <v>400</v>
      </c>
      <c r="O906" s="1">
        <v>150</v>
      </c>
      <c r="Q906" s="1">
        <v>40</v>
      </c>
      <c r="Y906" s="1">
        <v>0.05</v>
      </c>
      <c r="Z906" s="1">
        <v>1.5</v>
      </c>
      <c r="AA906" s="1">
        <v>1</v>
      </c>
      <c r="AB906" s="1">
        <v>1.2</v>
      </c>
      <c r="AG906" s="1">
        <v>0</v>
      </c>
      <c r="AH906" s="1">
        <v>1</v>
      </c>
      <c r="AI906" s="1" t="s">
        <v>3758</v>
      </c>
      <c r="AJ906" s="1" t="s">
        <v>3759</v>
      </c>
      <c r="AK906" s="1" t="s">
        <v>238</v>
      </c>
      <c r="AM906" s="1">
        <v>1</v>
      </c>
      <c r="AV906" s="1">
        <v>1</v>
      </c>
      <c r="AX906" s="1">
        <v>0.1</v>
      </c>
      <c r="BE906" s="1" t="s">
        <v>3756</v>
      </c>
      <c r="BK906" s="1" t="s">
        <v>953</v>
      </c>
      <c r="BN906" s="1" t="s">
        <v>217</v>
      </c>
      <c r="BO906" s="1" t="s">
        <v>218</v>
      </c>
      <c r="BP906" s="1" t="s">
        <v>239</v>
      </c>
      <c r="BQ906" s="1" t="s">
        <v>220</v>
      </c>
      <c r="BT906" s="1">
        <v>1</v>
      </c>
    </row>
    <row r="907" spans="1:72">
      <c r="A907" s="1" t="s">
        <v>3760</v>
      </c>
      <c r="B907" s="1" t="s">
        <v>213</v>
      </c>
      <c r="C907" s="1">
        <v>1</v>
      </c>
      <c r="D907" s="1" t="s">
        <v>3761</v>
      </c>
      <c r="E907" s="1">
        <v>1326</v>
      </c>
      <c r="F907" s="1" t="s">
        <v>3760</v>
      </c>
      <c r="G907" s="1">
        <v>1</v>
      </c>
      <c r="K907" s="1">
        <v>7800</v>
      </c>
      <c r="M907" s="1">
        <v>500</v>
      </c>
      <c r="O907" s="1">
        <v>170</v>
      </c>
      <c r="Q907" s="1">
        <v>40</v>
      </c>
      <c r="Y907" s="1">
        <v>0.05</v>
      </c>
      <c r="Z907" s="1">
        <v>1.5</v>
      </c>
      <c r="AA907" s="1">
        <v>1</v>
      </c>
      <c r="AB907" s="1">
        <v>1.2</v>
      </c>
      <c r="AG907" s="1">
        <v>0</v>
      </c>
      <c r="AH907" s="1">
        <v>1</v>
      </c>
      <c r="AI907" s="1" t="s">
        <v>3762</v>
      </c>
      <c r="AJ907" s="1" t="s">
        <v>3759</v>
      </c>
      <c r="AK907" s="1" t="s">
        <v>238</v>
      </c>
      <c r="AM907" s="1">
        <v>1</v>
      </c>
      <c r="AV907" s="1">
        <v>1</v>
      </c>
      <c r="AX907" s="1">
        <v>0.1</v>
      </c>
      <c r="BE907" s="1" t="s">
        <v>3760</v>
      </c>
      <c r="BK907" s="1" t="s">
        <v>953</v>
      </c>
      <c r="BN907" s="1" t="s">
        <v>217</v>
      </c>
      <c r="BO907" s="1" t="s">
        <v>218</v>
      </c>
      <c r="BP907" s="1" t="s">
        <v>239</v>
      </c>
      <c r="BQ907" s="1" t="s">
        <v>220</v>
      </c>
      <c r="BT907" s="1">
        <v>1</v>
      </c>
    </row>
    <row r="908" spans="1:72">
      <c r="A908" s="1" t="s">
        <v>3763</v>
      </c>
      <c r="B908" s="1" t="s">
        <v>213</v>
      </c>
      <c r="C908" s="1">
        <v>1</v>
      </c>
      <c r="D908" s="1" t="s">
        <v>3764</v>
      </c>
      <c r="E908" s="1">
        <v>1327</v>
      </c>
      <c r="F908" s="1" t="s">
        <v>3763</v>
      </c>
      <c r="G908" s="1">
        <v>1</v>
      </c>
      <c r="K908" s="1">
        <v>5750</v>
      </c>
      <c r="M908" s="1">
        <v>350</v>
      </c>
      <c r="O908" s="1">
        <v>170</v>
      </c>
      <c r="Q908" s="1">
        <v>40</v>
      </c>
      <c r="Y908" s="1">
        <v>0.05</v>
      </c>
      <c r="Z908" s="1">
        <v>3</v>
      </c>
      <c r="AA908" s="1">
        <v>1</v>
      </c>
      <c r="AB908" s="1">
        <v>0.8</v>
      </c>
      <c r="AG908" s="1">
        <v>0</v>
      </c>
      <c r="AH908" s="1">
        <v>1</v>
      </c>
      <c r="AI908" s="1" t="s">
        <v>3765</v>
      </c>
      <c r="AJ908" s="1" t="s">
        <v>3759</v>
      </c>
      <c r="AK908" s="1" t="s">
        <v>238</v>
      </c>
      <c r="AM908" s="1">
        <v>1</v>
      </c>
      <c r="AV908" s="1">
        <v>1</v>
      </c>
      <c r="AX908" s="1">
        <v>0.1</v>
      </c>
      <c r="BE908" s="1" t="s">
        <v>3763</v>
      </c>
      <c r="BK908" s="1" t="s">
        <v>959</v>
      </c>
      <c r="BN908" s="1" t="s">
        <v>3766</v>
      </c>
      <c r="BO908" s="1" t="s">
        <v>281</v>
      </c>
      <c r="BP908" s="1" t="s">
        <v>1635</v>
      </c>
      <c r="BQ908" s="1" t="s">
        <v>3222</v>
      </c>
      <c r="BT908" s="1">
        <v>1</v>
      </c>
    </row>
    <row r="909" spans="1:72">
      <c r="A909" s="1" t="s">
        <v>3767</v>
      </c>
      <c r="B909" s="1" t="s">
        <v>213</v>
      </c>
      <c r="C909" s="1">
        <v>1</v>
      </c>
      <c r="D909" s="1" t="s">
        <v>3768</v>
      </c>
      <c r="E909" s="1">
        <v>1327</v>
      </c>
      <c r="F909" s="1" t="s">
        <v>3767</v>
      </c>
      <c r="G909" s="1">
        <v>1</v>
      </c>
      <c r="K909" s="1">
        <v>8000</v>
      </c>
      <c r="M909" s="1">
        <v>500</v>
      </c>
      <c r="O909" s="1">
        <v>200</v>
      </c>
      <c r="Q909" s="1">
        <v>40</v>
      </c>
      <c r="Y909" s="1">
        <v>0.05</v>
      </c>
      <c r="Z909" s="1">
        <v>3</v>
      </c>
      <c r="AA909" s="1">
        <v>1</v>
      </c>
      <c r="AB909" s="1">
        <v>0.8</v>
      </c>
      <c r="AG909" s="1">
        <v>0</v>
      </c>
      <c r="AH909" s="1">
        <v>1</v>
      </c>
      <c r="AI909" s="1" t="s">
        <v>3769</v>
      </c>
      <c r="AJ909" s="1" t="s">
        <v>3759</v>
      </c>
      <c r="AK909" s="1" t="s">
        <v>238</v>
      </c>
      <c r="AM909" s="1">
        <v>1</v>
      </c>
      <c r="AV909" s="1">
        <v>1</v>
      </c>
      <c r="AX909" s="1">
        <v>0.1</v>
      </c>
      <c r="BE909" s="1" t="s">
        <v>3767</v>
      </c>
      <c r="BK909" s="1" t="s">
        <v>959</v>
      </c>
      <c r="BN909" s="1" t="s">
        <v>3766</v>
      </c>
      <c r="BO909" s="1" t="s">
        <v>281</v>
      </c>
      <c r="BP909" s="1" t="s">
        <v>1635</v>
      </c>
      <c r="BQ909" s="1" t="s">
        <v>3222</v>
      </c>
      <c r="BT909" s="1">
        <v>1</v>
      </c>
    </row>
    <row r="910" spans="1:72">
      <c r="A910" s="1" t="s">
        <v>3770</v>
      </c>
      <c r="B910" s="1" t="s">
        <v>213</v>
      </c>
      <c r="C910" s="1">
        <v>1</v>
      </c>
      <c r="D910" s="1" t="s">
        <v>3771</v>
      </c>
      <c r="E910" s="1">
        <v>1328</v>
      </c>
      <c r="F910" s="1" t="s">
        <v>3770</v>
      </c>
      <c r="G910" s="1">
        <v>1</v>
      </c>
      <c r="K910" s="1">
        <v>10000</v>
      </c>
      <c r="M910" s="1">
        <v>700</v>
      </c>
      <c r="O910" s="1">
        <v>550</v>
      </c>
      <c r="Q910" s="1">
        <v>50</v>
      </c>
      <c r="Y910" s="1">
        <v>0.05</v>
      </c>
      <c r="Z910" s="1">
        <v>3</v>
      </c>
      <c r="AA910" s="1">
        <v>1</v>
      </c>
      <c r="AB910" s="1">
        <v>0.75</v>
      </c>
      <c r="AG910" s="1">
        <v>0</v>
      </c>
      <c r="AH910" s="1">
        <v>1</v>
      </c>
      <c r="AI910" s="1" t="s">
        <v>3772</v>
      </c>
      <c r="AJ910" s="1" t="s">
        <v>3759</v>
      </c>
      <c r="AK910" s="1" t="s">
        <v>238</v>
      </c>
      <c r="AM910" s="1">
        <v>1</v>
      </c>
      <c r="AV910" s="1">
        <v>1</v>
      </c>
      <c r="AX910" s="1">
        <v>0.1</v>
      </c>
      <c r="BE910" s="1" t="s">
        <v>3770</v>
      </c>
      <c r="BK910" s="1" t="s">
        <v>1012</v>
      </c>
      <c r="BN910" s="1" t="s">
        <v>217</v>
      </c>
      <c r="BO910" s="1" t="s">
        <v>218</v>
      </c>
      <c r="BP910" s="1" t="s">
        <v>239</v>
      </c>
      <c r="BQ910" s="1" t="s">
        <v>220</v>
      </c>
      <c r="BT910" s="1">
        <v>1</v>
      </c>
    </row>
    <row r="911" spans="1:72">
      <c r="A911" s="1" t="s">
        <v>3773</v>
      </c>
      <c r="B911" s="1" t="s">
        <v>213</v>
      </c>
      <c r="C911" s="1">
        <v>1</v>
      </c>
      <c r="D911" s="1" t="s">
        <v>3774</v>
      </c>
      <c r="E911" s="1">
        <v>1328</v>
      </c>
      <c r="F911" s="1" t="s">
        <v>3773</v>
      </c>
      <c r="G911" s="1">
        <v>1</v>
      </c>
      <c r="K911" s="1">
        <v>14000</v>
      </c>
      <c r="M911" s="1">
        <v>800</v>
      </c>
      <c r="O911" s="1">
        <v>650</v>
      </c>
      <c r="Q911" s="1">
        <v>50</v>
      </c>
      <c r="Y911" s="1">
        <v>0.05</v>
      </c>
      <c r="Z911" s="1">
        <v>3</v>
      </c>
      <c r="AA911" s="1">
        <v>1</v>
      </c>
      <c r="AB911" s="1">
        <v>0.75</v>
      </c>
      <c r="AG911" s="1">
        <v>0</v>
      </c>
      <c r="AH911" s="1">
        <v>1</v>
      </c>
      <c r="AI911" s="1" t="s">
        <v>3775</v>
      </c>
      <c r="AJ911" s="1" t="s">
        <v>3759</v>
      </c>
      <c r="AK911" s="1" t="s">
        <v>238</v>
      </c>
      <c r="AM911" s="1">
        <v>1</v>
      </c>
      <c r="AV911" s="1">
        <v>1</v>
      </c>
      <c r="AX911" s="1">
        <v>0.1</v>
      </c>
      <c r="BE911" s="1" t="s">
        <v>3773</v>
      </c>
      <c r="BK911" s="1" t="s">
        <v>1012</v>
      </c>
      <c r="BN911" s="1" t="s">
        <v>217</v>
      </c>
      <c r="BO911" s="1" t="s">
        <v>218</v>
      </c>
      <c r="BP911" s="1" t="s">
        <v>239</v>
      </c>
      <c r="BQ911" s="1" t="s">
        <v>220</v>
      </c>
      <c r="BT911" s="1">
        <v>1</v>
      </c>
    </row>
    <row r="912" spans="1:72">
      <c r="A912" s="1" t="s">
        <v>3776</v>
      </c>
      <c r="B912" s="1" t="s">
        <v>213</v>
      </c>
      <c r="C912" s="1">
        <v>1</v>
      </c>
      <c r="D912" s="1" t="s">
        <v>3777</v>
      </c>
      <c r="E912" s="1">
        <v>1329</v>
      </c>
      <c r="F912" s="1" t="s">
        <v>3776</v>
      </c>
      <c r="G912" s="1">
        <v>1</v>
      </c>
      <c r="K912" s="1">
        <v>10000</v>
      </c>
      <c r="M912" s="1">
        <v>700</v>
      </c>
      <c r="O912" s="1">
        <v>3300</v>
      </c>
      <c r="Q912" s="1">
        <v>60</v>
      </c>
      <c r="Y912" s="1">
        <v>0.05</v>
      </c>
      <c r="Z912" s="1">
        <v>3</v>
      </c>
      <c r="AA912" s="1">
        <v>3</v>
      </c>
      <c r="AB912" s="1">
        <v>0.75</v>
      </c>
      <c r="AG912" s="1">
        <v>0</v>
      </c>
      <c r="AH912" s="1">
        <v>1</v>
      </c>
      <c r="AI912" s="1" t="s">
        <v>3778</v>
      </c>
      <c r="AJ912" s="1" t="s">
        <v>3394</v>
      </c>
      <c r="AK912" s="1" t="s">
        <v>238</v>
      </c>
      <c r="AM912" s="1">
        <v>1</v>
      </c>
      <c r="AV912" s="1">
        <v>1</v>
      </c>
      <c r="AX912" s="1">
        <v>0.1</v>
      </c>
      <c r="BE912" s="1" t="s">
        <v>3776</v>
      </c>
      <c r="BK912" s="1" t="s">
        <v>953</v>
      </c>
      <c r="BN912" s="1" t="s">
        <v>217</v>
      </c>
      <c r="BO912" s="1" t="s">
        <v>218</v>
      </c>
      <c r="BP912" s="1" t="s">
        <v>239</v>
      </c>
      <c r="BQ912" s="1" t="s">
        <v>220</v>
      </c>
      <c r="BT912" s="1">
        <v>1</v>
      </c>
    </row>
    <row r="913" spans="1:72">
      <c r="A913" s="1" t="s">
        <v>3779</v>
      </c>
      <c r="B913" s="1" t="s">
        <v>213</v>
      </c>
      <c r="C913" s="1">
        <v>1</v>
      </c>
      <c r="D913" s="1" t="s">
        <v>3780</v>
      </c>
      <c r="E913" s="1">
        <v>1329</v>
      </c>
      <c r="F913" s="1" t="s">
        <v>3779</v>
      </c>
      <c r="G913" s="1">
        <v>1</v>
      </c>
      <c r="K913" s="1">
        <v>13000</v>
      </c>
      <c r="M913" s="1">
        <v>900</v>
      </c>
      <c r="O913" s="1">
        <v>3500</v>
      </c>
      <c r="Q913" s="1">
        <v>60</v>
      </c>
      <c r="Y913" s="1">
        <v>0.05</v>
      </c>
      <c r="Z913" s="1">
        <v>3</v>
      </c>
      <c r="AA913" s="1">
        <v>3</v>
      </c>
      <c r="AB913" s="1">
        <v>0.75</v>
      </c>
      <c r="AG913" s="1">
        <v>0</v>
      </c>
      <c r="AH913" s="1">
        <v>1</v>
      </c>
      <c r="AI913" s="1" t="s">
        <v>3781</v>
      </c>
      <c r="AJ913" s="1" t="s">
        <v>3394</v>
      </c>
      <c r="AK913" s="1" t="s">
        <v>238</v>
      </c>
      <c r="AM913" s="1">
        <v>1</v>
      </c>
      <c r="AV913" s="1">
        <v>1</v>
      </c>
      <c r="AX913" s="1">
        <v>0.1</v>
      </c>
      <c r="BE913" s="1" t="s">
        <v>3779</v>
      </c>
      <c r="BK913" s="1" t="s">
        <v>953</v>
      </c>
      <c r="BN913" s="1" t="s">
        <v>217</v>
      </c>
      <c r="BO913" s="1" t="s">
        <v>218</v>
      </c>
      <c r="BP913" s="1" t="s">
        <v>239</v>
      </c>
      <c r="BQ913" s="1" t="s">
        <v>220</v>
      </c>
      <c r="BT913" s="1">
        <v>1</v>
      </c>
    </row>
    <row r="914" spans="1:72">
      <c r="A914" s="1" t="s">
        <v>3782</v>
      </c>
      <c r="B914" s="1" t="s">
        <v>213</v>
      </c>
      <c r="C914" s="1">
        <v>1</v>
      </c>
      <c r="D914" s="1" t="s">
        <v>3783</v>
      </c>
      <c r="E914" s="1">
        <v>1330</v>
      </c>
      <c r="F914" s="1" t="s">
        <v>3782</v>
      </c>
      <c r="G914" s="1">
        <v>1</v>
      </c>
      <c r="K914" s="1">
        <v>12000</v>
      </c>
      <c r="M914" s="1">
        <v>1000</v>
      </c>
      <c r="O914" s="1">
        <v>1100</v>
      </c>
      <c r="Q914" s="1">
        <v>0</v>
      </c>
      <c r="Y914" s="1">
        <v>0.05</v>
      </c>
      <c r="Z914" s="1">
        <v>5</v>
      </c>
      <c r="AA914" s="1">
        <v>3</v>
      </c>
      <c r="AB914" s="1">
        <v>1.1</v>
      </c>
      <c r="AG914" s="1">
        <v>0</v>
      </c>
      <c r="AH914" s="1">
        <v>1</v>
      </c>
      <c r="AI914" s="1" t="s">
        <v>3784</v>
      </c>
      <c r="AJ914" s="1" t="s">
        <v>3521</v>
      </c>
      <c r="AK914" s="1" t="s">
        <v>238</v>
      </c>
      <c r="AM914" s="1">
        <v>1</v>
      </c>
      <c r="AP914" s="1">
        <v>3</v>
      </c>
      <c r="AV914" s="1">
        <v>1</v>
      </c>
      <c r="AX914" s="1">
        <v>0.1</v>
      </c>
      <c r="BE914" s="1" t="s">
        <v>3782</v>
      </c>
      <c r="BK914" s="1" t="s">
        <v>2407</v>
      </c>
      <c r="BN914" s="1" t="s">
        <v>217</v>
      </c>
      <c r="BO914" s="1" t="s">
        <v>218</v>
      </c>
      <c r="BP914" s="1" t="s">
        <v>239</v>
      </c>
      <c r="BQ914" s="1" t="s">
        <v>220</v>
      </c>
      <c r="BT914" s="1">
        <v>1</v>
      </c>
    </row>
    <row r="915" spans="1:72">
      <c r="A915" s="1" t="s">
        <v>3785</v>
      </c>
      <c r="B915" s="1" t="s">
        <v>213</v>
      </c>
      <c r="C915" s="1">
        <v>1</v>
      </c>
      <c r="D915" s="1" t="s">
        <v>3786</v>
      </c>
      <c r="E915" s="1">
        <v>1330</v>
      </c>
      <c r="F915" s="1" t="s">
        <v>3785</v>
      </c>
      <c r="G915" s="1">
        <v>1</v>
      </c>
      <c r="K915" s="1">
        <v>14000</v>
      </c>
      <c r="M915" s="1">
        <v>1200</v>
      </c>
      <c r="O915" s="1">
        <v>1300</v>
      </c>
      <c r="Q915" s="1">
        <v>0</v>
      </c>
      <c r="Y915" s="1">
        <v>0.05</v>
      </c>
      <c r="Z915" s="1">
        <v>5</v>
      </c>
      <c r="AA915" s="1">
        <v>3</v>
      </c>
      <c r="AB915" s="1">
        <v>1.1</v>
      </c>
      <c r="AG915" s="1">
        <v>0</v>
      </c>
      <c r="AH915" s="1">
        <v>1</v>
      </c>
      <c r="AI915" s="1" t="s">
        <v>3787</v>
      </c>
      <c r="AJ915" s="1" t="s">
        <v>3521</v>
      </c>
      <c r="AK915" s="1" t="s">
        <v>238</v>
      </c>
      <c r="AM915" s="1">
        <v>1</v>
      </c>
      <c r="AP915" s="1">
        <v>3</v>
      </c>
      <c r="AV915" s="1">
        <v>1</v>
      </c>
      <c r="AX915" s="1">
        <v>0.1</v>
      </c>
      <c r="BE915" s="1" t="s">
        <v>3785</v>
      </c>
      <c r="BK915" s="1" t="s">
        <v>2407</v>
      </c>
      <c r="BN915" s="1" t="s">
        <v>217</v>
      </c>
      <c r="BO915" s="1" t="s">
        <v>218</v>
      </c>
      <c r="BP915" s="1" t="s">
        <v>239</v>
      </c>
      <c r="BQ915" s="1" t="s">
        <v>220</v>
      </c>
      <c r="BT915" s="1">
        <v>1</v>
      </c>
    </row>
    <row r="916" spans="1:72">
      <c r="A916" s="1" t="s">
        <v>3788</v>
      </c>
      <c r="B916" s="1" t="s">
        <v>213</v>
      </c>
      <c r="C916" s="1">
        <v>1</v>
      </c>
      <c r="D916" s="1" t="s">
        <v>3789</v>
      </c>
      <c r="E916" s="1">
        <v>1331</v>
      </c>
      <c r="F916" s="1" t="s">
        <v>3788</v>
      </c>
      <c r="G916" s="1">
        <v>1</v>
      </c>
      <c r="K916" s="1">
        <v>15000</v>
      </c>
      <c r="M916" s="1">
        <v>190</v>
      </c>
      <c r="O916" s="1">
        <v>800</v>
      </c>
      <c r="Q916" s="1">
        <v>10</v>
      </c>
      <c r="Y916" s="1">
        <v>0.05</v>
      </c>
      <c r="Z916" s="1">
        <v>0.6</v>
      </c>
      <c r="AA916" s="1">
        <v>4</v>
      </c>
      <c r="AB916" s="1">
        <v>0.8</v>
      </c>
      <c r="AG916" s="1">
        <v>0</v>
      </c>
      <c r="AH916" s="1">
        <v>1</v>
      </c>
      <c r="AI916" s="1" t="s">
        <v>3790</v>
      </c>
      <c r="AJ916" s="1" t="s">
        <v>3791</v>
      </c>
      <c r="AK916" s="1" t="s">
        <v>238</v>
      </c>
      <c r="AM916" s="1">
        <v>1</v>
      </c>
      <c r="AV916" s="1">
        <v>1</v>
      </c>
      <c r="AX916" s="1">
        <v>0.1</v>
      </c>
      <c r="BE916" s="1" t="s">
        <v>3788</v>
      </c>
      <c r="BK916" s="1" t="s">
        <v>2398</v>
      </c>
      <c r="BN916" s="1" t="s">
        <v>217</v>
      </c>
      <c r="BO916" s="1" t="s">
        <v>218</v>
      </c>
      <c r="BP916" s="1" t="s">
        <v>239</v>
      </c>
      <c r="BQ916" s="1" t="s">
        <v>220</v>
      </c>
      <c r="BT916" s="1">
        <v>1</v>
      </c>
    </row>
    <row r="917" spans="1:72">
      <c r="A917" s="1" t="s">
        <v>3792</v>
      </c>
      <c r="B917" s="1" t="s">
        <v>213</v>
      </c>
      <c r="C917" s="1">
        <v>1</v>
      </c>
      <c r="D917" s="1" t="s">
        <v>3793</v>
      </c>
      <c r="E917" s="1">
        <v>1331</v>
      </c>
      <c r="F917" s="1" t="s">
        <v>3792</v>
      </c>
      <c r="G917" s="1">
        <v>1</v>
      </c>
      <c r="K917" s="1">
        <v>20000</v>
      </c>
      <c r="M917" s="1">
        <v>250</v>
      </c>
      <c r="O917" s="1">
        <v>900</v>
      </c>
      <c r="Q917" s="1">
        <v>10</v>
      </c>
      <c r="Y917" s="1">
        <v>0.05</v>
      </c>
      <c r="Z917" s="1">
        <v>0.6</v>
      </c>
      <c r="AA917" s="1">
        <v>4</v>
      </c>
      <c r="AB917" s="1">
        <v>0.8</v>
      </c>
      <c r="AG917" s="1">
        <v>0</v>
      </c>
      <c r="AH917" s="1">
        <v>1</v>
      </c>
      <c r="AI917" s="1" t="s">
        <v>3794</v>
      </c>
      <c r="AJ917" s="1" t="s">
        <v>3791</v>
      </c>
      <c r="AK917" s="1" t="s">
        <v>238</v>
      </c>
      <c r="AM917" s="1">
        <v>1</v>
      </c>
      <c r="AV917" s="1">
        <v>1</v>
      </c>
      <c r="AX917" s="1">
        <v>0.1</v>
      </c>
      <c r="BE917" s="1" t="s">
        <v>3792</v>
      </c>
      <c r="BK917" s="1" t="s">
        <v>2398</v>
      </c>
      <c r="BN917" s="1" t="s">
        <v>217</v>
      </c>
      <c r="BO917" s="1" t="s">
        <v>218</v>
      </c>
      <c r="BP917" s="1" t="s">
        <v>239</v>
      </c>
      <c r="BQ917" s="1" t="s">
        <v>220</v>
      </c>
      <c r="BT917" s="1">
        <v>1</v>
      </c>
    </row>
    <row r="918" spans="1:72">
      <c r="A918" s="1" t="s">
        <v>3795</v>
      </c>
      <c r="B918" s="1" t="s">
        <v>213</v>
      </c>
      <c r="C918" s="1">
        <v>1</v>
      </c>
      <c r="D918" s="1" t="s">
        <v>3796</v>
      </c>
      <c r="E918" s="1">
        <v>1332</v>
      </c>
      <c r="F918" s="1" t="s">
        <v>3795</v>
      </c>
      <c r="G918" s="1">
        <v>1</v>
      </c>
      <c r="K918" s="1">
        <v>20000</v>
      </c>
      <c r="M918" s="1">
        <v>1200</v>
      </c>
      <c r="O918" s="1">
        <v>4500</v>
      </c>
      <c r="Q918" s="1">
        <v>75</v>
      </c>
      <c r="Y918" s="1">
        <v>0.05</v>
      </c>
      <c r="Z918" s="1">
        <v>5</v>
      </c>
      <c r="AA918" s="1">
        <v>5</v>
      </c>
      <c r="AB918" s="1">
        <v>0.8</v>
      </c>
      <c r="AG918" s="1">
        <v>0</v>
      </c>
      <c r="AH918" s="1">
        <v>1</v>
      </c>
      <c r="AI918" s="1" t="s">
        <v>3797</v>
      </c>
      <c r="AJ918" s="1" t="s">
        <v>3534</v>
      </c>
      <c r="AK918" s="1" t="s">
        <v>238</v>
      </c>
      <c r="AM918" s="1">
        <v>1</v>
      </c>
      <c r="AP918" s="1">
        <v>4</v>
      </c>
      <c r="AV918" s="1">
        <v>1</v>
      </c>
      <c r="AX918" s="1">
        <v>0.1</v>
      </c>
      <c r="BE918" s="1" t="s">
        <v>3795</v>
      </c>
      <c r="BK918" s="1" t="s">
        <v>2398</v>
      </c>
      <c r="BN918" s="1" t="s">
        <v>217</v>
      </c>
      <c r="BO918" s="1" t="s">
        <v>218</v>
      </c>
      <c r="BP918" s="1" t="s">
        <v>239</v>
      </c>
      <c r="BQ918" s="1" t="s">
        <v>220</v>
      </c>
      <c r="BT918" s="1">
        <v>1</v>
      </c>
    </row>
    <row r="919" spans="1:72">
      <c r="A919" s="1" t="s">
        <v>3798</v>
      </c>
      <c r="B919" s="1" t="s">
        <v>213</v>
      </c>
      <c r="C919" s="1">
        <v>1</v>
      </c>
      <c r="D919" s="1" t="s">
        <v>3799</v>
      </c>
      <c r="E919" s="1">
        <v>1332</v>
      </c>
      <c r="F919" s="1" t="s">
        <v>3798</v>
      </c>
      <c r="G919" s="1">
        <v>1</v>
      </c>
      <c r="K919" s="1">
        <v>22000</v>
      </c>
      <c r="M919" s="1">
        <v>1500</v>
      </c>
      <c r="O919" s="1">
        <v>4800</v>
      </c>
      <c r="Q919" s="1">
        <v>90</v>
      </c>
      <c r="Y919" s="1">
        <v>0.05</v>
      </c>
      <c r="Z919" s="1">
        <v>5</v>
      </c>
      <c r="AA919" s="1">
        <v>5</v>
      </c>
      <c r="AB919" s="1">
        <v>0.8</v>
      </c>
      <c r="AG919" s="1">
        <v>0</v>
      </c>
      <c r="AH919" s="1">
        <v>1</v>
      </c>
      <c r="AI919" s="1" t="s">
        <v>3800</v>
      </c>
      <c r="AJ919" s="1" t="s">
        <v>3534</v>
      </c>
      <c r="AK919" s="1" t="s">
        <v>238</v>
      </c>
      <c r="AM919" s="1">
        <v>1</v>
      </c>
      <c r="AP919" s="1">
        <v>4</v>
      </c>
      <c r="AV919" s="1">
        <v>1</v>
      </c>
      <c r="AX919" s="1">
        <v>0.1</v>
      </c>
      <c r="BE919" s="1" t="s">
        <v>3798</v>
      </c>
      <c r="BK919" s="1" t="s">
        <v>2398</v>
      </c>
      <c r="BN919" s="1" t="s">
        <v>217</v>
      </c>
      <c r="BO919" s="1" t="s">
        <v>218</v>
      </c>
      <c r="BP919" s="1" t="s">
        <v>239</v>
      </c>
      <c r="BQ919" s="1" t="s">
        <v>220</v>
      </c>
      <c r="BT919" s="1">
        <v>1</v>
      </c>
    </row>
    <row r="920" spans="1:72">
      <c r="A920" s="1" t="s">
        <v>3801</v>
      </c>
      <c r="B920" s="1" t="s">
        <v>213</v>
      </c>
      <c r="C920" s="1">
        <v>1</v>
      </c>
      <c r="D920" s="1" t="s">
        <v>3796</v>
      </c>
      <c r="E920" s="1">
        <v>1332</v>
      </c>
      <c r="F920" s="1" t="s">
        <v>3795</v>
      </c>
      <c r="G920" s="1">
        <v>1</v>
      </c>
      <c r="K920" s="1">
        <v>32000</v>
      </c>
      <c r="M920" s="1">
        <v>1200</v>
      </c>
      <c r="O920" s="1">
        <v>0</v>
      </c>
      <c r="Q920" s="1">
        <v>0</v>
      </c>
      <c r="Y920" s="1">
        <v>0.05</v>
      </c>
      <c r="Z920" s="1">
        <v>5</v>
      </c>
      <c r="AA920" s="1">
        <v>5</v>
      </c>
      <c r="AB920" s="1">
        <v>0.8</v>
      </c>
      <c r="AG920" s="1">
        <v>0</v>
      </c>
      <c r="AH920" s="1">
        <v>1</v>
      </c>
      <c r="AI920" s="1" t="s">
        <v>3802</v>
      </c>
      <c r="AJ920" s="1" t="s">
        <v>3534</v>
      </c>
      <c r="AK920" s="1" t="s">
        <v>238</v>
      </c>
      <c r="AM920" s="1">
        <v>1</v>
      </c>
      <c r="AP920" s="1">
        <v>4</v>
      </c>
      <c r="AV920" s="1">
        <v>1</v>
      </c>
      <c r="AX920" s="1">
        <v>0.1</v>
      </c>
      <c r="BE920" s="1" t="s">
        <v>3795</v>
      </c>
      <c r="BK920" s="1" t="s">
        <v>2398</v>
      </c>
      <c r="BN920" s="1" t="s">
        <v>217</v>
      </c>
      <c r="BO920" s="1" t="s">
        <v>218</v>
      </c>
      <c r="BP920" s="1" t="s">
        <v>239</v>
      </c>
      <c r="BQ920" s="1" t="s">
        <v>220</v>
      </c>
      <c r="BT920" s="1">
        <v>1</v>
      </c>
    </row>
    <row r="921" spans="1:72">
      <c r="A921" s="1" t="s">
        <v>3803</v>
      </c>
      <c r="B921" s="1" t="s">
        <v>213</v>
      </c>
      <c r="C921" s="1">
        <v>1</v>
      </c>
      <c r="D921" s="1" t="s">
        <v>3799</v>
      </c>
      <c r="E921" s="1">
        <v>1332</v>
      </c>
      <c r="F921" s="1" t="s">
        <v>3798</v>
      </c>
      <c r="G921" s="1">
        <v>1</v>
      </c>
      <c r="K921" s="1">
        <v>40000</v>
      </c>
      <c r="M921" s="1">
        <v>1500</v>
      </c>
      <c r="O921" s="1">
        <v>0</v>
      </c>
      <c r="Q921" s="1">
        <v>0</v>
      </c>
      <c r="Y921" s="1">
        <v>0.05</v>
      </c>
      <c r="Z921" s="1">
        <v>5</v>
      </c>
      <c r="AA921" s="1">
        <v>5</v>
      </c>
      <c r="AB921" s="1">
        <v>0.8</v>
      </c>
      <c r="AG921" s="1">
        <v>0</v>
      </c>
      <c r="AH921" s="1">
        <v>1</v>
      </c>
      <c r="AI921" s="1" t="s">
        <v>3804</v>
      </c>
      <c r="AJ921" s="1" t="s">
        <v>3534</v>
      </c>
      <c r="AK921" s="1" t="s">
        <v>238</v>
      </c>
      <c r="AM921" s="1">
        <v>1</v>
      </c>
      <c r="AP921" s="1">
        <v>4</v>
      </c>
      <c r="AV921" s="1">
        <v>1</v>
      </c>
      <c r="AX921" s="1">
        <v>0.1</v>
      </c>
      <c r="BE921" s="1" t="s">
        <v>3798</v>
      </c>
      <c r="BK921" s="1" t="s">
        <v>2398</v>
      </c>
      <c r="BN921" s="1" t="s">
        <v>217</v>
      </c>
      <c r="BO921" s="1" t="s">
        <v>218</v>
      </c>
      <c r="BP921" s="1" t="s">
        <v>239</v>
      </c>
      <c r="BQ921" s="1" t="s">
        <v>220</v>
      </c>
      <c r="BT921" s="1">
        <v>1</v>
      </c>
    </row>
    <row r="922" spans="1:72">
      <c r="A922" s="1" t="s">
        <v>3805</v>
      </c>
      <c r="B922" s="1" t="s">
        <v>213</v>
      </c>
      <c r="C922" s="1">
        <v>1</v>
      </c>
      <c r="D922" s="1" t="s">
        <v>3806</v>
      </c>
      <c r="E922" s="1">
        <v>1333</v>
      </c>
      <c r="F922" s="1" t="s">
        <v>3805</v>
      </c>
      <c r="G922" s="1">
        <v>1</v>
      </c>
      <c r="K922" s="1">
        <v>5500</v>
      </c>
      <c r="M922" s="1">
        <v>600</v>
      </c>
      <c r="O922" s="1">
        <v>300</v>
      </c>
      <c r="Q922" s="1">
        <v>40</v>
      </c>
      <c r="Y922" s="1">
        <v>0.05</v>
      </c>
      <c r="Z922" s="1">
        <v>1.5</v>
      </c>
      <c r="AA922" s="1">
        <v>1</v>
      </c>
      <c r="AB922" s="1">
        <v>1.2</v>
      </c>
      <c r="AG922" s="1">
        <v>0</v>
      </c>
      <c r="AH922" s="1">
        <v>1</v>
      </c>
      <c r="AI922" s="1" t="s">
        <v>3807</v>
      </c>
      <c r="AJ922" s="1" t="s">
        <v>3534</v>
      </c>
      <c r="AK922" s="1" t="s">
        <v>238</v>
      </c>
      <c r="AM922" s="1">
        <v>1</v>
      </c>
      <c r="AV922" s="1">
        <v>1</v>
      </c>
      <c r="AX922" s="1">
        <v>0.1</v>
      </c>
      <c r="BE922" s="1" t="s">
        <v>3805</v>
      </c>
      <c r="BK922" s="1" t="s">
        <v>1012</v>
      </c>
      <c r="BN922" s="1" t="s">
        <v>217</v>
      </c>
      <c r="BO922" s="1" t="s">
        <v>218</v>
      </c>
      <c r="BP922" s="1" t="s">
        <v>239</v>
      </c>
      <c r="BQ922" s="1" t="s">
        <v>220</v>
      </c>
      <c r="BT922" s="1">
        <v>1</v>
      </c>
    </row>
    <row r="923" spans="1:72">
      <c r="A923" s="1" t="s">
        <v>3808</v>
      </c>
      <c r="B923" s="1" t="s">
        <v>213</v>
      </c>
      <c r="C923" s="1">
        <v>1</v>
      </c>
      <c r="D923" s="1" t="s">
        <v>3809</v>
      </c>
      <c r="E923" s="1">
        <v>1333</v>
      </c>
      <c r="F923" s="1" t="s">
        <v>3808</v>
      </c>
      <c r="G923" s="1">
        <v>1</v>
      </c>
      <c r="K923" s="1">
        <v>8500</v>
      </c>
      <c r="M923" s="1">
        <v>600</v>
      </c>
      <c r="O923" s="1">
        <v>400</v>
      </c>
      <c r="Q923" s="1">
        <v>40</v>
      </c>
      <c r="Y923" s="1">
        <v>0.05</v>
      </c>
      <c r="Z923" s="1">
        <v>1.5</v>
      </c>
      <c r="AA923" s="1">
        <v>1</v>
      </c>
      <c r="AB923" s="1">
        <v>1.2</v>
      </c>
      <c r="AG923" s="1">
        <v>0</v>
      </c>
      <c r="AH923" s="1">
        <v>1</v>
      </c>
      <c r="AI923" s="1" t="s">
        <v>3810</v>
      </c>
      <c r="AJ923" s="1" t="s">
        <v>3534</v>
      </c>
      <c r="AK923" s="1" t="s">
        <v>238</v>
      </c>
      <c r="AM923" s="1">
        <v>1</v>
      </c>
      <c r="AV923" s="1">
        <v>1</v>
      </c>
      <c r="AX923" s="1">
        <v>0.1</v>
      </c>
      <c r="BE923" s="1" t="s">
        <v>3808</v>
      </c>
      <c r="BK923" s="1" t="s">
        <v>1012</v>
      </c>
      <c r="BN923" s="1" t="s">
        <v>217</v>
      </c>
      <c r="BO923" s="1" t="s">
        <v>218</v>
      </c>
      <c r="BP923" s="1" t="s">
        <v>239</v>
      </c>
      <c r="BQ923" s="1" t="s">
        <v>220</v>
      </c>
      <c r="BT923" s="1">
        <v>1</v>
      </c>
    </row>
    <row r="924" spans="1:72">
      <c r="A924" s="1" t="s">
        <v>3811</v>
      </c>
      <c r="B924" s="1" t="s">
        <v>213</v>
      </c>
      <c r="C924" s="1">
        <v>1</v>
      </c>
      <c r="D924" s="1" t="s">
        <v>3812</v>
      </c>
      <c r="E924" s="1">
        <v>1543</v>
      </c>
      <c r="F924" s="1" t="s">
        <v>3811</v>
      </c>
      <c r="G924" s="1">
        <v>1</v>
      </c>
      <c r="K924" s="1">
        <v>35000</v>
      </c>
      <c r="M924" s="1">
        <v>600</v>
      </c>
      <c r="O924" s="1">
        <v>600</v>
      </c>
      <c r="Q924" s="1">
        <v>50</v>
      </c>
      <c r="Y924" s="1">
        <v>0.05</v>
      </c>
      <c r="Z924" s="1">
        <v>5</v>
      </c>
      <c r="AA924" s="1">
        <v>10</v>
      </c>
      <c r="AB924" s="1">
        <v>0.4</v>
      </c>
      <c r="AG924" s="1">
        <v>0</v>
      </c>
      <c r="AH924" s="1">
        <v>1</v>
      </c>
      <c r="AI924" s="1" t="s">
        <v>3813</v>
      </c>
      <c r="AJ924" s="1" t="s">
        <v>3401</v>
      </c>
      <c r="AK924" s="1" t="s">
        <v>238</v>
      </c>
      <c r="AM924" s="1">
        <v>1</v>
      </c>
      <c r="AV924" s="1">
        <v>2</v>
      </c>
      <c r="AX924" s="1">
        <v>0.1</v>
      </c>
      <c r="BE924" s="1" t="s">
        <v>3811</v>
      </c>
      <c r="BK924" s="1" t="s">
        <v>3814</v>
      </c>
      <c r="BN924" s="1" t="s">
        <v>3354</v>
      </c>
      <c r="BO924" s="1" t="s">
        <v>1959</v>
      </c>
      <c r="BP924" s="1" t="s">
        <v>1960</v>
      </c>
      <c r="BQ924" s="1" t="s">
        <v>220</v>
      </c>
      <c r="BT924" s="1">
        <v>1</v>
      </c>
    </row>
    <row r="925" spans="1:72">
      <c r="A925" s="1" t="s">
        <v>3815</v>
      </c>
      <c r="B925" s="1" t="s">
        <v>213</v>
      </c>
      <c r="C925" s="1">
        <v>1</v>
      </c>
      <c r="D925" s="1" t="s">
        <v>3816</v>
      </c>
      <c r="E925" s="1">
        <v>1335</v>
      </c>
      <c r="F925" s="1" t="s">
        <v>3815</v>
      </c>
      <c r="G925" s="1">
        <v>1</v>
      </c>
      <c r="K925" s="1">
        <v>2200</v>
      </c>
      <c r="M925" s="1">
        <v>300</v>
      </c>
      <c r="O925" s="1">
        <v>100</v>
      </c>
      <c r="Q925" s="1">
        <v>0</v>
      </c>
      <c r="Y925" s="1">
        <v>0.05</v>
      </c>
      <c r="Z925" s="1">
        <v>1.4</v>
      </c>
      <c r="AA925" s="1">
        <v>1</v>
      </c>
      <c r="AB925" s="1">
        <v>1.7</v>
      </c>
      <c r="AG925" s="1">
        <v>0</v>
      </c>
      <c r="AH925" s="1">
        <v>1</v>
      </c>
      <c r="AI925" s="1" t="s">
        <v>3817</v>
      </c>
      <c r="AJ925" s="1" t="s">
        <v>3521</v>
      </c>
      <c r="AK925" s="1" t="s">
        <v>238</v>
      </c>
      <c r="AM925" s="1">
        <v>1</v>
      </c>
      <c r="AV925" s="1">
        <v>1</v>
      </c>
      <c r="AX925" s="1">
        <v>0.1</v>
      </c>
      <c r="BE925" s="1" t="s">
        <v>3815</v>
      </c>
      <c r="BK925" s="1" t="s">
        <v>911</v>
      </c>
      <c r="BN925" s="1" t="s">
        <v>217</v>
      </c>
      <c r="BO925" s="1" t="s">
        <v>218</v>
      </c>
      <c r="BP925" s="1" t="s">
        <v>239</v>
      </c>
      <c r="BQ925" s="1" t="s">
        <v>220</v>
      </c>
      <c r="BT925" s="1">
        <v>1</v>
      </c>
    </row>
    <row r="926" spans="1:72">
      <c r="A926" s="1" t="s">
        <v>3818</v>
      </c>
      <c r="B926" s="1" t="s">
        <v>213</v>
      </c>
      <c r="C926" s="1">
        <v>1</v>
      </c>
      <c r="D926" s="1" t="s">
        <v>3819</v>
      </c>
      <c r="E926" s="1">
        <v>1335</v>
      </c>
      <c r="F926" s="1" t="s">
        <v>3818</v>
      </c>
      <c r="G926" s="1">
        <v>1</v>
      </c>
      <c r="K926" s="1">
        <v>3500</v>
      </c>
      <c r="M926" s="1">
        <v>350</v>
      </c>
      <c r="O926" s="1">
        <v>120</v>
      </c>
      <c r="Q926" s="1">
        <v>0</v>
      </c>
      <c r="Y926" s="1">
        <v>0.05</v>
      </c>
      <c r="Z926" s="1">
        <v>1.4</v>
      </c>
      <c r="AA926" s="1">
        <v>1</v>
      </c>
      <c r="AB926" s="1">
        <v>1.7</v>
      </c>
      <c r="AG926" s="1">
        <v>0</v>
      </c>
      <c r="AH926" s="1">
        <v>1</v>
      </c>
      <c r="AI926" s="1" t="s">
        <v>3820</v>
      </c>
      <c r="AJ926" s="1" t="s">
        <v>3521</v>
      </c>
      <c r="AK926" s="1" t="s">
        <v>238</v>
      </c>
      <c r="AM926" s="1">
        <v>1</v>
      </c>
      <c r="AV926" s="1">
        <v>1</v>
      </c>
      <c r="AX926" s="1">
        <v>0.1</v>
      </c>
      <c r="BE926" s="1" t="s">
        <v>3818</v>
      </c>
      <c r="BK926" s="1" t="s">
        <v>911</v>
      </c>
      <c r="BN926" s="1" t="s">
        <v>217</v>
      </c>
      <c r="BO926" s="1" t="s">
        <v>218</v>
      </c>
      <c r="BP926" s="1" t="s">
        <v>239</v>
      </c>
      <c r="BQ926" s="1" t="s">
        <v>220</v>
      </c>
      <c r="BT926" s="1">
        <v>1</v>
      </c>
    </row>
    <row r="927" spans="1:72">
      <c r="A927" s="1" t="s">
        <v>3821</v>
      </c>
      <c r="B927" s="1" t="s">
        <v>213</v>
      </c>
      <c r="C927" s="1">
        <v>1</v>
      </c>
      <c r="D927" s="1" t="s">
        <v>3822</v>
      </c>
      <c r="E927" s="1">
        <v>1336</v>
      </c>
      <c r="F927" s="1" t="s">
        <v>3821</v>
      </c>
      <c r="G927" s="1">
        <v>1</v>
      </c>
      <c r="K927" s="1">
        <v>3500</v>
      </c>
      <c r="M927" s="1">
        <v>150</v>
      </c>
      <c r="O927" s="1">
        <v>120</v>
      </c>
      <c r="Q927" s="1">
        <v>20</v>
      </c>
      <c r="Y927" s="1">
        <v>0.05</v>
      </c>
      <c r="Z927" s="1">
        <v>3</v>
      </c>
      <c r="AA927" s="1">
        <v>1</v>
      </c>
      <c r="AB927" s="1">
        <v>0.7</v>
      </c>
      <c r="AG927" s="1">
        <v>0</v>
      </c>
      <c r="AH927" s="1">
        <v>1</v>
      </c>
      <c r="AI927" s="1" t="s">
        <v>3823</v>
      </c>
      <c r="AJ927" s="1" t="s">
        <v>3824</v>
      </c>
      <c r="AK927" s="1" t="s">
        <v>238</v>
      </c>
      <c r="AM927" s="1">
        <v>1</v>
      </c>
      <c r="AN927" s="1">
        <v>1</v>
      </c>
      <c r="AV927" s="1">
        <v>1</v>
      </c>
      <c r="AX927" s="1">
        <v>0.1</v>
      </c>
      <c r="BE927" s="1" t="s">
        <v>3821</v>
      </c>
      <c r="BK927" s="1" t="s">
        <v>924</v>
      </c>
      <c r="BN927" s="1" t="s">
        <v>217</v>
      </c>
      <c r="BO927" s="1" t="s">
        <v>218</v>
      </c>
      <c r="BP927" s="1" t="s">
        <v>239</v>
      </c>
      <c r="BQ927" s="1" t="s">
        <v>220</v>
      </c>
      <c r="BT927" s="1">
        <v>1</v>
      </c>
    </row>
    <row r="928" spans="1:72">
      <c r="A928" s="1" t="s">
        <v>3825</v>
      </c>
      <c r="B928" s="1" t="s">
        <v>213</v>
      </c>
      <c r="C928" s="1">
        <v>1</v>
      </c>
      <c r="D928" s="1" t="s">
        <v>3826</v>
      </c>
      <c r="E928" s="1">
        <v>1336</v>
      </c>
      <c r="F928" s="1" t="s">
        <v>3825</v>
      </c>
      <c r="G928" s="1">
        <v>1</v>
      </c>
      <c r="K928" s="1">
        <v>4500</v>
      </c>
      <c r="M928" s="1">
        <v>200</v>
      </c>
      <c r="O928" s="1">
        <v>150</v>
      </c>
      <c r="Q928" s="1">
        <v>20</v>
      </c>
      <c r="Y928" s="1">
        <v>0.05</v>
      </c>
      <c r="Z928" s="1">
        <v>3</v>
      </c>
      <c r="AA928" s="1">
        <v>1</v>
      </c>
      <c r="AB928" s="1">
        <v>0.7</v>
      </c>
      <c r="AG928" s="1">
        <v>0</v>
      </c>
      <c r="AH928" s="1">
        <v>1</v>
      </c>
      <c r="AI928" s="1" t="s">
        <v>3827</v>
      </c>
      <c r="AJ928" s="1" t="s">
        <v>3824</v>
      </c>
      <c r="AK928" s="1" t="s">
        <v>238</v>
      </c>
      <c r="AM928" s="1">
        <v>1</v>
      </c>
      <c r="AN928" s="1">
        <v>1</v>
      </c>
      <c r="AV928" s="1">
        <v>1</v>
      </c>
      <c r="AX928" s="1">
        <v>0.1</v>
      </c>
      <c r="BE928" s="1" t="s">
        <v>3825</v>
      </c>
      <c r="BK928" s="1" t="s">
        <v>924</v>
      </c>
      <c r="BN928" s="1" t="s">
        <v>217</v>
      </c>
      <c r="BO928" s="1" t="s">
        <v>218</v>
      </c>
      <c r="BP928" s="1" t="s">
        <v>239</v>
      </c>
      <c r="BQ928" s="1" t="s">
        <v>220</v>
      </c>
      <c r="BT928" s="1">
        <v>1</v>
      </c>
    </row>
    <row r="929" spans="1:72">
      <c r="A929" s="1" t="s">
        <v>3828</v>
      </c>
      <c r="B929" s="1" t="s">
        <v>213</v>
      </c>
      <c r="C929" s="1">
        <v>1</v>
      </c>
      <c r="D929" s="1" t="s">
        <v>3829</v>
      </c>
      <c r="E929" s="1">
        <v>1337</v>
      </c>
      <c r="F929" s="1" t="s">
        <v>3828</v>
      </c>
      <c r="G929" s="1">
        <v>1</v>
      </c>
      <c r="K929" s="1">
        <v>5500</v>
      </c>
      <c r="M929" s="1">
        <v>350</v>
      </c>
      <c r="O929" s="1">
        <v>400</v>
      </c>
      <c r="Q929" s="1">
        <v>0</v>
      </c>
      <c r="Y929" s="1">
        <v>0.05</v>
      </c>
      <c r="Z929" s="1">
        <v>2</v>
      </c>
      <c r="AA929" s="1">
        <v>2</v>
      </c>
      <c r="AB929" s="1">
        <v>0.8</v>
      </c>
      <c r="AG929" s="1">
        <v>0</v>
      </c>
      <c r="AH929" s="1">
        <v>1</v>
      </c>
      <c r="AI929" s="1" t="s">
        <v>3830</v>
      </c>
      <c r="AJ929" s="1" t="s">
        <v>243</v>
      </c>
      <c r="AK929" s="1" t="s">
        <v>238</v>
      </c>
      <c r="AM929" s="1">
        <v>1</v>
      </c>
      <c r="AV929" s="1">
        <v>1</v>
      </c>
      <c r="AX929" s="1">
        <v>0.1</v>
      </c>
      <c r="BE929" s="1" t="s">
        <v>3828</v>
      </c>
      <c r="BK929" s="1" t="s">
        <v>959</v>
      </c>
      <c r="BN929" s="1" t="s">
        <v>217</v>
      </c>
      <c r="BO929" s="1" t="s">
        <v>218</v>
      </c>
      <c r="BP929" s="1" t="s">
        <v>239</v>
      </c>
      <c r="BQ929" s="1" t="s">
        <v>220</v>
      </c>
      <c r="BT929" s="1">
        <v>1</v>
      </c>
    </row>
    <row r="930" spans="1:72">
      <c r="A930" s="1" t="s">
        <v>3831</v>
      </c>
      <c r="B930" s="1" t="s">
        <v>213</v>
      </c>
      <c r="C930" s="1">
        <v>1</v>
      </c>
      <c r="D930" s="1" t="s">
        <v>3832</v>
      </c>
      <c r="E930" s="1">
        <v>1337</v>
      </c>
      <c r="F930" s="1" t="s">
        <v>3831</v>
      </c>
      <c r="G930" s="1">
        <v>1</v>
      </c>
      <c r="K930" s="1">
        <v>7000</v>
      </c>
      <c r="M930" s="1">
        <v>450</v>
      </c>
      <c r="O930" s="1">
        <v>450</v>
      </c>
      <c r="Q930" s="1">
        <v>0</v>
      </c>
      <c r="Y930" s="1">
        <v>0.05</v>
      </c>
      <c r="Z930" s="1">
        <v>2</v>
      </c>
      <c r="AA930" s="1">
        <v>2</v>
      </c>
      <c r="AB930" s="1">
        <v>0.8</v>
      </c>
      <c r="AG930" s="1">
        <v>0</v>
      </c>
      <c r="AH930" s="1">
        <v>1</v>
      </c>
      <c r="AI930" s="1" t="s">
        <v>3833</v>
      </c>
      <c r="AJ930" s="1" t="s">
        <v>243</v>
      </c>
      <c r="AK930" s="1" t="s">
        <v>238</v>
      </c>
      <c r="AM930" s="1">
        <v>1</v>
      </c>
      <c r="AV930" s="1">
        <v>1</v>
      </c>
      <c r="AX930" s="1">
        <v>0.1</v>
      </c>
      <c r="BE930" s="1" t="s">
        <v>3831</v>
      </c>
      <c r="BK930" s="1" t="s">
        <v>959</v>
      </c>
      <c r="BN930" s="1" t="s">
        <v>217</v>
      </c>
      <c r="BO930" s="1" t="s">
        <v>218</v>
      </c>
      <c r="BP930" s="1" t="s">
        <v>239</v>
      </c>
      <c r="BQ930" s="1" t="s">
        <v>220</v>
      </c>
      <c r="BT930" s="1">
        <v>1</v>
      </c>
    </row>
    <row r="931" spans="1:72">
      <c r="A931" s="1" t="s">
        <v>3834</v>
      </c>
      <c r="B931" s="1" t="s">
        <v>213</v>
      </c>
      <c r="C931" s="1">
        <v>1</v>
      </c>
      <c r="D931" s="1" t="s">
        <v>3835</v>
      </c>
      <c r="E931" s="1">
        <v>1338</v>
      </c>
      <c r="F931" s="1" t="s">
        <v>3834</v>
      </c>
      <c r="G931" s="1">
        <v>1</v>
      </c>
      <c r="K931" s="1">
        <v>5300</v>
      </c>
      <c r="M931" s="1">
        <v>500</v>
      </c>
      <c r="O931" s="1">
        <v>330</v>
      </c>
      <c r="Q931" s="1">
        <v>0</v>
      </c>
      <c r="Y931" s="1">
        <v>0.05</v>
      </c>
      <c r="Z931" s="1">
        <v>2</v>
      </c>
      <c r="AA931" s="1">
        <v>2</v>
      </c>
      <c r="AB931" s="1">
        <v>0.9</v>
      </c>
      <c r="AG931" s="1">
        <v>0</v>
      </c>
      <c r="AH931" s="1">
        <v>1</v>
      </c>
      <c r="AI931" s="1" t="s">
        <v>3836</v>
      </c>
      <c r="AJ931" s="1" t="s">
        <v>243</v>
      </c>
      <c r="AK931" s="1" t="s">
        <v>238</v>
      </c>
      <c r="AM931" s="1">
        <v>1</v>
      </c>
      <c r="AV931" s="1">
        <v>1</v>
      </c>
      <c r="AX931" s="1">
        <v>0.1</v>
      </c>
      <c r="BE931" s="1" t="s">
        <v>3834</v>
      </c>
      <c r="BK931" s="1" t="s">
        <v>953</v>
      </c>
      <c r="BN931" s="1" t="s">
        <v>217</v>
      </c>
      <c r="BO931" s="1" t="s">
        <v>218</v>
      </c>
      <c r="BP931" s="1" t="s">
        <v>239</v>
      </c>
      <c r="BQ931" s="1" t="s">
        <v>220</v>
      </c>
      <c r="BT931" s="1">
        <v>1</v>
      </c>
    </row>
    <row r="932" spans="1:72">
      <c r="A932" s="1" t="s">
        <v>3837</v>
      </c>
      <c r="B932" s="1" t="s">
        <v>213</v>
      </c>
      <c r="C932" s="1">
        <v>1</v>
      </c>
      <c r="D932" s="1" t="s">
        <v>3838</v>
      </c>
      <c r="E932" s="1">
        <v>1338</v>
      </c>
      <c r="F932" s="1" t="s">
        <v>3837</v>
      </c>
      <c r="G932" s="1">
        <v>1</v>
      </c>
      <c r="K932" s="1">
        <v>7300</v>
      </c>
      <c r="M932" s="1">
        <v>600</v>
      </c>
      <c r="O932" s="1">
        <v>350</v>
      </c>
      <c r="Q932" s="1">
        <v>0</v>
      </c>
      <c r="Y932" s="1">
        <v>0.05</v>
      </c>
      <c r="Z932" s="1">
        <v>2</v>
      </c>
      <c r="AA932" s="1">
        <v>2</v>
      </c>
      <c r="AB932" s="1">
        <v>0.9</v>
      </c>
      <c r="AG932" s="1">
        <v>0</v>
      </c>
      <c r="AH932" s="1">
        <v>1</v>
      </c>
      <c r="AI932" s="1" t="s">
        <v>3839</v>
      </c>
      <c r="AJ932" s="1" t="s">
        <v>243</v>
      </c>
      <c r="AK932" s="1" t="s">
        <v>238</v>
      </c>
      <c r="AM932" s="1">
        <v>1</v>
      </c>
      <c r="AV932" s="1">
        <v>1</v>
      </c>
      <c r="AX932" s="1">
        <v>0.1</v>
      </c>
      <c r="BE932" s="1" t="s">
        <v>3837</v>
      </c>
      <c r="BK932" s="1" t="s">
        <v>953</v>
      </c>
      <c r="BN932" s="1" t="s">
        <v>217</v>
      </c>
      <c r="BO932" s="1" t="s">
        <v>218</v>
      </c>
      <c r="BP932" s="1" t="s">
        <v>239</v>
      </c>
      <c r="BQ932" s="1" t="s">
        <v>220</v>
      </c>
      <c r="BT932" s="1">
        <v>1</v>
      </c>
    </row>
    <row r="933" spans="1:72">
      <c r="A933" s="1" t="s">
        <v>3840</v>
      </c>
      <c r="B933" s="1" t="s">
        <v>213</v>
      </c>
      <c r="C933" s="1">
        <v>1</v>
      </c>
      <c r="D933" s="1" t="s">
        <v>3841</v>
      </c>
      <c r="E933" s="1">
        <v>1339</v>
      </c>
      <c r="F933" s="1" t="s">
        <v>3840</v>
      </c>
      <c r="G933" s="1">
        <v>1</v>
      </c>
      <c r="K933" s="1">
        <v>20000</v>
      </c>
      <c r="M933" s="1">
        <v>500</v>
      </c>
      <c r="O933" s="1">
        <v>800</v>
      </c>
      <c r="Q933" s="1">
        <v>0</v>
      </c>
      <c r="Y933" s="1">
        <v>0.05</v>
      </c>
      <c r="Z933" s="1">
        <v>4</v>
      </c>
      <c r="AA933" s="1">
        <v>6</v>
      </c>
      <c r="AB933" s="1">
        <v>0.6</v>
      </c>
      <c r="AG933" s="1">
        <v>0</v>
      </c>
      <c r="AH933" s="1">
        <v>1</v>
      </c>
      <c r="AI933" s="1" t="s">
        <v>3842</v>
      </c>
      <c r="AJ933" s="1" t="s">
        <v>3521</v>
      </c>
      <c r="AK933" s="1" t="s">
        <v>238</v>
      </c>
      <c r="AM933" s="1">
        <v>1</v>
      </c>
      <c r="AV933" s="1">
        <v>1</v>
      </c>
      <c r="AX933" s="1">
        <v>0.1</v>
      </c>
      <c r="BE933" s="1" t="s">
        <v>3840</v>
      </c>
      <c r="BK933" s="1" t="s">
        <v>1012</v>
      </c>
      <c r="BN933" s="1" t="s">
        <v>217</v>
      </c>
      <c r="BO933" s="1" t="s">
        <v>218</v>
      </c>
      <c r="BP933" s="1" t="s">
        <v>239</v>
      </c>
      <c r="BQ933" s="1" t="s">
        <v>220</v>
      </c>
      <c r="BT933" s="1">
        <v>1</v>
      </c>
    </row>
    <row r="934" spans="1:72">
      <c r="A934" s="1" t="s">
        <v>3843</v>
      </c>
      <c r="B934" s="1" t="s">
        <v>213</v>
      </c>
      <c r="C934" s="1">
        <v>1</v>
      </c>
      <c r="D934" s="1" t="s">
        <v>3844</v>
      </c>
      <c r="E934" s="1">
        <v>1339</v>
      </c>
      <c r="F934" s="1" t="s">
        <v>3843</v>
      </c>
      <c r="G934" s="1">
        <v>1</v>
      </c>
      <c r="K934" s="1">
        <v>25000</v>
      </c>
      <c r="M934" s="1">
        <v>500</v>
      </c>
      <c r="O934" s="1">
        <v>1000</v>
      </c>
      <c r="Q934" s="1">
        <v>0</v>
      </c>
      <c r="Y934" s="1">
        <v>0.05</v>
      </c>
      <c r="Z934" s="1">
        <v>4</v>
      </c>
      <c r="AA934" s="1">
        <v>6</v>
      </c>
      <c r="AB934" s="1">
        <v>0.6</v>
      </c>
      <c r="AG934" s="1">
        <v>0</v>
      </c>
      <c r="AH934" s="1">
        <v>1</v>
      </c>
      <c r="AI934" s="1" t="s">
        <v>3845</v>
      </c>
      <c r="AJ934" s="1" t="s">
        <v>3521</v>
      </c>
      <c r="AK934" s="1" t="s">
        <v>238</v>
      </c>
      <c r="AM934" s="1">
        <v>1</v>
      </c>
      <c r="AV934" s="1">
        <v>1</v>
      </c>
      <c r="AX934" s="1">
        <v>0.1</v>
      </c>
      <c r="BE934" s="1" t="s">
        <v>3843</v>
      </c>
      <c r="BK934" s="1" t="s">
        <v>1012</v>
      </c>
      <c r="BN934" s="1" t="s">
        <v>217</v>
      </c>
      <c r="BO934" s="1" t="s">
        <v>218</v>
      </c>
      <c r="BP934" s="1" t="s">
        <v>239</v>
      </c>
      <c r="BQ934" s="1" t="s">
        <v>220</v>
      </c>
      <c r="BT934" s="1">
        <v>1</v>
      </c>
    </row>
    <row r="935" spans="1:72">
      <c r="A935" s="1" t="s">
        <v>3846</v>
      </c>
      <c r="B935" s="1" t="s">
        <v>213</v>
      </c>
      <c r="C935" s="1">
        <v>1</v>
      </c>
      <c r="D935" s="1" t="s">
        <v>3847</v>
      </c>
      <c r="E935" s="1">
        <v>1340</v>
      </c>
      <c r="F935" s="1" t="s">
        <v>3846</v>
      </c>
      <c r="G935" s="1">
        <v>1</v>
      </c>
      <c r="K935" s="1">
        <v>15000</v>
      </c>
      <c r="M935" s="1">
        <v>500</v>
      </c>
      <c r="O935" s="1">
        <v>500</v>
      </c>
      <c r="Q935" s="1">
        <v>30</v>
      </c>
      <c r="Y935" s="1">
        <v>0.05</v>
      </c>
      <c r="Z935" s="1">
        <v>3</v>
      </c>
      <c r="AA935" s="1">
        <v>2</v>
      </c>
      <c r="AB935" s="1">
        <v>0.7</v>
      </c>
      <c r="AG935" s="1">
        <v>0</v>
      </c>
      <c r="AH935" s="1">
        <v>1</v>
      </c>
      <c r="AI935" s="1" t="s">
        <v>3848</v>
      </c>
      <c r="AJ935" s="1" t="s">
        <v>216</v>
      </c>
      <c r="AK935" s="1" t="s">
        <v>238</v>
      </c>
      <c r="AM935" s="1">
        <v>1</v>
      </c>
      <c r="AV935" s="1">
        <v>1</v>
      </c>
      <c r="AX935" s="1">
        <v>0.1</v>
      </c>
      <c r="BE935" s="1" t="s">
        <v>3846</v>
      </c>
      <c r="BK935" s="1" t="s">
        <v>980</v>
      </c>
      <c r="BN935" s="1" t="s">
        <v>217</v>
      </c>
      <c r="BO935" s="1" t="s">
        <v>218</v>
      </c>
      <c r="BP935" s="1" t="s">
        <v>239</v>
      </c>
      <c r="BQ935" s="1" t="s">
        <v>220</v>
      </c>
      <c r="BT935" s="1">
        <v>1</v>
      </c>
    </row>
    <row r="936" spans="1:72">
      <c r="A936" s="1" t="s">
        <v>3849</v>
      </c>
      <c r="B936" s="1" t="s">
        <v>213</v>
      </c>
      <c r="C936" s="1">
        <v>1</v>
      </c>
      <c r="D936" s="1" t="s">
        <v>3850</v>
      </c>
      <c r="E936" s="1">
        <v>1340</v>
      </c>
      <c r="F936" s="1" t="s">
        <v>3849</v>
      </c>
      <c r="G936" s="1">
        <v>1</v>
      </c>
      <c r="K936" s="1">
        <v>20000</v>
      </c>
      <c r="M936" s="1">
        <v>600</v>
      </c>
      <c r="O936" s="1">
        <v>600</v>
      </c>
      <c r="Q936" s="1">
        <v>30</v>
      </c>
      <c r="Y936" s="1">
        <v>0.05</v>
      </c>
      <c r="Z936" s="1">
        <v>3</v>
      </c>
      <c r="AA936" s="1">
        <v>2</v>
      </c>
      <c r="AB936" s="1">
        <v>0.7</v>
      </c>
      <c r="AG936" s="1">
        <v>0</v>
      </c>
      <c r="AH936" s="1">
        <v>1</v>
      </c>
      <c r="AI936" s="1" t="s">
        <v>3851</v>
      </c>
      <c r="AJ936" s="1" t="s">
        <v>216</v>
      </c>
      <c r="AK936" s="1" t="s">
        <v>238</v>
      </c>
      <c r="AM936" s="1">
        <v>1</v>
      </c>
      <c r="AV936" s="1">
        <v>1</v>
      </c>
      <c r="AX936" s="1">
        <v>0.1</v>
      </c>
      <c r="BE936" s="1" t="s">
        <v>3849</v>
      </c>
      <c r="BK936" s="1" t="s">
        <v>980</v>
      </c>
      <c r="BN936" s="1" t="s">
        <v>217</v>
      </c>
      <c r="BO936" s="1" t="s">
        <v>218</v>
      </c>
      <c r="BP936" s="1" t="s">
        <v>239</v>
      </c>
      <c r="BQ936" s="1" t="s">
        <v>220</v>
      </c>
      <c r="BT936" s="1">
        <v>1</v>
      </c>
    </row>
    <row r="937" spans="1:72">
      <c r="A937" s="1" t="s">
        <v>3852</v>
      </c>
      <c r="B937" s="1" t="s">
        <v>213</v>
      </c>
      <c r="C937" s="1">
        <v>1</v>
      </c>
      <c r="D937" s="1" t="s">
        <v>3853</v>
      </c>
      <c r="E937" s="1">
        <v>1341</v>
      </c>
      <c r="F937" s="1" t="s">
        <v>3852</v>
      </c>
      <c r="G937" s="1">
        <v>1</v>
      </c>
      <c r="K937" s="1">
        <v>15000</v>
      </c>
      <c r="M937" s="1">
        <v>600</v>
      </c>
      <c r="O937" s="1">
        <v>500</v>
      </c>
      <c r="Q937" s="1">
        <v>50</v>
      </c>
      <c r="Y937" s="1">
        <v>0.05</v>
      </c>
      <c r="Z937" s="1">
        <v>2.5</v>
      </c>
      <c r="AA937" s="1">
        <v>5</v>
      </c>
      <c r="AB937" s="1">
        <v>0.8</v>
      </c>
      <c r="AG937" s="1">
        <v>0</v>
      </c>
      <c r="AH937" s="1">
        <v>1</v>
      </c>
      <c r="AI937" s="1" t="s">
        <v>3854</v>
      </c>
      <c r="AJ937" s="1" t="s">
        <v>216</v>
      </c>
      <c r="AK937" s="1" t="s">
        <v>238</v>
      </c>
      <c r="AM937" s="1">
        <v>1</v>
      </c>
      <c r="AV937" s="1">
        <v>1</v>
      </c>
      <c r="AX937" s="1">
        <v>0.1</v>
      </c>
      <c r="BE937" s="1" t="s">
        <v>3852</v>
      </c>
      <c r="BK937" s="1" t="s">
        <v>1012</v>
      </c>
      <c r="BN937" s="1" t="s">
        <v>217</v>
      </c>
      <c r="BO937" s="1" t="s">
        <v>218</v>
      </c>
      <c r="BP937" s="1" t="s">
        <v>239</v>
      </c>
      <c r="BQ937" s="1" t="s">
        <v>220</v>
      </c>
      <c r="BT937" s="1">
        <v>1</v>
      </c>
    </row>
    <row r="938" spans="1:72">
      <c r="A938" s="1" t="s">
        <v>3855</v>
      </c>
      <c r="B938" s="1" t="s">
        <v>213</v>
      </c>
      <c r="C938" s="1">
        <v>1</v>
      </c>
      <c r="D938" s="1" t="s">
        <v>3856</v>
      </c>
      <c r="E938" s="1">
        <v>1341</v>
      </c>
      <c r="F938" s="1" t="s">
        <v>3855</v>
      </c>
      <c r="G938" s="1">
        <v>1</v>
      </c>
      <c r="K938" s="1">
        <v>20000</v>
      </c>
      <c r="M938" s="1">
        <v>750</v>
      </c>
      <c r="O938" s="1">
        <v>600</v>
      </c>
      <c r="Q938" s="1">
        <v>50</v>
      </c>
      <c r="Y938" s="1">
        <v>0.05</v>
      </c>
      <c r="Z938" s="1">
        <v>2.5</v>
      </c>
      <c r="AA938" s="1">
        <v>5</v>
      </c>
      <c r="AB938" s="1">
        <v>0.8</v>
      </c>
      <c r="AG938" s="1">
        <v>0</v>
      </c>
      <c r="AH938" s="1">
        <v>1</v>
      </c>
      <c r="AI938" s="1" t="s">
        <v>3857</v>
      </c>
      <c r="AJ938" s="1" t="s">
        <v>216</v>
      </c>
      <c r="AK938" s="1" t="s">
        <v>238</v>
      </c>
      <c r="AM938" s="1">
        <v>1</v>
      </c>
      <c r="AV938" s="1">
        <v>1</v>
      </c>
      <c r="AX938" s="1">
        <v>0.1</v>
      </c>
      <c r="BE938" s="1" t="s">
        <v>3855</v>
      </c>
      <c r="BK938" s="1" t="s">
        <v>1012</v>
      </c>
      <c r="BN938" s="1" t="s">
        <v>217</v>
      </c>
      <c r="BO938" s="1" t="s">
        <v>218</v>
      </c>
      <c r="BP938" s="1" t="s">
        <v>239</v>
      </c>
      <c r="BQ938" s="1" t="s">
        <v>220</v>
      </c>
      <c r="BT938" s="1">
        <v>1</v>
      </c>
    </row>
    <row r="939" spans="1:72">
      <c r="A939" s="1" t="s">
        <v>3858</v>
      </c>
      <c r="B939" s="1" t="s">
        <v>213</v>
      </c>
      <c r="C939" s="1">
        <v>1</v>
      </c>
      <c r="D939" s="1" t="s">
        <v>3859</v>
      </c>
      <c r="E939" s="1">
        <v>1342</v>
      </c>
      <c r="F939" s="1" t="s">
        <v>3858</v>
      </c>
      <c r="G939" s="1">
        <v>1</v>
      </c>
      <c r="K939" s="1">
        <v>35000</v>
      </c>
      <c r="M939" s="1">
        <v>700</v>
      </c>
      <c r="O939" s="1">
        <v>400</v>
      </c>
      <c r="Q939" s="1">
        <v>50</v>
      </c>
      <c r="Y939" s="1">
        <v>0.05</v>
      </c>
      <c r="Z939" s="1">
        <v>3</v>
      </c>
      <c r="AA939" s="1">
        <v>6</v>
      </c>
      <c r="AB939" s="1">
        <v>0.7</v>
      </c>
      <c r="AG939" s="1">
        <v>0</v>
      </c>
      <c r="AH939" s="1">
        <v>1</v>
      </c>
      <c r="AI939" s="1" t="s">
        <v>3860</v>
      </c>
      <c r="AJ939" s="1" t="s">
        <v>243</v>
      </c>
      <c r="AK939" s="1" t="s">
        <v>238</v>
      </c>
      <c r="AM939" s="1">
        <v>4</v>
      </c>
      <c r="AV939" s="1">
        <v>1</v>
      </c>
      <c r="AX939" s="1">
        <v>0.1</v>
      </c>
      <c r="BE939" s="1" t="s">
        <v>3858</v>
      </c>
      <c r="BK939" s="1" t="s">
        <v>980</v>
      </c>
      <c r="BN939" s="1" t="s">
        <v>217</v>
      </c>
      <c r="BO939" s="1" t="s">
        <v>218</v>
      </c>
      <c r="BP939" s="1" t="s">
        <v>239</v>
      </c>
      <c r="BQ939" s="1" t="s">
        <v>220</v>
      </c>
      <c r="BT939" s="1">
        <v>2</v>
      </c>
    </row>
    <row r="940" spans="1:72">
      <c r="A940" s="1" t="s">
        <v>3861</v>
      </c>
      <c r="B940" s="1" t="s">
        <v>213</v>
      </c>
      <c r="C940" s="1">
        <v>1</v>
      </c>
      <c r="D940" s="1" t="s">
        <v>3862</v>
      </c>
      <c r="E940" s="1">
        <v>3005</v>
      </c>
      <c r="F940" s="1" t="s">
        <v>3863</v>
      </c>
      <c r="G940" s="1">
        <v>1</v>
      </c>
      <c r="K940" s="1">
        <v>5000</v>
      </c>
      <c r="M940" s="1">
        <v>0</v>
      </c>
      <c r="O940" s="1">
        <v>50</v>
      </c>
      <c r="Q940" s="1">
        <v>0</v>
      </c>
      <c r="Y940" s="1">
        <v>0.05</v>
      </c>
      <c r="Z940" s="1">
        <v>0</v>
      </c>
      <c r="AA940" s="1">
        <v>1</v>
      </c>
      <c r="AB940" s="1">
        <v>0.65</v>
      </c>
      <c r="AG940" s="1">
        <v>0</v>
      </c>
      <c r="AH940" s="1">
        <v>1</v>
      </c>
      <c r="AI940" s="1" t="s">
        <v>3864</v>
      </c>
      <c r="AJ940" s="1" t="s">
        <v>3534</v>
      </c>
      <c r="AK940" s="1" t="s">
        <v>238</v>
      </c>
      <c r="AM940" s="1">
        <v>1</v>
      </c>
      <c r="AV940" s="1">
        <v>0</v>
      </c>
      <c r="AX940" s="1">
        <v>0.1</v>
      </c>
      <c r="BA940" s="1">
        <v>1</v>
      </c>
      <c r="BE940" s="1" t="s">
        <v>3863</v>
      </c>
      <c r="BK940" s="1" t="s">
        <v>3865</v>
      </c>
      <c r="BN940" s="1" t="s">
        <v>217</v>
      </c>
      <c r="BO940" s="1" t="s">
        <v>218</v>
      </c>
      <c r="BP940" s="1" t="s">
        <v>239</v>
      </c>
      <c r="BQ940" s="1" t="s">
        <v>220</v>
      </c>
      <c r="BT940" s="1">
        <v>1</v>
      </c>
    </row>
    <row r="941" spans="1:72">
      <c r="A941" s="1" t="s">
        <v>3866</v>
      </c>
      <c r="B941" s="1" t="s">
        <v>213</v>
      </c>
      <c r="C941" s="1">
        <v>1</v>
      </c>
      <c r="D941" s="1" t="s">
        <v>3862</v>
      </c>
      <c r="E941" s="1">
        <v>3005</v>
      </c>
      <c r="F941" s="1" t="s">
        <v>3863</v>
      </c>
      <c r="G941" s="1">
        <v>1</v>
      </c>
      <c r="K941" s="1">
        <v>5000</v>
      </c>
      <c r="M941" s="1">
        <v>0</v>
      </c>
      <c r="O941" s="1">
        <v>50</v>
      </c>
      <c r="Q941" s="1">
        <v>0</v>
      </c>
      <c r="Y941" s="1">
        <v>0.05</v>
      </c>
      <c r="Z941" s="1">
        <v>0</v>
      </c>
      <c r="AA941" s="1">
        <v>1</v>
      </c>
      <c r="AB941" s="1">
        <v>0.65</v>
      </c>
      <c r="AG941" s="1">
        <v>0</v>
      </c>
      <c r="AH941" s="1">
        <v>1</v>
      </c>
      <c r="AI941" s="1" t="s">
        <v>3867</v>
      </c>
      <c r="AJ941" s="1" t="s">
        <v>3534</v>
      </c>
      <c r="AK941" s="1" t="s">
        <v>238</v>
      </c>
      <c r="AM941" s="1">
        <v>1</v>
      </c>
      <c r="AN941" s="1">
        <v>1</v>
      </c>
      <c r="AV941" s="1">
        <v>0</v>
      </c>
      <c r="AX941" s="1">
        <v>0.1</v>
      </c>
      <c r="BA941" s="1">
        <v>1</v>
      </c>
      <c r="BE941" s="1" t="s">
        <v>3863</v>
      </c>
      <c r="BK941" s="1" t="s">
        <v>3865</v>
      </c>
      <c r="BN941" s="1" t="s">
        <v>217</v>
      </c>
      <c r="BO941" s="1" t="s">
        <v>218</v>
      </c>
      <c r="BP941" s="1" t="s">
        <v>239</v>
      </c>
      <c r="BQ941" s="1" t="s">
        <v>220</v>
      </c>
      <c r="BT941" s="1">
        <v>1</v>
      </c>
    </row>
    <row r="942" spans="1:72">
      <c r="A942" s="1" t="s">
        <v>3868</v>
      </c>
      <c r="B942" s="1" t="s">
        <v>213</v>
      </c>
      <c r="C942" s="1">
        <v>1</v>
      </c>
      <c r="D942" s="1" t="s">
        <v>3869</v>
      </c>
      <c r="E942" s="1">
        <v>1544</v>
      </c>
      <c r="F942" s="1" t="s">
        <v>3870</v>
      </c>
      <c r="G942" s="1">
        <v>1</v>
      </c>
      <c r="K942" s="1">
        <v>800</v>
      </c>
      <c r="M942" s="1">
        <v>100</v>
      </c>
      <c r="O942" s="1">
        <v>0</v>
      </c>
      <c r="Q942" s="1">
        <v>0</v>
      </c>
      <c r="Y942" s="1">
        <v>0.05</v>
      </c>
      <c r="Z942" s="1">
        <v>0</v>
      </c>
      <c r="AA942" s="1">
        <v>6</v>
      </c>
      <c r="AB942" s="1">
        <v>0.5</v>
      </c>
      <c r="AG942" s="1">
        <v>0</v>
      </c>
      <c r="AH942" s="1">
        <v>1</v>
      </c>
      <c r="AI942" s="1" t="s">
        <v>3871</v>
      </c>
      <c r="AJ942" s="1" t="s">
        <v>3401</v>
      </c>
      <c r="AK942" s="1" t="s">
        <v>238</v>
      </c>
      <c r="AM942" s="1">
        <v>1</v>
      </c>
      <c r="AV942" s="1">
        <v>0</v>
      </c>
      <c r="AX942" s="1">
        <v>0.1</v>
      </c>
      <c r="BE942" s="1" t="s">
        <v>3870</v>
      </c>
      <c r="BK942" s="1" t="s">
        <v>3872</v>
      </c>
      <c r="BN942" s="1" t="s">
        <v>217</v>
      </c>
      <c r="BO942" s="1" t="s">
        <v>218</v>
      </c>
      <c r="BP942" s="1" t="s">
        <v>239</v>
      </c>
      <c r="BQ942" s="1" t="s">
        <v>220</v>
      </c>
      <c r="BT942" s="1">
        <v>1</v>
      </c>
    </row>
    <row r="943" spans="1:72">
      <c r="A943" s="1" t="s">
        <v>3873</v>
      </c>
      <c r="B943" s="1" t="s">
        <v>213</v>
      </c>
      <c r="C943" s="1">
        <v>1</v>
      </c>
      <c r="D943" s="1" t="s">
        <v>3874</v>
      </c>
      <c r="E943" s="1">
        <v>1344</v>
      </c>
      <c r="F943" s="1" t="s">
        <v>3873</v>
      </c>
      <c r="G943" s="1">
        <v>1</v>
      </c>
      <c r="K943" s="1">
        <v>5000</v>
      </c>
      <c r="M943" s="1">
        <v>500</v>
      </c>
      <c r="O943" s="1">
        <v>150</v>
      </c>
      <c r="Q943" s="1">
        <v>0</v>
      </c>
      <c r="Y943" s="1">
        <v>0.05</v>
      </c>
      <c r="Z943" s="1">
        <v>3.2</v>
      </c>
      <c r="AA943" s="1">
        <v>1</v>
      </c>
      <c r="AB943" s="1">
        <v>0.8</v>
      </c>
      <c r="AG943" s="1">
        <v>0</v>
      </c>
      <c r="AH943" s="1">
        <v>1</v>
      </c>
      <c r="AI943" s="1" t="s">
        <v>3875</v>
      </c>
      <c r="AJ943" s="1" t="s">
        <v>275</v>
      </c>
      <c r="AK943" s="1" t="s">
        <v>238</v>
      </c>
      <c r="AM943" s="1">
        <v>1</v>
      </c>
      <c r="AV943" s="1">
        <v>1</v>
      </c>
      <c r="AX943" s="1">
        <v>0.1</v>
      </c>
      <c r="BE943" s="1" t="s">
        <v>3873</v>
      </c>
      <c r="BK943" s="1" t="s">
        <v>3876</v>
      </c>
      <c r="BN943" s="1" t="s">
        <v>217</v>
      </c>
      <c r="BO943" s="1" t="s">
        <v>218</v>
      </c>
      <c r="BP943" s="1" t="s">
        <v>239</v>
      </c>
      <c r="BQ943" s="1" t="s">
        <v>220</v>
      </c>
      <c r="BT943" s="1">
        <v>1</v>
      </c>
    </row>
    <row r="944" spans="1:72">
      <c r="A944" s="1" t="s">
        <v>3877</v>
      </c>
      <c r="B944" s="1" t="s">
        <v>213</v>
      </c>
      <c r="C944" s="1">
        <v>1</v>
      </c>
      <c r="D944" s="1" t="s">
        <v>3878</v>
      </c>
      <c r="E944" s="1">
        <v>1344</v>
      </c>
      <c r="F944" s="1" t="s">
        <v>3877</v>
      </c>
      <c r="G944" s="1">
        <v>1</v>
      </c>
      <c r="K944" s="1">
        <v>6500</v>
      </c>
      <c r="M944" s="1">
        <v>600</v>
      </c>
      <c r="O944" s="1">
        <v>200</v>
      </c>
      <c r="Q944" s="1">
        <v>0</v>
      </c>
      <c r="Y944" s="1">
        <v>0.05</v>
      </c>
      <c r="Z944" s="1">
        <v>3.2</v>
      </c>
      <c r="AA944" s="1">
        <v>1</v>
      </c>
      <c r="AB944" s="1">
        <v>0.8</v>
      </c>
      <c r="AG944" s="1">
        <v>0</v>
      </c>
      <c r="AH944" s="1">
        <v>1</v>
      </c>
      <c r="AI944" s="1" t="s">
        <v>3879</v>
      </c>
      <c r="AJ944" s="1" t="s">
        <v>275</v>
      </c>
      <c r="AK944" s="1" t="s">
        <v>238</v>
      </c>
      <c r="AM944" s="1">
        <v>1</v>
      </c>
      <c r="AV944" s="1">
        <v>1</v>
      </c>
      <c r="AX944" s="1">
        <v>0.1</v>
      </c>
      <c r="BE944" s="1" t="s">
        <v>3877</v>
      </c>
      <c r="BK944" s="1" t="s">
        <v>3880</v>
      </c>
      <c r="BN944" s="1" t="s">
        <v>217</v>
      </c>
      <c r="BO944" s="1" t="s">
        <v>218</v>
      </c>
      <c r="BP944" s="1" t="s">
        <v>239</v>
      </c>
      <c r="BQ944" s="1" t="s">
        <v>220</v>
      </c>
      <c r="BT944" s="1">
        <v>1</v>
      </c>
    </row>
    <row r="945" spans="1:72">
      <c r="A945" s="1" t="s">
        <v>3881</v>
      </c>
      <c r="B945" s="1" t="s">
        <v>213</v>
      </c>
      <c r="C945" s="1">
        <v>1</v>
      </c>
      <c r="D945" s="1" t="s">
        <v>3882</v>
      </c>
      <c r="E945" s="1">
        <v>1345</v>
      </c>
      <c r="F945" s="1" t="s">
        <v>3881</v>
      </c>
      <c r="G945" s="1">
        <v>1</v>
      </c>
      <c r="K945" s="1">
        <v>5000</v>
      </c>
      <c r="M945" s="1">
        <v>300</v>
      </c>
      <c r="O945" s="1">
        <v>100</v>
      </c>
      <c r="Q945" s="1">
        <v>0</v>
      </c>
      <c r="Y945" s="1">
        <v>0.05</v>
      </c>
      <c r="Z945" s="1">
        <v>3.5</v>
      </c>
      <c r="AA945" s="1">
        <v>1</v>
      </c>
      <c r="AB945" s="1">
        <v>0.8</v>
      </c>
      <c r="AG945" s="1">
        <v>0</v>
      </c>
      <c r="AH945" s="1">
        <v>1</v>
      </c>
      <c r="AI945" s="1" t="s">
        <v>3883</v>
      </c>
      <c r="AJ945" s="1" t="s">
        <v>275</v>
      </c>
      <c r="AK945" s="1" t="s">
        <v>238</v>
      </c>
      <c r="AM945" s="1">
        <v>1</v>
      </c>
      <c r="AV945" s="1">
        <v>1</v>
      </c>
      <c r="AX945" s="1">
        <v>0.1</v>
      </c>
      <c r="BE945" s="1" t="s">
        <v>3881</v>
      </c>
      <c r="BK945" s="1" t="s">
        <v>3884</v>
      </c>
      <c r="BN945" s="1" t="s">
        <v>217</v>
      </c>
      <c r="BO945" s="1" t="s">
        <v>218</v>
      </c>
      <c r="BP945" s="1" t="s">
        <v>239</v>
      </c>
      <c r="BQ945" s="1" t="s">
        <v>220</v>
      </c>
      <c r="BT945" s="1">
        <v>1</v>
      </c>
    </row>
    <row r="946" spans="1:72">
      <c r="A946" s="1" t="s">
        <v>3885</v>
      </c>
      <c r="B946" s="1" t="s">
        <v>213</v>
      </c>
      <c r="C946" s="1">
        <v>1</v>
      </c>
      <c r="D946" s="1" t="s">
        <v>3886</v>
      </c>
      <c r="E946" s="1">
        <v>1345</v>
      </c>
      <c r="F946" s="1" t="s">
        <v>3885</v>
      </c>
      <c r="G946" s="1">
        <v>1</v>
      </c>
      <c r="K946" s="1">
        <v>6000</v>
      </c>
      <c r="M946" s="1">
        <v>380</v>
      </c>
      <c r="O946" s="1">
        <v>150</v>
      </c>
      <c r="Q946" s="1">
        <v>0</v>
      </c>
      <c r="Y946" s="1">
        <v>0.05</v>
      </c>
      <c r="Z946" s="1">
        <v>3.5</v>
      </c>
      <c r="AA946" s="1">
        <v>1</v>
      </c>
      <c r="AB946" s="1">
        <v>0.8</v>
      </c>
      <c r="AG946" s="1">
        <v>0</v>
      </c>
      <c r="AH946" s="1">
        <v>1</v>
      </c>
      <c r="AI946" s="1" t="s">
        <v>3887</v>
      </c>
      <c r="AJ946" s="1" t="s">
        <v>275</v>
      </c>
      <c r="AK946" s="1" t="s">
        <v>238</v>
      </c>
      <c r="AM946" s="1">
        <v>1</v>
      </c>
      <c r="AV946" s="1">
        <v>1</v>
      </c>
      <c r="AX946" s="1">
        <v>0.1</v>
      </c>
      <c r="BE946" s="1" t="s">
        <v>3885</v>
      </c>
      <c r="BK946" s="1" t="s">
        <v>3888</v>
      </c>
      <c r="BN946" s="1" t="s">
        <v>217</v>
      </c>
      <c r="BO946" s="1" t="s">
        <v>218</v>
      </c>
      <c r="BP946" s="1" t="s">
        <v>239</v>
      </c>
      <c r="BQ946" s="1" t="s">
        <v>220</v>
      </c>
      <c r="BT946" s="1">
        <v>1</v>
      </c>
    </row>
    <row r="947" spans="1:72">
      <c r="A947" s="1" t="s">
        <v>3889</v>
      </c>
      <c r="B947" s="1" t="s">
        <v>213</v>
      </c>
      <c r="C947" s="1">
        <v>1</v>
      </c>
      <c r="D947" s="1" t="s">
        <v>3890</v>
      </c>
      <c r="E947" s="1">
        <v>1346</v>
      </c>
      <c r="F947" s="1" t="s">
        <v>3889</v>
      </c>
      <c r="G947" s="1">
        <v>1</v>
      </c>
      <c r="K947" s="1">
        <v>8000</v>
      </c>
      <c r="M947" s="1">
        <v>750</v>
      </c>
      <c r="O947" s="1">
        <v>250</v>
      </c>
      <c r="Q947" s="1">
        <v>20</v>
      </c>
      <c r="Y947" s="1">
        <v>0.05</v>
      </c>
      <c r="Z947" s="1">
        <v>3.2</v>
      </c>
      <c r="AA947" s="1">
        <v>3</v>
      </c>
      <c r="AB947" s="1">
        <v>1.1</v>
      </c>
      <c r="AG947" s="1">
        <v>0</v>
      </c>
      <c r="AH947" s="1">
        <v>1</v>
      </c>
      <c r="AI947" s="1" t="s">
        <v>3891</v>
      </c>
      <c r="AJ947" s="1" t="s">
        <v>275</v>
      </c>
      <c r="AK947" s="1" t="s">
        <v>238</v>
      </c>
      <c r="AM947" s="1">
        <v>1</v>
      </c>
      <c r="AV947" s="1">
        <v>1</v>
      </c>
      <c r="AX947" s="1">
        <v>0.1</v>
      </c>
      <c r="BE947" s="1" t="s">
        <v>3889</v>
      </c>
      <c r="BK947" s="1" t="s">
        <v>953</v>
      </c>
      <c r="BN947" s="1" t="s">
        <v>217</v>
      </c>
      <c r="BO947" s="1" t="s">
        <v>218</v>
      </c>
      <c r="BP947" s="1" t="s">
        <v>239</v>
      </c>
      <c r="BQ947" s="1" t="s">
        <v>220</v>
      </c>
      <c r="BT947" s="1">
        <v>1</v>
      </c>
    </row>
    <row r="948" spans="1:72">
      <c r="A948" s="1" t="s">
        <v>3892</v>
      </c>
      <c r="B948" s="1" t="s">
        <v>213</v>
      </c>
      <c r="C948" s="1">
        <v>1</v>
      </c>
      <c r="D948" s="1" t="s">
        <v>3893</v>
      </c>
      <c r="E948" s="1">
        <v>1346</v>
      </c>
      <c r="F948" s="1" t="s">
        <v>3892</v>
      </c>
      <c r="G948" s="1">
        <v>1</v>
      </c>
      <c r="K948" s="1">
        <v>10000</v>
      </c>
      <c r="M948" s="1">
        <v>900</v>
      </c>
      <c r="O948" s="1">
        <v>300</v>
      </c>
      <c r="Q948" s="1">
        <v>20</v>
      </c>
      <c r="Y948" s="1">
        <v>0.05</v>
      </c>
      <c r="Z948" s="1">
        <v>3.2</v>
      </c>
      <c r="AA948" s="1">
        <v>3</v>
      </c>
      <c r="AB948" s="1">
        <v>1.1</v>
      </c>
      <c r="AG948" s="1">
        <v>0</v>
      </c>
      <c r="AH948" s="1">
        <v>1</v>
      </c>
      <c r="AI948" s="1" t="s">
        <v>3894</v>
      </c>
      <c r="AJ948" s="1" t="s">
        <v>275</v>
      </c>
      <c r="AK948" s="1" t="s">
        <v>238</v>
      </c>
      <c r="AM948" s="1">
        <v>1</v>
      </c>
      <c r="AV948" s="1">
        <v>1</v>
      </c>
      <c r="AX948" s="1">
        <v>0.1</v>
      </c>
      <c r="BE948" s="1" t="s">
        <v>3892</v>
      </c>
      <c r="BK948" s="1" t="s">
        <v>953</v>
      </c>
      <c r="BN948" s="1" t="s">
        <v>217</v>
      </c>
      <c r="BO948" s="1" t="s">
        <v>218</v>
      </c>
      <c r="BP948" s="1" t="s">
        <v>239</v>
      </c>
      <c r="BQ948" s="1" t="s">
        <v>220</v>
      </c>
      <c r="BT948" s="1">
        <v>1</v>
      </c>
    </row>
    <row r="949" spans="1:72">
      <c r="A949" s="1" t="s">
        <v>3895</v>
      </c>
      <c r="B949" s="1" t="s">
        <v>213</v>
      </c>
      <c r="C949" s="1">
        <v>1</v>
      </c>
      <c r="D949" s="1" t="s">
        <v>3896</v>
      </c>
      <c r="E949" s="1">
        <v>1347</v>
      </c>
      <c r="F949" s="1" t="s">
        <v>3895</v>
      </c>
      <c r="G949" s="1">
        <v>1</v>
      </c>
      <c r="K949" s="1">
        <v>18000</v>
      </c>
      <c r="M949" s="1">
        <v>550</v>
      </c>
      <c r="O949" s="1">
        <v>50</v>
      </c>
      <c r="Q949" s="1">
        <v>20</v>
      </c>
      <c r="Y949" s="1">
        <v>0.05</v>
      </c>
      <c r="Z949" s="1">
        <v>3.5</v>
      </c>
      <c r="AA949" s="1">
        <v>1</v>
      </c>
      <c r="AB949" s="1">
        <v>0.35</v>
      </c>
      <c r="AG949" s="1">
        <v>0</v>
      </c>
      <c r="AH949" s="1">
        <v>1</v>
      </c>
      <c r="AI949" s="1" t="s">
        <v>3897</v>
      </c>
      <c r="AJ949" s="1" t="s">
        <v>275</v>
      </c>
      <c r="AK949" s="1" t="s">
        <v>238</v>
      </c>
      <c r="AM949" s="1">
        <v>1</v>
      </c>
      <c r="AV949" s="1">
        <v>1</v>
      </c>
      <c r="AX949" s="1">
        <v>0.1</v>
      </c>
      <c r="BE949" s="1" t="s">
        <v>3895</v>
      </c>
      <c r="BK949" s="1" t="s">
        <v>959</v>
      </c>
      <c r="BN949" s="1" t="s">
        <v>217</v>
      </c>
      <c r="BO949" s="1" t="s">
        <v>218</v>
      </c>
      <c r="BP949" s="1" t="s">
        <v>239</v>
      </c>
      <c r="BQ949" s="1" t="s">
        <v>220</v>
      </c>
      <c r="BT949" s="1">
        <v>1</v>
      </c>
    </row>
    <row r="950" spans="1:72">
      <c r="A950" s="1" t="s">
        <v>3898</v>
      </c>
      <c r="B950" s="1" t="s">
        <v>213</v>
      </c>
      <c r="C950" s="1">
        <v>1</v>
      </c>
      <c r="D950" s="1" t="s">
        <v>3899</v>
      </c>
      <c r="E950" s="1">
        <v>1347</v>
      </c>
      <c r="F950" s="1" t="s">
        <v>3898</v>
      </c>
      <c r="G950" s="1">
        <v>1</v>
      </c>
      <c r="K950" s="1">
        <v>25000</v>
      </c>
      <c r="M950" s="1">
        <v>650</v>
      </c>
      <c r="O950" s="1">
        <v>100</v>
      </c>
      <c r="Q950" s="1">
        <v>25</v>
      </c>
      <c r="Y950" s="1">
        <v>0.05</v>
      </c>
      <c r="Z950" s="1">
        <v>3.5</v>
      </c>
      <c r="AA950" s="1">
        <v>1</v>
      </c>
      <c r="AB950" s="1">
        <v>0.35</v>
      </c>
      <c r="AG950" s="1">
        <v>0</v>
      </c>
      <c r="AH950" s="1">
        <v>1</v>
      </c>
      <c r="AI950" s="1" t="s">
        <v>3900</v>
      </c>
      <c r="AJ950" s="1" t="s">
        <v>275</v>
      </c>
      <c r="AK950" s="1" t="s">
        <v>238</v>
      </c>
      <c r="AM950" s="1">
        <v>1</v>
      </c>
      <c r="AV950" s="1">
        <v>1</v>
      </c>
      <c r="AX950" s="1">
        <v>0.1</v>
      </c>
      <c r="BE950" s="1" t="s">
        <v>3898</v>
      </c>
      <c r="BK950" s="1" t="s">
        <v>959</v>
      </c>
      <c r="BN950" s="1" t="s">
        <v>217</v>
      </c>
      <c r="BO950" s="1" t="s">
        <v>218</v>
      </c>
      <c r="BP950" s="1" t="s">
        <v>239</v>
      </c>
      <c r="BQ950" s="1" t="s">
        <v>220</v>
      </c>
      <c r="BT950" s="1">
        <v>1</v>
      </c>
    </row>
    <row r="951" spans="1:72">
      <c r="A951" s="1" t="s">
        <v>3901</v>
      </c>
      <c r="B951" s="1" t="s">
        <v>213</v>
      </c>
      <c r="C951" s="1">
        <v>1</v>
      </c>
      <c r="D951" s="1" t="s">
        <v>3902</v>
      </c>
      <c r="E951" s="1">
        <v>1348</v>
      </c>
      <c r="F951" s="1" t="s">
        <v>3901</v>
      </c>
      <c r="G951" s="1">
        <v>1</v>
      </c>
      <c r="K951" s="1">
        <v>5000</v>
      </c>
      <c r="M951" s="1">
        <v>1000</v>
      </c>
      <c r="O951" s="1">
        <v>250</v>
      </c>
      <c r="Q951" s="1">
        <v>0</v>
      </c>
      <c r="Y951" s="1">
        <v>0.05</v>
      </c>
      <c r="Z951" s="1">
        <v>2</v>
      </c>
      <c r="AA951" s="1">
        <v>2</v>
      </c>
      <c r="AB951" s="1">
        <v>1.5</v>
      </c>
      <c r="AG951" s="1">
        <v>0</v>
      </c>
      <c r="AH951" s="1">
        <v>1</v>
      </c>
      <c r="AI951" s="1" t="s">
        <v>3903</v>
      </c>
      <c r="AJ951" s="1" t="s">
        <v>275</v>
      </c>
      <c r="AK951" s="1" t="s">
        <v>238</v>
      </c>
      <c r="AM951" s="1">
        <v>1</v>
      </c>
      <c r="AV951" s="1">
        <v>2</v>
      </c>
      <c r="AX951" s="1">
        <v>0.1</v>
      </c>
      <c r="BE951" s="1" t="s">
        <v>3901</v>
      </c>
      <c r="BK951" s="1" t="s">
        <v>953</v>
      </c>
      <c r="BN951" s="1" t="s">
        <v>217</v>
      </c>
      <c r="BO951" s="1" t="s">
        <v>218</v>
      </c>
      <c r="BP951" s="1" t="s">
        <v>239</v>
      </c>
      <c r="BQ951" s="1" t="s">
        <v>220</v>
      </c>
      <c r="BT951" s="1">
        <v>1</v>
      </c>
    </row>
    <row r="952" spans="1:72">
      <c r="A952" s="1" t="s">
        <v>3904</v>
      </c>
      <c r="B952" s="1" t="s">
        <v>213</v>
      </c>
      <c r="C952" s="1">
        <v>1</v>
      </c>
      <c r="D952" s="1" t="s">
        <v>3905</v>
      </c>
      <c r="E952" s="1">
        <v>1348</v>
      </c>
      <c r="F952" s="1" t="s">
        <v>3904</v>
      </c>
      <c r="G952" s="1">
        <v>1</v>
      </c>
      <c r="K952" s="1">
        <v>6000</v>
      </c>
      <c r="M952" s="1">
        <v>1250</v>
      </c>
      <c r="O952" s="1">
        <v>300</v>
      </c>
      <c r="Q952" s="1">
        <v>0</v>
      </c>
      <c r="Y952" s="1">
        <v>0.05</v>
      </c>
      <c r="Z952" s="1">
        <v>2</v>
      </c>
      <c r="AA952" s="1">
        <v>2</v>
      </c>
      <c r="AB952" s="1">
        <v>1.5</v>
      </c>
      <c r="AG952" s="1">
        <v>0</v>
      </c>
      <c r="AH952" s="1">
        <v>1</v>
      </c>
      <c r="AI952" s="1" t="s">
        <v>3906</v>
      </c>
      <c r="AJ952" s="1" t="s">
        <v>275</v>
      </c>
      <c r="AK952" s="1" t="s">
        <v>238</v>
      </c>
      <c r="AM952" s="1">
        <v>1</v>
      </c>
      <c r="AV952" s="1">
        <v>2</v>
      </c>
      <c r="AX952" s="1">
        <v>0.1</v>
      </c>
      <c r="BE952" s="1" t="s">
        <v>3904</v>
      </c>
      <c r="BK952" s="1" t="s">
        <v>953</v>
      </c>
      <c r="BN952" s="1" t="s">
        <v>217</v>
      </c>
      <c r="BO952" s="1" t="s">
        <v>218</v>
      </c>
      <c r="BP952" s="1" t="s">
        <v>239</v>
      </c>
      <c r="BQ952" s="1" t="s">
        <v>220</v>
      </c>
      <c r="BT952" s="1">
        <v>1</v>
      </c>
    </row>
    <row r="953" spans="1:72">
      <c r="A953" s="1" t="s">
        <v>3907</v>
      </c>
      <c r="B953" s="1" t="s">
        <v>213</v>
      </c>
      <c r="C953" s="1">
        <v>1</v>
      </c>
      <c r="D953" s="1" t="s">
        <v>3908</v>
      </c>
      <c r="E953" s="1">
        <v>1349</v>
      </c>
      <c r="F953" s="1" t="s">
        <v>3907</v>
      </c>
      <c r="G953" s="1">
        <v>1</v>
      </c>
      <c r="K953" s="1">
        <v>15000</v>
      </c>
      <c r="M953" s="1">
        <v>1200</v>
      </c>
      <c r="O953" s="1">
        <v>1200</v>
      </c>
      <c r="Q953" s="1">
        <v>20</v>
      </c>
      <c r="Y953" s="1">
        <v>0.05</v>
      </c>
      <c r="Z953" s="1">
        <v>5</v>
      </c>
      <c r="AA953" s="1">
        <v>5</v>
      </c>
      <c r="AB953" s="1">
        <v>0.5</v>
      </c>
      <c r="AG953" s="1">
        <v>0</v>
      </c>
      <c r="AH953" s="1">
        <v>1</v>
      </c>
      <c r="AI953" s="1" t="s">
        <v>3909</v>
      </c>
      <c r="AJ953" s="1" t="s">
        <v>275</v>
      </c>
      <c r="AK953" s="1" t="s">
        <v>238</v>
      </c>
      <c r="AM953" s="1">
        <v>1</v>
      </c>
      <c r="AV953" s="1">
        <v>1</v>
      </c>
      <c r="AX953" s="1">
        <v>0.1</v>
      </c>
      <c r="BE953" s="1" t="s">
        <v>3907</v>
      </c>
      <c r="BK953" s="1" t="s">
        <v>1012</v>
      </c>
      <c r="BN953" s="1" t="s">
        <v>217</v>
      </c>
      <c r="BO953" s="1" t="s">
        <v>218</v>
      </c>
      <c r="BP953" s="1" t="s">
        <v>239</v>
      </c>
      <c r="BQ953" s="1" t="s">
        <v>220</v>
      </c>
      <c r="BT953" s="1">
        <v>1</v>
      </c>
    </row>
    <row r="954" spans="1:72">
      <c r="A954" s="1" t="s">
        <v>3910</v>
      </c>
      <c r="B954" s="1" t="s">
        <v>213</v>
      </c>
      <c r="C954" s="1">
        <v>1</v>
      </c>
      <c r="D954" s="1" t="s">
        <v>3911</v>
      </c>
      <c r="E954" s="1">
        <v>1349</v>
      </c>
      <c r="F954" s="1" t="s">
        <v>3910</v>
      </c>
      <c r="G954" s="1">
        <v>1</v>
      </c>
      <c r="K954" s="1">
        <v>18000</v>
      </c>
      <c r="M954" s="1">
        <v>1500</v>
      </c>
      <c r="O954" s="1">
        <v>1500</v>
      </c>
      <c r="Q954" s="1">
        <v>25</v>
      </c>
      <c r="Y954" s="1">
        <v>0.05</v>
      </c>
      <c r="Z954" s="1">
        <v>5</v>
      </c>
      <c r="AA954" s="1">
        <v>5</v>
      </c>
      <c r="AB954" s="1">
        <v>0.5</v>
      </c>
      <c r="AG954" s="1">
        <v>0</v>
      </c>
      <c r="AH954" s="1">
        <v>1</v>
      </c>
      <c r="AI954" s="1" t="s">
        <v>3912</v>
      </c>
      <c r="AJ954" s="1" t="s">
        <v>275</v>
      </c>
      <c r="AK954" s="1" t="s">
        <v>238</v>
      </c>
      <c r="AM954" s="1">
        <v>1</v>
      </c>
      <c r="AV954" s="1">
        <v>1</v>
      </c>
      <c r="AX954" s="1">
        <v>0.1</v>
      </c>
      <c r="BE954" s="1" t="s">
        <v>3910</v>
      </c>
      <c r="BK954" s="1" t="s">
        <v>1012</v>
      </c>
      <c r="BN954" s="1" t="s">
        <v>217</v>
      </c>
      <c r="BO954" s="1" t="s">
        <v>218</v>
      </c>
      <c r="BP954" s="1" t="s">
        <v>239</v>
      </c>
      <c r="BQ954" s="1" t="s">
        <v>220</v>
      </c>
      <c r="BT954" s="1">
        <v>1</v>
      </c>
    </row>
    <row r="955" spans="1:72">
      <c r="A955" s="1" t="s">
        <v>3913</v>
      </c>
      <c r="B955" s="1" t="s">
        <v>213</v>
      </c>
      <c r="C955" s="1">
        <v>1</v>
      </c>
      <c r="D955" s="1" t="s">
        <v>3914</v>
      </c>
      <c r="E955" s="1">
        <v>1350</v>
      </c>
      <c r="F955" s="1" t="s">
        <v>3913</v>
      </c>
      <c r="G955" s="1">
        <v>1</v>
      </c>
      <c r="K955" s="1">
        <v>7000</v>
      </c>
      <c r="M955" s="1">
        <v>380</v>
      </c>
      <c r="O955" s="1">
        <v>250</v>
      </c>
      <c r="Q955" s="1">
        <v>50</v>
      </c>
      <c r="Y955" s="1">
        <v>0.05</v>
      </c>
      <c r="Z955" s="1">
        <v>3.2</v>
      </c>
      <c r="AA955" s="1">
        <v>2</v>
      </c>
      <c r="AB955" s="1">
        <v>0.7</v>
      </c>
      <c r="AG955" s="1">
        <v>0</v>
      </c>
      <c r="AH955" s="1">
        <v>1</v>
      </c>
      <c r="AI955" s="1" t="s">
        <v>3915</v>
      </c>
      <c r="AJ955" s="1" t="s">
        <v>3521</v>
      </c>
      <c r="AK955" s="1" t="s">
        <v>238</v>
      </c>
      <c r="AM955" s="1">
        <v>1</v>
      </c>
      <c r="AV955" s="1">
        <v>1</v>
      </c>
      <c r="AX955" s="1">
        <v>0.1</v>
      </c>
      <c r="BE955" s="1" t="s">
        <v>3913</v>
      </c>
      <c r="BK955" s="1" t="s">
        <v>980</v>
      </c>
      <c r="BN955" s="1" t="s">
        <v>217</v>
      </c>
      <c r="BO955" s="1" t="s">
        <v>218</v>
      </c>
      <c r="BP955" s="1" t="s">
        <v>239</v>
      </c>
      <c r="BQ955" s="1" t="s">
        <v>220</v>
      </c>
      <c r="BT955" s="1">
        <v>1</v>
      </c>
    </row>
    <row r="956" spans="1:72">
      <c r="A956" s="1" t="s">
        <v>3916</v>
      </c>
      <c r="B956" s="1" t="s">
        <v>213</v>
      </c>
      <c r="C956" s="1">
        <v>1</v>
      </c>
      <c r="D956" s="1" t="s">
        <v>3917</v>
      </c>
      <c r="E956" s="1">
        <v>1350</v>
      </c>
      <c r="F956" s="1" t="s">
        <v>3916</v>
      </c>
      <c r="G956" s="1">
        <v>1</v>
      </c>
      <c r="K956" s="1">
        <v>9000</v>
      </c>
      <c r="M956" s="1">
        <v>550</v>
      </c>
      <c r="O956" s="1">
        <v>280</v>
      </c>
      <c r="Q956" s="1">
        <v>60</v>
      </c>
      <c r="Y956" s="1">
        <v>0.05</v>
      </c>
      <c r="Z956" s="1">
        <v>3.2</v>
      </c>
      <c r="AA956" s="1">
        <v>2</v>
      </c>
      <c r="AB956" s="1">
        <v>0.7</v>
      </c>
      <c r="AG956" s="1">
        <v>0</v>
      </c>
      <c r="AH956" s="1">
        <v>1</v>
      </c>
      <c r="AI956" s="1" t="s">
        <v>3918</v>
      </c>
      <c r="AJ956" s="1" t="s">
        <v>3521</v>
      </c>
      <c r="AK956" s="1" t="s">
        <v>238</v>
      </c>
      <c r="AM956" s="1">
        <v>1</v>
      </c>
      <c r="AV956" s="1">
        <v>1</v>
      </c>
      <c r="AX956" s="1">
        <v>0.1</v>
      </c>
      <c r="BE956" s="1" t="s">
        <v>3916</v>
      </c>
      <c r="BK956" s="1" t="s">
        <v>980</v>
      </c>
      <c r="BN956" s="1" t="s">
        <v>217</v>
      </c>
      <c r="BO956" s="1" t="s">
        <v>218</v>
      </c>
      <c r="BP956" s="1" t="s">
        <v>239</v>
      </c>
      <c r="BQ956" s="1" t="s">
        <v>220</v>
      </c>
      <c r="BT956" s="1">
        <v>1</v>
      </c>
    </row>
    <row r="957" spans="1:72">
      <c r="A957" s="1" t="s">
        <v>3919</v>
      </c>
      <c r="B957" s="1" t="s">
        <v>213</v>
      </c>
      <c r="C957" s="1">
        <v>1</v>
      </c>
      <c r="D957" s="1" t="s">
        <v>3920</v>
      </c>
      <c r="E957" s="1">
        <v>1351</v>
      </c>
      <c r="F957" s="1" t="s">
        <v>3919</v>
      </c>
      <c r="G957" s="1">
        <v>1</v>
      </c>
      <c r="K957" s="1">
        <v>500</v>
      </c>
      <c r="M957" s="1">
        <v>500</v>
      </c>
      <c r="O957" s="1">
        <v>50</v>
      </c>
      <c r="Q957" s="1">
        <v>50</v>
      </c>
      <c r="Y957" s="1">
        <v>0.05</v>
      </c>
      <c r="Z957" s="1">
        <v>5</v>
      </c>
      <c r="AA957" s="1">
        <v>1</v>
      </c>
      <c r="AB957" s="1">
        <v>0</v>
      </c>
      <c r="AG957" s="1">
        <v>0</v>
      </c>
      <c r="AH957" s="1">
        <v>1</v>
      </c>
      <c r="AI957" s="1" t="s">
        <v>3921</v>
      </c>
      <c r="AJ957" s="1" t="s">
        <v>275</v>
      </c>
      <c r="AK957" s="1" t="s">
        <v>238</v>
      </c>
      <c r="AM957" s="1">
        <v>1</v>
      </c>
      <c r="AV957" s="1">
        <v>0</v>
      </c>
      <c r="AX957" s="1">
        <v>0.1</v>
      </c>
      <c r="BE957" s="1" t="s">
        <v>3919</v>
      </c>
      <c r="BK957" s="1" t="s">
        <v>3140</v>
      </c>
      <c r="BN957" s="1" t="s">
        <v>217</v>
      </c>
      <c r="BO957" s="1" t="s">
        <v>218</v>
      </c>
      <c r="BP957" s="1" t="s">
        <v>218</v>
      </c>
      <c r="BQ957" s="1" t="s">
        <v>218</v>
      </c>
      <c r="BT957" s="1">
        <v>1</v>
      </c>
    </row>
    <row r="958" spans="1:72">
      <c r="A958" s="1" t="s">
        <v>3922</v>
      </c>
      <c r="B958" s="1" t="s">
        <v>213</v>
      </c>
      <c r="C958" s="1">
        <v>1</v>
      </c>
      <c r="D958" s="1" t="s">
        <v>3923</v>
      </c>
      <c r="E958" s="1">
        <v>1545</v>
      </c>
      <c r="F958" s="1" t="s">
        <v>3922</v>
      </c>
      <c r="G958" s="1">
        <v>1</v>
      </c>
      <c r="K958" s="1">
        <v>60000</v>
      </c>
      <c r="M958" s="1">
        <v>750</v>
      </c>
      <c r="O958" s="1">
        <v>800</v>
      </c>
      <c r="Q958" s="1">
        <v>60</v>
      </c>
      <c r="Y958" s="1">
        <v>0.05</v>
      </c>
      <c r="Z958" s="1">
        <v>7</v>
      </c>
      <c r="AA958" s="1">
        <v>3</v>
      </c>
      <c r="AB958" s="1">
        <v>0.35</v>
      </c>
      <c r="AG958" s="1">
        <v>0</v>
      </c>
      <c r="AH958" s="1">
        <v>1</v>
      </c>
      <c r="AI958" s="1" t="s">
        <v>3924</v>
      </c>
      <c r="AJ958" s="1" t="s">
        <v>275</v>
      </c>
      <c r="AK958" s="1" t="s">
        <v>238</v>
      </c>
      <c r="AM958" s="1">
        <v>1</v>
      </c>
      <c r="AV958" s="1">
        <v>2</v>
      </c>
      <c r="AX958" s="1">
        <v>0.1</v>
      </c>
      <c r="BE958" s="1" t="s">
        <v>3922</v>
      </c>
      <c r="BK958" s="1" t="s">
        <v>3925</v>
      </c>
      <c r="BN958" s="1" t="s">
        <v>3354</v>
      </c>
      <c r="BO958" s="1" t="s">
        <v>1959</v>
      </c>
      <c r="BP958" s="1" t="s">
        <v>1960</v>
      </c>
      <c r="BQ958" s="1" t="s">
        <v>3355</v>
      </c>
      <c r="BT958" s="1">
        <v>1</v>
      </c>
    </row>
    <row r="959" spans="1:72">
      <c r="A959" s="1" t="s">
        <v>3926</v>
      </c>
      <c r="B959" s="1" t="s">
        <v>213</v>
      </c>
      <c r="C959" s="1">
        <v>1</v>
      </c>
      <c r="D959" s="1" t="s">
        <v>3927</v>
      </c>
      <c r="E959" s="1">
        <v>1352</v>
      </c>
      <c r="F959" s="1" t="s">
        <v>3926</v>
      </c>
      <c r="G959" s="1">
        <v>1</v>
      </c>
      <c r="K959" s="1">
        <v>2000</v>
      </c>
      <c r="M959" s="1">
        <v>90</v>
      </c>
      <c r="O959" s="1">
        <v>50</v>
      </c>
      <c r="Q959" s="1">
        <v>10</v>
      </c>
      <c r="Y959" s="1">
        <v>0.05</v>
      </c>
      <c r="Z959" s="1">
        <v>1.7</v>
      </c>
      <c r="AA959" s="1">
        <v>0</v>
      </c>
      <c r="AB959" s="1">
        <v>1</v>
      </c>
      <c r="AG959" s="1">
        <v>0</v>
      </c>
      <c r="AH959" s="1">
        <v>1</v>
      </c>
      <c r="AI959" s="1" t="s">
        <v>3928</v>
      </c>
      <c r="AJ959" s="1" t="s">
        <v>275</v>
      </c>
      <c r="AK959" s="1" t="s">
        <v>238</v>
      </c>
      <c r="AM959" s="1">
        <v>1</v>
      </c>
      <c r="AV959" s="1">
        <v>1</v>
      </c>
      <c r="AX959" s="1">
        <v>0.1</v>
      </c>
      <c r="BE959" s="1" t="s">
        <v>3926</v>
      </c>
      <c r="BK959" s="1" t="s">
        <v>911</v>
      </c>
      <c r="BN959" s="1" t="s">
        <v>217</v>
      </c>
      <c r="BO959" s="1" t="s">
        <v>218</v>
      </c>
      <c r="BP959" s="1" t="s">
        <v>239</v>
      </c>
      <c r="BQ959" s="1" t="s">
        <v>220</v>
      </c>
      <c r="BT959" s="1">
        <v>1</v>
      </c>
    </row>
    <row r="960" spans="1:72">
      <c r="A960" s="1" t="s">
        <v>3929</v>
      </c>
      <c r="B960" s="1" t="s">
        <v>213</v>
      </c>
      <c r="C960" s="1">
        <v>1</v>
      </c>
      <c r="D960" s="1" t="s">
        <v>3930</v>
      </c>
      <c r="E960" s="1">
        <v>1352</v>
      </c>
      <c r="F960" s="1" t="s">
        <v>3929</v>
      </c>
      <c r="G960" s="1">
        <v>1</v>
      </c>
      <c r="K960" s="1">
        <v>3500</v>
      </c>
      <c r="M960" s="1">
        <v>150</v>
      </c>
      <c r="O960" s="1">
        <v>50</v>
      </c>
      <c r="Q960" s="1">
        <v>15</v>
      </c>
      <c r="Y960" s="1">
        <v>0.05</v>
      </c>
      <c r="Z960" s="1">
        <v>1.7</v>
      </c>
      <c r="AA960" s="1">
        <v>0</v>
      </c>
      <c r="AB960" s="1">
        <v>1</v>
      </c>
      <c r="AG960" s="1">
        <v>0</v>
      </c>
      <c r="AH960" s="1">
        <v>1</v>
      </c>
      <c r="AI960" s="1" t="s">
        <v>3931</v>
      </c>
      <c r="AJ960" s="1" t="s">
        <v>275</v>
      </c>
      <c r="AK960" s="1" t="s">
        <v>238</v>
      </c>
      <c r="AM960" s="1">
        <v>1</v>
      </c>
      <c r="AV960" s="1">
        <v>1</v>
      </c>
      <c r="AX960" s="1">
        <v>0.1</v>
      </c>
      <c r="BE960" s="1" t="s">
        <v>3929</v>
      </c>
      <c r="BK960" s="1" t="s">
        <v>911</v>
      </c>
      <c r="BN960" s="1" t="s">
        <v>217</v>
      </c>
      <c r="BO960" s="1" t="s">
        <v>218</v>
      </c>
      <c r="BP960" s="1" t="s">
        <v>239</v>
      </c>
      <c r="BQ960" s="1" t="s">
        <v>220</v>
      </c>
      <c r="BT960" s="1">
        <v>1</v>
      </c>
    </row>
    <row r="961" spans="1:72">
      <c r="A961" s="1" t="s">
        <v>3932</v>
      </c>
      <c r="B961" s="1" t="s">
        <v>213</v>
      </c>
      <c r="C961" s="1">
        <v>1</v>
      </c>
      <c r="D961" s="1" t="s">
        <v>3933</v>
      </c>
      <c r="E961" s="1">
        <v>1353</v>
      </c>
      <c r="F961" s="1" t="s">
        <v>3932</v>
      </c>
      <c r="G961" s="1">
        <v>1</v>
      </c>
      <c r="K961" s="1">
        <v>5000</v>
      </c>
      <c r="M961" s="1">
        <v>250</v>
      </c>
      <c r="O961" s="1">
        <v>100</v>
      </c>
      <c r="Q961" s="1">
        <v>0</v>
      </c>
      <c r="Y961" s="1">
        <v>0.05</v>
      </c>
      <c r="Z961" s="1">
        <v>2</v>
      </c>
      <c r="AA961" s="1">
        <v>1</v>
      </c>
      <c r="AB961" s="1">
        <v>0.9</v>
      </c>
      <c r="AG961" s="1">
        <v>0</v>
      </c>
      <c r="AH961" s="1">
        <v>1</v>
      </c>
      <c r="AI961" s="1" t="s">
        <v>3934</v>
      </c>
      <c r="AJ961" s="1" t="s">
        <v>3534</v>
      </c>
      <c r="AK961" s="1" t="s">
        <v>238</v>
      </c>
      <c r="AM961" s="1">
        <v>5</v>
      </c>
      <c r="AV961" s="1">
        <v>1</v>
      </c>
      <c r="AX961" s="1">
        <v>0.1</v>
      </c>
      <c r="BE961" s="1" t="s">
        <v>3932</v>
      </c>
      <c r="BK961" s="1" t="s">
        <v>3935</v>
      </c>
      <c r="BN961" s="1" t="s">
        <v>217</v>
      </c>
      <c r="BO961" s="1" t="s">
        <v>218</v>
      </c>
      <c r="BP961" s="1" t="s">
        <v>239</v>
      </c>
      <c r="BQ961" s="1" t="s">
        <v>220</v>
      </c>
      <c r="BT961" s="1">
        <v>1</v>
      </c>
    </row>
    <row r="962" spans="1:72">
      <c r="A962" s="1" t="s">
        <v>3936</v>
      </c>
      <c r="B962" s="1" t="s">
        <v>213</v>
      </c>
      <c r="C962" s="1">
        <v>1</v>
      </c>
      <c r="D962" s="1" t="s">
        <v>3937</v>
      </c>
      <c r="E962" s="1">
        <v>1353</v>
      </c>
      <c r="F962" s="1" t="s">
        <v>3936</v>
      </c>
      <c r="G962" s="1">
        <v>1</v>
      </c>
      <c r="K962" s="1">
        <v>6000</v>
      </c>
      <c r="M962" s="1">
        <v>300</v>
      </c>
      <c r="O962" s="1">
        <v>150</v>
      </c>
      <c r="Q962" s="1">
        <v>0</v>
      </c>
      <c r="Y962" s="1">
        <v>0.05</v>
      </c>
      <c r="Z962" s="1">
        <v>2</v>
      </c>
      <c r="AA962" s="1">
        <v>1</v>
      </c>
      <c r="AB962" s="1">
        <v>0.9</v>
      </c>
      <c r="AG962" s="1">
        <v>0</v>
      </c>
      <c r="AH962" s="1">
        <v>1</v>
      </c>
      <c r="AI962" s="1" t="s">
        <v>3938</v>
      </c>
      <c r="AJ962" s="1" t="s">
        <v>3534</v>
      </c>
      <c r="AK962" s="1" t="s">
        <v>238</v>
      </c>
      <c r="AM962" s="1">
        <v>5</v>
      </c>
      <c r="AV962" s="1">
        <v>1</v>
      </c>
      <c r="AX962" s="1">
        <v>0.1</v>
      </c>
      <c r="BE962" s="1" t="s">
        <v>3936</v>
      </c>
      <c r="BK962" s="1" t="s">
        <v>3935</v>
      </c>
      <c r="BN962" s="1" t="s">
        <v>217</v>
      </c>
      <c r="BO962" s="1" t="s">
        <v>218</v>
      </c>
      <c r="BP962" s="1" t="s">
        <v>239</v>
      </c>
      <c r="BQ962" s="1" t="s">
        <v>220</v>
      </c>
      <c r="BT962" s="1">
        <v>1</v>
      </c>
    </row>
    <row r="963" spans="1:72">
      <c r="A963" s="1" t="s">
        <v>3939</v>
      </c>
      <c r="B963" s="1" t="s">
        <v>213</v>
      </c>
      <c r="C963" s="1">
        <v>1</v>
      </c>
      <c r="D963" s="1" t="s">
        <v>3940</v>
      </c>
      <c r="E963" s="1">
        <v>1354</v>
      </c>
      <c r="F963" s="1" t="s">
        <v>3939</v>
      </c>
      <c r="G963" s="1">
        <v>1</v>
      </c>
      <c r="K963" s="1">
        <v>5000</v>
      </c>
      <c r="M963" s="1">
        <v>100</v>
      </c>
      <c r="O963" s="1">
        <v>120</v>
      </c>
      <c r="Q963" s="1">
        <v>10</v>
      </c>
      <c r="Y963" s="1">
        <v>0.05</v>
      </c>
      <c r="Z963" s="1">
        <v>2</v>
      </c>
      <c r="AA963" s="1">
        <v>1</v>
      </c>
      <c r="AB963" s="1">
        <v>1.2</v>
      </c>
      <c r="AG963" s="1">
        <v>0</v>
      </c>
      <c r="AH963" s="1">
        <v>1</v>
      </c>
      <c r="AI963" s="1" t="s">
        <v>3941</v>
      </c>
      <c r="AJ963" s="1" t="s">
        <v>3534</v>
      </c>
      <c r="AK963" s="1" t="s">
        <v>238</v>
      </c>
      <c r="AM963" s="1">
        <v>5</v>
      </c>
      <c r="AV963" s="1">
        <v>1</v>
      </c>
      <c r="AX963" s="1">
        <v>0.1</v>
      </c>
      <c r="BE963" s="1" t="s">
        <v>3939</v>
      </c>
      <c r="BK963" s="1" t="s">
        <v>3942</v>
      </c>
      <c r="BN963" s="1" t="s">
        <v>217</v>
      </c>
      <c r="BO963" s="1" t="s">
        <v>218</v>
      </c>
      <c r="BP963" s="1" t="s">
        <v>239</v>
      </c>
      <c r="BQ963" s="1" t="s">
        <v>220</v>
      </c>
      <c r="BT963" s="1">
        <v>1</v>
      </c>
    </row>
    <row r="964" spans="1:72">
      <c r="A964" s="1" t="s">
        <v>3943</v>
      </c>
      <c r="B964" s="1" t="s">
        <v>213</v>
      </c>
      <c r="C964" s="1">
        <v>1</v>
      </c>
      <c r="D964" s="1" t="s">
        <v>3944</v>
      </c>
      <c r="E964" s="1">
        <v>1354</v>
      </c>
      <c r="F964" s="1" t="s">
        <v>3943</v>
      </c>
      <c r="G964" s="1">
        <v>1</v>
      </c>
      <c r="K964" s="1">
        <v>7000</v>
      </c>
      <c r="M964" s="1">
        <v>100</v>
      </c>
      <c r="O964" s="1">
        <v>180</v>
      </c>
      <c r="Q964" s="1">
        <v>10</v>
      </c>
      <c r="Y964" s="1">
        <v>0.05</v>
      </c>
      <c r="Z964" s="1">
        <v>2</v>
      </c>
      <c r="AA964" s="1">
        <v>1</v>
      </c>
      <c r="AB964" s="1">
        <v>1.2</v>
      </c>
      <c r="AG964" s="1">
        <v>0</v>
      </c>
      <c r="AH964" s="1">
        <v>1</v>
      </c>
      <c r="AI964" s="1" t="s">
        <v>3945</v>
      </c>
      <c r="AJ964" s="1" t="s">
        <v>3534</v>
      </c>
      <c r="AK964" s="1" t="s">
        <v>238</v>
      </c>
      <c r="AM964" s="1">
        <v>5</v>
      </c>
      <c r="AV964" s="1">
        <v>1</v>
      </c>
      <c r="AX964" s="1">
        <v>0.1</v>
      </c>
      <c r="BE964" s="1" t="s">
        <v>3943</v>
      </c>
      <c r="BK964" s="1" t="s">
        <v>3942</v>
      </c>
      <c r="BN964" s="1" t="s">
        <v>217</v>
      </c>
      <c r="BO964" s="1" t="s">
        <v>218</v>
      </c>
      <c r="BP964" s="1" t="s">
        <v>239</v>
      </c>
      <c r="BQ964" s="1" t="s">
        <v>220</v>
      </c>
      <c r="BT964" s="1">
        <v>1</v>
      </c>
    </row>
    <row r="965" spans="1:72">
      <c r="A965" s="1" t="s">
        <v>3946</v>
      </c>
      <c r="B965" s="1" t="s">
        <v>213</v>
      </c>
      <c r="C965" s="1">
        <v>1</v>
      </c>
      <c r="D965" s="1" t="s">
        <v>3947</v>
      </c>
      <c r="E965" s="1">
        <v>1355</v>
      </c>
      <c r="F965" s="1" t="s">
        <v>3946</v>
      </c>
      <c r="G965" s="1">
        <v>1</v>
      </c>
      <c r="K965" s="1">
        <v>6000</v>
      </c>
      <c r="M965" s="1">
        <v>0</v>
      </c>
      <c r="O965" s="1">
        <v>80</v>
      </c>
      <c r="Q965" s="1">
        <v>40</v>
      </c>
      <c r="Y965" s="1">
        <v>0.05</v>
      </c>
      <c r="Z965" s="1">
        <v>2</v>
      </c>
      <c r="AA965" s="1">
        <v>0</v>
      </c>
      <c r="AB965" s="1">
        <v>1.2</v>
      </c>
      <c r="AG965" s="1">
        <v>0</v>
      </c>
      <c r="AH965" s="1">
        <v>1</v>
      </c>
      <c r="AI965" s="1" t="s">
        <v>3948</v>
      </c>
      <c r="AJ965" s="1" t="s">
        <v>3949</v>
      </c>
      <c r="AK965" s="1" t="s">
        <v>238</v>
      </c>
      <c r="AM965" s="1">
        <v>1</v>
      </c>
      <c r="AN965" s="1">
        <v>1</v>
      </c>
      <c r="AV965" s="1">
        <v>1</v>
      </c>
      <c r="AX965" s="1">
        <v>0.1</v>
      </c>
      <c r="BE965" s="1" t="s">
        <v>3946</v>
      </c>
      <c r="BK965" s="1" t="s">
        <v>3950</v>
      </c>
      <c r="BN965" s="1" t="s">
        <v>217</v>
      </c>
      <c r="BO965" s="1" t="s">
        <v>218</v>
      </c>
      <c r="BP965" s="1" t="s">
        <v>239</v>
      </c>
      <c r="BQ965" s="1" t="s">
        <v>220</v>
      </c>
      <c r="BT965" s="1">
        <v>1</v>
      </c>
    </row>
    <row r="966" spans="1:72">
      <c r="A966" s="1" t="s">
        <v>3951</v>
      </c>
      <c r="B966" s="1" t="s">
        <v>213</v>
      </c>
      <c r="C966" s="1">
        <v>1</v>
      </c>
      <c r="D966" s="1" t="s">
        <v>3952</v>
      </c>
      <c r="E966" s="1">
        <v>1355</v>
      </c>
      <c r="F966" s="1" t="s">
        <v>3951</v>
      </c>
      <c r="G966" s="1">
        <v>1</v>
      </c>
      <c r="K966" s="1">
        <v>10000</v>
      </c>
      <c r="M966" s="1">
        <v>0</v>
      </c>
      <c r="O966" s="1">
        <v>80</v>
      </c>
      <c r="Q966" s="1">
        <v>50</v>
      </c>
      <c r="Y966" s="1">
        <v>0.05</v>
      </c>
      <c r="Z966" s="1">
        <v>2</v>
      </c>
      <c r="AA966" s="1">
        <v>0</v>
      </c>
      <c r="AB966" s="1">
        <v>1.2</v>
      </c>
      <c r="AG966" s="1">
        <v>0</v>
      </c>
      <c r="AH966" s="1">
        <v>1</v>
      </c>
      <c r="AI966" s="1" t="s">
        <v>3953</v>
      </c>
      <c r="AJ966" s="1" t="s">
        <v>3949</v>
      </c>
      <c r="AK966" s="1" t="s">
        <v>238</v>
      </c>
      <c r="AM966" s="1">
        <v>1</v>
      </c>
      <c r="AN966" s="1">
        <v>1</v>
      </c>
      <c r="AV966" s="1">
        <v>1</v>
      </c>
      <c r="AX966" s="1">
        <v>0.1</v>
      </c>
      <c r="BE966" s="1" t="s">
        <v>3951</v>
      </c>
      <c r="BK966" s="1" t="s">
        <v>3950</v>
      </c>
      <c r="BN966" s="1" t="s">
        <v>217</v>
      </c>
      <c r="BO966" s="1" t="s">
        <v>218</v>
      </c>
      <c r="BP966" s="1" t="s">
        <v>239</v>
      </c>
      <c r="BQ966" s="1" t="s">
        <v>220</v>
      </c>
      <c r="BT966" s="1">
        <v>1</v>
      </c>
    </row>
    <row r="967" spans="1:72">
      <c r="A967" s="1" t="s">
        <v>3954</v>
      </c>
      <c r="B967" s="1" t="s">
        <v>213</v>
      </c>
      <c r="C967" s="1">
        <v>1</v>
      </c>
      <c r="D967" s="1" t="s">
        <v>3955</v>
      </c>
      <c r="E967" s="1">
        <v>1356</v>
      </c>
      <c r="F967" s="1" t="s">
        <v>3954</v>
      </c>
      <c r="G967" s="1">
        <v>1</v>
      </c>
      <c r="K967" s="1">
        <v>9000</v>
      </c>
      <c r="M967" s="1">
        <v>200</v>
      </c>
      <c r="O967" s="1">
        <v>80</v>
      </c>
      <c r="Q967" s="1">
        <v>10</v>
      </c>
      <c r="Y967" s="1">
        <v>0.05</v>
      </c>
      <c r="Z967" s="1">
        <v>3</v>
      </c>
      <c r="AA967" s="1">
        <v>2</v>
      </c>
      <c r="AB967" s="1">
        <v>0.7</v>
      </c>
      <c r="AG967" s="1">
        <v>0</v>
      </c>
      <c r="AH967" s="1">
        <v>1</v>
      </c>
      <c r="AI967" s="1" t="s">
        <v>3956</v>
      </c>
      <c r="AJ967" s="1" t="s">
        <v>3759</v>
      </c>
      <c r="AK967" s="1" t="s">
        <v>238</v>
      </c>
      <c r="AM967" s="1">
        <v>5</v>
      </c>
      <c r="AV967" s="1">
        <v>1</v>
      </c>
      <c r="AX967" s="1">
        <v>0.1</v>
      </c>
      <c r="BE967" s="1" t="s">
        <v>3954</v>
      </c>
      <c r="BK967" s="1" t="s">
        <v>3957</v>
      </c>
      <c r="BN967" s="1" t="s">
        <v>217</v>
      </c>
      <c r="BO967" s="1" t="s">
        <v>218</v>
      </c>
      <c r="BP967" s="1" t="s">
        <v>239</v>
      </c>
      <c r="BQ967" s="1" t="s">
        <v>220</v>
      </c>
      <c r="BT967" s="1">
        <v>1</v>
      </c>
    </row>
    <row r="968" spans="1:72">
      <c r="A968" s="1" t="s">
        <v>3958</v>
      </c>
      <c r="B968" s="1" t="s">
        <v>213</v>
      </c>
      <c r="C968" s="1">
        <v>1</v>
      </c>
      <c r="D968" s="1" t="s">
        <v>3959</v>
      </c>
      <c r="E968" s="1">
        <v>1356</v>
      </c>
      <c r="F968" s="1" t="s">
        <v>3958</v>
      </c>
      <c r="G968" s="1">
        <v>1</v>
      </c>
      <c r="K968" s="1">
        <v>12000</v>
      </c>
      <c r="M968" s="1">
        <v>250</v>
      </c>
      <c r="O968" s="1">
        <v>120</v>
      </c>
      <c r="Q968" s="1">
        <v>10</v>
      </c>
      <c r="Y968" s="1">
        <v>0.05</v>
      </c>
      <c r="Z968" s="1">
        <v>3</v>
      </c>
      <c r="AA968" s="1">
        <v>2</v>
      </c>
      <c r="AB968" s="1">
        <v>0.7</v>
      </c>
      <c r="AG968" s="1">
        <v>0</v>
      </c>
      <c r="AH968" s="1">
        <v>1</v>
      </c>
      <c r="AI968" s="1" t="s">
        <v>3960</v>
      </c>
      <c r="AJ968" s="1" t="s">
        <v>3759</v>
      </c>
      <c r="AK968" s="1" t="s">
        <v>238</v>
      </c>
      <c r="AM968" s="1">
        <v>5</v>
      </c>
      <c r="AV968" s="1">
        <v>1</v>
      </c>
      <c r="AX968" s="1">
        <v>0.1</v>
      </c>
      <c r="BE968" s="1" t="s">
        <v>3958</v>
      </c>
      <c r="BK968" s="1" t="s">
        <v>3957</v>
      </c>
      <c r="BN968" s="1" t="s">
        <v>217</v>
      </c>
      <c r="BO968" s="1" t="s">
        <v>218</v>
      </c>
      <c r="BP968" s="1" t="s">
        <v>239</v>
      </c>
      <c r="BQ968" s="1" t="s">
        <v>220</v>
      </c>
      <c r="BT968" s="1">
        <v>1</v>
      </c>
    </row>
    <row r="969" spans="1:72">
      <c r="A969" s="1" t="s">
        <v>3961</v>
      </c>
      <c r="B969" s="1" t="s">
        <v>213</v>
      </c>
      <c r="C969" s="1">
        <v>1</v>
      </c>
      <c r="D969" s="1" t="s">
        <v>3962</v>
      </c>
      <c r="E969" s="1">
        <v>1357</v>
      </c>
      <c r="F969" s="1" t="s">
        <v>3961</v>
      </c>
      <c r="G969" s="1">
        <v>1</v>
      </c>
      <c r="K969" s="1">
        <v>16000</v>
      </c>
      <c r="M969" s="1">
        <v>500</v>
      </c>
      <c r="O969" s="1">
        <v>250</v>
      </c>
      <c r="Q969" s="1">
        <v>20</v>
      </c>
      <c r="Y969" s="1">
        <v>0.05</v>
      </c>
      <c r="Z969" s="1">
        <v>2.8</v>
      </c>
      <c r="AA969" s="1">
        <v>3</v>
      </c>
      <c r="AB969" s="1">
        <v>0.6</v>
      </c>
      <c r="AG969" s="1">
        <v>0</v>
      </c>
      <c r="AH969" s="1">
        <v>1</v>
      </c>
      <c r="AI969" s="1" t="s">
        <v>3963</v>
      </c>
      <c r="AJ969" s="1" t="s">
        <v>275</v>
      </c>
      <c r="AK969" s="1" t="s">
        <v>238</v>
      </c>
      <c r="AM969" s="1">
        <v>5</v>
      </c>
      <c r="AV969" s="1">
        <v>1</v>
      </c>
      <c r="AX969" s="1">
        <v>0.1</v>
      </c>
      <c r="BE969" s="1" t="s">
        <v>3961</v>
      </c>
      <c r="BK969" s="1" t="s">
        <v>3964</v>
      </c>
      <c r="BN969" s="1" t="s">
        <v>217</v>
      </c>
      <c r="BO969" s="1" t="s">
        <v>218</v>
      </c>
      <c r="BP969" s="1" t="s">
        <v>239</v>
      </c>
      <c r="BQ969" s="1" t="s">
        <v>220</v>
      </c>
      <c r="BT969" s="1">
        <v>1</v>
      </c>
    </row>
    <row r="970" spans="1:72">
      <c r="A970" s="1" t="s">
        <v>3965</v>
      </c>
      <c r="B970" s="1" t="s">
        <v>213</v>
      </c>
      <c r="C970" s="1">
        <v>1</v>
      </c>
      <c r="D970" s="1" t="s">
        <v>3966</v>
      </c>
      <c r="E970" s="1">
        <v>1357</v>
      </c>
      <c r="F970" s="1" t="s">
        <v>3965</v>
      </c>
      <c r="G970" s="1">
        <v>1</v>
      </c>
      <c r="K970" s="1">
        <v>20000</v>
      </c>
      <c r="M970" s="1">
        <v>600</v>
      </c>
      <c r="O970" s="1">
        <v>350</v>
      </c>
      <c r="Q970" s="1">
        <v>20</v>
      </c>
      <c r="Y970" s="1">
        <v>0.05</v>
      </c>
      <c r="Z970" s="1">
        <v>2.8</v>
      </c>
      <c r="AA970" s="1">
        <v>3</v>
      </c>
      <c r="AB970" s="1">
        <v>0.6</v>
      </c>
      <c r="AG970" s="1">
        <v>0</v>
      </c>
      <c r="AH970" s="1">
        <v>1</v>
      </c>
      <c r="AI970" s="1" t="s">
        <v>3967</v>
      </c>
      <c r="AJ970" s="1" t="s">
        <v>275</v>
      </c>
      <c r="AK970" s="1" t="s">
        <v>238</v>
      </c>
      <c r="AM970" s="1">
        <v>5</v>
      </c>
      <c r="AV970" s="1">
        <v>1</v>
      </c>
      <c r="AX970" s="1">
        <v>0.1</v>
      </c>
      <c r="BE970" s="1" t="s">
        <v>3965</v>
      </c>
      <c r="BK970" s="1" t="s">
        <v>3964</v>
      </c>
      <c r="BN970" s="1" t="s">
        <v>217</v>
      </c>
      <c r="BO970" s="1" t="s">
        <v>218</v>
      </c>
      <c r="BP970" s="1" t="s">
        <v>239</v>
      </c>
      <c r="BQ970" s="1" t="s">
        <v>220</v>
      </c>
      <c r="BT970" s="1">
        <v>1</v>
      </c>
    </row>
    <row r="971" spans="1:72">
      <c r="A971" s="1" t="s">
        <v>3968</v>
      </c>
      <c r="B971" s="1" t="s">
        <v>213</v>
      </c>
      <c r="C971" s="1">
        <v>1</v>
      </c>
      <c r="D971" s="1" t="s">
        <v>3969</v>
      </c>
      <c r="E971" s="1">
        <v>1358</v>
      </c>
      <c r="F971" s="1" t="s">
        <v>3968</v>
      </c>
      <c r="G971" s="1">
        <v>1</v>
      </c>
      <c r="K971" s="1">
        <v>12000</v>
      </c>
      <c r="M971" s="1">
        <v>300</v>
      </c>
      <c r="O971" s="1">
        <v>600</v>
      </c>
      <c r="Q971" s="1">
        <v>0</v>
      </c>
      <c r="Y971" s="1">
        <v>0.05</v>
      </c>
      <c r="Z971" s="1">
        <v>3</v>
      </c>
      <c r="AA971" s="1">
        <v>4</v>
      </c>
      <c r="AB971" s="1">
        <v>0.5</v>
      </c>
      <c r="AG971" s="1">
        <v>0</v>
      </c>
      <c r="AH971" s="1">
        <v>1</v>
      </c>
      <c r="AI971" s="1" t="s">
        <v>3970</v>
      </c>
      <c r="AJ971" s="1" t="s">
        <v>3759</v>
      </c>
      <c r="AK971" s="1" t="s">
        <v>238</v>
      </c>
      <c r="AM971" s="1">
        <v>5</v>
      </c>
      <c r="AV971" s="1">
        <v>1</v>
      </c>
      <c r="AX971" s="1">
        <v>0.1</v>
      </c>
      <c r="BE971" s="1" t="s">
        <v>3968</v>
      </c>
      <c r="BK971" s="1" t="s">
        <v>3964</v>
      </c>
      <c r="BN971" s="1" t="s">
        <v>217</v>
      </c>
      <c r="BO971" s="1" t="s">
        <v>218</v>
      </c>
      <c r="BP971" s="1" t="s">
        <v>239</v>
      </c>
      <c r="BQ971" s="1" t="s">
        <v>220</v>
      </c>
      <c r="BT971" s="1">
        <v>1</v>
      </c>
    </row>
    <row r="972" spans="1:72">
      <c r="A972" s="1" t="s">
        <v>3971</v>
      </c>
      <c r="B972" s="1" t="s">
        <v>213</v>
      </c>
      <c r="C972" s="1">
        <v>1</v>
      </c>
      <c r="D972" s="1" t="s">
        <v>3972</v>
      </c>
      <c r="E972" s="1">
        <v>1358</v>
      </c>
      <c r="F972" s="1" t="s">
        <v>3971</v>
      </c>
      <c r="G972" s="1">
        <v>1</v>
      </c>
      <c r="K972" s="1">
        <v>15000</v>
      </c>
      <c r="M972" s="1">
        <v>400</v>
      </c>
      <c r="O972" s="1">
        <v>700</v>
      </c>
      <c r="Q972" s="1">
        <v>0</v>
      </c>
      <c r="Y972" s="1">
        <v>0.05</v>
      </c>
      <c r="Z972" s="1">
        <v>3</v>
      </c>
      <c r="AA972" s="1">
        <v>4</v>
      </c>
      <c r="AB972" s="1">
        <v>0.5</v>
      </c>
      <c r="AG972" s="1">
        <v>0</v>
      </c>
      <c r="AH972" s="1">
        <v>1</v>
      </c>
      <c r="AI972" s="1" t="s">
        <v>3973</v>
      </c>
      <c r="AJ972" s="1" t="s">
        <v>3759</v>
      </c>
      <c r="AK972" s="1" t="s">
        <v>238</v>
      </c>
      <c r="AM972" s="1">
        <v>5</v>
      </c>
      <c r="AV972" s="1">
        <v>1</v>
      </c>
      <c r="AX972" s="1">
        <v>0.1</v>
      </c>
      <c r="BE972" s="1" t="s">
        <v>3971</v>
      </c>
      <c r="BK972" s="1" t="s">
        <v>3964</v>
      </c>
      <c r="BN972" s="1" t="s">
        <v>217</v>
      </c>
      <c r="BO972" s="1" t="s">
        <v>218</v>
      </c>
      <c r="BP972" s="1" t="s">
        <v>239</v>
      </c>
      <c r="BQ972" s="1" t="s">
        <v>220</v>
      </c>
      <c r="BT972" s="1">
        <v>1</v>
      </c>
    </row>
    <row r="973" spans="1:72">
      <c r="A973" s="1" t="s">
        <v>3974</v>
      </c>
      <c r="B973" s="1" t="s">
        <v>213</v>
      </c>
      <c r="C973" s="1">
        <v>1</v>
      </c>
      <c r="D973" s="1" t="s">
        <v>3975</v>
      </c>
      <c r="E973" s="1">
        <v>1359</v>
      </c>
      <c r="F973" s="1" t="s">
        <v>3974</v>
      </c>
      <c r="G973" s="1">
        <v>1</v>
      </c>
      <c r="K973" s="1">
        <v>20000</v>
      </c>
      <c r="M973" s="1">
        <v>400</v>
      </c>
      <c r="O973" s="1">
        <v>200</v>
      </c>
      <c r="Q973" s="1">
        <v>20</v>
      </c>
      <c r="Y973" s="1">
        <v>0.05</v>
      </c>
      <c r="Z973" s="1">
        <v>4.5</v>
      </c>
      <c r="AA973" s="1">
        <v>3</v>
      </c>
      <c r="AB973" s="1">
        <v>0.6</v>
      </c>
      <c r="AG973" s="1">
        <v>0</v>
      </c>
      <c r="AH973" s="1">
        <v>1</v>
      </c>
      <c r="AI973" s="1" t="s">
        <v>3976</v>
      </c>
      <c r="AJ973" s="1" t="s">
        <v>3534</v>
      </c>
      <c r="AK973" s="1" t="s">
        <v>238</v>
      </c>
      <c r="AM973" s="1">
        <v>5</v>
      </c>
      <c r="AV973" s="1">
        <v>1</v>
      </c>
      <c r="AX973" s="1">
        <v>0.1</v>
      </c>
      <c r="BE973" s="1" t="s">
        <v>3974</v>
      </c>
      <c r="BK973" s="1" t="s">
        <v>3957</v>
      </c>
      <c r="BN973" s="1" t="s">
        <v>217</v>
      </c>
      <c r="BO973" s="1" t="s">
        <v>218</v>
      </c>
      <c r="BP973" s="1" t="s">
        <v>239</v>
      </c>
      <c r="BQ973" s="1" t="s">
        <v>220</v>
      </c>
      <c r="BT973" s="1">
        <v>1</v>
      </c>
    </row>
    <row r="974" spans="1:72">
      <c r="A974" s="1" t="s">
        <v>3977</v>
      </c>
      <c r="B974" s="1" t="s">
        <v>213</v>
      </c>
      <c r="C974" s="1">
        <v>1</v>
      </c>
      <c r="D974" s="1" t="s">
        <v>3978</v>
      </c>
      <c r="E974" s="1">
        <v>1359</v>
      </c>
      <c r="F974" s="1" t="s">
        <v>3977</v>
      </c>
      <c r="G974" s="1">
        <v>1</v>
      </c>
      <c r="K974" s="1">
        <v>25000</v>
      </c>
      <c r="M974" s="1">
        <v>550</v>
      </c>
      <c r="O974" s="1">
        <v>300</v>
      </c>
      <c r="Q974" s="1">
        <v>20</v>
      </c>
      <c r="Y974" s="1">
        <v>0.05</v>
      </c>
      <c r="Z974" s="1">
        <v>4.5</v>
      </c>
      <c r="AA974" s="1">
        <v>3</v>
      </c>
      <c r="AB974" s="1">
        <v>0.6</v>
      </c>
      <c r="AG974" s="1">
        <v>0</v>
      </c>
      <c r="AH974" s="1">
        <v>1</v>
      </c>
      <c r="AI974" s="1" t="s">
        <v>3979</v>
      </c>
      <c r="AJ974" s="1" t="s">
        <v>3534</v>
      </c>
      <c r="AK974" s="1" t="s">
        <v>238</v>
      </c>
      <c r="AM974" s="1">
        <v>5</v>
      </c>
      <c r="AV974" s="1">
        <v>1</v>
      </c>
      <c r="AX974" s="1">
        <v>0.1</v>
      </c>
      <c r="BE974" s="1" t="s">
        <v>3977</v>
      </c>
      <c r="BK974" s="1" t="s">
        <v>3957</v>
      </c>
      <c r="BN974" s="1" t="s">
        <v>217</v>
      </c>
      <c r="BO974" s="1" t="s">
        <v>218</v>
      </c>
      <c r="BP974" s="1" t="s">
        <v>239</v>
      </c>
      <c r="BQ974" s="1" t="s">
        <v>220</v>
      </c>
      <c r="BT974" s="1">
        <v>1</v>
      </c>
    </row>
    <row r="975" spans="1:72">
      <c r="A975" s="1" t="s">
        <v>3980</v>
      </c>
      <c r="B975" s="1" t="s">
        <v>213</v>
      </c>
      <c r="C975" s="1">
        <v>1</v>
      </c>
      <c r="D975" s="1" t="s">
        <v>3981</v>
      </c>
      <c r="E975" s="1">
        <v>1546</v>
      </c>
      <c r="F975" s="1" t="s">
        <v>3980</v>
      </c>
      <c r="G975" s="1">
        <v>1</v>
      </c>
      <c r="K975" s="1">
        <v>45000</v>
      </c>
      <c r="M975" s="1">
        <v>1100</v>
      </c>
      <c r="O975" s="1">
        <v>2500</v>
      </c>
      <c r="Q975" s="1">
        <v>60</v>
      </c>
      <c r="Y975" s="1">
        <v>0.05</v>
      </c>
      <c r="Z975" s="1">
        <v>4</v>
      </c>
      <c r="AA975" s="1">
        <v>6</v>
      </c>
      <c r="AB975" s="1">
        <v>0.45</v>
      </c>
      <c r="AG975" s="1">
        <v>0</v>
      </c>
      <c r="AH975" s="1">
        <v>1</v>
      </c>
      <c r="AI975" s="1" t="s">
        <v>3982</v>
      </c>
      <c r="AJ975" s="1" t="s">
        <v>3983</v>
      </c>
      <c r="AK975" s="1" t="s">
        <v>238</v>
      </c>
      <c r="AM975" s="1">
        <v>1</v>
      </c>
      <c r="AV975" s="1">
        <v>2</v>
      </c>
      <c r="AX975" s="1">
        <v>0.1</v>
      </c>
      <c r="BE975" s="1" t="s">
        <v>3980</v>
      </c>
      <c r="BK975" s="1" t="s">
        <v>1351</v>
      </c>
      <c r="BN975" s="1" t="s">
        <v>217</v>
      </c>
      <c r="BO975" s="1" t="s">
        <v>218</v>
      </c>
      <c r="BP975" s="1" t="s">
        <v>239</v>
      </c>
      <c r="BQ975" s="1" t="s">
        <v>220</v>
      </c>
      <c r="BT975" s="1">
        <v>1</v>
      </c>
    </row>
    <row r="976" spans="1:72">
      <c r="A976" s="1" t="s">
        <v>3984</v>
      </c>
      <c r="B976" s="1" t="s">
        <v>213</v>
      </c>
      <c r="C976" s="1">
        <v>1</v>
      </c>
      <c r="D976" s="1" t="s">
        <v>3985</v>
      </c>
      <c r="E976" s="1">
        <v>1360</v>
      </c>
      <c r="F976" s="1" t="s">
        <v>3984</v>
      </c>
      <c r="G976" s="1">
        <v>1</v>
      </c>
      <c r="K976" s="1">
        <v>4000</v>
      </c>
      <c r="M976" s="1">
        <v>100</v>
      </c>
      <c r="O976" s="1">
        <v>200</v>
      </c>
      <c r="Q976" s="1">
        <v>20</v>
      </c>
      <c r="Y976" s="1">
        <v>0.05</v>
      </c>
      <c r="Z976" s="1">
        <v>2</v>
      </c>
      <c r="AA976" s="1">
        <v>1</v>
      </c>
      <c r="AB976" s="1">
        <v>0.8</v>
      </c>
      <c r="AG976" s="1">
        <v>0</v>
      </c>
      <c r="AH976" s="1">
        <v>1</v>
      </c>
      <c r="AI976" s="1" t="s">
        <v>3986</v>
      </c>
      <c r="AJ976" s="1" t="s">
        <v>3418</v>
      </c>
      <c r="AK976" s="1" t="s">
        <v>238</v>
      </c>
      <c r="AM976" s="1">
        <v>1</v>
      </c>
      <c r="AV976" s="1">
        <v>1</v>
      </c>
      <c r="AX976" s="1">
        <v>0.1</v>
      </c>
      <c r="BE976" s="1" t="s">
        <v>3984</v>
      </c>
      <c r="BK976" s="1" t="s">
        <v>953</v>
      </c>
      <c r="BN976" s="1" t="s">
        <v>217</v>
      </c>
      <c r="BO976" s="1" t="s">
        <v>218</v>
      </c>
      <c r="BP976" s="1" t="s">
        <v>239</v>
      </c>
      <c r="BQ976" s="1" t="s">
        <v>220</v>
      </c>
      <c r="BT976" s="1">
        <v>1</v>
      </c>
    </row>
    <row r="977" spans="1:72">
      <c r="A977" s="1" t="s">
        <v>3987</v>
      </c>
      <c r="B977" s="1" t="s">
        <v>213</v>
      </c>
      <c r="C977" s="1">
        <v>1</v>
      </c>
      <c r="D977" s="1" t="s">
        <v>3985</v>
      </c>
      <c r="E977" s="1">
        <v>1360</v>
      </c>
      <c r="F977" s="1" t="s">
        <v>3984</v>
      </c>
      <c r="G977" s="1">
        <v>1</v>
      </c>
      <c r="K977" s="1">
        <v>4000</v>
      </c>
      <c r="M977" s="1">
        <v>100</v>
      </c>
      <c r="O977" s="1">
        <v>200</v>
      </c>
      <c r="Q977" s="1">
        <v>20</v>
      </c>
      <c r="Y977" s="1">
        <v>0.05</v>
      </c>
      <c r="Z977" s="1">
        <v>2</v>
      </c>
      <c r="AA977" s="1">
        <v>1</v>
      </c>
      <c r="AB977" s="1">
        <v>0.8</v>
      </c>
      <c r="AG977" s="1">
        <v>0</v>
      </c>
      <c r="AH977" s="1">
        <v>1</v>
      </c>
      <c r="AI977" s="1" t="s">
        <v>3986</v>
      </c>
      <c r="AJ977" s="1" t="s">
        <v>3418</v>
      </c>
      <c r="AK977" s="1" t="s">
        <v>238</v>
      </c>
      <c r="AM977" s="1">
        <v>1</v>
      </c>
      <c r="AV977" s="1">
        <v>1</v>
      </c>
      <c r="AX977" s="1">
        <v>0.1</v>
      </c>
      <c r="BE977" s="1" t="s">
        <v>3984</v>
      </c>
      <c r="BK977" s="1" t="s">
        <v>953</v>
      </c>
      <c r="BN977" s="1" t="s">
        <v>217</v>
      </c>
      <c r="BO977" s="1" t="s">
        <v>218</v>
      </c>
      <c r="BP977" s="1" t="s">
        <v>239</v>
      </c>
      <c r="BQ977" s="1" t="s">
        <v>220</v>
      </c>
      <c r="BT977" s="1">
        <v>1</v>
      </c>
    </row>
    <row r="978" spans="1:72">
      <c r="A978" s="1" t="s">
        <v>3988</v>
      </c>
      <c r="B978" s="1" t="s">
        <v>213</v>
      </c>
      <c r="C978" s="1">
        <v>1</v>
      </c>
      <c r="D978" s="1" t="s">
        <v>3989</v>
      </c>
      <c r="E978" s="1">
        <v>1361</v>
      </c>
      <c r="F978" s="1" t="s">
        <v>3988</v>
      </c>
      <c r="G978" s="1">
        <v>1</v>
      </c>
      <c r="K978" s="1">
        <v>6000</v>
      </c>
      <c r="M978" s="1">
        <v>450</v>
      </c>
      <c r="O978" s="1">
        <v>150</v>
      </c>
      <c r="Q978" s="1">
        <v>40</v>
      </c>
      <c r="Y978" s="1">
        <v>0.05</v>
      </c>
      <c r="Z978" s="1">
        <v>3</v>
      </c>
      <c r="AA978" s="1">
        <v>1</v>
      </c>
      <c r="AB978" s="1">
        <v>0.8</v>
      </c>
      <c r="AG978" s="1">
        <v>0</v>
      </c>
      <c r="AH978" s="1">
        <v>1</v>
      </c>
      <c r="AI978" s="1" t="s">
        <v>3990</v>
      </c>
      <c r="AJ978" s="1" t="s">
        <v>275</v>
      </c>
      <c r="AK978" s="1" t="s">
        <v>238</v>
      </c>
      <c r="AM978" s="1">
        <v>1</v>
      </c>
      <c r="AV978" s="1">
        <v>1</v>
      </c>
      <c r="AX978" s="1">
        <v>0.1</v>
      </c>
      <c r="BE978" s="1" t="s">
        <v>3988</v>
      </c>
      <c r="BK978" s="1" t="s">
        <v>3991</v>
      </c>
      <c r="BN978" s="1" t="s">
        <v>217</v>
      </c>
      <c r="BO978" s="1" t="s">
        <v>218</v>
      </c>
      <c r="BP978" s="1" t="s">
        <v>239</v>
      </c>
      <c r="BQ978" s="1" t="s">
        <v>220</v>
      </c>
      <c r="BT978" s="1">
        <v>1</v>
      </c>
    </row>
    <row r="979" spans="1:72">
      <c r="A979" s="1" t="s">
        <v>3992</v>
      </c>
      <c r="B979" s="1" t="s">
        <v>213</v>
      </c>
      <c r="C979" s="1">
        <v>1</v>
      </c>
      <c r="D979" s="1" t="s">
        <v>3993</v>
      </c>
      <c r="E979" s="1">
        <v>1361</v>
      </c>
      <c r="F979" s="1" t="s">
        <v>3992</v>
      </c>
      <c r="G979" s="1">
        <v>1</v>
      </c>
      <c r="K979" s="1">
        <v>8000</v>
      </c>
      <c r="M979" s="1">
        <v>550</v>
      </c>
      <c r="O979" s="1">
        <v>150</v>
      </c>
      <c r="Q979" s="1">
        <v>40</v>
      </c>
      <c r="Y979" s="1">
        <v>0.05</v>
      </c>
      <c r="Z979" s="1">
        <v>3</v>
      </c>
      <c r="AA979" s="1">
        <v>1</v>
      </c>
      <c r="AB979" s="1">
        <v>0.8</v>
      </c>
      <c r="AG979" s="1">
        <v>0</v>
      </c>
      <c r="AH979" s="1">
        <v>1</v>
      </c>
      <c r="AI979" s="1" t="s">
        <v>3994</v>
      </c>
      <c r="AJ979" s="1" t="s">
        <v>275</v>
      </c>
      <c r="AK979" s="1" t="s">
        <v>238</v>
      </c>
      <c r="AM979" s="1">
        <v>1</v>
      </c>
      <c r="AV979" s="1">
        <v>1</v>
      </c>
      <c r="AX979" s="1">
        <v>0.1</v>
      </c>
      <c r="BE979" s="1" t="s">
        <v>3992</v>
      </c>
      <c r="BK979" s="1" t="s">
        <v>3991</v>
      </c>
      <c r="BN979" s="1" t="s">
        <v>217</v>
      </c>
      <c r="BO979" s="1" t="s">
        <v>218</v>
      </c>
      <c r="BP979" s="1" t="s">
        <v>239</v>
      </c>
      <c r="BQ979" s="1" t="s">
        <v>220</v>
      </c>
      <c r="BT979" s="1">
        <v>1</v>
      </c>
    </row>
    <row r="980" spans="1:72">
      <c r="A980" s="1" t="s">
        <v>3995</v>
      </c>
      <c r="B980" s="1" t="s">
        <v>213</v>
      </c>
      <c r="C980" s="1">
        <v>1</v>
      </c>
      <c r="D980" s="1" t="s">
        <v>3996</v>
      </c>
      <c r="E980" s="1">
        <v>1362</v>
      </c>
      <c r="F980" s="1" t="s">
        <v>3995</v>
      </c>
      <c r="G980" s="1">
        <v>1</v>
      </c>
      <c r="K980" s="1">
        <v>25000</v>
      </c>
      <c r="M980" s="1">
        <v>1200</v>
      </c>
      <c r="O980" s="1">
        <v>100</v>
      </c>
      <c r="Q980" s="1">
        <v>40</v>
      </c>
      <c r="Y980" s="1">
        <v>0.05</v>
      </c>
      <c r="Z980" s="1">
        <v>4</v>
      </c>
      <c r="AA980" s="1">
        <v>5</v>
      </c>
      <c r="AB980" s="1">
        <v>0.7</v>
      </c>
      <c r="AG980" s="1">
        <v>0</v>
      </c>
      <c r="AH980" s="1">
        <v>1</v>
      </c>
      <c r="AI980" s="1" t="s">
        <v>3997</v>
      </c>
      <c r="AJ980" s="1" t="s">
        <v>3983</v>
      </c>
      <c r="AK980" s="1" t="s">
        <v>238</v>
      </c>
      <c r="AM980" s="1">
        <v>1</v>
      </c>
      <c r="AV980" s="1">
        <v>1</v>
      </c>
      <c r="AX980" s="1">
        <v>0.1</v>
      </c>
      <c r="BE980" s="1" t="s">
        <v>3995</v>
      </c>
      <c r="BK980" s="1" t="s">
        <v>3998</v>
      </c>
      <c r="BN980" s="1" t="s">
        <v>217</v>
      </c>
      <c r="BO980" s="1" t="s">
        <v>218</v>
      </c>
      <c r="BP980" s="1" t="s">
        <v>239</v>
      </c>
      <c r="BQ980" s="1" t="s">
        <v>220</v>
      </c>
      <c r="BT980" s="1">
        <v>1</v>
      </c>
    </row>
    <row r="981" spans="1:72">
      <c r="A981" s="1" t="s">
        <v>3999</v>
      </c>
      <c r="B981" s="1" t="s">
        <v>213</v>
      </c>
      <c r="C981" s="1">
        <v>1</v>
      </c>
      <c r="D981" s="1" t="s">
        <v>4000</v>
      </c>
      <c r="E981" s="1">
        <v>1362</v>
      </c>
      <c r="F981" s="1" t="s">
        <v>3999</v>
      </c>
      <c r="G981" s="1">
        <v>1</v>
      </c>
      <c r="K981" s="1">
        <v>35000</v>
      </c>
      <c r="M981" s="1">
        <v>1500</v>
      </c>
      <c r="O981" s="1">
        <v>100</v>
      </c>
      <c r="Q981" s="1">
        <v>40</v>
      </c>
      <c r="Y981" s="1">
        <v>0.05</v>
      </c>
      <c r="Z981" s="1">
        <v>4</v>
      </c>
      <c r="AA981" s="1">
        <v>5</v>
      </c>
      <c r="AB981" s="1">
        <v>0.7</v>
      </c>
      <c r="AG981" s="1">
        <v>0</v>
      </c>
      <c r="AH981" s="1">
        <v>1</v>
      </c>
      <c r="AI981" s="1" t="s">
        <v>4001</v>
      </c>
      <c r="AJ981" s="1" t="s">
        <v>3983</v>
      </c>
      <c r="AK981" s="1" t="s">
        <v>238</v>
      </c>
      <c r="AM981" s="1">
        <v>1</v>
      </c>
      <c r="AV981" s="1">
        <v>1</v>
      </c>
      <c r="AX981" s="1">
        <v>0.1</v>
      </c>
      <c r="BE981" s="1" t="s">
        <v>3999</v>
      </c>
      <c r="BK981" s="1" t="s">
        <v>3998</v>
      </c>
      <c r="BN981" s="1" t="s">
        <v>217</v>
      </c>
      <c r="BO981" s="1" t="s">
        <v>218</v>
      </c>
      <c r="BP981" s="1" t="s">
        <v>239</v>
      </c>
      <c r="BQ981" s="1" t="s">
        <v>220</v>
      </c>
      <c r="BT981" s="1">
        <v>1</v>
      </c>
    </row>
    <row r="982" spans="1:72">
      <c r="A982" s="1" t="s">
        <v>4002</v>
      </c>
      <c r="B982" s="1" t="s">
        <v>213</v>
      </c>
      <c r="C982" s="1">
        <v>1</v>
      </c>
      <c r="D982" s="1" t="s">
        <v>4003</v>
      </c>
      <c r="E982" s="1">
        <v>1363</v>
      </c>
      <c r="F982" s="1" t="s">
        <v>4002</v>
      </c>
      <c r="G982" s="1">
        <v>1</v>
      </c>
      <c r="K982" s="1">
        <v>12000</v>
      </c>
      <c r="M982" s="1">
        <v>900</v>
      </c>
      <c r="O982" s="1">
        <v>1200</v>
      </c>
      <c r="Q982" s="1">
        <v>0</v>
      </c>
      <c r="Y982" s="1">
        <v>0.05</v>
      </c>
      <c r="Z982" s="1">
        <v>3.8</v>
      </c>
      <c r="AA982" s="1">
        <v>4</v>
      </c>
      <c r="AB982" s="1">
        <v>0.5</v>
      </c>
      <c r="AG982" s="1">
        <v>1</v>
      </c>
      <c r="AH982" s="1">
        <v>1</v>
      </c>
      <c r="AI982" s="1" t="s">
        <v>4004</v>
      </c>
      <c r="AJ982" s="1" t="s">
        <v>4005</v>
      </c>
      <c r="AK982" s="1" t="s">
        <v>238</v>
      </c>
      <c r="AM982" s="1">
        <v>1</v>
      </c>
      <c r="AV982" s="1">
        <v>1</v>
      </c>
      <c r="AX982" s="1">
        <v>0.1</v>
      </c>
      <c r="BE982" s="1" t="s">
        <v>4002</v>
      </c>
      <c r="BK982" s="1" t="s">
        <v>1086</v>
      </c>
      <c r="BN982" s="1" t="s">
        <v>217</v>
      </c>
      <c r="BO982" s="1" t="s">
        <v>218</v>
      </c>
      <c r="BP982" s="1" t="s">
        <v>239</v>
      </c>
      <c r="BQ982" s="1" t="s">
        <v>220</v>
      </c>
      <c r="BT982" s="1">
        <v>1</v>
      </c>
    </row>
    <row r="983" spans="1:72">
      <c r="A983" s="1" t="s">
        <v>4006</v>
      </c>
      <c r="B983" s="1" t="s">
        <v>213</v>
      </c>
      <c r="C983" s="1">
        <v>1</v>
      </c>
      <c r="D983" s="1" t="s">
        <v>4007</v>
      </c>
      <c r="E983" s="1">
        <v>1363</v>
      </c>
      <c r="F983" s="1" t="s">
        <v>4006</v>
      </c>
      <c r="G983" s="1">
        <v>1</v>
      </c>
      <c r="K983" s="1">
        <v>15000</v>
      </c>
      <c r="M983" s="1">
        <v>1100</v>
      </c>
      <c r="O983" s="1">
        <v>1500</v>
      </c>
      <c r="Q983" s="1">
        <v>0</v>
      </c>
      <c r="Y983" s="1">
        <v>0.05</v>
      </c>
      <c r="Z983" s="1">
        <v>3.8</v>
      </c>
      <c r="AA983" s="1">
        <v>4</v>
      </c>
      <c r="AB983" s="1">
        <v>0.5</v>
      </c>
      <c r="AG983" s="1">
        <v>1</v>
      </c>
      <c r="AH983" s="1">
        <v>1</v>
      </c>
      <c r="AI983" s="1" t="s">
        <v>4008</v>
      </c>
      <c r="AJ983" s="1" t="s">
        <v>4005</v>
      </c>
      <c r="AK983" s="1" t="s">
        <v>238</v>
      </c>
      <c r="AM983" s="1">
        <v>1</v>
      </c>
      <c r="AV983" s="1">
        <v>1</v>
      </c>
      <c r="AX983" s="1">
        <v>0.1</v>
      </c>
      <c r="BE983" s="1" t="s">
        <v>4006</v>
      </c>
      <c r="BK983" s="1" t="s">
        <v>1086</v>
      </c>
      <c r="BN983" s="1" t="s">
        <v>217</v>
      </c>
      <c r="BO983" s="1" t="s">
        <v>218</v>
      </c>
      <c r="BP983" s="1" t="s">
        <v>239</v>
      </c>
      <c r="BQ983" s="1" t="s">
        <v>220</v>
      </c>
      <c r="BT983" s="1">
        <v>1</v>
      </c>
    </row>
    <row r="984" spans="1:72">
      <c r="A984" s="1" t="s">
        <v>4009</v>
      </c>
      <c r="B984" s="1" t="s">
        <v>213</v>
      </c>
      <c r="C984" s="1">
        <v>1</v>
      </c>
      <c r="D984" s="1" t="s">
        <v>4010</v>
      </c>
      <c r="E984" s="1">
        <v>1364</v>
      </c>
      <c r="F984" s="1" t="s">
        <v>4009</v>
      </c>
      <c r="G984" s="1">
        <v>1</v>
      </c>
      <c r="K984" s="1">
        <v>20000</v>
      </c>
      <c r="M984" s="1">
        <v>900</v>
      </c>
      <c r="O984" s="1">
        <v>900</v>
      </c>
      <c r="Q984" s="1">
        <v>20</v>
      </c>
      <c r="Y984" s="1">
        <v>0.05</v>
      </c>
      <c r="Z984" s="1">
        <v>3</v>
      </c>
      <c r="AA984" s="1">
        <v>4</v>
      </c>
      <c r="AB984" s="1">
        <v>0.75</v>
      </c>
      <c r="AG984" s="1">
        <v>0</v>
      </c>
      <c r="AH984" s="1">
        <v>1</v>
      </c>
      <c r="AI984" s="1" t="s">
        <v>4011</v>
      </c>
      <c r="AJ984" s="1" t="s">
        <v>4012</v>
      </c>
      <c r="AK984" s="1" t="s">
        <v>238</v>
      </c>
      <c r="AM984" s="1">
        <v>1</v>
      </c>
      <c r="AV984" s="1">
        <v>1</v>
      </c>
      <c r="AX984" s="1">
        <v>0.1</v>
      </c>
      <c r="BE984" s="1" t="s">
        <v>4009</v>
      </c>
      <c r="BK984" s="1" t="s">
        <v>1096</v>
      </c>
      <c r="BN984" s="1" t="s">
        <v>217</v>
      </c>
      <c r="BO984" s="1" t="s">
        <v>218</v>
      </c>
      <c r="BP984" s="1" t="s">
        <v>239</v>
      </c>
      <c r="BQ984" s="1" t="s">
        <v>220</v>
      </c>
      <c r="BT984" s="1">
        <v>1</v>
      </c>
    </row>
    <row r="985" spans="1:72">
      <c r="A985" s="1" t="s">
        <v>4013</v>
      </c>
      <c r="B985" s="1" t="s">
        <v>213</v>
      </c>
      <c r="C985" s="1">
        <v>1</v>
      </c>
      <c r="D985" s="1" t="s">
        <v>4014</v>
      </c>
      <c r="E985" s="1">
        <v>1364</v>
      </c>
      <c r="F985" s="1" t="s">
        <v>4013</v>
      </c>
      <c r="G985" s="1">
        <v>1</v>
      </c>
      <c r="K985" s="1">
        <v>25000</v>
      </c>
      <c r="M985" s="1">
        <v>1200</v>
      </c>
      <c r="O985" s="1">
        <v>1200</v>
      </c>
      <c r="Q985" s="1">
        <v>20</v>
      </c>
      <c r="Y985" s="1">
        <v>0.05</v>
      </c>
      <c r="Z985" s="1">
        <v>3</v>
      </c>
      <c r="AA985" s="1">
        <v>4</v>
      </c>
      <c r="AB985" s="1">
        <v>0.75</v>
      </c>
      <c r="AG985" s="1">
        <v>0</v>
      </c>
      <c r="AH985" s="1">
        <v>1</v>
      </c>
      <c r="AI985" s="1" t="s">
        <v>4015</v>
      </c>
      <c r="AJ985" s="1" t="s">
        <v>4012</v>
      </c>
      <c r="AK985" s="1" t="s">
        <v>238</v>
      </c>
      <c r="AM985" s="1">
        <v>1</v>
      </c>
      <c r="AV985" s="1">
        <v>1</v>
      </c>
      <c r="AX985" s="1">
        <v>0.1</v>
      </c>
      <c r="BE985" s="1" t="s">
        <v>4013</v>
      </c>
      <c r="BK985" s="1" t="s">
        <v>1096</v>
      </c>
      <c r="BN985" s="1" t="s">
        <v>217</v>
      </c>
      <c r="BO985" s="1" t="s">
        <v>218</v>
      </c>
      <c r="BP985" s="1" t="s">
        <v>239</v>
      </c>
      <c r="BQ985" s="1" t="s">
        <v>220</v>
      </c>
      <c r="BT985" s="1">
        <v>1</v>
      </c>
    </row>
    <row r="986" spans="1:72">
      <c r="A986" s="1" t="s">
        <v>4016</v>
      </c>
      <c r="B986" s="1" t="s">
        <v>213</v>
      </c>
      <c r="C986" s="1">
        <v>1</v>
      </c>
      <c r="D986" s="1" t="s">
        <v>4017</v>
      </c>
      <c r="E986" s="1">
        <v>1365</v>
      </c>
      <c r="F986" s="1" t="s">
        <v>4016</v>
      </c>
      <c r="G986" s="1">
        <v>1</v>
      </c>
      <c r="K986" s="1">
        <v>5000</v>
      </c>
      <c r="M986" s="1">
        <v>350</v>
      </c>
      <c r="O986" s="1">
        <v>200</v>
      </c>
      <c r="Q986" s="1">
        <v>60</v>
      </c>
      <c r="Y986" s="1">
        <v>0.05</v>
      </c>
      <c r="Z986" s="1">
        <v>3</v>
      </c>
      <c r="AA986" s="1">
        <v>2</v>
      </c>
      <c r="AB986" s="1">
        <v>0.7</v>
      </c>
      <c r="AG986" s="1">
        <v>0</v>
      </c>
      <c r="AH986" s="1">
        <v>1</v>
      </c>
      <c r="AI986" s="1" t="s">
        <v>4018</v>
      </c>
      <c r="AJ986" s="1" t="s">
        <v>4019</v>
      </c>
      <c r="AK986" s="1" t="s">
        <v>238</v>
      </c>
      <c r="AM986" s="1">
        <v>1</v>
      </c>
      <c r="AV986" s="1">
        <v>1</v>
      </c>
      <c r="AX986" s="1">
        <v>0.1</v>
      </c>
      <c r="BE986" s="1" t="s">
        <v>4016</v>
      </c>
      <c r="BK986" s="1" t="s">
        <v>3298</v>
      </c>
      <c r="BN986" s="1" t="s">
        <v>217</v>
      </c>
      <c r="BO986" s="1" t="s">
        <v>218</v>
      </c>
      <c r="BP986" s="1" t="s">
        <v>239</v>
      </c>
      <c r="BQ986" s="1" t="s">
        <v>220</v>
      </c>
      <c r="BT986" s="1">
        <v>1</v>
      </c>
    </row>
    <row r="987" spans="1:72">
      <c r="A987" s="1" t="s">
        <v>4020</v>
      </c>
      <c r="B987" s="1" t="s">
        <v>213</v>
      </c>
      <c r="C987" s="1">
        <v>1</v>
      </c>
      <c r="D987" s="1" t="s">
        <v>4021</v>
      </c>
      <c r="E987" s="1">
        <v>1365</v>
      </c>
      <c r="F987" s="1" t="s">
        <v>4020</v>
      </c>
      <c r="G987" s="1">
        <v>1</v>
      </c>
      <c r="K987" s="1">
        <v>7000</v>
      </c>
      <c r="M987" s="1">
        <v>420</v>
      </c>
      <c r="O987" s="1">
        <v>300</v>
      </c>
      <c r="Q987" s="1">
        <v>60</v>
      </c>
      <c r="Y987" s="1">
        <v>0.05</v>
      </c>
      <c r="Z987" s="1">
        <v>3</v>
      </c>
      <c r="AA987" s="1">
        <v>2</v>
      </c>
      <c r="AB987" s="1">
        <v>0.7</v>
      </c>
      <c r="AG987" s="1">
        <v>0</v>
      </c>
      <c r="AH987" s="1">
        <v>1</v>
      </c>
      <c r="AI987" s="1" t="s">
        <v>4022</v>
      </c>
      <c r="AJ987" s="1" t="s">
        <v>4019</v>
      </c>
      <c r="AK987" s="1" t="s">
        <v>238</v>
      </c>
      <c r="AM987" s="1">
        <v>1</v>
      </c>
      <c r="AV987" s="1">
        <v>1</v>
      </c>
      <c r="AX987" s="1">
        <v>0.1</v>
      </c>
      <c r="BE987" s="1" t="s">
        <v>4020</v>
      </c>
      <c r="BK987" s="1" t="s">
        <v>3298</v>
      </c>
      <c r="BN987" s="1" t="s">
        <v>217</v>
      </c>
      <c r="BO987" s="1" t="s">
        <v>218</v>
      </c>
      <c r="BP987" s="1" t="s">
        <v>239</v>
      </c>
      <c r="BQ987" s="1" t="s">
        <v>220</v>
      </c>
      <c r="BT987" s="1">
        <v>1</v>
      </c>
    </row>
    <row r="988" spans="1:72">
      <c r="A988" s="1" t="s">
        <v>4023</v>
      </c>
      <c r="B988" s="1" t="s">
        <v>213</v>
      </c>
      <c r="C988" s="1">
        <v>1</v>
      </c>
      <c r="D988" s="1" t="s">
        <v>4024</v>
      </c>
      <c r="E988" s="1">
        <v>1366</v>
      </c>
      <c r="F988" s="1" t="s">
        <v>4023</v>
      </c>
      <c r="G988" s="1">
        <v>1</v>
      </c>
      <c r="K988" s="1">
        <v>10000</v>
      </c>
      <c r="M988" s="1">
        <v>100</v>
      </c>
      <c r="O988" s="1">
        <v>200</v>
      </c>
      <c r="Q988" s="1">
        <v>20</v>
      </c>
      <c r="Y988" s="1">
        <v>0.05</v>
      </c>
      <c r="Z988" s="1">
        <v>1</v>
      </c>
      <c r="AA988" s="1">
        <v>2</v>
      </c>
      <c r="AB988" s="1">
        <v>0.8</v>
      </c>
      <c r="AG988" s="1">
        <v>-2</v>
      </c>
      <c r="AH988" s="1">
        <v>1</v>
      </c>
      <c r="AI988" s="1" t="s">
        <v>4025</v>
      </c>
      <c r="AJ988" s="1" t="s">
        <v>216</v>
      </c>
      <c r="AK988" s="1" t="s">
        <v>238</v>
      </c>
      <c r="AM988" s="1">
        <v>1</v>
      </c>
      <c r="AV988" s="1">
        <v>1</v>
      </c>
      <c r="AX988" s="1">
        <v>0.1</v>
      </c>
      <c r="BE988" s="1" t="s">
        <v>4023</v>
      </c>
      <c r="BK988" s="1" t="s">
        <v>1096</v>
      </c>
      <c r="BN988" s="1" t="s">
        <v>217</v>
      </c>
      <c r="BO988" s="1" t="s">
        <v>218</v>
      </c>
      <c r="BP988" s="1" t="s">
        <v>239</v>
      </c>
      <c r="BQ988" s="1" t="s">
        <v>220</v>
      </c>
      <c r="BT988" s="1">
        <v>1</v>
      </c>
    </row>
    <row r="989" spans="1:72">
      <c r="A989" s="1" t="s">
        <v>4026</v>
      </c>
      <c r="B989" s="1" t="s">
        <v>213</v>
      </c>
      <c r="C989" s="1">
        <v>1</v>
      </c>
      <c r="D989" s="1" t="s">
        <v>4027</v>
      </c>
      <c r="E989" s="1">
        <v>1366</v>
      </c>
      <c r="F989" s="1" t="s">
        <v>4026</v>
      </c>
      <c r="G989" s="1">
        <v>1</v>
      </c>
      <c r="K989" s="1">
        <v>15000</v>
      </c>
      <c r="M989" s="1">
        <v>150</v>
      </c>
      <c r="O989" s="1">
        <v>300</v>
      </c>
      <c r="Q989" s="1">
        <v>20</v>
      </c>
      <c r="Y989" s="1">
        <v>0.05</v>
      </c>
      <c r="Z989" s="1">
        <v>1</v>
      </c>
      <c r="AA989" s="1">
        <v>2</v>
      </c>
      <c r="AB989" s="1">
        <v>0.8</v>
      </c>
      <c r="AG989" s="1">
        <v>-2</v>
      </c>
      <c r="AH989" s="1">
        <v>1</v>
      </c>
      <c r="AI989" s="1" t="s">
        <v>4028</v>
      </c>
      <c r="AJ989" s="1" t="s">
        <v>216</v>
      </c>
      <c r="AK989" s="1" t="s">
        <v>238</v>
      </c>
      <c r="AM989" s="1">
        <v>1</v>
      </c>
      <c r="AV989" s="1">
        <v>1</v>
      </c>
      <c r="AX989" s="1">
        <v>0.1</v>
      </c>
      <c r="BE989" s="1" t="s">
        <v>4026</v>
      </c>
      <c r="BK989" s="1" t="s">
        <v>1096</v>
      </c>
      <c r="BN989" s="1" t="s">
        <v>217</v>
      </c>
      <c r="BO989" s="1" t="s">
        <v>218</v>
      </c>
      <c r="BP989" s="1" t="s">
        <v>239</v>
      </c>
      <c r="BQ989" s="1" t="s">
        <v>220</v>
      </c>
      <c r="BT989" s="1">
        <v>1</v>
      </c>
    </row>
    <row r="990" spans="1:72">
      <c r="A990" s="1" t="s">
        <v>4029</v>
      </c>
      <c r="B990" s="1" t="s">
        <v>213</v>
      </c>
      <c r="C990" s="1">
        <v>1</v>
      </c>
      <c r="D990" s="1" t="s">
        <v>4030</v>
      </c>
      <c r="E990" s="1">
        <v>1367</v>
      </c>
      <c r="F990" s="1" t="s">
        <v>4029</v>
      </c>
      <c r="G990" s="1">
        <v>1</v>
      </c>
      <c r="K990" s="1">
        <v>3000</v>
      </c>
      <c r="M990" s="1">
        <v>100</v>
      </c>
      <c r="O990" s="1">
        <v>3000</v>
      </c>
      <c r="Q990" s="1">
        <v>90</v>
      </c>
      <c r="Y990" s="1">
        <v>0.05</v>
      </c>
      <c r="Z990" s="1">
        <v>1.5</v>
      </c>
      <c r="AA990" s="1">
        <v>2</v>
      </c>
      <c r="AB990" s="1">
        <v>0.1</v>
      </c>
      <c r="AG990" s="1">
        <v>-1</v>
      </c>
      <c r="AH990" s="1">
        <v>1</v>
      </c>
      <c r="AI990" s="1" t="s">
        <v>4031</v>
      </c>
      <c r="AJ990" s="1" t="s">
        <v>4032</v>
      </c>
      <c r="AK990" s="1" t="s">
        <v>238</v>
      </c>
      <c r="AM990" s="1">
        <v>1</v>
      </c>
      <c r="AV990" s="1">
        <v>1</v>
      </c>
      <c r="AX990" s="1">
        <v>0.1</v>
      </c>
      <c r="BE990" s="1" t="s">
        <v>4029</v>
      </c>
      <c r="BK990" s="1" t="s">
        <v>4033</v>
      </c>
      <c r="BN990" s="1" t="s">
        <v>217</v>
      </c>
      <c r="BO990" s="1" t="s">
        <v>218</v>
      </c>
      <c r="BP990" s="1" t="s">
        <v>218</v>
      </c>
      <c r="BQ990" s="1" t="s">
        <v>220</v>
      </c>
      <c r="BT990" s="1">
        <v>1</v>
      </c>
    </row>
    <row r="991" spans="1:72">
      <c r="A991" s="1" t="s">
        <v>4034</v>
      </c>
      <c r="B991" s="1" t="s">
        <v>213</v>
      </c>
      <c r="C991" s="1">
        <v>1</v>
      </c>
      <c r="D991" s="1" t="s">
        <v>4030</v>
      </c>
      <c r="E991" s="1">
        <v>1367</v>
      </c>
      <c r="F991" s="1" t="s">
        <v>4029</v>
      </c>
      <c r="G991" s="1">
        <v>1</v>
      </c>
      <c r="K991" s="1">
        <v>3000</v>
      </c>
      <c r="M991" s="1">
        <v>0</v>
      </c>
      <c r="O991" s="1">
        <v>3000</v>
      </c>
      <c r="Q991" s="1">
        <v>90</v>
      </c>
      <c r="Y991" s="1">
        <v>0.05</v>
      </c>
      <c r="Z991" s="1">
        <v>1.5</v>
      </c>
      <c r="AA991" s="1">
        <v>2</v>
      </c>
      <c r="AB991" s="1">
        <v>0.1</v>
      </c>
      <c r="AG991" s="1">
        <v>-1</v>
      </c>
      <c r="AH991" s="1">
        <v>1</v>
      </c>
      <c r="AI991" s="1" t="s">
        <v>4031</v>
      </c>
      <c r="AJ991" s="1" t="s">
        <v>4032</v>
      </c>
      <c r="AK991" s="1" t="s">
        <v>238</v>
      </c>
      <c r="AM991" s="1">
        <v>1</v>
      </c>
      <c r="AV991" s="1">
        <v>1</v>
      </c>
      <c r="AX991" s="1">
        <v>0.1</v>
      </c>
      <c r="BE991" s="1" t="s">
        <v>4029</v>
      </c>
      <c r="BK991" s="1" t="s">
        <v>4033</v>
      </c>
      <c r="BN991" s="1" t="s">
        <v>217</v>
      </c>
      <c r="BO991" s="1" t="s">
        <v>218</v>
      </c>
      <c r="BP991" s="1" t="s">
        <v>218</v>
      </c>
      <c r="BQ991" s="1" t="s">
        <v>220</v>
      </c>
      <c r="BT991" s="1">
        <v>1</v>
      </c>
    </row>
    <row r="992" spans="1:72">
      <c r="A992" s="1" t="s">
        <v>4035</v>
      </c>
      <c r="B992" s="1" t="s">
        <v>213</v>
      </c>
      <c r="C992" s="1">
        <v>1</v>
      </c>
      <c r="D992" s="1" t="s">
        <v>4036</v>
      </c>
      <c r="E992" s="1">
        <v>1368</v>
      </c>
      <c r="F992" s="1" t="s">
        <v>4035</v>
      </c>
      <c r="G992" s="1">
        <v>1.05</v>
      </c>
      <c r="K992" s="1">
        <v>30000</v>
      </c>
      <c r="M992" s="1">
        <v>800</v>
      </c>
      <c r="O992" s="1">
        <v>800</v>
      </c>
      <c r="Q992" s="1">
        <v>50</v>
      </c>
      <c r="Y992" s="1">
        <v>0.05</v>
      </c>
      <c r="Z992" s="1">
        <v>3.7</v>
      </c>
      <c r="AA992" s="1">
        <v>7</v>
      </c>
      <c r="AB992" s="1">
        <v>0.3</v>
      </c>
      <c r="AG992" s="1">
        <v>0</v>
      </c>
      <c r="AH992" s="1">
        <v>1</v>
      </c>
      <c r="AI992" s="1" t="s">
        <v>4037</v>
      </c>
      <c r="AJ992" s="1" t="s">
        <v>3433</v>
      </c>
      <c r="AK992" s="1" t="s">
        <v>238</v>
      </c>
      <c r="AM992" s="1">
        <v>1</v>
      </c>
      <c r="AV992" s="1">
        <v>1</v>
      </c>
      <c r="AX992" s="1">
        <v>0.1</v>
      </c>
      <c r="BE992" s="1" t="s">
        <v>4035</v>
      </c>
      <c r="BK992" s="1" t="s">
        <v>1096</v>
      </c>
      <c r="BN992" s="1" t="s">
        <v>217</v>
      </c>
      <c r="BO992" s="1" t="s">
        <v>218</v>
      </c>
      <c r="BP992" s="1" t="s">
        <v>239</v>
      </c>
      <c r="BQ992" s="1" t="s">
        <v>220</v>
      </c>
      <c r="BT992" s="1">
        <v>1</v>
      </c>
    </row>
    <row r="993" spans="1:72">
      <c r="A993" s="1" t="s">
        <v>4038</v>
      </c>
      <c r="B993" s="1" t="s">
        <v>213</v>
      </c>
      <c r="C993" s="1">
        <v>1</v>
      </c>
      <c r="D993" s="1" t="s">
        <v>4039</v>
      </c>
      <c r="E993" s="1">
        <v>1369</v>
      </c>
      <c r="F993" s="1" t="s">
        <v>4038</v>
      </c>
      <c r="G993" s="1">
        <v>1</v>
      </c>
      <c r="K993" s="1">
        <v>10000</v>
      </c>
      <c r="M993" s="1">
        <v>750</v>
      </c>
      <c r="O993" s="1">
        <v>0</v>
      </c>
      <c r="Q993" s="1">
        <v>0</v>
      </c>
      <c r="Y993" s="1">
        <v>0.05</v>
      </c>
      <c r="Z993" s="1">
        <v>1</v>
      </c>
      <c r="AA993" s="1">
        <v>3</v>
      </c>
      <c r="AB993" s="1">
        <v>0.2</v>
      </c>
      <c r="AG993" s="1">
        <v>0</v>
      </c>
      <c r="AH993" s="1">
        <v>1</v>
      </c>
      <c r="AI993" s="1" t="s">
        <v>4040</v>
      </c>
      <c r="AJ993" s="1" t="s">
        <v>4032</v>
      </c>
      <c r="AK993" s="1" t="s">
        <v>238</v>
      </c>
      <c r="AM993" s="1">
        <v>1</v>
      </c>
      <c r="AV993" s="1">
        <v>0</v>
      </c>
      <c r="AX993" s="1">
        <v>0.1</v>
      </c>
      <c r="BE993" s="1" t="s">
        <v>4038</v>
      </c>
      <c r="BK993" s="1" t="s">
        <v>4041</v>
      </c>
      <c r="BN993" s="1" t="s">
        <v>217</v>
      </c>
      <c r="BO993" s="1" t="s">
        <v>218</v>
      </c>
      <c r="BP993" s="1" t="s">
        <v>239</v>
      </c>
      <c r="BQ993" s="1" t="s">
        <v>220</v>
      </c>
      <c r="BT993" s="1">
        <v>1</v>
      </c>
    </row>
    <row r="994" spans="1:72">
      <c r="A994" s="1" t="s">
        <v>4042</v>
      </c>
      <c r="B994" s="1" t="s">
        <v>213</v>
      </c>
      <c r="C994" s="1">
        <v>1</v>
      </c>
      <c r="D994" s="1" t="s">
        <v>4043</v>
      </c>
      <c r="E994" s="1">
        <v>1547</v>
      </c>
      <c r="F994" s="1" t="s">
        <v>4044</v>
      </c>
      <c r="G994" s="1">
        <v>0.9</v>
      </c>
      <c r="K994" s="1">
        <v>40000</v>
      </c>
      <c r="M994" s="1">
        <v>1000</v>
      </c>
      <c r="O994" s="1">
        <v>1000</v>
      </c>
      <c r="Q994" s="1">
        <v>50</v>
      </c>
      <c r="Y994" s="1">
        <v>0.05</v>
      </c>
      <c r="Z994" s="1">
        <v>6</v>
      </c>
      <c r="AA994" s="1">
        <v>10</v>
      </c>
      <c r="AB994" s="1">
        <v>0.2</v>
      </c>
      <c r="AG994" s="1">
        <v>0</v>
      </c>
      <c r="AH994" s="1">
        <v>1</v>
      </c>
      <c r="AI994" s="1" t="s">
        <v>4045</v>
      </c>
      <c r="AJ994" s="1" t="s">
        <v>3394</v>
      </c>
      <c r="AK994" s="1" t="s">
        <v>238</v>
      </c>
      <c r="AM994" s="1">
        <v>1</v>
      </c>
      <c r="AV994" s="1">
        <v>2</v>
      </c>
      <c r="AX994" s="1">
        <v>0.1</v>
      </c>
      <c r="BE994" s="1" t="s">
        <v>4044</v>
      </c>
      <c r="BK994" s="1" t="s">
        <v>4046</v>
      </c>
      <c r="BN994" s="1" t="s">
        <v>4047</v>
      </c>
      <c r="BO994" s="1" t="s">
        <v>4048</v>
      </c>
      <c r="BP994" s="1" t="s">
        <v>4049</v>
      </c>
      <c r="BQ994" s="1" t="s">
        <v>2620</v>
      </c>
      <c r="BT994" s="1">
        <v>1</v>
      </c>
    </row>
    <row r="995" spans="1:72">
      <c r="A995" s="1" t="s">
        <v>4050</v>
      </c>
      <c r="B995" s="1" t="s">
        <v>213</v>
      </c>
      <c r="C995" s="1">
        <v>1</v>
      </c>
      <c r="D995" s="1" t="s">
        <v>4043</v>
      </c>
      <c r="E995" s="1">
        <v>1547</v>
      </c>
      <c r="F995" s="1" t="s">
        <v>4044</v>
      </c>
      <c r="G995" s="1">
        <v>0.9</v>
      </c>
      <c r="K995" s="1">
        <v>30000</v>
      </c>
      <c r="M995" s="1">
        <v>700</v>
      </c>
      <c r="O995" s="1">
        <v>300</v>
      </c>
      <c r="Q995" s="1">
        <v>50</v>
      </c>
      <c r="Y995" s="1">
        <v>0.05</v>
      </c>
      <c r="Z995" s="1">
        <v>4</v>
      </c>
      <c r="AA995" s="1">
        <v>10</v>
      </c>
      <c r="AB995" s="1">
        <v>0.3</v>
      </c>
      <c r="AG995" s="1">
        <v>0</v>
      </c>
      <c r="AH995" s="1">
        <v>1</v>
      </c>
      <c r="AI995" s="1" t="s">
        <v>4051</v>
      </c>
      <c r="AJ995" s="1" t="s">
        <v>3394</v>
      </c>
      <c r="AK995" s="1" t="s">
        <v>238</v>
      </c>
      <c r="AM995" s="1">
        <v>1</v>
      </c>
      <c r="AV995" s="1">
        <v>2</v>
      </c>
      <c r="AX995" s="1">
        <v>0.1</v>
      </c>
      <c r="BE995" s="1" t="s">
        <v>4044</v>
      </c>
      <c r="BK995" s="1" t="s">
        <v>4052</v>
      </c>
      <c r="BN995" s="1" t="s">
        <v>4053</v>
      </c>
      <c r="BO995" s="1" t="s">
        <v>2618</v>
      </c>
      <c r="BP995" s="1" t="s">
        <v>2619</v>
      </c>
      <c r="BQ995" s="1" t="s">
        <v>3157</v>
      </c>
      <c r="BT995" s="1">
        <v>1</v>
      </c>
    </row>
    <row r="996" spans="1:72">
      <c r="A996" s="1" t="s">
        <v>4054</v>
      </c>
      <c r="B996" s="1" t="s">
        <v>213</v>
      </c>
      <c r="C996" s="1">
        <v>1</v>
      </c>
      <c r="D996" s="1" t="s">
        <v>4043</v>
      </c>
      <c r="E996" s="1">
        <v>1547</v>
      </c>
      <c r="F996" s="1" t="s">
        <v>4044</v>
      </c>
      <c r="G996" s="1">
        <v>0.9</v>
      </c>
      <c r="K996" s="1">
        <v>200000</v>
      </c>
      <c r="M996" s="1">
        <v>2000</v>
      </c>
      <c r="O996" s="1">
        <v>1000</v>
      </c>
      <c r="Q996" s="1">
        <v>50</v>
      </c>
      <c r="Y996" s="1">
        <v>0.05</v>
      </c>
      <c r="Z996" s="1">
        <v>6</v>
      </c>
      <c r="AA996" s="1">
        <v>10</v>
      </c>
      <c r="AB996" s="1">
        <v>0.2</v>
      </c>
      <c r="AG996" s="1">
        <v>0</v>
      </c>
      <c r="AH996" s="1">
        <v>1</v>
      </c>
      <c r="AI996" s="1" t="s">
        <v>4055</v>
      </c>
      <c r="AJ996" s="1" t="s">
        <v>3394</v>
      </c>
      <c r="AK996" s="1" t="s">
        <v>238</v>
      </c>
      <c r="AM996" s="1">
        <v>1</v>
      </c>
      <c r="AV996" s="1">
        <v>2</v>
      </c>
      <c r="AX996" s="1">
        <v>0.1</v>
      </c>
      <c r="BE996" s="1" t="s">
        <v>4044</v>
      </c>
      <c r="BK996" s="1" t="s">
        <v>4046</v>
      </c>
      <c r="BN996" s="1" t="s">
        <v>4047</v>
      </c>
      <c r="BO996" s="1" t="s">
        <v>4048</v>
      </c>
      <c r="BP996" s="1" t="s">
        <v>4049</v>
      </c>
      <c r="BQ996" s="1" t="s">
        <v>2620</v>
      </c>
      <c r="BT996" s="1">
        <v>1</v>
      </c>
    </row>
    <row r="997" spans="1:72">
      <c r="A997" s="1" t="s">
        <v>4056</v>
      </c>
      <c r="B997" s="1" t="s">
        <v>213</v>
      </c>
      <c r="C997" s="1">
        <v>1</v>
      </c>
      <c r="D997" s="1" t="s">
        <v>4043</v>
      </c>
      <c r="E997" s="1">
        <v>1547</v>
      </c>
      <c r="F997" s="1" t="s">
        <v>4044</v>
      </c>
      <c r="G997" s="1">
        <v>0.9</v>
      </c>
      <c r="K997" s="1">
        <v>40000</v>
      </c>
      <c r="M997" s="1">
        <v>850</v>
      </c>
      <c r="O997" s="1">
        <v>450</v>
      </c>
      <c r="Q997" s="1">
        <v>50</v>
      </c>
      <c r="Y997" s="1">
        <v>0.05</v>
      </c>
      <c r="Z997" s="1">
        <v>4</v>
      </c>
      <c r="AA997" s="1">
        <v>10</v>
      </c>
      <c r="AB997" s="1">
        <v>0.3</v>
      </c>
      <c r="AG997" s="1">
        <v>0</v>
      </c>
      <c r="AH997" s="1">
        <v>1</v>
      </c>
      <c r="AI997" s="1" t="s">
        <v>4057</v>
      </c>
      <c r="AJ997" s="1" t="s">
        <v>3394</v>
      </c>
      <c r="AK997" s="1" t="s">
        <v>238</v>
      </c>
      <c r="AM997" s="1">
        <v>1</v>
      </c>
      <c r="AV997" s="1">
        <v>2</v>
      </c>
      <c r="AX997" s="1">
        <v>0.1</v>
      </c>
      <c r="BE997" s="1" t="s">
        <v>4044</v>
      </c>
      <c r="BK997" s="1" t="s">
        <v>4052</v>
      </c>
      <c r="BN997" s="1" t="s">
        <v>4053</v>
      </c>
      <c r="BO997" s="1" t="s">
        <v>2618</v>
      </c>
      <c r="BP997" s="1" t="s">
        <v>2619</v>
      </c>
      <c r="BQ997" s="1" t="s">
        <v>3157</v>
      </c>
      <c r="BT997" s="1">
        <v>1</v>
      </c>
    </row>
    <row r="998" spans="1:72">
      <c r="A998" s="1" t="s">
        <v>4058</v>
      </c>
      <c r="B998" s="1" t="s">
        <v>213</v>
      </c>
      <c r="C998" s="1">
        <v>1</v>
      </c>
      <c r="D998" s="1" t="s">
        <v>4043</v>
      </c>
      <c r="E998" s="1">
        <v>1547</v>
      </c>
      <c r="F998" s="1" t="s">
        <v>4044</v>
      </c>
      <c r="G998" s="1">
        <v>0.9</v>
      </c>
      <c r="K998" s="1">
        <v>240000</v>
      </c>
      <c r="M998" s="1">
        <v>2400</v>
      </c>
      <c r="O998" s="1">
        <v>1200</v>
      </c>
      <c r="Q998" s="1">
        <v>50</v>
      </c>
      <c r="Y998" s="1">
        <v>0.05</v>
      </c>
      <c r="Z998" s="1">
        <v>6</v>
      </c>
      <c r="AA998" s="1">
        <v>10</v>
      </c>
      <c r="AB998" s="1">
        <v>0.2</v>
      </c>
      <c r="AG998" s="1">
        <v>0</v>
      </c>
      <c r="AH998" s="1">
        <v>1</v>
      </c>
      <c r="AI998" s="1" t="s">
        <v>4059</v>
      </c>
      <c r="AJ998" s="1" t="s">
        <v>3394</v>
      </c>
      <c r="AK998" s="1" t="s">
        <v>238</v>
      </c>
      <c r="AM998" s="1">
        <v>1</v>
      </c>
      <c r="AV998" s="1">
        <v>2</v>
      </c>
      <c r="AX998" s="1">
        <v>0.1</v>
      </c>
      <c r="BE998" s="1" t="s">
        <v>4044</v>
      </c>
      <c r="BK998" s="1" t="s">
        <v>4046</v>
      </c>
      <c r="BN998" s="1" t="s">
        <v>4047</v>
      </c>
      <c r="BO998" s="1" t="s">
        <v>4048</v>
      </c>
      <c r="BP998" s="1" t="s">
        <v>4049</v>
      </c>
      <c r="BQ998" s="1" t="s">
        <v>2620</v>
      </c>
      <c r="BT998" s="1">
        <v>1</v>
      </c>
    </row>
    <row r="999" spans="1:72">
      <c r="A999" s="1" t="s">
        <v>4060</v>
      </c>
      <c r="B999" s="1" t="s">
        <v>213</v>
      </c>
      <c r="C999" s="1">
        <v>1</v>
      </c>
      <c r="D999" s="1" t="s">
        <v>4061</v>
      </c>
      <c r="E999" s="1">
        <v>1371</v>
      </c>
      <c r="F999" s="1" t="s">
        <v>4060</v>
      </c>
      <c r="G999" s="1">
        <v>1</v>
      </c>
      <c r="K999" s="1">
        <v>4000</v>
      </c>
      <c r="M999" s="1">
        <v>280</v>
      </c>
      <c r="O999" s="1">
        <v>150</v>
      </c>
      <c r="Q999" s="1">
        <v>10</v>
      </c>
      <c r="Y999" s="1">
        <v>0.05</v>
      </c>
      <c r="Z999" s="1">
        <v>2</v>
      </c>
      <c r="AA999" s="1">
        <v>1</v>
      </c>
      <c r="AB999" s="1">
        <v>0.8</v>
      </c>
      <c r="AG999" s="1">
        <v>0</v>
      </c>
      <c r="AH999" s="1">
        <v>1</v>
      </c>
      <c r="AI999" s="1" t="s">
        <v>4062</v>
      </c>
      <c r="AJ999" s="1" t="s">
        <v>3394</v>
      </c>
      <c r="AK999" s="1" t="s">
        <v>238</v>
      </c>
      <c r="AM999" s="1">
        <v>1</v>
      </c>
      <c r="AV999" s="1">
        <v>1</v>
      </c>
      <c r="AX999" s="1">
        <v>0.1</v>
      </c>
      <c r="BE999" s="1" t="s">
        <v>4060</v>
      </c>
      <c r="BK999" s="1" t="s">
        <v>4063</v>
      </c>
      <c r="BN999" s="1" t="s">
        <v>217</v>
      </c>
      <c r="BO999" s="1" t="s">
        <v>218</v>
      </c>
      <c r="BP999" s="1" t="s">
        <v>239</v>
      </c>
      <c r="BQ999" s="1" t="s">
        <v>220</v>
      </c>
      <c r="BT999" s="1">
        <v>1</v>
      </c>
    </row>
    <row r="1000" spans="1:72">
      <c r="A1000" s="1" t="s">
        <v>4064</v>
      </c>
      <c r="B1000" s="1" t="s">
        <v>213</v>
      </c>
      <c r="C1000" s="1">
        <v>1</v>
      </c>
      <c r="D1000" s="1" t="s">
        <v>4065</v>
      </c>
      <c r="E1000" s="1">
        <v>1371</v>
      </c>
      <c r="F1000" s="1" t="s">
        <v>4064</v>
      </c>
      <c r="G1000" s="1">
        <v>1</v>
      </c>
      <c r="K1000" s="1">
        <v>5000</v>
      </c>
      <c r="M1000" s="1">
        <v>320</v>
      </c>
      <c r="O1000" s="1">
        <v>150</v>
      </c>
      <c r="Q1000" s="1">
        <v>10</v>
      </c>
      <c r="Y1000" s="1">
        <v>0.05</v>
      </c>
      <c r="Z1000" s="1">
        <v>2</v>
      </c>
      <c r="AA1000" s="1">
        <v>1</v>
      </c>
      <c r="AB1000" s="1">
        <v>0.8</v>
      </c>
      <c r="AG1000" s="1">
        <v>0</v>
      </c>
      <c r="AH1000" s="1">
        <v>1</v>
      </c>
      <c r="AI1000" s="1" t="s">
        <v>4066</v>
      </c>
      <c r="AJ1000" s="1" t="s">
        <v>3394</v>
      </c>
      <c r="AK1000" s="1" t="s">
        <v>238</v>
      </c>
      <c r="AM1000" s="1">
        <v>1</v>
      </c>
      <c r="AV1000" s="1">
        <v>1</v>
      </c>
      <c r="AX1000" s="1">
        <v>0.1</v>
      </c>
      <c r="BE1000" s="1" t="s">
        <v>4064</v>
      </c>
      <c r="BK1000" s="1" t="s">
        <v>4063</v>
      </c>
      <c r="BN1000" s="1" t="s">
        <v>217</v>
      </c>
      <c r="BO1000" s="1" t="s">
        <v>218</v>
      </c>
      <c r="BP1000" s="1" t="s">
        <v>239</v>
      </c>
      <c r="BQ1000" s="1" t="s">
        <v>220</v>
      </c>
      <c r="BT1000" s="1">
        <v>1</v>
      </c>
    </row>
    <row r="1001" spans="1:72">
      <c r="A1001" s="1" t="s">
        <v>4067</v>
      </c>
      <c r="B1001" s="1" t="s">
        <v>213</v>
      </c>
      <c r="C1001" s="1">
        <v>1</v>
      </c>
      <c r="D1001" s="1" t="s">
        <v>4068</v>
      </c>
      <c r="E1001" s="1">
        <v>1372</v>
      </c>
      <c r="F1001" s="1" t="s">
        <v>4067</v>
      </c>
      <c r="G1001" s="1">
        <v>1</v>
      </c>
      <c r="K1001" s="1">
        <v>6000</v>
      </c>
      <c r="M1001" s="1">
        <v>200</v>
      </c>
      <c r="O1001" s="1">
        <v>200</v>
      </c>
      <c r="Q1001" s="1">
        <v>15</v>
      </c>
      <c r="Y1001" s="1">
        <v>0.05</v>
      </c>
      <c r="Z1001" s="1">
        <v>2</v>
      </c>
      <c r="AA1001" s="1">
        <v>1</v>
      </c>
      <c r="AB1001" s="1">
        <v>0.8</v>
      </c>
      <c r="AG1001" s="1">
        <v>0</v>
      </c>
      <c r="AH1001" s="1">
        <v>1</v>
      </c>
      <c r="AI1001" s="1" t="s">
        <v>4069</v>
      </c>
      <c r="AJ1001" s="1" t="s">
        <v>3394</v>
      </c>
      <c r="AK1001" s="1" t="s">
        <v>238</v>
      </c>
      <c r="AM1001" s="1">
        <v>1</v>
      </c>
      <c r="AV1001" s="1">
        <v>1</v>
      </c>
      <c r="AX1001" s="1">
        <v>0.1</v>
      </c>
      <c r="BE1001" s="1" t="s">
        <v>4067</v>
      </c>
      <c r="BK1001" s="1" t="s">
        <v>4063</v>
      </c>
      <c r="BN1001" s="1" t="s">
        <v>217</v>
      </c>
      <c r="BO1001" s="1" t="s">
        <v>218</v>
      </c>
      <c r="BP1001" s="1" t="s">
        <v>239</v>
      </c>
      <c r="BQ1001" s="1" t="s">
        <v>220</v>
      </c>
      <c r="BT1001" s="1">
        <v>1</v>
      </c>
    </row>
    <row r="1002" spans="1:72">
      <c r="A1002" s="1" t="s">
        <v>4070</v>
      </c>
      <c r="B1002" s="1" t="s">
        <v>213</v>
      </c>
      <c r="C1002" s="1">
        <v>1</v>
      </c>
      <c r="D1002" s="1" t="s">
        <v>4071</v>
      </c>
      <c r="E1002" s="1">
        <v>1372</v>
      </c>
      <c r="F1002" s="1" t="s">
        <v>4070</v>
      </c>
      <c r="G1002" s="1">
        <v>1</v>
      </c>
      <c r="K1002" s="1">
        <v>7000</v>
      </c>
      <c r="M1002" s="1">
        <v>250</v>
      </c>
      <c r="O1002" s="1">
        <v>250</v>
      </c>
      <c r="Q1002" s="1">
        <v>15</v>
      </c>
      <c r="Y1002" s="1">
        <v>0.05</v>
      </c>
      <c r="Z1002" s="1">
        <v>2</v>
      </c>
      <c r="AA1002" s="1">
        <v>1</v>
      </c>
      <c r="AB1002" s="1">
        <v>0.8</v>
      </c>
      <c r="AG1002" s="1">
        <v>0</v>
      </c>
      <c r="AH1002" s="1">
        <v>1</v>
      </c>
      <c r="AI1002" s="1" t="s">
        <v>4072</v>
      </c>
      <c r="AJ1002" s="1" t="s">
        <v>3394</v>
      </c>
      <c r="AK1002" s="1" t="s">
        <v>238</v>
      </c>
      <c r="AM1002" s="1">
        <v>1</v>
      </c>
      <c r="AV1002" s="1">
        <v>1</v>
      </c>
      <c r="AX1002" s="1">
        <v>0.1</v>
      </c>
      <c r="BE1002" s="1" t="s">
        <v>4070</v>
      </c>
      <c r="BK1002" s="1" t="s">
        <v>4063</v>
      </c>
      <c r="BN1002" s="1" t="s">
        <v>217</v>
      </c>
      <c r="BO1002" s="1" t="s">
        <v>218</v>
      </c>
      <c r="BP1002" s="1" t="s">
        <v>239</v>
      </c>
      <c r="BQ1002" s="1" t="s">
        <v>220</v>
      </c>
      <c r="BT1002" s="1">
        <v>1</v>
      </c>
    </row>
    <row r="1003" spans="1:72">
      <c r="A1003" s="1" t="s">
        <v>4073</v>
      </c>
      <c r="B1003" s="1" t="s">
        <v>213</v>
      </c>
      <c r="C1003" s="1">
        <v>1</v>
      </c>
      <c r="D1003" s="1" t="s">
        <v>4074</v>
      </c>
      <c r="E1003" s="1">
        <v>1373</v>
      </c>
      <c r="F1003" s="1" t="s">
        <v>4073</v>
      </c>
      <c r="G1003" s="1">
        <v>1</v>
      </c>
      <c r="K1003" s="1">
        <v>8000</v>
      </c>
      <c r="M1003" s="1">
        <v>150</v>
      </c>
      <c r="O1003" s="1">
        <v>200</v>
      </c>
      <c r="Q1003" s="1">
        <v>15</v>
      </c>
      <c r="Y1003" s="1">
        <v>0.05</v>
      </c>
      <c r="Z1003" s="1">
        <v>3</v>
      </c>
      <c r="AA1003" s="1">
        <v>1</v>
      </c>
      <c r="AB1003" s="1">
        <v>0.8</v>
      </c>
      <c r="AG1003" s="1">
        <v>1</v>
      </c>
      <c r="AH1003" s="1">
        <v>1</v>
      </c>
      <c r="AI1003" s="1" t="s">
        <v>4075</v>
      </c>
      <c r="AJ1003" s="1" t="s">
        <v>3521</v>
      </c>
      <c r="AK1003" s="1" t="s">
        <v>238</v>
      </c>
      <c r="AM1003" s="1">
        <v>1</v>
      </c>
      <c r="AV1003" s="1">
        <v>1</v>
      </c>
      <c r="AX1003" s="1">
        <v>0.1</v>
      </c>
      <c r="BE1003" s="1" t="s">
        <v>4073</v>
      </c>
      <c r="BK1003" s="1" t="s">
        <v>4076</v>
      </c>
      <c r="BN1003" s="1" t="s">
        <v>217</v>
      </c>
      <c r="BO1003" s="1" t="s">
        <v>218</v>
      </c>
      <c r="BP1003" s="1" t="s">
        <v>239</v>
      </c>
      <c r="BQ1003" s="1" t="s">
        <v>220</v>
      </c>
      <c r="BT1003" s="1">
        <v>1</v>
      </c>
    </row>
    <row r="1004" spans="1:72">
      <c r="A1004" s="1" t="s">
        <v>4077</v>
      </c>
      <c r="B1004" s="1" t="s">
        <v>213</v>
      </c>
      <c r="C1004" s="1">
        <v>1</v>
      </c>
      <c r="D1004" s="1" t="s">
        <v>4078</v>
      </c>
      <c r="E1004" s="1">
        <v>1373</v>
      </c>
      <c r="F1004" s="1" t="s">
        <v>4077</v>
      </c>
      <c r="G1004" s="1">
        <v>1</v>
      </c>
      <c r="K1004" s="1">
        <v>9000</v>
      </c>
      <c r="M1004" s="1">
        <v>200</v>
      </c>
      <c r="O1004" s="1">
        <v>250</v>
      </c>
      <c r="Q1004" s="1">
        <v>15</v>
      </c>
      <c r="Y1004" s="1">
        <v>0.05</v>
      </c>
      <c r="Z1004" s="1">
        <v>3</v>
      </c>
      <c r="AA1004" s="1">
        <v>1</v>
      </c>
      <c r="AB1004" s="1">
        <v>0.8</v>
      </c>
      <c r="AG1004" s="1">
        <v>1</v>
      </c>
      <c r="AH1004" s="1">
        <v>1</v>
      </c>
      <c r="AI1004" s="1" t="s">
        <v>4079</v>
      </c>
      <c r="AJ1004" s="1" t="s">
        <v>3521</v>
      </c>
      <c r="AK1004" s="1" t="s">
        <v>238</v>
      </c>
      <c r="AM1004" s="1">
        <v>1</v>
      </c>
      <c r="AV1004" s="1">
        <v>1</v>
      </c>
      <c r="AX1004" s="1">
        <v>0.1</v>
      </c>
      <c r="BE1004" s="1" t="s">
        <v>4077</v>
      </c>
      <c r="BK1004" s="1" t="s">
        <v>4076</v>
      </c>
      <c r="BN1004" s="1" t="s">
        <v>217</v>
      </c>
      <c r="BO1004" s="1" t="s">
        <v>218</v>
      </c>
      <c r="BP1004" s="1" t="s">
        <v>239</v>
      </c>
      <c r="BQ1004" s="1" t="s">
        <v>220</v>
      </c>
      <c r="BT1004" s="1">
        <v>1</v>
      </c>
    </row>
    <row r="1005" spans="1:72">
      <c r="A1005" s="1" t="s">
        <v>4080</v>
      </c>
      <c r="B1005" s="1" t="s">
        <v>213</v>
      </c>
      <c r="C1005" s="1">
        <v>1</v>
      </c>
      <c r="D1005" s="1" t="s">
        <v>4081</v>
      </c>
      <c r="E1005" s="1">
        <v>1374</v>
      </c>
      <c r="F1005" s="1" t="s">
        <v>4080</v>
      </c>
      <c r="G1005" s="1">
        <v>1</v>
      </c>
      <c r="K1005" s="1">
        <v>13000</v>
      </c>
      <c r="M1005" s="1">
        <v>250</v>
      </c>
      <c r="O1005" s="1">
        <v>250</v>
      </c>
      <c r="Q1005" s="1">
        <v>50</v>
      </c>
      <c r="Y1005" s="1">
        <v>0.05</v>
      </c>
      <c r="Z1005" s="1">
        <v>3</v>
      </c>
      <c r="AA1005" s="1">
        <v>1</v>
      </c>
      <c r="AB1005" s="1">
        <v>0.7</v>
      </c>
      <c r="AG1005" s="1">
        <v>0</v>
      </c>
      <c r="AH1005" s="1">
        <v>1</v>
      </c>
      <c r="AI1005" s="1" t="s">
        <v>4082</v>
      </c>
      <c r="AJ1005" s="1" t="s">
        <v>3521</v>
      </c>
      <c r="AK1005" s="1" t="s">
        <v>238</v>
      </c>
      <c r="AM1005" s="1">
        <v>1</v>
      </c>
      <c r="AV1005" s="1">
        <v>1</v>
      </c>
      <c r="AX1005" s="1">
        <v>0.1</v>
      </c>
      <c r="BE1005" s="1" t="s">
        <v>4080</v>
      </c>
      <c r="BK1005" s="1" t="s">
        <v>4076</v>
      </c>
      <c r="BN1005" s="1" t="s">
        <v>217</v>
      </c>
      <c r="BO1005" s="1" t="s">
        <v>218</v>
      </c>
      <c r="BP1005" s="1" t="s">
        <v>239</v>
      </c>
      <c r="BQ1005" s="1" t="s">
        <v>220</v>
      </c>
      <c r="BT1005" s="1">
        <v>1</v>
      </c>
    </row>
    <row r="1006" spans="1:72">
      <c r="A1006" s="1" t="s">
        <v>4083</v>
      </c>
      <c r="B1006" s="1" t="s">
        <v>213</v>
      </c>
      <c r="C1006" s="1">
        <v>1</v>
      </c>
      <c r="D1006" s="1" t="s">
        <v>4084</v>
      </c>
      <c r="E1006" s="1">
        <v>1374</v>
      </c>
      <c r="F1006" s="1" t="s">
        <v>4083</v>
      </c>
      <c r="G1006" s="1">
        <v>1</v>
      </c>
      <c r="K1006" s="1">
        <v>15000</v>
      </c>
      <c r="M1006" s="1">
        <v>300</v>
      </c>
      <c r="O1006" s="1">
        <v>300</v>
      </c>
      <c r="Q1006" s="1">
        <v>50</v>
      </c>
      <c r="Y1006" s="1">
        <v>0.05</v>
      </c>
      <c r="Z1006" s="1">
        <v>3</v>
      </c>
      <c r="AA1006" s="1">
        <v>1</v>
      </c>
      <c r="AB1006" s="1">
        <v>0.7</v>
      </c>
      <c r="AG1006" s="1">
        <v>0</v>
      </c>
      <c r="AH1006" s="1">
        <v>1</v>
      </c>
      <c r="AI1006" s="1" t="s">
        <v>4085</v>
      </c>
      <c r="AJ1006" s="1" t="s">
        <v>3521</v>
      </c>
      <c r="AK1006" s="1" t="s">
        <v>238</v>
      </c>
      <c r="AM1006" s="1">
        <v>1</v>
      </c>
      <c r="AV1006" s="1">
        <v>1</v>
      </c>
      <c r="AX1006" s="1">
        <v>0.1</v>
      </c>
      <c r="BE1006" s="1" t="s">
        <v>4083</v>
      </c>
      <c r="BK1006" s="1" t="s">
        <v>4076</v>
      </c>
      <c r="BN1006" s="1" t="s">
        <v>217</v>
      </c>
      <c r="BO1006" s="1" t="s">
        <v>218</v>
      </c>
      <c r="BP1006" s="1" t="s">
        <v>239</v>
      </c>
      <c r="BQ1006" s="1" t="s">
        <v>220</v>
      </c>
      <c r="BT1006" s="1">
        <v>1</v>
      </c>
    </row>
    <row r="1007" spans="1:72">
      <c r="A1007" s="1" t="s">
        <v>4086</v>
      </c>
      <c r="B1007" s="1" t="s">
        <v>213</v>
      </c>
      <c r="C1007" s="1">
        <v>1</v>
      </c>
      <c r="D1007" s="1" t="s">
        <v>4087</v>
      </c>
      <c r="E1007" s="1">
        <v>1375</v>
      </c>
      <c r="F1007" s="1" t="s">
        <v>4086</v>
      </c>
      <c r="G1007" s="1">
        <v>1</v>
      </c>
      <c r="K1007" s="1">
        <v>13000</v>
      </c>
      <c r="M1007" s="1">
        <v>500</v>
      </c>
      <c r="O1007" s="1">
        <v>700</v>
      </c>
      <c r="Q1007" s="1">
        <v>60</v>
      </c>
      <c r="Y1007" s="1">
        <v>0.05</v>
      </c>
      <c r="Z1007" s="1">
        <v>6</v>
      </c>
      <c r="AA1007" s="1">
        <v>2</v>
      </c>
      <c r="AB1007" s="1">
        <v>0.8</v>
      </c>
      <c r="AG1007" s="1">
        <v>0</v>
      </c>
      <c r="AH1007" s="1">
        <v>1</v>
      </c>
      <c r="AI1007" s="1" t="s">
        <v>4088</v>
      </c>
      <c r="AJ1007" s="1" t="s">
        <v>3521</v>
      </c>
      <c r="AK1007" s="1" t="s">
        <v>238</v>
      </c>
      <c r="AM1007" s="1">
        <v>1</v>
      </c>
      <c r="AV1007" s="1">
        <v>1</v>
      </c>
      <c r="AX1007" s="1">
        <v>0.1</v>
      </c>
      <c r="BE1007" s="1" t="s">
        <v>4086</v>
      </c>
      <c r="BK1007" s="1" t="s">
        <v>4063</v>
      </c>
      <c r="BN1007" s="1" t="s">
        <v>217</v>
      </c>
      <c r="BO1007" s="1" t="s">
        <v>218</v>
      </c>
      <c r="BP1007" s="1" t="s">
        <v>239</v>
      </c>
      <c r="BQ1007" s="1" t="s">
        <v>220</v>
      </c>
      <c r="BT1007" s="1">
        <v>1</v>
      </c>
    </row>
    <row r="1008" spans="1:72">
      <c r="A1008" s="1" t="s">
        <v>4089</v>
      </c>
      <c r="B1008" s="1" t="s">
        <v>213</v>
      </c>
      <c r="C1008" s="1">
        <v>1</v>
      </c>
      <c r="D1008" s="1" t="s">
        <v>4090</v>
      </c>
      <c r="E1008" s="1">
        <v>1375</v>
      </c>
      <c r="F1008" s="1" t="s">
        <v>4089</v>
      </c>
      <c r="G1008" s="1">
        <v>1</v>
      </c>
      <c r="K1008" s="1">
        <v>15000</v>
      </c>
      <c r="M1008" s="1">
        <v>600</v>
      </c>
      <c r="O1008" s="1">
        <v>700</v>
      </c>
      <c r="Q1008" s="1">
        <v>60</v>
      </c>
      <c r="Y1008" s="1">
        <v>0.05</v>
      </c>
      <c r="Z1008" s="1">
        <v>6</v>
      </c>
      <c r="AA1008" s="1">
        <v>2</v>
      </c>
      <c r="AB1008" s="1">
        <v>0.8</v>
      </c>
      <c r="AG1008" s="1">
        <v>0</v>
      </c>
      <c r="AH1008" s="1">
        <v>1</v>
      </c>
      <c r="AI1008" s="1" t="s">
        <v>4091</v>
      </c>
      <c r="AJ1008" s="1" t="s">
        <v>3521</v>
      </c>
      <c r="AK1008" s="1" t="s">
        <v>238</v>
      </c>
      <c r="AM1008" s="1">
        <v>1</v>
      </c>
      <c r="AV1008" s="1">
        <v>1</v>
      </c>
      <c r="AX1008" s="1">
        <v>0.1</v>
      </c>
      <c r="BE1008" s="1" t="s">
        <v>4089</v>
      </c>
      <c r="BK1008" s="1" t="s">
        <v>4063</v>
      </c>
      <c r="BN1008" s="1" t="s">
        <v>217</v>
      </c>
      <c r="BO1008" s="1" t="s">
        <v>218</v>
      </c>
      <c r="BP1008" s="1" t="s">
        <v>239</v>
      </c>
      <c r="BQ1008" s="1" t="s">
        <v>220</v>
      </c>
      <c r="BT1008" s="1">
        <v>1</v>
      </c>
    </row>
    <row r="1009" spans="1:72">
      <c r="A1009" s="1" t="s">
        <v>4092</v>
      </c>
      <c r="B1009" s="1" t="s">
        <v>213</v>
      </c>
      <c r="C1009" s="1">
        <v>1</v>
      </c>
      <c r="D1009" s="1" t="s">
        <v>4093</v>
      </c>
      <c r="E1009" s="1">
        <v>1376</v>
      </c>
      <c r="F1009" s="1" t="s">
        <v>4092</v>
      </c>
      <c r="G1009" s="1">
        <v>2</v>
      </c>
      <c r="K1009" s="1">
        <v>10000</v>
      </c>
      <c r="M1009" s="1">
        <v>250</v>
      </c>
      <c r="O1009" s="1">
        <v>250</v>
      </c>
      <c r="Q1009" s="1">
        <v>50</v>
      </c>
      <c r="Y1009" s="1">
        <v>0.05</v>
      </c>
      <c r="Z1009" s="1">
        <v>1.8</v>
      </c>
      <c r="AA1009" s="1">
        <v>2</v>
      </c>
      <c r="AB1009" s="1">
        <v>0.7</v>
      </c>
      <c r="AG1009" s="1">
        <v>0</v>
      </c>
      <c r="AH1009" s="1">
        <v>1</v>
      </c>
      <c r="AI1009" s="1" t="s">
        <v>4094</v>
      </c>
      <c r="AJ1009" s="1" t="s">
        <v>3401</v>
      </c>
      <c r="AK1009" s="1" t="s">
        <v>238</v>
      </c>
      <c r="AM1009" s="1">
        <v>1</v>
      </c>
      <c r="AV1009" s="1">
        <v>1</v>
      </c>
      <c r="AX1009" s="1">
        <v>0.1</v>
      </c>
      <c r="BE1009" s="1" t="s">
        <v>4092</v>
      </c>
      <c r="BK1009" s="1" t="s">
        <v>4076</v>
      </c>
      <c r="BN1009" s="1" t="s">
        <v>217</v>
      </c>
      <c r="BO1009" s="1" t="s">
        <v>218</v>
      </c>
      <c r="BP1009" s="1" t="s">
        <v>239</v>
      </c>
      <c r="BQ1009" s="1" t="s">
        <v>220</v>
      </c>
      <c r="BT1009" s="1">
        <v>1</v>
      </c>
    </row>
    <row r="1010" spans="1:72">
      <c r="A1010" s="1" t="s">
        <v>4095</v>
      </c>
      <c r="B1010" s="1" t="s">
        <v>213</v>
      </c>
      <c r="C1010" s="1">
        <v>1</v>
      </c>
      <c r="D1010" s="1" t="s">
        <v>4096</v>
      </c>
      <c r="E1010" s="1">
        <v>1376</v>
      </c>
      <c r="F1010" s="1" t="s">
        <v>4095</v>
      </c>
      <c r="G1010" s="1">
        <v>2</v>
      </c>
      <c r="K1010" s="1">
        <v>12000</v>
      </c>
      <c r="M1010" s="1">
        <v>350</v>
      </c>
      <c r="O1010" s="1">
        <v>300</v>
      </c>
      <c r="Q1010" s="1">
        <v>50</v>
      </c>
      <c r="Y1010" s="1">
        <v>0.05</v>
      </c>
      <c r="Z1010" s="1">
        <v>1.8</v>
      </c>
      <c r="AA1010" s="1">
        <v>2</v>
      </c>
      <c r="AB1010" s="1">
        <v>0.7</v>
      </c>
      <c r="AG1010" s="1">
        <v>0</v>
      </c>
      <c r="AH1010" s="1">
        <v>1</v>
      </c>
      <c r="AI1010" s="1" t="s">
        <v>4097</v>
      </c>
      <c r="AJ1010" s="1" t="s">
        <v>3401</v>
      </c>
      <c r="AK1010" s="1" t="s">
        <v>238</v>
      </c>
      <c r="AM1010" s="1">
        <v>1</v>
      </c>
      <c r="AV1010" s="1">
        <v>1</v>
      </c>
      <c r="AX1010" s="1">
        <v>0.1</v>
      </c>
      <c r="BE1010" s="1" t="s">
        <v>4095</v>
      </c>
      <c r="BK1010" s="1" t="s">
        <v>4076</v>
      </c>
      <c r="BN1010" s="1" t="s">
        <v>217</v>
      </c>
      <c r="BO1010" s="1" t="s">
        <v>218</v>
      </c>
      <c r="BP1010" s="1" t="s">
        <v>239</v>
      </c>
      <c r="BQ1010" s="1" t="s">
        <v>220</v>
      </c>
      <c r="BT1010" s="1">
        <v>1</v>
      </c>
    </row>
    <row r="1011" spans="1:72">
      <c r="A1011" s="1" t="s">
        <v>4098</v>
      </c>
      <c r="B1011" s="1" t="s">
        <v>213</v>
      </c>
      <c r="C1011" s="1">
        <v>1</v>
      </c>
      <c r="D1011" s="1" t="s">
        <v>4099</v>
      </c>
      <c r="E1011" s="1">
        <v>1377</v>
      </c>
      <c r="F1011" s="1" t="s">
        <v>4098</v>
      </c>
      <c r="G1011" s="1">
        <v>1</v>
      </c>
      <c r="K1011" s="1">
        <v>15000</v>
      </c>
      <c r="M1011" s="1">
        <v>600</v>
      </c>
      <c r="O1011" s="1">
        <v>900</v>
      </c>
      <c r="Q1011" s="1">
        <v>60</v>
      </c>
      <c r="Y1011" s="1">
        <v>0.05</v>
      </c>
      <c r="Z1011" s="1">
        <v>4</v>
      </c>
      <c r="AA1011" s="1">
        <v>4</v>
      </c>
      <c r="AB1011" s="1">
        <v>0.6</v>
      </c>
      <c r="AG1011" s="1">
        <v>1</v>
      </c>
      <c r="AH1011" s="1">
        <v>1</v>
      </c>
      <c r="AI1011" s="1" t="s">
        <v>4100</v>
      </c>
      <c r="AJ1011" s="1" t="s">
        <v>275</v>
      </c>
      <c r="AK1011" s="1" t="s">
        <v>238</v>
      </c>
      <c r="AM1011" s="1">
        <v>1</v>
      </c>
      <c r="AV1011" s="1">
        <v>1</v>
      </c>
      <c r="AX1011" s="1">
        <v>0.1</v>
      </c>
      <c r="BE1011" s="1" t="s">
        <v>4098</v>
      </c>
      <c r="BK1011" s="1" t="s">
        <v>4101</v>
      </c>
      <c r="BN1011" s="1" t="s">
        <v>217</v>
      </c>
      <c r="BO1011" s="1" t="s">
        <v>218</v>
      </c>
      <c r="BP1011" s="1" t="s">
        <v>239</v>
      </c>
      <c r="BQ1011" s="1" t="s">
        <v>220</v>
      </c>
      <c r="BT1011" s="1">
        <v>1</v>
      </c>
    </row>
    <row r="1012" spans="1:72">
      <c r="A1012" s="1" t="s">
        <v>4102</v>
      </c>
      <c r="B1012" s="1" t="s">
        <v>213</v>
      </c>
      <c r="C1012" s="1">
        <v>1</v>
      </c>
      <c r="D1012" s="1" t="s">
        <v>4103</v>
      </c>
      <c r="E1012" s="1">
        <v>1377</v>
      </c>
      <c r="F1012" s="1" t="s">
        <v>4102</v>
      </c>
      <c r="G1012" s="1">
        <v>1</v>
      </c>
      <c r="K1012" s="1">
        <v>20000</v>
      </c>
      <c r="M1012" s="1">
        <v>700</v>
      </c>
      <c r="O1012" s="1">
        <v>1000</v>
      </c>
      <c r="Q1012" s="1">
        <v>60</v>
      </c>
      <c r="Y1012" s="1">
        <v>0.05</v>
      </c>
      <c r="Z1012" s="1">
        <v>4</v>
      </c>
      <c r="AA1012" s="1">
        <v>4</v>
      </c>
      <c r="AB1012" s="1">
        <v>0.6</v>
      </c>
      <c r="AG1012" s="1">
        <v>1</v>
      </c>
      <c r="AH1012" s="1">
        <v>1</v>
      </c>
      <c r="AI1012" s="1" t="s">
        <v>4104</v>
      </c>
      <c r="AJ1012" s="1" t="s">
        <v>275</v>
      </c>
      <c r="AK1012" s="1" t="s">
        <v>238</v>
      </c>
      <c r="AM1012" s="1">
        <v>1</v>
      </c>
      <c r="AV1012" s="1">
        <v>1</v>
      </c>
      <c r="AX1012" s="1">
        <v>0.1</v>
      </c>
      <c r="BE1012" s="1" t="s">
        <v>4102</v>
      </c>
      <c r="BK1012" s="1" t="s">
        <v>4101</v>
      </c>
      <c r="BN1012" s="1" t="s">
        <v>217</v>
      </c>
      <c r="BO1012" s="1" t="s">
        <v>218</v>
      </c>
      <c r="BP1012" s="1" t="s">
        <v>239</v>
      </c>
      <c r="BQ1012" s="1" t="s">
        <v>220</v>
      </c>
      <c r="BT1012" s="1">
        <v>1</v>
      </c>
    </row>
    <row r="1013" spans="1:72">
      <c r="A1013" s="1" t="s">
        <v>4105</v>
      </c>
      <c r="B1013" s="1" t="s">
        <v>213</v>
      </c>
      <c r="C1013" s="1">
        <v>1</v>
      </c>
      <c r="D1013" s="1" t="s">
        <v>4106</v>
      </c>
      <c r="E1013" s="1">
        <v>1378</v>
      </c>
      <c r="F1013" s="1" t="s">
        <v>4107</v>
      </c>
      <c r="G1013" s="1">
        <v>1</v>
      </c>
      <c r="K1013" s="1">
        <v>12000</v>
      </c>
      <c r="M1013" s="1">
        <v>450</v>
      </c>
      <c r="O1013" s="1">
        <v>300</v>
      </c>
      <c r="Q1013" s="1">
        <v>50</v>
      </c>
      <c r="Y1013" s="1">
        <v>0.05</v>
      </c>
      <c r="Z1013" s="1">
        <v>3</v>
      </c>
      <c r="AA1013" s="1">
        <v>3</v>
      </c>
      <c r="AB1013" s="1">
        <v>0.65</v>
      </c>
      <c r="AG1013" s="1">
        <v>0</v>
      </c>
      <c r="AH1013" s="1">
        <v>1</v>
      </c>
      <c r="AI1013" s="1" t="s">
        <v>4108</v>
      </c>
      <c r="AJ1013" s="1" t="s">
        <v>275</v>
      </c>
      <c r="AK1013" s="1" t="s">
        <v>238</v>
      </c>
      <c r="AM1013" s="1">
        <v>1</v>
      </c>
      <c r="AV1013" s="1">
        <v>1</v>
      </c>
      <c r="AX1013" s="1">
        <v>0.1</v>
      </c>
      <c r="BE1013" s="1" t="s">
        <v>4107</v>
      </c>
      <c r="BK1013" s="1" t="s">
        <v>4109</v>
      </c>
      <c r="BN1013" s="1" t="s">
        <v>217</v>
      </c>
      <c r="BO1013" s="1" t="s">
        <v>218</v>
      </c>
      <c r="BP1013" s="1" t="s">
        <v>239</v>
      </c>
      <c r="BQ1013" s="1" t="s">
        <v>220</v>
      </c>
      <c r="BT1013" s="1">
        <v>1</v>
      </c>
    </row>
    <row r="1014" spans="1:72">
      <c r="A1014" s="1" t="s">
        <v>4110</v>
      </c>
      <c r="B1014" s="1" t="s">
        <v>213</v>
      </c>
      <c r="C1014" s="1">
        <v>1</v>
      </c>
      <c r="D1014" s="1" t="s">
        <v>4106</v>
      </c>
      <c r="E1014" s="1">
        <v>1378</v>
      </c>
      <c r="F1014" s="1" t="s">
        <v>4107</v>
      </c>
      <c r="G1014" s="1">
        <v>1</v>
      </c>
      <c r="K1014" s="1">
        <v>12000</v>
      </c>
      <c r="M1014" s="1">
        <v>450</v>
      </c>
      <c r="O1014" s="1">
        <v>300</v>
      </c>
      <c r="Q1014" s="1">
        <v>50</v>
      </c>
      <c r="Y1014" s="1">
        <v>0.05</v>
      </c>
      <c r="Z1014" s="1">
        <v>3</v>
      </c>
      <c r="AA1014" s="1">
        <v>3</v>
      </c>
      <c r="AB1014" s="1">
        <v>0.65</v>
      </c>
      <c r="AG1014" s="1">
        <v>0</v>
      </c>
      <c r="AH1014" s="1">
        <v>1</v>
      </c>
      <c r="AI1014" s="1" t="s">
        <v>4111</v>
      </c>
      <c r="AJ1014" s="1" t="s">
        <v>275</v>
      </c>
      <c r="AK1014" s="1" t="s">
        <v>238</v>
      </c>
      <c r="AM1014" s="1">
        <v>1</v>
      </c>
      <c r="AV1014" s="1">
        <v>1</v>
      </c>
      <c r="AX1014" s="1">
        <v>0.1</v>
      </c>
      <c r="BE1014" s="1" t="s">
        <v>4107</v>
      </c>
      <c r="BK1014" s="1" t="s">
        <v>4109</v>
      </c>
      <c r="BN1014" s="1" t="s">
        <v>217</v>
      </c>
      <c r="BO1014" s="1" t="s">
        <v>218</v>
      </c>
      <c r="BP1014" s="1" t="s">
        <v>239</v>
      </c>
      <c r="BQ1014" s="1" t="s">
        <v>220</v>
      </c>
      <c r="BT1014" s="1">
        <v>1</v>
      </c>
    </row>
    <row r="1015" spans="1:72">
      <c r="A1015" s="1" t="s">
        <v>4112</v>
      </c>
      <c r="B1015" s="1" t="s">
        <v>213</v>
      </c>
      <c r="C1015" s="1">
        <v>1</v>
      </c>
      <c r="D1015" s="1" t="s">
        <v>4113</v>
      </c>
      <c r="E1015" s="1">
        <v>1378</v>
      </c>
      <c r="F1015" s="1" t="s">
        <v>4114</v>
      </c>
      <c r="G1015" s="1">
        <v>1</v>
      </c>
      <c r="K1015" s="1">
        <v>15000</v>
      </c>
      <c r="M1015" s="1">
        <v>550</v>
      </c>
      <c r="O1015" s="1">
        <v>350</v>
      </c>
      <c r="Q1015" s="1">
        <v>50</v>
      </c>
      <c r="Y1015" s="1">
        <v>0.05</v>
      </c>
      <c r="Z1015" s="1">
        <v>3</v>
      </c>
      <c r="AA1015" s="1">
        <v>3</v>
      </c>
      <c r="AB1015" s="1">
        <v>0.65</v>
      </c>
      <c r="AG1015" s="1">
        <v>0</v>
      </c>
      <c r="AH1015" s="1">
        <v>1</v>
      </c>
      <c r="AI1015" s="1" t="s">
        <v>4115</v>
      </c>
      <c r="AJ1015" s="1" t="s">
        <v>275</v>
      </c>
      <c r="AK1015" s="1" t="s">
        <v>238</v>
      </c>
      <c r="AM1015" s="1">
        <v>1</v>
      </c>
      <c r="AV1015" s="1">
        <v>1</v>
      </c>
      <c r="AX1015" s="1">
        <v>0.1</v>
      </c>
      <c r="BE1015" s="1" t="s">
        <v>4114</v>
      </c>
      <c r="BK1015" s="1" t="s">
        <v>4109</v>
      </c>
      <c r="BN1015" s="1" t="s">
        <v>217</v>
      </c>
      <c r="BO1015" s="1" t="s">
        <v>218</v>
      </c>
      <c r="BP1015" s="1" t="s">
        <v>239</v>
      </c>
      <c r="BQ1015" s="1" t="s">
        <v>220</v>
      </c>
      <c r="BT1015" s="1">
        <v>1</v>
      </c>
    </row>
    <row r="1016" spans="1:72">
      <c r="A1016" s="1" t="s">
        <v>4116</v>
      </c>
      <c r="B1016" s="1" t="s">
        <v>213</v>
      </c>
      <c r="C1016" s="1">
        <v>1</v>
      </c>
      <c r="D1016" s="1" t="s">
        <v>4113</v>
      </c>
      <c r="E1016" s="1">
        <v>1378</v>
      </c>
      <c r="F1016" s="1" t="s">
        <v>4114</v>
      </c>
      <c r="G1016" s="1">
        <v>1</v>
      </c>
      <c r="K1016" s="1">
        <v>15000</v>
      </c>
      <c r="M1016" s="1">
        <v>550</v>
      </c>
      <c r="O1016" s="1">
        <v>350</v>
      </c>
      <c r="Q1016" s="1">
        <v>50</v>
      </c>
      <c r="Y1016" s="1">
        <v>0.05</v>
      </c>
      <c r="Z1016" s="1">
        <v>3</v>
      </c>
      <c r="AA1016" s="1">
        <v>3</v>
      </c>
      <c r="AB1016" s="1">
        <v>0.65</v>
      </c>
      <c r="AG1016" s="1">
        <v>0</v>
      </c>
      <c r="AH1016" s="1">
        <v>1</v>
      </c>
      <c r="AI1016" s="1" t="s">
        <v>4117</v>
      </c>
      <c r="AJ1016" s="1" t="s">
        <v>275</v>
      </c>
      <c r="AK1016" s="1" t="s">
        <v>238</v>
      </c>
      <c r="AM1016" s="1">
        <v>1</v>
      </c>
      <c r="AV1016" s="1">
        <v>1</v>
      </c>
      <c r="AX1016" s="1">
        <v>0.1</v>
      </c>
      <c r="BE1016" s="1" t="s">
        <v>4114</v>
      </c>
      <c r="BK1016" s="1" t="s">
        <v>4109</v>
      </c>
      <c r="BN1016" s="1" t="s">
        <v>217</v>
      </c>
      <c r="BO1016" s="1" t="s">
        <v>218</v>
      </c>
      <c r="BP1016" s="1" t="s">
        <v>239</v>
      </c>
      <c r="BQ1016" s="1" t="s">
        <v>220</v>
      </c>
      <c r="BT1016" s="1">
        <v>1</v>
      </c>
    </row>
    <row r="1017" spans="1:72">
      <c r="A1017" s="1" t="s">
        <v>4118</v>
      </c>
      <c r="B1017" s="1" t="s">
        <v>213</v>
      </c>
      <c r="C1017" s="1">
        <v>1</v>
      </c>
      <c r="D1017" s="1" t="s">
        <v>4119</v>
      </c>
      <c r="E1017" s="1">
        <v>1379</v>
      </c>
      <c r="F1017" s="1" t="s">
        <v>4120</v>
      </c>
      <c r="G1017" s="1">
        <v>1</v>
      </c>
      <c r="K1017" s="1">
        <v>23000</v>
      </c>
      <c r="M1017" s="1">
        <v>350</v>
      </c>
      <c r="O1017" s="1">
        <v>550</v>
      </c>
      <c r="Q1017" s="1">
        <v>60</v>
      </c>
      <c r="Y1017" s="1">
        <v>0.05</v>
      </c>
      <c r="Z1017" s="1">
        <v>3</v>
      </c>
      <c r="AA1017" s="1">
        <v>3</v>
      </c>
      <c r="AB1017" s="1">
        <v>0.65</v>
      </c>
      <c r="AG1017" s="1">
        <v>0</v>
      </c>
      <c r="AH1017" s="1">
        <v>1</v>
      </c>
      <c r="AI1017" s="1" t="s">
        <v>4121</v>
      </c>
      <c r="AJ1017" s="1" t="s">
        <v>275</v>
      </c>
      <c r="AK1017" s="1" t="s">
        <v>238</v>
      </c>
      <c r="AM1017" s="1">
        <v>1</v>
      </c>
      <c r="AV1017" s="1">
        <v>1</v>
      </c>
      <c r="AX1017" s="1">
        <v>0.1</v>
      </c>
      <c r="BE1017" s="1" t="s">
        <v>4120</v>
      </c>
      <c r="BK1017" s="1" t="s">
        <v>4109</v>
      </c>
      <c r="BN1017" s="1" t="s">
        <v>217</v>
      </c>
      <c r="BO1017" s="1" t="s">
        <v>218</v>
      </c>
      <c r="BP1017" s="1" t="s">
        <v>239</v>
      </c>
      <c r="BQ1017" s="1" t="s">
        <v>220</v>
      </c>
      <c r="BT1017" s="1">
        <v>1</v>
      </c>
    </row>
    <row r="1018" spans="1:72">
      <c r="A1018" s="1" t="s">
        <v>4122</v>
      </c>
      <c r="B1018" s="1" t="s">
        <v>213</v>
      </c>
      <c r="C1018" s="1">
        <v>1</v>
      </c>
      <c r="D1018" s="1" t="s">
        <v>4119</v>
      </c>
      <c r="E1018" s="1">
        <v>1379</v>
      </c>
      <c r="F1018" s="1" t="s">
        <v>4120</v>
      </c>
      <c r="G1018" s="1">
        <v>1</v>
      </c>
      <c r="K1018" s="1">
        <v>23000</v>
      </c>
      <c r="M1018" s="1">
        <v>350</v>
      </c>
      <c r="O1018" s="1">
        <v>550</v>
      </c>
      <c r="Q1018" s="1">
        <v>60</v>
      </c>
      <c r="Y1018" s="1">
        <v>0.05</v>
      </c>
      <c r="Z1018" s="1">
        <v>3</v>
      </c>
      <c r="AA1018" s="1">
        <v>3</v>
      </c>
      <c r="AB1018" s="1">
        <v>0.65</v>
      </c>
      <c r="AG1018" s="1">
        <v>0</v>
      </c>
      <c r="AH1018" s="1">
        <v>1</v>
      </c>
      <c r="AI1018" s="1" t="s">
        <v>4123</v>
      </c>
      <c r="AJ1018" s="1" t="s">
        <v>275</v>
      </c>
      <c r="AK1018" s="1" t="s">
        <v>238</v>
      </c>
      <c r="AM1018" s="1">
        <v>1</v>
      </c>
      <c r="AV1018" s="1">
        <v>1</v>
      </c>
      <c r="AX1018" s="1">
        <v>0.1</v>
      </c>
      <c r="BE1018" s="1" t="s">
        <v>4120</v>
      </c>
      <c r="BK1018" s="1" t="s">
        <v>4109</v>
      </c>
      <c r="BN1018" s="1" t="s">
        <v>217</v>
      </c>
      <c r="BO1018" s="1" t="s">
        <v>218</v>
      </c>
      <c r="BP1018" s="1" t="s">
        <v>239</v>
      </c>
      <c r="BQ1018" s="1" t="s">
        <v>220</v>
      </c>
      <c r="BT1018" s="1">
        <v>1</v>
      </c>
    </row>
    <row r="1019" spans="1:72">
      <c r="A1019" s="1" t="s">
        <v>4124</v>
      </c>
      <c r="B1019" s="1" t="s">
        <v>213</v>
      </c>
      <c r="C1019" s="1">
        <v>1</v>
      </c>
      <c r="D1019" s="1" t="s">
        <v>4125</v>
      </c>
      <c r="E1019" s="1">
        <v>1379</v>
      </c>
      <c r="F1019" s="1" t="s">
        <v>4126</v>
      </c>
      <c r="G1019" s="1">
        <v>1</v>
      </c>
      <c r="K1019" s="1">
        <v>25000</v>
      </c>
      <c r="M1019" s="1">
        <v>450</v>
      </c>
      <c r="O1019" s="1">
        <v>600</v>
      </c>
      <c r="Q1019" s="1">
        <v>60</v>
      </c>
      <c r="Y1019" s="1">
        <v>0.05</v>
      </c>
      <c r="Z1019" s="1">
        <v>3</v>
      </c>
      <c r="AA1019" s="1">
        <v>3</v>
      </c>
      <c r="AB1019" s="1">
        <v>0.65</v>
      </c>
      <c r="AG1019" s="1">
        <v>0</v>
      </c>
      <c r="AH1019" s="1">
        <v>1</v>
      </c>
      <c r="AI1019" s="1" t="s">
        <v>4127</v>
      </c>
      <c r="AJ1019" s="1" t="s">
        <v>275</v>
      </c>
      <c r="AK1019" s="1" t="s">
        <v>238</v>
      </c>
      <c r="AM1019" s="1">
        <v>1</v>
      </c>
      <c r="AV1019" s="1">
        <v>1</v>
      </c>
      <c r="AX1019" s="1">
        <v>0.1</v>
      </c>
      <c r="BE1019" s="1" t="s">
        <v>4126</v>
      </c>
      <c r="BK1019" s="1" t="s">
        <v>4109</v>
      </c>
      <c r="BN1019" s="1" t="s">
        <v>217</v>
      </c>
      <c r="BO1019" s="1" t="s">
        <v>218</v>
      </c>
      <c r="BP1019" s="1" t="s">
        <v>239</v>
      </c>
      <c r="BQ1019" s="1" t="s">
        <v>220</v>
      </c>
      <c r="BT1019" s="1">
        <v>1</v>
      </c>
    </row>
    <row r="1020" spans="1:72">
      <c r="A1020" s="1" t="s">
        <v>4128</v>
      </c>
      <c r="B1020" s="1" t="s">
        <v>213</v>
      </c>
      <c r="C1020" s="1">
        <v>1</v>
      </c>
      <c r="D1020" s="1" t="s">
        <v>4125</v>
      </c>
      <c r="E1020" s="1">
        <v>1379</v>
      </c>
      <c r="F1020" s="1" t="s">
        <v>4126</v>
      </c>
      <c r="G1020" s="1">
        <v>1</v>
      </c>
      <c r="K1020" s="1">
        <v>25000</v>
      </c>
      <c r="M1020" s="1">
        <v>450</v>
      </c>
      <c r="O1020" s="1">
        <v>600</v>
      </c>
      <c r="Q1020" s="1">
        <v>60</v>
      </c>
      <c r="Y1020" s="1">
        <v>0.05</v>
      </c>
      <c r="Z1020" s="1">
        <v>3</v>
      </c>
      <c r="AA1020" s="1">
        <v>3</v>
      </c>
      <c r="AB1020" s="1">
        <v>0.65</v>
      </c>
      <c r="AG1020" s="1">
        <v>0</v>
      </c>
      <c r="AH1020" s="1">
        <v>1</v>
      </c>
      <c r="AI1020" s="1" t="s">
        <v>4129</v>
      </c>
      <c r="AJ1020" s="1" t="s">
        <v>275</v>
      </c>
      <c r="AK1020" s="1" t="s">
        <v>238</v>
      </c>
      <c r="AM1020" s="1">
        <v>1</v>
      </c>
      <c r="AV1020" s="1">
        <v>1</v>
      </c>
      <c r="AX1020" s="1">
        <v>0.1</v>
      </c>
      <c r="BE1020" s="1" t="s">
        <v>4126</v>
      </c>
      <c r="BK1020" s="1" t="s">
        <v>4109</v>
      </c>
      <c r="BN1020" s="1" t="s">
        <v>217</v>
      </c>
      <c r="BO1020" s="1" t="s">
        <v>218</v>
      </c>
      <c r="BP1020" s="1" t="s">
        <v>239</v>
      </c>
      <c r="BQ1020" s="1" t="s">
        <v>220</v>
      </c>
      <c r="BT1020" s="1">
        <v>1</v>
      </c>
    </row>
    <row r="1021" spans="1:72">
      <c r="A1021" s="1" t="s">
        <v>4130</v>
      </c>
      <c r="B1021" s="1" t="s">
        <v>213</v>
      </c>
      <c r="C1021" s="1">
        <v>1</v>
      </c>
      <c r="D1021" s="1" t="s">
        <v>4131</v>
      </c>
      <c r="E1021" s="1">
        <v>1548</v>
      </c>
      <c r="F1021" s="1" t="s">
        <v>4132</v>
      </c>
      <c r="G1021" s="1">
        <v>1</v>
      </c>
      <c r="K1021" s="1">
        <v>80000</v>
      </c>
      <c r="M1021" s="1">
        <v>750</v>
      </c>
      <c r="O1021" s="1">
        <v>600</v>
      </c>
      <c r="Q1021" s="1">
        <v>80</v>
      </c>
      <c r="Y1021" s="1">
        <v>0.05</v>
      </c>
      <c r="Z1021" s="1">
        <v>4</v>
      </c>
      <c r="AA1021" s="1">
        <v>10</v>
      </c>
      <c r="AB1021" s="1">
        <v>0</v>
      </c>
      <c r="AG1021" s="1">
        <v>0</v>
      </c>
      <c r="AH1021" s="1">
        <v>1</v>
      </c>
      <c r="AI1021" s="1" t="s">
        <v>4133</v>
      </c>
      <c r="AJ1021" s="1" t="s">
        <v>275</v>
      </c>
      <c r="AK1021" s="1" t="s">
        <v>238</v>
      </c>
      <c r="AM1021" s="1">
        <v>1</v>
      </c>
      <c r="AV1021" s="1">
        <v>2</v>
      </c>
      <c r="AX1021" s="1">
        <v>0.1</v>
      </c>
      <c r="BE1021" s="1" t="s">
        <v>4132</v>
      </c>
      <c r="BK1021" s="1" t="s">
        <v>1351</v>
      </c>
      <c r="BN1021" s="1" t="s">
        <v>3443</v>
      </c>
      <c r="BO1021" s="1" t="s">
        <v>2618</v>
      </c>
      <c r="BP1021" s="1" t="s">
        <v>2618</v>
      </c>
      <c r="BQ1021" s="1" t="s">
        <v>4134</v>
      </c>
      <c r="BT1021" s="1">
        <v>1</v>
      </c>
    </row>
    <row r="1022" spans="1:72">
      <c r="A1022" s="1" t="s">
        <v>4135</v>
      </c>
      <c r="B1022" s="1" t="s">
        <v>213</v>
      </c>
      <c r="C1022" s="1">
        <v>1</v>
      </c>
      <c r="D1022" s="1" t="s">
        <v>4131</v>
      </c>
      <c r="E1022" s="1">
        <v>1548</v>
      </c>
      <c r="F1022" s="1" t="s">
        <v>4132</v>
      </c>
      <c r="G1022" s="1">
        <v>1</v>
      </c>
      <c r="K1022" s="1">
        <v>80000</v>
      </c>
      <c r="M1022" s="1">
        <v>375</v>
      </c>
      <c r="O1022" s="1">
        <v>900</v>
      </c>
      <c r="Q1022" s="1">
        <v>80</v>
      </c>
      <c r="Y1022" s="1">
        <v>0.05</v>
      </c>
      <c r="Z1022" s="1">
        <v>4</v>
      </c>
      <c r="AA1022" s="1">
        <v>10</v>
      </c>
      <c r="AB1022" s="1">
        <v>0</v>
      </c>
      <c r="AG1022" s="1">
        <v>0</v>
      </c>
      <c r="AH1022" s="1">
        <v>1</v>
      </c>
      <c r="AI1022" s="1" t="s">
        <v>4136</v>
      </c>
      <c r="AJ1022" s="1" t="s">
        <v>275</v>
      </c>
      <c r="AK1022" s="1" t="s">
        <v>238</v>
      </c>
      <c r="AM1022" s="1">
        <v>1</v>
      </c>
      <c r="AV1022" s="1">
        <v>2</v>
      </c>
      <c r="AX1022" s="1">
        <v>0.1</v>
      </c>
      <c r="BE1022" s="1" t="s">
        <v>4132</v>
      </c>
      <c r="BK1022" s="1" t="s">
        <v>1351</v>
      </c>
      <c r="BN1022" s="1" t="s">
        <v>4137</v>
      </c>
      <c r="BO1022" s="1" t="s">
        <v>4048</v>
      </c>
      <c r="BP1022" s="1" t="s">
        <v>4048</v>
      </c>
      <c r="BQ1022" s="1" t="s">
        <v>2620</v>
      </c>
      <c r="BT1022" s="1">
        <v>1</v>
      </c>
    </row>
    <row r="1023" spans="1:72">
      <c r="A1023" s="1" t="s">
        <v>4138</v>
      </c>
      <c r="B1023" s="1" t="s">
        <v>213</v>
      </c>
      <c r="C1023" s="1">
        <v>1</v>
      </c>
      <c r="D1023" s="1" t="s">
        <v>4139</v>
      </c>
      <c r="E1023" s="1">
        <v>1381</v>
      </c>
      <c r="F1023" s="1" t="s">
        <v>4138</v>
      </c>
      <c r="G1023" s="1">
        <v>1</v>
      </c>
      <c r="K1023" s="1">
        <v>5800</v>
      </c>
      <c r="M1023" s="1">
        <v>300</v>
      </c>
      <c r="O1023" s="1">
        <v>100</v>
      </c>
      <c r="Q1023" s="1">
        <v>0</v>
      </c>
      <c r="Y1023" s="1">
        <v>0.05</v>
      </c>
      <c r="Z1023" s="1">
        <v>1.7</v>
      </c>
      <c r="AA1023" s="1">
        <v>1</v>
      </c>
      <c r="AB1023" s="1">
        <v>0.9</v>
      </c>
      <c r="AG1023" s="1">
        <v>0</v>
      </c>
      <c r="AH1023" s="1">
        <v>1</v>
      </c>
      <c r="AI1023" s="1" t="s">
        <v>4140</v>
      </c>
      <c r="AJ1023" s="1" t="s">
        <v>3394</v>
      </c>
      <c r="AK1023" s="1" t="s">
        <v>238</v>
      </c>
      <c r="AM1023" s="1">
        <v>1</v>
      </c>
      <c r="AV1023" s="1">
        <v>1</v>
      </c>
      <c r="AX1023" s="1">
        <v>0.1</v>
      </c>
      <c r="BE1023" s="1" t="s">
        <v>4138</v>
      </c>
      <c r="BK1023" s="1" t="s">
        <v>953</v>
      </c>
      <c r="BN1023" s="1" t="s">
        <v>217</v>
      </c>
      <c r="BO1023" s="1" t="s">
        <v>218</v>
      </c>
      <c r="BP1023" s="1" t="s">
        <v>239</v>
      </c>
      <c r="BQ1023" s="1" t="s">
        <v>220</v>
      </c>
      <c r="BT1023" s="1">
        <v>1</v>
      </c>
    </row>
    <row r="1024" spans="1:72">
      <c r="A1024" s="1" t="s">
        <v>4141</v>
      </c>
      <c r="B1024" s="1" t="s">
        <v>213</v>
      </c>
      <c r="C1024" s="1">
        <v>1</v>
      </c>
      <c r="D1024" s="1" t="s">
        <v>4142</v>
      </c>
      <c r="E1024" s="1">
        <v>1381</v>
      </c>
      <c r="F1024" s="1" t="s">
        <v>4141</v>
      </c>
      <c r="G1024" s="1">
        <v>1</v>
      </c>
      <c r="K1024" s="1">
        <v>7800</v>
      </c>
      <c r="M1024" s="1">
        <v>400</v>
      </c>
      <c r="O1024" s="1">
        <v>200</v>
      </c>
      <c r="Q1024" s="1">
        <v>0</v>
      </c>
      <c r="Y1024" s="1">
        <v>0.05</v>
      </c>
      <c r="Z1024" s="1">
        <v>1.7</v>
      </c>
      <c r="AA1024" s="1">
        <v>1</v>
      </c>
      <c r="AB1024" s="1">
        <v>0.9</v>
      </c>
      <c r="AG1024" s="1">
        <v>0</v>
      </c>
      <c r="AH1024" s="1">
        <v>1</v>
      </c>
      <c r="AI1024" s="1" t="s">
        <v>4143</v>
      </c>
      <c r="AJ1024" s="1" t="s">
        <v>3394</v>
      </c>
      <c r="AK1024" s="1" t="s">
        <v>238</v>
      </c>
      <c r="AM1024" s="1">
        <v>1</v>
      </c>
      <c r="AV1024" s="1">
        <v>1</v>
      </c>
      <c r="AX1024" s="1">
        <v>0.1</v>
      </c>
      <c r="BE1024" s="1" t="s">
        <v>4141</v>
      </c>
      <c r="BK1024" s="1" t="s">
        <v>953</v>
      </c>
      <c r="BN1024" s="1" t="s">
        <v>217</v>
      </c>
      <c r="BO1024" s="1" t="s">
        <v>218</v>
      </c>
      <c r="BP1024" s="1" t="s">
        <v>239</v>
      </c>
      <c r="BQ1024" s="1" t="s">
        <v>220</v>
      </c>
      <c r="BT1024" s="1">
        <v>1</v>
      </c>
    </row>
    <row r="1025" spans="1:72">
      <c r="A1025" s="1" t="s">
        <v>4144</v>
      </c>
      <c r="B1025" s="1" t="s">
        <v>213</v>
      </c>
      <c r="C1025" s="1">
        <v>1</v>
      </c>
      <c r="D1025" s="1" t="s">
        <v>4145</v>
      </c>
      <c r="E1025" s="1">
        <v>1382</v>
      </c>
      <c r="F1025" s="1" t="s">
        <v>4144</v>
      </c>
      <c r="G1025" s="1">
        <v>1</v>
      </c>
      <c r="K1025" s="1">
        <v>5500</v>
      </c>
      <c r="M1025" s="1">
        <v>400</v>
      </c>
      <c r="O1025" s="1">
        <v>100</v>
      </c>
      <c r="Q1025" s="1">
        <v>10</v>
      </c>
      <c r="Y1025" s="1">
        <v>0.05</v>
      </c>
      <c r="Z1025" s="1">
        <v>3</v>
      </c>
      <c r="AA1025" s="1">
        <v>1</v>
      </c>
      <c r="AB1025" s="1">
        <v>0.7</v>
      </c>
      <c r="AG1025" s="1">
        <v>0</v>
      </c>
      <c r="AH1025" s="1">
        <v>1</v>
      </c>
      <c r="AI1025" s="1" t="s">
        <v>4146</v>
      </c>
      <c r="AJ1025" s="1" t="s">
        <v>3394</v>
      </c>
      <c r="AK1025" s="1" t="s">
        <v>238</v>
      </c>
      <c r="AM1025" s="1">
        <v>1</v>
      </c>
      <c r="AV1025" s="1">
        <v>1</v>
      </c>
      <c r="AX1025" s="1">
        <v>0.1</v>
      </c>
      <c r="BE1025" s="1" t="s">
        <v>4144</v>
      </c>
      <c r="BK1025" s="1" t="s">
        <v>959</v>
      </c>
      <c r="BN1025" s="1" t="s">
        <v>217</v>
      </c>
      <c r="BO1025" s="1" t="s">
        <v>218</v>
      </c>
      <c r="BP1025" s="1" t="s">
        <v>239</v>
      </c>
      <c r="BQ1025" s="1" t="s">
        <v>220</v>
      </c>
      <c r="BT1025" s="1">
        <v>1</v>
      </c>
    </row>
    <row r="1026" spans="1:72">
      <c r="A1026" s="1" t="s">
        <v>4147</v>
      </c>
      <c r="B1026" s="1" t="s">
        <v>213</v>
      </c>
      <c r="C1026" s="1">
        <v>1</v>
      </c>
      <c r="D1026" s="1" t="s">
        <v>4148</v>
      </c>
      <c r="E1026" s="1">
        <v>1382</v>
      </c>
      <c r="F1026" s="1" t="s">
        <v>4147</v>
      </c>
      <c r="G1026" s="1">
        <v>1</v>
      </c>
      <c r="K1026" s="1">
        <v>7000</v>
      </c>
      <c r="M1026" s="1">
        <v>500</v>
      </c>
      <c r="O1026" s="1">
        <v>200</v>
      </c>
      <c r="Q1026" s="1">
        <v>10</v>
      </c>
      <c r="Y1026" s="1">
        <v>0.05</v>
      </c>
      <c r="Z1026" s="1">
        <v>3</v>
      </c>
      <c r="AA1026" s="1">
        <v>1</v>
      </c>
      <c r="AB1026" s="1">
        <v>0.7</v>
      </c>
      <c r="AG1026" s="1">
        <v>0</v>
      </c>
      <c r="AH1026" s="1">
        <v>1</v>
      </c>
      <c r="AI1026" s="1" t="s">
        <v>4149</v>
      </c>
      <c r="AJ1026" s="1" t="s">
        <v>3394</v>
      </c>
      <c r="AK1026" s="1" t="s">
        <v>238</v>
      </c>
      <c r="AM1026" s="1">
        <v>1</v>
      </c>
      <c r="AV1026" s="1">
        <v>1</v>
      </c>
      <c r="AX1026" s="1">
        <v>0.1</v>
      </c>
      <c r="BE1026" s="1" t="s">
        <v>4147</v>
      </c>
      <c r="BK1026" s="1" t="s">
        <v>959</v>
      </c>
      <c r="BN1026" s="1" t="s">
        <v>217</v>
      </c>
      <c r="BO1026" s="1" t="s">
        <v>218</v>
      </c>
      <c r="BP1026" s="1" t="s">
        <v>239</v>
      </c>
      <c r="BQ1026" s="1" t="s">
        <v>220</v>
      </c>
      <c r="BT1026" s="1">
        <v>1</v>
      </c>
    </row>
    <row r="1027" spans="1:72">
      <c r="A1027" s="1" t="s">
        <v>4150</v>
      </c>
      <c r="B1027" s="1" t="s">
        <v>213</v>
      </c>
      <c r="C1027" s="1">
        <v>1</v>
      </c>
      <c r="D1027" s="1" t="s">
        <v>4151</v>
      </c>
      <c r="E1027" s="1">
        <v>1383</v>
      </c>
      <c r="F1027" s="1" t="s">
        <v>4150</v>
      </c>
      <c r="G1027" s="1">
        <v>1</v>
      </c>
      <c r="K1027" s="1">
        <v>5000</v>
      </c>
      <c r="M1027" s="1">
        <v>300</v>
      </c>
      <c r="O1027" s="1">
        <v>450</v>
      </c>
      <c r="Q1027" s="1">
        <v>0</v>
      </c>
      <c r="Y1027" s="1">
        <v>0.05</v>
      </c>
      <c r="Z1027" s="1">
        <v>2</v>
      </c>
      <c r="AA1027" s="1">
        <v>1</v>
      </c>
      <c r="AB1027" s="1">
        <v>2</v>
      </c>
      <c r="AG1027" s="1">
        <v>1</v>
      </c>
      <c r="AH1027" s="1">
        <v>1</v>
      </c>
      <c r="AI1027" s="1" t="s">
        <v>4152</v>
      </c>
      <c r="AJ1027" s="1" t="s">
        <v>3521</v>
      </c>
      <c r="AK1027" s="1" t="s">
        <v>238</v>
      </c>
      <c r="AM1027" s="1">
        <v>1</v>
      </c>
      <c r="AV1027" s="1">
        <v>1</v>
      </c>
      <c r="AX1027" s="1">
        <v>0.1</v>
      </c>
      <c r="BE1027" s="1" t="s">
        <v>4150</v>
      </c>
      <c r="BK1027" s="1" t="s">
        <v>4153</v>
      </c>
      <c r="BN1027" s="1" t="s">
        <v>217</v>
      </c>
      <c r="BO1027" s="1" t="s">
        <v>218</v>
      </c>
      <c r="BP1027" s="1" t="s">
        <v>1635</v>
      </c>
      <c r="BQ1027" s="1" t="s">
        <v>220</v>
      </c>
      <c r="BT1027" s="1">
        <v>1</v>
      </c>
    </row>
    <row r="1028" spans="1:72">
      <c r="A1028" s="1" t="s">
        <v>4154</v>
      </c>
      <c r="B1028" s="1" t="s">
        <v>213</v>
      </c>
      <c r="C1028" s="1">
        <v>1</v>
      </c>
      <c r="D1028" s="1" t="s">
        <v>4155</v>
      </c>
      <c r="E1028" s="1">
        <v>1383</v>
      </c>
      <c r="F1028" s="1" t="s">
        <v>4154</v>
      </c>
      <c r="G1028" s="1">
        <v>1</v>
      </c>
      <c r="K1028" s="1">
        <v>6000</v>
      </c>
      <c r="M1028" s="1">
        <v>350</v>
      </c>
      <c r="O1028" s="1">
        <v>550</v>
      </c>
      <c r="Q1028" s="1">
        <v>0</v>
      </c>
      <c r="Y1028" s="1">
        <v>0.05</v>
      </c>
      <c r="Z1028" s="1">
        <v>2</v>
      </c>
      <c r="AA1028" s="1">
        <v>1</v>
      </c>
      <c r="AB1028" s="1">
        <v>2</v>
      </c>
      <c r="AG1028" s="1">
        <v>1</v>
      </c>
      <c r="AH1028" s="1">
        <v>1</v>
      </c>
      <c r="AI1028" s="1" t="s">
        <v>4156</v>
      </c>
      <c r="AJ1028" s="1" t="s">
        <v>3521</v>
      </c>
      <c r="AK1028" s="1" t="s">
        <v>238</v>
      </c>
      <c r="AM1028" s="1">
        <v>1</v>
      </c>
      <c r="AV1028" s="1">
        <v>1</v>
      </c>
      <c r="AX1028" s="1">
        <v>0.1</v>
      </c>
      <c r="BE1028" s="1" t="s">
        <v>4154</v>
      </c>
      <c r="BK1028" s="1" t="s">
        <v>4153</v>
      </c>
      <c r="BN1028" s="1" t="s">
        <v>217</v>
      </c>
      <c r="BO1028" s="1" t="s">
        <v>218</v>
      </c>
      <c r="BP1028" s="1" t="s">
        <v>1635</v>
      </c>
      <c r="BQ1028" s="1" t="s">
        <v>220</v>
      </c>
      <c r="BT1028" s="1">
        <v>1</v>
      </c>
    </row>
    <row r="1029" spans="1:72">
      <c r="A1029" s="1" t="s">
        <v>4157</v>
      </c>
      <c r="B1029" s="1" t="s">
        <v>213</v>
      </c>
      <c r="C1029" s="1">
        <v>1</v>
      </c>
      <c r="D1029" s="1" t="s">
        <v>4158</v>
      </c>
      <c r="E1029" s="1">
        <v>1384</v>
      </c>
      <c r="F1029" s="1" t="s">
        <v>4157</v>
      </c>
      <c r="G1029" s="1">
        <v>1</v>
      </c>
      <c r="K1029" s="1">
        <v>20000</v>
      </c>
      <c r="M1029" s="1">
        <v>800</v>
      </c>
      <c r="O1029" s="1">
        <v>400</v>
      </c>
      <c r="Q1029" s="1">
        <v>20</v>
      </c>
      <c r="Y1029" s="1">
        <v>0.05</v>
      </c>
      <c r="Z1029" s="1">
        <v>3</v>
      </c>
      <c r="AA1029" s="1">
        <v>4</v>
      </c>
      <c r="AB1029" s="1">
        <v>0.6</v>
      </c>
      <c r="AG1029" s="1">
        <v>0</v>
      </c>
      <c r="AH1029" s="1">
        <v>1</v>
      </c>
      <c r="AI1029" s="1" t="s">
        <v>4159</v>
      </c>
      <c r="AJ1029" s="1" t="s">
        <v>3521</v>
      </c>
      <c r="AK1029" s="1" t="s">
        <v>238</v>
      </c>
      <c r="AM1029" s="1">
        <v>1</v>
      </c>
      <c r="AV1029" s="1">
        <v>1</v>
      </c>
      <c r="AX1029" s="1">
        <v>0.1</v>
      </c>
      <c r="BE1029" s="1" t="s">
        <v>4157</v>
      </c>
      <c r="BK1029" s="1" t="s">
        <v>4160</v>
      </c>
      <c r="BN1029" s="1" t="s">
        <v>2034</v>
      </c>
      <c r="BO1029" s="1" t="s">
        <v>2035</v>
      </c>
      <c r="BP1029" s="1" t="s">
        <v>3579</v>
      </c>
      <c r="BQ1029" s="1" t="s">
        <v>3576</v>
      </c>
      <c r="BT1029" s="1">
        <v>1</v>
      </c>
    </row>
    <row r="1030" spans="1:72">
      <c r="A1030" s="1" t="s">
        <v>4161</v>
      </c>
      <c r="B1030" s="1" t="s">
        <v>213</v>
      </c>
      <c r="C1030" s="1">
        <v>1</v>
      </c>
      <c r="D1030" s="1" t="s">
        <v>4162</v>
      </c>
      <c r="E1030" s="1">
        <v>1384</v>
      </c>
      <c r="F1030" s="1" t="s">
        <v>4161</v>
      </c>
      <c r="G1030" s="1">
        <v>1</v>
      </c>
      <c r="K1030" s="1">
        <v>25000</v>
      </c>
      <c r="M1030" s="1">
        <v>1000</v>
      </c>
      <c r="O1030" s="1">
        <v>500</v>
      </c>
      <c r="Q1030" s="1">
        <v>20</v>
      </c>
      <c r="Y1030" s="1">
        <v>0.05</v>
      </c>
      <c r="Z1030" s="1">
        <v>3</v>
      </c>
      <c r="AA1030" s="1">
        <v>4</v>
      </c>
      <c r="AB1030" s="1">
        <v>0.6</v>
      </c>
      <c r="AG1030" s="1">
        <v>0</v>
      </c>
      <c r="AH1030" s="1">
        <v>1</v>
      </c>
      <c r="AI1030" s="1" t="s">
        <v>4163</v>
      </c>
      <c r="AJ1030" s="1" t="s">
        <v>3521</v>
      </c>
      <c r="AK1030" s="1" t="s">
        <v>238</v>
      </c>
      <c r="AM1030" s="1">
        <v>1</v>
      </c>
      <c r="AV1030" s="1">
        <v>1</v>
      </c>
      <c r="AX1030" s="1">
        <v>0.1</v>
      </c>
      <c r="BE1030" s="1" t="s">
        <v>4161</v>
      </c>
      <c r="BK1030" s="1" t="s">
        <v>4160</v>
      </c>
      <c r="BN1030" s="1" t="s">
        <v>2034</v>
      </c>
      <c r="BO1030" s="1" t="s">
        <v>2035</v>
      </c>
      <c r="BP1030" s="1" t="s">
        <v>3579</v>
      </c>
      <c r="BQ1030" s="1" t="s">
        <v>3576</v>
      </c>
      <c r="BT1030" s="1">
        <v>1</v>
      </c>
    </row>
    <row r="1031" spans="1:72">
      <c r="A1031" s="1" t="s">
        <v>4164</v>
      </c>
      <c r="B1031" s="1" t="s">
        <v>213</v>
      </c>
      <c r="C1031" s="1">
        <v>1</v>
      </c>
      <c r="D1031" s="1" t="s">
        <v>4165</v>
      </c>
      <c r="E1031" s="1">
        <v>1385</v>
      </c>
      <c r="F1031" s="1" t="s">
        <v>4164</v>
      </c>
      <c r="G1031" s="1">
        <v>1</v>
      </c>
      <c r="K1031" s="1">
        <v>10000</v>
      </c>
      <c r="M1031" s="1">
        <v>400</v>
      </c>
      <c r="O1031" s="1">
        <v>350</v>
      </c>
      <c r="Q1031" s="1">
        <v>50</v>
      </c>
      <c r="Y1031" s="1">
        <v>0.05</v>
      </c>
      <c r="Z1031" s="1">
        <v>3</v>
      </c>
      <c r="AA1031" s="1">
        <v>3</v>
      </c>
      <c r="AB1031" s="1">
        <v>0.9</v>
      </c>
      <c r="AG1031" s="1">
        <v>0</v>
      </c>
      <c r="AH1031" s="1">
        <v>1</v>
      </c>
      <c r="AI1031" s="1" t="s">
        <v>4166</v>
      </c>
      <c r="AJ1031" s="1" t="s">
        <v>3521</v>
      </c>
      <c r="AK1031" s="1" t="s">
        <v>238</v>
      </c>
      <c r="AM1031" s="1">
        <v>1</v>
      </c>
      <c r="AV1031" s="1">
        <v>1</v>
      </c>
      <c r="AX1031" s="1">
        <v>0.1</v>
      </c>
      <c r="BE1031" s="1" t="s">
        <v>4164</v>
      </c>
      <c r="BK1031" s="1" t="s">
        <v>980</v>
      </c>
      <c r="BN1031" s="1" t="s">
        <v>217</v>
      </c>
      <c r="BO1031" s="1" t="s">
        <v>218</v>
      </c>
      <c r="BP1031" s="1" t="s">
        <v>239</v>
      </c>
      <c r="BQ1031" s="1" t="s">
        <v>220</v>
      </c>
      <c r="BT1031" s="1">
        <v>1</v>
      </c>
    </row>
    <row r="1032" spans="1:72">
      <c r="A1032" s="1" t="s">
        <v>4167</v>
      </c>
      <c r="B1032" s="1" t="s">
        <v>213</v>
      </c>
      <c r="C1032" s="1">
        <v>1</v>
      </c>
      <c r="D1032" s="1" t="s">
        <v>4168</v>
      </c>
      <c r="E1032" s="1">
        <v>1385</v>
      </c>
      <c r="F1032" s="1" t="s">
        <v>4167</v>
      </c>
      <c r="G1032" s="1">
        <v>1</v>
      </c>
      <c r="K1032" s="1">
        <v>14000</v>
      </c>
      <c r="M1032" s="1">
        <v>550</v>
      </c>
      <c r="O1032" s="1">
        <v>400</v>
      </c>
      <c r="Q1032" s="1">
        <v>50</v>
      </c>
      <c r="Y1032" s="1">
        <v>0.05</v>
      </c>
      <c r="Z1032" s="1">
        <v>3</v>
      </c>
      <c r="AA1032" s="1">
        <v>3</v>
      </c>
      <c r="AB1032" s="1">
        <v>0.9</v>
      </c>
      <c r="AG1032" s="1">
        <v>0</v>
      </c>
      <c r="AH1032" s="1">
        <v>1</v>
      </c>
      <c r="AI1032" s="1" t="s">
        <v>4169</v>
      </c>
      <c r="AJ1032" s="1" t="s">
        <v>3521</v>
      </c>
      <c r="AK1032" s="1" t="s">
        <v>238</v>
      </c>
      <c r="AM1032" s="1">
        <v>1</v>
      </c>
      <c r="AV1032" s="1">
        <v>1</v>
      </c>
      <c r="AX1032" s="1">
        <v>0.1</v>
      </c>
      <c r="BE1032" s="1" t="s">
        <v>4167</v>
      </c>
      <c r="BK1032" s="1" t="s">
        <v>980</v>
      </c>
      <c r="BN1032" s="1" t="s">
        <v>217</v>
      </c>
      <c r="BO1032" s="1" t="s">
        <v>218</v>
      </c>
      <c r="BP1032" s="1" t="s">
        <v>239</v>
      </c>
      <c r="BQ1032" s="1" t="s">
        <v>220</v>
      </c>
      <c r="BT1032" s="1">
        <v>1</v>
      </c>
    </row>
    <row r="1033" spans="1:72">
      <c r="A1033" s="1" t="s">
        <v>4170</v>
      </c>
      <c r="B1033" s="1" t="s">
        <v>213</v>
      </c>
      <c r="C1033" s="1">
        <v>1</v>
      </c>
      <c r="D1033" s="1" t="s">
        <v>4171</v>
      </c>
      <c r="E1033" s="1">
        <v>1386</v>
      </c>
      <c r="F1033" s="1" t="s">
        <v>4170</v>
      </c>
      <c r="G1033" s="1">
        <v>1</v>
      </c>
      <c r="K1033" s="1">
        <v>7000</v>
      </c>
      <c r="M1033" s="1">
        <v>500</v>
      </c>
      <c r="O1033" s="1">
        <v>250</v>
      </c>
      <c r="Q1033" s="1">
        <v>60</v>
      </c>
      <c r="Y1033" s="1">
        <v>0.05</v>
      </c>
      <c r="Z1033" s="1">
        <v>4</v>
      </c>
      <c r="AA1033" s="1">
        <v>2</v>
      </c>
      <c r="AB1033" s="1">
        <v>0.7</v>
      </c>
      <c r="AG1033" s="1">
        <v>0</v>
      </c>
      <c r="AH1033" s="1">
        <v>1</v>
      </c>
      <c r="AI1033" s="1" t="s">
        <v>4172</v>
      </c>
      <c r="AJ1033" s="1" t="s">
        <v>3401</v>
      </c>
      <c r="AK1033" s="1" t="s">
        <v>238</v>
      </c>
      <c r="AM1033" s="1">
        <v>1</v>
      </c>
      <c r="AV1033" s="1">
        <v>1</v>
      </c>
      <c r="AX1033" s="1">
        <v>0.1</v>
      </c>
      <c r="BE1033" s="1" t="s">
        <v>4170</v>
      </c>
      <c r="BK1033" s="1" t="s">
        <v>959</v>
      </c>
      <c r="BN1033" s="1" t="s">
        <v>217</v>
      </c>
      <c r="BO1033" s="1" t="s">
        <v>218</v>
      </c>
      <c r="BP1033" s="1" t="s">
        <v>239</v>
      </c>
      <c r="BQ1033" s="1" t="s">
        <v>220</v>
      </c>
      <c r="BT1033" s="1">
        <v>1</v>
      </c>
    </row>
    <row r="1034" spans="1:72">
      <c r="A1034" s="1" t="s">
        <v>4173</v>
      </c>
      <c r="B1034" s="1" t="s">
        <v>213</v>
      </c>
      <c r="C1034" s="1">
        <v>1</v>
      </c>
      <c r="D1034" s="1" t="s">
        <v>4174</v>
      </c>
      <c r="E1034" s="1">
        <v>1386</v>
      </c>
      <c r="F1034" s="1" t="s">
        <v>4173</v>
      </c>
      <c r="G1034" s="1">
        <v>1</v>
      </c>
      <c r="K1034" s="1">
        <v>8000</v>
      </c>
      <c r="M1034" s="1">
        <v>600</v>
      </c>
      <c r="O1034" s="1">
        <v>350</v>
      </c>
      <c r="Q1034" s="1">
        <v>70</v>
      </c>
      <c r="Y1034" s="1">
        <v>0.05</v>
      </c>
      <c r="Z1034" s="1">
        <v>4</v>
      </c>
      <c r="AA1034" s="1">
        <v>2</v>
      </c>
      <c r="AB1034" s="1">
        <v>0.7</v>
      </c>
      <c r="AG1034" s="1">
        <v>0</v>
      </c>
      <c r="AH1034" s="1">
        <v>1</v>
      </c>
      <c r="AI1034" s="1" t="s">
        <v>4175</v>
      </c>
      <c r="AJ1034" s="1" t="s">
        <v>3401</v>
      </c>
      <c r="AK1034" s="1" t="s">
        <v>238</v>
      </c>
      <c r="AM1034" s="1">
        <v>1</v>
      </c>
      <c r="AV1034" s="1">
        <v>1</v>
      </c>
      <c r="AX1034" s="1">
        <v>0.1</v>
      </c>
      <c r="BE1034" s="1" t="s">
        <v>4173</v>
      </c>
      <c r="BK1034" s="1" t="s">
        <v>959</v>
      </c>
      <c r="BN1034" s="1" t="s">
        <v>217</v>
      </c>
      <c r="BO1034" s="1" t="s">
        <v>218</v>
      </c>
      <c r="BP1034" s="1" t="s">
        <v>239</v>
      </c>
      <c r="BQ1034" s="1" t="s">
        <v>220</v>
      </c>
      <c r="BT1034" s="1">
        <v>1</v>
      </c>
    </row>
    <row r="1035" spans="1:72">
      <c r="A1035" s="1" t="s">
        <v>4176</v>
      </c>
      <c r="B1035" s="1" t="s">
        <v>213</v>
      </c>
      <c r="C1035" s="1">
        <v>1</v>
      </c>
      <c r="D1035" s="1" t="s">
        <v>4177</v>
      </c>
      <c r="E1035" s="1">
        <v>1387</v>
      </c>
      <c r="F1035" s="1" t="s">
        <v>4176</v>
      </c>
      <c r="G1035" s="1">
        <v>1</v>
      </c>
      <c r="K1035" s="1">
        <v>12000</v>
      </c>
      <c r="M1035" s="1">
        <v>500</v>
      </c>
      <c r="O1035" s="1">
        <v>1200</v>
      </c>
      <c r="Q1035" s="1">
        <v>20</v>
      </c>
      <c r="Y1035" s="1">
        <v>0.05</v>
      </c>
      <c r="Z1035" s="1">
        <v>3</v>
      </c>
      <c r="AA1035" s="1">
        <v>4</v>
      </c>
      <c r="AB1035" s="1">
        <v>0.5</v>
      </c>
      <c r="AG1035" s="1">
        <v>1</v>
      </c>
      <c r="AH1035" s="1">
        <v>1</v>
      </c>
      <c r="AI1035" s="1" t="s">
        <v>4178</v>
      </c>
      <c r="AJ1035" s="1" t="s">
        <v>275</v>
      </c>
      <c r="AK1035" s="1" t="s">
        <v>238</v>
      </c>
      <c r="AM1035" s="1">
        <v>1</v>
      </c>
      <c r="AV1035" s="1">
        <v>1</v>
      </c>
      <c r="AX1035" s="1">
        <v>0.1</v>
      </c>
      <c r="BE1035" s="1" t="s">
        <v>4176</v>
      </c>
      <c r="BK1035" s="1" t="s">
        <v>1012</v>
      </c>
      <c r="BN1035" s="1" t="s">
        <v>217</v>
      </c>
      <c r="BO1035" s="1" t="s">
        <v>218</v>
      </c>
      <c r="BP1035" s="1" t="s">
        <v>239</v>
      </c>
      <c r="BQ1035" s="1" t="s">
        <v>220</v>
      </c>
      <c r="BT1035" s="1">
        <v>1</v>
      </c>
    </row>
    <row r="1036" spans="1:72">
      <c r="A1036" s="1" t="s">
        <v>4179</v>
      </c>
      <c r="B1036" s="1" t="s">
        <v>213</v>
      </c>
      <c r="C1036" s="1">
        <v>1</v>
      </c>
      <c r="D1036" s="1" t="s">
        <v>4180</v>
      </c>
      <c r="E1036" s="1">
        <v>1387</v>
      </c>
      <c r="F1036" s="1" t="s">
        <v>4179</v>
      </c>
      <c r="G1036" s="1">
        <v>1</v>
      </c>
      <c r="K1036" s="1">
        <v>14000</v>
      </c>
      <c r="M1036" s="1">
        <v>700</v>
      </c>
      <c r="O1036" s="1">
        <v>1500</v>
      </c>
      <c r="Q1036" s="1">
        <v>20</v>
      </c>
      <c r="Y1036" s="1">
        <v>0.05</v>
      </c>
      <c r="Z1036" s="1">
        <v>3</v>
      </c>
      <c r="AA1036" s="1">
        <v>4</v>
      </c>
      <c r="AB1036" s="1">
        <v>0.5</v>
      </c>
      <c r="AG1036" s="1">
        <v>1</v>
      </c>
      <c r="AH1036" s="1">
        <v>1</v>
      </c>
      <c r="AI1036" s="1" t="s">
        <v>4181</v>
      </c>
      <c r="AJ1036" s="1" t="s">
        <v>275</v>
      </c>
      <c r="AK1036" s="1" t="s">
        <v>238</v>
      </c>
      <c r="AM1036" s="1">
        <v>1</v>
      </c>
      <c r="AV1036" s="1">
        <v>1</v>
      </c>
      <c r="AX1036" s="1">
        <v>0.1</v>
      </c>
      <c r="BE1036" s="1" t="s">
        <v>4179</v>
      </c>
      <c r="BK1036" s="1" t="s">
        <v>1012</v>
      </c>
      <c r="BN1036" s="1" t="s">
        <v>217</v>
      </c>
      <c r="BO1036" s="1" t="s">
        <v>218</v>
      </c>
      <c r="BP1036" s="1" t="s">
        <v>239</v>
      </c>
      <c r="BQ1036" s="1" t="s">
        <v>220</v>
      </c>
      <c r="BT1036" s="1">
        <v>1</v>
      </c>
    </row>
    <row r="1037" spans="1:72">
      <c r="A1037" s="1" t="s">
        <v>4182</v>
      </c>
      <c r="B1037" s="1" t="s">
        <v>213</v>
      </c>
      <c r="C1037" s="1">
        <v>1</v>
      </c>
      <c r="D1037" s="1" t="s">
        <v>4183</v>
      </c>
      <c r="E1037" s="1">
        <v>1388</v>
      </c>
      <c r="F1037" s="1" t="s">
        <v>4182</v>
      </c>
      <c r="G1037" s="1">
        <v>1</v>
      </c>
      <c r="K1037" s="1">
        <v>10000</v>
      </c>
      <c r="M1037" s="1">
        <v>800</v>
      </c>
      <c r="O1037" s="1">
        <v>700</v>
      </c>
      <c r="Q1037" s="1">
        <v>20</v>
      </c>
      <c r="Y1037" s="1">
        <v>0.05</v>
      </c>
      <c r="Z1037" s="1">
        <v>3</v>
      </c>
      <c r="AA1037" s="1">
        <v>4</v>
      </c>
      <c r="AB1037" s="1">
        <v>0.7</v>
      </c>
      <c r="AG1037" s="1">
        <v>0</v>
      </c>
      <c r="AH1037" s="1">
        <v>1</v>
      </c>
      <c r="AI1037" s="1" t="s">
        <v>4184</v>
      </c>
      <c r="AJ1037" s="1" t="s">
        <v>4185</v>
      </c>
      <c r="AK1037" s="1" t="s">
        <v>238</v>
      </c>
      <c r="AM1037" s="1">
        <v>1</v>
      </c>
      <c r="AV1037" s="1">
        <v>1</v>
      </c>
      <c r="AX1037" s="1">
        <v>0.1</v>
      </c>
      <c r="BE1037" s="1" t="s">
        <v>4182</v>
      </c>
      <c r="BK1037" s="1" t="s">
        <v>1012</v>
      </c>
      <c r="BN1037" s="1" t="s">
        <v>3443</v>
      </c>
      <c r="BO1037" s="1" t="s">
        <v>2618</v>
      </c>
      <c r="BP1037" s="1" t="s">
        <v>2619</v>
      </c>
      <c r="BQ1037" s="1" t="s">
        <v>3157</v>
      </c>
      <c r="BT1037" s="1">
        <v>1</v>
      </c>
    </row>
    <row r="1038" spans="1:72">
      <c r="A1038" s="1" t="s">
        <v>4186</v>
      </c>
      <c r="B1038" s="1" t="s">
        <v>213</v>
      </c>
      <c r="C1038" s="1">
        <v>1</v>
      </c>
      <c r="D1038" s="1" t="s">
        <v>4187</v>
      </c>
      <c r="E1038" s="1">
        <v>1388</v>
      </c>
      <c r="F1038" s="1" t="s">
        <v>4186</v>
      </c>
      <c r="G1038" s="1">
        <v>1</v>
      </c>
      <c r="K1038" s="1">
        <v>12000</v>
      </c>
      <c r="M1038" s="1">
        <v>950</v>
      </c>
      <c r="O1038" s="1">
        <v>800</v>
      </c>
      <c r="Q1038" s="1">
        <v>20</v>
      </c>
      <c r="Y1038" s="1">
        <v>0.05</v>
      </c>
      <c r="Z1038" s="1">
        <v>3</v>
      </c>
      <c r="AA1038" s="1">
        <v>4</v>
      </c>
      <c r="AB1038" s="1">
        <v>0.7</v>
      </c>
      <c r="AG1038" s="1">
        <v>0</v>
      </c>
      <c r="AH1038" s="1">
        <v>1</v>
      </c>
      <c r="AI1038" s="1" t="s">
        <v>4188</v>
      </c>
      <c r="AJ1038" s="1" t="s">
        <v>4185</v>
      </c>
      <c r="AK1038" s="1" t="s">
        <v>238</v>
      </c>
      <c r="AM1038" s="1">
        <v>1</v>
      </c>
      <c r="AV1038" s="1">
        <v>1</v>
      </c>
      <c r="AX1038" s="1">
        <v>0.1</v>
      </c>
      <c r="BE1038" s="1" t="s">
        <v>4186</v>
      </c>
      <c r="BK1038" s="1" t="s">
        <v>1012</v>
      </c>
      <c r="BN1038" s="1" t="s">
        <v>3443</v>
      </c>
      <c r="BO1038" s="1" t="s">
        <v>2618</v>
      </c>
      <c r="BP1038" s="1" t="s">
        <v>2619</v>
      </c>
      <c r="BQ1038" s="1" t="s">
        <v>3157</v>
      </c>
      <c r="BT1038" s="1">
        <v>1</v>
      </c>
    </row>
    <row r="1039" spans="1:72">
      <c r="A1039" s="1" t="s">
        <v>4189</v>
      </c>
      <c r="B1039" s="1" t="s">
        <v>213</v>
      </c>
      <c r="C1039" s="1">
        <v>1</v>
      </c>
      <c r="D1039" s="1" t="s">
        <v>4190</v>
      </c>
      <c r="E1039" s="1">
        <v>1389</v>
      </c>
      <c r="F1039" s="1" t="s">
        <v>4189</v>
      </c>
      <c r="G1039" s="1">
        <v>1.05</v>
      </c>
      <c r="K1039" s="1">
        <v>6000</v>
      </c>
      <c r="M1039" s="1">
        <v>550</v>
      </c>
      <c r="O1039" s="1">
        <v>300</v>
      </c>
      <c r="Q1039" s="1">
        <v>10</v>
      </c>
      <c r="Y1039" s="1">
        <v>0.05</v>
      </c>
      <c r="Z1039" s="1">
        <v>3</v>
      </c>
      <c r="AA1039" s="1">
        <v>2</v>
      </c>
      <c r="AB1039" s="1">
        <v>0.6</v>
      </c>
      <c r="AG1039" s="1">
        <v>0</v>
      </c>
      <c r="AH1039" s="1">
        <v>1</v>
      </c>
      <c r="AI1039" s="1" t="s">
        <v>4191</v>
      </c>
      <c r="AJ1039" s="1" t="s">
        <v>3394</v>
      </c>
      <c r="AK1039" s="1" t="s">
        <v>238</v>
      </c>
      <c r="AM1039" s="1">
        <v>1</v>
      </c>
      <c r="AV1039" s="1">
        <v>1</v>
      </c>
      <c r="AX1039" s="1">
        <v>0.1</v>
      </c>
      <c r="BE1039" s="1" t="s">
        <v>4189</v>
      </c>
      <c r="BK1039" s="1" t="s">
        <v>959</v>
      </c>
      <c r="BN1039" s="1" t="s">
        <v>217</v>
      </c>
      <c r="BO1039" s="1" t="s">
        <v>218</v>
      </c>
      <c r="BP1039" s="1" t="s">
        <v>239</v>
      </c>
      <c r="BQ1039" s="1" t="s">
        <v>220</v>
      </c>
      <c r="BT1039" s="1">
        <v>1</v>
      </c>
    </row>
    <row r="1040" spans="1:72">
      <c r="A1040" s="1" t="s">
        <v>4192</v>
      </c>
      <c r="B1040" s="1" t="s">
        <v>213</v>
      </c>
      <c r="C1040" s="1">
        <v>1</v>
      </c>
      <c r="D1040" s="1" t="s">
        <v>4193</v>
      </c>
      <c r="E1040" s="1">
        <v>1389</v>
      </c>
      <c r="F1040" s="1" t="s">
        <v>4192</v>
      </c>
      <c r="G1040" s="1">
        <v>1.05</v>
      </c>
      <c r="K1040" s="1">
        <v>7000</v>
      </c>
      <c r="M1040" s="1">
        <v>650</v>
      </c>
      <c r="O1040" s="1">
        <v>400</v>
      </c>
      <c r="Q1040" s="1">
        <v>10</v>
      </c>
      <c r="Y1040" s="1">
        <v>0.05</v>
      </c>
      <c r="Z1040" s="1">
        <v>3</v>
      </c>
      <c r="AA1040" s="1">
        <v>2</v>
      </c>
      <c r="AB1040" s="1">
        <v>0.6</v>
      </c>
      <c r="AG1040" s="1">
        <v>0</v>
      </c>
      <c r="AH1040" s="1">
        <v>1</v>
      </c>
      <c r="AI1040" s="1" t="s">
        <v>4194</v>
      </c>
      <c r="AJ1040" s="1" t="s">
        <v>3394</v>
      </c>
      <c r="AK1040" s="1" t="s">
        <v>238</v>
      </c>
      <c r="AM1040" s="1">
        <v>1</v>
      </c>
      <c r="AV1040" s="1">
        <v>1</v>
      </c>
      <c r="AX1040" s="1">
        <v>0.1</v>
      </c>
      <c r="BE1040" s="1" t="s">
        <v>4192</v>
      </c>
      <c r="BK1040" s="1" t="s">
        <v>959</v>
      </c>
      <c r="BN1040" s="1" t="s">
        <v>217</v>
      </c>
      <c r="BO1040" s="1" t="s">
        <v>218</v>
      </c>
      <c r="BP1040" s="1" t="s">
        <v>239</v>
      </c>
      <c r="BQ1040" s="1" t="s">
        <v>220</v>
      </c>
      <c r="BT1040" s="1">
        <v>1</v>
      </c>
    </row>
    <row r="1041" spans="1:72">
      <c r="A1041" s="1" t="s">
        <v>4195</v>
      </c>
      <c r="B1041" s="1" t="s">
        <v>213</v>
      </c>
      <c r="C1041" s="1">
        <v>1</v>
      </c>
      <c r="D1041" s="1" t="s">
        <v>4196</v>
      </c>
      <c r="E1041" s="1">
        <v>1549</v>
      </c>
      <c r="F1041" s="1" t="s">
        <v>4195</v>
      </c>
      <c r="G1041" s="1">
        <v>1</v>
      </c>
      <c r="K1041" s="1">
        <v>40000</v>
      </c>
      <c r="M1041" s="1">
        <v>800</v>
      </c>
      <c r="O1041" s="1">
        <v>500</v>
      </c>
      <c r="Q1041" s="1">
        <v>50</v>
      </c>
      <c r="Y1041" s="1">
        <v>0.05</v>
      </c>
      <c r="Z1041" s="1">
        <v>6</v>
      </c>
      <c r="AA1041" s="1">
        <v>10</v>
      </c>
      <c r="AB1041" s="1">
        <v>0.3</v>
      </c>
      <c r="AG1041" s="1">
        <v>0</v>
      </c>
      <c r="AH1041" s="1">
        <v>1</v>
      </c>
      <c r="AI1041" s="1" t="s">
        <v>4197</v>
      </c>
      <c r="AJ1041" s="1" t="s">
        <v>275</v>
      </c>
      <c r="AK1041" s="1" t="s">
        <v>238</v>
      </c>
      <c r="AM1041" s="1">
        <v>1</v>
      </c>
      <c r="AV1041" s="1">
        <v>2</v>
      </c>
      <c r="AX1041" s="1">
        <v>0.1</v>
      </c>
      <c r="BE1041" s="1" t="s">
        <v>4195</v>
      </c>
      <c r="BK1041" s="1" t="s">
        <v>1351</v>
      </c>
      <c r="BN1041" s="1" t="s">
        <v>3443</v>
      </c>
      <c r="BO1041" s="1" t="s">
        <v>2618</v>
      </c>
      <c r="BP1041" s="1" t="s">
        <v>2619</v>
      </c>
      <c r="BQ1041" s="1" t="s">
        <v>2620</v>
      </c>
      <c r="BT1041" s="1">
        <v>1</v>
      </c>
    </row>
    <row r="1042" spans="1:72">
      <c r="A1042" s="1" t="s">
        <v>4198</v>
      </c>
      <c r="B1042" s="1" t="s">
        <v>213</v>
      </c>
      <c r="C1042" s="1">
        <v>1</v>
      </c>
      <c r="D1042" s="1" t="s">
        <v>4196</v>
      </c>
      <c r="E1042" s="1">
        <v>1549</v>
      </c>
      <c r="F1042" s="1" t="s">
        <v>4195</v>
      </c>
      <c r="G1042" s="1">
        <v>1</v>
      </c>
      <c r="K1042" s="1">
        <v>40000</v>
      </c>
      <c r="M1042" s="1">
        <v>800</v>
      </c>
      <c r="O1042" s="1">
        <v>500</v>
      </c>
      <c r="Q1042" s="1">
        <v>50</v>
      </c>
      <c r="Y1042" s="1">
        <v>0.05</v>
      </c>
      <c r="Z1042" s="1">
        <v>6</v>
      </c>
      <c r="AA1042" s="1">
        <v>10</v>
      </c>
      <c r="AB1042" s="1">
        <v>0.3</v>
      </c>
      <c r="AG1042" s="1">
        <v>0</v>
      </c>
      <c r="AH1042" s="1">
        <v>1</v>
      </c>
      <c r="AI1042" s="1" t="s">
        <v>4199</v>
      </c>
      <c r="AJ1042" s="1" t="s">
        <v>275</v>
      </c>
      <c r="AK1042" s="1" t="s">
        <v>238</v>
      </c>
      <c r="AM1042" s="1">
        <v>1</v>
      </c>
      <c r="AV1042" s="1">
        <v>2</v>
      </c>
      <c r="AX1042" s="1">
        <v>0.1</v>
      </c>
      <c r="BE1042" s="1" t="s">
        <v>4195</v>
      </c>
      <c r="BK1042" s="1" t="s">
        <v>1351</v>
      </c>
      <c r="BN1042" s="1" t="s">
        <v>3443</v>
      </c>
      <c r="BO1042" s="1" t="s">
        <v>2618</v>
      </c>
      <c r="BP1042" s="1" t="s">
        <v>2619</v>
      </c>
      <c r="BQ1042" s="1" t="s">
        <v>2620</v>
      </c>
      <c r="BT1042" s="1">
        <v>1</v>
      </c>
    </row>
    <row r="1043" spans="1:72">
      <c r="A1043" s="1" t="s">
        <v>4200</v>
      </c>
      <c r="B1043" s="1" t="s">
        <v>213</v>
      </c>
      <c r="C1043" s="1">
        <v>1</v>
      </c>
      <c r="D1043" s="1" t="s">
        <v>4201</v>
      </c>
      <c r="E1043" s="1" t="s">
        <v>4202</v>
      </c>
      <c r="F1043" s="1" t="s">
        <v>4200</v>
      </c>
      <c r="G1043" s="1">
        <v>1</v>
      </c>
      <c r="K1043" s="1">
        <v>50000</v>
      </c>
      <c r="M1043" s="1">
        <v>6000</v>
      </c>
      <c r="O1043" s="1">
        <v>8000</v>
      </c>
      <c r="Q1043" s="1">
        <v>200</v>
      </c>
      <c r="Y1043" s="1">
        <v>0.05</v>
      </c>
      <c r="Z1043" s="1">
        <v>5</v>
      </c>
      <c r="AA1043" s="1">
        <v>10</v>
      </c>
      <c r="AB1043" s="1">
        <v>0.2</v>
      </c>
      <c r="AG1043" s="1">
        <v>0</v>
      </c>
      <c r="AH1043" s="1">
        <v>1</v>
      </c>
      <c r="AI1043" s="1" t="s">
        <v>4203</v>
      </c>
      <c r="AJ1043" s="1" t="s">
        <v>216</v>
      </c>
      <c r="AK1043" s="1" t="s">
        <v>238</v>
      </c>
      <c r="AM1043" s="1">
        <v>1</v>
      </c>
      <c r="AV1043" s="1">
        <v>2</v>
      </c>
      <c r="AX1043" s="1">
        <v>0.1</v>
      </c>
      <c r="BE1043" s="1" t="s">
        <v>4200</v>
      </c>
      <c r="BK1043" s="1" t="s">
        <v>4204</v>
      </c>
      <c r="BN1043" s="1" t="s">
        <v>3443</v>
      </c>
      <c r="BO1043" s="1" t="s">
        <v>2618</v>
      </c>
      <c r="BP1043" s="1" t="s">
        <v>2619</v>
      </c>
      <c r="BQ1043" s="1" t="s">
        <v>2176</v>
      </c>
      <c r="BT1043" s="1">
        <v>1</v>
      </c>
    </row>
    <row r="1044" spans="1:72">
      <c r="A1044" s="1" t="s">
        <v>4205</v>
      </c>
      <c r="B1044" s="1" t="s">
        <v>213</v>
      </c>
      <c r="C1044" s="1">
        <v>1</v>
      </c>
      <c r="D1044" s="1" t="s">
        <v>4206</v>
      </c>
      <c r="E1044" s="1">
        <v>1390</v>
      </c>
      <c r="F1044" s="1" t="s">
        <v>4205</v>
      </c>
      <c r="G1044" s="1">
        <v>1</v>
      </c>
      <c r="K1044" s="1">
        <v>3000</v>
      </c>
      <c r="M1044" s="1">
        <v>290</v>
      </c>
      <c r="O1044" s="1">
        <v>100</v>
      </c>
      <c r="Q1044" s="1">
        <v>10</v>
      </c>
      <c r="Y1044" s="1">
        <v>0.05</v>
      </c>
      <c r="Z1044" s="1">
        <v>2</v>
      </c>
      <c r="AA1044" s="1">
        <v>1</v>
      </c>
      <c r="AB1044" s="1">
        <v>0.7</v>
      </c>
      <c r="AG1044" s="1">
        <v>0</v>
      </c>
      <c r="AH1044" s="1">
        <v>1</v>
      </c>
      <c r="AI1044" s="1" t="s">
        <v>4207</v>
      </c>
      <c r="AJ1044" s="1" t="s">
        <v>3394</v>
      </c>
      <c r="AK1044" s="1" t="s">
        <v>238</v>
      </c>
      <c r="AM1044" s="1">
        <v>1</v>
      </c>
      <c r="AV1044" s="1">
        <v>1</v>
      </c>
      <c r="AX1044" s="1">
        <v>0.1</v>
      </c>
      <c r="BE1044" s="1" t="s">
        <v>4205</v>
      </c>
      <c r="BK1044" s="1" t="s">
        <v>2041</v>
      </c>
      <c r="BN1044" s="1" t="s">
        <v>217</v>
      </c>
      <c r="BO1044" s="1" t="s">
        <v>218</v>
      </c>
      <c r="BP1044" s="1" t="s">
        <v>239</v>
      </c>
      <c r="BQ1044" s="1" t="s">
        <v>220</v>
      </c>
      <c r="BT1044" s="1">
        <v>1</v>
      </c>
    </row>
    <row r="1045" spans="1:72">
      <c r="A1045" s="1" t="s">
        <v>4208</v>
      </c>
      <c r="B1045" s="1" t="s">
        <v>213</v>
      </c>
      <c r="C1045" s="1">
        <v>1</v>
      </c>
      <c r="D1045" s="1" t="s">
        <v>4209</v>
      </c>
      <c r="E1045" s="1">
        <v>1390</v>
      </c>
      <c r="F1045" s="1" t="s">
        <v>4208</v>
      </c>
      <c r="G1045" s="1">
        <v>1</v>
      </c>
      <c r="K1045" s="1">
        <v>3700</v>
      </c>
      <c r="M1045" s="1">
        <v>330</v>
      </c>
      <c r="O1045" s="1">
        <v>150</v>
      </c>
      <c r="Q1045" s="1">
        <v>10</v>
      </c>
      <c r="Y1045" s="1">
        <v>0.05</v>
      </c>
      <c r="Z1045" s="1">
        <v>2</v>
      </c>
      <c r="AA1045" s="1">
        <v>1</v>
      </c>
      <c r="AB1045" s="1">
        <v>0.7</v>
      </c>
      <c r="AG1045" s="1">
        <v>0</v>
      </c>
      <c r="AH1045" s="1">
        <v>1</v>
      </c>
      <c r="AI1045" s="1" t="s">
        <v>4210</v>
      </c>
      <c r="AJ1045" s="1" t="s">
        <v>3394</v>
      </c>
      <c r="AK1045" s="1" t="s">
        <v>238</v>
      </c>
      <c r="AM1045" s="1">
        <v>1</v>
      </c>
      <c r="AV1045" s="1">
        <v>1</v>
      </c>
      <c r="AX1045" s="1">
        <v>0.1</v>
      </c>
      <c r="BE1045" s="1" t="s">
        <v>4208</v>
      </c>
      <c r="BK1045" s="1" t="s">
        <v>2041</v>
      </c>
      <c r="BN1045" s="1" t="s">
        <v>217</v>
      </c>
      <c r="BO1045" s="1" t="s">
        <v>218</v>
      </c>
      <c r="BP1045" s="1" t="s">
        <v>239</v>
      </c>
      <c r="BQ1045" s="1" t="s">
        <v>220</v>
      </c>
      <c r="BT1045" s="1">
        <v>1</v>
      </c>
    </row>
    <row r="1046" spans="1:72">
      <c r="A1046" s="1" t="s">
        <v>4211</v>
      </c>
      <c r="B1046" s="1" t="s">
        <v>213</v>
      </c>
      <c r="C1046" s="1">
        <v>1</v>
      </c>
      <c r="D1046" s="1" t="s">
        <v>4212</v>
      </c>
      <c r="E1046" s="1">
        <v>1391</v>
      </c>
      <c r="F1046" s="1" t="s">
        <v>4211</v>
      </c>
      <c r="G1046" s="1">
        <v>1</v>
      </c>
      <c r="K1046" s="1">
        <v>3500</v>
      </c>
      <c r="M1046" s="1">
        <v>300</v>
      </c>
      <c r="O1046" s="1">
        <v>100</v>
      </c>
      <c r="Q1046" s="1">
        <v>10</v>
      </c>
      <c r="Y1046" s="1">
        <v>0.05</v>
      </c>
      <c r="Z1046" s="1">
        <v>2.8</v>
      </c>
      <c r="AA1046" s="1">
        <v>1</v>
      </c>
      <c r="AB1046" s="1">
        <v>0.8</v>
      </c>
      <c r="AG1046" s="1">
        <v>0</v>
      </c>
      <c r="AH1046" s="1">
        <v>1</v>
      </c>
      <c r="AI1046" s="1" t="s">
        <v>4213</v>
      </c>
      <c r="AJ1046" s="1" t="s">
        <v>3394</v>
      </c>
      <c r="AK1046" s="1" t="s">
        <v>238</v>
      </c>
      <c r="AM1046" s="1">
        <v>1</v>
      </c>
      <c r="AV1046" s="1">
        <v>1</v>
      </c>
      <c r="AX1046" s="1">
        <v>0.1</v>
      </c>
      <c r="BE1046" s="1" t="s">
        <v>4211</v>
      </c>
      <c r="BK1046" s="1" t="s">
        <v>2056</v>
      </c>
      <c r="BN1046" s="1" t="s">
        <v>217</v>
      </c>
      <c r="BO1046" s="1" t="s">
        <v>218</v>
      </c>
      <c r="BP1046" s="1" t="s">
        <v>239</v>
      </c>
      <c r="BQ1046" s="1" t="s">
        <v>220</v>
      </c>
      <c r="BT1046" s="1">
        <v>1</v>
      </c>
    </row>
    <row r="1047" spans="1:72">
      <c r="A1047" s="1" t="s">
        <v>4214</v>
      </c>
      <c r="B1047" s="1" t="s">
        <v>213</v>
      </c>
      <c r="C1047" s="1">
        <v>1</v>
      </c>
      <c r="D1047" s="1" t="s">
        <v>4215</v>
      </c>
      <c r="E1047" s="1">
        <v>1391</v>
      </c>
      <c r="F1047" s="1" t="s">
        <v>4214</v>
      </c>
      <c r="G1047" s="1">
        <v>1</v>
      </c>
      <c r="K1047" s="1">
        <v>3500</v>
      </c>
      <c r="M1047" s="1">
        <v>350</v>
      </c>
      <c r="O1047" s="1">
        <v>150</v>
      </c>
      <c r="Q1047" s="1">
        <v>10</v>
      </c>
      <c r="Y1047" s="1">
        <v>0.05</v>
      </c>
      <c r="Z1047" s="1">
        <v>2.8</v>
      </c>
      <c r="AA1047" s="1">
        <v>1</v>
      </c>
      <c r="AB1047" s="1">
        <v>0.8</v>
      </c>
      <c r="AG1047" s="1">
        <v>0</v>
      </c>
      <c r="AH1047" s="1">
        <v>1</v>
      </c>
      <c r="AI1047" s="1" t="s">
        <v>4216</v>
      </c>
      <c r="AJ1047" s="1" t="s">
        <v>3394</v>
      </c>
      <c r="AK1047" s="1" t="s">
        <v>238</v>
      </c>
      <c r="AM1047" s="1">
        <v>1</v>
      </c>
      <c r="AV1047" s="1">
        <v>1</v>
      </c>
      <c r="AX1047" s="1">
        <v>0.1</v>
      </c>
      <c r="BE1047" s="1" t="s">
        <v>4214</v>
      </c>
      <c r="BK1047" s="1" t="s">
        <v>2056</v>
      </c>
      <c r="BN1047" s="1" t="s">
        <v>217</v>
      </c>
      <c r="BO1047" s="1" t="s">
        <v>218</v>
      </c>
      <c r="BP1047" s="1" t="s">
        <v>239</v>
      </c>
      <c r="BQ1047" s="1" t="s">
        <v>220</v>
      </c>
      <c r="BT1047" s="1">
        <v>1</v>
      </c>
    </row>
    <row r="1048" spans="1:72">
      <c r="A1048" s="1" t="s">
        <v>4217</v>
      </c>
      <c r="B1048" s="1" t="s">
        <v>213</v>
      </c>
      <c r="C1048" s="1">
        <v>1</v>
      </c>
      <c r="D1048" s="1" t="s">
        <v>4218</v>
      </c>
      <c r="E1048" s="1">
        <v>1392</v>
      </c>
      <c r="F1048" s="1" t="s">
        <v>4217</v>
      </c>
      <c r="G1048" s="1">
        <v>1</v>
      </c>
      <c r="K1048" s="1">
        <v>10000</v>
      </c>
      <c r="M1048" s="1">
        <v>700</v>
      </c>
      <c r="O1048" s="1">
        <v>1000</v>
      </c>
      <c r="Q1048" s="1">
        <v>20</v>
      </c>
      <c r="Y1048" s="1">
        <v>0.05</v>
      </c>
      <c r="Z1048" s="1">
        <v>3.8</v>
      </c>
      <c r="AA1048" s="1">
        <v>3</v>
      </c>
      <c r="AB1048" s="1">
        <v>0.6</v>
      </c>
      <c r="AG1048" s="1">
        <v>1</v>
      </c>
      <c r="AH1048" s="1">
        <v>1</v>
      </c>
      <c r="AI1048" s="1" t="s">
        <v>4219</v>
      </c>
      <c r="AJ1048" s="1" t="s">
        <v>3521</v>
      </c>
      <c r="AK1048" s="1" t="s">
        <v>238</v>
      </c>
      <c r="AM1048" s="1">
        <v>1</v>
      </c>
      <c r="AV1048" s="1">
        <v>1</v>
      </c>
      <c r="AX1048" s="1">
        <v>0.1</v>
      </c>
      <c r="BE1048" s="1" t="s">
        <v>4217</v>
      </c>
      <c r="BK1048" s="1" t="s">
        <v>2064</v>
      </c>
      <c r="BN1048" s="1" t="s">
        <v>217</v>
      </c>
      <c r="BO1048" s="1" t="s">
        <v>218</v>
      </c>
      <c r="BP1048" s="1" t="s">
        <v>239</v>
      </c>
      <c r="BQ1048" s="1" t="s">
        <v>220</v>
      </c>
      <c r="BT1048" s="1">
        <v>1</v>
      </c>
    </row>
    <row r="1049" spans="1:72">
      <c r="A1049" s="1" t="s">
        <v>4220</v>
      </c>
      <c r="B1049" s="1" t="s">
        <v>213</v>
      </c>
      <c r="C1049" s="1">
        <v>1</v>
      </c>
      <c r="D1049" s="1" t="s">
        <v>4221</v>
      </c>
      <c r="E1049" s="1">
        <v>1392</v>
      </c>
      <c r="F1049" s="1" t="s">
        <v>4220</v>
      </c>
      <c r="G1049" s="1">
        <v>1</v>
      </c>
      <c r="K1049" s="1">
        <v>12000</v>
      </c>
      <c r="M1049" s="1">
        <v>800</v>
      </c>
      <c r="O1049" s="1">
        <v>1500</v>
      </c>
      <c r="Q1049" s="1">
        <v>20</v>
      </c>
      <c r="Y1049" s="1">
        <v>0.05</v>
      </c>
      <c r="Z1049" s="1">
        <v>3.8</v>
      </c>
      <c r="AA1049" s="1">
        <v>3</v>
      </c>
      <c r="AB1049" s="1">
        <v>0.6</v>
      </c>
      <c r="AG1049" s="1">
        <v>1</v>
      </c>
      <c r="AH1049" s="1">
        <v>1</v>
      </c>
      <c r="AI1049" s="1" t="s">
        <v>4222</v>
      </c>
      <c r="AJ1049" s="1" t="s">
        <v>3521</v>
      </c>
      <c r="AK1049" s="1" t="s">
        <v>238</v>
      </c>
      <c r="AM1049" s="1">
        <v>1</v>
      </c>
      <c r="AV1049" s="1">
        <v>1</v>
      </c>
      <c r="AX1049" s="1">
        <v>0.1</v>
      </c>
      <c r="BE1049" s="1" t="s">
        <v>4220</v>
      </c>
      <c r="BK1049" s="1" t="s">
        <v>2064</v>
      </c>
      <c r="BN1049" s="1" t="s">
        <v>217</v>
      </c>
      <c r="BO1049" s="1" t="s">
        <v>218</v>
      </c>
      <c r="BP1049" s="1" t="s">
        <v>239</v>
      </c>
      <c r="BQ1049" s="1" t="s">
        <v>220</v>
      </c>
      <c r="BT1049" s="1">
        <v>1</v>
      </c>
    </row>
    <row r="1050" spans="1:72">
      <c r="A1050" s="1" t="s">
        <v>4223</v>
      </c>
      <c r="B1050" s="1" t="s">
        <v>213</v>
      </c>
      <c r="C1050" s="1">
        <v>1</v>
      </c>
      <c r="D1050" s="1" t="s">
        <v>4224</v>
      </c>
      <c r="E1050" s="1">
        <v>1393</v>
      </c>
      <c r="F1050" s="1" t="s">
        <v>4223</v>
      </c>
      <c r="G1050" s="1">
        <v>1</v>
      </c>
      <c r="K1050" s="1">
        <v>9000</v>
      </c>
      <c r="M1050" s="1">
        <v>500</v>
      </c>
      <c r="O1050" s="1">
        <v>400</v>
      </c>
      <c r="Q1050" s="1">
        <v>20</v>
      </c>
      <c r="Y1050" s="1">
        <v>0.05</v>
      </c>
      <c r="Z1050" s="1">
        <v>7</v>
      </c>
      <c r="AA1050" s="1">
        <v>2</v>
      </c>
      <c r="AB1050" s="1">
        <v>0.6</v>
      </c>
      <c r="AG1050" s="1">
        <v>0</v>
      </c>
      <c r="AH1050" s="1">
        <v>1</v>
      </c>
      <c r="AI1050" s="1" t="s">
        <v>4225</v>
      </c>
      <c r="AJ1050" s="1" t="s">
        <v>3521</v>
      </c>
      <c r="AK1050" s="1" t="s">
        <v>238</v>
      </c>
      <c r="AM1050" s="1">
        <v>1</v>
      </c>
      <c r="AV1050" s="1">
        <v>1</v>
      </c>
      <c r="AX1050" s="1">
        <v>0.1</v>
      </c>
      <c r="BE1050" s="1" t="s">
        <v>4223</v>
      </c>
      <c r="BK1050" s="1" t="s">
        <v>2087</v>
      </c>
      <c r="BN1050" s="1" t="s">
        <v>217</v>
      </c>
      <c r="BO1050" s="1" t="s">
        <v>218</v>
      </c>
      <c r="BP1050" s="1" t="s">
        <v>239</v>
      </c>
      <c r="BQ1050" s="1" t="s">
        <v>220</v>
      </c>
      <c r="BT1050" s="1">
        <v>1</v>
      </c>
    </row>
    <row r="1051" spans="1:72">
      <c r="A1051" s="1" t="s">
        <v>4226</v>
      </c>
      <c r="B1051" s="1" t="s">
        <v>213</v>
      </c>
      <c r="C1051" s="1">
        <v>1</v>
      </c>
      <c r="D1051" s="1" t="s">
        <v>4227</v>
      </c>
      <c r="E1051" s="1">
        <v>1393</v>
      </c>
      <c r="F1051" s="1" t="s">
        <v>4226</v>
      </c>
      <c r="G1051" s="1">
        <v>1</v>
      </c>
      <c r="K1051" s="1">
        <v>12000</v>
      </c>
      <c r="M1051" s="1">
        <v>600</v>
      </c>
      <c r="O1051" s="1">
        <v>500</v>
      </c>
      <c r="Q1051" s="1">
        <v>20</v>
      </c>
      <c r="Y1051" s="1">
        <v>0.05</v>
      </c>
      <c r="Z1051" s="1">
        <v>7</v>
      </c>
      <c r="AA1051" s="1">
        <v>2</v>
      </c>
      <c r="AB1051" s="1">
        <v>0.6</v>
      </c>
      <c r="AG1051" s="1">
        <v>0</v>
      </c>
      <c r="AH1051" s="1">
        <v>1</v>
      </c>
      <c r="AI1051" s="1" t="s">
        <v>4228</v>
      </c>
      <c r="AJ1051" s="1" t="s">
        <v>3521</v>
      </c>
      <c r="AK1051" s="1" t="s">
        <v>238</v>
      </c>
      <c r="AM1051" s="1">
        <v>1</v>
      </c>
      <c r="AV1051" s="1">
        <v>1</v>
      </c>
      <c r="AX1051" s="1">
        <v>0.1</v>
      </c>
      <c r="BE1051" s="1" t="s">
        <v>4226</v>
      </c>
      <c r="BK1051" s="1" t="s">
        <v>2087</v>
      </c>
      <c r="BN1051" s="1" t="s">
        <v>217</v>
      </c>
      <c r="BO1051" s="1" t="s">
        <v>218</v>
      </c>
      <c r="BP1051" s="1" t="s">
        <v>239</v>
      </c>
      <c r="BQ1051" s="1" t="s">
        <v>220</v>
      </c>
      <c r="BT1051" s="1">
        <v>1</v>
      </c>
    </row>
    <row r="1052" spans="1:72">
      <c r="A1052" s="1" t="s">
        <v>4229</v>
      </c>
      <c r="B1052" s="1" t="s">
        <v>213</v>
      </c>
      <c r="C1052" s="1">
        <v>1</v>
      </c>
      <c r="D1052" s="1" t="s">
        <v>4230</v>
      </c>
      <c r="E1052" s="1">
        <v>1394</v>
      </c>
      <c r="F1052" s="1" t="s">
        <v>4229</v>
      </c>
      <c r="G1052" s="1">
        <v>1</v>
      </c>
      <c r="K1052" s="1">
        <v>15000</v>
      </c>
      <c r="M1052" s="1">
        <v>700</v>
      </c>
      <c r="O1052" s="1">
        <v>400</v>
      </c>
      <c r="Q1052" s="1">
        <v>30</v>
      </c>
      <c r="Y1052" s="1">
        <v>0.05</v>
      </c>
      <c r="Z1052" s="1">
        <v>2.5</v>
      </c>
      <c r="AA1052" s="1">
        <v>3</v>
      </c>
      <c r="AB1052" s="1">
        <v>0.5</v>
      </c>
      <c r="AG1052" s="1">
        <v>0</v>
      </c>
      <c r="AH1052" s="1">
        <v>1</v>
      </c>
      <c r="AI1052" s="1" t="s">
        <v>4231</v>
      </c>
      <c r="AJ1052" s="1" t="s">
        <v>3521</v>
      </c>
      <c r="AK1052" s="1" t="s">
        <v>238</v>
      </c>
      <c r="AM1052" s="1">
        <v>1</v>
      </c>
      <c r="AV1052" s="1">
        <v>1</v>
      </c>
      <c r="AX1052" s="1">
        <v>0.1</v>
      </c>
      <c r="BE1052" s="1" t="s">
        <v>4229</v>
      </c>
      <c r="BK1052" s="1" t="s">
        <v>2087</v>
      </c>
      <c r="BN1052" s="1" t="s">
        <v>217</v>
      </c>
      <c r="BO1052" s="1" t="s">
        <v>218</v>
      </c>
      <c r="BP1052" s="1" t="s">
        <v>239</v>
      </c>
      <c r="BQ1052" s="1" t="s">
        <v>220</v>
      </c>
      <c r="BT1052" s="1">
        <v>1</v>
      </c>
    </row>
    <row r="1053" spans="1:72">
      <c r="A1053" s="1" t="s">
        <v>4232</v>
      </c>
      <c r="B1053" s="1" t="s">
        <v>213</v>
      </c>
      <c r="C1053" s="1">
        <v>1</v>
      </c>
      <c r="D1053" s="1" t="s">
        <v>4233</v>
      </c>
      <c r="E1053" s="1">
        <v>1394</v>
      </c>
      <c r="F1053" s="1" t="s">
        <v>4232</v>
      </c>
      <c r="G1053" s="1">
        <v>1</v>
      </c>
      <c r="K1053" s="1">
        <v>18000</v>
      </c>
      <c r="M1053" s="1">
        <v>900</v>
      </c>
      <c r="O1053" s="1">
        <v>500</v>
      </c>
      <c r="Q1053" s="1">
        <v>30</v>
      </c>
      <c r="Y1053" s="1">
        <v>0.05</v>
      </c>
      <c r="Z1053" s="1">
        <v>2.5</v>
      </c>
      <c r="AA1053" s="1">
        <v>3</v>
      </c>
      <c r="AB1053" s="1">
        <v>0.5</v>
      </c>
      <c r="AG1053" s="1">
        <v>0</v>
      </c>
      <c r="AH1053" s="1">
        <v>1</v>
      </c>
      <c r="AI1053" s="1" t="s">
        <v>4234</v>
      </c>
      <c r="AJ1053" s="1" t="s">
        <v>3521</v>
      </c>
      <c r="AK1053" s="1" t="s">
        <v>238</v>
      </c>
      <c r="AM1053" s="1">
        <v>1</v>
      </c>
      <c r="AV1053" s="1">
        <v>1</v>
      </c>
      <c r="AX1053" s="1">
        <v>0.1</v>
      </c>
      <c r="BE1053" s="1" t="s">
        <v>4232</v>
      </c>
      <c r="BK1053" s="1" t="s">
        <v>2087</v>
      </c>
      <c r="BN1053" s="1" t="s">
        <v>217</v>
      </c>
      <c r="BO1053" s="1" t="s">
        <v>218</v>
      </c>
      <c r="BP1053" s="1" t="s">
        <v>239</v>
      </c>
      <c r="BQ1053" s="1" t="s">
        <v>220</v>
      </c>
      <c r="BT1053" s="1">
        <v>1</v>
      </c>
    </row>
    <row r="1054" spans="1:72">
      <c r="A1054" s="1" t="s">
        <v>4235</v>
      </c>
      <c r="B1054" s="1" t="s">
        <v>213</v>
      </c>
      <c r="C1054" s="1">
        <v>1</v>
      </c>
      <c r="D1054" s="1" t="s">
        <v>4236</v>
      </c>
      <c r="E1054" s="1">
        <v>1395</v>
      </c>
      <c r="F1054" s="1" t="s">
        <v>4235</v>
      </c>
      <c r="G1054" s="1">
        <v>1</v>
      </c>
      <c r="K1054" s="1">
        <v>1700</v>
      </c>
      <c r="M1054" s="1">
        <v>200</v>
      </c>
      <c r="O1054" s="1">
        <v>0</v>
      </c>
      <c r="Q1054" s="1">
        <v>0</v>
      </c>
      <c r="Y1054" s="1">
        <v>0.05</v>
      </c>
      <c r="Z1054" s="1">
        <v>1.3</v>
      </c>
      <c r="AA1054" s="1">
        <v>1</v>
      </c>
      <c r="AB1054" s="1">
        <v>1.9</v>
      </c>
      <c r="AG1054" s="1">
        <v>0</v>
      </c>
      <c r="AH1054" s="1">
        <v>1</v>
      </c>
      <c r="AI1054" s="1" t="s">
        <v>4237</v>
      </c>
      <c r="AJ1054" s="1" t="s">
        <v>3401</v>
      </c>
      <c r="AK1054" s="1" t="s">
        <v>238</v>
      </c>
      <c r="AM1054" s="1">
        <v>1</v>
      </c>
      <c r="AV1054" s="1">
        <v>1</v>
      </c>
      <c r="AX1054" s="1">
        <v>0.1</v>
      </c>
      <c r="BE1054" s="1" t="s">
        <v>4235</v>
      </c>
      <c r="BK1054" s="1" t="s">
        <v>4238</v>
      </c>
      <c r="BN1054" s="1" t="s">
        <v>217</v>
      </c>
      <c r="BO1054" s="1" t="s">
        <v>218</v>
      </c>
      <c r="BP1054" s="1" t="s">
        <v>239</v>
      </c>
      <c r="BQ1054" s="1" t="s">
        <v>220</v>
      </c>
      <c r="BT1054" s="1">
        <v>1</v>
      </c>
    </row>
    <row r="1055" spans="1:72">
      <c r="A1055" s="1" t="s">
        <v>4239</v>
      </c>
      <c r="B1055" s="1" t="s">
        <v>213</v>
      </c>
      <c r="C1055" s="1">
        <v>1</v>
      </c>
      <c r="D1055" s="1" t="s">
        <v>4240</v>
      </c>
      <c r="E1055" s="1">
        <v>1395</v>
      </c>
      <c r="F1055" s="1" t="s">
        <v>4239</v>
      </c>
      <c r="G1055" s="1">
        <v>1</v>
      </c>
      <c r="K1055" s="1">
        <v>2200</v>
      </c>
      <c r="M1055" s="1">
        <v>250</v>
      </c>
      <c r="O1055" s="1">
        <v>0</v>
      </c>
      <c r="Q1055" s="1">
        <v>0</v>
      </c>
      <c r="Y1055" s="1">
        <v>0.05</v>
      </c>
      <c r="Z1055" s="1">
        <v>1.3</v>
      </c>
      <c r="AA1055" s="1">
        <v>1</v>
      </c>
      <c r="AB1055" s="1">
        <v>1.9</v>
      </c>
      <c r="AG1055" s="1">
        <v>0</v>
      </c>
      <c r="AH1055" s="1">
        <v>1</v>
      </c>
      <c r="AI1055" s="1" t="s">
        <v>4241</v>
      </c>
      <c r="AJ1055" s="1" t="s">
        <v>3401</v>
      </c>
      <c r="AK1055" s="1" t="s">
        <v>238</v>
      </c>
      <c r="AM1055" s="1">
        <v>1</v>
      </c>
      <c r="AV1055" s="1">
        <v>1</v>
      </c>
      <c r="AX1055" s="1">
        <v>0.1</v>
      </c>
      <c r="BE1055" s="1" t="s">
        <v>4239</v>
      </c>
      <c r="BK1055" s="1" t="s">
        <v>4238</v>
      </c>
      <c r="BN1055" s="1" t="s">
        <v>217</v>
      </c>
      <c r="BO1055" s="1" t="s">
        <v>218</v>
      </c>
      <c r="BP1055" s="1" t="s">
        <v>239</v>
      </c>
      <c r="BQ1055" s="1" t="s">
        <v>220</v>
      </c>
      <c r="BT1055" s="1">
        <v>1</v>
      </c>
    </row>
    <row r="1056" spans="1:72">
      <c r="A1056" s="1" t="s">
        <v>4242</v>
      </c>
      <c r="B1056" s="1" t="s">
        <v>213</v>
      </c>
      <c r="C1056" s="1">
        <v>1</v>
      </c>
      <c r="D1056" s="1" t="s">
        <v>4243</v>
      </c>
      <c r="E1056" s="1">
        <v>1396</v>
      </c>
      <c r="F1056" s="1" t="s">
        <v>4242</v>
      </c>
      <c r="G1056" s="1">
        <v>1</v>
      </c>
      <c r="K1056" s="1">
        <v>19000</v>
      </c>
      <c r="M1056" s="1">
        <v>700</v>
      </c>
      <c r="O1056" s="1">
        <v>200</v>
      </c>
      <c r="Q1056" s="1">
        <v>20</v>
      </c>
      <c r="Y1056" s="1">
        <v>0.05</v>
      </c>
      <c r="Z1056" s="1">
        <v>3</v>
      </c>
      <c r="AA1056" s="1">
        <v>3</v>
      </c>
      <c r="AB1056" s="1">
        <v>0.3</v>
      </c>
      <c r="AG1056" s="1">
        <v>0</v>
      </c>
      <c r="AH1056" s="1">
        <v>1</v>
      </c>
      <c r="AI1056" s="1" t="s">
        <v>4244</v>
      </c>
      <c r="AJ1056" s="1" t="s">
        <v>275</v>
      </c>
      <c r="AK1056" s="1" t="s">
        <v>238</v>
      </c>
      <c r="AM1056" s="1">
        <v>1</v>
      </c>
      <c r="AP1056" s="1">
        <v>3</v>
      </c>
      <c r="AV1056" s="1">
        <v>1</v>
      </c>
      <c r="AX1056" s="1">
        <v>0.1</v>
      </c>
      <c r="BE1056" s="1" t="s">
        <v>4242</v>
      </c>
      <c r="BK1056" s="1" t="s">
        <v>4160</v>
      </c>
      <c r="BN1056" s="1" t="s">
        <v>217</v>
      </c>
      <c r="BO1056" s="1" t="s">
        <v>218</v>
      </c>
      <c r="BP1056" s="1" t="s">
        <v>239</v>
      </c>
      <c r="BQ1056" s="1" t="s">
        <v>220</v>
      </c>
      <c r="BT1056" s="1">
        <v>1</v>
      </c>
    </row>
    <row r="1057" spans="1:72">
      <c r="A1057" s="1" t="s">
        <v>4245</v>
      </c>
      <c r="B1057" s="1" t="s">
        <v>213</v>
      </c>
      <c r="C1057" s="1">
        <v>1</v>
      </c>
      <c r="D1057" s="1" t="s">
        <v>4246</v>
      </c>
      <c r="E1057" s="1">
        <v>1396</v>
      </c>
      <c r="F1057" s="1" t="s">
        <v>4245</v>
      </c>
      <c r="G1057" s="1">
        <v>1</v>
      </c>
      <c r="K1057" s="1">
        <v>25000</v>
      </c>
      <c r="M1057" s="1">
        <v>900</v>
      </c>
      <c r="O1057" s="1">
        <v>300</v>
      </c>
      <c r="Q1057" s="1">
        <v>20</v>
      </c>
      <c r="Y1057" s="1">
        <v>0.05</v>
      </c>
      <c r="Z1057" s="1">
        <v>3</v>
      </c>
      <c r="AA1057" s="1">
        <v>3</v>
      </c>
      <c r="AB1057" s="1">
        <v>0.3</v>
      </c>
      <c r="AG1057" s="1">
        <v>0</v>
      </c>
      <c r="AH1057" s="1">
        <v>1</v>
      </c>
      <c r="AI1057" s="1" t="s">
        <v>4247</v>
      </c>
      <c r="AJ1057" s="1" t="s">
        <v>275</v>
      </c>
      <c r="AK1057" s="1" t="s">
        <v>238</v>
      </c>
      <c r="AM1057" s="1">
        <v>1</v>
      </c>
      <c r="AP1057" s="1">
        <v>3</v>
      </c>
      <c r="AV1057" s="1">
        <v>1</v>
      </c>
      <c r="AX1057" s="1">
        <v>0.1</v>
      </c>
      <c r="BE1057" s="1" t="s">
        <v>4245</v>
      </c>
      <c r="BK1057" s="1" t="s">
        <v>4160</v>
      </c>
      <c r="BN1057" s="1" t="s">
        <v>217</v>
      </c>
      <c r="BO1057" s="1" t="s">
        <v>218</v>
      </c>
      <c r="BP1057" s="1" t="s">
        <v>239</v>
      </c>
      <c r="BQ1057" s="1" t="s">
        <v>220</v>
      </c>
      <c r="BT1057" s="1">
        <v>1</v>
      </c>
    </row>
    <row r="1058" spans="1:72">
      <c r="A1058" s="1" t="s">
        <v>4248</v>
      </c>
      <c r="B1058" s="1" t="s">
        <v>213</v>
      </c>
      <c r="C1058" s="1">
        <v>1</v>
      </c>
      <c r="D1058" s="1" t="s">
        <v>4249</v>
      </c>
      <c r="E1058" s="1">
        <v>1397</v>
      </c>
      <c r="F1058" s="1" t="s">
        <v>4248</v>
      </c>
      <c r="G1058" s="1">
        <v>1</v>
      </c>
      <c r="K1058" s="1">
        <v>19000</v>
      </c>
      <c r="M1058" s="1">
        <v>700</v>
      </c>
      <c r="O1058" s="1">
        <v>200</v>
      </c>
      <c r="Q1058" s="1">
        <v>20</v>
      </c>
      <c r="Y1058" s="1">
        <v>0.05</v>
      </c>
      <c r="Z1058" s="1">
        <v>3</v>
      </c>
      <c r="AA1058" s="1">
        <v>3</v>
      </c>
      <c r="AB1058" s="1">
        <v>0.9</v>
      </c>
      <c r="AG1058" s="1">
        <v>0</v>
      </c>
      <c r="AH1058" s="1">
        <v>1</v>
      </c>
      <c r="AI1058" s="1" t="s">
        <v>4250</v>
      </c>
      <c r="AJ1058" s="1" t="s">
        <v>4185</v>
      </c>
      <c r="AK1058" s="1" t="s">
        <v>238</v>
      </c>
      <c r="AM1058" s="1">
        <v>1</v>
      </c>
      <c r="AV1058" s="1">
        <v>1</v>
      </c>
      <c r="AX1058" s="1">
        <v>0.1</v>
      </c>
      <c r="BE1058" s="1" t="s">
        <v>4248</v>
      </c>
      <c r="BK1058" s="1" t="s">
        <v>4160</v>
      </c>
      <c r="BN1058" s="1" t="s">
        <v>217</v>
      </c>
      <c r="BO1058" s="1" t="s">
        <v>218</v>
      </c>
      <c r="BP1058" s="1" t="s">
        <v>239</v>
      </c>
      <c r="BQ1058" s="1" t="s">
        <v>220</v>
      </c>
      <c r="BT1058" s="1">
        <v>1</v>
      </c>
    </row>
    <row r="1059" spans="1:72">
      <c r="A1059" s="1" t="s">
        <v>4251</v>
      </c>
      <c r="B1059" s="1" t="s">
        <v>213</v>
      </c>
      <c r="C1059" s="1">
        <v>1</v>
      </c>
      <c r="D1059" s="1" t="s">
        <v>4252</v>
      </c>
      <c r="E1059" s="1">
        <v>1397</v>
      </c>
      <c r="F1059" s="1" t="s">
        <v>4251</v>
      </c>
      <c r="G1059" s="1">
        <v>1</v>
      </c>
      <c r="K1059" s="1">
        <v>25000</v>
      </c>
      <c r="M1059" s="1">
        <v>900</v>
      </c>
      <c r="O1059" s="1">
        <v>300</v>
      </c>
      <c r="Q1059" s="1">
        <v>20</v>
      </c>
      <c r="Y1059" s="1">
        <v>0.05</v>
      </c>
      <c r="Z1059" s="1">
        <v>3</v>
      </c>
      <c r="AA1059" s="1">
        <v>3</v>
      </c>
      <c r="AB1059" s="1">
        <v>0.9</v>
      </c>
      <c r="AG1059" s="1">
        <v>0</v>
      </c>
      <c r="AH1059" s="1">
        <v>1</v>
      </c>
      <c r="AI1059" s="1" t="s">
        <v>4253</v>
      </c>
      <c r="AJ1059" s="1" t="s">
        <v>4185</v>
      </c>
      <c r="AK1059" s="1" t="s">
        <v>238</v>
      </c>
      <c r="AM1059" s="1">
        <v>1</v>
      </c>
      <c r="AV1059" s="1">
        <v>1</v>
      </c>
      <c r="AX1059" s="1">
        <v>0.1</v>
      </c>
      <c r="BE1059" s="1" t="s">
        <v>4251</v>
      </c>
      <c r="BK1059" s="1" t="s">
        <v>4160</v>
      </c>
      <c r="BN1059" s="1" t="s">
        <v>217</v>
      </c>
      <c r="BO1059" s="1" t="s">
        <v>218</v>
      </c>
      <c r="BP1059" s="1" t="s">
        <v>239</v>
      </c>
      <c r="BQ1059" s="1" t="s">
        <v>220</v>
      </c>
      <c r="BT1059" s="1">
        <v>1</v>
      </c>
    </row>
    <row r="1060" spans="1:72">
      <c r="A1060" s="1" t="s">
        <v>4254</v>
      </c>
      <c r="B1060" s="1" t="s">
        <v>213</v>
      </c>
      <c r="C1060" s="1">
        <v>1</v>
      </c>
      <c r="D1060" s="1" t="s">
        <v>4255</v>
      </c>
      <c r="E1060" s="1">
        <v>1398</v>
      </c>
      <c r="F1060" s="1" t="s">
        <v>4254</v>
      </c>
      <c r="G1060" s="1">
        <v>1</v>
      </c>
      <c r="K1060" s="1">
        <v>25000</v>
      </c>
      <c r="M1060" s="1">
        <v>0</v>
      </c>
      <c r="O1060" s="1">
        <v>0</v>
      </c>
      <c r="Q1060" s="1">
        <v>0</v>
      </c>
      <c r="Y1060" s="1">
        <v>0.05</v>
      </c>
      <c r="Z1060" s="1">
        <v>1</v>
      </c>
      <c r="AA1060" s="1">
        <v>0</v>
      </c>
      <c r="AB1060" s="1">
        <v>1</v>
      </c>
      <c r="AG1060" s="1">
        <v>-1</v>
      </c>
      <c r="AH1060" s="1">
        <v>0</v>
      </c>
      <c r="AI1060" s="1" t="s">
        <v>4256</v>
      </c>
      <c r="AJ1060" s="1" t="s">
        <v>3394</v>
      </c>
      <c r="AK1060" s="1" t="s">
        <v>238</v>
      </c>
      <c r="AM1060" s="1">
        <v>1</v>
      </c>
      <c r="AV1060" s="1">
        <v>0</v>
      </c>
      <c r="AX1060" s="1">
        <v>0.1</v>
      </c>
      <c r="BE1060" s="1" t="s">
        <v>4254</v>
      </c>
      <c r="BK1060" s="1" t="s">
        <v>3140</v>
      </c>
      <c r="BN1060" s="1" t="s">
        <v>2034</v>
      </c>
      <c r="BO1060" s="1" t="s">
        <v>3578</v>
      </c>
      <c r="BP1060" s="1" t="s">
        <v>3578</v>
      </c>
      <c r="BQ1060" s="1" t="s">
        <v>3576</v>
      </c>
      <c r="BT1060" s="1">
        <v>1</v>
      </c>
    </row>
    <row r="1061" spans="1:72">
      <c r="A1061" s="1" t="s">
        <v>4257</v>
      </c>
      <c r="B1061" s="1" t="s">
        <v>213</v>
      </c>
      <c r="C1061" s="1">
        <v>1</v>
      </c>
      <c r="D1061" s="1" t="s">
        <v>4258</v>
      </c>
      <c r="E1061" s="1">
        <v>1398</v>
      </c>
      <c r="F1061" s="1" t="s">
        <v>4257</v>
      </c>
      <c r="G1061" s="1">
        <v>1</v>
      </c>
      <c r="K1061" s="1">
        <v>40000</v>
      </c>
      <c r="M1061" s="1">
        <v>0</v>
      </c>
      <c r="O1061" s="1">
        <v>0</v>
      </c>
      <c r="Q1061" s="1">
        <v>0</v>
      </c>
      <c r="Y1061" s="1">
        <v>0.05</v>
      </c>
      <c r="Z1061" s="1">
        <v>1</v>
      </c>
      <c r="AA1061" s="1">
        <v>0</v>
      </c>
      <c r="AB1061" s="1">
        <v>1</v>
      </c>
      <c r="AG1061" s="1">
        <v>-1</v>
      </c>
      <c r="AH1061" s="1">
        <v>1</v>
      </c>
      <c r="AI1061" s="1" t="s">
        <v>4259</v>
      </c>
      <c r="AJ1061" s="1" t="s">
        <v>3394</v>
      </c>
      <c r="AK1061" s="1" t="s">
        <v>238</v>
      </c>
      <c r="AM1061" s="1">
        <v>1</v>
      </c>
      <c r="AV1061" s="1">
        <v>0</v>
      </c>
      <c r="AX1061" s="1">
        <v>0.1</v>
      </c>
      <c r="BE1061" s="1" t="s">
        <v>4257</v>
      </c>
      <c r="BK1061" s="1" t="s">
        <v>3140</v>
      </c>
      <c r="BN1061" s="1" t="s">
        <v>2034</v>
      </c>
      <c r="BO1061" s="1" t="s">
        <v>3578</v>
      </c>
      <c r="BP1061" s="1" t="s">
        <v>3578</v>
      </c>
      <c r="BQ1061" s="1" t="s">
        <v>3576</v>
      </c>
      <c r="BT1061" s="1">
        <v>1</v>
      </c>
    </row>
    <row r="1062" spans="1:72">
      <c r="A1062" s="1" t="s">
        <v>4260</v>
      </c>
      <c r="B1062" s="1" t="s">
        <v>213</v>
      </c>
      <c r="C1062" s="1">
        <v>1</v>
      </c>
      <c r="D1062" s="1" t="s">
        <v>4261</v>
      </c>
      <c r="E1062" s="1">
        <v>1399</v>
      </c>
      <c r="F1062" s="1" t="s">
        <v>4260</v>
      </c>
      <c r="G1062" s="1">
        <v>1</v>
      </c>
      <c r="K1062" s="1">
        <v>1</v>
      </c>
      <c r="M1062" s="1">
        <v>1</v>
      </c>
      <c r="O1062" s="1">
        <v>0</v>
      </c>
      <c r="Q1062" s="1">
        <v>0</v>
      </c>
      <c r="Y1062" s="1">
        <v>0.05</v>
      </c>
      <c r="Z1062" s="1">
        <v>1</v>
      </c>
      <c r="AA1062" s="1">
        <v>0</v>
      </c>
      <c r="AB1062" s="1">
        <v>1</v>
      </c>
      <c r="AG1062" s="1">
        <v>0</v>
      </c>
      <c r="AH1062" s="1">
        <v>0</v>
      </c>
      <c r="AI1062" s="1" t="s">
        <v>4262</v>
      </c>
      <c r="AJ1062" s="1" t="s">
        <v>3394</v>
      </c>
      <c r="AK1062" s="1" t="s">
        <v>238</v>
      </c>
      <c r="AM1062" s="1">
        <v>1</v>
      </c>
      <c r="AN1062" s="1">
        <v>1</v>
      </c>
      <c r="AV1062" s="1">
        <v>0</v>
      </c>
      <c r="AX1062" s="1">
        <v>0.1</v>
      </c>
      <c r="BE1062" s="1" t="s">
        <v>4260</v>
      </c>
      <c r="BK1062" s="1" t="s">
        <v>1050</v>
      </c>
      <c r="BN1062" s="1" t="s">
        <v>217</v>
      </c>
      <c r="BO1062" s="1" t="s">
        <v>218</v>
      </c>
      <c r="BP1062" s="1" t="s">
        <v>239</v>
      </c>
      <c r="BQ1062" s="1" t="s">
        <v>220</v>
      </c>
      <c r="BT1062" s="1">
        <v>1</v>
      </c>
    </row>
    <row r="1063" spans="1:72">
      <c r="A1063" s="1" t="s">
        <v>4263</v>
      </c>
      <c r="B1063" s="1" t="s">
        <v>213</v>
      </c>
      <c r="C1063" s="1">
        <v>1</v>
      </c>
      <c r="D1063" s="1" t="s">
        <v>4264</v>
      </c>
      <c r="E1063" s="1">
        <v>1399</v>
      </c>
      <c r="F1063" s="1" t="s">
        <v>4263</v>
      </c>
      <c r="G1063" s="1">
        <v>1</v>
      </c>
      <c r="K1063" s="1">
        <v>1</v>
      </c>
      <c r="M1063" s="1">
        <v>1</v>
      </c>
      <c r="O1063" s="1">
        <v>0</v>
      </c>
      <c r="Q1063" s="1">
        <v>0</v>
      </c>
      <c r="Y1063" s="1">
        <v>0.05</v>
      </c>
      <c r="Z1063" s="1">
        <v>1</v>
      </c>
      <c r="AA1063" s="1">
        <v>0</v>
      </c>
      <c r="AB1063" s="1">
        <v>1</v>
      </c>
      <c r="AG1063" s="1">
        <v>0</v>
      </c>
      <c r="AH1063" s="1">
        <v>1</v>
      </c>
      <c r="AI1063" s="1" t="s">
        <v>4265</v>
      </c>
      <c r="AJ1063" s="1" t="s">
        <v>3394</v>
      </c>
      <c r="AK1063" s="1" t="s">
        <v>238</v>
      </c>
      <c r="AM1063" s="1">
        <v>1</v>
      </c>
      <c r="AN1063" s="1">
        <v>1</v>
      </c>
      <c r="AV1063" s="1">
        <v>1</v>
      </c>
      <c r="AX1063" s="1">
        <v>0.1</v>
      </c>
      <c r="BE1063" s="1" t="s">
        <v>4263</v>
      </c>
      <c r="BK1063" s="1" t="s">
        <v>1050</v>
      </c>
      <c r="BN1063" s="1" t="s">
        <v>217</v>
      </c>
      <c r="BO1063" s="1" t="s">
        <v>218</v>
      </c>
      <c r="BP1063" s="1" t="s">
        <v>239</v>
      </c>
      <c r="BQ1063" s="1" t="s">
        <v>220</v>
      </c>
      <c r="BT1063" s="1">
        <v>1</v>
      </c>
    </row>
    <row r="1064" spans="1:72">
      <c r="A1064" s="1" t="s">
        <v>4266</v>
      </c>
      <c r="B1064" s="1" t="s">
        <v>213</v>
      </c>
      <c r="C1064" s="1">
        <v>1</v>
      </c>
      <c r="D1064" s="1" t="s">
        <v>4264</v>
      </c>
      <c r="E1064" s="1">
        <v>1399</v>
      </c>
      <c r="F1064" s="1" t="s">
        <v>4263</v>
      </c>
      <c r="G1064" s="1">
        <v>0.01</v>
      </c>
      <c r="K1064" s="1">
        <v>1</v>
      </c>
      <c r="M1064" s="1">
        <v>1</v>
      </c>
      <c r="O1064" s="1">
        <v>0</v>
      </c>
      <c r="Q1064" s="1">
        <v>0</v>
      </c>
      <c r="Y1064" s="1">
        <v>0.05</v>
      </c>
      <c r="Z1064" s="1">
        <v>1</v>
      </c>
      <c r="AA1064" s="1">
        <v>0</v>
      </c>
      <c r="AB1064" s="1">
        <v>1</v>
      </c>
      <c r="AG1064" s="1">
        <v>0</v>
      </c>
      <c r="AH1064" s="1">
        <v>1</v>
      </c>
      <c r="AI1064" s="1" t="s">
        <v>4267</v>
      </c>
      <c r="AJ1064" s="1" t="s">
        <v>3394</v>
      </c>
      <c r="AK1064" s="1" t="s">
        <v>238</v>
      </c>
      <c r="AM1064" s="1">
        <v>1</v>
      </c>
      <c r="AV1064" s="1">
        <v>1</v>
      </c>
      <c r="AX1064" s="1">
        <v>0.1</v>
      </c>
      <c r="BE1064" s="1" t="s">
        <v>4263</v>
      </c>
      <c r="BK1064" s="1" t="s">
        <v>1050</v>
      </c>
      <c r="BN1064" s="1" t="s">
        <v>217</v>
      </c>
      <c r="BO1064" s="1" t="s">
        <v>218</v>
      </c>
      <c r="BP1064" s="1" t="s">
        <v>239</v>
      </c>
      <c r="BQ1064" s="1" t="s">
        <v>220</v>
      </c>
      <c r="BT1064" s="1">
        <v>1</v>
      </c>
    </row>
    <row r="1065" spans="1:72">
      <c r="A1065" s="1" t="s">
        <v>4268</v>
      </c>
      <c r="B1065" s="1" t="s">
        <v>213</v>
      </c>
      <c r="C1065" s="1">
        <v>1</v>
      </c>
      <c r="D1065" s="1" t="s">
        <v>4269</v>
      </c>
      <c r="E1065" s="1">
        <v>1401</v>
      </c>
      <c r="F1065" s="1" t="s">
        <v>4268</v>
      </c>
      <c r="G1065" s="1">
        <v>1</v>
      </c>
      <c r="K1065" s="1">
        <v>2500</v>
      </c>
      <c r="M1065" s="1">
        <v>320</v>
      </c>
      <c r="O1065" s="1">
        <v>100</v>
      </c>
      <c r="Q1065" s="1">
        <v>20</v>
      </c>
      <c r="Y1065" s="1">
        <v>0.05</v>
      </c>
      <c r="Z1065" s="1">
        <v>1.4</v>
      </c>
      <c r="AA1065" s="1">
        <v>0</v>
      </c>
      <c r="AB1065" s="1">
        <v>1.9</v>
      </c>
      <c r="AG1065" s="1">
        <v>0</v>
      </c>
      <c r="AH1065" s="1">
        <v>1</v>
      </c>
      <c r="AI1065" s="1" t="s">
        <v>4270</v>
      </c>
      <c r="AJ1065" s="1" t="s">
        <v>275</v>
      </c>
      <c r="AK1065" s="1" t="s">
        <v>238</v>
      </c>
      <c r="AM1065" s="1">
        <v>1</v>
      </c>
      <c r="AV1065" s="1">
        <v>1</v>
      </c>
      <c r="AX1065" s="1">
        <v>0.1</v>
      </c>
      <c r="BE1065" s="1" t="s">
        <v>4268</v>
      </c>
      <c r="BK1065" s="1" t="s">
        <v>911</v>
      </c>
      <c r="BN1065" s="1" t="s">
        <v>217</v>
      </c>
      <c r="BO1065" s="1" t="s">
        <v>218</v>
      </c>
      <c r="BP1065" s="1" t="s">
        <v>239</v>
      </c>
      <c r="BQ1065" s="1" t="s">
        <v>220</v>
      </c>
      <c r="BT1065" s="1">
        <v>1</v>
      </c>
    </row>
    <row r="1066" spans="1:72">
      <c r="A1066" s="1" t="s">
        <v>4271</v>
      </c>
      <c r="B1066" s="1" t="s">
        <v>213</v>
      </c>
      <c r="C1066" s="1">
        <v>1</v>
      </c>
      <c r="D1066" s="1" t="s">
        <v>4272</v>
      </c>
      <c r="E1066" s="1">
        <v>1401</v>
      </c>
      <c r="F1066" s="1" t="s">
        <v>4271</v>
      </c>
      <c r="G1066" s="1">
        <v>1</v>
      </c>
      <c r="K1066" s="1">
        <v>3500</v>
      </c>
      <c r="M1066" s="1">
        <v>380</v>
      </c>
      <c r="O1066" s="1">
        <v>100</v>
      </c>
      <c r="Q1066" s="1">
        <v>20</v>
      </c>
      <c r="Y1066" s="1">
        <v>0.05</v>
      </c>
      <c r="Z1066" s="1">
        <v>1.4</v>
      </c>
      <c r="AA1066" s="1">
        <v>0</v>
      </c>
      <c r="AB1066" s="1">
        <v>1.9</v>
      </c>
      <c r="AG1066" s="1">
        <v>0</v>
      </c>
      <c r="AH1066" s="1">
        <v>1</v>
      </c>
      <c r="AI1066" s="1" t="s">
        <v>4273</v>
      </c>
      <c r="AJ1066" s="1" t="s">
        <v>275</v>
      </c>
      <c r="AK1066" s="1" t="s">
        <v>238</v>
      </c>
      <c r="AM1066" s="1">
        <v>1</v>
      </c>
      <c r="AV1066" s="1">
        <v>1</v>
      </c>
      <c r="AX1066" s="1">
        <v>0.1</v>
      </c>
      <c r="BE1066" s="1" t="s">
        <v>4271</v>
      </c>
      <c r="BK1066" s="1" t="s">
        <v>911</v>
      </c>
      <c r="BN1066" s="1" t="s">
        <v>217</v>
      </c>
      <c r="BO1066" s="1" t="s">
        <v>218</v>
      </c>
      <c r="BP1066" s="1" t="s">
        <v>239</v>
      </c>
      <c r="BQ1066" s="1" t="s">
        <v>220</v>
      </c>
      <c r="BT1066" s="1">
        <v>1</v>
      </c>
    </row>
    <row r="1067" spans="1:72">
      <c r="A1067" s="1" t="s">
        <v>4274</v>
      </c>
      <c r="B1067" s="1" t="s">
        <v>213</v>
      </c>
      <c r="C1067" s="1">
        <v>1</v>
      </c>
      <c r="D1067" s="1" t="s">
        <v>4275</v>
      </c>
      <c r="E1067" s="1">
        <v>1402</v>
      </c>
      <c r="F1067" s="1" t="s">
        <v>4274</v>
      </c>
      <c r="G1067" s="1">
        <v>1</v>
      </c>
      <c r="K1067" s="1">
        <v>11000</v>
      </c>
      <c r="M1067" s="1">
        <v>600</v>
      </c>
      <c r="O1067" s="1">
        <v>1200</v>
      </c>
      <c r="Q1067" s="1">
        <v>0</v>
      </c>
      <c r="Y1067" s="1">
        <v>0.05</v>
      </c>
      <c r="Z1067" s="1">
        <v>3</v>
      </c>
      <c r="AA1067" s="1">
        <v>4</v>
      </c>
      <c r="AB1067" s="1">
        <v>0.7</v>
      </c>
      <c r="AG1067" s="1">
        <v>0</v>
      </c>
      <c r="AH1067" s="1">
        <v>1</v>
      </c>
      <c r="AI1067" s="1" t="s">
        <v>4276</v>
      </c>
      <c r="AJ1067" s="1" t="s">
        <v>4277</v>
      </c>
      <c r="AK1067" s="1" t="s">
        <v>238</v>
      </c>
      <c r="AM1067" s="1">
        <v>1</v>
      </c>
      <c r="AV1067" s="1">
        <v>1</v>
      </c>
      <c r="AX1067" s="1">
        <v>0.1</v>
      </c>
      <c r="BE1067" s="1" t="s">
        <v>4274</v>
      </c>
      <c r="BK1067" s="1" t="s">
        <v>1012</v>
      </c>
      <c r="BN1067" s="1" t="s">
        <v>217</v>
      </c>
      <c r="BO1067" s="1" t="s">
        <v>218</v>
      </c>
      <c r="BP1067" s="1" t="s">
        <v>239</v>
      </c>
      <c r="BQ1067" s="1" t="s">
        <v>220</v>
      </c>
      <c r="BT1067" s="1">
        <v>1</v>
      </c>
    </row>
    <row r="1068" spans="1:72">
      <c r="A1068" s="1" t="s">
        <v>4278</v>
      </c>
      <c r="B1068" s="1" t="s">
        <v>213</v>
      </c>
      <c r="C1068" s="1">
        <v>1</v>
      </c>
      <c r="D1068" s="1" t="s">
        <v>4279</v>
      </c>
      <c r="E1068" s="1">
        <v>1402</v>
      </c>
      <c r="F1068" s="1" t="s">
        <v>4278</v>
      </c>
      <c r="G1068" s="1">
        <v>1</v>
      </c>
      <c r="K1068" s="1">
        <v>13000</v>
      </c>
      <c r="M1068" s="1">
        <v>700</v>
      </c>
      <c r="O1068" s="1">
        <v>1500</v>
      </c>
      <c r="Q1068" s="1">
        <v>0</v>
      </c>
      <c r="Y1068" s="1">
        <v>0.05</v>
      </c>
      <c r="Z1068" s="1">
        <v>3</v>
      </c>
      <c r="AA1068" s="1">
        <v>4</v>
      </c>
      <c r="AB1068" s="1">
        <v>0.7</v>
      </c>
      <c r="AG1068" s="1">
        <v>0</v>
      </c>
      <c r="AH1068" s="1">
        <v>1</v>
      </c>
      <c r="AI1068" s="1" t="s">
        <v>4280</v>
      </c>
      <c r="AJ1068" s="1" t="s">
        <v>4277</v>
      </c>
      <c r="AK1068" s="1" t="s">
        <v>238</v>
      </c>
      <c r="AM1068" s="1">
        <v>1</v>
      </c>
      <c r="AV1068" s="1">
        <v>1</v>
      </c>
      <c r="AX1068" s="1">
        <v>0.1</v>
      </c>
      <c r="BE1068" s="1" t="s">
        <v>4278</v>
      </c>
      <c r="BK1068" s="1" t="s">
        <v>1012</v>
      </c>
      <c r="BN1068" s="1" t="s">
        <v>217</v>
      </c>
      <c r="BO1068" s="1" t="s">
        <v>218</v>
      </c>
      <c r="BP1068" s="1" t="s">
        <v>239</v>
      </c>
      <c r="BQ1068" s="1" t="s">
        <v>220</v>
      </c>
      <c r="BT1068" s="1">
        <v>1</v>
      </c>
    </row>
    <row r="1069" spans="1:72">
      <c r="A1069" s="1" t="s">
        <v>4281</v>
      </c>
      <c r="B1069" s="1" t="s">
        <v>213</v>
      </c>
      <c r="C1069" s="1">
        <v>1</v>
      </c>
      <c r="D1069" s="1" t="s">
        <v>4282</v>
      </c>
      <c r="E1069" s="1">
        <v>1403</v>
      </c>
      <c r="F1069" s="1" t="s">
        <v>4281</v>
      </c>
      <c r="G1069" s="1">
        <v>1</v>
      </c>
      <c r="K1069" s="1">
        <v>4500</v>
      </c>
      <c r="M1069" s="1">
        <v>300</v>
      </c>
      <c r="O1069" s="1">
        <v>180</v>
      </c>
      <c r="Q1069" s="1">
        <v>10</v>
      </c>
      <c r="Y1069" s="1">
        <v>0.05</v>
      </c>
      <c r="Z1069" s="1">
        <v>2</v>
      </c>
      <c r="AA1069" s="1">
        <v>1</v>
      </c>
      <c r="AB1069" s="1">
        <v>0.9</v>
      </c>
      <c r="AG1069" s="1">
        <v>0</v>
      </c>
      <c r="AH1069" s="1">
        <v>1</v>
      </c>
      <c r="AI1069" s="1" t="s">
        <v>4283</v>
      </c>
      <c r="AJ1069" s="1" t="s">
        <v>3401</v>
      </c>
      <c r="AK1069" s="1" t="s">
        <v>238</v>
      </c>
      <c r="AM1069" s="1">
        <v>1</v>
      </c>
      <c r="AV1069" s="1">
        <v>1</v>
      </c>
      <c r="AX1069" s="1">
        <v>0.1</v>
      </c>
      <c r="BE1069" s="1" t="s">
        <v>4281</v>
      </c>
      <c r="BK1069" s="1" t="s">
        <v>959</v>
      </c>
      <c r="BN1069" s="1" t="s">
        <v>217</v>
      </c>
      <c r="BO1069" s="1" t="s">
        <v>218</v>
      </c>
      <c r="BP1069" s="1" t="s">
        <v>239</v>
      </c>
      <c r="BQ1069" s="1" t="s">
        <v>220</v>
      </c>
      <c r="BT1069" s="1">
        <v>1</v>
      </c>
    </row>
    <row r="1070" spans="1:72">
      <c r="A1070" s="1" t="s">
        <v>4284</v>
      </c>
      <c r="B1070" s="1" t="s">
        <v>213</v>
      </c>
      <c r="C1070" s="1">
        <v>1</v>
      </c>
      <c r="D1070" s="1" t="s">
        <v>4285</v>
      </c>
      <c r="E1070" s="1">
        <v>1403</v>
      </c>
      <c r="F1070" s="1" t="s">
        <v>4284</v>
      </c>
      <c r="G1070" s="1">
        <v>1</v>
      </c>
      <c r="K1070" s="1">
        <v>5500</v>
      </c>
      <c r="M1070" s="1">
        <v>400</v>
      </c>
      <c r="O1070" s="1">
        <v>250</v>
      </c>
      <c r="Q1070" s="1">
        <v>10</v>
      </c>
      <c r="Y1070" s="1">
        <v>0.05</v>
      </c>
      <c r="Z1070" s="1">
        <v>2</v>
      </c>
      <c r="AA1070" s="1">
        <v>1</v>
      </c>
      <c r="AB1070" s="1">
        <v>0.9</v>
      </c>
      <c r="AG1070" s="1">
        <v>0</v>
      </c>
      <c r="AH1070" s="1">
        <v>1</v>
      </c>
      <c r="AI1070" s="1" t="s">
        <v>4286</v>
      </c>
      <c r="AJ1070" s="1" t="s">
        <v>3401</v>
      </c>
      <c r="AK1070" s="1" t="s">
        <v>238</v>
      </c>
      <c r="AM1070" s="1">
        <v>1</v>
      </c>
      <c r="AV1070" s="1">
        <v>1</v>
      </c>
      <c r="AX1070" s="1">
        <v>0.1</v>
      </c>
      <c r="BE1070" s="1" t="s">
        <v>4284</v>
      </c>
      <c r="BK1070" s="1" t="s">
        <v>959</v>
      </c>
      <c r="BN1070" s="1" t="s">
        <v>217</v>
      </c>
      <c r="BO1070" s="1" t="s">
        <v>218</v>
      </c>
      <c r="BP1070" s="1" t="s">
        <v>239</v>
      </c>
      <c r="BQ1070" s="1" t="s">
        <v>220</v>
      </c>
      <c r="BT1070" s="1">
        <v>1</v>
      </c>
    </row>
    <row r="1071" spans="1:72">
      <c r="A1071" s="1" t="s">
        <v>4287</v>
      </c>
      <c r="B1071" s="1" t="s">
        <v>213</v>
      </c>
      <c r="C1071" s="1">
        <v>1</v>
      </c>
      <c r="D1071" s="1" t="s">
        <v>4288</v>
      </c>
      <c r="E1071" s="1">
        <v>1404</v>
      </c>
      <c r="F1071" s="1" t="s">
        <v>4287</v>
      </c>
      <c r="G1071" s="1">
        <v>1</v>
      </c>
      <c r="K1071" s="1">
        <v>6000</v>
      </c>
      <c r="M1071" s="1">
        <v>400</v>
      </c>
      <c r="O1071" s="1">
        <v>180</v>
      </c>
      <c r="Q1071" s="1">
        <v>60</v>
      </c>
      <c r="Y1071" s="1">
        <v>0.05</v>
      </c>
      <c r="Z1071" s="1">
        <v>3.5</v>
      </c>
      <c r="AA1071" s="1">
        <v>1</v>
      </c>
      <c r="AB1071" s="1">
        <v>0.7</v>
      </c>
      <c r="AG1071" s="1">
        <v>0</v>
      </c>
      <c r="AH1071" s="1">
        <v>1</v>
      </c>
      <c r="AI1071" s="1" t="s">
        <v>4289</v>
      </c>
      <c r="AJ1071" s="1" t="s">
        <v>3401</v>
      </c>
      <c r="AK1071" s="1" t="s">
        <v>238</v>
      </c>
      <c r="AM1071" s="1">
        <v>1</v>
      </c>
      <c r="AV1071" s="1">
        <v>1</v>
      </c>
      <c r="AX1071" s="1">
        <v>0.1</v>
      </c>
      <c r="BE1071" s="1" t="s">
        <v>4287</v>
      </c>
      <c r="BK1071" s="1" t="s">
        <v>959</v>
      </c>
      <c r="BN1071" s="1" t="s">
        <v>217</v>
      </c>
      <c r="BO1071" s="1" t="s">
        <v>218</v>
      </c>
      <c r="BP1071" s="1" t="s">
        <v>239</v>
      </c>
      <c r="BQ1071" s="1" t="s">
        <v>220</v>
      </c>
      <c r="BT1071" s="1">
        <v>1</v>
      </c>
    </row>
    <row r="1072" spans="1:72">
      <c r="A1072" s="1" t="s">
        <v>4290</v>
      </c>
      <c r="B1072" s="1" t="s">
        <v>213</v>
      </c>
      <c r="C1072" s="1">
        <v>1</v>
      </c>
      <c r="D1072" s="1" t="s">
        <v>4291</v>
      </c>
      <c r="E1072" s="1">
        <v>1404</v>
      </c>
      <c r="F1072" s="1" t="s">
        <v>4290</v>
      </c>
      <c r="G1072" s="1">
        <v>1</v>
      </c>
      <c r="K1072" s="1">
        <v>7000</v>
      </c>
      <c r="M1072" s="1">
        <v>500</v>
      </c>
      <c r="O1072" s="1">
        <v>250</v>
      </c>
      <c r="Q1072" s="1">
        <v>60</v>
      </c>
      <c r="Y1072" s="1">
        <v>0.05</v>
      </c>
      <c r="Z1072" s="1">
        <v>3.5</v>
      </c>
      <c r="AA1072" s="1">
        <v>1</v>
      </c>
      <c r="AB1072" s="1">
        <v>0.7</v>
      </c>
      <c r="AG1072" s="1">
        <v>0</v>
      </c>
      <c r="AH1072" s="1">
        <v>1</v>
      </c>
      <c r="AI1072" s="1" t="s">
        <v>4292</v>
      </c>
      <c r="AJ1072" s="1" t="s">
        <v>3401</v>
      </c>
      <c r="AK1072" s="1" t="s">
        <v>238</v>
      </c>
      <c r="AM1072" s="1">
        <v>1</v>
      </c>
      <c r="AV1072" s="1">
        <v>1</v>
      </c>
      <c r="AX1072" s="1">
        <v>0.1</v>
      </c>
      <c r="BE1072" s="1" t="s">
        <v>4290</v>
      </c>
      <c r="BK1072" s="1" t="s">
        <v>959</v>
      </c>
      <c r="BN1072" s="1" t="s">
        <v>217</v>
      </c>
      <c r="BO1072" s="1" t="s">
        <v>218</v>
      </c>
      <c r="BP1072" s="1" t="s">
        <v>239</v>
      </c>
      <c r="BQ1072" s="1" t="s">
        <v>220</v>
      </c>
      <c r="BT1072" s="1">
        <v>1</v>
      </c>
    </row>
    <row r="1073" spans="1:72">
      <c r="A1073" s="1" t="s">
        <v>4293</v>
      </c>
      <c r="B1073" s="1" t="s">
        <v>213</v>
      </c>
      <c r="C1073" s="1">
        <v>1</v>
      </c>
      <c r="D1073" s="1" t="s">
        <v>4294</v>
      </c>
      <c r="E1073" s="1">
        <v>1405</v>
      </c>
      <c r="F1073" s="1" t="s">
        <v>4293</v>
      </c>
      <c r="G1073" s="1">
        <v>1</v>
      </c>
      <c r="K1073" s="1">
        <v>4000</v>
      </c>
      <c r="M1073" s="1">
        <v>450</v>
      </c>
      <c r="O1073" s="1">
        <v>700</v>
      </c>
      <c r="Q1073" s="1">
        <v>60</v>
      </c>
      <c r="Y1073" s="1">
        <v>0.05</v>
      </c>
      <c r="Z1073" s="1">
        <v>2.8</v>
      </c>
      <c r="AA1073" s="1">
        <v>1</v>
      </c>
      <c r="AB1073" s="1">
        <v>0.65</v>
      </c>
      <c r="AG1073" s="1">
        <v>0</v>
      </c>
      <c r="AH1073" s="1">
        <v>1</v>
      </c>
      <c r="AI1073" s="1" t="s">
        <v>4295</v>
      </c>
      <c r="AJ1073" s="1" t="s">
        <v>275</v>
      </c>
      <c r="AK1073" s="1" t="s">
        <v>238</v>
      </c>
      <c r="AM1073" s="1">
        <v>1</v>
      </c>
      <c r="AV1073" s="1">
        <v>1</v>
      </c>
      <c r="AX1073" s="1">
        <v>0.1</v>
      </c>
      <c r="BE1073" s="1" t="s">
        <v>4293</v>
      </c>
      <c r="BK1073" s="1" t="s">
        <v>953</v>
      </c>
      <c r="BN1073" s="1" t="s">
        <v>217</v>
      </c>
      <c r="BO1073" s="1" t="s">
        <v>281</v>
      </c>
      <c r="BP1073" s="1" t="s">
        <v>1635</v>
      </c>
      <c r="BQ1073" s="1" t="s">
        <v>3222</v>
      </c>
      <c r="BT1073" s="1">
        <v>1</v>
      </c>
    </row>
    <row r="1074" spans="1:72">
      <c r="A1074" s="1" t="s">
        <v>4296</v>
      </c>
      <c r="B1074" s="1" t="s">
        <v>213</v>
      </c>
      <c r="C1074" s="1">
        <v>1</v>
      </c>
      <c r="D1074" s="1" t="s">
        <v>4297</v>
      </c>
      <c r="E1074" s="1">
        <v>1405</v>
      </c>
      <c r="F1074" s="1" t="s">
        <v>4296</v>
      </c>
      <c r="G1074" s="1">
        <v>1</v>
      </c>
      <c r="K1074" s="1">
        <v>5000</v>
      </c>
      <c r="M1074" s="1">
        <v>550</v>
      </c>
      <c r="O1074" s="1">
        <v>900</v>
      </c>
      <c r="Q1074" s="1">
        <v>60</v>
      </c>
      <c r="Y1074" s="1">
        <v>0.05</v>
      </c>
      <c r="Z1074" s="1">
        <v>2.8</v>
      </c>
      <c r="AA1074" s="1">
        <v>1</v>
      </c>
      <c r="AB1074" s="1">
        <v>0.65</v>
      </c>
      <c r="AG1074" s="1">
        <v>0</v>
      </c>
      <c r="AH1074" s="1">
        <v>1</v>
      </c>
      <c r="AI1074" s="1" t="s">
        <v>4298</v>
      </c>
      <c r="AJ1074" s="1" t="s">
        <v>275</v>
      </c>
      <c r="AK1074" s="1" t="s">
        <v>238</v>
      </c>
      <c r="AM1074" s="1">
        <v>1</v>
      </c>
      <c r="AV1074" s="1">
        <v>1</v>
      </c>
      <c r="AX1074" s="1">
        <v>0.1</v>
      </c>
      <c r="BE1074" s="1" t="s">
        <v>4296</v>
      </c>
      <c r="BK1074" s="1" t="s">
        <v>953</v>
      </c>
      <c r="BN1074" s="1" t="s">
        <v>217</v>
      </c>
      <c r="BO1074" s="1" t="s">
        <v>281</v>
      </c>
      <c r="BP1074" s="1" t="s">
        <v>1635</v>
      </c>
      <c r="BQ1074" s="1" t="s">
        <v>3222</v>
      </c>
      <c r="BT1074" s="1">
        <v>1</v>
      </c>
    </row>
    <row r="1075" spans="1:72">
      <c r="A1075" s="1" t="s">
        <v>4299</v>
      </c>
      <c r="B1075" s="1" t="s">
        <v>213</v>
      </c>
      <c r="C1075" s="1">
        <v>1</v>
      </c>
      <c r="D1075" s="1" t="s">
        <v>4300</v>
      </c>
      <c r="E1075" s="1">
        <v>1406</v>
      </c>
      <c r="F1075" s="1" t="s">
        <v>4299</v>
      </c>
      <c r="G1075" s="1">
        <v>1</v>
      </c>
      <c r="K1075" s="1">
        <v>15000</v>
      </c>
      <c r="M1075" s="1">
        <v>1350</v>
      </c>
      <c r="O1075" s="1">
        <v>1000</v>
      </c>
      <c r="Q1075" s="1">
        <v>0</v>
      </c>
      <c r="Y1075" s="1">
        <v>0.05</v>
      </c>
      <c r="Z1075" s="1">
        <v>5</v>
      </c>
      <c r="AA1075" s="1">
        <v>4</v>
      </c>
      <c r="AB1075" s="1">
        <v>0.8</v>
      </c>
      <c r="AG1075" s="1">
        <v>0</v>
      </c>
      <c r="AH1075" s="1">
        <v>1</v>
      </c>
      <c r="AI1075" s="1" t="s">
        <v>4301</v>
      </c>
      <c r="AJ1075" s="1" t="s">
        <v>275</v>
      </c>
      <c r="AK1075" s="1" t="s">
        <v>238</v>
      </c>
      <c r="AM1075" s="1">
        <v>1</v>
      </c>
      <c r="AV1075" s="1">
        <v>1</v>
      </c>
      <c r="AX1075" s="1">
        <v>0.1</v>
      </c>
      <c r="BE1075" s="1" t="s">
        <v>4299</v>
      </c>
      <c r="BK1075" s="1" t="s">
        <v>1012</v>
      </c>
      <c r="BN1075" s="1" t="s">
        <v>217</v>
      </c>
      <c r="BO1075" s="1" t="s">
        <v>218</v>
      </c>
      <c r="BP1075" s="1" t="s">
        <v>239</v>
      </c>
      <c r="BQ1075" s="1" t="s">
        <v>220</v>
      </c>
      <c r="BT1075" s="1">
        <v>1</v>
      </c>
    </row>
    <row r="1076" spans="1:72">
      <c r="A1076" s="1" t="s">
        <v>4302</v>
      </c>
      <c r="B1076" s="1" t="s">
        <v>213</v>
      </c>
      <c r="C1076" s="1">
        <v>1</v>
      </c>
      <c r="D1076" s="1" t="s">
        <v>4303</v>
      </c>
      <c r="E1076" s="1">
        <v>1406</v>
      </c>
      <c r="F1076" s="1" t="s">
        <v>4302</v>
      </c>
      <c r="G1076" s="1">
        <v>1</v>
      </c>
      <c r="K1076" s="1">
        <v>20000</v>
      </c>
      <c r="M1076" s="1">
        <v>1750</v>
      </c>
      <c r="O1076" s="1">
        <v>1000</v>
      </c>
      <c r="Q1076" s="1">
        <v>0</v>
      </c>
      <c r="Y1076" s="1">
        <v>0.05</v>
      </c>
      <c r="Z1076" s="1">
        <v>5</v>
      </c>
      <c r="AA1076" s="1">
        <v>4</v>
      </c>
      <c r="AB1076" s="1">
        <v>0.8</v>
      </c>
      <c r="AG1076" s="1">
        <v>0</v>
      </c>
      <c r="AH1076" s="1">
        <v>1</v>
      </c>
      <c r="AI1076" s="1" t="s">
        <v>4304</v>
      </c>
      <c r="AJ1076" s="1" t="s">
        <v>275</v>
      </c>
      <c r="AK1076" s="1" t="s">
        <v>238</v>
      </c>
      <c r="AM1076" s="1">
        <v>1</v>
      </c>
      <c r="AV1076" s="1">
        <v>1</v>
      </c>
      <c r="AX1076" s="1">
        <v>0.1</v>
      </c>
      <c r="BE1076" s="1" t="s">
        <v>4302</v>
      </c>
      <c r="BK1076" s="1" t="s">
        <v>1012</v>
      </c>
      <c r="BN1076" s="1" t="s">
        <v>217</v>
      </c>
      <c r="BO1076" s="1" t="s">
        <v>218</v>
      </c>
      <c r="BP1076" s="1" t="s">
        <v>239</v>
      </c>
      <c r="BQ1076" s="1" t="s">
        <v>220</v>
      </c>
      <c r="BT1076" s="1">
        <v>1</v>
      </c>
    </row>
    <row r="1077" spans="1:72">
      <c r="A1077" s="1" t="s">
        <v>4305</v>
      </c>
      <c r="B1077" s="1" t="s">
        <v>213</v>
      </c>
      <c r="C1077" s="1">
        <v>1</v>
      </c>
      <c r="D1077" s="1" t="s">
        <v>4306</v>
      </c>
      <c r="E1077" s="1" t="s">
        <v>4307</v>
      </c>
      <c r="F1077" s="1" t="s">
        <v>4305</v>
      </c>
      <c r="G1077" s="1">
        <v>1</v>
      </c>
      <c r="K1077" s="1">
        <v>4500</v>
      </c>
      <c r="M1077" s="1">
        <v>250</v>
      </c>
      <c r="O1077" s="1">
        <v>120</v>
      </c>
      <c r="Q1077" s="1">
        <v>20</v>
      </c>
      <c r="Y1077" s="1">
        <v>0.05</v>
      </c>
      <c r="Z1077" s="1">
        <v>3</v>
      </c>
      <c r="AA1077" s="1">
        <v>1</v>
      </c>
      <c r="AB1077" s="1">
        <v>0.7</v>
      </c>
      <c r="AG1077" s="1">
        <v>0</v>
      </c>
      <c r="AH1077" s="1">
        <v>1</v>
      </c>
      <c r="AI1077" s="1" t="s">
        <v>4308</v>
      </c>
      <c r="AJ1077" s="1" t="s">
        <v>216</v>
      </c>
      <c r="AK1077" s="1" t="s">
        <v>238</v>
      </c>
      <c r="AM1077" s="1">
        <v>1</v>
      </c>
      <c r="AN1077" s="1">
        <v>1</v>
      </c>
      <c r="AV1077" s="1">
        <v>1</v>
      </c>
      <c r="AX1077" s="1">
        <v>0.1</v>
      </c>
      <c r="BE1077" s="1" t="s">
        <v>4305</v>
      </c>
      <c r="BK1077" s="1" t="s">
        <v>1050</v>
      </c>
      <c r="BL1077" s="1" t="s">
        <v>4309</v>
      </c>
      <c r="BN1077" s="1" t="s">
        <v>217</v>
      </c>
      <c r="BO1077" s="1" t="s">
        <v>218</v>
      </c>
      <c r="BP1077" s="1" t="s">
        <v>239</v>
      </c>
      <c r="BQ1077" s="1" t="s">
        <v>220</v>
      </c>
      <c r="BT1077" s="1">
        <v>1</v>
      </c>
    </row>
    <row r="1078" spans="1:72">
      <c r="A1078" s="1" t="s">
        <v>4310</v>
      </c>
      <c r="B1078" s="1" t="s">
        <v>213</v>
      </c>
      <c r="C1078" s="1">
        <v>1</v>
      </c>
      <c r="D1078" s="1" t="s">
        <v>4311</v>
      </c>
      <c r="E1078" s="1" t="s">
        <v>4307</v>
      </c>
      <c r="F1078" s="1" t="s">
        <v>4310</v>
      </c>
      <c r="G1078" s="1">
        <v>1</v>
      </c>
      <c r="K1078" s="1">
        <v>5500</v>
      </c>
      <c r="M1078" s="1">
        <v>350</v>
      </c>
      <c r="O1078" s="1">
        <v>180</v>
      </c>
      <c r="Q1078" s="1">
        <v>20</v>
      </c>
      <c r="Y1078" s="1">
        <v>0.05</v>
      </c>
      <c r="Z1078" s="1">
        <v>3</v>
      </c>
      <c r="AA1078" s="1">
        <v>1</v>
      </c>
      <c r="AB1078" s="1">
        <v>0.7</v>
      </c>
      <c r="AG1078" s="1">
        <v>0</v>
      </c>
      <c r="AH1078" s="1">
        <v>1</v>
      </c>
      <c r="AI1078" s="1" t="s">
        <v>4312</v>
      </c>
      <c r="AJ1078" s="1" t="s">
        <v>216</v>
      </c>
      <c r="AK1078" s="1" t="s">
        <v>238</v>
      </c>
      <c r="AM1078" s="1">
        <v>1</v>
      </c>
      <c r="AN1078" s="1">
        <v>1</v>
      </c>
      <c r="AV1078" s="1">
        <v>1</v>
      </c>
      <c r="AX1078" s="1">
        <v>0.1</v>
      </c>
      <c r="BE1078" s="1" t="s">
        <v>4310</v>
      </c>
      <c r="BK1078" s="1" t="s">
        <v>1050</v>
      </c>
      <c r="BL1078" s="1" t="s">
        <v>4309</v>
      </c>
      <c r="BN1078" s="1" t="s">
        <v>217</v>
      </c>
      <c r="BO1078" s="1" t="s">
        <v>218</v>
      </c>
      <c r="BP1078" s="1" t="s">
        <v>239</v>
      </c>
      <c r="BQ1078" s="1" t="s">
        <v>220</v>
      </c>
      <c r="BT1078" s="1">
        <v>1</v>
      </c>
    </row>
    <row r="1079" spans="1:72">
      <c r="A1079" s="1" t="s">
        <v>4313</v>
      </c>
      <c r="B1079" s="1" t="s">
        <v>213</v>
      </c>
      <c r="C1079" s="1">
        <v>1</v>
      </c>
      <c r="D1079" s="1" t="s">
        <v>4314</v>
      </c>
      <c r="E1079" s="1" t="s">
        <v>4315</v>
      </c>
      <c r="F1079" s="1" t="s">
        <v>4313</v>
      </c>
      <c r="G1079" s="1">
        <v>1</v>
      </c>
      <c r="K1079" s="1">
        <v>8000</v>
      </c>
      <c r="M1079" s="1">
        <v>400</v>
      </c>
      <c r="O1079" s="1">
        <v>450</v>
      </c>
      <c r="Q1079" s="1">
        <v>20</v>
      </c>
      <c r="Y1079" s="1">
        <v>0.05</v>
      </c>
      <c r="Z1079" s="1">
        <v>4.5</v>
      </c>
      <c r="AA1079" s="1">
        <v>2</v>
      </c>
      <c r="AB1079" s="1">
        <v>0.6</v>
      </c>
      <c r="AG1079" s="1">
        <v>0</v>
      </c>
      <c r="AH1079" s="1">
        <v>1</v>
      </c>
      <c r="AI1079" s="1" t="s">
        <v>4316</v>
      </c>
      <c r="AJ1079" s="1" t="s">
        <v>4317</v>
      </c>
      <c r="AK1079" s="1" t="s">
        <v>238</v>
      </c>
      <c r="AM1079" s="1">
        <v>1</v>
      </c>
      <c r="AV1079" s="1">
        <v>1</v>
      </c>
      <c r="AX1079" s="1">
        <v>0.1</v>
      </c>
      <c r="BE1079" s="1" t="s">
        <v>4313</v>
      </c>
      <c r="BK1079" s="1" t="s">
        <v>959</v>
      </c>
      <c r="BL1079" s="1" t="s">
        <v>998</v>
      </c>
      <c r="BN1079" s="1" t="s">
        <v>217</v>
      </c>
      <c r="BO1079" s="1" t="s">
        <v>281</v>
      </c>
      <c r="BP1079" s="1" t="s">
        <v>239</v>
      </c>
      <c r="BQ1079" s="1" t="s">
        <v>220</v>
      </c>
      <c r="BT1079" s="1">
        <v>1</v>
      </c>
    </row>
    <row r="1080" spans="1:72">
      <c r="A1080" s="1" t="s">
        <v>4318</v>
      </c>
      <c r="B1080" s="1" t="s">
        <v>213</v>
      </c>
      <c r="C1080" s="1">
        <v>1</v>
      </c>
      <c r="D1080" s="1" t="s">
        <v>4319</v>
      </c>
      <c r="E1080" s="1" t="s">
        <v>4315</v>
      </c>
      <c r="F1080" s="1" t="s">
        <v>4318</v>
      </c>
      <c r="G1080" s="1">
        <v>1</v>
      </c>
      <c r="K1080" s="1">
        <v>9000</v>
      </c>
      <c r="M1080" s="1">
        <v>500</v>
      </c>
      <c r="O1080" s="1">
        <v>450</v>
      </c>
      <c r="Q1080" s="1">
        <v>20</v>
      </c>
      <c r="Y1080" s="1">
        <v>0.05</v>
      </c>
      <c r="Z1080" s="1">
        <v>4.5</v>
      </c>
      <c r="AA1080" s="1">
        <v>2</v>
      </c>
      <c r="AB1080" s="1">
        <v>0.6</v>
      </c>
      <c r="AG1080" s="1">
        <v>0</v>
      </c>
      <c r="AH1080" s="1">
        <v>1</v>
      </c>
      <c r="AI1080" s="1" t="s">
        <v>4320</v>
      </c>
      <c r="AJ1080" s="1" t="s">
        <v>4317</v>
      </c>
      <c r="AK1080" s="1" t="s">
        <v>238</v>
      </c>
      <c r="AM1080" s="1">
        <v>1</v>
      </c>
      <c r="AV1080" s="1">
        <v>1</v>
      </c>
      <c r="AX1080" s="1">
        <v>0.1</v>
      </c>
      <c r="BE1080" s="1" t="s">
        <v>4318</v>
      </c>
      <c r="BK1080" s="1" t="s">
        <v>959</v>
      </c>
      <c r="BL1080" s="1" t="s">
        <v>998</v>
      </c>
      <c r="BN1080" s="1" t="s">
        <v>217</v>
      </c>
      <c r="BO1080" s="1" t="s">
        <v>281</v>
      </c>
      <c r="BP1080" s="1" t="s">
        <v>239</v>
      </c>
      <c r="BQ1080" s="1" t="s">
        <v>220</v>
      </c>
      <c r="BT1080" s="1">
        <v>1</v>
      </c>
    </row>
    <row r="1081" spans="1:72">
      <c r="A1081" s="1" t="s">
        <v>4321</v>
      </c>
      <c r="B1081" s="1" t="s">
        <v>213</v>
      </c>
      <c r="C1081" s="1">
        <v>1</v>
      </c>
      <c r="D1081" s="1" t="s">
        <v>4322</v>
      </c>
      <c r="E1081" s="1">
        <v>1409</v>
      </c>
      <c r="F1081" s="1" t="s">
        <v>4321</v>
      </c>
      <c r="G1081" s="1">
        <v>1</v>
      </c>
      <c r="K1081" s="1">
        <v>18000</v>
      </c>
      <c r="M1081" s="1">
        <v>1100</v>
      </c>
      <c r="O1081" s="1">
        <v>1000</v>
      </c>
      <c r="Q1081" s="1">
        <v>30</v>
      </c>
      <c r="Y1081" s="1">
        <v>0.05</v>
      </c>
      <c r="Z1081" s="1">
        <v>4</v>
      </c>
      <c r="AA1081" s="1">
        <v>3</v>
      </c>
      <c r="AB1081" s="1">
        <v>0.8</v>
      </c>
      <c r="AG1081" s="1">
        <v>0</v>
      </c>
      <c r="AH1081" s="1">
        <v>1</v>
      </c>
      <c r="AI1081" s="1" t="s">
        <v>4323</v>
      </c>
      <c r="AJ1081" s="1" t="s">
        <v>275</v>
      </c>
      <c r="AK1081" s="1" t="s">
        <v>238</v>
      </c>
      <c r="AM1081" s="1">
        <v>1</v>
      </c>
      <c r="AV1081" s="1">
        <v>1</v>
      </c>
      <c r="AX1081" s="1">
        <v>0.1</v>
      </c>
      <c r="BE1081" s="1" t="s">
        <v>4321</v>
      </c>
      <c r="BK1081" s="1" t="s">
        <v>1012</v>
      </c>
      <c r="BN1081" s="1" t="s">
        <v>217</v>
      </c>
      <c r="BO1081" s="1" t="s">
        <v>218</v>
      </c>
      <c r="BP1081" s="1" t="s">
        <v>239</v>
      </c>
      <c r="BQ1081" s="1" t="s">
        <v>220</v>
      </c>
      <c r="BT1081" s="1">
        <v>1</v>
      </c>
    </row>
    <row r="1082" spans="1:72">
      <c r="A1082" s="1" t="s">
        <v>4324</v>
      </c>
      <c r="B1082" s="1" t="s">
        <v>213</v>
      </c>
      <c r="C1082" s="1">
        <v>1</v>
      </c>
      <c r="D1082" s="1" t="s">
        <v>4325</v>
      </c>
      <c r="E1082" s="1">
        <v>1409</v>
      </c>
      <c r="F1082" s="1" t="s">
        <v>4324</v>
      </c>
      <c r="G1082" s="1">
        <v>1</v>
      </c>
      <c r="K1082" s="1">
        <v>25000</v>
      </c>
      <c r="M1082" s="1">
        <v>1300</v>
      </c>
      <c r="O1082" s="1">
        <v>1200</v>
      </c>
      <c r="Q1082" s="1">
        <v>30</v>
      </c>
      <c r="Y1082" s="1">
        <v>0.05</v>
      </c>
      <c r="Z1082" s="1">
        <v>4</v>
      </c>
      <c r="AA1082" s="1">
        <v>3</v>
      </c>
      <c r="AB1082" s="1">
        <v>0.8</v>
      </c>
      <c r="AG1082" s="1">
        <v>0</v>
      </c>
      <c r="AH1082" s="1">
        <v>1</v>
      </c>
      <c r="AI1082" s="1" t="s">
        <v>4326</v>
      </c>
      <c r="AJ1082" s="1" t="s">
        <v>275</v>
      </c>
      <c r="AK1082" s="1" t="s">
        <v>238</v>
      </c>
      <c r="AM1082" s="1">
        <v>1</v>
      </c>
      <c r="AV1082" s="1">
        <v>1</v>
      </c>
      <c r="AX1082" s="1">
        <v>0.1</v>
      </c>
      <c r="BE1082" s="1" t="s">
        <v>4324</v>
      </c>
      <c r="BK1082" s="1" t="s">
        <v>1012</v>
      </c>
      <c r="BN1082" s="1" t="s">
        <v>217</v>
      </c>
      <c r="BO1082" s="1" t="s">
        <v>218</v>
      </c>
      <c r="BP1082" s="1" t="s">
        <v>239</v>
      </c>
      <c r="BQ1082" s="1" t="s">
        <v>220</v>
      </c>
      <c r="BT1082" s="1">
        <v>1</v>
      </c>
    </row>
    <row r="1083" spans="1:72">
      <c r="A1083" s="1" t="s">
        <v>4327</v>
      </c>
      <c r="B1083" s="1" t="s">
        <v>213</v>
      </c>
      <c r="C1083" s="1">
        <v>1</v>
      </c>
      <c r="D1083" s="1" t="s">
        <v>4328</v>
      </c>
      <c r="E1083" s="1">
        <v>1409</v>
      </c>
      <c r="F1083" s="1" t="s">
        <v>4327</v>
      </c>
      <c r="G1083" s="1">
        <v>1</v>
      </c>
      <c r="K1083" s="1">
        <v>18000</v>
      </c>
      <c r="M1083" s="1">
        <v>1100</v>
      </c>
      <c r="O1083" s="1">
        <v>1000</v>
      </c>
      <c r="Q1083" s="1">
        <v>30</v>
      </c>
      <c r="Y1083" s="1">
        <v>0.05</v>
      </c>
      <c r="Z1083" s="1">
        <v>4</v>
      </c>
      <c r="AA1083" s="1">
        <v>3</v>
      </c>
      <c r="AB1083" s="1">
        <v>0.8</v>
      </c>
      <c r="AG1083" s="1">
        <v>0</v>
      </c>
      <c r="AH1083" s="1">
        <v>1</v>
      </c>
      <c r="AI1083" s="1" t="s">
        <v>4329</v>
      </c>
      <c r="AJ1083" s="1" t="s">
        <v>275</v>
      </c>
      <c r="AK1083" s="1" t="s">
        <v>238</v>
      </c>
      <c r="AM1083" s="1">
        <v>1</v>
      </c>
      <c r="AV1083" s="1">
        <v>1</v>
      </c>
      <c r="AX1083" s="1">
        <v>0.1</v>
      </c>
      <c r="BE1083" s="1" t="s">
        <v>4327</v>
      </c>
      <c r="BK1083" s="1" t="s">
        <v>1012</v>
      </c>
      <c r="BN1083" s="1" t="s">
        <v>217</v>
      </c>
      <c r="BO1083" s="1" t="s">
        <v>218</v>
      </c>
      <c r="BP1083" s="1" t="s">
        <v>239</v>
      </c>
      <c r="BQ1083" s="1" t="s">
        <v>220</v>
      </c>
      <c r="BT1083" s="1">
        <v>1</v>
      </c>
    </row>
    <row r="1084" spans="1:72">
      <c r="A1084" s="1" t="s">
        <v>4330</v>
      </c>
      <c r="B1084" s="1" t="s">
        <v>213</v>
      </c>
      <c r="C1084" s="1">
        <v>1</v>
      </c>
      <c r="D1084" s="1" t="s">
        <v>4328</v>
      </c>
      <c r="E1084" s="1">
        <v>1409</v>
      </c>
      <c r="F1084" s="1" t="s">
        <v>4327</v>
      </c>
      <c r="G1084" s="1">
        <v>1</v>
      </c>
      <c r="K1084" s="1">
        <v>25000</v>
      </c>
      <c r="M1084" s="1">
        <v>1300</v>
      </c>
      <c r="O1084" s="1">
        <v>1200</v>
      </c>
      <c r="Q1084" s="1">
        <v>30</v>
      </c>
      <c r="Y1084" s="1">
        <v>0.05</v>
      </c>
      <c r="Z1084" s="1">
        <v>4</v>
      </c>
      <c r="AA1084" s="1">
        <v>3</v>
      </c>
      <c r="AB1084" s="1">
        <v>0.8</v>
      </c>
      <c r="AG1084" s="1">
        <v>0</v>
      </c>
      <c r="AH1084" s="1">
        <v>1</v>
      </c>
      <c r="AI1084" s="1" t="s">
        <v>4331</v>
      </c>
      <c r="AJ1084" s="1" t="s">
        <v>275</v>
      </c>
      <c r="AK1084" s="1" t="s">
        <v>238</v>
      </c>
      <c r="AM1084" s="1">
        <v>1</v>
      </c>
      <c r="AV1084" s="1">
        <v>1</v>
      </c>
      <c r="AX1084" s="1">
        <v>0.1</v>
      </c>
      <c r="BE1084" s="1" t="s">
        <v>4327</v>
      </c>
      <c r="BK1084" s="1" t="s">
        <v>1012</v>
      </c>
      <c r="BN1084" s="1" t="s">
        <v>217</v>
      </c>
      <c r="BO1084" s="1" t="s">
        <v>218</v>
      </c>
      <c r="BP1084" s="1" t="s">
        <v>239</v>
      </c>
      <c r="BQ1084" s="1" t="s">
        <v>220</v>
      </c>
      <c r="BT1084" s="1">
        <v>1</v>
      </c>
    </row>
    <row r="1085" spans="1:72">
      <c r="A1085" s="1" t="s">
        <v>4332</v>
      </c>
      <c r="B1085" s="1" t="s">
        <v>213</v>
      </c>
      <c r="C1085" s="1">
        <v>1</v>
      </c>
      <c r="D1085" s="1" t="s">
        <v>4333</v>
      </c>
      <c r="E1085" s="1">
        <v>1551</v>
      </c>
      <c r="F1085" s="1" t="s">
        <v>4332</v>
      </c>
      <c r="G1085" s="1">
        <v>1</v>
      </c>
      <c r="K1085" s="1">
        <v>40000</v>
      </c>
      <c r="M1085" s="1">
        <v>550</v>
      </c>
      <c r="O1085" s="1">
        <v>1000</v>
      </c>
      <c r="Q1085" s="1">
        <v>50</v>
      </c>
      <c r="Y1085" s="1">
        <v>0.05</v>
      </c>
      <c r="Z1085" s="1">
        <v>3</v>
      </c>
      <c r="AA1085" s="1">
        <v>8</v>
      </c>
      <c r="AB1085" s="1">
        <v>0.6</v>
      </c>
      <c r="AG1085" s="1">
        <v>0</v>
      </c>
      <c r="AH1085" s="1">
        <v>1</v>
      </c>
      <c r="AI1085" s="1" t="s">
        <v>4334</v>
      </c>
      <c r="AJ1085" s="1" t="s">
        <v>275</v>
      </c>
      <c r="AK1085" s="1" t="s">
        <v>238</v>
      </c>
      <c r="AM1085" s="1">
        <v>1</v>
      </c>
      <c r="AV1085" s="1">
        <v>1</v>
      </c>
      <c r="AX1085" s="1">
        <v>0.1</v>
      </c>
      <c r="BE1085" s="1" t="s">
        <v>4332</v>
      </c>
      <c r="BK1085" s="1" t="s">
        <v>1342</v>
      </c>
      <c r="BN1085" s="1" t="s">
        <v>4335</v>
      </c>
      <c r="BO1085" s="1" t="s">
        <v>218</v>
      </c>
      <c r="BP1085" s="1" t="s">
        <v>239</v>
      </c>
      <c r="BQ1085" s="1" t="s">
        <v>220</v>
      </c>
      <c r="BT1085" s="1">
        <v>1</v>
      </c>
    </row>
    <row r="1086" spans="1:72">
      <c r="A1086" s="1" t="s">
        <v>4336</v>
      </c>
      <c r="B1086" s="1" t="s">
        <v>213</v>
      </c>
      <c r="C1086" s="1">
        <v>1</v>
      </c>
      <c r="D1086" s="1" t="s">
        <v>4337</v>
      </c>
      <c r="E1086" s="1">
        <v>1410</v>
      </c>
      <c r="F1086" s="1" t="s">
        <v>4336</v>
      </c>
      <c r="G1086" s="1">
        <v>1</v>
      </c>
      <c r="K1086" s="1">
        <v>4000</v>
      </c>
      <c r="M1086" s="1">
        <v>300</v>
      </c>
      <c r="O1086" s="1">
        <v>100</v>
      </c>
      <c r="Q1086" s="1">
        <v>40</v>
      </c>
      <c r="Y1086" s="1">
        <v>0.05</v>
      </c>
      <c r="Z1086" s="1">
        <v>2</v>
      </c>
      <c r="AA1086" s="1">
        <v>1</v>
      </c>
      <c r="AB1086" s="1">
        <v>2</v>
      </c>
      <c r="AG1086" s="1">
        <v>0</v>
      </c>
      <c r="AH1086" s="1">
        <v>1</v>
      </c>
      <c r="AI1086" s="1" t="s">
        <v>4338</v>
      </c>
      <c r="AJ1086" s="1" t="s">
        <v>3394</v>
      </c>
      <c r="AK1086" s="1" t="s">
        <v>238</v>
      </c>
      <c r="AM1086" s="1">
        <v>1</v>
      </c>
      <c r="AV1086" s="1">
        <v>1</v>
      </c>
      <c r="AX1086" s="1">
        <v>0.1</v>
      </c>
      <c r="BE1086" s="1" t="s">
        <v>4336</v>
      </c>
      <c r="BK1086" s="1" t="s">
        <v>1496</v>
      </c>
      <c r="BN1086" s="1" t="s">
        <v>217</v>
      </c>
      <c r="BO1086" s="1" t="s">
        <v>218</v>
      </c>
      <c r="BP1086" s="1" t="s">
        <v>239</v>
      </c>
      <c r="BQ1086" s="1" t="s">
        <v>220</v>
      </c>
      <c r="BT1086" s="1">
        <v>1</v>
      </c>
    </row>
    <row r="1087" spans="1:72">
      <c r="A1087" s="1" t="s">
        <v>4339</v>
      </c>
      <c r="B1087" s="1" t="s">
        <v>213</v>
      </c>
      <c r="C1087" s="1">
        <v>1</v>
      </c>
      <c r="D1087" s="1" t="s">
        <v>4340</v>
      </c>
      <c r="E1087" s="1">
        <v>1410</v>
      </c>
      <c r="F1087" s="1" t="s">
        <v>4339</v>
      </c>
      <c r="G1087" s="1">
        <v>1</v>
      </c>
      <c r="K1087" s="1">
        <v>5200</v>
      </c>
      <c r="M1087" s="1">
        <v>360</v>
      </c>
      <c r="O1087" s="1">
        <v>120</v>
      </c>
      <c r="Q1087" s="1">
        <v>40</v>
      </c>
      <c r="Y1087" s="1">
        <v>0.05</v>
      </c>
      <c r="Z1087" s="1">
        <v>2</v>
      </c>
      <c r="AA1087" s="1">
        <v>1</v>
      </c>
      <c r="AB1087" s="1">
        <v>2</v>
      </c>
      <c r="AG1087" s="1">
        <v>0</v>
      </c>
      <c r="AH1087" s="1">
        <v>1</v>
      </c>
      <c r="AI1087" s="1" t="s">
        <v>4341</v>
      </c>
      <c r="AJ1087" s="1" t="s">
        <v>3394</v>
      </c>
      <c r="AK1087" s="1" t="s">
        <v>238</v>
      </c>
      <c r="AM1087" s="1">
        <v>1</v>
      </c>
      <c r="AV1087" s="1">
        <v>1</v>
      </c>
      <c r="AX1087" s="1">
        <v>0.1</v>
      </c>
      <c r="BE1087" s="1" t="s">
        <v>4339</v>
      </c>
      <c r="BK1087" s="1" t="s">
        <v>1496</v>
      </c>
      <c r="BN1087" s="1" t="s">
        <v>217</v>
      </c>
      <c r="BO1087" s="1" t="s">
        <v>218</v>
      </c>
      <c r="BP1087" s="1" t="s">
        <v>239</v>
      </c>
      <c r="BQ1087" s="1" t="s">
        <v>220</v>
      </c>
      <c r="BT1087" s="1">
        <v>1</v>
      </c>
    </row>
    <row r="1088" spans="1:72">
      <c r="A1088" s="1" t="s">
        <v>4342</v>
      </c>
      <c r="B1088" s="1" t="s">
        <v>213</v>
      </c>
      <c r="C1088" s="1">
        <v>1</v>
      </c>
      <c r="D1088" s="1" t="s">
        <v>4343</v>
      </c>
      <c r="E1088" s="1">
        <v>1411</v>
      </c>
      <c r="F1088" s="1" t="s">
        <v>4342</v>
      </c>
      <c r="G1088" s="1">
        <v>1</v>
      </c>
      <c r="K1088" s="1">
        <v>4000</v>
      </c>
      <c r="M1088" s="1">
        <v>350</v>
      </c>
      <c r="O1088" s="1">
        <v>200</v>
      </c>
      <c r="Q1088" s="1">
        <v>60</v>
      </c>
      <c r="Y1088" s="1">
        <v>0.05</v>
      </c>
      <c r="Z1088" s="1">
        <v>3</v>
      </c>
      <c r="AA1088" s="1">
        <v>1</v>
      </c>
      <c r="AB1088" s="1">
        <v>0.8</v>
      </c>
      <c r="AG1088" s="1">
        <v>0</v>
      </c>
      <c r="AH1088" s="1">
        <v>1</v>
      </c>
      <c r="AI1088" s="1" t="s">
        <v>4344</v>
      </c>
      <c r="AJ1088" s="1" t="s">
        <v>3394</v>
      </c>
      <c r="AK1088" s="1" t="s">
        <v>238</v>
      </c>
      <c r="AM1088" s="1">
        <v>1</v>
      </c>
      <c r="AV1088" s="1">
        <v>1</v>
      </c>
      <c r="AX1088" s="1">
        <v>0.1</v>
      </c>
      <c r="BE1088" s="1" t="s">
        <v>4342</v>
      </c>
      <c r="BK1088" s="1" t="s">
        <v>3298</v>
      </c>
      <c r="BN1088" s="1" t="s">
        <v>217</v>
      </c>
      <c r="BO1088" s="1" t="s">
        <v>218</v>
      </c>
      <c r="BP1088" s="1" t="s">
        <v>239</v>
      </c>
      <c r="BQ1088" s="1" t="s">
        <v>220</v>
      </c>
      <c r="BT1088" s="1">
        <v>1</v>
      </c>
    </row>
    <row r="1089" spans="1:72">
      <c r="A1089" s="1" t="s">
        <v>4345</v>
      </c>
      <c r="B1089" s="1" t="s">
        <v>213</v>
      </c>
      <c r="C1089" s="1">
        <v>1</v>
      </c>
      <c r="D1089" s="1" t="s">
        <v>4346</v>
      </c>
      <c r="E1089" s="1">
        <v>1411</v>
      </c>
      <c r="F1089" s="1" t="s">
        <v>4345</v>
      </c>
      <c r="G1089" s="1">
        <v>1</v>
      </c>
      <c r="K1089" s="1">
        <v>4800</v>
      </c>
      <c r="M1089" s="1">
        <v>420</v>
      </c>
      <c r="O1089" s="1">
        <v>240</v>
      </c>
      <c r="Q1089" s="1">
        <v>60</v>
      </c>
      <c r="Y1089" s="1">
        <v>0.05</v>
      </c>
      <c r="Z1089" s="1">
        <v>3</v>
      </c>
      <c r="AA1089" s="1">
        <v>1</v>
      </c>
      <c r="AB1089" s="1">
        <v>0.8</v>
      </c>
      <c r="AG1089" s="1">
        <v>0</v>
      </c>
      <c r="AH1089" s="1">
        <v>1</v>
      </c>
      <c r="AI1089" s="1" t="s">
        <v>4347</v>
      </c>
      <c r="AJ1089" s="1" t="s">
        <v>3394</v>
      </c>
      <c r="AK1089" s="1" t="s">
        <v>238</v>
      </c>
      <c r="AM1089" s="1">
        <v>1</v>
      </c>
      <c r="AV1089" s="1">
        <v>1</v>
      </c>
      <c r="AX1089" s="1">
        <v>0.1</v>
      </c>
      <c r="BE1089" s="1" t="s">
        <v>4345</v>
      </c>
      <c r="BK1089" s="1" t="s">
        <v>3298</v>
      </c>
      <c r="BN1089" s="1" t="s">
        <v>217</v>
      </c>
      <c r="BO1089" s="1" t="s">
        <v>218</v>
      </c>
      <c r="BP1089" s="1" t="s">
        <v>239</v>
      </c>
      <c r="BQ1089" s="1" t="s">
        <v>220</v>
      </c>
      <c r="BT1089" s="1">
        <v>1</v>
      </c>
    </row>
    <row r="1090" spans="1:72">
      <c r="A1090" s="1" t="s">
        <v>4348</v>
      </c>
      <c r="B1090" s="1" t="s">
        <v>213</v>
      </c>
      <c r="C1090" s="1">
        <v>1</v>
      </c>
      <c r="D1090" s="1" t="s">
        <v>4349</v>
      </c>
      <c r="E1090" s="1">
        <v>1412</v>
      </c>
      <c r="F1090" s="1" t="s">
        <v>4348</v>
      </c>
      <c r="G1090" s="1">
        <v>1</v>
      </c>
      <c r="K1090" s="1">
        <v>6000</v>
      </c>
      <c r="M1090" s="1">
        <v>600</v>
      </c>
      <c r="O1090" s="1">
        <v>1200</v>
      </c>
      <c r="Q1090" s="1">
        <v>60</v>
      </c>
      <c r="Y1090" s="1">
        <v>0.05</v>
      </c>
      <c r="Z1090" s="1">
        <v>1.2</v>
      </c>
      <c r="AA1090" s="1">
        <v>2</v>
      </c>
      <c r="AB1090" s="1">
        <v>1.6</v>
      </c>
      <c r="AG1090" s="1">
        <v>0</v>
      </c>
      <c r="AH1090" s="1">
        <v>1</v>
      </c>
      <c r="AI1090" s="1" t="s">
        <v>4350</v>
      </c>
      <c r="AJ1090" s="1" t="s">
        <v>3521</v>
      </c>
      <c r="AK1090" s="1" t="s">
        <v>238</v>
      </c>
      <c r="AM1090" s="1">
        <v>1</v>
      </c>
      <c r="AV1090" s="1">
        <v>1</v>
      </c>
      <c r="AX1090" s="1">
        <v>0.1</v>
      </c>
      <c r="BE1090" s="1" t="s">
        <v>4348</v>
      </c>
      <c r="BK1090" s="1" t="s">
        <v>1496</v>
      </c>
      <c r="BN1090" s="1" t="s">
        <v>3766</v>
      </c>
      <c r="BO1090" s="1" t="s">
        <v>281</v>
      </c>
      <c r="BP1090" s="1" t="s">
        <v>1635</v>
      </c>
      <c r="BQ1090" s="1" t="s">
        <v>3222</v>
      </c>
      <c r="BT1090" s="1">
        <v>1</v>
      </c>
    </row>
    <row r="1091" spans="1:72">
      <c r="A1091" s="1" t="s">
        <v>4351</v>
      </c>
      <c r="B1091" s="1" t="s">
        <v>213</v>
      </c>
      <c r="C1091" s="1">
        <v>1</v>
      </c>
      <c r="D1091" s="1" t="s">
        <v>4352</v>
      </c>
      <c r="E1091" s="1">
        <v>1412</v>
      </c>
      <c r="F1091" s="1" t="s">
        <v>4351</v>
      </c>
      <c r="G1091" s="1">
        <v>1</v>
      </c>
      <c r="K1091" s="1">
        <v>7200</v>
      </c>
      <c r="M1091" s="1">
        <v>660</v>
      </c>
      <c r="O1091" s="1">
        <v>1400</v>
      </c>
      <c r="Q1091" s="1">
        <v>60</v>
      </c>
      <c r="Y1091" s="1">
        <v>0.05</v>
      </c>
      <c r="Z1091" s="1">
        <v>1.2</v>
      </c>
      <c r="AA1091" s="1">
        <v>2</v>
      </c>
      <c r="AB1091" s="1">
        <v>1.6</v>
      </c>
      <c r="AG1091" s="1">
        <v>0</v>
      </c>
      <c r="AH1091" s="1">
        <v>1</v>
      </c>
      <c r="AI1091" s="1" t="s">
        <v>4353</v>
      </c>
      <c r="AJ1091" s="1" t="s">
        <v>3521</v>
      </c>
      <c r="AK1091" s="1" t="s">
        <v>238</v>
      </c>
      <c r="AM1091" s="1">
        <v>1</v>
      </c>
      <c r="AV1091" s="1">
        <v>1</v>
      </c>
      <c r="AX1091" s="1">
        <v>0.1</v>
      </c>
      <c r="BE1091" s="1" t="s">
        <v>4351</v>
      </c>
      <c r="BK1091" s="1" t="s">
        <v>1496</v>
      </c>
      <c r="BN1091" s="1" t="s">
        <v>3766</v>
      </c>
      <c r="BO1091" s="1" t="s">
        <v>281</v>
      </c>
      <c r="BP1091" s="1" t="s">
        <v>1635</v>
      </c>
      <c r="BQ1091" s="1" t="s">
        <v>3222</v>
      </c>
      <c r="BT1091" s="1">
        <v>1</v>
      </c>
    </row>
    <row r="1092" spans="1:72">
      <c r="A1092" s="1" t="s">
        <v>4354</v>
      </c>
      <c r="B1092" s="1" t="s">
        <v>213</v>
      </c>
      <c r="C1092" s="1">
        <v>1</v>
      </c>
      <c r="D1092" s="1" t="s">
        <v>4355</v>
      </c>
      <c r="E1092" s="1">
        <v>1413</v>
      </c>
      <c r="F1092" s="1" t="s">
        <v>4354</v>
      </c>
      <c r="G1092" s="1">
        <v>1</v>
      </c>
      <c r="K1092" s="1">
        <v>9000</v>
      </c>
      <c r="M1092" s="1">
        <v>400</v>
      </c>
      <c r="O1092" s="1">
        <v>200</v>
      </c>
      <c r="Q1092" s="1">
        <v>60</v>
      </c>
      <c r="Y1092" s="1">
        <v>0.05</v>
      </c>
      <c r="Z1092" s="1">
        <v>4</v>
      </c>
      <c r="AA1092" s="1">
        <v>3</v>
      </c>
      <c r="AB1092" s="1">
        <v>0.25</v>
      </c>
      <c r="AG1092" s="1">
        <v>0</v>
      </c>
      <c r="AH1092" s="1">
        <v>1</v>
      </c>
      <c r="AI1092" s="1" t="s">
        <v>4356</v>
      </c>
      <c r="AJ1092" s="1" t="s">
        <v>3521</v>
      </c>
      <c r="AK1092" s="1" t="s">
        <v>238</v>
      </c>
      <c r="AM1092" s="1">
        <v>1</v>
      </c>
      <c r="AV1092" s="1">
        <v>1</v>
      </c>
      <c r="AX1092" s="1">
        <v>0.1</v>
      </c>
      <c r="BE1092" s="1" t="s">
        <v>4354</v>
      </c>
      <c r="BK1092" s="1" t="s">
        <v>1086</v>
      </c>
      <c r="BN1092" s="1" t="s">
        <v>217</v>
      </c>
      <c r="BO1092" s="1" t="s">
        <v>218</v>
      </c>
      <c r="BP1092" s="1" t="s">
        <v>239</v>
      </c>
      <c r="BQ1092" s="1" t="s">
        <v>220</v>
      </c>
      <c r="BT1092" s="1">
        <v>1</v>
      </c>
    </row>
    <row r="1093" spans="1:72">
      <c r="A1093" s="1" t="s">
        <v>4357</v>
      </c>
      <c r="B1093" s="1" t="s">
        <v>213</v>
      </c>
      <c r="C1093" s="1">
        <v>1</v>
      </c>
      <c r="D1093" s="1" t="s">
        <v>4358</v>
      </c>
      <c r="E1093" s="1">
        <v>1413</v>
      </c>
      <c r="F1093" s="1" t="s">
        <v>4357</v>
      </c>
      <c r="G1093" s="1">
        <v>1</v>
      </c>
      <c r="K1093" s="1">
        <v>10000</v>
      </c>
      <c r="M1093" s="1">
        <v>500</v>
      </c>
      <c r="O1093" s="1">
        <v>240</v>
      </c>
      <c r="Q1093" s="1">
        <v>60</v>
      </c>
      <c r="Y1093" s="1">
        <v>0.05</v>
      </c>
      <c r="Z1093" s="1">
        <v>4</v>
      </c>
      <c r="AA1093" s="1">
        <v>3</v>
      </c>
      <c r="AB1093" s="1">
        <v>0.25</v>
      </c>
      <c r="AG1093" s="1">
        <v>0</v>
      </c>
      <c r="AH1093" s="1">
        <v>1</v>
      </c>
      <c r="AI1093" s="1" t="s">
        <v>4359</v>
      </c>
      <c r="AJ1093" s="1" t="s">
        <v>3521</v>
      </c>
      <c r="AK1093" s="1" t="s">
        <v>238</v>
      </c>
      <c r="AM1093" s="1">
        <v>1</v>
      </c>
      <c r="AV1093" s="1">
        <v>1</v>
      </c>
      <c r="AX1093" s="1">
        <v>0.1</v>
      </c>
      <c r="BE1093" s="1" t="s">
        <v>4357</v>
      </c>
      <c r="BK1093" s="1" t="s">
        <v>1086</v>
      </c>
      <c r="BN1093" s="1" t="s">
        <v>217</v>
      </c>
      <c r="BO1093" s="1" t="s">
        <v>218</v>
      </c>
      <c r="BP1093" s="1" t="s">
        <v>239</v>
      </c>
      <c r="BQ1093" s="1" t="s">
        <v>220</v>
      </c>
      <c r="BT1093" s="1">
        <v>1</v>
      </c>
    </row>
    <row r="1094" spans="1:72">
      <c r="A1094" s="1" t="s">
        <v>4360</v>
      </c>
      <c r="B1094" s="1" t="s">
        <v>213</v>
      </c>
      <c r="C1094" s="1">
        <v>1</v>
      </c>
      <c r="D1094" s="1" t="s">
        <v>4361</v>
      </c>
      <c r="E1094" s="1">
        <v>1414</v>
      </c>
      <c r="F1094" s="1" t="s">
        <v>4360</v>
      </c>
      <c r="G1094" s="1">
        <v>1</v>
      </c>
      <c r="K1094" s="1">
        <v>10000</v>
      </c>
      <c r="M1094" s="1">
        <v>600</v>
      </c>
      <c r="O1094" s="1">
        <v>2600</v>
      </c>
      <c r="Q1094" s="1">
        <v>80</v>
      </c>
      <c r="Y1094" s="1">
        <v>0.05</v>
      </c>
      <c r="Z1094" s="1">
        <v>6</v>
      </c>
      <c r="AA1094" s="1">
        <v>5</v>
      </c>
      <c r="AB1094" s="1">
        <v>0.8</v>
      </c>
      <c r="AG1094" s="1">
        <v>0</v>
      </c>
      <c r="AH1094" s="1">
        <v>1</v>
      </c>
      <c r="AI1094" s="1" t="s">
        <v>4362</v>
      </c>
      <c r="AJ1094" s="1" t="s">
        <v>3521</v>
      </c>
      <c r="AK1094" s="1" t="s">
        <v>238</v>
      </c>
      <c r="AM1094" s="1">
        <v>1</v>
      </c>
      <c r="AV1094" s="1">
        <v>1</v>
      </c>
      <c r="AX1094" s="1">
        <v>0.1</v>
      </c>
      <c r="BE1094" s="1" t="s">
        <v>4360</v>
      </c>
      <c r="BK1094" s="1" t="s">
        <v>1096</v>
      </c>
      <c r="BN1094" s="1" t="s">
        <v>217</v>
      </c>
      <c r="BO1094" s="1" t="s">
        <v>218</v>
      </c>
      <c r="BP1094" s="1" t="s">
        <v>239</v>
      </c>
      <c r="BQ1094" s="1" t="s">
        <v>220</v>
      </c>
      <c r="BT1094" s="1">
        <v>1</v>
      </c>
    </row>
    <row r="1095" spans="1:72">
      <c r="A1095" s="1" t="s">
        <v>4363</v>
      </c>
      <c r="B1095" s="1" t="s">
        <v>213</v>
      </c>
      <c r="C1095" s="1">
        <v>1</v>
      </c>
      <c r="D1095" s="1" t="s">
        <v>4364</v>
      </c>
      <c r="E1095" s="1">
        <v>1414</v>
      </c>
      <c r="F1095" s="1" t="s">
        <v>4363</v>
      </c>
      <c r="G1095" s="1">
        <v>1</v>
      </c>
      <c r="K1095" s="1">
        <v>12000</v>
      </c>
      <c r="M1095" s="1">
        <v>700</v>
      </c>
      <c r="O1095" s="1">
        <v>3200</v>
      </c>
      <c r="Q1095" s="1">
        <v>80</v>
      </c>
      <c r="Y1095" s="1">
        <v>0.05</v>
      </c>
      <c r="Z1095" s="1">
        <v>6</v>
      </c>
      <c r="AA1095" s="1">
        <v>5</v>
      </c>
      <c r="AB1095" s="1">
        <v>0.8</v>
      </c>
      <c r="AG1095" s="1">
        <v>0</v>
      </c>
      <c r="AH1095" s="1">
        <v>1</v>
      </c>
      <c r="AI1095" s="1" t="s">
        <v>4365</v>
      </c>
      <c r="AJ1095" s="1" t="s">
        <v>3521</v>
      </c>
      <c r="AK1095" s="1" t="s">
        <v>238</v>
      </c>
      <c r="AM1095" s="1">
        <v>1</v>
      </c>
      <c r="AV1095" s="1">
        <v>1</v>
      </c>
      <c r="AX1095" s="1">
        <v>0.1</v>
      </c>
      <c r="BE1095" s="1" t="s">
        <v>4363</v>
      </c>
      <c r="BK1095" s="1" t="s">
        <v>1096</v>
      </c>
      <c r="BN1095" s="1" t="s">
        <v>217</v>
      </c>
      <c r="BO1095" s="1" t="s">
        <v>218</v>
      </c>
      <c r="BP1095" s="1" t="s">
        <v>239</v>
      </c>
      <c r="BQ1095" s="1" t="s">
        <v>220</v>
      </c>
      <c r="BT1095" s="1">
        <v>1</v>
      </c>
    </row>
    <row r="1096" spans="1:72">
      <c r="A1096" s="1" t="s">
        <v>4366</v>
      </c>
      <c r="B1096" s="1" t="s">
        <v>213</v>
      </c>
      <c r="C1096" s="1">
        <v>1</v>
      </c>
      <c r="D1096" s="1" t="s">
        <v>4367</v>
      </c>
      <c r="E1096" s="1">
        <v>1415</v>
      </c>
      <c r="F1096" s="1" t="s">
        <v>4366</v>
      </c>
      <c r="G1096" s="1">
        <v>1</v>
      </c>
      <c r="K1096" s="1">
        <v>65000</v>
      </c>
      <c r="M1096" s="1">
        <v>1800</v>
      </c>
      <c r="O1096" s="1">
        <v>50</v>
      </c>
      <c r="Q1096" s="1">
        <v>50</v>
      </c>
      <c r="Y1096" s="1">
        <v>0.05</v>
      </c>
      <c r="Z1096" s="1">
        <v>5</v>
      </c>
      <c r="AA1096" s="1">
        <v>5</v>
      </c>
      <c r="AB1096" s="1">
        <v>0.6</v>
      </c>
      <c r="AG1096" s="1">
        <v>0</v>
      </c>
      <c r="AH1096" s="1">
        <v>1</v>
      </c>
      <c r="AI1096" s="1" t="s">
        <v>4368</v>
      </c>
      <c r="AJ1096" s="1" t="s">
        <v>3401</v>
      </c>
      <c r="AK1096" s="1" t="s">
        <v>238</v>
      </c>
      <c r="AM1096" s="1">
        <v>5</v>
      </c>
      <c r="AV1096" s="1">
        <v>1</v>
      </c>
      <c r="AX1096" s="1">
        <v>0.1</v>
      </c>
      <c r="BE1096" s="1" t="s">
        <v>4366</v>
      </c>
      <c r="BK1096" s="1" t="s">
        <v>1086</v>
      </c>
      <c r="BN1096" s="1" t="s">
        <v>217</v>
      </c>
      <c r="BO1096" s="1" t="s">
        <v>218</v>
      </c>
      <c r="BP1096" s="1" t="s">
        <v>239</v>
      </c>
      <c r="BQ1096" s="1" t="s">
        <v>220</v>
      </c>
      <c r="BT1096" s="1">
        <v>1</v>
      </c>
    </row>
    <row r="1097" spans="1:72">
      <c r="A1097" s="1" t="s">
        <v>4369</v>
      </c>
      <c r="B1097" s="1" t="s">
        <v>213</v>
      </c>
      <c r="C1097" s="1">
        <v>1</v>
      </c>
      <c r="D1097" s="1" t="s">
        <v>4370</v>
      </c>
      <c r="E1097" s="1">
        <v>1415</v>
      </c>
      <c r="F1097" s="1" t="s">
        <v>4369</v>
      </c>
      <c r="G1097" s="1">
        <v>1</v>
      </c>
      <c r="K1097" s="1">
        <v>75000</v>
      </c>
      <c r="M1097" s="1">
        <v>2200</v>
      </c>
      <c r="O1097" s="1">
        <v>50</v>
      </c>
      <c r="Q1097" s="1">
        <v>50</v>
      </c>
      <c r="Y1097" s="1">
        <v>0.05</v>
      </c>
      <c r="Z1097" s="1">
        <v>5</v>
      </c>
      <c r="AA1097" s="1">
        <v>5</v>
      </c>
      <c r="AB1097" s="1">
        <v>0.6</v>
      </c>
      <c r="AG1097" s="1">
        <v>0</v>
      </c>
      <c r="AH1097" s="1">
        <v>1</v>
      </c>
      <c r="AI1097" s="1" t="s">
        <v>4371</v>
      </c>
      <c r="AJ1097" s="1" t="s">
        <v>3401</v>
      </c>
      <c r="AK1097" s="1" t="s">
        <v>238</v>
      </c>
      <c r="AM1097" s="1">
        <v>5</v>
      </c>
      <c r="AV1097" s="1">
        <v>1</v>
      </c>
      <c r="AX1097" s="1">
        <v>0.1</v>
      </c>
      <c r="BE1097" s="1" t="s">
        <v>4369</v>
      </c>
      <c r="BK1097" s="1" t="s">
        <v>1086</v>
      </c>
      <c r="BN1097" s="1" t="s">
        <v>217</v>
      </c>
      <c r="BO1097" s="1" t="s">
        <v>218</v>
      </c>
      <c r="BP1097" s="1" t="s">
        <v>239</v>
      </c>
      <c r="BQ1097" s="1" t="s">
        <v>220</v>
      </c>
      <c r="BT1097" s="1">
        <v>1</v>
      </c>
    </row>
    <row r="1098" spans="1:72">
      <c r="A1098" s="1" t="s">
        <v>4372</v>
      </c>
      <c r="B1098" s="1" t="s">
        <v>213</v>
      </c>
      <c r="C1098" s="1">
        <v>1</v>
      </c>
      <c r="D1098" s="1" t="s">
        <v>4373</v>
      </c>
      <c r="E1098" s="1">
        <v>1416</v>
      </c>
      <c r="F1098" s="1" t="s">
        <v>4372</v>
      </c>
      <c r="G1098" s="1">
        <v>1</v>
      </c>
      <c r="K1098" s="1">
        <v>13000</v>
      </c>
      <c r="M1098" s="1">
        <v>700</v>
      </c>
      <c r="O1098" s="1">
        <v>700</v>
      </c>
      <c r="Q1098" s="1">
        <v>20</v>
      </c>
      <c r="Y1098" s="1">
        <v>0.05</v>
      </c>
      <c r="Z1098" s="1">
        <v>4</v>
      </c>
      <c r="AA1098" s="1">
        <v>3</v>
      </c>
      <c r="AB1098" s="1">
        <v>0.8</v>
      </c>
      <c r="AG1098" s="1">
        <v>0</v>
      </c>
      <c r="AH1098" s="1">
        <v>1</v>
      </c>
      <c r="AI1098" s="1" t="s">
        <v>4374</v>
      </c>
      <c r="AJ1098" s="1" t="s">
        <v>275</v>
      </c>
      <c r="AK1098" s="1" t="s">
        <v>238</v>
      </c>
      <c r="AM1098" s="1">
        <v>1</v>
      </c>
      <c r="AV1098" s="1">
        <v>1</v>
      </c>
      <c r="AX1098" s="1">
        <v>0.1</v>
      </c>
      <c r="BE1098" s="1" t="s">
        <v>4372</v>
      </c>
      <c r="BK1098" s="1" t="s">
        <v>1086</v>
      </c>
      <c r="BN1098" s="1" t="s">
        <v>217</v>
      </c>
      <c r="BO1098" s="1" t="s">
        <v>218</v>
      </c>
      <c r="BP1098" s="1" t="s">
        <v>239</v>
      </c>
      <c r="BQ1098" s="1" t="s">
        <v>220</v>
      </c>
      <c r="BT1098" s="1">
        <v>1</v>
      </c>
    </row>
    <row r="1099" spans="1:72">
      <c r="A1099" s="1" t="s">
        <v>4375</v>
      </c>
      <c r="B1099" s="1" t="s">
        <v>213</v>
      </c>
      <c r="C1099" s="1">
        <v>1</v>
      </c>
      <c r="D1099" s="1" t="s">
        <v>4376</v>
      </c>
      <c r="E1099" s="1">
        <v>1416</v>
      </c>
      <c r="F1099" s="1" t="s">
        <v>4375</v>
      </c>
      <c r="G1099" s="1">
        <v>1</v>
      </c>
      <c r="K1099" s="1">
        <v>18000</v>
      </c>
      <c r="M1099" s="1">
        <v>820</v>
      </c>
      <c r="O1099" s="1">
        <v>900</v>
      </c>
      <c r="Q1099" s="1">
        <v>20</v>
      </c>
      <c r="Y1099" s="1">
        <v>0.05</v>
      </c>
      <c r="Z1099" s="1">
        <v>4</v>
      </c>
      <c r="AA1099" s="1">
        <v>3</v>
      </c>
      <c r="AB1099" s="1">
        <v>0.8</v>
      </c>
      <c r="AG1099" s="1">
        <v>0</v>
      </c>
      <c r="AH1099" s="1">
        <v>1</v>
      </c>
      <c r="AI1099" s="1" t="s">
        <v>4377</v>
      </c>
      <c r="AJ1099" s="1" t="s">
        <v>275</v>
      </c>
      <c r="AK1099" s="1" t="s">
        <v>238</v>
      </c>
      <c r="AM1099" s="1">
        <v>1</v>
      </c>
      <c r="AV1099" s="1">
        <v>1</v>
      </c>
      <c r="AX1099" s="1">
        <v>0.1</v>
      </c>
      <c r="BE1099" s="1" t="s">
        <v>4375</v>
      </c>
      <c r="BK1099" s="1" t="s">
        <v>1086</v>
      </c>
      <c r="BN1099" s="1" t="s">
        <v>217</v>
      </c>
      <c r="BO1099" s="1" t="s">
        <v>218</v>
      </c>
      <c r="BP1099" s="1" t="s">
        <v>239</v>
      </c>
      <c r="BQ1099" s="1" t="s">
        <v>220</v>
      </c>
      <c r="BT1099" s="1">
        <v>1</v>
      </c>
    </row>
    <row r="1100" spans="1:72">
      <c r="A1100" s="1" t="s">
        <v>4378</v>
      </c>
      <c r="B1100" s="1" t="s">
        <v>213</v>
      </c>
      <c r="C1100" s="1">
        <v>1</v>
      </c>
      <c r="D1100" s="1" t="s">
        <v>4379</v>
      </c>
      <c r="E1100" s="1">
        <v>1417</v>
      </c>
      <c r="F1100" s="1" t="s">
        <v>4378</v>
      </c>
      <c r="G1100" s="1">
        <v>1</v>
      </c>
      <c r="K1100" s="1">
        <v>12000</v>
      </c>
      <c r="M1100" s="1">
        <v>600</v>
      </c>
      <c r="O1100" s="1">
        <v>300</v>
      </c>
      <c r="Q1100" s="1">
        <v>60</v>
      </c>
      <c r="Y1100" s="1">
        <v>0.05</v>
      </c>
      <c r="Z1100" s="1">
        <v>5</v>
      </c>
      <c r="AA1100" s="1">
        <v>4</v>
      </c>
      <c r="AB1100" s="1">
        <v>0.8</v>
      </c>
      <c r="AG1100" s="1">
        <v>0</v>
      </c>
      <c r="AH1100" s="1">
        <v>1</v>
      </c>
      <c r="AI1100" s="1" t="s">
        <v>4380</v>
      </c>
      <c r="AJ1100" s="1" t="s">
        <v>4185</v>
      </c>
      <c r="AK1100" s="1" t="s">
        <v>238</v>
      </c>
      <c r="AM1100" s="1">
        <v>1</v>
      </c>
      <c r="AV1100" s="1">
        <v>1</v>
      </c>
      <c r="AX1100" s="1">
        <v>0.1</v>
      </c>
      <c r="BE1100" s="1" t="s">
        <v>4378</v>
      </c>
      <c r="BK1100" s="1" t="s">
        <v>1096</v>
      </c>
      <c r="BN1100" s="1" t="s">
        <v>217</v>
      </c>
      <c r="BO1100" s="1" t="s">
        <v>218</v>
      </c>
      <c r="BP1100" s="1" t="s">
        <v>239</v>
      </c>
      <c r="BQ1100" s="1" t="s">
        <v>220</v>
      </c>
      <c r="BT1100" s="1">
        <v>1</v>
      </c>
    </row>
    <row r="1101" spans="1:72">
      <c r="A1101" s="1" t="s">
        <v>4381</v>
      </c>
      <c r="B1101" s="1" t="s">
        <v>213</v>
      </c>
      <c r="C1101" s="1">
        <v>1</v>
      </c>
      <c r="D1101" s="1" t="s">
        <v>4382</v>
      </c>
      <c r="E1101" s="1">
        <v>1417</v>
      </c>
      <c r="F1101" s="1" t="s">
        <v>4381</v>
      </c>
      <c r="G1101" s="1">
        <v>1</v>
      </c>
      <c r="K1101" s="1">
        <v>15000</v>
      </c>
      <c r="M1101" s="1">
        <v>800</v>
      </c>
      <c r="O1101" s="1">
        <v>360</v>
      </c>
      <c r="Q1101" s="1">
        <v>70</v>
      </c>
      <c r="Y1101" s="1">
        <v>0.05</v>
      </c>
      <c r="Z1101" s="1">
        <v>5</v>
      </c>
      <c r="AA1101" s="1">
        <v>4</v>
      </c>
      <c r="AB1101" s="1">
        <v>0.8</v>
      </c>
      <c r="AG1101" s="1">
        <v>0</v>
      </c>
      <c r="AH1101" s="1">
        <v>1</v>
      </c>
      <c r="AI1101" s="1" t="s">
        <v>4383</v>
      </c>
      <c r="AJ1101" s="1" t="s">
        <v>4185</v>
      </c>
      <c r="AK1101" s="1" t="s">
        <v>238</v>
      </c>
      <c r="AM1101" s="1">
        <v>1</v>
      </c>
      <c r="AV1101" s="1">
        <v>1</v>
      </c>
      <c r="AX1101" s="1">
        <v>0.1</v>
      </c>
      <c r="BE1101" s="1" t="s">
        <v>4381</v>
      </c>
      <c r="BK1101" s="1" t="s">
        <v>1096</v>
      </c>
      <c r="BN1101" s="1" t="s">
        <v>217</v>
      </c>
      <c r="BO1101" s="1" t="s">
        <v>218</v>
      </c>
      <c r="BP1101" s="1" t="s">
        <v>239</v>
      </c>
      <c r="BQ1101" s="1" t="s">
        <v>220</v>
      </c>
      <c r="BT1101" s="1">
        <v>1</v>
      </c>
    </row>
    <row r="1102" spans="1:72">
      <c r="A1102" s="1" t="s">
        <v>4384</v>
      </c>
      <c r="B1102" s="1" t="s">
        <v>213</v>
      </c>
      <c r="C1102" s="1">
        <v>1</v>
      </c>
      <c r="D1102" s="1" t="s">
        <v>4385</v>
      </c>
      <c r="E1102" s="1">
        <v>1418</v>
      </c>
      <c r="F1102" s="1" t="s">
        <v>4384</v>
      </c>
      <c r="G1102" s="1">
        <v>1</v>
      </c>
      <c r="K1102" s="1">
        <v>5000</v>
      </c>
      <c r="M1102" s="1">
        <v>150</v>
      </c>
      <c r="O1102" s="1">
        <v>200</v>
      </c>
      <c r="Q1102" s="1">
        <v>60</v>
      </c>
      <c r="Y1102" s="1">
        <v>0.05</v>
      </c>
      <c r="Z1102" s="1">
        <v>3.5</v>
      </c>
      <c r="AA1102" s="1">
        <v>5</v>
      </c>
      <c r="AB1102" s="1">
        <v>0.6</v>
      </c>
      <c r="AG1102" s="1">
        <v>0</v>
      </c>
      <c r="AH1102" s="1">
        <v>1</v>
      </c>
      <c r="AI1102" s="1" t="s">
        <v>4386</v>
      </c>
      <c r="AJ1102" s="1" t="s">
        <v>3394</v>
      </c>
      <c r="AK1102" s="1" t="s">
        <v>238</v>
      </c>
      <c r="AM1102" s="1">
        <v>1</v>
      </c>
      <c r="AV1102" s="1">
        <v>1</v>
      </c>
      <c r="AX1102" s="1">
        <v>0.1</v>
      </c>
      <c r="BE1102" s="1" t="s">
        <v>4384</v>
      </c>
      <c r="BK1102" s="1" t="s">
        <v>3298</v>
      </c>
      <c r="BN1102" s="1" t="s">
        <v>4387</v>
      </c>
      <c r="BO1102" s="1" t="s">
        <v>4388</v>
      </c>
      <c r="BP1102" s="1" t="s">
        <v>4389</v>
      </c>
      <c r="BQ1102" s="1" t="s">
        <v>4390</v>
      </c>
      <c r="BT1102" s="1">
        <v>1</v>
      </c>
    </row>
    <row r="1103" spans="1:72">
      <c r="A1103" s="1" t="s">
        <v>4391</v>
      </c>
      <c r="B1103" s="1" t="s">
        <v>213</v>
      </c>
      <c r="C1103" s="1">
        <v>1</v>
      </c>
      <c r="D1103" s="1" t="s">
        <v>4392</v>
      </c>
      <c r="E1103" s="1">
        <v>1418</v>
      </c>
      <c r="F1103" s="1" t="s">
        <v>4391</v>
      </c>
      <c r="G1103" s="1">
        <v>2</v>
      </c>
      <c r="K1103" s="1">
        <v>6000</v>
      </c>
      <c r="M1103" s="1">
        <v>180</v>
      </c>
      <c r="O1103" s="1">
        <v>240</v>
      </c>
      <c r="Q1103" s="1">
        <v>60</v>
      </c>
      <c r="Y1103" s="1">
        <v>0.05</v>
      </c>
      <c r="Z1103" s="1">
        <v>3.5</v>
      </c>
      <c r="AA1103" s="1">
        <v>5</v>
      </c>
      <c r="AB1103" s="1">
        <v>0.6</v>
      </c>
      <c r="AG1103" s="1">
        <v>0</v>
      </c>
      <c r="AH1103" s="1">
        <v>1</v>
      </c>
      <c r="AI1103" s="1" t="s">
        <v>4393</v>
      </c>
      <c r="AJ1103" s="1" t="s">
        <v>3394</v>
      </c>
      <c r="AK1103" s="1" t="s">
        <v>238</v>
      </c>
      <c r="AM1103" s="1">
        <v>1</v>
      </c>
      <c r="AV1103" s="1">
        <v>1</v>
      </c>
      <c r="AX1103" s="1">
        <v>0.1</v>
      </c>
      <c r="BE1103" s="1" t="s">
        <v>4391</v>
      </c>
      <c r="BK1103" s="1" t="s">
        <v>3298</v>
      </c>
      <c r="BN1103" s="1" t="s">
        <v>4387</v>
      </c>
      <c r="BO1103" s="1" t="s">
        <v>4388</v>
      </c>
      <c r="BP1103" s="1" t="s">
        <v>4389</v>
      </c>
      <c r="BQ1103" s="1" t="s">
        <v>4390</v>
      </c>
      <c r="BT1103" s="1">
        <v>1</v>
      </c>
    </row>
    <row r="1104" spans="1:72">
      <c r="A1104" s="1" t="s">
        <v>4394</v>
      </c>
      <c r="B1104" s="1" t="s">
        <v>213</v>
      </c>
      <c r="C1104" s="1">
        <v>1</v>
      </c>
      <c r="D1104" s="1" t="s">
        <v>4395</v>
      </c>
      <c r="E1104" s="1">
        <v>1419</v>
      </c>
      <c r="F1104" s="1" t="s">
        <v>4394</v>
      </c>
      <c r="G1104" s="1">
        <v>1</v>
      </c>
      <c r="K1104" s="1">
        <v>24000</v>
      </c>
      <c r="M1104" s="1">
        <v>1500</v>
      </c>
      <c r="O1104" s="1">
        <v>800</v>
      </c>
      <c r="Q1104" s="1">
        <v>60</v>
      </c>
      <c r="Y1104" s="1">
        <v>0.05</v>
      </c>
      <c r="Z1104" s="1">
        <v>3</v>
      </c>
      <c r="AA1104" s="1">
        <v>4</v>
      </c>
      <c r="AB1104" s="1">
        <v>0.8</v>
      </c>
      <c r="AG1104" s="1">
        <v>0</v>
      </c>
      <c r="AH1104" s="1">
        <v>1</v>
      </c>
      <c r="AI1104" s="1" t="s">
        <v>4396</v>
      </c>
      <c r="AJ1104" s="1" t="s">
        <v>3394</v>
      </c>
      <c r="AK1104" s="1" t="s">
        <v>238</v>
      </c>
      <c r="AM1104" s="1">
        <v>1</v>
      </c>
      <c r="AV1104" s="1">
        <v>1</v>
      </c>
      <c r="AX1104" s="1">
        <v>0.1</v>
      </c>
      <c r="BE1104" s="1" t="s">
        <v>4394</v>
      </c>
      <c r="BK1104" s="1" t="s">
        <v>1086</v>
      </c>
      <c r="BN1104" s="1" t="s">
        <v>217</v>
      </c>
      <c r="BO1104" s="1" t="s">
        <v>218</v>
      </c>
      <c r="BP1104" s="1" t="s">
        <v>239</v>
      </c>
      <c r="BQ1104" s="1" t="s">
        <v>220</v>
      </c>
      <c r="BT1104" s="1">
        <v>1</v>
      </c>
    </row>
    <row r="1105" spans="1:72">
      <c r="A1105" s="1" t="s">
        <v>4397</v>
      </c>
      <c r="B1105" s="1" t="s">
        <v>213</v>
      </c>
      <c r="C1105" s="1">
        <v>1</v>
      </c>
      <c r="D1105" s="1" t="s">
        <v>4398</v>
      </c>
      <c r="E1105" s="1">
        <v>1419</v>
      </c>
      <c r="F1105" s="1" t="s">
        <v>4397</v>
      </c>
      <c r="G1105" s="1">
        <v>1</v>
      </c>
      <c r="K1105" s="1">
        <v>30000</v>
      </c>
      <c r="M1105" s="1">
        <v>2000</v>
      </c>
      <c r="O1105" s="1">
        <v>1000</v>
      </c>
      <c r="Q1105" s="1">
        <v>60</v>
      </c>
      <c r="Y1105" s="1">
        <v>0.05</v>
      </c>
      <c r="Z1105" s="1">
        <v>3</v>
      </c>
      <c r="AA1105" s="1">
        <v>4</v>
      </c>
      <c r="AB1105" s="1">
        <v>0.8</v>
      </c>
      <c r="AG1105" s="1">
        <v>0</v>
      </c>
      <c r="AH1105" s="1">
        <v>1</v>
      </c>
      <c r="AI1105" s="1" t="s">
        <v>4399</v>
      </c>
      <c r="AJ1105" s="1" t="s">
        <v>3394</v>
      </c>
      <c r="AK1105" s="1" t="s">
        <v>238</v>
      </c>
      <c r="AM1105" s="1">
        <v>1</v>
      </c>
      <c r="AV1105" s="1">
        <v>1</v>
      </c>
      <c r="AX1105" s="1">
        <v>0.1</v>
      </c>
      <c r="BE1105" s="1" t="s">
        <v>4394</v>
      </c>
      <c r="BK1105" s="1" t="s">
        <v>1086</v>
      </c>
      <c r="BN1105" s="1" t="s">
        <v>217</v>
      </c>
      <c r="BO1105" s="1" t="s">
        <v>218</v>
      </c>
      <c r="BP1105" s="1" t="s">
        <v>239</v>
      </c>
      <c r="BQ1105" s="1" t="s">
        <v>220</v>
      </c>
      <c r="BT1105" s="1">
        <v>1</v>
      </c>
    </row>
    <row r="1106" spans="1:72">
      <c r="A1106" s="1" t="s">
        <v>4400</v>
      </c>
      <c r="B1106" s="1" t="s">
        <v>213</v>
      </c>
      <c r="C1106" s="1">
        <v>1</v>
      </c>
      <c r="D1106" s="1" t="s">
        <v>4401</v>
      </c>
      <c r="E1106" s="1">
        <v>1552</v>
      </c>
      <c r="F1106" s="1" t="s">
        <v>4400</v>
      </c>
      <c r="G1106" s="1">
        <v>1</v>
      </c>
      <c r="K1106" s="1">
        <v>10000</v>
      </c>
      <c r="M1106" s="1">
        <v>0</v>
      </c>
      <c r="O1106" s="1">
        <v>0</v>
      </c>
      <c r="Q1106" s="1">
        <v>0</v>
      </c>
      <c r="Y1106" s="1">
        <v>0.05</v>
      </c>
      <c r="Z1106" s="1">
        <v>5</v>
      </c>
      <c r="AA1106" s="1">
        <v>10</v>
      </c>
      <c r="AB1106" s="1">
        <v>0.2</v>
      </c>
      <c r="AG1106" s="1">
        <v>0</v>
      </c>
      <c r="AH1106" s="1">
        <v>1</v>
      </c>
      <c r="AI1106" s="1" t="s">
        <v>54</v>
      </c>
      <c r="AJ1106" s="1" t="s">
        <v>3394</v>
      </c>
      <c r="AK1106" s="1" t="s">
        <v>238</v>
      </c>
      <c r="AM1106" s="1">
        <v>1</v>
      </c>
      <c r="AV1106" s="1">
        <v>1</v>
      </c>
      <c r="AX1106" s="1">
        <v>0.1</v>
      </c>
      <c r="BA1106" s="1">
        <v>1</v>
      </c>
      <c r="BE1106" s="1" t="s">
        <v>4400</v>
      </c>
      <c r="BN1106" s="1" t="s">
        <v>3354</v>
      </c>
      <c r="BO1106" s="1" t="s">
        <v>1959</v>
      </c>
      <c r="BP1106" s="1" t="s">
        <v>1960</v>
      </c>
      <c r="BQ1106" s="1" t="s">
        <v>4402</v>
      </c>
      <c r="BT1106" s="1">
        <v>1</v>
      </c>
    </row>
    <row r="1107" spans="1:72">
      <c r="A1107" s="1" t="s">
        <v>4403</v>
      </c>
      <c r="B1107" s="1" t="s">
        <v>213</v>
      </c>
      <c r="C1107" s="1">
        <v>1</v>
      </c>
      <c r="D1107" s="1" t="s">
        <v>4404</v>
      </c>
      <c r="E1107" s="1">
        <v>1421</v>
      </c>
      <c r="F1107" s="1" t="s">
        <v>4403</v>
      </c>
      <c r="G1107" s="1">
        <v>1</v>
      </c>
      <c r="K1107" s="1">
        <v>25000</v>
      </c>
      <c r="M1107" s="1">
        <v>0</v>
      </c>
      <c r="O1107" s="1">
        <v>300</v>
      </c>
      <c r="Q1107" s="1">
        <v>20</v>
      </c>
      <c r="Y1107" s="1">
        <v>0.05</v>
      </c>
      <c r="Z1107" s="1">
        <v>1</v>
      </c>
      <c r="AA1107" s="1">
        <v>2</v>
      </c>
      <c r="AB1107" s="1">
        <v>0</v>
      </c>
      <c r="AG1107" s="1">
        <v>0</v>
      </c>
      <c r="AH1107" s="1">
        <v>1</v>
      </c>
      <c r="AI1107" s="1" t="s">
        <v>4405</v>
      </c>
      <c r="AJ1107" s="1" t="s">
        <v>3394</v>
      </c>
      <c r="AK1107" s="1" t="s">
        <v>238</v>
      </c>
      <c r="AM1107" s="1">
        <v>1</v>
      </c>
      <c r="AV1107" s="1">
        <v>0</v>
      </c>
      <c r="AX1107" s="1">
        <v>0.1</v>
      </c>
      <c r="BE1107" s="1" t="s">
        <v>4403</v>
      </c>
      <c r="BK1107" s="1" t="s">
        <v>4406</v>
      </c>
      <c r="BN1107" s="1" t="s">
        <v>217</v>
      </c>
      <c r="BO1107" s="1" t="s">
        <v>218</v>
      </c>
      <c r="BP1107" s="1" t="s">
        <v>218</v>
      </c>
      <c r="BQ1107" s="1" t="s">
        <v>218</v>
      </c>
      <c r="BT1107" s="1">
        <v>1</v>
      </c>
    </row>
    <row r="1108" spans="1:72">
      <c r="A1108" s="1" t="s">
        <v>4407</v>
      </c>
      <c r="B1108" s="1" t="s">
        <v>213</v>
      </c>
      <c r="C1108" s="1">
        <v>1</v>
      </c>
      <c r="D1108" s="1" t="s">
        <v>4404</v>
      </c>
      <c r="E1108" s="1">
        <v>1421</v>
      </c>
      <c r="F1108" s="1" t="s">
        <v>4403</v>
      </c>
      <c r="G1108" s="1">
        <v>1</v>
      </c>
      <c r="K1108" s="1">
        <v>25000</v>
      </c>
      <c r="M1108" s="1">
        <v>0</v>
      </c>
      <c r="O1108" s="1">
        <v>300</v>
      </c>
      <c r="Q1108" s="1">
        <v>20</v>
      </c>
      <c r="Y1108" s="1">
        <v>0.05</v>
      </c>
      <c r="Z1108" s="1">
        <v>1</v>
      </c>
      <c r="AA1108" s="1">
        <v>2</v>
      </c>
      <c r="AB1108" s="1">
        <v>0</v>
      </c>
      <c r="AG1108" s="1">
        <v>0</v>
      </c>
      <c r="AH1108" s="1">
        <v>1</v>
      </c>
      <c r="AI1108" s="1" t="s">
        <v>4408</v>
      </c>
      <c r="AJ1108" s="1" t="s">
        <v>3394</v>
      </c>
      <c r="AK1108" s="1" t="s">
        <v>238</v>
      </c>
      <c r="AM1108" s="1">
        <v>1</v>
      </c>
      <c r="AV1108" s="1">
        <v>0</v>
      </c>
      <c r="AX1108" s="1">
        <v>0.1</v>
      </c>
      <c r="BE1108" s="1" t="s">
        <v>4403</v>
      </c>
      <c r="BK1108" s="1" t="s">
        <v>4406</v>
      </c>
      <c r="BN1108" s="1" t="s">
        <v>217</v>
      </c>
      <c r="BO1108" s="1" t="s">
        <v>218</v>
      </c>
      <c r="BP1108" s="1" t="s">
        <v>218</v>
      </c>
      <c r="BQ1108" s="1" t="s">
        <v>218</v>
      </c>
      <c r="BT1108" s="1">
        <v>1</v>
      </c>
    </row>
    <row r="1109" spans="1:72">
      <c r="A1109" s="1" t="s">
        <v>4409</v>
      </c>
      <c r="B1109" s="1" t="s">
        <v>213</v>
      </c>
      <c r="C1109" s="1">
        <v>1</v>
      </c>
      <c r="D1109" s="1" t="s">
        <v>4410</v>
      </c>
      <c r="E1109" s="1">
        <v>1422</v>
      </c>
      <c r="F1109" s="1" t="s">
        <v>4409</v>
      </c>
      <c r="G1109" s="1">
        <v>1</v>
      </c>
      <c r="K1109" s="1">
        <v>4700</v>
      </c>
      <c r="M1109" s="1">
        <v>300</v>
      </c>
      <c r="O1109" s="1">
        <v>100</v>
      </c>
      <c r="Q1109" s="1">
        <v>40</v>
      </c>
      <c r="Y1109" s="1">
        <v>0.05</v>
      </c>
      <c r="Z1109" s="1">
        <v>3</v>
      </c>
      <c r="AA1109" s="1">
        <v>1</v>
      </c>
      <c r="AB1109" s="1">
        <v>0.8</v>
      </c>
      <c r="AG1109" s="1">
        <v>0</v>
      </c>
      <c r="AH1109" s="1">
        <v>1</v>
      </c>
      <c r="AI1109" s="1" t="s">
        <v>4411</v>
      </c>
      <c r="AJ1109" s="1" t="s">
        <v>4412</v>
      </c>
      <c r="AK1109" s="1" t="s">
        <v>238</v>
      </c>
      <c r="AM1109" s="1">
        <v>1</v>
      </c>
      <c r="AV1109" s="1">
        <v>1</v>
      </c>
      <c r="AX1109" s="1">
        <v>0.1</v>
      </c>
      <c r="BE1109" s="1" t="s">
        <v>4409</v>
      </c>
      <c r="BK1109" s="1" t="s">
        <v>1496</v>
      </c>
      <c r="BN1109" s="1" t="s">
        <v>217</v>
      </c>
      <c r="BO1109" s="1" t="s">
        <v>218</v>
      </c>
      <c r="BP1109" s="1" t="s">
        <v>239</v>
      </c>
      <c r="BQ1109" s="1" t="s">
        <v>220</v>
      </c>
      <c r="BT1109" s="1">
        <v>1</v>
      </c>
    </row>
    <row r="1110" spans="1:72">
      <c r="A1110" s="1" t="s">
        <v>4413</v>
      </c>
      <c r="B1110" s="1" t="s">
        <v>213</v>
      </c>
      <c r="C1110" s="1">
        <v>1</v>
      </c>
      <c r="D1110" s="1" t="s">
        <v>4414</v>
      </c>
      <c r="E1110" s="1">
        <v>1422</v>
      </c>
      <c r="F1110" s="1" t="s">
        <v>4413</v>
      </c>
      <c r="G1110" s="1">
        <v>1</v>
      </c>
      <c r="K1110" s="1">
        <v>5500</v>
      </c>
      <c r="M1110" s="1">
        <v>350</v>
      </c>
      <c r="O1110" s="1">
        <v>100</v>
      </c>
      <c r="Q1110" s="1">
        <v>40</v>
      </c>
      <c r="Y1110" s="1">
        <v>0.05</v>
      </c>
      <c r="Z1110" s="1">
        <v>3</v>
      </c>
      <c r="AA1110" s="1">
        <v>1</v>
      </c>
      <c r="AB1110" s="1">
        <v>0.8</v>
      </c>
      <c r="AG1110" s="1">
        <v>0</v>
      </c>
      <c r="AH1110" s="1">
        <v>1</v>
      </c>
      <c r="AI1110" s="1" t="s">
        <v>4415</v>
      </c>
      <c r="AJ1110" s="1" t="s">
        <v>4412</v>
      </c>
      <c r="AK1110" s="1" t="s">
        <v>238</v>
      </c>
      <c r="AM1110" s="1">
        <v>1</v>
      </c>
      <c r="AV1110" s="1">
        <v>1</v>
      </c>
      <c r="AX1110" s="1">
        <v>0.1</v>
      </c>
      <c r="BE1110" s="1" t="s">
        <v>4413</v>
      </c>
      <c r="BK1110" s="1" t="s">
        <v>1496</v>
      </c>
      <c r="BN1110" s="1" t="s">
        <v>217</v>
      </c>
      <c r="BO1110" s="1" t="s">
        <v>218</v>
      </c>
      <c r="BP1110" s="1" t="s">
        <v>239</v>
      </c>
      <c r="BQ1110" s="1" t="s">
        <v>220</v>
      </c>
      <c r="BT1110" s="1">
        <v>1</v>
      </c>
    </row>
    <row r="1111" spans="1:72">
      <c r="A1111" s="1" t="s">
        <v>4416</v>
      </c>
      <c r="B1111" s="1" t="s">
        <v>213</v>
      </c>
      <c r="C1111" s="1">
        <v>1</v>
      </c>
      <c r="D1111" s="1" t="s">
        <v>4417</v>
      </c>
      <c r="E1111" s="1">
        <v>1423</v>
      </c>
      <c r="F1111" s="1" t="s">
        <v>4416</v>
      </c>
      <c r="G1111" s="1">
        <v>1</v>
      </c>
      <c r="K1111" s="1">
        <v>6500</v>
      </c>
      <c r="M1111" s="1">
        <v>650</v>
      </c>
      <c r="O1111" s="1">
        <v>4000</v>
      </c>
      <c r="Q1111" s="1">
        <v>90</v>
      </c>
      <c r="Y1111" s="1">
        <v>0.05</v>
      </c>
      <c r="Z1111" s="1">
        <v>5</v>
      </c>
      <c r="AA1111" s="1">
        <v>4</v>
      </c>
      <c r="AB1111" s="1">
        <v>0.6</v>
      </c>
      <c r="AG1111" s="1">
        <v>0</v>
      </c>
      <c r="AH1111" s="1">
        <v>1</v>
      </c>
      <c r="AI1111" s="1" t="s">
        <v>4418</v>
      </c>
      <c r="AJ1111" s="1" t="s">
        <v>4419</v>
      </c>
      <c r="AK1111" s="1" t="s">
        <v>238</v>
      </c>
      <c r="AM1111" s="1">
        <v>1</v>
      </c>
      <c r="AV1111" s="1">
        <v>1</v>
      </c>
      <c r="AX1111" s="1">
        <v>0.1</v>
      </c>
      <c r="BE1111" s="1" t="s">
        <v>4416</v>
      </c>
      <c r="BK1111" s="1" t="s">
        <v>1496</v>
      </c>
      <c r="BN1111" s="1" t="s">
        <v>217</v>
      </c>
      <c r="BO1111" s="1" t="s">
        <v>218</v>
      </c>
      <c r="BP1111" s="1" t="s">
        <v>239</v>
      </c>
      <c r="BQ1111" s="1" t="s">
        <v>220</v>
      </c>
      <c r="BT1111" s="1">
        <v>1</v>
      </c>
    </row>
    <row r="1112" spans="1:72">
      <c r="A1112" s="1" t="s">
        <v>4420</v>
      </c>
      <c r="B1112" s="1" t="s">
        <v>213</v>
      </c>
      <c r="C1112" s="1">
        <v>1</v>
      </c>
      <c r="D1112" s="1" t="s">
        <v>4421</v>
      </c>
      <c r="E1112" s="1">
        <v>1423</v>
      </c>
      <c r="F1112" s="1" t="s">
        <v>4420</v>
      </c>
      <c r="G1112" s="1">
        <v>1</v>
      </c>
      <c r="K1112" s="1">
        <v>8000</v>
      </c>
      <c r="M1112" s="1">
        <v>700</v>
      </c>
      <c r="O1112" s="1">
        <v>4000</v>
      </c>
      <c r="Q1112" s="1">
        <v>90</v>
      </c>
      <c r="Y1112" s="1">
        <v>0.05</v>
      </c>
      <c r="Z1112" s="1">
        <v>5</v>
      </c>
      <c r="AA1112" s="1">
        <v>4</v>
      </c>
      <c r="AB1112" s="1">
        <v>0.6</v>
      </c>
      <c r="AG1112" s="1">
        <v>0</v>
      </c>
      <c r="AH1112" s="1">
        <v>1</v>
      </c>
      <c r="AI1112" s="1" t="s">
        <v>4422</v>
      </c>
      <c r="AJ1112" s="1" t="s">
        <v>4419</v>
      </c>
      <c r="AK1112" s="1" t="s">
        <v>238</v>
      </c>
      <c r="AM1112" s="1">
        <v>1</v>
      </c>
      <c r="AV1112" s="1">
        <v>1</v>
      </c>
      <c r="AX1112" s="1">
        <v>0.1</v>
      </c>
      <c r="BE1112" s="1" t="s">
        <v>4420</v>
      </c>
      <c r="BK1112" s="1" t="s">
        <v>1496</v>
      </c>
      <c r="BN1112" s="1" t="s">
        <v>217</v>
      </c>
      <c r="BO1112" s="1" t="s">
        <v>218</v>
      </c>
      <c r="BP1112" s="1" t="s">
        <v>239</v>
      </c>
      <c r="BQ1112" s="1" t="s">
        <v>220</v>
      </c>
      <c r="BT1112" s="1">
        <v>1</v>
      </c>
    </row>
    <row r="1113" spans="1:72">
      <c r="A1113" s="1" t="s">
        <v>4423</v>
      </c>
      <c r="B1113" s="1" t="s">
        <v>213</v>
      </c>
      <c r="C1113" s="1">
        <v>1</v>
      </c>
      <c r="D1113" s="1" t="s">
        <v>4424</v>
      </c>
      <c r="E1113" s="1">
        <v>1424</v>
      </c>
      <c r="F1113" s="1" t="s">
        <v>4423</v>
      </c>
      <c r="G1113" s="1">
        <v>1</v>
      </c>
      <c r="K1113" s="1">
        <v>6000</v>
      </c>
      <c r="M1113" s="1">
        <v>300</v>
      </c>
      <c r="O1113" s="1">
        <v>100</v>
      </c>
      <c r="Q1113" s="1">
        <v>10</v>
      </c>
      <c r="Y1113" s="1">
        <v>0.05</v>
      </c>
      <c r="Z1113" s="1">
        <v>4</v>
      </c>
      <c r="AA1113" s="1">
        <v>2</v>
      </c>
      <c r="AB1113" s="1">
        <v>1</v>
      </c>
      <c r="AG1113" s="1">
        <v>0</v>
      </c>
      <c r="AH1113" s="1">
        <v>1</v>
      </c>
      <c r="AI1113" s="1" t="s">
        <v>4425</v>
      </c>
      <c r="AJ1113" s="1" t="s">
        <v>4426</v>
      </c>
      <c r="AK1113" s="1" t="s">
        <v>238</v>
      </c>
      <c r="AM1113" s="1">
        <v>1</v>
      </c>
      <c r="AV1113" s="1">
        <v>1</v>
      </c>
      <c r="AX1113" s="1">
        <v>0.1</v>
      </c>
      <c r="BE1113" s="1" t="s">
        <v>4423</v>
      </c>
      <c r="BK1113" s="1" t="s">
        <v>4427</v>
      </c>
      <c r="BN1113" s="1" t="s">
        <v>217</v>
      </c>
      <c r="BO1113" s="1" t="s">
        <v>218</v>
      </c>
      <c r="BP1113" s="1" t="s">
        <v>239</v>
      </c>
      <c r="BQ1113" s="1" t="s">
        <v>220</v>
      </c>
      <c r="BT1113" s="1">
        <v>1</v>
      </c>
    </row>
    <row r="1114" spans="1:72">
      <c r="A1114" s="1" t="s">
        <v>4428</v>
      </c>
      <c r="B1114" s="1" t="s">
        <v>213</v>
      </c>
      <c r="C1114" s="1">
        <v>1</v>
      </c>
      <c r="D1114" s="1" t="s">
        <v>4429</v>
      </c>
      <c r="E1114" s="1">
        <v>1424</v>
      </c>
      <c r="F1114" s="1" t="s">
        <v>4428</v>
      </c>
      <c r="G1114" s="1">
        <v>1</v>
      </c>
      <c r="K1114" s="1">
        <v>6500</v>
      </c>
      <c r="M1114" s="1">
        <v>400</v>
      </c>
      <c r="O1114" s="1">
        <v>130</v>
      </c>
      <c r="Q1114" s="1">
        <v>10</v>
      </c>
      <c r="Y1114" s="1">
        <v>0.05</v>
      </c>
      <c r="Z1114" s="1">
        <v>4</v>
      </c>
      <c r="AA1114" s="1">
        <v>2</v>
      </c>
      <c r="AB1114" s="1">
        <v>1</v>
      </c>
      <c r="AG1114" s="1">
        <v>0</v>
      </c>
      <c r="AH1114" s="1">
        <v>1</v>
      </c>
      <c r="AI1114" s="1" t="s">
        <v>4430</v>
      </c>
      <c r="AJ1114" s="1" t="s">
        <v>4426</v>
      </c>
      <c r="AK1114" s="1" t="s">
        <v>238</v>
      </c>
      <c r="AM1114" s="1">
        <v>1</v>
      </c>
      <c r="AV1114" s="1">
        <v>1</v>
      </c>
      <c r="AX1114" s="1">
        <v>0.1</v>
      </c>
      <c r="BE1114" s="1" t="s">
        <v>4428</v>
      </c>
      <c r="BK1114" s="1" t="s">
        <v>4427</v>
      </c>
      <c r="BN1114" s="1" t="s">
        <v>217</v>
      </c>
      <c r="BO1114" s="1" t="s">
        <v>218</v>
      </c>
      <c r="BP1114" s="1" t="s">
        <v>239</v>
      </c>
      <c r="BQ1114" s="1" t="s">
        <v>220</v>
      </c>
      <c r="BT1114" s="1">
        <v>1</v>
      </c>
    </row>
    <row r="1115" spans="1:72">
      <c r="A1115" s="1" t="s">
        <v>4431</v>
      </c>
      <c r="B1115" s="1" t="s">
        <v>213</v>
      </c>
      <c r="C1115" s="1">
        <v>1</v>
      </c>
      <c r="D1115" s="1" t="s">
        <v>4432</v>
      </c>
      <c r="E1115" s="1">
        <v>1425</v>
      </c>
      <c r="F1115" s="1" t="s">
        <v>4431</v>
      </c>
      <c r="G1115" s="1">
        <v>1</v>
      </c>
      <c r="K1115" s="1">
        <v>20000</v>
      </c>
      <c r="M1115" s="1">
        <v>800</v>
      </c>
      <c r="O1115" s="1">
        <v>1000</v>
      </c>
      <c r="Q1115" s="1">
        <v>50</v>
      </c>
      <c r="Y1115" s="1">
        <v>0.05</v>
      </c>
      <c r="Z1115" s="1">
        <v>5</v>
      </c>
      <c r="AA1115" s="1">
        <v>4</v>
      </c>
      <c r="AB1115" s="1">
        <v>0.6</v>
      </c>
      <c r="AG1115" s="1">
        <v>0</v>
      </c>
      <c r="AH1115" s="1">
        <v>1</v>
      </c>
      <c r="AI1115" s="1" t="s">
        <v>4433</v>
      </c>
      <c r="AJ1115" s="1" t="s">
        <v>4434</v>
      </c>
      <c r="AK1115" s="1" t="s">
        <v>238</v>
      </c>
      <c r="AM1115" s="1">
        <v>1</v>
      </c>
      <c r="AV1115" s="1">
        <v>1</v>
      </c>
      <c r="AX1115" s="1">
        <v>0.1</v>
      </c>
      <c r="BE1115" s="1" t="s">
        <v>4431</v>
      </c>
      <c r="BK1115" s="1" t="s">
        <v>1086</v>
      </c>
      <c r="BN1115" s="1" t="s">
        <v>3766</v>
      </c>
      <c r="BO1115" s="1" t="s">
        <v>281</v>
      </c>
      <c r="BP1115" s="1" t="s">
        <v>1635</v>
      </c>
      <c r="BQ1115" s="1" t="s">
        <v>3222</v>
      </c>
      <c r="BT1115" s="1">
        <v>1</v>
      </c>
    </row>
    <row r="1116" spans="1:72">
      <c r="A1116" s="1" t="s">
        <v>4435</v>
      </c>
      <c r="B1116" s="1" t="s">
        <v>213</v>
      </c>
      <c r="C1116" s="1">
        <v>1</v>
      </c>
      <c r="D1116" s="1" t="s">
        <v>4436</v>
      </c>
      <c r="E1116" s="1">
        <v>1425</v>
      </c>
      <c r="F1116" s="1" t="s">
        <v>4435</v>
      </c>
      <c r="G1116" s="1">
        <v>1</v>
      </c>
      <c r="K1116" s="1">
        <v>25000</v>
      </c>
      <c r="M1116" s="1">
        <v>1200</v>
      </c>
      <c r="O1116" s="1">
        <v>1200</v>
      </c>
      <c r="Q1116" s="1">
        <v>50</v>
      </c>
      <c r="Y1116" s="1">
        <v>0.05</v>
      </c>
      <c r="Z1116" s="1">
        <v>5</v>
      </c>
      <c r="AA1116" s="1">
        <v>4</v>
      </c>
      <c r="AB1116" s="1">
        <v>0.6</v>
      </c>
      <c r="AG1116" s="1">
        <v>0</v>
      </c>
      <c r="AH1116" s="1">
        <v>1</v>
      </c>
      <c r="AI1116" s="1" t="s">
        <v>4437</v>
      </c>
      <c r="AJ1116" s="1" t="s">
        <v>4434</v>
      </c>
      <c r="AK1116" s="1" t="s">
        <v>238</v>
      </c>
      <c r="AM1116" s="1">
        <v>1</v>
      </c>
      <c r="AV1116" s="1">
        <v>1</v>
      </c>
      <c r="AX1116" s="1">
        <v>0.1</v>
      </c>
      <c r="BE1116" s="1" t="s">
        <v>4435</v>
      </c>
      <c r="BK1116" s="1" t="s">
        <v>1086</v>
      </c>
      <c r="BN1116" s="1" t="s">
        <v>3766</v>
      </c>
      <c r="BO1116" s="1" t="s">
        <v>281</v>
      </c>
      <c r="BP1116" s="1" t="s">
        <v>1635</v>
      </c>
      <c r="BQ1116" s="1" t="s">
        <v>3222</v>
      </c>
      <c r="BT1116" s="1">
        <v>1</v>
      </c>
    </row>
    <row r="1117" spans="1:72">
      <c r="A1117" s="1" t="s">
        <v>4438</v>
      </c>
      <c r="B1117" s="1" t="s">
        <v>213</v>
      </c>
      <c r="C1117" s="1">
        <v>1</v>
      </c>
      <c r="D1117" s="1" t="s">
        <v>4432</v>
      </c>
      <c r="E1117" s="1">
        <v>1425</v>
      </c>
      <c r="F1117" s="1" t="s">
        <v>4431</v>
      </c>
      <c r="G1117" s="1">
        <v>1</v>
      </c>
      <c r="K1117" s="1">
        <v>20000</v>
      </c>
      <c r="M1117" s="1">
        <v>800</v>
      </c>
      <c r="O1117" s="1">
        <v>1000</v>
      </c>
      <c r="Q1117" s="1">
        <v>50</v>
      </c>
      <c r="Y1117" s="1">
        <v>0.05</v>
      </c>
      <c r="Z1117" s="1">
        <v>5</v>
      </c>
      <c r="AA1117" s="1">
        <v>4</v>
      </c>
      <c r="AB1117" s="1">
        <v>0.6</v>
      </c>
      <c r="AG1117" s="1">
        <v>0</v>
      </c>
      <c r="AH1117" s="1">
        <v>1</v>
      </c>
      <c r="AI1117" s="1" t="s">
        <v>4439</v>
      </c>
      <c r="AJ1117" s="1" t="s">
        <v>4434</v>
      </c>
      <c r="AK1117" s="1" t="s">
        <v>238</v>
      </c>
      <c r="AM1117" s="1">
        <v>1</v>
      </c>
      <c r="AV1117" s="1">
        <v>1</v>
      </c>
      <c r="AX1117" s="1">
        <v>0.1</v>
      </c>
      <c r="BE1117" s="1" t="s">
        <v>4431</v>
      </c>
      <c r="BK1117" s="1" t="s">
        <v>1086</v>
      </c>
      <c r="BN1117" s="1" t="s">
        <v>4440</v>
      </c>
      <c r="BO1117" s="1" t="s">
        <v>4441</v>
      </c>
      <c r="BP1117" s="1" t="s">
        <v>4442</v>
      </c>
      <c r="BQ1117" s="1" t="s">
        <v>3209</v>
      </c>
      <c r="BT1117" s="1">
        <v>1</v>
      </c>
    </row>
    <row r="1118" spans="1:72">
      <c r="A1118" s="1" t="s">
        <v>4443</v>
      </c>
      <c r="B1118" s="1" t="s">
        <v>213</v>
      </c>
      <c r="C1118" s="1">
        <v>1</v>
      </c>
      <c r="D1118" s="1" t="s">
        <v>4436</v>
      </c>
      <c r="E1118" s="1">
        <v>1425</v>
      </c>
      <c r="F1118" s="1" t="s">
        <v>4435</v>
      </c>
      <c r="G1118" s="1">
        <v>1</v>
      </c>
      <c r="K1118" s="1">
        <v>25000</v>
      </c>
      <c r="M1118" s="1">
        <v>1200</v>
      </c>
      <c r="O1118" s="1">
        <v>1200</v>
      </c>
      <c r="Q1118" s="1">
        <v>50</v>
      </c>
      <c r="Y1118" s="1">
        <v>0.05</v>
      </c>
      <c r="Z1118" s="1">
        <v>5</v>
      </c>
      <c r="AA1118" s="1">
        <v>4</v>
      </c>
      <c r="AB1118" s="1">
        <v>0.6</v>
      </c>
      <c r="AG1118" s="1">
        <v>0</v>
      </c>
      <c r="AH1118" s="1">
        <v>1</v>
      </c>
      <c r="AI1118" s="1" t="s">
        <v>4444</v>
      </c>
      <c r="AJ1118" s="1" t="s">
        <v>4434</v>
      </c>
      <c r="AK1118" s="1" t="s">
        <v>238</v>
      </c>
      <c r="AM1118" s="1">
        <v>1</v>
      </c>
      <c r="AV1118" s="1">
        <v>1</v>
      </c>
      <c r="AX1118" s="1">
        <v>0.1</v>
      </c>
      <c r="BE1118" s="1" t="s">
        <v>4435</v>
      </c>
      <c r="BK1118" s="1" t="s">
        <v>1086</v>
      </c>
      <c r="BN1118" s="1" t="s">
        <v>4440</v>
      </c>
      <c r="BO1118" s="1" t="s">
        <v>4441</v>
      </c>
      <c r="BP1118" s="1" t="s">
        <v>4442</v>
      </c>
      <c r="BQ1118" s="1" t="s">
        <v>3209</v>
      </c>
      <c r="BT1118" s="1">
        <v>1</v>
      </c>
    </row>
    <row r="1119" spans="1:72">
      <c r="A1119" s="1" t="s">
        <v>4445</v>
      </c>
      <c r="B1119" s="1" t="s">
        <v>213</v>
      </c>
      <c r="C1119" s="1">
        <v>1</v>
      </c>
      <c r="D1119" s="1" t="s">
        <v>4446</v>
      </c>
      <c r="E1119" s="1">
        <v>1426</v>
      </c>
      <c r="F1119" s="1" t="s">
        <v>4445</v>
      </c>
      <c r="G1119" s="1">
        <v>1</v>
      </c>
      <c r="K1119" s="1">
        <v>12000</v>
      </c>
      <c r="M1119" s="1">
        <v>0</v>
      </c>
      <c r="O1119" s="1">
        <v>200</v>
      </c>
      <c r="Q1119" s="1">
        <v>10</v>
      </c>
      <c r="Y1119" s="1">
        <v>0.05</v>
      </c>
      <c r="Z1119" s="1">
        <v>4</v>
      </c>
      <c r="AA1119" s="1">
        <v>3</v>
      </c>
      <c r="AB1119" s="1">
        <v>1.3</v>
      </c>
      <c r="AG1119" s="1">
        <v>0</v>
      </c>
      <c r="AH1119" s="1">
        <v>1</v>
      </c>
      <c r="AI1119" s="1" t="s">
        <v>4447</v>
      </c>
      <c r="AJ1119" s="1" t="s">
        <v>4448</v>
      </c>
      <c r="AK1119" s="1" t="s">
        <v>238</v>
      </c>
      <c r="AM1119" s="1">
        <v>1</v>
      </c>
      <c r="AV1119" s="1">
        <v>1</v>
      </c>
      <c r="AX1119" s="1">
        <v>0.1</v>
      </c>
      <c r="BE1119" s="1" t="s">
        <v>4445</v>
      </c>
      <c r="BK1119" s="1" t="s">
        <v>4449</v>
      </c>
      <c r="BN1119" s="1" t="s">
        <v>4450</v>
      </c>
      <c r="BO1119" s="1" t="s">
        <v>4451</v>
      </c>
      <c r="BP1119" s="1" t="s">
        <v>4452</v>
      </c>
      <c r="BQ1119" s="1" t="s">
        <v>4453</v>
      </c>
      <c r="BT1119" s="1">
        <v>1</v>
      </c>
    </row>
    <row r="1120" spans="1:72">
      <c r="A1120" s="1" t="s">
        <v>4454</v>
      </c>
      <c r="B1120" s="1" t="s">
        <v>213</v>
      </c>
      <c r="C1120" s="1">
        <v>1</v>
      </c>
      <c r="D1120" s="1" t="s">
        <v>4455</v>
      </c>
      <c r="E1120" s="1">
        <v>1426</v>
      </c>
      <c r="F1120" s="1" t="s">
        <v>4454</v>
      </c>
      <c r="G1120" s="1">
        <v>1</v>
      </c>
      <c r="K1120" s="1">
        <v>15000</v>
      </c>
      <c r="M1120" s="1">
        <v>0</v>
      </c>
      <c r="O1120" s="1">
        <v>250</v>
      </c>
      <c r="Q1120" s="1">
        <v>10</v>
      </c>
      <c r="Y1120" s="1">
        <v>0.05</v>
      </c>
      <c r="Z1120" s="1">
        <v>4</v>
      </c>
      <c r="AA1120" s="1">
        <v>3</v>
      </c>
      <c r="AB1120" s="1">
        <v>1.3</v>
      </c>
      <c r="AG1120" s="1">
        <v>0</v>
      </c>
      <c r="AH1120" s="1">
        <v>1</v>
      </c>
      <c r="AI1120" s="1" t="s">
        <v>4456</v>
      </c>
      <c r="AJ1120" s="1" t="s">
        <v>4448</v>
      </c>
      <c r="AK1120" s="1" t="s">
        <v>238</v>
      </c>
      <c r="AM1120" s="1">
        <v>1</v>
      </c>
      <c r="AV1120" s="1">
        <v>1</v>
      </c>
      <c r="AX1120" s="1">
        <v>0.1</v>
      </c>
      <c r="BE1120" s="1" t="s">
        <v>4454</v>
      </c>
      <c r="BK1120" s="1" t="s">
        <v>4449</v>
      </c>
      <c r="BN1120" s="1" t="s">
        <v>4450</v>
      </c>
      <c r="BO1120" s="1" t="s">
        <v>4451</v>
      </c>
      <c r="BP1120" s="1" t="s">
        <v>4452</v>
      </c>
      <c r="BQ1120" s="1" t="s">
        <v>4453</v>
      </c>
      <c r="BT1120" s="1">
        <v>1</v>
      </c>
    </row>
    <row r="1121" spans="1:72">
      <c r="A1121" s="1" t="s">
        <v>4457</v>
      </c>
      <c r="B1121" s="1" t="s">
        <v>213</v>
      </c>
      <c r="C1121" s="1">
        <v>1</v>
      </c>
      <c r="D1121" s="1" t="s">
        <v>4446</v>
      </c>
      <c r="E1121" s="1">
        <v>1426</v>
      </c>
      <c r="F1121" s="1" t="s">
        <v>4445</v>
      </c>
      <c r="G1121" s="1">
        <v>1</v>
      </c>
      <c r="K1121" s="1">
        <v>12000</v>
      </c>
      <c r="M1121" s="1">
        <v>0</v>
      </c>
      <c r="O1121" s="1">
        <v>200</v>
      </c>
      <c r="Q1121" s="1">
        <v>10</v>
      </c>
      <c r="Y1121" s="1">
        <v>0.05</v>
      </c>
      <c r="Z1121" s="1">
        <v>4</v>
      </c>
      <c r="AA1121" s="1">
        <v>3</v>
      </c>
      <c r="AB1121" s="1">
        <v>1.3</v>
      </c>
      <c r="AG1121" s="1">
        <v>0</v>
      </c>
      <c r="AH1121" s="1">
        <v>1</v>
      </c>
      <c r="AI1121" s="1" t="s">
        <v>4458</v>
      </c>
      <c r="AJ1121" s="1" t="s">
        <v>4448</v>
      </c>
      <c r="AK1121" s="1" t="s">
        <v>238</v>
      </c>
      <c r="AM1121" s="1">
        <v>1</v>
      </c>
      <c r="AV1121" s="1">
        <v>1</v>
      </c>
      <c r="AX1121" s="1">
        <v>0.1</v>
      </c>
      <c r="BE1121" s="1" t="s">
        <v>4445</v>
      </c>
      <c r="BK1121" s="1" t="s">
        <v>4449</v>
      </c>
      <c r="BN1121" s="1" t="s">
        <v>217</v>
      </c>
      <c r="BO1121" s="1" t="s">
        <v>218</v>
      </c>
      <c r="BP1121" s="1" t="s">
        <v>239</v>
      </c>
      <c r="BQ1121" s="1" t="s">
        <v>220</v>
      </c>
      <c r="BT1121" s="1">
        <v>1</v>
      </c>
    </row>
    <row r="1122" spans="1:72">
      <c r="A1122" s="1" t="s">
        <v>4459</v>
      </c>
      <c r="B1122" s="1" t="s">
        <v>213</v>
      </c>
      <c r="C1122" s="1">
        <v>1</v>
      </c>
      <c r="D1122" s="1" t="s">
        <v>4455</v>
      </c>
      <c r="E1122" s="1">
        <v>1426</v>
      </c>
      <c r="F1122" s="1" t="s">
        <v>4454</v>
      </c>
      <c r="G1122" s="1">
        <v>1</v>
      </c>
      <c r="K1122" s="1">
        <v>15000</v>
      </c>
      <c r="M1122" s="1">
        <v>0</v>
      </c>
      <c r="O1122" s="1">
        <v>250</v>
      </c>
      <c r="Q1122" s="1">
        <v>10</v>
      </c>
      <c r="Y1122" s="1">
        <v>0.05</v>
      </c>
      <c r="Z1122" s="1">
        <v>4</v>
      </c>
      <c r="AA1122" s="1">
        <v>3</v>
      </c>
      <c r="AB1122" s="1">
        <v>1.3</v>
      </c>
      <c r="AG1122" s="1">
        <v>0</v>
      </c>
      <c r="AH1122" s="1">
        <v>1</v>
      </c>
      <c r="AI1122" s="1" t="s">
        <v>4460</v>
      </c>
      <c r="AJ1122" s="1" t="s">
        <v>4448</v>
      </c>
      <c r="AK1122" s="1" t="s">
        <v>238</v>
      </c>
      <c r="AM1122" s="1">
        <v>1</v>
      </c>
      <c r="AV1122" s="1">
        <v>1</v>
      </c>
      <c r="AX1122" s="1">
        <v>0.1</v>
      </c>
      <c r="BE1122" s="1" t="s">
        <v>4454</v>
      </c>
      <c r="BK1122" s="1" t="s">
        <v>4449</v>
      </c>
      <c r="BN1122" s="1" t="s">
        <v>217</v>
      </c>
      <c r="BO1122" s="1" t="s">
        <v>218</v>
      </c>
      <c r="BP1122" s="1" t="s">
        <v>239</v>
      </c>
      <c r="BQ1122" s="1" t="s">
        <v>220</v>
      </c>
      <c r="BT1122" s="1">
        <v>1</v>
      </c>
    </row>
    <row r="1123" spans="1:72">
      <c r="A1123" s="1" t="s">
        <v>4461</v>
      </c>
      <c r="B1123" s="1" t="s">
        <v>213</v>
      </c>
      <c r="C1123" s="1">
        <v>1</v>
      </c>
      <c r="D1123" s="1" t="s">
        <v>4462</v>
      </c>
      <c r="E1123" s="1">
        <v>1427</v>
      </c>
      <c r="F1123" s="1" t="s">
        <v>4461</v>
      </c>
      <c r="G1123" s="1">
        <v>1</v>
      </c>
      <c r="K1123" s="1">
        <v>15000</v>
      </c>
      <c r="M1123" s="1">
        <v>900</v>
      </c>
      <c r="O1123" s="1">
        <v>500</v>
      </c>
      <c r="Q1123" s="1">
        <v>50</v>
      </c>
      <c r="Y1123" s="1">
        <v>0.05</v>
      </c>
      <c r="Z1123" s="1">
        <v>5</v>
      </c>
      <c r="AA1123" s="1">
        <v>4</v>
      </c>
      <c r="AB1123" s="1">
        <v>0.7</v>
      </c>
      <c r="AG1123" s="1">
        <v>0</v>
      </c>
      <c r="AH1123" s="1">
        <v>1</v>
      </c>
      <c r="AI1123" s="1" t="s">
        <v>4463</v>
      </c>
      <c r="AJ1123" s="1" t="s">
        <v>4464</v>
      </c>
      <c r="AK1123" s="1" t="s">
        <v>238</v>
      </c>
      <c r="AM1123" s="1">
        <v>1</v>
      </c>
      <c r="AV1123" s="1">
        <v>1</v>
      </c>
      <c r="AX1123" s="1">
        <v>0.1</v>
      </c>
      <c r="BE1123" s="1" t="s">
        <v>4461</v>
      </c>
      <c r="BK1123" s="1" t="s">
        <v>1096</v>
      </c>
      <c r="BN1123" s="1" t="s">
        <v>217</v>
      </c>
      <c r="BO1123" s="1" t="s">
        <v>218</v>
      </c>
      <c r="BP1123" s="1" t="s">
        <v>239</v>
      </c>
      <c r="BQ1123" s="1" t="s">
        <v>220</v>
      </c>
      <c r="BT1123" s="1">
        <v>1</v>
      </c>
    </row>
    <row r="1124" spans="1:72">
      <c r="A1124" s="1" t="s">
        <v>4465</v>
      </c>
      <c r="B1124" s="1" t="s">
        <v>213</v>
      </c>
      <c r="C1124" s="1">
        <v>1</v>
      </c>
      <c r="D1124" s="1" t="s">
        <v>4466</v>
      </c>
      <c r="E1124" s="1">
        <v>1427</v>
      </c>
      <c r="F1124" s="1" t="s">
        <v>4465</v>
      </c>
      <c r="G1124" s="1">
        <v>1</v>
      </c>
      <c r="K1124" s="1">
        <v>18000</v>
      </c>
      <c r="M1124" s="1">
        <v>1200</v>
      </c>
      <c r="O1124" s="1">
        <v>500</v>
      </c>
      <c r="Q1124" s="1">
        <v>50</v>
      </c>
      <c r="Y1124" s="1">
        <v>0.05</v>
      </c>
      <c r="Z1124" s="1">
        <v>5</v>
      </c>
      <c r="AA1124" s="1">
        <v>4</v>
      </c>
      <c r="AB1124" s="1">
        <v>0.7</v>
      </c>
      <c r="AG1124" s="1">
        <v>0</v>
      </c>
      <c r="AH1124" s="1">
        <v>1</v>
      </c>
      <c r="AI1124" s="1" t="s">
        <v>4467</v>
      </c>
      <c r="AJ1124" s="1" t="s">
        <v>4464</v>
      </c>
      <c r="AK1124" s="1" t="s">
        <v>238</v>
      </c>
      <c r="AM1124" s="1">
        <v>1</v>
      </c>
      <c r="AV1124" s="1">
        <v>1</v>
      </c>
      <c r="AX1124" s="1">
        <v>0.1</v>
      </c>
      <c r="BE1124" s="1" t="s">
        <v>4465</v>
      </c>
      <c r="BK1124" s="1" t="s">
        <v>1096</v>
      </c>
      <c r="BN1124" s="1" t="s">
        <v>217</v>
      </c>
      <c r="BO1124" s="1" t="s">
        <v>218</v>
      </c>
      <c r="BP1124" s="1" t="s">
        <v>239</v>
      </c>
      <c r="BQ1124" s="1" t="s">
        <v>220</v>
      </c>
      <c r="BT1124" s="1">
        <v>1</v>
      </c>
    </row>
    <row r="1125" spans="1:72">
      <c r="A1125" s="1" t="s">
        <v>4468</v>
      </c>
      <c r="B1125" s="1" t="s">
        <v>213</v>
      </c>
      <c r="C1125" s="1">
        <v>1</v>
      </c>
      <c r="D1125" s="1" t="s">
        <v>4469</v>
      </c>
      <c r="E1125" s="1">
        <v>1428</v>
      </c>
      <c r="F1125" s="1" t="s">
        <v>4468</v>
      </c>
      <c r="G1125" s="1">
        <v>1</v>
      </c>
      <c r="K1125" s="1">
        <v>3500</v>
      </c>
      <c r="M1125" s="1">
        <v>300</v>
      </c>
      <c r="O1125" s="1">
        <v>100</v>
      </c>
      <c r="Q1125" s="1">
        <v>50</v>
      </c>
      <c r="Y1125" s="1">
        <v>0.05</v>
      </c>
      <c r="Z1125" s="1">
        <v>3</v>
      </c>
      <c r="AA1125" s="1">
        <v>1</v>
      </c>
      <c r="AB1125" s="1">
        <v>1</v>
      </c>
      <c r="AG1125" s="1">
        <v>0</v>
      </c>
      <c r="AH1125" s="1">
        <v>1</v>
      </c>
      <c r="AI1125" s="1" t="s">
        <v>4470</v>
      </c>
      <c r="AJ1125" s="1" t="s">
        <v>4471</v>
      </c>
      <c r="AK1125" s="1" t="s">
        <v>238</v>
      </c>
      <c r="AM1125" s="1">
        <v>1</v>
      </c>
      <c r="AV1125" s="1">
        <v>1</v>
      </c>
      <c r="AX1125" s="1">
        <v>0.1</v>
      </c>
      <c r="BE1125" s="1" t="s">
        <v>4468</v>
      </c>
      <c r="BK1125" s="1" t="s">
        <v>1496</v>
      </c>
      <c r="BN1125" s="1" t="s">
        <v>217</v>
      </c>
      <c r="BO1125" s="1" t="s">
        <v>218</v>
      </c>
      <c r="BP1125" s="1" t="s">
        <v>239</v>
      </c>
      <c r="BQ1125" s="1" t="s">
        <v>220</v>
      </c>
      <c r="BT1125" s="1">
        <v>1</v>
      </c>
    </row>
    <row r="1126" spans="1:72">
      <c r="A1126" s="1" t="s">
        <v>4472</v>
      </c>
      <c r="B1126" s="1" t="s">
        <v>213</v>
      </c>
      <c r="C1126" s="1">
        <v>1</v>
      </c>
      <c r="D1126" s="1" t="s">
        <v>4473</v>
      </c>
      <c r="E1126" s="1">
        <v>1429</v>
      </c>
      <c r="F1126" s="1" t="s">
        <v>4472</v>
      </c>
      <c r="G1126" s="1">
        <v>1</v>
      </c>
      <c r="K1126" s="1">
        <v>8000</v>
      </c>
      <c r="M1126" s="1">
        <v>400</v>
      </c>
      <c r="O1126" s="1">
        <v>400</v>
      </c>
      <c r="Q1126" s="1">
        <v>50</v>
      </c>
      <c r="Y1126" s="1">
        <v>0.05</v>
      </c>
      <c r="Z1126" s="1">
        <v>4</v>
      </c>
      <c r="AA1126" s="1">
        <v>4</v>
      </c>
      <c r="AB1126" s="1">
        <v>0.6</v>
      </c>
      <c r="AG1126" s="1">
        <v>0</v>
      </c>
      <c r="AH1126" s="1">
        <v>1</v>
      </c>
      <c r="AI1126" s="1" t="s">
        <v>4474</v>
      </c>
      <c r="AJ1126" s="1" t="s">
        <v>3410</v>
      </c>
      <c r="AK1126" s="1" t="s">
        <v>238</v>
      </c>
      <c r="AM1126" s="1">
        <v>1</v>
      </c>
      <c r="AV1126" s="1">
        <v>1</v>
      </c>
      <c r="AX1126" s="1">
        <v>0.1</v>
      </c>
      <c r="BE1126" s="1" t="s">
        <v>4472</v>
      </c>
      <c r="BK1126" s="1" t="s">
        <v>1096</v>
      </c>
      <c r="BN1126" s="1" t="s">
        <v>217</v>
      </c>
      <c r="BO1126" s="1" t="s">
        <v>218</v>
      </c>
      <c r="BP1126" s="1" t="s">
        <v>239</v>
      </c>
      <c r="BQ1126" s="1" t="s">
        <v>220</v>
      </c>
      <c r="BT1126" s="1">
        <v>1</v>
      </c>
    </row>
    <row r="1127" spans="1:72">
      <c r="A1127" s="1" t="s">
        <v>4475</v>
      </c>
      <c r="B1127" s="1" t="s">
        <v>213</v>
      </c>
      <c r="C1127" s="1">
        <v>1</v>
      </c>
      <c r="D1127" s="1" t="s">
        <v>4476</v>
      </c>
      <c r="E1127" s="1">
        <v>1429</v>
      </c>
      <c r="F1127" s="1" t="s">
        <v>4475</v>
      </c>
      <c r="G1127" s="1">
        <v>1</v>
      </c>
      <c r="K1127" s="1">
        <v>10000</v>
      </c>
      <c r="M1127" s="1">
        <v>400</v>
      </c>
      <c r="O1127" s="1">
        <v>400</v>
      </c>
      <c r="Q1127" s="1">
        <v>50</v>
      </c>
      <c r="Y1127" s="1">
        <v>0.05</v>
      </c>
      <c r="Z1127" s="1">
        <v>4</v>
      </c>
      <c r="AA1127" s="1">
        <v>4</v>
      </c>
      <c r="AB1127" s="1">
        <v>0.6</v>
      </c>
      <c r="AG1127" s="1">
        <v>0</v>
      </c>
      <c r="AH1127" s="1">
        <v>1</v>
      </c>
      <c r="AI1127" s="1" t="s">
        <v>4474</v>
      </c>
      <c r="AJ1127" s="1" t="s">
        <v>3410</v>
      </c>
      <c r="AK1127" s="1" t="s">
        <v>238</v>
      </c>
      <c r="AM1127" s="1">
        <v>1</v>
      </c>
      <c r="AV1127" s="1">
        <v>1</v>
      </c>
      <c r="AX1127" s="1">
        <v>0.1</v>
      </c>
      <c r="BE1127" s="1" t="s">
        <v>4475</v>
      </c>
      <c r="BK1127" s="1" t="s">
        <v>1096</v>
      </c>
      <c r="BN1127" s="1" t="s">
        <v>217</v>
      </c>
      <c r="BO1127" s="1" t="s">
        <v>218</v>
      </c>
      <c r="BP1127" s="1" t="s">
        <v>239</v>
      </c>
      <c r="BQ1127" s="1" t="s">
        <v>220</v>
      </c>
      <c r="BT1127" s="1">
        <v>1</v>
      </c>
    </row>
    <row r="1128" spans="1:72">
      <c r="A1128" s="1" t="s">
        <v>4477</v>
      </c>
      <c r="B1128" s="1" t="s">
        <v>213</v>
      </c>
      <c r="C1128" s="1">
        <v>1</v>
      </c>
      <c r="D1128" s="1" t="s">
        <v>4478</v>
      </c>
      <c r="E1128" s="1">
        <v>1430</v>
      </c>
      <c r="F1128" s="1" t="s">
        <v>4477</v>
      </c>
      <c r="G1128" s="1">
        <v>1</v>
      </c>
      <c r="K1128" s="1">
        <v>100000</v>
      </c>
      <c r="M1128" s="1">
        <v>0</v>
      </c>
      <c r="O1128" s="1">
        <v>0</v>
      </c>
      <c r="Q1128" s="1">
        <v>30</v>
      </c>
      <c r="Y1128" s="1">
        <v>0.05</v>
      </c>
      <c r="Z1128" s="1">
        <v>4</v>
      </c>
      <c r="AA1128" s="1">
        <v>7</v>
      </c>
      <c r="AB1128" s="1">
        <v>0.5</v>
      </c>
      <c r="AG1128" s="1">
        <v>0</v>
      </c>
      <c r="AH1128" s="1">
        <v>1</v>
      </c>
      <c r="AI1128" s="1" t="s">
        <v>4479</v>
      </c>
      <c r="AJ1128" s="1" t="s">
        <v>4480</v>
      </c>
      <c r="AK1128" s="1" t="s">
        <v>238</v>
      </c>
      <c r="AM1128" s="1">
        <v>1</v>
      </c>
      <c r="AN1128" s="1">
        <v>1</v>
      </c>
      <c r="AV1128" s="1">
        <v>1</v>
      </c>
      <c r="AX1128" s="1">
        <v>0.1</v>
      </c>
      <c r="BE1128" s="1" t="s">
        <v>4477</v>
      </c>
      <c r="BK1128" s="1" t="s">
        <v>4449</v>
      </c>
      <c r="BN1128" s="1" t="s">
        <v>217</v>
      </c>
      <c r="BO1128" s="1" t="s">
        <v>218</v>
      </c>
      <c r="BP1128" s="1" t="s">
        <v>239</v>
      </c>
      <c r="BQ1128" s="1" t="s">
        <v>220</v>
      </c>
      <c r="BT1128" s="1">
        <v>1</v>
      </c>
    </row>
    <row r="1129" spans="1:72">
      <c r="A1129" s="1" t="s">
        <v>4481</v>
      </c>
      <c r="B1129" s="1" t="s">
        <v>213</v>
      </c>
      <c r="C1129" s="1">
        <v>1</v>
      </c>
      <c r="D1129" s="1" t="s">
        <v>4482</v>
      </c>
      <c r="E1129" s="1">
        <v>1430</v>
      </c>
      <c r="F1129" s="1" t="s">
        <v>4481</v>
      </c>
      <c r="G1129" s="1">
        <v>1</v>
      </c>
      <c r="K1129" s="1">
        <v>125000</v>
      </c>
      <c r="M1129" s="1">
        <v>0</v>
      </c>
      <c r="O1129" s="1">
        <v>0</v>
      </c>
      <c r="Q1129" s="1">
        <v>30</v>
      </c>
      <c r="Y1129" s="1">
        <v>0.05</v>
      </c>
      <c r="Z1129" s="1">
        <v>4</v>
      </c>
      <c r="AA1129" s="1">
        <v>7</v>
      </c>
      <c r="AB1129" s="1">
        <v>0.5</v>
      </c>
      <c r="AG1129" s="1">
        <v>0</v>
      </c>
      <c r="AH1129" s="1">
        <v>1</v>
      </c>
      <c r="AI1129" s="1" t="s">
        <v>4483</v>
      </c>
      <c r="AJ1129" s="1" t="s">
        <v>4480</v>
      </c>
      <c r="AK1129" s="1" t="s">
        <v>238</v>
      </c>
      <c r="AM1129" s="1">
        <v>1</v>
      </c>
      <c r="AN1129" s="1">
        <v>1</v>
      </c>
      <c r="AV1129" s="1">
        <v>1</v>
      </c>
      <c r="AX1129" s="1">
        <v>0.1</v>
      </c>
      <c r="BE1129" s="1" t="s">
        <v>4481</v>
      </c>
      <c r="BK1129" s="1" t="s">
        <v>4449</v>
      </c>
      <c r="BN1129" s="1" t="s">
        <v>217</v>
      </c>
      <c r="BO1129" s="1" t="s">
        <v>218</v>
      </c>
      <c r="BP1129" s="1" t="s">
        <v>239</v>
      </c>
      <c r="BQ1129" s="1" t="s">
        <v>220</v>
      </c>
      <c r="BT1129" s="1">
        <v>1</v>
      </c>
    </row>
    <row r="1130" spans="1:72">
      <c r="A1130" s="1" t="s">
        <v>4484</v>
      </c>
      <c r="B1130" s="1" t="s">
        <v>213</v>
      </c>
      <c r="C1130" s="1">
        <v>1</v>
      </c>
      <c r="D1130" s="1" t="s">
        <v>4485</v>
      </c>
      <c r="E1130" s="1">
        <v>1431</v>
      </c>
      <c r="F1130" s="1" t="s">
        <v>4484</v>
      </c>
      <c r="G1130" s="1">
        <v>1</v>
      </c>
      <c r="K1130" s="1">
        <v>15000</v>
      </c>
      <c r="M1130" s="1">
        <v>900</v>
      </c>
      <c r="O1130" s="1">
        <v>800</v>
      </c>
      <c r="Q1130" s="1">
        <v>50</v>
      </c>
      <c r="Y1130" s="1">
        <v>0.05</v>
      </c>
      <c r="Z1130" s="1">
        <v>3.5</v>
      </c>
      <c r="AA1130" s="1">
        <v>4</v>
      </c>
      <c r="AB1130" s="1">
        <v>0.6</v>
      </c>
      <c r="AG1130" s="1">
        <v>0</v>
      </c>
      <c r="AH1130" s="1">
        <v>1</v>
      </c>
      <c r="AI1130" s="1" t="s">
        <v>4486</v>
      </c>
      <c r="AJ1130" s="1" t="s">
        <v>3542</v>
      </c>
      <c r="AK1130" s="1" t="s">
        <v>238</v>
      </c>
      <c r="AM1130" s="1">
        <v>1</v>
      </c>
      <c r="AV1130" s="1">
        <v>1</v>
      </c>
      <c r="AX1130" s="1">
        <v>0.1</v>
      </c>
      <c r="BE1130" s="1" t="s">
        <v>4484</v>
      </c>
      <c r="BK1130" s="1" t="s">
        <v>1086</v>
      </c>
      <c r="BN1130" s="1" t="s">
        <v>217</v>
      </c>
      <c r="BO1130" s="1" t="s">
        <v>218</v>
      </c>
      <c r="BP1130" s="1" t="s">
        <v>239</v>
      </c>
      <c r="BQ1130" s="1" t="s">
        <v>220</v>
      </c>
      <c r="BT1130" s="1">
        <v>1</v>
      </c>
    </row>
    <row r="1131" spans="1:72">
      <c r="A1131" s="1" t="s">
        <v>4487</v>
      </c>
      <c r="B1131" s="1" t="s">
        <v>213</v>
      </c>
      <c r="C1131" s="1">
        <v>1</v>
      </c>
      <c r="D1131" s="1" t="s">
        <v>4488</v>
      </c>
      <c r="E1131" s="1">
        <v>1431</v>
      </c>
      <c r="F1131" s="1" t="s">
        <v>4487</v>
      </c>
      <c r="G1131" s="1">
        <v>1</v>
      </c>
      <c r="K1131" s="1">
        <v>18000</v>
      </c>
      <c r="M1131" s="1">
        <v>1200</v>
      </c>
      <c r="O1131" s="1">
        <v>800</v>
      </c>
      <c r="Q1131" s="1">
        <v>50</v>
      </c>
      <c r="Y1131" s="1">
        <v>0.05</v>
      </c>
      <c r="Z1131" s="1">
        <v>3.5</v>
      </c>
      <c r="AA1131" s="1">
        <v>4</v>
      </c>
      <c r="AB1131" s="1">
        <v>0.6</v>
      </c>
      <c r="AG1131" s="1">
        <v>0</v>
      </c>
      <c r="AH1131" s="1">
        <v>1</v>
      </c>
      <c r="AI1131" s="1" t="s">
        <v>4489</v>
      </c>
      <c r="AJ1131" s="1" t="s">
        <v>3542</v>
      </c>
      <c r="AK1131" s="1" t="s">
        <v>238</v>
      </c>
      <c r="AM1131" s="1">
        <v>1</v>
      </c>
      <c r="AV1131" s="1">
        <v>1</v>
      </c>
      <c r="AX1131" s="1">
        <v>0.1</v>
      </c>
      <c r="BE1131" s="1" t="s">
        <v>4487</v>
      </c>
      <c r="BK1131" s="1" t="s">
        <v>1086</v>
      </c>
      <c r="BN1131" s="1" t="s">
        <v>217</v>
      </c>
      <c r="BO1131" s="1" t="s">
        <v>218</v>
      </c>
      <c r="BP1131" s="1" t="s">
        <v>239</v>
      </c>
      <c r="BQ1131" s="1" t="s">
        <v>220</v>
      </c>
      <c r="BT1131" s="1">
        <v>1</v>
      </c>
    </row>
    <row r="1132" spans="1:72">
      <c r="A1132" s="1" t="s">
        <v>4490</v>
      </c>
      <c r="B1132" s="1" t="s">
        <v>213</v>
      </c>
      <c r="C1132" s="1">
        <v>1</v>
      </c>
      <c r="D1132" s="1" t="s">
        <v>4491</v>
      </c>
      <c r="E1132" s="1">
        <v>1433</v>
      </c>
      <c r="F1132" s="1" t="s">
        <v>4490</v>
      </c>
      <c r="G1132" s="1">
        <v>1</v>
      </c>
      <c r="K1132" s="1">
        <v>4300</v>
      </c>
      <c r="M1132" s="1">
        <v>280</v>
      </c>
      <c r="O1132" s="1">
        <v>0</v>
      </c>
      <c r="Q1132" s="1">
        <v>10</v>
      </c>
      <c r="Y1132" s="1">
        <v>0.05</v>
      </c>
      <c r="Z1132" s="1">
        <v>1.1</v>
      </c>
      <c r="AA1132" s="1">
        <v>0</v>
      </c>
      <c r="AB1132" s="1">
        <v>1.6</v>
      </c>
      <c r="AG1132" s="1">
        <v>0</v>
      </c>
      <c r="AH1132" s="1">
        <v>1</v>
      </c>
      <c r="AI1132" s="1" t="s">
        <v>4492</v>
      </c>
      <c r="AJ1132" s="1" t="s">
        <v>4471</v>
      </c>
      <c r="AK1132" s="1" t="s">
        <v>238</v>
      </c>
      <c r="AM1132" s="1">
        <v>1</v>
      </c>
      <c r="AV1132" s="1">
        <v>1</v>
      </c>
      <c r="AX1132" s="1">
        <v>0.1</v>
      </c>
      <c r="BE1132" s="1" t="s">
        <v>4490</v>
      </c>
      <c r="BK1132" s="1" t="s">
        <v>2275</v>
      </c>
      <c r="BN1132" s="1" t="s">
        <v>217</v>
      </c>
      <c r="BO1132" s="1" t="s">
        <v>218</v>
      </c>
      <c r="BP1132" s="1" t="s">
        <v>218</v>
      </c>
      <c r="BQ1132" s="1" t="s">
        <v>218</v>
      </c>
      <c r="BT1132" s="1">
        <v>1</v>
      </c>
    </row>
    <row r="1133" spans="1:72">
      <c r="A1133" s="1" t="s">
        <v>4493</v>
      </c>
      <c r="B1133" s="1" t="s">
        <v>213</v>
      </c>
      <c r="C1133" s="1">
        <v>1</v>
      </c>
      <c r="D1133" s="1" t="s">
        <v>4494</v>
      </c>
      <c r="E1133" s="1">
        <v>1433</v>
      </c>
      <c r="F1133" s="1" t="s">
        <v>4493</v>
      </c>
      <c r="G1133" s="1">
        <v>1</v>
      </c>
      <c r="K1133" s="1">
        <v>5700</v>
      </c>
      <c r="M1133" s="1">
        <v>350</v>
      </c>
      <c r="O1133" s="1">
        <v>0</v>
      </c>
      <c r="Q1133" s="1">
        <v>10</v>
      </c>
      <c r="Y1133" s="1">
        <v>0.05</v>
      </c>
      <c r="Z1133" s="1">
        <v>1.1</v>
      </c>
      <c r="AA1133" s="1">
        <v>0</v>
      </c>
      <c r="AB1133" s="1">
        <v>1.6</v>
      </c>
      <c r="AG1133" s="1">
        <v>0</v>
      </c>
      <c r="AH1133" s="1">
        <v>1</v>
      </c>
      <c r="AI1133" s="1" t="s">
        <v>4495</v>
      </c>
      <c r="AJ1133" s="1" t="s">
        <v>4471</v>
      </c>
      <c r="AK1133" s="1" t="s">
        <v>238</v>
      </c>
      <c r="AM1133" s="1">
        <v>1</v>
      </c>
      <c r="AV1133" s="1">
        <v>1</v>
      </c>
      <c r="AX1133" s="1">
        <v>0.1</v>
      </c>
      <c r="BE1133" s="1" t="s">
        <v>4493</v>
      </c>
      <c r="BK1133" s="1" t="s">
        <v>2275</v>
      </c>
      <c r="BN1133" s="1" t="s">
        <v>217</v>
      </c>
      <c r="BO1133" s="1" t="s">
        <v>218</v>
      </c>
      <c r="BP1133" s="1" t="s">
        <v>239</v>
      </c>
      <c r="BQ1133" s="1" t="s">
        <v>220</v>
      </c>
      <c r="BT1133" s="1">
        <v>1</v>
      </c>
    </row>
    <row r="1134" spans="1:72">
      <c r="A1134" s="1" t="s">
        <v>4496</v>
      </c>
      <c r="B1134" s="1" t="s">
        <v>213</v>
      </c>
      <c r="C1134" s="1">
        <v>1</v>
      </c>
      <c r="D1134" s="1" t="s">
        <v>4494</v>
      </c>
      <c r="E1134" s="1">
        <v>1433</v>
      </c>
      <c r="F1134" s="1" t="s">
        <v>4493</v>
      </c>
      <c r="G1134" s="1">
        <v>1</v>
      </c>
      <c r="K1134" s="1">
        <v>5700</v>
      </c>
      <c r="M1134" s="1">
        <v>350</v>
      </c>
      <c r="O1134" s="1">
        <v>0</v>
      </c>
      <c r="Q1134" s="1">
        <v>10</v>
      </c>
      <c r="Y1134" s="1">
        <v>0.05</v>
      </c>
      <c r="Z1134" s="1">
        <v>1.1</v>
      </c>
      <c r="AA1134" s="1">
        <v>0</v>
      </c>
      <c r="AB1134" s="1">
        <v>1.6</v>
      </c>
      <c r="AG1134" s="1">
        <v>0</v>
      </c>
      <c r="AH1134" s="1">
        <v>1</v>
      </c>
      <c r="AI1134" s="1" t="s">
        <v>4497</v>
      </c>
      <c r="AJ1134" s="1" t="s">
        <v>4471</v>
      </c>
      <c r="AK1134" s="1" t="s">
        <v>238</v>
      </c>
      <c r="AM1134" s="1">
        <v>1</v>
      </c>
      <c r="AV1134" s="1">
        <v>1</v>
      </c>
      <c r="AX1134" s="1">
        <v>0.1</v>
      </c>
      <c r="BE1134" s="1" t="s">
        <v>4493</v>
      </c>
      <c r="BK1134" s="1" t="s">
        <v>2275</v>
      </c>
      <c r="BN1134" s="1" t="s">
        <v>217</v>
      </c>
      <c r="BO1134" s="1" t="s">
        <v>218</v>
      </c>
      <c r="BP1134" s="1" t="s">
        <v>239</v>
      </c>
      <c r="BQ1134" s="1" t="s">
        <v>220</v>
      </c>
      <c r="BT1134" s="1">
        <v>1</v>
      </c>
    </row>
    <row r="1135" spans="1:72">
      <c r="A1135" s="1" t="s">
        <v>4498</v>
      </c>
      <c r="B1135" s="1" t="s">
        <v>213</v>
      </c>
      <c r="C1135" s="1">
        <v>1</v>
      </c>
      <c r="D1135" s="1" t="s">
        <v>4499</v>
      </c>
      <c r="E1135" s="1">
        <v>1434</v>
      </c>
      <c r="F1135" s="1" t="s">
        <v>4498</v>
      </c>
      <c r="G1135" s="1">
        <v>1</v>
      </c>
      <c r="K1135" s="1">
        <v>4500</v>
      </c>
      <c r="M1135" s="1">
        <v>400</v>
      </c>
      <c r="O1135" s="1">
        <v>500</v>
      </c>
      <c r="Q1135" s="1">
        <v>10</v>
      </c>
      <c r="Y1135" s="1">
        <v>0.05</v>
      </c>
      <c r="Z1135" s="1">
        <v>5</v>
      </c>
      <c r="AA1135" s="1">
        <v>1</v>
      </c>
      <c r="AB1135" s="1">
        <v>0.5</v>
      </c>
      <c r="AG1135" s="1">
        <v>0</v>
      </c>
      <c r="AH1135" s="1">
        <v>1</v>
      </c>
      <c r="AI1135" s="1" t="s">
        <v>4500</v>
      </c>
      <c r="AJ1135" s="1" t="s">
        <v>4501</v>
      </c>
      <c r="AK1135" s="1" t="s">
        <v>238</v>
      </c>
      <c r="AM1135" s="1">
        <v>1</v>
      </c>
      <c r="AV1135" s="1">
        <v>1</v>
      </c>
      <c r="AX1135" s="1">
        <v>0.1</v>
      </c>
      <c r="BE1135" s="1" t="s">
        <v>4498</v>
      </c>
      <c r="BK1135" s="1" t="s">
        <v>2275</v>
      </c>
      <c r="BN1135" s="1" t="s">
        <v>217</v>
      </c>
      <c r="BO1135" s="1" t="s">
        <v>218</v>
      </c>
      <c r="BP1135" s="1" t="s">
        <v>239</v>
      </c>
      <c r="BQ1135" s="1" t="s">
        <v>220</v>
      </c>
      <c r="BT1135" s="1">
        <v>1</v>
      </c>
    </row>
    <row r="1136" spans="1:72">
      <c r="A1136" s="1" t="s">
        <v>4502</v>
      </c>
      <c r="B1136" s="1" t="s">
        <v>213</v>
      </c>
      <c r="C1136" s="1">
        <v>1</v>
      </c>
      <c r="D1136" s="1" t="s">
        <v>4503</v>
      </c>
      <c r="E1136" s="1">
        <v>1435</v>
      </c>
      <c r="F1136" s="1" t="s">
        <v>4502</v>
      </c>
      <c r="G1136" s="1">
        <v>1</v>
      </c>
      <c r="K1136" s="1">
        <v>5100</v>
      </c>
      <c r="M1136" s="1">
        <v>300</v>
      </c>
      <c r="O1136" s="1">
        <v>80</v>
      </c>
      <c r="Q1136" s="1">
        <v>30</v>
      </c>
      <c r="Y1136" s="1">
        <v>0.05</v>
      </c>
      <c r="Z1136" s="1">
        <v>3.5</v>
      </c>
      <c r="AA1136" s="1">
        <v>2</v>
      </c>
      <c r="AB1136" s="1">
        <v>0.7</v>
      </c>
      <c r="AG1136" s="1">
        <v>0</v>
      </c>
      <c r="AH1136" s="1">
        <v>1</v>
      </c>
      <c r="AI1136" s="1" t="s">
        <v>4504</v>
      </c>
      <c r="AJ1136" s="1" t="s">
        <v>3791</v>
      </c>
      <c r="AK1136" s="1" t="s">
        <v>238</v>
      </c>
      <c r="AM1136" s="1">
        <v>1</v>
      </c>
      <c r="AN1136" s="1">
        <v>1</v>
      </c>
      <c r="AV1136" s="1">
        <v>1</v>
      </c>
      <c r="AX1136" s="1">
        <v>0.1</v>
      </c>
      <c r="BE1136" s="1" t="s">
        <v>4502</v>
      </c>
      <c r="BK1136" s="1" t="s">
        <v>2294</v>
      </c>
      <c r="BN1136" s="1" t="s">
        <v>217</v>
      </c>
      <c r="BO1136" s="1" t="s">
        <v>218</v>
      </c>
      <c r="BP1136" s="1" t="s">
        <v>239</v>
      </c>
      <c r="BQ1136" s="1" t="s">
        <v>220</v>
      </c>
      <c r="BT1136" s="1">
        <v>1</v>
      </c>
    </row>
    <row r="1137" spans="1:72">
      <c r="A1137" s="1" t="s">
        <v>4505</v>
      </c>
      <c r="B1137" s="1" t="s">
        <v>213</v>
      </c>
      <c r="C1137" s="1">
        <v>1</v>
      </c>
      <c r="D1137" s="1" t="s">
        <v>4506</v>
      </c>
      <c r="E1137" s="1">
        <v>1435</v>
      </c>
      <c r="F1137" s="1" t="s">
        <v>4505</v>
      </c>
      <c r="G1137" s="1">
        <v>1</v>
      </c>
      <c r="K1137" s="1">
        <v>6200</v>
      </c>
      <c r="M1137" s="1">
        <v>380</v>
      </c>
      <c r="O1137" s="1">
        <v>120</v>
      </c>
      <c r="Q1137" s="1">
        <v>30</v>
      </c>
      <c r="Y1137" s="1">
        <v>0.05</v>
      </c>
      <c r="Z1137" s="1">
        <v>3.5</v>
      </c>
      <c r="AA1137" s="1">
        <v>2</v>
      </c>
      <c r="AB1137" s="1">
        <v>0.7</v>
      </c>
      <c r="AG1137" s="1">
        <v>0</v>
      </c>
      <c r="AH1137" s="1">
        <v>1</v>
      </c>
      <c r="AI1137" s="1" t="s">
        <v>4507</v>
      </c>
      <c r="AJ1137" s="1" t="s">
        <v>3791</v>
      </c>
      <c r="AK1137" s="1" t="s">
        <v>238</v>
      </c>
      <c r="AM1137" s="1">
        <v>1</v>
      </c>
      <c r="AN1137" s="1">
        <v>1</v>
      </c>
      <c r="AV1137" s="1">
        <v>1</v>
      </c>
      <c r="AX1137" s="1">
        <v>0.1</v>
      </c>
      <c r="BE1137" s="1" t="s">
        <v>4505</v>
      </c>
      <c r="BK1137" s="1" t="s">
        <v>2294</v>
      </c>
      <c r="BN1137" s="1" t="s">
        <v>217</v>
      </c>
      <c r="BO1137" s="1" t="s">
        <v>218</v>
      </c>
      <c r="BP1137" s="1" t="s">
        <v>239</v>
      </c>
      <c r="BQ1137" s="1" t="s">
        <v>220</v>
      </c>
      <c r="BT1137" s="1">
        <v>1</v>
      </c>
    </row>
    <row r="1138" spans="1:72">
      <c r="A1138" s="1" t="s">
        <v>4508</v>
      </c>
      <c r="B1138" s="1" t="s">
        <v>213</v>
      </c>
      <c r="C1138" s="1">
        <v>1</v>
      </c>
      <c r="D1138" s="1" t="s">
        <v>4509</v>
      </c>
      <c r="E1138" s="1">
        <v>1436</v>
      </c>
      <c r="F1138" s="1" t="s">
        <v>4508</v>
      </c>
      <c r="G1138" s="1">
        <v>1</v>
      </c>
      <c r="K1138" s="1">
        <v>8000</v>
      </c>
      <c r="M1138" s="1">
        <v>190</v>
      </c>
      <c r="O1138" s="1">
        <v>150</v>
      </c>
      <c r="Q1138" s="1">
        <v>35</v>
      </c>
      <c r="Y1138" s="1">
        <v>0.05</v>
      </c>
      <c r="Z1138" s="1">
        <v>1.6</v>
      </c>
      <c r="AA1138" s="1">
        <v>2</v>
      </c>
      <c r="AB1138" s="1">
        <v>1</v>
      </c>
      <c r="AG1138" s="1">
        <v>0</v>
      </c>
      <c r="AH1138" s="1">
        <v>1</v>
      </c>
      <c r="AI1138" s="1" t="s">
        <v>4510</v>
      </c>
      <c r="AJ1138" s="1" t="s">
        <v>4511</v>
      </c>
      <c r="AK1138" s="1" t="s">
        <v>238</v>
      </c>
      <c r="AM1138" s="1">
        <v>1</v>
      </c>
      <c r="AV1138" s="1">
        <v>1</v>
      </c>
      <c r="AX1138" s="1">
        <v>0.1</v>
      </c>
      <c r="BE1138" s="1" t="s">
        <v>4508</v>
      </c>
      <c r="BK1138" s="1" t="s">
        <v>2294</v>
      </c>
      <c r="BN1138" s="1" t="s">
        <v>217</v>
      </c>
      <c r="BO1138" s="1" t="s">
        <v>218</v>
      </c>
      <c r="BP1138" s="1" t="s">
        <v>239</v>
      </c>
      <c r="BQ1138" s="1" t="s">
        <v>220</v>
      </c>
      <c r="BT1138" s="1">
        <v>1</v>
      </c>
    </row>
    <row r="1139" spans="1:72">
      <c r="A1139" s="1" t="s">
        <v>4512</v>
      </c>
      <c r="B1139" s="1" t="s">
        <v>213</v>
      </c>
      <c r="C1139" s="1">
        <v>1</v>
      </c>
      <c r="D1139" s="1" t="s">
        <v>4513</v>
      </c>
      <c r="E1139" s="1">
        <v>1436</v>
      </c>
      <c r="F1139" s="1" t="s">
        <v>4512</v>
      </c>
      <c r="G1139" s="1">
        <v>1</v>
      </c>
      <c r="K1139" s="1">
        <v>10000</v>
      </c>
      <c r="M1139" s="1">
        <v>230</v>
      </c>
      <c r="O1139" s="1">
        <v>175</v>
      </c>
      <c r="Q1139" s="1">
        <v>45</v>
      </c>
      <c r="Y1139" s="1">
        <v>0.05</v>
      </c>
      <c r="Z1139" s="1">
        <v>1.6</v>
      </c>
      <c r="AA1139" s="1">
        <v>2</v>
      </c>
      <c r="AB1139" s="1">
        <v>1</v>
      </c>
      <c r="AG1139" s="1">
        <v>0</v>
      </c>
      <c r="AH1139" s="1">
        <v>1</v>
      </c>
      <c r="AI1139" s="1" t="s">
        <v>4514</v>
      </c>
      <c r="AJ1139" s="1" t="s">
        <v>4511</v>
      </c>
      <c r="AK1139" s="1" t="s">
        <v>238</v>
      </c>
      <c r="AM1139" s="1">
        <v>1</v>
      </c>
      <c r="AV1139" s="1">
        <v>1</v>
      </c>
      <c r="AX1139" s="1">
        <v>0.1</v>
      </c>
      <c r="BE1139" s="1" t="s">
        <v>4512</v>
      </c>
      <c r="BK1139" s="1" t="s">
        <v>2294</v>
      </c>
      <c r="BN1139" s="1" t="s">
        <v>217</v>
      </c>
      <c r="BO1139" s="1" t="s">
        <v>218</v>
      </c>
      <c r="BP1139" s="1" t="s">
        <v>239</v>
      </c>
      <c r="BQ1139" s="1" t="s">
        <v>220</v>
      </c>
      <c r="BT1139" s="1">
        <v>1</v>
      </c>
    </row>
    <row r="1140" spans="1:72">
      <c r="A1140" s="1" t="s">
        <v>4515</v>
      </c>
      <c r="B1140" s="1" t="s">
        <v>213</v>
      </c>
      <c r="C1140" s="1">
        <v>1</v>
      </c>
      <c r="D1140" s="1" t="s">
        <v>4509</v>
      </c>
      <c r="E1140" s="1">
        <v>1436</v>
      </c>
      <c r="F1140" s="1" t="s">
        <v>4508</v>
      </c>
      <c r="G1140" s="1">
        <v>1</v>
      </c>
      <c r="K1140" s="1">
        <v>8000</v>
      </c>
      <c r="M1140" s="1">
        <v>190</v>
      </c>
      <c r="O1140" s="1">
        <v>150</v>
      </c>
      <c r="Q1140" s="1">
        <v>35</v>
      </c>
      <c r="Y1140" s="1">
        <v>0.05</v>
      </c>
      <c r="Z1140" s="1">
        <v>1.6</v>
      </c>
      <c r="AA1140" s="1">
        <v>2</v>
      </c>
      <c r="AB1140" s="1">
        <v>1</v>
      </c>
      <c r="AG1140" s="1">
        <v>0</v>
      </c>
      <c r="AH1140" s="1">
        <v>1</v>
      </c>
      <c r="AI1140" s="1" t="s">
        <v>4516</v>
      </c>
      <c r="AJ1140" s="1" t="s">
        <v>4511</v>
      </c>
      <c r="AK1140" s="1" t="s">
        <v>238</v>
      </c>
      <c r="AM1140" s="1">
        <v>1</v>
      </c>
      <c r="AV1140" s="1">
        <v>1</v>
      </c>
      <c r="AX1140" s="1">
        <v>0.1</v>
      </c>
      <c r="BE1140" s="1" t="s">
        <v>4508</v>
      </c>
      <c r="BK1140" s="1" t="s">
        <v>2294</v>
      </c>
      <c r="BN1140" s="1" t="s">
        <v>217</v>
      </c>
      <c r="BO1140" s="1" t="s">
        <v>218</v>
      </c>
      <c r="BP1140" s="1" t="s">
        <v>239</v>
      </c>
      <c r="BQ1140" s="1" t="s">
        <v>220</v>
      </c>
      <c r="BT1140" s="1">
        <v>1</v>
      </c>
    </row>
    <row r="1141" spans="1:72">
      <c r="A1141" s="1" t="s">
        <v>4517</v>
      </c>
      <c r="B1141" s="1" t="s">
        <v>213</v>
      </c>
      <c r="C1141" s="1">
        <v>1</v>
      </c>
      <c r="D1141" s="1" t="s">
        <v>4513</v>
      </c>
      <c r="E1141" s="1">
        <v>1436</v>
      </c>
      <c r="F1141" s="1" t="s">
        <v>4512</v>
      </c>
      <c r="G1141" s="1">
        <v>1</v>
      </c>
      <c r="K1141" s="1">
        <v>10000</v>
      </c>
      <c r="M1141" s="1">
        <v>230</v>
      </c>
      <c r="O1141" s="1">
        <v>175</v>
      </c>
      <c r="Q1141" s="1">
        <v>45</v>
      </c>
      <c r="Y1141" s="1">
        <v>0.05</v>
      </c>
      <c r="Z1141" s="1">
        <v>1.6</v>
      </c>
      <c r="AA1141" s="1">
        <v>2</v>
      </c>
      <c r="AB1141" s="1">
        <v>1</v>
      </c>
      <c r="AG1141" s="1">
        <v>0</v>
      </c>
      <c r="AH1141" s="1">
        <v>1</v>
      </c>
      <c r="AI1141" s="1" t="s">
        <v>4518</v>
      </c>
      <c r="AJ1141" s="1" t="s">
        <v>4511</v>
      </c>
      <c r="AK1141" s="1" t="s">
        <v>238</v>
      </c>
      <c r="AM1141" s="1">
        <v>1</v>
      </c>
      <c r="AV1141" s="1">
        <v>1</v>
      </c>
      <c r="AX1141" s="1">
        <v>0.1</v>
      </c>
      <c r="BE1141" s="1" t="s">
        <v>4512</v>
      </c>
      <c r="BK1141" s="1" t="s">
        <v>2294</v>
      </c>
      <c r="BN1141" s="1" t="s">
        <v>217</v>
      </c>
      <c r="BO1141" s="1" t="s">
        <v>218</v>
      </c>
      <c r="BP1141" s="1" t="s">
        <v>239</v>
      </c>
      <c r="BQ1141" s="1" t="s">
        <v>220</v>
      </c>
      <c r="BT1141" s="1">
        <v>1</v>
      </c>
    </row>
    <row r="1142" spans="1:72">
      <c r="A1142" s="1" t="s">
        <v>4519</v>
      </c>
      <c r="B1142" s="1" t="s">
        <v>213</v>
      </c>
      <c r="C1142" s="1">
        <v>1</v>
      </c>
      <c r="D1142" s="1" t="s">
        <v>4520</v>
      </c>
      <c r="E1142" s="1">
        <v>1437</v>
      </c>
      <c r="F1142" s="1" t="s">
        <v>4519</v>
      </c>
      <c r="G1142" s="1">
        <v>1</v>
      </c>
      <c r="K1142" s="1">
        <v>14500</v>
      </c>
      <c r="M1142" s="1">
        <v>800</v>
      </c>
      <c r="O1142" s="1">
        <v>1250</v>
      </c>
      <c r="Q1142" s="1">
        <v>15</v>
      </c>
      <c r="Y1142" s="1">
        <v>0.05</v>
      </c>
      <c r="Z1142" s="1">
        <v>4.5</v>
      </c>
      <c r="AA1142" s="1">
        <v>5</v>
      </c>
      <c r="AB1142" s="1">
        <v>0.5</v>
      </c>
      <c r="AG1142" s="1">
        <v>0</v>
      </c>
      <c r="AH1142" s="1">
        <v>1</v>
      </c>
      <c r="AI1142" s="1" t="s">
        <v>4521</v>
      </c>
      <c r="AJ1142" s="1" t="s">
        <v>275</v>
      </c>
      <c r="AK1142" s="1" t="s">
        <v>238</v>
      </c>
      <c r="AM1142" s="1">
        <v>1</v>
      </c>
      <c r="AV1142" s="1">
        <v>1</v>
      </c>
      <c r="AX1142" s="1">
        <v>0.1</v>
      </c>
      <c r="BE1142" s="1" t="s">
        <v>4519</v>
      </c>
      <c r="BK1142" s="1" t="s">
        <v>2275</v>
      </c>
      <c r="BN1142" s="1" t="s">
        <v>217</v>
      </c>
      <c r="BO1142" s="1" t="s">
        <v>218</v>
      </c>
      <c r="BP1142" s="1" t="s">
        <v>239</v>
      </c>
      <c r="BQ1142" s="1" t="s">
        <v>220</v>
      </c>
      <c r="BT1142" s="1">
        <v>1</v>
      </c>
    </row>
    <row r="1143" spans="1:72">
      <c r="A1143" s="1" t="s">
        <v>4522</v>
      </c>
      <c r="B1143" s="1" t="s">
        <v>213</v>
      </c>
      <c r="C1143" s="1">
        <v>1</v>
      </c>
      <c r="D1143" s="1" t="s">
        <v>4523</v>
      </c>
      <c r="E1143" s="1">
        <v>1437</v>
      </c>
      <c r="F1143" s="1" t="s">
        <v>4522</v>
      </c>
      <c r="G1143" s="1">
        <v>1</v>
      </c>
      <c r="K1143" s="1">
        <v>16000</v>
      </c>
      <c r="M1143" s="1">
        <v>900</v>
      </c>
      <c r="O1143" s="1">
        <v>1400</v>
      </c>
      <c r="Q1143" s="1">
        <v>20</v>
      </c>
      <c r="Y1143" s="1">
        <v>0.05</v>
      </c>
      <c r="Z1143" s="1">
        <v>4.5</v>
      </c>
      <c r="AA1143" s="1">
        <v>5</v>
      </c>
      <c r="AB1143" s="1">
        <v>0.5</v>
      </c>
      <c r="AG1143" s="1">
        <v>0</v>
      </c>
      <c r="AH1143" s="1">
        <v>1</v>
      </c>
      <c r="AI1143" s="1" t="s">
        <v>4524</v>
      </c>
      <c r="AJ1143" s="1" t="s">
        <v>275</v>
      </c>
      <c r="AK1143" s="1" t="s">
        <v>238</v>
      </c>
      <c r="AM1143" s="1">
        <v>1</v>
      </c>
      <c r="AV1143" s="1">
        <v>1</v>
      </c>
      <c r="AX1143" s="1">
        <v>0.1</v>
      </c>
      <c r="BE1143" s="1" t="s">
        <v>4522</v>
      </c>
      <c r="BK1143" s="1" t="s">
        <v>2275</v>
      </c>
      <c r="BN1143" s="1" t="s">
        <v>217</v>
      </c>
      <c r="BO1143" s="1" t="s">
        <v>218</v>
      </c>
      <c r="BP1143" s="1" t="s">
        <v>239</v>
      </c>
      <c r="BQ1143" s="1" t="s">
        <v>220</v>
      </c>
      <c r="BT1143" s="1">
        <v>1</v>
      </c>
    </row>
    <row r="1144" spans="1:72">
      <c r="A1144" s="1" t="s">
        <v>4525</v>
      </c>
      <c r="B1144" s="1" t="s">
        <v>213</v>
      </c>
      <c r="C1144" s="1">
        <v>1</v>
      </c>
      <c r="D1144" s="1" t="s">
        <v>4526</v>
      </c>
      <c r="E1144" s="1">
        <v>1438</v>
      </c>
      <c r="F1144" s="1" t="s">
        <v>4525</v>
      </c>
      <c r="G1144" s="1">
        <v>1</v>
      </c>
      <c r="K1144" s="1">
        <v>13200</v>
      </c>
      <c r="M1144" s="1">
        <v>1050</v>
      </c>
      <c r="O1144" s="1">
        <v>660</v>
      </c>
      <c r="Q1144" s="1">
        <v>45</v>
      </c>
      <c r="Y1144" s="1">
        <v>0.05</v>
      </c>
      <c r="Z1144" s="1">
        <v>3</v>
      </c>
      <c r="AA1144" s="1">
        <v>4</v>
      </c>
      <c r="AB1144" s="1">
        <v>1</v>
      </c>
      <c r="AG1144" s="1">
        <v>0</v>
      </c>
      <c r="AH1144" s="1">
        <v>1</v>
      </c>
      <c r="AI1144" s="1" t="s">
        <v>4527</v>
      </c>
      <c r="AJ1144" s="1" t="s">
        <v>275</v>
      </c>
      <c r="AK1144" s="1" t="s">
        <v>238</v>
      </c>
      <c r="AM1144" s="1">
        <v>1</v>
      </c>
      <c r="AV1144" s="1">
        <v>1</v>
      </c>
      <c r="AX1144" s="1">
        <v>0.1</v>
      </c>
      <c r="BE1144" s="1" t="s">
        <v>4525</v>
      </c>
      <c r="BK1144" s="1" t="s">
        <v>2313</v>
      </c>
      <c r="BN1144" s="1" t="s">
        <v>217</v>
      </c>
      <c r="BO1144" s="1" t="s">
        <v>218</v>
      </c>
      <c r="BP1144" s="1" t="s">
        <v>239</v>
      </c>
      <c r="BQ1144" s="1" t="s">
        <v>220</v>
      </c>
      <c r="BT1144" s="1">
        <v>1</v>
      </c>
    </row>
    <row r="1145" spans="1:72">
      <c r="A1145" s="1" t="s">
        <v>4528</v>
      </c>
      <c r="B1145" s="1" t="s">
        <v>213</v>
      </c>
      <c r="C1145" s="1">
        <v>1</v>
      </c>
      <c r="D1145" s="1" t="s">
        <v>4529</v>
      </c>
      <c r="E1145" s="1">
        <v>1438</v>
      </c>
      <c r="F1145" s="1" t="s">
        <v>4528</v>
      </c>
      <c r="G1145" s="1">
        <v>1</v>
      </c>
      <c r="K1145" s="1">
        <v>14500</v>
      </c>
      <c r="M1145" s="1">
        <v>1200</v>
      </c>
      <c r="O1145" s="1">
        <v>700</v>
      </c>
      <c r="Q1145" s="1">
        <v>60</v>
      </c>
      <c r="Y1145" s="1">
        <v>0.05</v>
      </c>
      <c r="Z1145" s="1">
        <v>3</v>
      </c>
      <c r="AA1145" s="1">
        <v>4</v>
      </c>
      <c r="AB1145" s="1">
        <v>1</v>
      </c>
      <c r="AG1145" s="1">
        <v>0</v>
      </c>
      <c r="AH1145" s="1">
        <v>1</v>
      </c>
      <c r="AI1145" s="1" t="s">
        <v>4530</v>
      </c>
      <c r="AJ1145" s="1" t="s">
        <v>275</v>
      </c>
      <c r="AK1145" s="1" t="s">
        <v>238</v>
      </c>
      <c r="AM1145" s="1">
        <v>1</v>
      </c>
      <c r="AV1145" s="1">
        <v>1</v>
      </c>
      <c r="AX1145" s="1">
        <v>0.1</v>
      </c>
      <c r="BE1145" s="1" t="s">
        <v>4528</v>
      </c>
      <c r="BK1145" s="1" t="s">
        <v>2313</v>
      </c>
      <c r="BN1145" s="1" t="s">
        <v>217</v>
      </c>
      <c r="BO1145" s="1" t="s">
        <v>218</v>
      </c>
      <c r="BP1145" s="1" t="s">
        <v>239</v>
      </c>
      <c r="BQ1145" s="1" t="s">
        <v>220</v>
      </c>
      <c r="BT1145" s="1">
        <v>1</v>
      </c>
    </row>
    <row r="1146" spans="1:72">
      <c r="A1146" s="1" t="s">
        <v>4531</v>
      </c>
      <c r="B1146" s="1" t="s">
        <v>213</v>
      </c>
      <c r="C1146" s="1">
        <v>1</v>
      </c>
      <c r="D1146" s="1" t="s">
        <v>4526</v>
      </c>
      <c r="E1146" s="1">
        <v>1438</v>
      </c>
      <c r="F1146" s="1" t="s">
        <v>4525</v>
      </c>
      <c r="G1146" s="1">
        <v>1</v>
      </c>
      <c r="K1146" s="1">
        <v>13200</v>
      </c>
      <c r="M1146" s="1">
        <v>1050</v>
      </c>
      <c r="O1146" s="1">
        <v>660</v>
      </c>
      <c r="Q1146" s="1">
        <v>45</v>
      </c>
      <c r="Y1146" s="1">
        <v>0.05</v>
      </c>
      <c r="Z1146" s="1">
        <v>3</v>
      </c>
      <c r="AA1146" s="1">
        <v>4</v>
      </c>
      <c r="AB1146" s="1">
        <v>1</v>
      </c>
      <c r="AG1146" s="1">
        <v>0</v>
      </c>
      <c r="AH1146" s="1">
        <v>1</v>
      </c>
      <c r="AI1146" s="1" t="s">
        <v>4532</v>
      </c>
      <c r="AJ1146" s="1" t="s">
        <v>275</v>
      </c>
      <c r="AK1146" s="1" t="s">
        <v>238</v>
      </c>
      <c r="AM1146" s="1">
        <v>1</v>
      </c>
      <c r="AV1146" s="1">
        <v>1</v>
      </c>
      <c r="AX1146" s="1">
        <v>0.1</v>
      </c>
      <c r="BE1146" s="1" t="s">
        <v>4525</v>
      </c>
      <c r="BK1146" s="1" t="s">
        <v>2313</v>
      </c>
      <c r="BN1146" s="1" t="s">
        <v>4137</v>
      </c>
      <c r="BO1146" s="1" t="s">
        <v>4048</v>
      </c>
      <c r="BP1146" s="1" t="s">
        <v>4049</v>
      </c>
      <c r="BQ1146" s="1" t="s">
        <v>2620</v>
      </c>
      <c r="BT1146" s="1">
        <v>1</v>
      </c>
    </row>
    <row r="1147" spans="1:72">
      <c r="A1147" s="1" t="s">
        <v>4533</v>
      </c>
      <c r="B1147" s="1" t="s">
        <v>213</v>
      </c>
      <c r="C1147" s="1">
        <v>1</v>
      </c>
      <c r="D1147" s="1" t="s">
        <v>4529</v>
      </c>
      <c r="E1147" s="1">
        <v>1438</v>
      </c>
      <c r="F1147" s="1" t="s">
        <v>4528</v>
      </c>
      <c r="G1147" s="1">
        <v>1</v>
      </c>
      <c r="K1147" s="1">
        <v>14500</v>
      </c>
      <c r="M1147" s="1">
        <v>1200</v>
      </c>
      <c r="O1147" s="1">
        <v>700</v>
      </c>
      <c r="Q1147" s="1">
        <v>60</v>
      </c>
      <c r="Y1147" s="1">
        <v>0.05</v>
      </c>
      <c r="Z1147" s="1">
        <v>3</v>
      </c>
      <c r="AA1147" s="1">
        <v>4</v>
      </c>
      <c r="AB1147" s="1">
        <v>1</v>
      </c>
      <c r="AG1147" s="1">
        <v>0</v>
      </c>
      <c r="AH1147" s="1">
        <v>1</v>
      </c>
      <c r="AI1147" s="1" t="s">
        <v>4534</v>
      </c>
      <c r="AJ1147" s="1" t="s">
        <v>275</v>
      </c>
      <c r="AK1147" s="1" t="s">
        <v>238</v>
      </c>
      <c r="AM1147" s="1">
        <v>1</v>
      </c>
      <c r="AV1147" s="1">
        <v>1</v>
      </c>
      <c r="AX1147" s="1">
        <v>0.1</v>
      </c>
      <c r="BE1147" s="1" t="s">
        <v>4528</v>
      </c>
      <c r="BK1147" s="1" t="s">
        <v>2313</v>
      </c>
      <c r="BN1147" s="1" t="s">
        <v>4137</v>
      </c>
      <c r="BO1147" s="1" t="s">
        <v>4048</v>
      </c>
      <c r="BP1147" s="1" t="s">
        <v>4049</v>
      </c>
      <c r="BQ1147" s="1" t="s">
        <v>2620</v>
      </c>
      <c r="BT1147" s="1">
        <v>1</v>
      </c>
    </row>
    <row r="1148" spans="1:72">
      <c r="A1148" s="1" t="s">
        <v>4535</v>
      </c>
      <c r="B1148" s="1" t="s">
        <v>213</v>
      </c>
      <c r="C1148" s="1">
        <v>1</v>
      </c>
      <c r="D1148" s="1" t="s">
        <v>4536</v>
      </c>
      <c r="E1148" s="1">
        <v>1439</v>
      </c>
      <c r="F1148" s="1" t="s">
        <v>4535</v>
      </c>
      <c r="G1148" s="1">
        <v>1</v>
      </c>
      <c r="K1148" s="1">
        <v>30000</v>
      </c>
      <c r="M1148" s="1">
        <v>500</v>
      </c>
      <c r="O1148" s="1">
        <v>0</v>
      </c>
      <c r="Q1148" s="1">
        <v>70</v>
      </c>
      <c r="Y1148" s="1">
        <v>0.05</v>
      </c>
      <c r="Z1148" s="1">
        <v>3</v>
      </c>
      <c r="AA1148" s="1">
        <v>2</v>
      </c>
      <c r="AB1148" s="1">
        <v>0.25</v>
      </c>
      <c r="AG1148" s="1">
        <v>0</v>
      </c>
      <c r="AH1148" s="1">
        <v>1</v>
      </c>
      <c r="AI1148" s="1" t="s">
        <v>4537</v>
      </c>
      <c r="AJ1148" s="1" t="s">
        <v>275</v>
      </c>
      <c r="AK1148" s="1" t="s">
        <v>238</v>
      </c>
      <c r="AM1148" s="1">
        <v>1</v>
      </c>
      <c r="AV1148" s="1">
        <v>1</v>
      </c>
      <c r="AX1148" s="1">
        <v>0.1</v>
      </c>
      <c r="BE1148" s="1" t="s">
        <v>4535</v>
      </c>
      <c r="BK1148" s="1" t="s">
        <v>2313</v>
      </c>
      <c r="BN1148" s="1" t="s">
        <v>217</v>
      </c>
      <c r="BO1148" s="1" t="s">
        <v>218</v>
      </c>
      <c r="BP1148" s="1" t="s">
        <v>239</v>
      </c>
      <c r="BQ1148" s="1" t="s">
        <v>220</v>
      </c>
      <c r="BT1148" s="1">
        <v>1</v>
      </c>
    </row>
    <row r="1149" spans="1:72">
      <c r="A1149" s="1" t="s">
        <v>4538</v>
      </c>
      <c r="B1149" s="1" t="s">
        <v>213</v>
      </c>
      <c r="C1149" s="1">
        <v>1</v>
      </c>
      <c r="D1149" s="1" t="s">
        <v>4539</v>
      </c>
      <c r="E1149" s="1">
        <v>1439</v>
      </c>
      <c r="F1149" s="1" t="s">
        <v>4538</v>
      </c>
      <c r="G1149" s="1">
        <v>1</v>
      </c>
      <c r="K1149" s="1">
        <v>33000</v>
      </c>
      <c r="M1149" s="1">
        <v>600</v>
      </c>
      <c r="O1149" s="1">
        <v>0</v>
      </c>
      <c r="Q1149" s="1">
        <v>80</v>
      </c>
      <c r="Y1149" s="1">
        <v>0.05</v>
      </c>
      <c r="Z1149" s="1">
        <v>3</v>
      </c>
      <c r="AA1149" s="1">
        <v>2</v>
      </c>
      <c r="AB1149" s="1">
        <v>0.25</v>
      </c>
      <c r="AG1149" s="1">
        <v>0</v>
      </c>
      <c r="AH1149" s="1">
        <v>1</v>
      </c>
      <c r="AI1149" s="1" t="s">
        <v>4540</v>
      </c>
      <c r="AJ1149" s="1" t="s">
        <v>275</v>
      </c>
      <c r="AK1149" s="1" t="s">
        <v>238</v>
      </c>
      <c r="AM1149" s="1">
        <v>1</v>
      </c>
      <c r="AV1149" s="1">
        <v>1</v>
      </c>
      <c r="AX1149" s="1">
        <v>0.1</v>
      </c>
      <c r="BE1149" s="1" t="s">
        <v>4538</v>
      </c>
      <c r="BK1149" s="1" t="s">
        <v>2313</v>
      </c>
      <c r="BN1149" s="1" t="s">
        <v>217</v>
      </c>
      <c r="BO1149" s="1" t="s">
        <v>218</v>
      </c>
      <c r="BP1149" s="1" t="s">
        <v>239</v>
      </c>
      <c r="BQ1149" s="1" t="s">
        <v>220</v>
      </c>
      <c r="BT1149" s="1">
        <v>1</v>
      </c>
    </row>
    <row r="1150" spans="1:72">
      <c r="A1150" s="1" t="s">
        <v>4541</v>
      </c>
      <c r="B1150" s="1" t="s">
        <v>213</v>
      </c>
      <c r="C1150" s="1">
        <v>1</v>
      </c>
      <c r="D1150" s="1" t="s">
        <v>4542</v>
      </c>
      <c r="E1150" s="1">
        <v>1440</v>
      </c>
      <c r="F1150" s="1" t="s">
        <v>4541</v>
      </c>
      <c r="G1150" s="1">
        <v>1</v>
      </c>
      <c r="K1150" s="1">
        <v>19000</v>
      </c>
      <c r="M1150" s="1">
        <v>720</v>
      </c>
      <c r="O1150" s="1">
        <v>900</v>
      </c>
      <c r="Q1150" s="1">
        <v>35</v>
      </c>
      <c r="Y1150" s="1">
        <v>0.05</v>
      </c>
      <c r="Z1150" s="1">
        <v>5</v>
      </c>
      <c r="AA1150" s="1">
        <v>5</v>
      </c>
      <c r="AB1150" s="1">
        <v>0.55</v>
      </c>
      <c r="AG1150" s="1">
        <v>0</v>
      </c>
      <c r="AH1150" s="1">
        <v>1</v>
      </c>
      <c r="AI1150" s="1" t="s">
        <v>4543</v>
      </c>
      <c r="AJ1150" s="1" t="s">
        <v>275</v>
      </c>
      <c r="AK1150" s="1" t="s">
        <v>238</v>
      </c>
      <c r="AM1150" s="1">
        <v>1</v>
      </c>
      <c r="AV1150" s="1">
        <v>1</v>
      </c>
      <c r="AX1150" s="1">
        <v>0.1</v>
      </c>
      <c r="BE1150" s="1" t="s">
        <v>4541</v>
      </c>
      <c r="BK1150" s="1" t="s">
        <v>980</v>
      </c>
      <c r="BN1150" s="1" t="s">
        <v>217</v>
      </c>
      <c r="BO1150" s="1" t="s">
        <v>218</v>
      </c>
      <c r="BP1150" s="1" t="s">
        <v>239</v>
      </c>
      <c r="BQ1150" s="1" t="s">
        <v>220</v>
      </c>
      <c r="BT1150" s="1">
        <v>1</v>
      </c>
    </row>
    <row r="1151" spans="1:72">
      <c r="A1151" s="1" t="s">
        <v>4544</v>
      </c>
      <c r="B1151" s="1" t="s">
        <v>213</v>
      </c>
      <c r="C1151" s="1">
        <v>1</v>
      </c>
      <c r="D1151" s="1" t="s">
        <v>4545</v>
      </c>
      <c r="E1151" s="1">
        <v>1440</v>
      </c>
      <c r="F1151" s="1" t="s">
        <v>4544</v>
      </c>
      <c r="G1151" s="1">
        <v>1</v>
      </c>
      <c r="K1151" s="1">
        <v>22000</v>
      </c>
      <c r="M1151" s="1">
        <v>880</v>
      </c>
      <c r="O1151" s="1">
        <v>950</v>
      </c>
      <c r="Q1151" s="1">
        <v>40</v>
      </c>
      <c r="Y1151" s="1">
        <v>0.05</v>
      </c>
      <c r="Z1151" s="1">
        <v>5</v>
      </c>
      <c r="AA1151" s="1">
        <v>5</v>
      </c>
      <c r="AB1151" s="1">
        <v>0.55</v>
      </c>
      <c r="AG1151" s="1">
        <v>0</v>
      </c>
      <c r="AH1151" s="1">
        <v>1</v>
      </c>
      <c r="AI1151" s="1" t="s">
        <v>4546</v>
      </c>
      <c r="AJ1151" s="1" t="s">
        <v>275</v>
      </c>
      <c r="AK1151" s="1" t="s">
        <v>238</v>
      </c>
      <c r="AM1151" s="1">
        <v>1</v>
      </c>
      <c r="AV1151" s="1">
        <v>1</v>
      </c>
      <c r="AX1151" s="1">
        <v>0.1</v>
      </c>
      <c r="BE1151" s="1" t="s">
        <v>4544</v>
      </c>
      <c r="BK1151" s="1" t="s">
        <v>980</v>
      </c>
      <c r="BN1151" s="1" t="s">
        <v>217</v>
      </c>
      <c r="BO1151" s="1" t="s">
        <v>218</v>
      </c>
      <c r="BP1151" s="1" t="s">
        <v>239</v>
      </c>
      <c r="BQ1151" s="1" t="s">
        <v>220</v>
      </c>
      <c r="BT1151" s="1">
        <v>1</v>
      </c>
    </row>
    <row r="1152" spans="1:72">
      <c r="A1152" s="1" t="s">
        <v>4547</v>
      </c>
      <c r="B1152" s="1" t="s">
        <v>213</v>
      </c>
      <c r="C1152" s="1">
        <v>1</v>
      </c>
      <c r="D1152" s="1" t="s">
        <v>4548</v>
      </c>
      <c r="E1152" s="1">
        <v>1556</v>
      </c>
      <c r="F1152" s="1" t="s">
        <v>4547</v>
      </c>
      <c r="G1152" s="1">
        <v>1</v>
      </c>
      <c r="K1152" s="1">
        <v>100000</v>
      </c>
      <c r="M1152" s="1">
        <v>0</v>
      </c>
      <c r="O1152" s="1">
        <v>0</v>
      </c>
      <c r="Q1152" s="1">
        <v>0</v>
      </c>
      <c r="Y1152" s="1">
        <v>0.05</v>
      </c>
      <c r="Z1152" s="1">
        <v>4</v>
      </c>
      <c r="AA1152" s="1">
        <v>10</v>
      </c>
      <c r="AB1152" s="1">
        <v>0.5</v>
      </c>
      <c r="AG1152" s="1">
        <v>0</v>
      </c>
      <c r="AH1152" s="1">
        <v>1</v>
      </c>
      <c r="AI1152" s="1" t="s">
        <v>4549</v>
      </c>
      <c r="AJ1152" s="1" t="s">
        <v>3394</v>
      </c>
      <c r="AK1152" s="1" t="s">
        <v>238</v>
      </c>
      <c r="AM1152" s="1">
        <v>1</v>
      </c>
      <c r="AV1152" s="1">
        <v>1</v>
      </c>
      <c r="AX1152" s="1">
        <v>0.1</v>
      </c>
      <c r="BA1152" s="1">
        <v>1</v>
      </c>
      <c r="BE1152" s="1" t="s">
        <v>4547</v>
      </c>
      <c r="BK1152" s="1" t="s">
        <v>2352</v>
      </c>
      <c r="BN1152" s="1" t="s">
        <v>217</v>
      </c>
      <c r="BO1152" s="1" t="s">
        <v>2618</v>
      </c>
      <c r="BP1152" s="1" t="s">
        <v>2619</v>
      </c>
      <c r="BQ1152" s="1" t="s">
        <v>2620</v>
      </c>
      <c r="BT1152" s="1">
        <v>1</v>
      </c>
    </row>
    <row r="1153" spans="1:72">
      <c r="A1153" s="1" t="s">
        <v>4550</v>
      </c>
      <c r="B1153" s="1" t="s">
        <v>213</v>
      </c>
      <c r="C1153" s="1">
        <v>1</v>
      </c>
      <c r="D1153" s="1" t="s">
        <v>4551</v>
      </c>
      <c r="E1153" s="1">
        <v>10010</v>
      </c>
      <c r="F1153" s="1" t="s">
        <v>4550</v>
      </c>
      <c r="G1153" s="1">
        <v>1</v>
      </c>
      <c r="K1153" s="1">
        <v>4000</v>
      </c>
      <c r="M1153" s="1">
        <v>320</v>
      </c>
      <c r="O1153" s="1">
        <v>100</v>
      </c>
      <c r="Q1153" s="1">
        <v>10</v>
      </c>
      <c r="Y1153" s="1">
        <v>0.05</v>
      </c>
      <c r="Z1153" s="1">
        <v>2</v>
      </c>
      <c r="AA1153" s="1">
        <v>1</v>
      </c>
      <c r="AB1153" s="1">
        <v>1</v>
      </c>
      <c r="AG1153" s="1">
        <v>0</v>
      </c>
      <c r="AH1153" s="1">
        <v>1</v>
      </c>
      <c r="AI1153" s="1" t="s">
        <v>4552</v>
      </c>
      <c r="AJ1153" s="1" t="s">
        <v>4471</v>
      </c>
      <c r="AK1153" s="1" t="s">
        <v>238</v>
      </c>
      <c r="AM1153" s="1">
        <v>1</v>
      </c>
      <c r="AV1153" s="1">
        <v>1</v>
      </c>
      <c r="AX1153" s="1">
        <v>0.1</v>
      </c>
      <c r="BE1153" s="1" t="s">
        <v>4550</v>
      </c>
      <c r="BK1153" s="1" t="s">
        <v>4553</v>
      </c>
      <c r="BN1153" s="1" t="s">
        <v>217</v>
      </c>
      <c r="BO1153" s="1" t="s">
        <v>218</v>
      </c>
      <c r="BP1153" s="1" t="s">
        <v>239</v>
      </c>
      <c r="BQ1153" s="1" t="s">
        <v>220</v>
      </c>
      <c r="BT1153" s="1">
        <v>1</v>
      </c>
    </row>
    <row r="1154" spans="1:72">
      <c r="A1154" s="1" t="s">
        <v>4554</v>
      </c>
      <c r="B1154" s="1" t="s">
        <v>213</v>
      </c>
      <c r="C1154" s="1">
        <v>1</v>
      </c>
      <c r="D1154" s="1" t="s">
        <v>4555</v>
      </c>
      <c r="E1154" s="1">
        <v>10010</v>
      </c>
      <c r="F1154" s="1" t="s">
        <v>4554</v>
      </c>
      <c r="G1154" s="1">
        <v>1</v>
      </c>
      <c r="K1154" s="1">
        <v>5000</v>
      </c>
      <c r="M1154" s="1">
        <v>380</v>
      </c>
      <c r="O1154" s="1">
        <v>120</v>
      </c>
      <c r="Q1154" s="1">
        <v>10</v>
      </c>
      <c r="Y1154" s="1">
        <v>0.05</v>
      </c>
      <c r="Z1154" s="1">
        <v>2</v>
      </c>
      <c r="AA1154" s="1">
        <v>1</v>
      </c>
      <c r="AB1154" s="1">
        <v>1</v>
      </c>
      <c r="AG1154" s="1">
        <v>0</v>
      </c>
      <c r="AH1154" s="1">
        <v>1</v>
      </c>
      <c r="AI1154" s="1" t="s">
        <v>4556</v>
      </c>
      <c r="AJ1154" s="1" t="s">
        <v>4471</v>
      </c>
      <c r="AK1154" s="1" t="s">
        <v>238</v>
      </c>
      <c r="AM1154" s="1">
        <v>1</v>
      </c>
      <c r="AV1154" s="1">
        <v>1</v>
      </c>
      <c r="AX1154" s="1">
        <v>0.1</v>
      </c>
      <c r="BE1154" s="1" t="s">
        <v>4554</v>
      </c>
      <c r="BK1154" s="1" t="s">
        <v>4553</v>
      </c>
      <c r="BN1154" s="1" t="s">
        <v>217</v>
      </c>
      <c r="BO1154" s="1" t="s">
        <v>218</v>
      </c>
      <c r="BP1154" s="1" t="s">
        <v>239</v>
      </c>
      <c r="BQ1154" s="1" t="s">
        <v>220</v>
      </c>
      <c r="BT1154" s="1">
        <v>1</v>
      </c>
    </row>
    <row r="1155" spans="1:72">
      <c r="A1155" s="1" t="s">
        <v>4557</v>
      </c>
      <c r="B1155" s="1" t="s">
        <v>213</v>
      </c>
      <c r="C1155" s="1">
        <v>1</v>
      </c>
      <c r="D1155" s="1" t="s">
        <v>4558</v>
      </c>
      <c r="E1155" s="1">
        <v>10011</v>
      </c>
      <c r="F1155" s="1" t="s">
        <v>4557</v>
      </c>
      <c r="G1155" s="1">
        <v>1</v>
      </c>
      <c r="K1155" s="1">
        <v>4000</v>
      </c>
      <c r="M1155" s="1">
        <v>250</v>
      </c>
      <c r="O1155" s="1">
        <v>150</v>
      </c>
      <c r="Q1155" s="1">
        <v>10</v>
      </c>
      <c r="Y1155" s="1">
        <v>0.05</v>
      </c>
      <c r="Z1155" s="1">
        <v>3.5</v>
      </c>
      <c r="AA1155" s="1">
        <v>1</v>
      </c>
      <c r="AB1155" s="1">
        <v>0.9</v>
      </c>
      <c r="AG1155" s="1">
        <v>0</v>
      </c>
      <c r="AH1155" s="1">
        <v>1</v>
      </c>
      <c r="AI1155" s="1" t="s">
        <v>4559</v>
      </c>
      <c r="AJ1155" s="1" t="s">
        <v>3791</v>
      </c>
      <c r="AK1155" s="1" t="s">
        <v>238</v>
      </c>
      <c r="AM1155" s="1">
        <v>1</v>
      </c>
      <c r="AV1155" s="1">
        <v>1</v>
      </c>
      <c r="AX1155" s="1">
        <v>0.1</v>
      </c>
      <c r="BE1155" s="1" t="s">
        <v>4557</v>
      </c>
      <c r="BK1155" s="1" t="s">
        <v>4560</v>
      </c>
      <c r="BN1155" s="1" t="s">
        <v>217</v>
      </c>
      <c r="BO1155" s="1" t="s">
        <v>218</v>
      </c>
      <c r="BP1155" s="1" t="s">
        <v>239</v>
      </c>
      <c r="BQ1155" s="1" t="s">
        <v>220</v>
      </c>
      <c r="BT1155" s="1">
        <v>1</v>
      </c>
    </row>
    <row r="1156" spans="1:72">
      <c r="A1156" s="1" t="s">
        <v>4561</v>
      </c>
      <c r="B1156" s="1" t="s">
        <v>213</v>
      </c>
      <c r="C1156" s="1">
        <v>1</v>
      </c>
      <c r="D1156" s="1" t="s">
        <v>4562</v>
      </c>
      <c r="E1156" s="1">
        <v>10011</v>
      </c>
      <c r="F1156" s="1" t="s">
        <v>4561</v>
      </c>
      <c r="G1156" s="1">
        <v>1</v>
      </c>
      <c r="K1156" s="1">
        <v>4800</v>
      </c>
      <c r="M1156" s="1">
        <v>350</v>
      </c>
      <c r="O1156" s="1">
        <v>200</v>
      </c>
      <c r="Q1156" s="1">
        <v>10</v>
      </c>
      <c r="Y1156" s="1">
        <v>0.05</v>
      </c>
      <c r="Z1156" s="1">
        <v>3.5</v>
      </c>
      <c r="AA1156" s="1">
        <v>1</v>
      </c>
      <c r="AB1156" s="1">
        <v>0.9</v>
      </c>
      <c r="AG1156" s="1">
        <v>0</v>
      </c>
      <c r="AH1156" s="1">
        <v>1</v>
      </c>
      <c r="AI1156" s="1" t="s">
        <v>4563</v>
      </c>
      <c r="AJ1156" s="1" t="s">
        <v>3791</v>
      </c>
      <c r="AK1156" s="1" t="s">
        <v>238</v>
      </c>
      <c r="AM1156" s="1">
        <v>1</v>
      </c>
      <c r="AV1156" s="1">
        <v>1</v>
      </c>
      <c r="AX1156" s="1">
        <v>0.1</v>
      </c>
      <c r="BE1156" s="1" t="s">
        <v>4561</v>
      </c>
      <c r="BK1156" s="1" t="s">
        <v>4560</v>
      </c>
      <c r="BN1156" s="1" t="s">
        <v>217</v>
      </c>
      <c r="BO1156" s="1" t="s">
        <v>218</v>
      </c>
      <c r="BP1156" s="1" t="s">
        <v>239</v>
      </c>
      <c r="BQ1156" s="1" t="s">
        <v>220</v>
      </c>
      <c r="BT1156" s="1">
        <v>1</v>
      </c>
    </row>
    <row r="1157" spans="1:72">
      <c r="A1157" s="1" t="s">
        <v>4564</v>
      </c>
      <c r="B1157" s="1" t="s">
        <v>213</v>
      </c>
      <c r="C1157" s="1">
        <v>1</v>
      </c>
      <c r="D1157" s="1" t="s">
        <v>4565</v>
      </c>
      <c r="E1157" s="1">
        <v>10012</v>
      </c>
      <c r="F1157" s="1" t="s">
        <v>4564</v>
      </c>
      <c r="G1157" s="1">
        <v>1</v>
      </c>
      <c r="K1157" s="1">
        <v>2800</v>
      </c>
      <c r="M1157" s="1">
        <v>150</v>
      </c>
      <c r="O1157" s="1">
        <v>50</v>
      </c>
      <c r="Q1157" s="1">
        <v>10</v>
      </c>
      <c r="Y1157" s="1">
        <v>0.05</v>
      </c>
      <c r="Z1157" s="1">
        <v>2</v>
      </c>
      <c r="AA1157" s="1">
        <v>0</v>
      </c>
      <c r="AB1157" s="1">
        <v>1</v>
      </c>
      <c r="AG1157" s="1">
        <v>0</v>
      </c>
      <c r="AH1157" s="1">
        <v>1</v>
      </c>
      <c r="AI1157" s="1" t="s">
        <v>4566</v>
      </c>
      <c r="AJ1157" s="1" t="s">
        <v>4511</v>
      </c>
      <c r="AK1157" s="1" t="s">
        <v>238</v>
      </c>
      <c r="AM1157" s="1">
        <v>1</v>
      </c>
      <c r="AV1157" s="1">
        <v>1</v>
      </c>
      <c r="AX1157" s="1">
        <v>0.1</v>
      </c>
      <c r="BE1157" s="1" t="s">
        <v>4564</v>
      </c>
      <c r="BK1157" s="1" t="s">
        <v>4553</v>
      </c>
      <c r="BN1157" s="1" t="s">
        <v>217</v>
      </c>
      <c r="BO1157" s="1" t="s">
        <v>218</v>
      </c>
      <c r="BP1157" s="1" t="s">
        <v>239</v>
      </c>
      <c r="BQ1157" s="1" t="s">
        <v>220</v>
      </c>
      <c r="BT1157" s="1">
        <v>1</v>
      </c>
    </row>
    <row r="1158" spans="1:72">
      <c r="A1158" s="1" t="s">
        <v>4567</v>
      </c>
      <c r="B1158" s="1" t="s">
        <v>213</v>
      </c>
      <c r="C1158" s="1">
        <v>1</v>
      </c>
      <c r="D1158" s="1" t="s">
        <v>4568</v>
      </c>
      <c r="E1158" s="1">
        <v>10012</v>
      </c>
      <c r="F1158" s="1" t="s">
        <v>4567</v>
      </c>
      <c r="G1158" s="1">
        <v>1</v>
      </c>
      <c r="K1158" s="1">
        <v>3500</v>
      </c>
      <c r="M1158" s="1">
        <v>250</v>
      </c>
      <c r="O1158" s="1">
        <v>50</v>
      </c>
      <c r="Q1158" s="1">
        <v>10</v>
      </c>
      <c r="Y1158" s="1">
        <v>0.05</v>
      </c>
      <c r="Z1158" s="1">
        <v>2</v>
      </c>
      <c r="AA1158" s="1">
        <v>0</v>
      </c>
      <c r="AB1158" s="1">
        <v>1</v>
      </c>
      <c r="AG1158" s="1">
        <v>0</v>
      </c>
      <c r="AH1158" s="1">
        <v>1</v>
      </c>
      <c r="AI1158" s="1" t="s">
        <v>4569</v>
      </c>
      <c r="AJ1158" s="1" t="s">
        <v>4511</v>
      </c>
      <c r="AK1158" s="1" t="s">
        <v>238</v>
      </c>
      <c r="AM1158" s="1">
        <v>1</v>
      </c>
      <c r="AV1158" s="1">
        <v>1</v>
      </c>
      <c r="AX1158" s="1">
        <v>0.1</v>
      </c>
      <c r="BE1158" s="1" t="s">
        <v>4567</v>
      </c>
      <c r="BK1158" s="1" t="s">
        <v>4553</v>
      </c>
      <c r="BN1158" s="1" t="s">
        <v>217</v>
      </c>
      <c r="BO1158" s="1" t="s">
        <v>218</v>
      </c>
      <c r="BP1158" s="1" t="s">
        <v>239</v>
      </c>
      <c r="BQ1158" s="1" t="s">
        <v>220</v>
      </c>
      <c r="BT1158" s="1">
        <v>1</v>
      </c>
    </row>
    <row r="1159" spans="1:72">
      <c r="A1159" s="1" t="s">
        <v>4570</v>
      </c>
      <c r="B1159" s="1" t="s">
        <v>213</v>
      </c>
      <c r="C1159" s="1">
        <v>1</v>
      </c>
      <c r="D1159" s="1" t="s">
        <v>4571</v>
      </c>
      <c r="E1159" s="1">
        <v>10013</v>
      </c>
      <c r="F1159" s="1" t="s">
        <v>4570</v>
      </c>
      <c r="G1159" s="1">
        <v>1</v>
      </c>
      <c r="K1159" s="1">
        <v>8000</v>
      </c>
      <c r="M1159" s="1">
        <v>700</v>
      </c>
      <c r="O1159" s="1">
        <v>800</v>
      </c>
      <c r="Q1159" s="1">
        <v>0</v>
      </c>
      <c r="Y1159" s="1">
        <v>0.05</v>
      </c>
      <c r="Z1159" s="1">
        <v>5</v>
      </c>
      <c r="AA1159" s="1">
        <v>3</v>
      </c>
      <c r="AB1159" s="1">
        <v>0.4</v>
      </c>
      <c r="AG1159" s="1">
        <v>0</v>
      </c>
      <c r="AH1159" s="1">
        <v>1</v>
      </c>
      <c r="AI1159" s="1" t="s">
        <v>4572</v>
      </c>
      <c r="AJ1159" s="1" t="s">
        <v>4511</v>
      </c>
      <c r="AK1159" s="1" t="s">
        <v>238</v>
      </c>
      <c r="AM1159" s="1">
        <v>1</v>
      </c>
      <c r="AV1159" s="1">
        <v>1</v>
      </c>
      <c r="AX1159" s="1">
        <v>0.1</v>
      </c>
      <c r="BE1159" s="1" t="s">
        <v>4570</v>
      </c>
      <c r="BK1159" s="1" t="s">
        <v>4553</v>
      </c>
      <c r="BN1159" s="1" t="s">
        <v>217</v>
      </c>
      <c r="BO1159" s="1" t="s">
        <v>218</v>
      </c>
      <c r="BP1159" s="1" t="s">
        <v>239</v>
      </c>
      <c r="BQ1159" s="1" t="s">
        <v>220</v>
      </c>
      <c r="BT1159" s="1">
        <v>1</v>
      </c>
    </row>
    <row r="1160" spans="1:72">
      <c r="A1160" s="1" t="s">
        <v>4573</v>
      </c>
      <c r="B1160" s="1" t="s">
        <v>213</v>
      </c>
      <c r="C1160" s="1">
        <v>1</v>
      </c>
      <c r="D1160" s="1" t="s">
        <v>4574</v>
      </c>
      <c r="E1160" s="1">
        <v>10013</v>
      </c>
      <c r="F1160" s="1" t="s">
        <v>4573</v>
      </c>
      <c r="G1160" s="1">
        <v>1</v>
      </c>
      <c r="K1160" s="1">
        <v>10000</v>
      </c>
      <c r="M1160" s="1">
        <v>800</v>
      </c>
      <c r="O1160" s="1">
        <v>900</v>
      </c>
      <c r="Q1160" s="1">
        <v>0</v>
      </c>
      <c r="Y1160" s="1">
        <v>0.05</v>
      </c>
      <c r="Z1160" s="1">
        <v>5</v>
      </c>
      <c r="AA1160" s="1">
        <v>3</v>
      </c>
      <c r="AB1160" s="1">
        <v>0.4</v>
      </c>
      <c r="AG1160" s="1">
        <v>0</v>
      </c>
      <c r="AH1160" s="1">
        <v>1</v>
      </c>
      <c r="AI1160" s="1" t="s">
        <v>4575</v>
      </c>
      <c r="AJ1160" s="1" t="s">
        <v>4511</v>
      </c>
      <c r="AK1160" s="1" t="s">
        <v>238</v>
      </c>
      <c r="AM1160" s="1">
        <v>1</v>
      </c>
      <c r="AV1160" s="1">
        <v>1</v>
      </c>
      <c r="AX1160" s="1">
        <v>0.1</v>
      </c>
      <c r="BE1160" s="1" t="s">
        <v>4573</v>
      </c>
      <c r="BK1160" s="1" t="s">
        <v>4553</v>
      </c>
      <c r="BN1160" s="1" t="s">
        <v>217</v>
      </c>
      <c r="BO1160" s="1" t="s">
        <v>218</v>
      </c>
      <c r="BP1160" s="1" t="s">
        <v>239</v>
      </c>
      <c r="BQ1160" s="1" t="s">
        <v>220</v>
      </c>
      <c r="BT1160" s="1">
        <v>1</v>
      </c>
    </row>
    <row r="1161" spans="1:72">
      <c r="A1161" s="1" t="s">
        <v>4576</v>
      </c>
      <c r="B1161" s="1" t="s">
        <v>213</v>
      </c>
      <c r="C1161" s="1">
        <v>1</v>
      </c>
      <c r="D1161" s="1" t="s">
        <v>4577</v>
      </c>
      <c r="E1161" s="1">
        <v>10014</v>
      </c>
      <c r="F1161" s="1" t="s">
        <v>4576</v>
      </c>
      <c r="G1161" s="1">
        <v>1</v>
      </c>
      <c r="K1161" s="1">
        <v>20000</v>
      </c>
      <c r="M1161" s="1">
        <v>1000</v>
      </c>
      <c r="O1161" s="1">
        <v>200</v>
      </c>
      <c r="Q1161" s="1">
        <v>20</v>
      </c>
      <c r="Y1161" s="1">
        <v>0.05</v>
      </c>
      <c r="Z1161" s="1">
        <v>1.3</v>
      </c>
      <c r="AA1161" s="1">
        <v>3</v>
      </c>
      <c r="AB1161" s="1">
        <v>0.6</v>
      </c>
      <c r="AG1161" s="1">
        <v>0</v>
      </c>
      <c r="AH1161" s="1">
        <v>1</v>
      </c>
      <c r="AI1161" s="1" t="s">
        <v>4578</v>
      </c>
      <c r="AJ1161" s="1" t="s">
        <v>275</v>
      </c>
      <c r="AK1161" s="1" t="s">
        <v>238</v>
      </c>
      <c r="AM1161" s="1">
        <v>1</v>
      </c>
      <c r="AV1161" s="1">
        <v>1</v>
      </c>
      <c r="AX1161" s="1">
        <v>0.1</v>
      </c>
      <c r="BE1161" s="1" t="s">
        <v>4576</v>
      </c>
      <c r="BK1161" s="1" t="s">
        <v>4553</v>
      </c>
      <c r="BN1161" s="1" t="s">
        <v>217</v>
      </c>
      <c r="BO1161" s="1" t="s">
        <v>218</v>
      </c>
      <c r="BP1161" s="1" t="s">
        <v>239</v>
      </c>
      <c r="BQ1161" s="1" t="s">
        <v>220</v>
      </c>
      <c r="BT1161" s="1">
        <v>1</v>
      </c>
    </row>
    <row r="1162" spans="1:72">
      <c r="A1162" s="1" t="s">
        <v>4579</v>
      </c>
      <c r="B1162" s="1" t="s">
        <v>213</v>
      </c>
      <c r="C1162" s="1">
        <v>1</v>
      </c>
      <c r="D1162" s="1" t="s">
        <v>4580</v>
      </c>
      <c r="E1162" s="1">
        <v>10014</v>
      </c>
      <c r="F1162" s="1" t="s">
        <v>4579</v>
      </c>
      <c r="G1162" s="1">
        <v>1</v>
      </c>
      <c r="K1162" s="1">
        <v>25000</v>
      </c>
      <c r="M1162" s="1">
        <v>1750</v>
      </c>
      <c r="O1162" s="1">
        <v>200</v>
      </c>
      <c r="Q1162" s="1">
        <v>20</v>
      </c>
      <c r="Y1162" s="1">
        <v>0.05</v>
      </c>
      <c r="Z1162" s="1">
        <v>1.3</v>
      </c>
      <c r="AA1162" s="1">
        <v>3</v>
      </c>
      <c r="AB1162" s="1">
        <v>0.6</v>
      </c>
      <c r="AG1162" s="1">
        <v>0</v>
      </c>
      <c r="AH1162" s="1">
        <v>1</v>
      </c>
      <c r="AI1162" s="1" t="s">
        <v>4581</v>
      </c>
      <c r="AJ1162" s="1" t="s">
        <v>275</v>
      </c>
      <c r="AK1162" s="1" t="s">
        <v>238</v>
      </c>
      <c r="AM1162" s="1">
        <v>1</v>
      </c>
      <c r="AV1162" s="1">
        <v>1</v>
      </c>
      <c r="AX1162" s="1">
        <v>0.1</v>
      </c>
      <c r="BE1162" s="1" t="s">
        <v>4579</v>
      </c>
      <c r="BK1162" s="1" t="s">
        <v>4553</v>
      </c>
      <c r="BN1162" s="1" t="s">
        <v>217</v>
      </c>
      <c r="BO1162" s="1" t="s">
        <v>218</v>
      </c>
      <c r="BP1162" s="1" t="s">
        <v>239</v>
      </c>
      <c r="BQ1162" s="1" t="s">
        <v>220</v>
      </c>
      <c r="BT1162" s="1">
        <v>1</v>
      </c>
    </row>
    <row r="1163" spans="1:72">
      <c r="A1163" s="1" t="s">
        <v>4582</v>
      </c>
      <c r="B1163" s="1" t="s">
        <v>213</v>
      </c>
      <c r="C1163" s="1">
        <v>1</v>
      </c>
      <c r="D1163" s="1" t="s">
        <v>4583</v>
      </c>
      <c r="E1163" s="1">
        <v>10015</v>
      </c>
      <c r="F1163" s="1" t="s">
        <v>4582</v>
      </c>
      <c r="G1163" s="1">
        <v>1</v>
      </c>
      <c r="K1163" s="1">
        <v>4000</v>
      </c>
      <c r="M1163" s="1">
        <v>150</v>
      </c>
      <c r="O1163" s="1">
        <v>50</v>
      </c>
      <c r="Q1163" s="1">
        <v>10</v>
      </c>
      <c r="Y1163" s="1">
        <v>0.05</v>
      </c>
      <c r="Z1163" s="1">
        <v>2</v>
      </c>
      <c r="AA1163" s="1">
        <v>2</v>
      </c>
      <c r="AB1163" s="1">
        <v>2.5</v>
      </c>
      <c r="AG1163" s="1">
        <v>0</v>
      </c>
      <c r="AH1163" s="1">
        <v>1</v>
      </c>
      <c r="AI1163" s="1" t="s">
        <v>4584</v>
      </c>
      <c r="AJ1163" s="1" t="s">
        <v>275</v>
      </c>
      <c r="AK1163" s="1" t="s">
        <v>238</v>
      </c>
      <c r="AM1163" s="1">
        <v>1</v>
      </c>
      <c r="AN1163" s="1">
        <v>1</v>
      </c>
      <c r="AV1163" s="1">
        <v>0</v>
      </c>
      <c r="AX1163" s="1">
        <v>0.1</v>
      </c>
      <c r="BE1163" s="1" t="s">
        <v>4582</v>
      </c>
      <c r="BK1163" s="1" t="s">
        <v>4553</v>
      </c>
      <c r="BN1163" s="1" t="s">
        <v>217</v>
      </c>
      <c r="BO1163" s="1" t="s">
        <v>218</v>
      </c>
      <c r="BP1163" s="1" t="s">
        <v>239</v>
      </c>
      <c r="BQ1163" s="1" t="s">
        <v>220</v>
      </c>
      <c r="BT1163" s="1">
        <v>1</v>
      </c>
    </row>
    <row r="1164" spans="1:72">
      <c r="A1164" s="1" t="s">
        <v>4585</v>
      </c>
      <c r="B1164" s="1" t="s">
        <v>213</v>
      </c>
      <c r="C1164" s="1">
        <v>1</v>
      </c>
      <c r="D1164" s="1" t="s">
        <v>4586</v>
      </c>
      <c r="E1164" s="1">
        <v>10015</v>
      </c>
      <c r="F1164" s="1" t="s">
        <v>4585</v>
      </c>
      <c r="G1164" s="1">
        <v>1</v>
      </c>
      <c r="K1164" s="1">
        <v>5000</v>
      </c>
      <c r="M1164" s="1">
        <v>150</v>
      </c>
      <c r="O1164" s="1">
        <v>50</v>
      </c>
      <c r="Q1164" s="1">
        <v>10</v>
      </c>
      <c r="Y1164" s="1">
        <v>0.05</v>
      </c>
      <c r="Z1164" s="1">
        <v>2</v>
      </c>
      <c r="AA1164" s="1">
        <v>2</v>
      </c>
      <c r="AB1164" s="1">
        <v>2.5</v>
      </c>
      <c r="AG1164" s="1">
        <v>0</v>
      </c>
      <c r="AH1164" s="1">
        <v>1</v>
      </c>
      <c r="AI1164" s="1" t="s">
        <v>4587</v>
      </c>
      <c r="AJ1164" s="1" t="s">
        <v>275</v>
      </c>
      <c r="AK1164" s="1" t="s">
        <v>238</v>
      </c>
      <c r="AM1164" s="1">
        <v>1</v>
      </c>
      <c r="AN1164" s="1">
        <v>1</v>
      </c>
      <c r="AV1164" s="1">
        <v>0</v>
      </c>
      <c r="AX1164" s="1">
        <v>0.1</v>
      </c>
      <c r="BE1164" s="1" t="s">
        <v>4585</v>
      </c>
      <c r="BK1164" s="1" t="s">
        <v>4553</v>
      </c>
      <c r="BN1164" s="1" t="s">
        <v>217</v>
      </c>
      <c r="BO1164" s="1" t="s">
        <v>218</v>
      </c>
      <c r="BP1164" s="1" t="s">
        <v>239</v>
      </c>
      <c r="BQ1164" s="1" t="s">
        <v>220</v>
      </c>
      <c r="BT1164" s="1">
        <v>1</v>
      </c>
    </row>
    <row r="1165" spans="1:72">
      <c r="A1165" s="1" t="s">
        <v>4588</v>
      </c>
      <c r="B1165" s="1" t="s">
        <v>213</v>
      </c>
      <c r="C1165" s="1">
        <v>1</v>
      </c>
      <c r="D1165" s="1" t="s">
        <v>4589</v>
      </c>
      <c r="E1165" s="1">
        <v>10016</v>
      </c>
      <c r="F1165" s="1" t="s">
        <v>4588</v>
      </c>
      <c r="G1165" s="1">
        <v>1</v>
      </c>
      <c r="K1165" s="1">
        <v>10000</v>
      </c>
      <c r="M1165" s="1">
        <v>600</v>
      </c>
      <c r="O1165" s="1">
        <v>1000</v>
      </c>
      <c r="Q1165" s="1">
        <v>0</v>
      </c>
      <c r="Y1165" s="1">
        <v>0.05</v>
      </c>
      <c r="Z1165" s="1">
        <v>4</v>
      </c>
      <c r="AA1165" s="1">
        <v>4</v>
      </c>
      <c r="AB1165" s="1">
        <v>0.5</v>
      </c>
      <c r="AG1165" s="1">
        <v>0</v>
      </c>
      <c r="AH1165" s="1">
        <v>1</v>
      </c>
      <c r="AI1165" s="1" t="s">
        <v>4590</v>
      </c>
      <c r="AJ1165" s="1" t="s">
        <v>275</v>
      </c>
      <c r="AK1165" s="1" t="s">
        <v>238</v>
      </c>
      <c r="AM1165" s="1">
        <v>1</v>
      </c>
      <c r="AV1165" s="1">
        <v>1</v>
      </c>
      <c r="AX1165" s="1">
        <v>0.1</v>
      </c>
      <c r="BE1165" s="1" t="s">
        <v>4588</v>
      </c>
      <c r="BK1165" s="1" t="s">
        <v>4591</v>
      </c>
      <c r="BN1165" s="1" t="s">
        <v>217</v>
      </c>
      <c r="BO1165" s="1" t="s">
        <v>218</v>
      </c>
      <c r="BP1165" s="1" t="s">
        <v>239</v>
      </c>
      <c r="BQ1165" s="1" t="s">
        <v>220</v>
      </c>
      <c r="BT1165" s="1">
        <v>1</v>
      </c>
    </row>
    <row r="1166" spans="1:72">
      <c r="A1166" s="1" t="s">
        <v>4592</v>
      </c>
      <c r="B1166" s="1" t="s">
        <v>213</v>
      </c>
      <c r="C1166" s="1">
        <v>1</v>
      </c>
      <c r="D1166" s="1" t="s">
        <v>4593</v>
      </c>
      <c r="E1166" s="1">
        <v>10016</v>
      </c>
      <c r="F1166" s="1" t="s">
        <v>4592</v>
      </c>
      <c r="G1166" s="1">
        <v>1</v>
      </c>
      <c r="K1166" s="1">
        <v>12000</v>
      </c>
      <c r="M1166" s="1">
        <v>700</v>
      </c>
      <c r="O1166" s="1">
        <v>1200</v>
      </c>
      <c r="Q1166" s="1">
        <v>0</v>
      </c>
      <c r="Y1166" s="1">
        <v>0.05</v>
      </c>
      <c r="Z1166" s="1">
        <v>4</v>
      </c>
      <c r="AA1166" s="1">
        <v>4</v>
      </c>
      <c r="AB1166" s="1">
        <v>0.5</v>
      </c>
      <c r="AG1166" s="1">
        <v>0</v>
      </c>
      <c r="AH1166" s="1">
        <v>1</v>
      </c>
      <c r="AI1166" s="1" t="s">
        <v>4594</v>
      </c>
      <c r="AJ1166" s="1" t="s">
        <v>275</v>
      </c>
      <c r="AK1166" s="1" t="s">
        <v>238</v>
      </c>
      <c r="AM1166" s="1">
        <v>1</v>
      </c>
      <c r="AV1166" s="1">
        <v>1</v>
      </c>
      <c r="AX1166" s="1">
        <v>0.1</v>
      </c>
      <c r="BE1166" s="1" t="s">
        <v>4592</v>
      </c>
      <c r="BK1166" s="1" t="s">
        <v>4591</v>
      </c>
      <c r="BN1166" s="1" t="s">
        <v>217</v>
      </c>
      <c r="BO1166" s="1" t="s">
        <v>218</v>
      </c>
      <c r="BP1166" s="1" t="s">
        <v>239</v>
      </c>
      <c r="BQ1166" s="1" t="s">
        <v>220</v>
      </c>
      <c r="BT1166" s="1">
        <v>1</v>
      </c>
    </row>
    <row r="1167" spans="1:72">
      <c r="A1167" s="1" t="s">
        <v>4595</v>
      </c>
      <c r="B1167" s="1" t="s">
        <v>213</v>
      </c>
      <c r="C1167" s="1">
        <v>1</v>
      </c>
      <c r="D1167" s="1" t="s">
        <v>4596</v>
      </c>
      <c r="E1167" s="1">
        <v>10017</v>
      </c>
      <c r="F1167" s="1" t="s">
        <v>4595</v>
      </c>
      <c r="G1167" s="1">
        <v>1</v>
      </c>
      <c r="K1167" s="1">
        <v>15000</v>
      </c>
      <c r="M1167" s="1">
        <v>400</v>
      </c>
      <c r="O1167" s="1">
        <v>200</v>
      </c>
      <c r="Q1167" s="1">
        <v>20</v>
      </c>
      <c r="Y1167" s="1">
        <v>0.05</v>
      </c>
      <c r="Z1167" s="1">
        <v>2</v>
      </c>
      <c r="AA1167" s="1">
        <v>2</v>
      </c>
      <c r="AB1167" s="1">
        <v>0.95</v>
      </c>
      <c r="AG1167" s="1">
        <v>0</v>
      </c>
      <c r="AH1167" s="1">
        <v>1</v>
      </c>
      <c r="AI1167" s="1" t="s">
        <v>4597</v>
      </c>
      <c r="AJ1167" s="1" t="s">
        <v>275</v>
      </c>
      <c r="AK1167" s="1" t="s">
        <v>238</v>
      </c>
      <c r="AM1167" s="1">
        <v>1</v>
      </c>
      <c r="AV1167" s="1">
        <v>1</v>
      </c>
      <c r="AX1167" s="1">
        <v>0.1</v>
      </c>
      <c r="BE1167" s="1" t="s">
        <v>4595</v>
      </c>
      <c r="BK1167" s="1" t="s">
        <v>4591</v>
      </c>
      <c r="BN1167" s="1" t="s">
        <v>217</v>
      </c>
      <c r="BO1167" s="1" t="s">
        <v>218</v>
      </c>
      <c r="BP1167" s="1" t="s">
        <v>239</v>
      </c>
      <c r="BQ1167" s="1" t="s">
        <v>220</v>
      </c>
      <c r="BT1167" s="1">
        <v>1</v>
      </c>
    </row>
    <row r="1168" spans="1:72">
      <c r="A1168" s="1" t="s">
        <v>4598</v>
      </c>
      <c r="B1168" s="1" t="s">
        <v>213</v>
      </c>
      <c r="C1168" s="1">
        <v>1</v>
      </c>
      <c r="D1168" s="1" t="s">
        <v>4599</v>
      </c>
      <c r="E1168" s="1">
        <v>10017</v>
      </c>
      <c r="F1168" s="1" t="s">
        <v>4598</v>
      </c>
      <c r="G1168" s="1">
        <v>1</v>
      </c>
      <c r="K1168" s="1">
        <v>18000</v>
      </c>
      <c r="M1168" s="1">
        <v>600</v>
      </c>
      <c r="O1168" s="1">
        <v>300</v>
      </c>
      <c r="Q1168" s="1">
        <v>20</v>
      </c>
      <c r="Y1168" s="1">
        <v>0.05</v>
      </c>
      <c r="Z1168" s="1">
        <v>2</v>
      </c>
      <c r="AA1168" s="1">
        <v>2</v>
      </c>
      <c r="AB1168" s="1">
        <v>0.95</v>
      </c>
      <c r="AG1168" s="1">
        <v>0</v>
      </c>
      <c r="AH1168" s="1">
        <v>1</v>
      </c>
      <c r="AI1168" s="1" t="s">
        <v>4600</v>
      </c>
      <c r="AJ1168" s="1" t="s">
        <v>275</v>
      </c>
      <c r="AK1168" s="1" t="s">
        <v>238</v>
      </c>
      <c r="AM1168" s="1">
        <v>1</v>
      </c>
      <c r="AV1168" s="1">
        <v>1</v>
      </c>
      <c r="AX1168" s="1">
        <v>0.1</v>
      </c>
      <c r="BE1168" s="1" t="s">
        <v>4598</v>
      </c>
      <c r="BK1168" s="1" t="s">
        <v>4591</v>
      </c>
      <c r="BN1168" s="1" t="s">
        <v>217</v>
      </c>
      <c r="BO1168" s="1" t="s">
        <v>218</v>
      </c>
      <c r="BP1168" s="1" t="s">
        <v>239</v>
      </c>
      <c r="BQ1168" s="1" t="s">
        <v>220</v>
      </c>
      <c r="BT1168" s="1">
        <v>1</v>
      </c>
    </row>
    <row r="1169" spans="1:72">
      <c r="A1169" s="1" t="s">
        <v>4601</v>
      </c>
      <c r="B1169" s="1" t="s">
        <v>213</v>
      </c>
      <c r="C1169" s="1">
        <v>1</v>
      </c>
      <c r="D1169" s="1" t="s">
        <v>4602</v>
      </c>
      <c r="E1169" s="1">
        <v>10018</v>
      </c>
      <c r="F1169" s="1" t="s">
        <v>4601</v>
      </c>
      <c r="G1169" s="1">
        <v>1</v>
      </c>
      <c r="K1169" s="1">
        <v>7500</v>
      </c>
      <c r="M1169" s="1">
        <v>450</v>
      </c>
      <c r="O1169" s="1">
        <v>280</v>
      </c>
      <c r="Q1169" s="1">
        <v>50</v>
      </c>
      <c r="Y1169" s="1">
        <v>0.05</v>
      </c>
      <c r="Z1169" s="1">
        <v>4.5</v>
      </c>
      <c r="AA1169" s="1">
        <v>2</v>
      </c>
      <c r="AB1169" s="1">
        <v>0.7</v>
      </c>
      <c r="AG1169" s="1">
        <v>0</v>
      </c>
      <c r="AH1169" s="1">
        <v>1</v>
      </c>
      <c r="AI1169" s="1" t="s">
        <v>4603</v>
      </c>
      <c r="AJ1169" s="1" t="s">
        <v>4434</v>
      </c>
      <c r="AK1169" s="1" t="s">
        <v>238</v>
      </c>
      <c r="AM1169" s="1">
        <v>1</v>
      </c>
      <c r="AV1169" s="1">
        <v>1</v>
      </c>
      <c r="AX1169" s="1">
        <v>0.1</v>
      </c>
      <c r="BE1169" s="1" t="s">
        <v>4601</v>
      </c>
      <c r="BK1169" s="1" t="s">
        <v>4604</v>
      </c>
      <c r="BN1169" s="1" t="s">
        <v>217</v>
      </c>
      <c r="BO1169" s="1" t="s">
        <v>218</v>
      </c>
      <c r="BP1169" s="1" t="s">
        <v>239</v>
      </c>
      <c r="BQ1169" s="1" t="s">
        <v>220</v>
      </c>
      <c r="BT1169" s="1">
        <v>1</v>
      </c>
    </row>
    <row r="1170" spans="1:72">
      <c r="A1170" s="1" t="s">
        <v>4605</v>
      </c>
      <c r="B1170" s="1" t="s">
        <v>213</v>
      </c>
      <c r="C1170" s="1">
        <v>1</v>
      </c>
      <c r="D1170" s="1" t="s">
        <v>4606</v>
      </c>
      <c r="E1170" s="1">
        <v>10018</v>
      </c>
      <c r="F1170" s="1" t="s">
        <v>4605</v>
      </c>
      <c r="G1170" s="1">
        <v>1</v>
      </c>
      <c r="K1170" s="1">
        <v>9000</v>
      </c>
      <c r="M1170" s="1">
        <v>550</v>
      </c>
      <c r="O1170" s="1">
        <v>320</v>
      </c>
      <c r="Q1170" s="1">
        <v>50</v>
      </c>
      <c r="Y1170" s="1">
        <v>0.05</v>
      </c>
      <c r="Z1170" s="1">
        <v>4.5</v>
      </c>
      <c r="AA1170" s="1">
        <v>2</v>
      </c>
      <c r="AB1170" s="1">
        <v>0.7</v>
      </c>
      <c r="AG1170" s="1">
        <v>0</v>
      </c>
      <c r="AH1170" s="1">
        <v>1</v>
      </c>
      <c r="AI1170" s="1" t="s">
        <v>4607</v>
      </c>
      <c r="AJ1170" s="1" t="s">
        <v>4434</v>
      </c>
      <c r="AK1170" s="1" t="s">
        <v>238</v>
      </c>
      <c r="AM1170" s="1">
        <v>1</v>
      </c>
      <c r="AV1170" s="1">
        <v>1</v>
      </c>
      <c r="AX1170" s="1">
        <v>0.1</v>
      </c>
      <c r="BE1170" s="1" t="s">
        <v>4605</v>
      </c>
      <c r="BK1170" s="1" t="s">
        <v>4604</v>
      </c>
      <c r="BN1170" s="1" t="s">
        <v>217</v>
      </c>
      <c r="BO1170" s="1" t="s">
        <v>218</v>
      </c>
      <c r="BP1170" s="1" t="s">
        <v>239</v>
      </c>
      <c r="BQ1170" s="1" t="s">
        <v>220</v>
      </c>
      <c r="BT1170" s="1">
        <v>1</v>
      </c>
    </row>
    <row r="1171" spans="1:72">
      <c r="A1171" s="1" t="s">
        <v>4608</v>
      </c>
      <c r="B1171" s="1" t="s">
        <v>213</v>
      </c>
      <c r="C1171" s="1">
        <v>1</v>
      </c>
      <c r="D1171" s="1" t="s">
        <v>4609</v>
      </c>
      <c r="E1171" s="1">
        <v>10019</v>
      </c>
      <c r="F1171" s="1" t="s">
        <v>4608</v>
      </c>
      <c r="G1171" s="1">
        <v>1</v>
      </c>
      <c r="K1171" s="1">
        <v>20000</v>
      </c>
      <c r="M1171" s="1">
        <v>1500</v>
      </c>
      <c r="O1171" s="1">
        <v>50</v>
      </c>
      <c r="Q1171" s="1">
        <v>5</v>
      </c>
      <c r="Y1171" s="1">
        <v>0.05</v>
      </c>
      <c r="Z1171" s="1">
        <v>6</v>
      </c>
      <c r="AA1171" s="1">
        <v>4</v>
      </c>
      <c r="AB1171" s="1">
        <v>0.7</v>
      </c>
      <c r="AG1171" s="1">
        <v>2</v>
      </c>
      <c r="AH1171" s="1">
        <v>1</v>
      </c>
      <c r="AI1171" s="1" t="s">
        <v>4610</v>
      </c>
      <c r="AJ1171" s="1" t="s">
        <v>275</v>
      </c>
      <c r="AK1171" s="1" t="s">
        <v>238</v>
      </c>
      <c r="AM1171" s="1">
        <v>1</v>
      </c>
      <c r="AV1171" s="1">
        <v>1</v>
      </c>
      <c r="AX1171" s="1">
        <v>0.1</v>
      </c>
      <c r="BE1171" s="1" t="s">
        <v>4608</v>
      </c>
      <c r="BK1171" s="1" t="s">
        <v>4591</v>
      </c>
      <c r="BN1171" s="1" t="s">
        <v>217</v>
      </c>
      <c r="BO1171" s="1" t="s">
        <v>218</v>
      </c>
      <c r="BP1171" s="1" t="s">
        <v>239</v>
      </c>
      <c r="BQ1171" s="1" t="s">
        <v>220</v>
      </c>
      <c r="BT1171" s="1">
        <v>1</v>
      </c>
    </row>
    <row r="1172" spans="1:72">
      <c r="A1172" s="1" t="s">
        <v>4611</v>
      </c>
      <c r="B1172" s="1" t="s">
        <v>213</v>
      </c>
      <c r="C1172" s="1">
        <v>1</v>
      </c>
      <c r="D1172" s="1" t="s">
        <v>4612</v>
      </c>
      <c r="E1172" s="1">
        <v>10019</v>
      </c>
      <c r="F1172" s="1" t="s">
        <v>4611</v>
      </c>
      <c r="G1172" s="1">
        <v>1</v>
      </c>
      <c r="K1172" s="1">
        <v>25000</v>
      </c>
      <c r="M1172" s="1">
        <v>1700</v>
      </c>
      <c r="O1172" s="1">
        <v>50</v>
      </c>
      <c r="Q1172" s="1">
        <v>5</v>
      </c>
      <c r="Y1172" s="1">
        <v>0.05</v>
      </c>
      <c r="Z1172" s="1">
        <v>6</v>
      </c>
      <c r="AA1172" s="1">
        <v>4</v>
      </c>
      <c r="AB1172" s="1">
        <v>0.7</v>
      </c>
      <c r="AG1172" s="1">
        <v>2</v>
      </c>
      <c r="AH1172" s="1">
        <v>1</v>
      </c>
      <c r="AI1172" s="1" t="s">
        <v>4613</v>
      </c>
      <c r="AJ1172" s="1" t="s">
        <v>275</v>
      </c>
      <c r="AK1172" s="1" t="s">
        <v>238</v>
      </c>
      <c r="AM1172" s="1">
        <v>1</v>
      </c>
      <c r="AV1172" s="1">
        <v>1</v>
      </c>
      <c r="AX1172" s="1">
        <v>0.1</v>
      </c>
      <c r="BE1172" s="1" t="s">
        <v>4611</v>
      </c>
      <c r="BK1172" s="1" t="s">
        <v>4591</v>
      </c>
      <c r="BN1172" s="1" t="s">
        <v>217</v>
      </c>
      <c r="BO1172" s="1" t="s">
        <v>218</v>
      </c>
      <c r="BP1172" s="1" t="s">
        <v>239</v>
      </c>
      <c r="BQ1172" s="1" t="s">
        <v>220</v>
      </c>
      <c r="BT1172" s="1">
        <v>1</v>
      </c>
    </row>
    <row r="1173" spans="1:72">
      <c r="A1173" s="1" t="s">
        <v>4614</v>
      </c>
      <c r="B1173" s="1" t="s">
        <v>213</v>
      </c>
      <c r="C1173" s="1">
        <v>1</v>
      </c>
      <c r="D1173" s="1" t="s">
        <v>4615</v>
      </c>
      <c r="E1173" s="1">
        <v>10020</v>
      </c>
      <c r="F1173" s="1" t="s">
        <v>4614</v>
      </c>
      <c r="G1173" s="1">
        <v>1</v>
      </c>
      <c r="K1173" s="1">
        <v>30000</v>
      </c>
      <c r="M1173" s="1">
        <v>800</v>
      </c>
      <c r="O1173" s="1">
        <v>1000</v>
      </c>
      <c r="Q1173" s="1">
        <v>50</v>
      </c>
      <c r="Y1173" s="1">
        <v>0.05</v>
      </c>
      <c r="Z1173" s="1">
        <v>5</v>
      </c>
      <c r="AA1173" s="1">
        <v>5</v>
      </c>
      <c r="AB1173" s="1">
        <v>0.5</v>
      </c>
      <c r="AG1173" s="1">
        <v>0</v>
      </c>
      <c r="AH1173" s="1">
        <v>1</v>
      </c>
      <c r="AI1173" s="1" t="s">
        <v>4616</v>
      </c>
      <c r="AJ1173" s="1" t="s">
        <v>275</v>
      </c>
      <c r="AK1173" s="1" t="s">
        <v>238</v>
      </c>
      <c r="AM1173" s="1">
        <v>1</v>
      </c>
      <c r="AV1173" s="1">
        <v>1</v>
      </c>
      <c r="AX1173" s="1">
        <v>0.1</v>
      </c>
      <c r="BE1173" s="1" t="s">
        <v>4614</v>
      </c>
      <c r="BK1173" s="1" t="s">
        <v>1012</v>
      </c>
      <c r="BN1173" s="1" t="s">
        <v>217</v>
      </c>
      <c r="BO1173" s="1" t="s">
        <v>218</v>
      </c>
      <c r="BP1173" s="1" t="s">
        <v>239</v>
      </c>
      <c r="BQ1173" s="1" t="s">
        <v>220</v>
      </c>
      <c r="BT1173" s="1">
        <v>1</v>
      </c>
    </row>
    <row r="1174" spans="1:72">
      <c r="A1174" s="1" t="s">
        <v>4617</v>
      </c>
      <c r="B1174" s="1" t="s">
        <v>213</v>
      </c>
      <c r="C1174" s="1">
        <v>1</v>
      </c>
      <c r="D1174" s="1" t="s">
        <v>4618</v>
      </c>
      <c r="E1174" s="1">
        <v>1558</v>
      </c>
      <c r="F1174" s="1" t="s">
        <v>4617</v>
      </c>
      <c r="G1174" s="1">
        <v>1</v>
      </c>
      <c r="K1174" s="1">
        <v>110000</v>
      </c>
      <c r="M1174" s="1">
        <v>800</v>
      </c>
      <c r="O1174" s="1">
        <v>200</v>
      </c>
      <c r="Q1174" s="1">
        <v>20</v>
      </c>
      <c r="Y1174" s="1">
        <v>0.05</v>
      </c>
      <c r="Z1174" s="1">
        <v>4</v>
      </c>
      <c r="AA1174" s="1">
        <v>10</v>
      </c>
      <c r="AB1174" s="1">
        <v>0.6</v>
      </c>
      <c r="AG1174" s="1">
        <v>0</v>
      </c>
      <c r="AH1174" s="1">
        <v>1</v>
      </c>
      <c r="AI1174" s="1" t="s">
        <v>4619</v>
      </c>
      <c r="AJ1174" s="1" t="s">
        <v>3394</v>
      </c>
      <c r="AK1174" s="1" t="s">
        <v>238</v>
      </c>
      <c r="AM1174" s="1">
        <v>1</v>
      </c>
      <c r="AV1174" s="1">
        <v>1</v>
      </c>
      <c r="AX1174" s="1">
        <v>0.1</v>
      </c>
      <c r="BE1174" s="1" t="s">
        <v>4617</v>
      </c>
      <c r="BK1174" s="1" t="s">
        <v>4620</v>
      </c>
      <c r="BN1174" s="1" t="s">
        <v>3443</v>
      </c>
      <c r="BO1174" s="1" t="s">
        <v>2618</v>
      </c>
      <c r="BP1174" s="1" t="s">
        <v>2619</v>
      </c>
      <c r="BQ1174" s="1" t="s">
        <v>2620</v>
      </c>
      <c r="BT1174" s="1">
        <v>1</v>
      </c>
    </row>
    <row r="1175" spans="1:72">
      <c r="A1175" s="1" t="s">
        <v>4621</v>
      </c>
      <c r="B1175" s="1" t="s">
        <v>213</v>
      </c>
      <c r="C1175" s="1">
        <v>1</v>
      </c>
      <c r="D1175" s="1" t="s">
        <v>4622</v>
      </c>
      <c r="E1175" s="1">
        <v>10001</v>
      </c>
      <c r="F1175" s="1" t="s">
        <v>4621</v>
      </c>
      <c r="G1175" s="1">
        <v>1</v>
      </c>
      <c r="K1175" s="1">
        <v>4500</v>
      </c>
      <c r="M1175" s="1">
        <v>200</v>
      </c>
      <c r="O1175" s="1">
        <v>50</v>
      </c>
      <c r="Q1175" s="1">
        <v>0</v>
      </c>
      <c r="Y1175" s="1">
        <v>0.05</v>
      </c>
      <c r="Z1175" s="1">
        <v>1.7</v>
      </c>
      <c r="AA1175" s="1">
        <v>1</v>
      </c>
      <c r="AB1175" s="1">
        <v>1</v>
      </c>
      <c r="AG1175" s="1">
        <v>0</v>
      </c>
      <c r="AH1175" s="1">
        <v>1</v>
      </c>
      <c r="AI1175" s="1" t="s">
        <v>4623</v>
      </c>
      <c r="AJ1175" s="1" t="s">
        <v>4624</v>
      </c>
      <c r="AK1175" s="1" t="s">
        <v>238</v>
      </c>
      <c r="AM1175" s="1">
        <v>1</v>
      </c>
      <c r="AV1175" s="1">
        <v>0</v>
      </c>
      <c r="AX1175" s="1">
        <v>0.1</v>
      </c>
      <c r="BE1175" s="1" t="s">
        <v>4621</v>
      </c>
      <c r="BK1175" s="1" t="s">
        <v>911</v>
      </c>
      <c r="BL1175" s="1" t="s">
        <v>4625</v>
      </c>
      <c r="BN1175" s="1" t="s">
        <v>217</v>
      </c>
      <c r="BO1175" s="1" t="s">
        <v>1959</v>
      </c>
      <c r="BP1175" s="1" t="s">
        <v>1960</v>
      </c>
      <c r="BQ1175" s="1" t="s">
        <v>3322</v>
      </c>
      <c r="BT1175" s="1">
        <v>1</v>
      </c>
    </row>
    <row r="1176" spans="1:72">
      <c r="A1176" s="1" t="s">
        <v>4626</v>
      </c>
      <c r="B1176" s="1" t="s">
        <v>213</v>
      </c>
      <c r="C1176" s="1">
        <v>1</v>
      </c>
      <c r="D1176" s="1" t="s">
        <v>4627</v>
      </c>
      <c r="E1176" s="1">
        <v>10001</v>
      </c>
      <c r="F1176" s="1" t="s">
        <v>4626</v>
      </c>
      <c r="G1176" s="1">
        <v>1</v>
      </c>
      <c r="K1176" s="1">
        <v>5000</v>
      </c>
      <c r="M1176" s="1">
        <v>250</v>
      </c>
      <c r="O1176" s="1">
        <v>50</v>
      </c>
      <c r="Q1176" s="1">
        <v>0</v>
      </c>
      <c r="Y1176" s="1">
        <v>0.05</v>
      </c>
      <c r="Z1176" s="1">
        <v>1.7</v>
      </c>
      <c r="AA1176" s="1">
        <v>1</v>
      </c>
      <c r="AB1176" s="1">
        <v>1</v>
      </c>
      <c r="AG1176" s="1">
        <v>0</v>
      </c>
      <c r="AH1176" s="1">
        <v>1</v>
      </c>
      <c r="AI1176" s="1" t="s">
        <v>4628</v>
      </c>
      <c r="AJ1176" s="1" t="s">
        <v>4624</v>
      </c>
      <c r="AK1176" s="1" t="s">
        <v>238</v>
      </c>
      <c r="AM1176" s="1">
        <v>1</v>
      </c>
      <c r="AV1176" s="1">
        <v>0</v>
      </c>
      <c r="AX1176" s="1">
        <v>0.1</v>
      </c>
      <c r="BE1176" s="1" t="s">
        <v>4626</v>
      </c>
      <c r="BK1176" s="1" t="s">
        <v>911</v>
      </c>
      <c r="BL1176" s="1" t="s">
        <v>4625</v>
      </c>
      <c r="BN1176" s="1" t="s">
        <v>217</v>
      </c>
      <c r="BO1176" s="1" t="s">
        <v>1959</v>
      </c>
      <c r="BP1176" s="1" t="s">
        <v>1960</v>
      </c>
      <c r="BQ1176" s="1" t="s">
        <v>3322</v>
      </c>
      <c r="BT1176" s="1">
        <v>1</v>
      </c>
    </row>
    <row r="1177" spans="1:72">
      <c r="A1177" s="1" t="s">
        <v>4629</v>
      </c>
      <c r="B1177" s="1" t="s">
        <v>213</v>
      </c>
      <c r="C1177" s="1">
        <v>1</v>
      </c>
      <c r="D1177" s="1" t="s">
        <v>4630</v>
      </c>
      <c r="E1177" s="1">
        <v>10002</v>
      </c>
      <c r="F1177" s="1" t="s">
        <v>4629</v>
      </c>
      <c r="G1177" s="1">
        <v>1</v>
      </c>
      <c r="K1177" s="1">
        <v>5400</v>
      </c>
      <c r="M1177" s="1">
        <v>0</v>
      </c>
      <c r="O1177" s="1">
        <v>0</v>
      </c>
      <c r="Q1177" s="1">
        <v>0</v>
      </c>
      <c r="Y1177" s="1">
        <v>0.05</v>
      </c>
      <c r="Z1177" s="1">
        <v>0</v>
      </c>
      <c r="AA1177" s="1">
        <v>2</v>
      </c>
      <c r="AB1177" s="1">
        <v>0.4</v>
      </c>
      <c r="AG1177" s="1">
        <v>0</v>
      </c>
      <c r="AH1177" s="1">
        <v>1</v>
      </c>
      <c r="AI1177" s="1" t="s">
        <v>4631</v>
      </c>
      <c r="AJ1177" s="1" t="s">
        <v>4624</v>
      </c>
      <c r="AK1177" s="1" t="s">
        <v>238</v>
      </c>
      <c r="AM1177" s="1">
        <v>1</v>
      </c>
      <c r="AV1177" s="1">
        <v>0</v>
      </c>
      <c r="AX1177" s="1">
        <v>0.1</v>
      </c>
      <c r="BE1177" s="1" t="s">
        <v>4629</v>
      </c>
      <c r="BK1177" s="1" t="s">
        <v>4632</v>
      </c>
      <c r="BL1177" s="1" t="s">
        <v>4633</v>
      </c>
      <c r="BN1177" s="1" t="s">
        <v>217</v>
      </c>
      <c r="BO1177" s="1" t="s">
        <v>218</v>
      </c>
      <c r="BP1177" s="1" t="s">
        <v>239</v>
      </c>
      <c r="BQ1177" s="1" t="s">
        <v>220</v>
      </c>
      <c r="BT1177" s="1">
        <v>1</v>
      </c>
    </row>
    <row r="1178" spans="1:72">
      <c r="A1178" s="1" t="s">
        <v>4634</v>
      </c>
      <c r="B1178" s="1" t="s">
        <v>213</v>
      </c>
      <c r="C1178" s="1">
        <v>1</v>
      </c>
      <c r="D1178" s="1" t="s">
        <v>4635</v>
      </c>
      <c r="E1178" s="1">
        <v>10002</v>
      </c>
      <c r="F1178" s="1" t="s">
        <v>4634</v>
      </c>
      <c r="G1178" s="1">
        <v>1</v>
      </c>
      <c r="K1178" s="1">
        <v>7200</v>
      </c>
      <c r="M1178" s="1">
        <v>0</v>
      </c>
      <c r="O1178" s="1">
        <v>0</v>
      </c>
      <c r="Q1178" s="1">
        <v>0</v>
      </c>
      <c r="Y1178" s="1">
        <v>0.05</v>
      </c>
      <c r="Z1178" s="1">
        <v>0</v>
      </c>
      <c r="AA1178" s="1">
        <v>2</v>
      </c>
      <c r="AB1178" s="1">
        <v>0.4</v>
      </c>
      <c r="AG1178" s="1">
        <v>0</v>
      </c>
      <c r="AH1178" s="1">
        <v>1</v>
      </c>
      <c r="AI1178" s="1" t="s">
        <v>4636</v>
      </c>
      <c r="AJ1178" s="1" t="s">
        <v>4624</v>
      </c>
      <c r="AK1178" s="1" t="s">
        <v>238</v>
      </c>
      <c r="AM1178" s="1">
        <v>1</v>
      </c>
      <c r="AV1178" s="1">
        <v>0</v>
      </c>
      <c r="AX1178" s="1">
        <v>0.1</v>
      </c>
      <c r="BE1178" s="1" t="s">
        <v>4634</v>
      </c>
      <c r="BK1178" s="1" t="s">
        <v>4632</v>
      </c>
      <c r="BL1178" s="1" t="s">
        <v>4633</v>
      </c>
      <c r="BN1178" s="1" t="s">
        <v>217</v>
      </c>
      <c r="BO1178" s="1" t="s">
        <v>218</v>
      </c>
      <c r="BP1178" s="1" t="s">
        <v>239</v>
      </c>
      <c r="BQ1178" s="1" t="s">
        <v>220</v>
      </c>
      <c r="BT1178" s="1">
        <v>1</v>
      </c>
    </row>
    <row r="1179" spans="1:72">
      <c r="A1179" s="1" t="s">
        <v>4637</v>
      </c>
      <c r="B1179" s="1" t="s">
        <v>213</v>
      </c>
      <c r="C1179" s="1">
        <v>1</v>
      </c>
      <c r="D1179" s="1" t="s">
        <v>4638</v>
      </c>
      <c r="E1179" s="1">
        <v>10003</v>
      </c>
      <c r="F1179" s="1" t="s">
        <v>4637</v>
      </c>
      <c r="G1179" s="1">
        <v>1</v>
      </c>
      <c r="K1179" s="1">
        <v>10000</v>
      </c>
      <c r="M1179" s="1">
        <v>0</v>
      </c>
      <c r="O1179" s="1">
        <v>250</v>
      </c>
      <c r="Q1179" s="1">
        <v>10</v>
      </c>
      <c r="Y1179" s="1">
        <v>0.05</v>
      </c>
      <c r="Z1179" s="1">
        <v>0</v>
      </c>
      <c r="AA1179" s="1">
        <v>2</v>
      </c>
      <c r="AB1179" s="1">
        <v>0.6</v>
      </c>
      <c r="AG1179" s="1">
        <v>0</v>
      </c>
      <c r="AH1179" s="1">
        <v>1</v>
      </c>
      <c r="AI1179" s="1" t="s">
        <v>4639</v>
      </c>
      <c r="AJ1179" s="1" t="s">
        <v>4624</v>
      </c>
      <c r="AK1179" s="1" t="s">
        <v>238</v>
      </c>
      <c r="AM1179" s="1">
        <v>1</v>
      </c>
      <c r="AV1179" s="1">
        <v>1</v>
      </c>
      <c r="AX1179" s="1">
        <v>0.1</v>
      </c>
      <c r="BE1179" s="1" t="s">
        <v>4637</v>
      </c>
      <c r="BK1179" s="1" t="s">
        <v>3140</v>
      </c>
      <c r="BL1179" s="1" t="s">
        <v>4640</v>
      </c>
      <c r="BN1179" s="1" t="s">
        <v>217</v>
      </c>
      <c r="BO1179" s="1" t="s">
        <v>218</v>
      </c>
      <c r="BP1179" s="1" t="s">
        <v>239</v>
      </c>
      <c r="BQ1179" s="1" t="s">
        <v>220</v>
      </c>
      <c r="BT1179" s="1">
        <v>1</v>
      </c>
    </row>
    <row r="1180" spans="1:72">
      <c r="A1180" s="1" t="s">
        <v>4641</v>
      </c>
      <c r="B1180" s="1" t="s">
        <v>213</v>
      </c>
      <c r="C1180" s="1">
        <v>1</v>
      </c>
      <c r="D1180" s="1" t="s">
        <v>4642</v>
      </c>
      <c r="E1180" s="1">
        <v>10003</v>
      </c>
      <c r="F1180" s="1" t="s">
        <v>4641</v>
      </c>
      <c r="G1180" s="1">
        <v>1</v>
      </c>
      <c r="K1180" s="1">
        <v>13000</v>
      </c>
      <c r="M1180" s="1">
        <v>0</v>
      </c>
      <c r="O1180" s="1">
        <v>250</v>
      </c>
      <c r="Q1180" s="1">
        <v>10</v>
      </c>
      <c r="Y1180" s="1">
        <v>0.05</v>
      </c>
      <c r="Z1180" s="1">
        <v>0</v>
      </c>
      <c r="AA1180" s="1">
        <v>2</v>
      </c>
      <c r="AB1180" s="1">
        <v>0.6</v>
      </c>
      <c r="AG1180" s="1">
        <v>0</v>
      </c>
      <c r="AH1180" s="1">
        <v>1</v>
      </c>
      <c r="AI1180" s="1" t="s">
        <v>4643</v>
      </c>
      <c r="AJ1180" s="1" t="s">
        <v>4624</v>
      </c>
      <c r="AK1180" s="1" t="s">
        <v>238</v>
      </c>
      <c r="AM1180" s="1">
        <v>1</v>
      </c>
      <c r="AV1180" s="1">
        <v>1</v>
      </c>
      <c r="AX1180" s="1">
        <v>0.1</v>
      </c>
      <c r="BE1180" s="1" t="s">
        <v>4641</v>
      </c>
      <c r="BK1180" s="1" t="s">
        <v>3140</v>
      </c>
      <c r="BL1180" s="1" t="s">
        <v>4640</v>
      </c>
      <c r="BN1180" s="1" t="s">
        <v>217</v>
      </c>
      <c r="BO1180" s="1" t="s">
        <v>218</v>
      </c>
      <c r="BP1180" s="1" t="s">
        <v>239</v>
      </c>
      <c r="BQ1180" s="1" t="s">
        <v>220</v>
      </c>
      <c r="BT1180" s="1">
        <v>1</v>
      </c>
    </row>
    <row r="1181" spans="1:72">
      <c r="A1181" s="1" t="s">
        <v>4644</v>
      </c>
      <c r="B1181" s="1" t="s">
        <v>213</v>
      </c>
      <c r="C1181" s="1">
        <v>1</v>
      </c>
      <c r="D1181" s="1" t="s">
        <v>4645</v>
      </c>
      <c r="E1181" s="1">
        <v>10004</v>
      </c>
      <c r="F1181" s="1" t="s">
        <v>4644</v>
      </c>
      <c r="G1181" s="1">
        <v>1</v>
      </c>
      <c r="K1181" s="1">
        <v>5000</v>
      </c>
      <c r="M1181" s="1">
        <v>550</v>
      </c>
      <c r="O1181" s="1">
        <v>4000</v>
      </c>
      <c r="Q1181" s="1">
        <v>90</v>
      </c>
      <c r="Y1181" s="1">
        <v>0.05</v>
      </c>
      <c r="Z1181" s="1">
        <v>2.3</v>
      </c>
      <c r="AA1181" s="1">
        <v>1</v>
      </c>
      <c r="AB1181" s="1">
        <v>0.75</v>
      </c>
      <c r="AG1181" s="1">
        <v>0</v>
      </c>
      <c r="AH1181" s="1">
        <v>1</v>
      </c>
      <c r="AI1181" s="1" t="s">
        <v>4646</v>
      </c>
      <c r="AJ1181" s="1" t="s">
        <v>4624</v>
      </c>
      <c r="AK1181" s="1" t="s">
        <v>238</v>
      </c>
      <c r="AM1181" s="1">
        <v>1</v>
      </c>
      <c r="AV1181" s="1">
        <v>1</v>
      </c>
      <c r="AX1181" s="1">
        <v>0.1</v>
      </c>
      <c r="BE1181" s="1" t="s">
        <v>4644</v>
      </c>
      <c r="BK1181" s="1" t="s">
        <v>2164</v>
      </c>
      <c r="BL1181" s="1" t="s">
        <v>4647</v>
      </c>
      <c r="BN1181" s="1" t="s">
        <v>217</v>
      </c>
      <c r="BO1181" s="1" t="s">
        <v>1959</v>
      </c>
      <c r="BP1181" s="1" t="s">
        <v>1960</v>
      </c>
      <c r="BQ1181" s="1" t="s">
        <v>3322</v>
      </c>
      <c r="BT1181" s="1">
        <v>1</v>
      </c>
    </row>
    <row r="1182" spans="1:72">
      <c r="A1182" s="1" t="s">
        <v>4648</v>
      </c>
      <c r="B1182" s="1" t="s">
        <v>213</v>
      </c>
      <c r="C1182" s="1">
        <v>1</v>
      </c>
      <c r="D1182" s="1" t="s">
        <v>4649</v>
      </c>
      <c r="E1182" s="1">
        <v>10004</v>
      </c>
      <c r="F1182" s="1" t="s">
        <v>4648</v>
      </c>
      <c r="G1182" s="1">
        <v>1</v>
      </c>
      <c r="K1182" s="1">
        <v>6000</v>
      </c>
      <c r="M1182" s="1">
        <v>650</v>
      </c>
      <c r="O1182" s="1">
        <v>4000</v>
      </c>
      <c r="Q1182" s="1">
        <v>90</v>
      </c>
      <c r="Y1182" s="1">
        <v>0.05</v>
      </c>
      <c r="Z1182" s="1">
        <v>2.3</v>
      </c>
      <c r="AA1182" s="1">
        <v>1</v>
      </c>
      <c r="AB1182" s="1">
        <v>0.75</v>
      </c>
      <c r="AG1182" s="1">
        <v>0</v>
      </c>
      <c r="AH1182" s="1">
        <v>1</v>
      </c>
      <c r="AI1182" s="1" t="s">
        <v>4650</v>
      </c>
      <c r="AJ1182" s="1" t="s">
        <v>4624</v>
      </c>
      <c r="AK1182" s="1" t="s">
        <v>238</v>
      </c>
      <c r="AM1182" s="1">
        <v>1</v>
      </c>
      <c r="AV1182" s="1">
        <v>1</v>
      </c>
      <c r="AX1182" s="1">
        <v>0.1</v>
      </c>
      <c r="BE1182" s="1" t="s">
        <v>4648</v>
      </c>
      <c r="BK1182" s="1" t="s">
        <v>2164</v>
      </c>
      <c r="BL1182" s="1" t="s">
        <v>4647</v>
      </c>
      <c r="BN1182" s="1" t="s">
        <v>217</v>
      </c>
      <c r="BO1182" s="1" t="s">
        <v>1959</v>
      </c>
      <c r="BP1182" s="1" t="s">
        <v>1960</v>
      </c>
      <c r="BQ1182" s="1" t="s">
        <v>3322</v>
      </c>
      <c r="BT1182" s="1">
        <v>1</v>
      </c>
    </row>
    <row r="1183" spans="1:72">
      <c r="A1183" s="1" t="s">
        <v>4651</v>
      </c>
      <c r="B1183" s="1" t="s">
        <v>213</v>
      </c>
      <c r="C1183" s="1">
        <v>1</v>
      </c>
      <c r="D1183" s="1" t="s">
        <v>4652</v>
      </c>
      <c r="E1183" s="1">
        <v>10005</v>
      </c>
      <c r="F1183" s="1" t="s">
        <v>4651</v>
      </c>
      <c r="G1183" s="1">
        <v>1</v>
      </c>
      <c r="K1183" s="1">
        <v>4000</v>
      </c>
      <c r="M1183" s="1">
        <v>350</v>
      </c>
      <c r="O1183" s="1">
        <v>300</v>
      </c>
      <c r="Q1183" s="1">
        <v>0</v>
      </c>
      <c r="Y1183" s="1">
        <v>0.05</v>
      </c>
      <c r="Z1183" s="1">
        <v>1.5</v>
      </c>
      <c r="AA1183" s="1">
        <v>1</v>
      </c>
      <c r="AB1183" s="1">
        <v>0.8</v>
      </c>
      <c r="AG1183" s="1">
        <v>0</v>
      </c>
      <c r="AH1183" s="1">
        <v>1</v>
      </c>
      <c r="AI1183" s="1" t="s">
        <v>4653</v>
      </c>
      <c r="AJ1183" s="1" t="s">
        <v>4624</v>
      </c>
      <c r="AK1183" s="1" t="s">
        <v>238</v>
      </c>
      <c r="AM1183" s="1">
        <v>1</v>
      </c>
      <c r="AV1183" s="1">
        <v>1</v>
      </c>
      <c r="AX1183" s="1">
        <v>0.1</v>
      </c>
      <c r="BE1183" s="1" t="s">
        <v>4651</v>
      </c>
      <c r="BK1183" s="1" t="s">
        <v>4654</v>
      </c>
      <c r="BL1183" s="1" t="s">
        <v>4655</v>
      </c>
      <c r="BN1183" s="1" t="s">
        <v>217</v>
      </c>
      <c r="BO1183" s="1" t="s">
        <v>218</v>
      </c>
      <c r="BP1183" s="1" t="s">
        <v>2925</v>
      </c>
      <c r="BQ1183" s="1" t="s">
        <v>220</v>
      </c>
      <c r="BT1183" s="1">
        <v>1</v>
      </c>
    </row>
    <row r="1184" spans="1:72">
      <c r="A1184" s="1" t="s">
        <v>4656</v>
      </c>
      <c r="B1184" s="1" t="s">
        <v>213</v>
      </c>
      <c r="C1184" s="1">
        <v>1</v>
      </c>
      <c r="D1184" s="1" t="s">
        <v>4657</v>
      </c>
      <c r="E1184" s="1">
        <v>10005</v>
      </c>
      <c r="F1184" s="1" t="s">
        <v>4656</v>
      </c>
      <c r="G1184" s="1">
        <v>1</v>
      </c>
      <c r="K1184" s="1">
        <v>4800</v>
      </c>
      <c r="M1184" s="1">
        <v>420</v>
      </c>
      <c r="O1184" s="1">
        <v>350</v>
      </c>
      <c r="Q1184" s="1">
        <v>0</v>
      </c>
      <c r="Y1184" s="1">
        <v>0.05</v>
      </c>
      <c r="Z1184" s="1">
        <v>1.5</v>
      </c>
      <c r="AA1184" s="1">
        <v>1</v>
      </c>
      <c r="AB1184" s="1">
        <v>0.8</v>
      </c>
      <c r="AG1184" s="1">
        <v>0</v>
      </c>
      <c r="AH1184" s="1">
        <v>1</v>
      </c>
      <c r="AI1184" s="1" t="s">
        <v>4658</v>
      </c>
      <c r="AJ1184" s="1" t="s">
        <v>4624</v>
      </c>
      <c r="AK1184" s="1" t="s">
        <v>238</v>
      </c>
      <c r="AM1184" s="1">
        <v>1</v>
      </c>
      <c r="AV1184" s="1">
        <v>1</v>
      </c>
      <c r="AX1184" s="1">
        <v>0.1</v>
      </c>
      <c r="BE1184" s="1" t="s">
        <v>4656</v>
      </c>
      <c r="BK1184" s="1" t="s">
        <v>4654</v>
      </c>
      <c r="BL1184" s="1" t="s">
        <v>4655</v>
      </c>
      <c r="BN1184" s="1" t="s">
        <v>217</v>
      </c>
      <c r="BO1184" s="1" t="s">
        <v>218</v>
      </c>
      <c r="BP1184" s="1" t="s">
        <v>2925</v>
      </c>
      <c r="BQ1184" s="1" t="s">
        <v>220</v>
      </c>
      <c r="BT1184" s="1">
        <v>1</v>
      </c>
    </row>
    <row r="1185" spans="1:72">
      <c r="A1185" s="1" t="s">
        <v>4659</v>
      </c>
      <c r="B1185" s="1" t="s">
        <v>213</v>
      </c>
      <c r="C1185" s="1">
        <v>1</v>
      </c>
      <c r="D1185" s="1" t="s">
        <v>4660</v>
      </c>
      <c r="E1185" s="1">
        <v>10006</v>
      </c>
      <c r="F1185" s="1" t="s">
        <v>4659</v>
      </c>
      <c r="G1185" s="1">
        <v>1</v>
      </c>
      <c r="K1185" s="1">
        <v>30000</v>
      </c>
      <c r="M1185" s="1">
        <v>1300</v>
      </c>
      <c r="O1185" s="1">
        <v>50</v>
      </c>
      <c r="Q1185" s="1">
        <v>0</v>
      </c>
      <c r="Y1185" s="1">
        <v>0.05</v>
      </c>
      <c r="Z1185" s="1">
        <v>6</v>
      </c>
      <c r="AA1185" s="1">
        <v>4</v>
      </c>
      <c r="AB1185" s="1">
        <v>0.6</v>
      </c>
      <c r="AG1185" s="1">
        <v>0</v>
      </c>
      <c r="AH1185" s="1">
        <v>1</v>
      </c>
      <c r="AI1185" s="1" t="s">
        <v>4661</v>
      </c>
      <c r="AJ1185" s="1" t="s">
        <v>4624</v>
      </c>
      <c r="AK1185" s="1" t="s">
        <v>238</v>
      </c>
      <c r="AM1185" s="1">
        <v>1</v>
      </c>
      <c r="AV1185" s="1">
        <v>1</v>
      </c>
      <c r="AX1185" s="1">
        <v>0.1</v>
      </c>
      <c r="BE1185" s="1" t="s">
        <v>4659</v>
      </c>
      <c r="BK1185" s="1" t="s">
        <v>4662</v>
      </c>
      <c r="BL1185" s="1" t="s">
        <v>4663</v>
      </c>
      <c r="BN1185" s="1" t="s">
        <v>217</v>
      </c>
      <c r="BO1185" s="1" t="s">
        <v>218</v>
      </c>
      <c r="BP1185" s="1" t="s">
        <v>1635</v>
      </c>
      <c r="BQ1185" s="1" t="s">
        <v>220</v>
      </c>
      <c r="BT1185" s="1">
        <v>1</v>
      </c>
    </row>
    <row r="1186" spans="1:72">
      <c r="A1186" s="1" t="s">
        <v>4664</v>
      </c>
      <c r="B1186" s="1" t="s">
        <v>213</v>
      </c>
      <c r="C1186" s="1">
        <v>1</v>
      </c>
      <c r="D1186" s="1" t="s">
        <v>4665</v>
      </c>
      <c r="E1186" s="1">
        <v>10006</v>
      </c>
      <c r="F1186" s="1" t="s">
        <v>4664</v>
      </c>
      <c r="G1186" s="1">
        <v>1</v>
      </c>
      <c r="K1186" s="1">
        <v>45000</v>
      </c>
      <c r="M1186" s="1">
        <v>1500</v>
      </c>
      <c r="O1186" s="1">
        <v>50</v>
      </c>
      <c r="Q1186" s="1">
        <v>0</v>
      </c>
      <c r="Y1186" s="1">
        <v>0.05</v>
      </c>
      <c r="Z1186" s="1">
        <v>6</v>
      </c>
      <c r="AA1186" s="1">
        <v>4</v>
      </c>
      <c r="AB1186" s="1">
        <v>0.7</v>
      </c>
      <c r="AG1186" s="1">
        <v>0</v>
      </c>
      <c r="AH1186" s="1">
        <v>1</v>
      </c>
      <c r="AI1186" s="1" t="s">
        <v>4666</v>
      </c>
      <c r="AJ1186" s="1" t="s">
        <v>4624</v>
      </c>
      <c r="AK1186" s="1" t="s">
        <v>238</v>
      </c>
      <c r="AM1186" s="1">
        <v>1</v>
      </c>
      <c r="AV1186" s="1">
        <v>1</v>
      </c>
      <c r="AX1186" s="1">
        <v>0.1</v>
      </c>
      <c r="BE1186" s="1" t="s">
        <v>4664</v>
      </c>
      <c r="BK1186" s="1" t="s">
        <v>4662</v>
      </c>
      <c r="BL1186" s="1" t="s">
        <v>4663</v>
      </c>
      <c r="BN1186" s="1" t="s">
        <v>217</v>
      </c>
      <c r="BO1186" s="1" t="s">
        <v>218</v>
      </c>
      <c r="BP1186" s="1" t="s">
        <v>1635</v>
      </c>
      <c r="BQ1186" s="1" t="s">
        <v>220</v>
      </c>
      <c r="BT1186" s="1">
        <v>1</v>
      </c>
    </row>
    <row r="1187" spans="1:72">
      <c r="A1187" s="1" t="s">
        <v>4667</v>
      </c>
      <c r="B1187" s="1" t="s">
        <v>213</v>
      </c>
      <c r="C1187" s="1">
        <v>1</v>
      </c>
      <c r="D1187" s="1" t="s">
        <v>4668</v>
      </c>
      <c r="E1187" s="1">
        <v>10007</v>
      </c>
      <c r="F1187" s="1" t="s">
        <v>4667</v>
      </c>
      <c r="G1187" s="1">
        <v>1</v>
      </c>
      <c r="K1187" s="1">
        <v>15000</v>
      </c>
      <c r="M1187" s="1">
        <v>600</v>
      </c>
      <c r="O1187" s="1">
        <v>800</v>
      </c>
      <c r="Q1187" s="1">
        <v>20</v>
      </c>
      <c r="Y1187" s="1">
        <v>0.05</v>
      </c>
      <c r="Z1187" s="1">
        <v>2.3</v>
      </c>
      <c r="AA1187" s="1">
        <v>6</v>
      </c>
      <c r="AB1187" s="1">
        <v>0.6</v>
      </c>
      <c r="AG1187" s="1">
        <v>0</v>
      </c>
      <c r="AH1187" s="1">
        <v>1</v>
      </c>
      <c r="AI1187" s="1" t="s">
        <v>4669</v>
      </c>
      <c r="AJ1187" s="1" t="s">
        <v>4624</v>
      </c>
      <c r="AK1187" s="1" t="s">
        <v>238</v>
      </c>
      <c r="AM1187" s="1">
        <v>1</v>
      </c>
      <c r="AV1187" s="1">
        <v>1</v>
      </c>
      <c r="AX1187" s="1">
        <v>0.1</v>
      </c>
      <c r="BE1187" s="1" t="s">
        <v>4667</v>
      </c>
      <c r="BK1187" s="1" t="s">
        <v>2087</v>
      </c>
      <c r="BL1187" s="1" t="s">
        <v>4670</v>
      </c>
      <c r="BN1187" s="1" t="s">
        <v>217</v>
      </c>
      <c r="BO1187" s="1" t="s">
        <v>218</v>
      </c>
      <c r="BP1187" s="1" t="s">
        <v>239</v>
      </c>
      <c r="BQ1187" s="1" t="s">
        <v>220</v>
      </c>
      <c r="BT1187" s="1">
        <v>1</v>
      </c>
    </row>
    <row r="1188" spans="1:72">
      <c r="A1188" s="1" t="s">
        <v>4671</v>
      </c>
      <c r="B1188" s="1" t="s">
        <v>213</v>
      </c>
      <c r="C1188" s="1">
        <v>1</v>
      </c>
      <c r="D1188" s="1" t="s">
        <v>4672</v>
      </c>
      <c r="E1188" s="1">
        <v>10007</v>
      </c>
      <c r="F1188" s="1" t="s">
        <v>4671</v>
      </c>
      <c r="G1188" s="1">
        <v>1</v>
      </c>
      <c r="K1188" s="1">
        <v>18000</v>
      </c>
      <c r="M1188" s="1">
        <v>700</v>
      </c>
      <c r="O1188" s="1">
        <v>800</v>
      </c>
      <c r="Q1188" s="1">
        <v>20</v>
      </c>
      <c r="Y1188" s="1">
        <v>0.05</v>
      </c>
      <c r="Z1188" s="1">
        <v>2.3</v>
      </c>
      <c r="AA1188" s="1">
        <v>6</v>
      </c>
      <c r="AB1188" s="1">
        <v>0.6</v>
      </c>
      <c r="AG1188" s="1">
        <v>0</v>
      </c>
      <c r="AH1188" s="1">
        <v>1</v>
      </c>
      <c r="AI1188" s="1" t="s">
        <v>4673</v>
      </c>
      <c r="AJ1188" s="1" t="s">
        <v>4624</v>
      </c>
      <c r="AK1188" s="1" t="s">
        <v>238</v>
      </c>
      <c r="AM1188" s="1">
        <v>1</v>
      </c>
      <c r="AV1188" s="1">
        <v>1</v>
      </c>
      <c r="AX1188" s="1">
        <v>0.1</v>
      </c>
      <c r="BE1188" s="1" t="s">
        <v>4671</v>
      </c>
      <c r="BK1188" s="1" t="s">
        <v>2087</v>
      </c>
      <c r="BL1188" s="1" t="s">
        <v>4670</v>
      </c>
      <c r="BN1188" s="1" t="s">
        <v>217</v>
      </c>
      <c r="BO1188" s="1" t="s">
        <v>218</v>
      </c>
      <c r="BP1188" s="1" t="s">
        <v>239</v>
      </c>
      <c r="BQ1188" s="1" t="s">
        <v>220</v>
      </c>
      <c r="BT1188" s="1">
        <v>1</v>
      </c>
    </row>
    <row r="1189" spans="1:72">
      <c r="A1189" s="1" t="s">
        <v>4674</v>
      </c>
      <c r="B1189" s="1" t="s">
        <v>213</v>
      </c>
      <c r="C1189" s="1">
        <v>1</v>
      </c>
      <c r="D1189" s="1" t="s">
        <v>4675</v>
      </c>
      <c r="E1189" s="1">
        <v>10008</v>
      </c>
      <c r="F1189" s="1" t="s">
        <v>4674</v>
      </c>
      <c r="G1189" s="1">
        <v>1</v>
      </c>
      <c r="K1189" s="1">
        <v>10000</v>
      </c>
      <c r="M1189" s="1">
        <v>450</v>
      </c>
      <c r="O1189" s="1">
        <v>700</v>
      </c>
      <c r="Q1189" s="1">
        <v>40</v>
      </c>
      <c r="Y1189" s="1">
        <v>0.05</v>
      </c>
      <c r="Z1189" s="1">
        <v>1.7</v>
      </c>
      <c r="AA1189" s="1">
        <v>4</v>
      </c>
      <c r="AB1189" s="1">
        <v>0.7</v>
      </c>
      <c r="AG1189" s="1">
        <v>0</v>
      </c>
      <c r="AH1189" s="1">
        <v>1</v>
      </c>
      <c r="AI1189" s="1" t="s">
        <v>4676</v>
      </c>
      <c r="AJ1189" s="1" t="s">
        <v>4624</v>
      </c>
      <c r="AK1189" s="1" t="s">
        <v>238</v>
      </c>
      <c r="AM1189" s="1">
        <v>1</v>
      </c>
      <c r="AV1189" s="1">
        <v>1</v>
      </c>
      <c r="AX1189" s="1">
        <v>0.1</v>
      </c>
      <c r="BE1189" s="1" t="s">
        <v>4674</v>
      </c>
      <c r="BK1189" s="1" t="s">
        <v>2313</v>
      </c>
      <c r="BL1189" s="1" t="s">
        <v>4677</v>
      </c>
      <c r="BN1189" s="1" t="s">
        <v>217</v>
      </c>
      <c r="BO1189" s="1" t="s">
        <v>218</v>
      </c>
      <c r="BP1189" s="1" t="s">
        <v>239</v>
      </c>
      <c r="BQ1189" s="1" t="s">
        <v>220</v>
      </c>
      <c r="BT1189" s="1">
        <v>1</v>
      </c>
    </row>
    <row r="1190" spans="1:72">
      <c r="A1190" s="1" t="s">
        <v>4678</v>
      </c>
      <c r="B1190" s="1" t="s">
        <v>213</v>
      </c>
      <c r="C1190" s="1">
        <v>1</v>
      </c>
      <c r="D1190" s="1" t="s">
        <v>4679</v>
      </c>
      <c r="E1190" s="1">
        <v>10008</v>
      </c>
      <c r="F1190" s="1" t="s">
        <v>4678</v>
      </c>
      <c r="G1190" s="1">
        <v>1</v>
      </c>
      <c r="K1190" s="1">
        <v>12000</v>
      </c>
      <c r="M1190" s="1">
        <v>550</v>
      </c>
      <c r="O1190" s="1">
        <v>700</v>
      </c>
      <c r="Q1190" s="1">
        <v>40</v>
      </c>
      <c r="Y1190" s="1">
        <v>0.05</v>
      </c>
      <c r="Z1190" s="1">
        <v>1.7</v>
      </c>
      <c r="AA1190" s="1">
        <v>4</v>
      </c>
      <c r="AB1190" s="1">
        <v>0.7</v>
      </c>
      <c r="AG1190" s="1">
        <v>0</v>
      </c>
      <c r="AH1190" s="1">
        <v>1</v>
      </c>
      <c r="AI1190" s="1" t="s">
        <v>4680</v>
      </c>
      <c r="AJ1190" s="1" t="s">
        <v>4624</v>
      </c>
      <c r="AK1190" s="1" t="s">
        <v>238</v>
      </c>
      <c r="AM1190" s="1">
        <v>1</v>
      </c>
      <c r="AV1190" s="1">
        <v>1</v>
      </c>
      <c r="AX1190" s="1">
        <v>0.1</v>
      </c>
      <c r="BE1190" s="1" t="s">
        <v>4678</v>
      </c>
      <c r="BK1190" s="1" t="s">
        <v>2313</v>
      </c>
      <c r="BL1190" s="1" t="s">
        <v>4677</v>
      </c>
      <c r="BN1190" s="1" t="s">
        <v>217</v>
      </c>
      <c r="BO1190" s="1" t="s">
        <v>218</v>
      </c>
      <c r="BP1190" s="1" t="s">
        <v>239</v>
      </c>
      <c r="BQ1190" s="1" t="s">
        <v>220</v>
      </c>
      <c r="BT1190" s="1">
        <v>1</v>
      </c>
    </row>
    <row r="1191" spans="1:72">
      <c r="A1191" s="1" t="s">
        <v>4681</v>
      </c>
      <c r="B1191" s="1" t="s">
        <v>213</v>
      </c>
      <c r="C1191" s="1">
        <v>1</v>
      </c>
      <c r="D1191" s="1" t="s">
        <v>4682</v>
      </c>
      <c r="E1191" s="1">
        <v>1557</v>
      </c>
      <c r="F1191" s="1" t="s">
        <v>4683</v>
      </c>
      <c r="G1191" s="1">
        <v>1</v>
      </c>
      <c r="K1191" s="1">
        <v>40000</v>
      </c>
      <c r="M1191" s="1">
        <v>1200</v>
      </c>
      <c r="O1191" s="1">
        <v>750</v>
      </c>
      <c r="Q1191" s="1">
        <v>30</v>
      </c>
      <c r="Y1191" s="1">
        <v>0.05</v>
      </c>
      <c r="Z1191" s="1">
        <v>5</v>
      </c>
      <c r="AA1191" s="1">
        <v>10</v>
      </c>
      <c r="AB1191" s="1">
        <v>0.4</v>
      </c>
      <c r="AG1191" s="1">
        <v>0</v>
      </c>
      <c r="AH1191" s="1">
        <v>1</v>
      </c>
      <c r="AI1191" s="1" t="s">
        <v>4684</v>
      </c>
      <c r="AJ1191" s="1" t="s">
        <v>216</v>
      </c>
      <c r="AK1191" s="1" t="s">
        <v>238</v>
      </c>
      <c r="AM1191" s="1">
        <v>1</v>
      </c>
      <c r="AV1191" s="1">
        <v>1</v>
      </c>
      <c r="AX1191" s="1">
        <v>0.1</v>
      </c>
      <c r="BE1191" s="1" t="s">
        <v>4683</v>
      </c>
      <c r="BK1191" s="1" t="s">
        <v>4685</v>
      </c>
      <c r="BN1191" s="1" t="s">
        <v>217</v>
      </c>
      <c r="BO1191" s="1" t="s">
        <v>4686</v>
      </c>
      <c r="BP1191" s="1" t="s">
        <v>4687</v>
      </c>
      <c r="BQ1191" s="1" t="s">
        <v>220</v>
      </c>
      <c r="BT1191" s="1">
        <v>1</v>
      </c>
    </row>
    <row r="1192" spans="1:72">
      <c r="A1192" s="1" t="s">
        <v>4688</v>
      </c>
      <c r="B1192" s="1" t="s">
        <v>213</v>
      </c>
      <c r="C1192" s="1">
        <v>1</v>
      </c>
      <c r="D1192" s="1" t="s">
        <v>4682</v>
      </c>
      <c r="E1192" s="1">
        <v>1557</v>
      </c>
      <c r="F1192" s="1" t="s">
        <v>4683</v>
      </c>
      <c r="G1192" s="1">
        <v>1</v>
      </c>
      <c r="K1192" s="1">
        <v>40000</v>
      </c>
      <c r="M1192" s="1">
        <v>1200</v>
      </c>
      <c r="O1192" s="1">
        <v>750</v>
      </c>
      <c r="Q1192" s="1">
        <v>30</v>
      </c>
      <c r="Y1192" s="1">
        <v>0.05</v>
      </c>
      <c r="Z1192" s="1">
        <v>5</v>
      </c>
      <c r="AA1192" s="1">
        <v>10</v>
      </c>
      <c r="AB1192" s="1">
        <v>0.4</v>
      </c>
      <c r="AG1192" s="1">
        <v>0</v>
      </c>
      <c r="AH1192" s="1">
        <v>1</v>
      </c>
      <c r="AI1192" s="1" t="s">
        <v>4689</v>
      </c>
      <c r="AJ1192" s="1" t="s">
        <v>216</v>
      </c>
      <c r="AK1192" s="1" t="s">
        <v>238</v>
      </c>
      <c r="AM1192" s="1">
        <v>1</v>
      </c>
      <c r="AV1192" s="1">
        <v>1</v>
      </c>
      <c r="AX1192" s="1">
        <v>0.1</v>
      </c>
      <c r="BE1192" s="1" t="s">
        <v>4683</v>
      </c>
      <c r="BK1192" s="1" t="s">
        <v>4685</v>
      </c>
      <c r="BN1192" s="1" t="s">
        <v>217</v>
      </c>
      <c r="BO1192" s="1" t="s">
        <v>4690</v>
      </c>
      <c r="BP1192" s="1" t="s">
        <v>4691</v>
      </c>
      <c r="BQ1192" s="1" t="s">
        <v>220</v>
      </c>
      <c r="BT1192" s="1">
        <v>1</v>
      </c>
    </row>
    <row r="1193" spans="1:72">
      <c r="A1193" s="1" t="s">
        <v>4692</v>
      </c>
      <c r="B1193" s="1" t="s">
        <v>213</v>
      </c>
      <c r="C1193" s="1">
        <v>1</v>
      </c>
      <c r="D1193" s="1" t="s">
        <v>4682</v>
      </c>
      <c r="E1193" s="1">
        <v>1557</v>
      </c>
      <c r="F1193" s="1" t="s">
        <v>4683</v>
      </c>
      <c r="G1193" s="1">
        <v>1</v>
      </c>
      <c r="K1193" s="1">
        <v>40000</v>
      </c>
      <c r="M1193" s="1">
        <v>1200</v>
      </c>
      <c r="O1193" s="1">
        <v>750</v>
      </c>
      <c r="Q1193" s="1">
        <v>30</v>
      </c>
      <c r="Y1193" s="1">
        <v>0.05</v>
      </c>
      <c r="Z1193" s="1">
        <v>5</v>
      </c>
      <c r="AA1193" s="1">
        <v>10</v>
      </c>
      <c r="AB1193" s="1">
        <v>0.4</v>
      </c>
      <c r="AG1193" s="1">
        <v>0</v>
      </c>
      <c r="AH1193" s="1">
        <v>1</v>
      </c>
      <c r="AI1193" s="1" t="s">
        <v>4693</v>
      </c>
      <c r="AJ1193" s="1" t="s">
        <v>216</v>
      </c>
      <c r="AK1193" s="1" t="s">
        <v>238</v>
      </c>
      <c r="AM1193" s="1">
        <v>1</v>
      </c>
      <c r="AV1193" s="1">
        <v>1</v>
      </c>
      <c r="AX1193" s="1">
        <v>0.1</v>
      </c>
      <c r="BE1193" s="1" t="s">
        <v>4683</v>
      </c>
      <c r="BK1193" s="1" t="s">
        <v>4685</v>
      </c>
      <c r="BN1193" s="1" t="s">
        <v>217</v>
      </c>
      <c r="BO1193" s="1" t="s">
        <v>4694</v>
      </c>
      <c r="BP1193" s="1" t="s">
        <v>4695</v>
      </c>
      <c r="BQ1193" s="1" t="s">
        <v>220</v>
      </c>
      <c r="BT1193" s="1">
        <v>1</v>
      </c>
    </row>
    <row r="1194" spans="1:72">
      <c r="A1194" s="1" t="s">
        <v>4696</v>
      </c>
      <c r="B1194" s="1" t="s">
        <v>213</v>
      </c>
      <c r="C1194" s="1">
        <v>1</v>
      </c>
      <c r="D1194" s="1" t="s">
        <v>4697</v>
      </c>
      <c r="E1194" s="1">
        <v>10028</v>
      </c>
      <c r="F1194" s="1" t="s">
        <v>4696</v>
      </c>
      <c r="G1194" s="1">
        <v>1</v>
      </c>
      <c r="K1194" s="1">
        <v>100</v>
      </c>
      <c r="M1194" s="1">
        <v>100</v>
      </c>
      <c r="O1194" s="1">
        <v>0</v>
      </c>
      <c r="Q1194" s="1">
        <v>0</v>
      </c>
      <c r="Y1194" s="1">
        <v>0.05</v>
      </c>
      <c r="Z1194" s="1">
        <v>1</v>
      </c>
      <c r="AA1194" s="1">
        <v>0</v>
      </c>
      <c r="AB1194" s="1">
        <v>0</v>
      </c>
      <c r="AG1194" s="1">
        <v>0</v>
      </c>
      <c r="AH1194" s="1">
        <v>1</v>
      </c>
      <c r="AI1194" s="1" t="s">
        <v>4698</v>
      </c>
      <c r="AJ1194" s="1" t="s">
        <v>275</v>
      </c>
      <c r="AK1194" s="1" t="s">
        <v>238</v>
      </c>
      <c r="AM1194" s="1">
        <v>1</v>
      </c>
      <c r="AV1194" s="1">
        <v>0</v>
      </c>
      <c r="AX1194" s="1">
        <v>0.1</v>
      </c>
      <c r="BA1194" s="1">
        <v>1</v>
      </c>
      <c r="BE1194" s="1" t="s">
        <v>4696</v>
      </c>
      <c r="BK1194" s="1" t="s">
        <v>4699</v>
      </c>
      <c r="BN1194" s="1" t="s">
        <v>217</v>
      </c>
      <c r="BO1194" s="1" t="s">
        <v>218</v>
      </c>
      <c r="BP1194" s="1" t="s">
        <v>218</v>
      </c>
      <c r="BQ1194" s="1" t="s">
        <v>217</v>
      </c>
      <c r="BT1194" s="1">
        <v>1</v>
      </c>
    </row>
    <row r="1195" spans="1:72">
      <c r="A1195" s="1" t="s">
        <v>4700</v>
      </c>
      <c r="B1195" s="1" t="s">
        <v>213</v>
      </c>
      <c r="C1195" s="1">
        <v>1</v>
      </c>
      <c r="D1195" s="1" t="s">
        <v>4701</v>
      </c>
      <c r="E1195" s="1">
        <v>10029</v>
      </c>
      <c r="F1195" s="1" t="s">
        <v>4700</v>
      </c>
      <c r="G1195" s="1">
        <v>1</v>
      </c>
      <c r="K1195" s="1">
        <v>100</v>
      </c>
      <c r="M1195" s="1">
        <v>100</v>
      </c>
      <c r="O1195" s="1">
        <v>0</v>
      </c>
      <c r="Q1195" s="1">
        <v>0</v>
      </c>
      <c r="Y1195" s="1">
        <v>0.05</v>
      </c>
      <c r="Z1195" s="1">
        <v>1</v>
      </c>
      <c r="AA1195" s="1">
        <v>0</v>
      </c>
      <c r="AB1195" s="1">
        <v>0</v>
      </c>
      <c r="AG1195" s="1">
        <v>0</v>
      </c>
      <c r="AH1195" s="1">
        <v>1</v>
      </c>
      <c r="AI1195" s="1" t="s">
        <v>4702</v>
      </c>
      <c r="AJ1195" s="1" t="s">
        <v>275</v>
      </c>
      <c r="AK1195" s="1" t="s">
        <v>238</v>
      </c>
      <c r="AM1195" s="1">
        <v>1</v>
      </c>
      <c r="AV1195" s="1">
        <v>0</v>
      </c>
      <c r="AX1195" s="1">
        <v>0.1</v>
      </c>
      <c r="BA1195" s="1">
        <v>1</v>
      </c>
      <c r="BE1195" s="1" t="s">
        <v>4700</v>
      </c>
      <c r="BK1195" s="1" t="s">
        <v>4703</v>
      </c>
      <c r="BN1195" s="1" t="s">
        <v>217</v>
      </c>
      <c r="BO1195" s="1" t="s">
        <v>218</v>
      </c>
      <c r="BP1195" s="1" t="s">
        <v>218</v>
      </c>
      <c r="BQ1195" s="1" t="s">
        <v>217</v>
      </c>
      <c r="BT1195" s="1">
        <v>1</v>
      </c>
    </row>
    <row r="1196" spans="1:72">
      <c r="A1196" s="1" t="s">
        <v>4704</v>
      </c>
      <c r="B1196" s="1" t="s">
        <v>213</v>
      </c>
      <c r="C1196" s="1">
        <v>1</v>
      </c>
      <c r="D1196" s="1" t="s">
        <v>4705</v>
      </c>
      <c r="E1196" s="1">
        <v>10030</v>
      </c>
      <c r="F1196" s="1" t="s">
        <v>4704</v>
      </c>
      <c r="G1196" s="1">
        <v>1</v>
      </c>
      <c r="K1196" s="1">
        <v>100</v>
      </c>
      <c r="M1196" s="1">
        <v>100</v>
      </c>
      <c r="O1196" s="1">
        <v>0</v>
      </c>
      <c r="Q1196" s="1">
        <v>0</v>
      </c>
      <c r="Y1196" s="1">
        <v>0.05</v>
      </c>
      <c r="Z1196" s="1">
        <v>1</v>
      </c>
      <c r="AA1196" s="1">
        <v>0</v>
      </c>
      <c r="AB1196" s="1">
        <v>0</v>
      </c>
      <c r="AG1196" s="1">
        <v>0</v>
      </c>
      <c r="AH1196" s="1">
        <v>1</v>
      </c>
      <c r="AI1196" s="1" t="s">
        <v>4706</v>
      </c>
      <c r="AJ1196" s="1" t="s">
        <v>275</v>
      </c>
      <c r="AK1196" s="1" t="s">
        <v>238</v>
      </c>
      <c r="AM1196" s="1">
        <v>1</v>
      </c>
      <c r="AV1196" s="1">
        <v>0</v>
      </c>
      <c r="AX1196" s="1">
        <v>0.1</v>
      </c>
      <c r="BA1196" s="1">
        <v>1</v>
      </c>
      <c r="BE1196" s="1" t="s">
        <v>4704</v>
      </c>
      <c r="BK1196" s="1" t="s">
        <v>4707</v>
      </c>
      <c r="BN1196" s="1" t="s">
        <v>217</v>
      </c>
      <c r="BO1196" s="1" t="s">
        <v>218</v>
      </c>
      <c r="BP1196" s="1" t="s">
        <v>218</v>
      </c>
      <c r="BQ1196" s="1" t="s">
        <v>217</v>
      </c>
      <c r="BT1196" s="1">
        <v>1</v>
      </c>
    </row>
    <row r="1197" spans="1:72">
      <c r="A1197" s="1" t="s">
        <v>4708</v>
      </c>
      <c r="B1197" s="1" t="s">
        <v>213</v>
      </c>
      <c r="C1197" s="1">
        <v>1</v>
      </c>
      <c r="D1197" s="1" t="s">
        <v>4709</v>
      </c>
      <c r="E1197" s="1" t="s">
        <v>4710</v>
      </c>
      <c r="F1197" s="1" t="s">
        <v>4708</v>
      </c>
      <c r="G1197" s="1">
        <v>1</v>
      </c>
      <c r="K1197" s="1">
        <v>3500</v>
      </c>
      <c r="M1197" s="1">
        <v>0</v>
      </c>
      <c r="O1197" s="1">
        <v>150</v>
      </c>
      <c r="Q1197" s="1">
        <v>0</v>
      </c>
      <c r="Y1197" s="1">
        <v>0.05</v>
      </c>
      <c r="Z1197" s="1">
        <v>10</v>
      </c>
      <c r="AA1197" s="1">
        <v>0</v>
      </c>
      <c r="AB1197" s="1">
        <v>0.45</v>
      </c>
      <c r="AG1197" s="1">
        <v>1</v>
      </c>
      <c r="AH1197" s="1">
        <v>0</v>
      </c>
      <c r="AI1197" s="1" t="s">
        <v>4711</v>
      </c>
      <c r="AJ1197" s="1" t="s">
        <v>216</v>
      </c>
      <c r="AK1197" s="1" t="s">
        <v>238</v>
      </c>
      <c r="AM1197" s="1">
        <v>1</v>
      </c>
      <c r="AV1197" s="1">
        <v>0</v>
      </c>
      <c r="AX1197" s="1">
        <v>0.1</v>
      </c>
      <c r="BE1197" s="1" t="s">
        <v>4708</v>
      </c>
      <c r="BK1197" s="1" t="s">
        <v>4712</v>
      </c>
      <c r="BN1197" s="1" t="s">
        <v>217</v>
      </c>
      <c r="BO1197" s="1" t="s">
        <v>218</v>
      </c>
      <c r="BP1197" s="1" t="s">
        <v>239</v>
      </c>
      <c r="BQ1197" s="1" t="s">
        <v>4713</v>
      </c>
      <c r="BT1197" s="1">
        <v>1</v>
      </c>
    </row>
    <row r="1198" spans="1:72">
      <c r="A1198" s="1" t="s">
        <v>4714</v>
      </c>
      <c r="B1198" s="1" t="s">
        <v>213</v>
      </c>
      <c r="C1198" s="1">
        <v>1</v>
      </c>
      <c r="D1198" s="1" t="s">
        <v>4715</v>
      </c>
      <c r="E1198" s="1">
        <v>10022</v>
      </c>
      <c r="F1198" s="1" t="s">
        <v>4714</v>
      </c>
      <c r="G1198" s="1">
        <v>1</v>
      </c>
      <c r="K1198" s="1">
        <v>4500</v>
      </c>
      <c r="M1198" s="1">
        <v>185</v>
      </c>
      <c r="O1198" s="1">
        <v>150</v>
      </c>
      <c r="Q1198" s="1">
        <v>10</v>
      </c>
      <c r="Y1198" s="1">
        <v>0.05</v>
      </c>
      <c r="Z1198" s="1">
        <v>1</v>
      </c>
      <c r="AA1198" s="1">
        <v>1</v>
      </c>
      <c r="AB1198" s="1">
        <v>0.9</v>
      </c>
      <c r="AG1198" s="1">
        <v>0</v>
      </c>
      <c r="AH1198" s="1">
        <v>1</v>
      </c>
      <c r="AI1198" s="1" t="s">
        <v>4716</v>
      </c>
      <c r="AJ1198" s="1" t="s">
        <v>275</v>
      </c>
      <c r="AK1198" s="1" t="s">
        <v>238</v>
      </c>
      <c r="AM1198" s="1">
        <v>1</v>
      </c>
      <c r="AV1198" s="1">
        <v>1</v>
      </c>
      <c r="AX1198" s="1">
        <v>0.1</v>
      </c>
      <c r="BE1198" s="1" t="s">
        <v>4714</v>
      </c>
      <c r="BK1198" s="1" t="s">
        <v>953</v>
      </c>
      <c r="BN1198" s="1" t="s">
        <v>217</v>
      </c>
      <c r="BO1198" s="1" t="s">
        <v>218</v>
      </c>
      <c r="BP1198" s="1" t="s">
        <v>239</v>
      </c>
      <c r="BQ1198" s="1" t="s">
        <v>220</v>
      </c>
      <c r="BT1198" s="1">
        <v>1</v>
      </c>
    </row>
    <row r="1199" spans="1:72">
      <c r="A1199" s="1" t="s">
        <v>4717</v>
      </c>
      <c r="B1199" s="1" t="s">
        <v>213</v>
      </c>
      <c r="C1199" s="1">
        <v>1</v>
      </c>
      <c r="D1199" s="1" t="s">
        <v>4718</v>
      </c>
      <c r="E1199" s="1">
        <v>10022</v>
      </c>
      <c r="F1199" s="1" t="s">
        <v>4717</v>
      </c>
      <c r="G1199" s="1">
        <v>1</v>
      </c>
      <c r="K1199" s="1">
        <v>5200</v>
      </c>
      <c r="M1199" s="1">
        <v>210</v>
      </c>
      <c r="O1199" s="1">
        <v>150</v>
      </c>
      <c r="Q1199" s="1">
        <v>10</v>
      </c>
      <c r="Y1199" s="1">
        <v>0.05</v>
      </c>
      <c r="Z1199" s="1">
        <v>1</v>
      </c>
      <c r="AA1199" s="1">
        <v>1</v>
      </c>
      <c r="AB1199" s="1">
        <v>0.9</v>
      </c>
      <c r="AG1199" s="1">
        <v>0</v>
      </c>
      <c r="AH1199" s="1">
        <v>1</v>
      </c>
      <c r="AI1199" s="1" t="s">
        <v>4719</v>
      </c>
      <c r="AJ1199" s="1" t="s">
        <v>275</v>
      </c>
      <c r="AK1199" s="1" t="s">
        <v>238</v>
      </c>
      <c r="AM1199" s="1">
        <v>1</v>
      </c>
      <c r="AV1199" s="1">
        <v>1</v>
      </c>
      <c r="AX1199" s="1">
        <v>0.1</v>
      </c>
      <c r="BE1199" s="1" t="s">
        <v>4717</v>
      </c>
      <c r="BK1199" s="1" t="s">
        <v>953</v>
      </c>
      <c r="BN1199" s="1" t="s">
        <v>217</v>
      </c>
      <c r="BO1199" s="1" t="s">
        <v>218</v>
      </c>
      <c r="BP1199" s="1" t="s">
        <v>239</v>
      </c>
      <c r="BQ1199" s="1" t="s">
        <v>220</v>
      </c>
      <c r="BT1199" s="1">
        <v>1</v>
      </c>
    </row>
    <row r="1200" spans="1:72">
      <c r="A1200" s="1" t="s">
        <v>4720</v>
      </c>
      <c r="B1200" s="1" t="s">
        <v>213</v>
      </c>
      <c r="C1200" s="1">
        <v>1</v>
      </c>
      <c r="D1200" s="1" t="s">
        <v>4721</v>
      </c>
      <c r="E1200" s="1">
        <v>10023</v>
      </c>
      <c r="F1200" s="1" t="s">
        <v>4720</v>
      </c>
      <c r="G1200" s="1">
        <v>1</v>
      </c>
      <c r="K1200" s="1">
        <v>4000</v>
      </c>
      <c r="M1200" s="1">
        <v>320</v>
      </c>
      <c r="O1200" s="1">
        <v>180</v>
      </c>
      <c r="Q1200" s="1">
        <v>15</v>
      </c>
      <c r="Y1200" s="1">
        <v>0.05</v>
      </c>
      <c r="Z1200" s="1">
        <v>2.6</v>
      </c>
      <c r="AA1200" s="1">
        <v>1</v>
      </c>
      <c r="AB1200" s="1">
        <v>0.85</v>
      </c>
      <c r="AG1200" s="1">
        <v>0</v>
      </c>
      <c r="AH1200" s="1">
        <v>1</v>
      </c>
      <c r="AI1200" s="1" t="s">
        <v>4722</v>
      </c>
      <c r="AJ1200" s="1" t="s">
        <v>275</v>
      </c>
      <c r="AK1200" s="1" t="s">
        <v>238</v>
      </c>
      <c r="AM1200" s="1">
        <v>1</v>
      </c>
      <c r="AV1200" s="1">
        <v>1</v>
      </c>
      <c r="AX1200" s="1">
        <v>0.1</v>
      </c>
      <c r="BE1200" s="1" t="s">
        <v>4720</v>
      </c>
      <c r="BK1200" s="1" t="s">
        <v>4723</v>
      </c>
      <c r="BN1200" s="1" t="s">
        <v>217</v>
      </c>
      <c r="BO1200" s="1" t="s">
        <v>218</v>
      </c>
      <c r="BP1200" s="1" t="s">
        <v>239</v>
      </c>
      <c r="BQ1200" s="1" t="s">
        <v>220</v>
      </c>
      <c r="BT1200" s="1">
        <v>1</v>
      </c>
    </row>
    <row r="1201" spans="1:72">
      <c r="A1201" s="1" t="s">
        <v>4724</v>
      </c>
      <c r="B1201" s="1" t="s">
        <v>213</v>
      </c>
      <c r="C1201" s="1">
        <v>1</v>
      </c>
      <c r="D1201" s="1" t="s">
        <v>4725</v>
      </c>
      <c r="E1201" s="1">
        <v>10023</v>
      </c>
      <c r="F1201" s="1" t="s">
        <v>4724</v>
      </c>
      <c r="G1201" s="1">
        <v>1</v>
      </c>
      <c r="K1201" s="1">
        <v>4800</v>
      </c>
      <c r="M1201" s="1">
        <v>410</v>
      </c>
      <c r="O1201" s="1">
        <v>220</v>
      </c>
      <c r="Q1201" s="1">
        <v>15</v>
      </c>
      <c r="Y1201" s="1">
        <v>0.05</v>
      </c>
      <c r="Z1201" s="1">
        <v>2.6</v>
      </c>
      <c r="AA1201" s="1">
        <v>1</v>
      </c>
      <c r="AB1201" s="1">
        <v>0.85</v>
      </c>
      <c r="AG1201" s="1">
        <v>0</v>
      </c>
      <c r="AH1201" s="1">
        <v>1</v>
      </c>
      <c r="AI1201" s="1" t="s">
        <v>4726</v>
      </c>
      <c r="AJ1201" s="1" t="s">
        <v>275</v>
      </c>
      <c r="AK1201" s="1" t="s">
        <v>238</v>
      </c>
      <c r="AM1201" s="1">
        <v>1</v>
      </c>
      <c r="AV1201" s="1">
        <v>1</v>
      </c>
      <c r="AX1201" s="1">
        <v>0.1</v>
      </c>
      <c r="BE1201" s="1" t="s">
        <v>4724</v>
      </c>
      <c r="BK1201" s="1" t="s">
        <v>4723</v>
      </c>
      <c r="BN1201" s="1" t="s">
        <v>217</v>
      </c>
      <c r="BO1201" s="1" t="s">
        <v>218</v>
      </c>
      <c r="BP1201" s="1" t="s">
        <v>239</v>
      </c>
      <c r="BQ1201" s="1" t="s">
        <v>220</v>
      </c>
      <c r="BT1201" s="1">
        <v>1</v>
      </c>
    </row>
    <row r="1202" spans="1:72">
      <c r="A1202" s="1" t="s">
        <v>4727</v>
      </c>
      <c r="B1202" s="1" t="s">
        <v>213</v>
      </c>
      <c r="C1202" s="1">
        <v>1</v>
      </c>
      <c r="D1202" s="1" t="s">
        <v>4728</v>
      </c>
      <c r="E1202" s="1">
        <v>10024</v>
      </c>
      <c r="F1202" s="1" t="s">
        <v>4727</v>
      </c>
      <c r="G1202" s="1">
        <v>1</v>
      </c>
      <c r="K1202" s="1">
        <v>12000</v>
      </c>
      <c r="M1202" s="1">
        <v>900</v>
      </c>
      <c r="O1202" s="1">
        <v>1100</v>
      </c>
      <c r="Q1202" s="1">
        <v>10</v>
      </c>
      <c r="Y1202" s="1">
        <v>0.05</v>
      </c>
      <c r="Z1202" s="1">
        <v>3.5</v>
      </c>
      <c r="AA1202" s="1">
        <v>5</v>
      </c>
      <c r="AB1202" s="1">
        <v>0.5</v>
      </c>
      <c r="AG1202" s="1">
        <v>0</v>
      </c>
      <c r="AH1202" s="1">
        <v>1</v>
      </c>
      <c r="AI1202" s="1" t="s">
        <v>4729</v>
      </c>
      <c r="AJ1202" s="1" t="s">
        <v>275</v>
      </c>
      <c r="AK1202" s="1" t="s">
        <v>238</v>
      </c>
      <c r="AM1202" s="1">
        <v>1</v>
      </c>
      <c r="AV1202" s="1">
        <v>1</v>
      </c>
      <c r="AX1202" s="1">
        <v>0.1</v>
      </c>
      <c r="BE1202" s="1" t="s">
        <v>4727</v>
      </c>
      <c r="BK1202" s="1" t="s">
        <v>953</v>
      </c>
      <c r="BN1202" s="1" t="s">
        <v>217</v>
      </c>
      <c r="BO1202" s="1" t="s">
        <v>218</v>
      </c>
      <c r="BP1202" s="1" t="s">
        <v>239</v>
      </c>
      <c r="BQ1202" s="1" t="s">
        <v>220</v>
      </c>
      <c r="BT1202" s="1">
        <v>1</v>
      </c>
    </row>
    <row r="1203" spans="1:72">
      <c r="A1203" s="1" t="s">
        <v>4730</v>
      </c>
      <c r="B1203" s="1" t="s">
        <v>213</v>
      </c>
      <c r="C1203" s="1">
        <v>1</v>
      </c>
      <c r="D1203" s="1" t="s">
        <v>4731</v>
      </c>
      <c r="E1203" s="1">
        <v>10024</v>
      </c>
      <c r="F1203" s="1" t="s">
        <v>4730</v>
      </c>
      <c r="G1203" s="1">
        <v>1</v>
      </c>
      <c r="K1203" s="1">
        <v>18000</v>
      </c>
      <c r="M1203" s="1">
        <v>1100</v>
      </c>
      <c r="O1203" s="1">
        <v>1350</v>
      </c>
      <c r="Q1203" s="1">
        <v>10</v>
      </c>
      <c r="Y1203" s="1">
        <v>0.05</v>
      </c>
      <c r="Z1203" s="1">
        <v>3.5</v>
      </c>
      <c r="AA1203" s="1">
        <v>5</v>
      </c>
      <c r="AB1203" s="1">
        <v>0.5</v>
      </c>
      <c r="AG1203" s="1">
        <v>0</v>
      </c>
      <c r="AH1203" s="1">
        <v>1</v>
      </c>
      <c r="AI1203" s="1" t="s">
        <v>4732</v>
      </c>
      <c r="AJ1203" s="1" t="s">
        <v>275</v>
      </c>
      <c r="AK1203" s="1" t="s">
        <v>238</v>
      </c>
      <c r="AM1203" s="1">
        <v>1</v>
      </c>
      <c r="AV1203" s="1">
        <v>1</v>
      </c>
      <c r="AX1203" s="1">
        <v>0.1</v>
      </c>
      <c r="BE1203" s="1" t="s">
        <v>4730</v>
      </c>
      <c r="BK1203" s="1" t="s">
        <v>953</v>
      </c>
      <c r="BN1203" s="1" t="s">
        <v>217</v>
      </c>
      <c r="BO1203" s="1" t="s">
        <v>218</v>
      </c>
      <c r="BP1203" s="1" t="s">
        <v>239</v>
      </c>
      <c r="BQ1203" s="1" t="s">
        <v>220</v>
      </c>
      <c r="BT1203" s="1">
        <v>1</v>
      </c>
    </row>
    <row r="1204" spans="1:72">
      <c r="A1204" s="1" t="s">
        <v>4733</v>
      </c>
      <c r="B1204" s="1" t="s">
        <v>213</v>
      </c>
      <c r="C1204" s="1">
        <v>1</v>
      </c>
      <c r="D1204" s="1" t="s">
        <v>4734</v>
      </c>
      <c r="E1204" s="1">
        <v>10025</v>
      </c>
      <c r="F1204" s="1" t="s">
        <v>4733</v>
      </c>
      <c r="G1204" s="1">
        <v>1</v>
      </c>
      <c r="K1204" s="1">
        <v>15000</v>
      </c>
      <c r="M1204" s="1">
        <v>1060</v>
      </c>
      <c r="O1204" s="1">
        <v>400</v>
      </c>
      <c r="Q1204" s="1">
        <v>40</v>
      </c>
      <c r="Y1204" s="1">
        <v>0.05</v>
      </c>
      <c r="Z1204" s="1">
        <v>2.8</v>
      </c>
      <c r="AA1204" s="1">
        <v>4</v>
      </c>
      <c r="AB1204" s="1">
        <v>0.7</v>
      </c>
      <c r="AG1204" s="1">
        <v>0</v>
      </c>
      <c r="AH1204" s="1">
        <v>1</v>
      </c>
      <c r="AI1204" s="1" t="s">
        <v>4735</v>
      </c>
      <c r="AJ1204" s="1" t="s">
        <v>275</v>
      </c>
      <c r="AK1204" s="1" t="s">
        <v>238</v>
      </c>
      <c r="AM1204" s="1">
        <v>1</v>
      </c>
      <c r="AV1204" s="1">
        <v>1</v>
      </c>
      <c r="AX1204" s="1">
        <v>0.1</v>
      </c>
      <c r="BE1204" s="1" t="s">
        <v>4733</v>
      </c>
      <c r="BK1204" s="1" t="s">
        <v>4736</v>
      </c>
      <c r="BN1204" s="1" t="s">
        <v>217</v>
      </c>
      <c r="BO1204" s="1" t="s">
        <v>218</v>
      </c>
      <c r="BP1204" s="1" t="s">
        <v>239</v>
      </c>
      <c r="BQ1204" s="1" t="s">
        <v>220</v>
      </c>
      <c r="BT1204" s="1">
        <v>1</v>
      </c>
    </row>
    <row r="1205" spans="1:72">
      <c r="A1205" s="1" t="s">
        <v>4737</v>
      </c>
      <c r="B1205" s="1" t="s">
        <v>213</v>
      </c>
      <c r="C1205" s="1">
        <v>1</v>
      </c>
      <c r="D1205" s="1" t="s">
        <v>4738</v>
      </c>
      <c r="E1205" s="1">
        <v>10025</v>
      </c>
      <c r="F1205" s="1" t="s">
        <v>4737</v>
      </c>
      <c r="G1205" s="1">
        <v>1</v>
      </c>
      <c r="K1205" s="1">
        <v>19500</v>
      </c>
      <c r="M1205" s="1">
        <v>1420</v>
      </c>
      <c r="O1205" s="1">
        <v>640</v>
      </c>
      <c r="Q1205" s="1">
        <v>40</v>
      </c>
      <c r="Y1205" s="1">
        <v>0.05</v>
      </c>
      <c r="Z1205" s="1">
        <v>2.8</v>
      </c>
      <c r="AA1205" s="1">
        <v>4</v>
      </c>
      <c r="AB1205" s="1">
        <v>0.7</v>
      </c>
      <c r="AG1205" s="1">
        <v>0</v>
      </c>
      <c r="AH1205" s="1">
        <v>1</v>
      </c>
      <c r="AI1205" s="1" t="s">
        <v>4739</v>
      </c>
      <c r="AJ1205" s="1" t="s">
        <v>275</v>
      </c>
      <c r="AK1205" s="1" t="s">
        <v>238</v>
      </c>
      <c r="AM1205" s="1">
        <v>1</v>
      </c>
      <c r="AV1205" s="1">
        <v>1</v>
      </c>
      <c r="AX1205" s="1">
        <v>0.1</v>
      </c>
      <c r="BE1205" s="1" t="s">
        <v>4737</v>
      </c>
      <c r="BK1205" s="1" t="s">
        <v>4736</v>
      </c>
      <c r="BN1205" s="1" t="s">
        <v>217</v>
      </c>
      <c r="BO1205" s="1" t="s">
        <v>218</v>
      </c>
      <c r="BP1205" s="1" t="s">
        <v>239</v>
      </c>
      <c r="BQ1205" s="1" t="s">
        <v>220</v>
      </c>
      <c r="BT1205" s="1">
        <v>1</v>
      </c>
    </row>
    <row r="1206" spans="1:72">
      <c r="A1206" s="1" t="s">
        <v>4740</v>
      </c>
      <c r="B1206" s="1" t="s">
        <v>213</v>
      </c>
      <c r="C1206" s="1">
        <v>1</v>
      </c>
      <c r="D1206" s="1" t="s">
        <v>4741</v>
      </c>
      <c r="E1206" s="1">
        <v>10026</v>
      </c>
      <c r="F1206" s="1" t="s">
        <v>4740</v>
      </c>
      <c r="G1206" s="1">
        <v>1</v>
      </c>
      <c r="K1206" s="1">
        <v>36000</v>
      </c>
      <c r="M1206" s="1">
        <v>800</v>
      </c>
      <c r="O1206" s="1">
        <v>150</v>
      </c>
      <c r="Q1206" s="1">
        <v>20</v>
      </c>
      <c r="Y1206" s="1">
        <v>0.05</v>
      </c>
      <c r="Z1206" s="1">
        <v>5.5</v>
      </c>
      <c r="AA1206" s="1">
        <v>4</v>
      </c>
      <c r="AB1206" s="1">
        <v>0.2</v>
      </c>
      <c r="AG1206" s="1">
        <v>0</v>
      </c>
      <c r="AH1206" s="1">
        <v>1</v>
      </c>
      <c r="AI1206" s="1" t="s">
        <v>4742</v>
      </c>
      <c r="AJ1206" s="1" t="s">
        <v>275</v>
      </c>
      <c r="AK1206" s="1" t="s">
        <v>238</v>
      </c>
      <c r="AM1206" s="1">
        <v>1</v>
      </c>
      <c r="AN1206" s="1">
        <v>1</v>
      </c>
      <c r="AV1206" s="1">
        <v>1</v>
      </c>
      <c r="AX1206" s="1">
        <v>0.1</v>
      </c>
      <c r="BE1206" s="1" t="s">
        <v>4740</v>
      </c>
      <c r="BK1206" s="1" t="s">
        <v>1055</v>
      </c>
      <c r="BN1206" s="1" t="s">
        <v>217</v>
      </c>
      <c r="BO1206" s="1" t="s">
        <v>218</v>
      </c>
      <c r="BP1206" s="1" t="s">
        <v>239</v>
      </c>
      <c r="BQ1206" s="1" t="s">
        <v>220</v>
      </c>
      <c r="BT1206" s="1">
        <v>1</v>
      </c>
    </row>
    <row r="1207" spans="1:72">
      <c r="A1207" s="1" t="s">
        <v>4743</v>
      </c>
      <c r="B1207" s="1" t="s">
        <v>213</v>
      </c>
      <c r="C1207" s="1">
        <v>1</v>
      </c>
      <c r="D1207" s="1" t="s">
        <v>4744</v>
      </c>
      <c r="E1207" s="1">
        <v>10026</v>
      </c>
      <c r="F1207" s="1" t="s">
        <v>4743</v>
      </c>
      <c r="G1207" s="1">
        <v>1</v>
      </c>
      <c r="K1207" s="1">
        <v>44000</v>
      </c>
      <c r="M1207" s="1">
        <v>950</v>
      </c>
      <c r="O1207" s="1">
        <v>150</v>
      </c>
      <c r="Q1207" s="1">
        <v>20</v>
      </c>
      <c r="Y1207" s="1">
        <v>0.05</v>
      </c>
      <c r="Z1207" s="1">
        <v>5.5</v>
      </c>
      <c r="AA1207" s="1">
        <v>4</v>
      </c>
      <c r="AB1207" s="1">
        <v>0.2</v>
      </c>
      <c r="AG1207" s="1">
        <v>0</v>
      </c>
      <c r="AH1207" s="1">
        <v>1</v>
      </c>
      <c r="AI1207" s="1" t="s">
        <v>4745</v>
      </c>
      <c r="AJ1207" s="1" t="s">
        <v>275</v>
      </c>
      <c r="AK1207" s="1" t="s">
        <v>238</v>
      </c>
      <c r="AM1207" s="1">
        <v>1</v>
      </c>
      <c r="AN1207" s="1">
        <v>1</v>
      </c>
      <c r="AV1207" s="1">
        <v>1</v>
      </c>
      <c r="AX1207" s="1">
        <v>0.1</v>
      </c>
      <c r="BE1207" s="1" t="s">
        <v>4743</v>
      </c>
      <c r="BK1207" s="1" t="s">
        <v>1055</v>
      </c>
      <c r="BN1207" s="1" t="s">
        <v>217</v>
      </c>
      <c r="BO1207" s="1" t="s">
        <v>218</v>
      </c>
      <c r="BP1207" s="1" t="s">
        <v>239</v>
      </c>
      <c r="BQ1207" s="1" t="s">
        <v>220</v>
      </c>
      <c r="BT1207" s="1">
        <v>1</v>
      </c>
    </row>
    <row r="1208" spans="1:72">
      <c r="A1208" s="1" t="s">
        <v>4746</v>
      </c>
      <c r="B1208" s="1" t="s">
        <v>213</v>
      </c>
      <c r="C1208" s="1">
        <v>1</v>
      </c>
      <c r="D1208" s="1" t="s">
        <v>4747</v>
      </c>
      <c r="E1208" s="1">
        <v>10027</v>
      </c>
      <c r="F1208" s="1" t="s">
        <v>4746</v>
      </c>
      <c r="G1208" s="1">
        <v>1</v>
      </c>
      <c r="K1208" s="1">
        <v>30000</v>
      </c>
      <c r="M1208" s="1">
        <v>1020</v>
      </c>
      <c r="O1208" s="1">
        <v>1800</v>
      </c>
      <c r="Q1208" s="1">
        <v>5</v>
      </c>
      <c r="Y1208" s="1">
        <v>0.05</v>
      </c>
      <c r="Z1208" s="1">
        <v>5</v>
      </c>
      <c r="AA1208" s="1">
        <v>6</v>
      </c>
      <c r="AB1208" s="1">
        <v>0.5</v>
      </c>
      <c r="AG1208" s="1">
        <v>0</v>
      </c>
      <c r="AH1208" s="1">
        <v>1</v>
      </c>
      <c r="AI1208" s="1" t="s">
        <v>4748</v>
      </c>
      <c r="AJ1208" s="1" t="s">
        <v>275</v>
      </c>
      <c r="AK1208" s="1" t="s">
        <v>238</v>
      </c>
      <c r="AM1208" s="1">
        <v>1</v>
      </c>
      <c r="AV1208" s="1">
        <v>1</v>
      </c>
      <c r="AX1208" s="1">
        <v>0.1</v>
      </c>
      <c r="BE1208" s="1" t="s">
        <v>4746</v>
      </c>
      <c r="BK1208" s="1" t="s">
        <v>4749</v>
      </c>
      <c r="BN1208" s="1" t="s">
        <v>217</v>
      </c>
      <c r="BO1208" s="1" t="s">
        <v>218</v>
      </c>
      <c r="BP1208" s="1" t="s">
        <v>239</v>
      </c>
      <c r="BQ1208" s="1" t="s">
        <v>220</v>
      </c>
      <c r="BT1208" s="1">
        <v>1</v>
      </c>
    </row>
    <row r="1209" spans="1:72">
      <c r="A1209" s="1" t="s">
        <v>4750</v>
      </c>
      <c r="B1209" s="1" t="s">
        <v>213</v>
      </c>
      <c r="C1209" s="1">
        <v>1</v>
      </c>
      <c r="D1209" s="1" t="s">
        <v>4751</v>
      </c>
      <c r="E1209" s="1">
        <v>1559</v>
      </c>
      <c r="F1209" s="1" t="s">
        <v>4750</v>
      </c>
      <c r="G1209" s="1">
        <v>1</v>
      </c>
      <c r="K1209" s="1">
        <v>81000</v>
      </c>
      <c r="M1209" s="1">
        <v>920</v>
      </c>
      <c r="O1209" s="1">
        <v>1030</v>
      </c>
      <c r="Q1209" s="1">
        <v>20</v>
      </c>
      <c r="Y1209" s="1">
        <v>0.05</v>
      </c>
      <c r="Z1209" s="1">
        <v>8.2</v>
      </c>
      <c r="AA1209" s="1">
        <v>10</v>
      </c>
      <c r="AB1209" s="1">
        <v>0</v>
      </c>
      <c r="AG1209" s="1">
        <v>0</v>
      </c>
      <c r="AH1209" s="1">
        <v>1</v>
      </c>
      <c r="AI1209" s="1" t="s">
        <v>4752</v>
      </c>
      <c r="AJ1209" s="1" t="s">
        <v>275</v>
      </c>
      <c r="AK1209" s="1" t="s">
        <v>238</v>
      </c>
      <c r="AM1209" s="1">
        <v>1</v>
      </c>
      <c r="AV1209" s="1">
        <v>15</v>
      </c>
      <c r="AX1209" s="1">
        <v>0.1</v>
      </c>
      <c r="BE1209" s="1" t="s">
        <v>4750</v>
      </c>
      <c r="BK1209" s="1" t="s">
        <v>1351</v>
      </c>
      <c r="BN1209" s="1" t="s">
        <v>217</v>
      </c>
      <c r="BO1209" s="1" t="s">
        <v>218</v>
      </c>
      <c r="BP1209" s="1" t="s">
        <v>218</v>
      </c>
      <c r="BQ1209" s="1" t="s">
        <v>217</v>
      </c>
      <c r="BT1209" s="1">
        <v>1</v>
      </c>
    </row>
    <row r="1210" spans="1:72">
      <c r="A1210" s="1" t="s">
        <v>4753</v>
      </c>
      <c r="B1210" s="1" t="s">
        <v>213</v>
      </c>
      <c r="C1210" s="1">
        <v>1</v>
      </c>
      <c r="D1210" s="1" t="s">
        <v>4754</v>
      </c>
      <c r="E1210" s="1">
        <v>185</v>
      </c>
      <c r="F1210" s="1" t="s">
        <v>4753</v>
      </c>
      <c r="G1210" s="1">
        <v>1</v>
      </c>
      <c r="K1210" s="1">
        <v>8000</v>
      </c>
      <c r="M1210" s="1">
        <v>425</v>
      </c>
      <c r="O1210" s="1">
        <v>150</v>
      </c>
      <c r="Q1210" s="1">
        <v>75</v>
      </c>
      <c r="Y1210" s="1">
        <v>0.05</v>
      </c>
      <c r="Z1210" s="1">
        <v>3.8</v>
      </c>
      <c r="AA1210" s="1">
        <v>10</v>
      </c>
      <c r="AB1210" s="1">
        <v>0</v>
      </c>
      <c r="AG1210" s="1">
        <v>0</v>
      </c>
      <c r="AH1210" s="1">
        <v>1</v>
      </c>
      <c r="AI1210" s="1" t="s">
        <v>4755</v>
      </c>
      <c r="AJ1210" s="1" t="s">
        <v>275</v>
      </c>
      <c r="AK1210" s="1" t="s">
        <v>238</v>
      </c>
      <c r="AM1210" s="1">
        <v>1</v>
      </c>
      <c r="AV1210" s="1">
        <v>1</v>
      </c>
      <c r="AX1210" s="1">
        <v>0.1</v>
      </c>
      <c r="BE1210" s="1" t="s">
        <v>4750</v>
      </c>
      <c r="BK1210" s="1" t="s">
        <v>4756</v>
      </c>
      <c r="BN1210" s="1" t="s">
        <v>217</v>
      </c>
      <c r="BO1210" s="1" t="s">
        <v>218</v>
      </c>
      <c r="BP1210" s="1" t="s">
        <v>218</v>
      </c>
      <c r="BQ1210" s="1" t="s">
        <v>220</v>
      </c>
      <c r="BT1210" s="1">
        <v>1</v>
      </c>
    </row>
    <row r="1211" spans="1:72">
      <c r="A1211" s="1" t="s">
        <v>4757</v>
      </c>
      <c r="B1211" s="1" t="s">
        <v>213</v>
      </c>
      <c r="C1211" s="1">
        <v>1</v>
      </c>
      <c r="D1211" s="1" t="s">
        <v>4758</v>
      </c>
      <c r="E1211" s="1">
        <v>10031</v>
      </c>
      <c r="F1211" s="1" t="s">
        <v>4757</v>
      </c>
      <c r="G1211" s="1">
        <v>1</v>
      </c>
      <c r="K1211" s="1">
        <v>4000</v>
      </c>
      <c r="M1211" s="1">
        <v>300</v>
      </c>
      <c r="O1211" s="1">
        <v>100</v>
      </c>
      <c r="Q1211" s="1">
        <v>0</v>
      </c>
      <c r="Y1211" s="1">
        <v>0.05</v>
      </c>
      <c r="Z1211" s="1">
        <v>2</v>
      </c>
      <c r="AA1211" s="1">
        <v>1</v>
      </c>
      <c r="AB1211" s="1">
        <v>1.5</v>
      </c>
      <c r="AG1211" s="1">
        <v>0</v>
      </c>
      <c r="AH1211" s="1">
        <v>1</v>
      </c>
      <c r="AI1211" s="1" t="s">
        <v>4759</v>
      </c>
      <c r="AJ1211" s="1" t="s">
        <v>275</v>
      </c>
      <c r="AK1211" s="1" t="s">
        <v>238</v>
      </c>
      <c r="AM1211" s="1">
        <v>1</v>
      </c>
      <c r="AV1211" s="1">
        <v>1</v>
      </c>
      <c r="AX1211" s="1">
        <v>0.1</v>
      </c>
      <c r="BE1211" s="1" t="s">
        <v>4757</v>
      </c>
      <c r="BK1211" s="1" t="s">
        <v>953</v>
      </c>
      <c r="BN1211" s="1" t="s">
        <v>217</v>
      </c>
      <c r="BO1211" s="1" t="s">
        <v>218</v>
      </c>
      <c r="BP1211" s="1" t="s">
        <v>239</v>
      </c>
      <c r="BQ1211" s="1" t="s">
        <v>220</v>
      </c>
      <c r="BT1211" s="1">
        <v>1</v>
      </c>
    </row>
    <row r="1212" spans="1:72">
      <c r="A1212" s="1" t="s">
        <v>4760</v>
      </c>
      <c r="B1212" s="1" t="s">
        <v>213</v>
      </c>
      <c r="C1212" s="1">
        <v>1</v>
      </c>
      <c r="D1212" s="1" t="s">
        <v>4761</v>
      </c>
      <c r="E1212" s="1">
        <v>10031</v>
      </c>
      <c r="F1212" s="1" t="s">
        <v>4760</v>
      </c>
      <c r="G1212" s="1">
        <v>1</v>
      </c>
      <c r="K1212" s="1">
        <v>4500</v>
      </c>
      <c r="M1212" s="1">
        <v>350</v>
      </c>
      <c r="O1212" s="1">
        <v>150</v>
      </c>
      <c r="Q1212" s="1">
        <v>0</v>
      </c>
      <c r="Y1212" s="1">
        <v>0.05</v>
      </c>
      <c r="Z1212" s="1">
        <v>2</v>
      </c>
      <c r="AA1212" s="1">
        <v>1</v>
      </c>
      <c r="AB1212" s="1">
        <v>1.5</v>
      </c>
      <c r="AG1212" s="1">
        <v>0</v>
      </c>
      <c r="AH1212" s="1">
        <v>1</v>
      </c>
      <c r="AI1212" s="1" t="s">
        <v>4762</v>
      </c>
      <c r="AJ1212" s="1" t="s">
        <v>275</v>
      </c>
      <c r="AK1212" s="1" t="s">
        <v>238</v>
      </c>
      <c r="AM1212" s="1">
        <v>1</v>
      </c>
      <c r="AV1212" s="1">
        <v>1</v>
      </c>
      <c r="AX1212" s="1">
        <v>0.1</v>
      </c>
      <c r="BE1212" s="1" t="s">
        <v>4760</v>
      </c>
      <c r="BK1212" s="1" t="s">
        <v>953</v>
      </c>
      <c r="BN1212" s="1" t="s">
        <v>217</v>
      </c>
      <c r="BO1212" s="1" t="s">
        <v>218</v>
      </c>
      <c r="BP1212" s="1" t="s">
        <v>239</v>
      </c>
      <c r="BQ1212" s="1" t="s">
        <v>220</v>
      </c>
      <c r="BT1212" s="1">
        <v>1</v>
      </c>
    </row>
    <row r="1213" spans="1:72">
      <c r="A1213" s="1" t="s">
        <v>4763</v>
      </c>
      <c r="B1213" s="1" t="s">
        <v>213</v>
      </c>
      <c r="C1213" s="1">
        <v>1</v>
      </c>
      <c r="D1213" s="1" t="s">
        <v>4764</v>
      </c>
      <c r="E1213" s="1">
        <v>10032</v>
      </c>
      <c r="F1213" s="1" t="s">
        <v>4763</v>
      </c>
      <c r="G1213" s="1">
        <v>1</v>
      </c>
      <c r="K1213" s="1">
        <v>4000</v>
      </c>
      <c r="M1213" s="1">
        <v>250</v>
      </c>
      <c r="O1213" s="1">
        <v>100</v>
      </c>
      <c r="Q1213" s="1">
        <v>0</v>
      </c>
      <c r="Y1213" s="1">
        <v>0.05</v>
      </c>
      <c r="Z1213" s="1">
        <v>3</v>
      </c>
      <c r="AA1213" s="1">
        <v>1</v>
      </c>
      <c r="AB1213" s="1">
        <v>1.2</v>
      </c>
      <c r="AG1213" s="1">
        <v>0</v>
      </c>
      <c r="AH1213" s="1">
        <v>1</v>
      </c>
      <c r="AI1213" s="1" t="s">
        <v>4765</v>
      </c>
      <c r="AJ1213" s="1" t="s">
        <v>275</v>
      </c>
      <c r="AK1213" s="1" t="s">
        <v>238</v>
      </c>
      <c r="AM1213" s="1">
        <v>1</v>
      </c>
      <c r="AV1213" s="1">
        <v>1</v>
      </c>
      <c r="AX1213" s="1">
        <v>0.1</v>
      </c>
      <c r="BE1213" s="1" t="s">
        <v>4763</v>
      </c>
      <c r="BK1213" s="1" t="s">
        <v>959</v>
      </c>
      <c r="BN1213" s="1" t="s">
        <v>217</v>
      </c>
      <c r="BO1213" s="1" t="s">
        <v>218</v>
      </c>
      <c r="BP1213" s="1" t="s">
        <v>239</v>
      </c>
      <c r="BQ1213" s="1" t="s">
        <v>220</v>
      </c>
      <c r="BT1213" s="1">
        <v>1</v>
      </c>
    </row>
    <row r="1214" spans="1:72">
      <c r="A1214" s="1" t="s">
        <v>4766</v>
      </c>
      <c r="B1214" s="1" t="s">
        <v>213</v>
      </c>
      <c r="C1214" s="1">
        <v>1</v>
      </c>
      <c r="D1214" s="1" t="s">
        <v>4767</v>
      </c>
      <c r="E1214" s="1">
        <v>10032</v>
      </c>
      <c r="F1214" s="1" t="s">
        <v>4766</v>
      </c>
      <c r="G1214" s="1">
        <v>1</v>
      </c>
      <c r="K1214" s="1">
        <v>4500</v>
      </c>
      <c r="M1214" s="1">
        <v>300</v>
      </c>
      <c r="O1214" s="1">
        <v>150</v>
      </c>
      <c r="Q1214" s="1">
        <v>0</v>
      </c>
      <c r="Y1214" s="1">
        <v>0.05</v>
      </c>
      <c r="Z1214" s="1">
        <v>3</v>
      </c>
      <c r="AA1214" s="1">
        <v>1</v>
      </c>
      <c r="AB1214" s="1">
        <v>1.2</v>
      </c>
      <c r="AG1214" s="1">
        <v>0</v>
      </c>
      <c r="AH1214" s="1">
        <v>1</v>
      </c>
      <c r="AI1214" s="1" t="s">
        <v>4768</v>
      </c>
      <c r="AJ1214" s="1" t="s">
        <v>275</v>
      </c>
      <c r="AK1214" s="1" t="s">
        <v>238</v>
      </c>
      <c r="AM1214" s="1">
        <v>1</v>
      </c>
      <c r="AV1214" s="1">
        <v>1</v>
      </c>
      <c r="AX1214" s="1">
        <v>0.1</v>
      </c>
      <c r="BE1214" s="1" t="s">
        <v>4766</v>
      </c>
      <c r="BK1214" s="1" t="s">
        <v>959</v>
      </c>
      <c r="BN1214" s="1" t="s">
        <v>217</v>
      </c>
      <c r="BO1214" s="1" t="s">
        <v>218</v>
      </c>
      <c r="BP1214" s="1" t="s">
        <v>239</v>
      </c>
      <c r="BQ1214" s="1" t="s">
        <v>220</v>
      </c>
      <c r="BT1214" s="1">
        <v>1</v>
      </c>
    </row>
    <row r="1215" spans="1:72">
      <c r="A1215" s="1" t="s">
        <v>4769</v>
      </c>
      <c r="B1215" s="1" t="s">
        <v>213</v>
      </c>
      <c r="C1215" s="1">
        <v>1</v>
      </c>
      <c r="D1215" s="1" t="s">
        <v>4770</v>
      </c>
      <c r="E1215" s="1">
        <v>10033</v>
      </c>
      <c r="F1215" s="1" t="s">
        <v>4769</v>
      </c>
      <c r="G1215" s="1">
        <v>1</v>
      </c>
      <c r="K1215" s="1">
        <v>6500</v>
      </c>
      <c r="M1215" s="1">
        <v>550</v>
      </c>
      <c r="O1215" s="1">
        <v>300</v>
      </c>
      <c r="Q1215" s="1">
        <v>10</v>
      </c>
      <c r="Y1215" s="1">
        <v>0.05</v>
      </c>
      <c r="Z1215" s="1">
        <v>4</v>
      </c>
      <c r="AA1215" s="1">
        <v>2</v>
      </c>
      <c r="AB1215" s="1">
        <v>0.7</v>
      </c>
      <c r="AG1215" s="1">
        <v>0</v>
      </c>
      <c r="AH1215" s="1">
        <v>1</v>
      </c>
      <c r="AI1215" s="1" t="s">
        <v>4771</v>
      </c>
      <c r="AJ1215" s="1" t="s">
        <v>275</v>
      </c>
      <c r="AK1215" s="1" t="s">
        <v>238</v>
      </c>
      <c r="AM1215" s="1">
        <v>1</v>
      </c>
      <c r="AV1215" s="1">
        <v>1</v>
      </c>
      <c r="AX1215" s="1">
        <v>0.1</v>
      </c>
      <c r="BE1215" s="1" t="s">
        <v>4769</v>
      </c>
      <c r="BK1215" s="1" t="s">
        <v>959</v>
      </c>
      <c r="BN1215" s="1" t="s">
        <v>217</v>
      </c>
      <c r="BO1215" s="1" t="s">
        <v>218</v>
      </c>
      <c r="BP1215" s="1" t="s">
        <v>239</v>
      </c>
      <c r="BQ1215" s="1" t="s">
        <v>220</v>
      </c>
      <c r="BT1215" s="1">
        <v>1</v>
      </c>
    </row>
    <row r="1216" spans="1:72">
      <c r="A1216" s="1" t="s">
        <v>4772</v>
      </c>
      <c r="B1216" s="1" t="s">
        <v>213</v>
      </c>
      <c r="C1216" s="1">
        <v>1</v>
      </c>
      <c r="D1216" s="1" t="s">
        <v>4773</v>
      </c>
      <c r="E1216" s="1">
        <v>10033</v>
      </c>
      <c r="F1216" s="1" t="s">
        <v>4772</v>
      </c>
      <c r="G1216" s="1">
        <v>1</v>
      </c>
      <c r="K1216" s="1">
        <v>8500</v>
      </c>
      <c r="M1216" s="1">
        <v>650</v>
      </c>
      <c r="O1216" s="1">
        <v>350</v>
      </c>
      <c r="Q1216" s="1">
        <v>10</v>
      </c>
      <c r="Y1216" s="1">
        <v>0.05</v>
      </c>
      <c r="Z1216" s="1">
        <v>4</v>
      </c>
      <c r="AA1216" s="1">
        <v>2</v>
      </c>
      <c r="AB1216" s="1">
        <v>0.7</v>
      </c>
      <c r="AG1216" s="1">
        <v>0</v>
      </c>
      <c r="AH1216" s="1">
        <v>1</v>
      </c>
      <c r="AI1216" s="1" t="s">
        <v>4774</v>
      </c>
      <c r="AJ1216" s="1" t="s">
        <v>275</v>
      </c>
      <c r="AK1216" s="1" t="s">
        <v>238</v>
      </c>
      <c r="AM1216" s="1">
        <v>1</v>
      </c>
      <c r="AV1216" s="1">
        <v>1</v>
      </c>
      <c r="AX1216" s="1">
        <v>0.1</v>
      </c>
      <c r="BE1216" s="1" t="s">
        <v>4772</v>
      </c>
      <c r="BK1216" s="1" t="s">
        <v>959</v>
      </c>
      <c r="BN1216" s="1" t="s">
        <v>217</v>
      </c>
      <c r="BO1216" s="1" t="s">
        <v>218</v>
      </c>
      <c r="BP1216" s="1" t="s">
        <v>239</v>
      </c>
      <c r="BQ1216" s="1" t="s">
        <v>220</v>
      </c>
      <c r="BT1216" s="1">
        <v>1</v>
      </c>
    </row>
    <row r="1217" spans="1:72">
      <c r="A1217" s="1" t="s">
        <v>4775</v>
      </c>
      <c r="B1217" s="1" t="s">
        <v>213</v>
      </c>
      <c r="C1217" s="1">
        <v>1</v>
      </c>
      <c r="D1217" s="1" t="s">
        <v>4776</v>
      </c>
      <c r="E1217" s="1">
        <v>10034</v>
      </c>
      <c r="F1217" s="1" t="s">
        <v>4775</v>
      </c>
      <c r="G1217" s="1">
        <v>1</v>
      </c>
      <c r="K1217" s="1">
        <v>10000</v>
      </c>
      <c r="M1217" s="1">
        <v>650</v>
      </c>
      <c r="O1217" s="1">
        <v>300</v>
      </c>
      <c r="Q1217" s="1">
        <v>10</v>
      </c>
      <c r="Y1217" s="1">
        <v>0.05</v>
      </c>
      <c r="Z1217" s="1">
        <v>1</v>
      </c>
      <c r="AA1217" s="1">
        <v>2</v>
      </c>
      <c r="AB1217" s="1">
        <v>0.7</v>
      </c>
      <c r="AG1217" s="1">
        <v>0</v>
      </c>
      <c r="AH1217" s="1">
        <v>1</v>
      </c>
      <c r="AI1217" s="1" t="s">
        <v>4777</v>
      </c>
      <c r="AJ1217" s="1" t="s">
        <v>275</v>
      </c>
      <c r="AK1217" s="1" t="s">
        <v>238</v>
      </c>
      <c r="AM1217" s="1">
        <v>1</v>
      </c>
      <c r="AV1217" s="1">
        <v>1</v>
      </c>
      <c r="AX1217" s="1">
        <v>0.1</v>
      </c>
      <c r="BE1217" s="1" t="s">
        <v>4775</v>
      </c>
      <c r="BK1217" s="1" t="s">
        <v>980</v>
      </c>
      <c r="BN1217" s="1" t="s">
        <v>217</v>
      </c>
      <c r="BO1217" s="1" t="s">
        <v>218</v>
      </c>
      <c r="BP1217" s="1" t="s">
        <v>239</v>
      </c>
      <c r="BQ1217" s="1" t="s">
        <v>220</v>
      </c>
      <c r="BT1217" s="1">
        <v>1</v>
      </c>
    </row>
    <row r="1218" spans="1:72">
      <c r="A1218" s="1" t="s">
        <v>4778</v>
      </c>
      <c r="B1218" s="1" t="s">
        <v>213</v>
      </c>
      <c r="C1218" s="1">
        <v>1</v>
      </c>
      <c r="D1218" s="1" t="s">
        <v>4779</v>
      </c>
      <c r="E1218" s="1">
        <v>10034</v>
      </c>
      <c r="F1218" s="1" t="s">
        <v>4778</v>
      </c>
      <c r="G1218" s="1">
        <v>1</v>
      </c>
      <c r="K1218" s="1">
        <v>12000</v>
      </c>
      <c r="M1218" s="1">
        <v>750</v>
      </c>
      <c r="O1218" s="1">
        <v>350</v>
      </c>
      <c r="Q1218" s="1">
        <v>10</v>
      </c>
      <c r="Y1218" s="1">
        <v>0.05</v>
      </c>
      <c r="Z1218" s="1">
        <v>1</v>
      </c>
      <c r="AA1218" s="1">
        <v>2</v>
      </c>
      <c r="AB1218" s="1">
        <v>0.7</v>
      </c>
      <c r="AG1218" s="1">
        <v>0</v>
      </c>
      <c r="AH1218" s="1">
        <v>1</v>
      </c>
      <c r="AI1218" s="1" t="s">
        <v>4780</v>
      </c>
      <c r="AJ1218" s="1" t="s">
        <v>275</v>
      </c>
      <c r="AK1218" s="1" t="s">
        <v>238</v>
      </c>
      <c r="AM1218" s="1">
        <v>1</v>
      </c>
      <c r="AV1218" s="1">
        <v>1</v>
      </c>
      <c r="AX1218" s="1">
        <v>0.1</v>
      </c>
      <c r="BE1218" s="1" t="s">
        <v>4778</v>
      </c>
      <c r="BK1218" s="1" t="s">
        <v>980</v>
      </c>
      <c r="BN1218" s="1" t="s">
        <v>217</v>
      </c>
      <c r="BO1218" s="1" t="s">
        <v>218</v>
      </c>
      <c r="BP1218" s="1" t="s">
        <v>239</v>
      </c>
      <c r="BQ1218" s="1" t="s">
        <v>220</v>
      </c>
      <c r="BT1218" s="1">
        <v>1</v>
      </c>
    </row>
    <row r="1219" spans="1:72">
      <c r="A1219" s="1" t="s">
        <v>4781</v>
      </c>
      <c r="B1219" s="1" t="s">
        <v>213</v>
      </c>
      <c r="C1219" s="1">
        <v>1</v>
      </c>
      <c r="D1219" s="1" t="s">
        <v>4782</v>
      </c>
      <c r="E1219" s="1">
        <v>10035</v>
      </c>
      <c r="F1219" s="1" t="s">
        <v>4781</v>
      </c>
      <c r="G1219" s="1">
        <v>1</v>
      </c>
      <c r="K1219" s="1">
        <v>12000</v>
      </c>
      <c r="M1219" s="1">
        <v>100</v>
      </c>
      <c r="O1219" s="1">
        <v>300</v>
      </c>
      <c r="Q1219" s="1">
        <v>10</v>
      </c>
      <c r="Y1219" s="1">
        <v>0.05</v>
      </c>
      <c r="Z1219" s="1">
        <v>1</v>
      </c>
      <c r="AA1219" s="1">
        <v>2</v>
      </c>
      <c r="AB1219" s="1">
        <v>0.7</v>
      </c>
      <c r="AG1219" s="1">
        <v>0</v>
      </c>
      <c r="AH1219" s="1">
        <v>1</v>
      </c>
      <c r="AI1219" s="1" t="s">
        <v>4783</v>
      </c>
      <c r="AJ1219" s="1" t="s">
        <v>275</v>
      </c>
      <c r="AK1219" s="1" t="s">
        <v>238</v>
      </c>
      <c r="AM1219" s="1">
        <v>1</v>
      </c>
      <c r="AV1219" s="1">
        <v>1</v>
      </c>
      <c r="AX1219" s="1">
        <v>0.1</v>
      </c>
      <c r="BE1219" s="1" t="s">
        <v>4781</v>
      </c>
      <c r="BK1219" s="1" t="s">
        <v>959</v>
      </c>
      <c r="BN1219" s="1" t="s">
        <v>217</v>
      </c>
      <c r="BO1219" s="1" t="s">
        <v>218</v>
      </c>
      <c r="BP1219" s="1" t="s">
        <v>239</v>
      </c>
      <c r="BQ1219" s="1" t="s">
        <v>220</v>
      </c>
      <c r="BT1219" s="1">
        <v>1</v>
      </c>
    </row>
    <row r="1220" spans="1:72">
      <c r="A1220" s="1" t="s">
        <v>4784</v>
      </c>
      <c r="B1220" s="1" t="s">
        <v>213</v>
      </c>
      <c r="C1220" s="1">
        <v>1</v>
      </c>
      <c r="D1220" s="1" t="s">
        <v>4785</v>
      </c>
      <c r="E1220" s="1">
        <v>10035</v>
      </c>
      <c r="F1220" s="1" t="s">
        <v>4784</v>
      </c>
      <c r="G1220" s="1">
        <v>1</v>
      </c>
      <c r="K1220" s="1">
        <v>14000</v>
      </c>
      <c r="M1220" s="1">
        <v>120</v>
      </c>
      <c r="O1220" s="1">
        <v>350</v>
      </c>
      <c r="Q1220" s="1">
        <v>10</v>
      </c>
      <c r="Y1220" s="1">
        <v>0.05</v>
      </c>
      <c r="Z1220" s="1">
        <v>1</v>
      </c>
      <c r="AA1220" s="1">
        <v>2</v>
      </c>
      <c r="AB1220" s="1">
        <v>0.7</v>
      </c>
      <c r="AG1220" s="1">
        <v>0</v>
      </c>
      <c r="AH1220" s="1">
        <v>1</v>
      </c>
      <c r="AI1220" s="1" t="s">
        <v>4786</v>
      </c>
      <c r="AJ1220" s="1" t="s">
        <v>275</v>
      </c>
      <c r="AK1220" s="1" t="s">
        <v>238</v>
      </c>
      <c r="AM1220" s="1">
        <v>1</v>
      </c>
      <c r="AV1220" s="1">
        <v>1</v>
      </c>
      <c r="AX1220" s="1">
        <v>0.1</v>
      </c>
      <c r="BE1220" s="1" t="s">
        <v>4784</v>
      </c>
      <c r="BK1220" s="1" t="s">
        <v>959</v>
      </c>
      <c r="BN1220" s="1" t="s">
        <v>217</v>
      </c>
      <c r="BO1220" s="1" t="s">
        <v>218</v>
      </c>
      <c r="BP1220" s="1" t="s">
        <v>239</v>
      </c>
      <c r="BQ1220" s="1" t="s">
        <v>220</v>
      </c>
      <c r="BT1220" s="1">
        <v>1</v>
      </c>
    </row>
    <row r="1221" spans="1:72">
      <c r="A1221" s="1" t="s">
        <v>4787</v>
      </c>
      <c r="B1221" s="1" t="s">
        <v>213</v>
      </c>
      <c r="C1221" s="1">
        <v>1</v>
      </c>
      <c r="D1221" s="1" t="s">
        <v>4788</v>
      </c>
      <c r="E1221" s="1">
        <v>10036</v>
      </c>
      <c r="F1221" s="1" t="s">
        <v>4787</v>
      </c>
      <c r="G1221" s="1">
        <v>1</v>
      </c>
      <c r="K1221" s="1">
        <v>10000</v>
      </c>
      <c r="M1221" s="1">
        <v>300</v>
      </c>
      <c r="O1221" s="1">
        <v>500</v>
      </c>
      <c r="Q1221" s="1">
        <v>20</v>
      </c>
      <c r="Y1221" s="1">
        <v>0.05</v>
      </c>
      <c r="Z1221" s="1">
        <v>4</v>
      </c>
      <c r="AA1221" s="1">
        <v>3</v>
      </c>
      <c r="AB1221" s="1">
        <v>0.7</v>
      </c>
      <c r="AG1221" s="1">
        <v>0</v>
      </c>
      <c r="AH1221" s="1">
        <v>1</v>
      </c>
      <c r="AI1221" s="1" t="s">
        <v>4789</v>
      </c>
      <c r="AJ1221" s="1" t="s">
        <v>275</v>
      </c>
      <c r="AK1221" s="1" t="s">
        <v>238</v>
      </c>
      <c r="AM1221" s="1">
        <v>1</v>
      </c>
      <c r="AP1221" s="1">
        <v>3</v>
      </c>
      <c r="AV1221" s="1">
        <v>1</v>
      </c>
      <c r="AX1221" s="1">
        <v>0.1</v>
      </c>
      <c r="BE1221" s="1" t="s">
        <v>4787</v>
      </c>
      <c r="BK1221" s="1" t="s">
        <v>4153</v>
      </c>
      <c r="BN1221" s="1" t="s">
        <v>217</v>
      </c>
      <c r="BO1221" s="1" t="s">
        <v>218</v>
      </c>
      <c r="BP1221" s="1" t="s">
        <v>239</v>
      </c>
      <c r="BQ1221" s="1" t="s">
        <v>220</v>
      </c>
      <c r="BT1221" s="1">
        <v>1</v>
      </c>
    </row>
    <row r="1222" spans="1:72">
      <c r="A1222" s="1" t="s">
        <v>4790</v>
      </c>
      <c r="B1222" s="1" t="s">
        <v>213</v>
      </c>
      <c r="C1222" s="1">
        <v>1</v>
      </c>
      <c r="D1222" s="1" t="s">
        <v>4791</v>
      </c>
      <c r="E1222" s="1">
        <v>10036</v>
      </c>
      <c r="F1222" s="1" t="s">
        <v>4790</v>
      </c>
      <c r="G1222" s="1">
        <v>1</v>
      </c>
      <c r="K1222" s="1">
        <v>12000</v>
      </c>
      <c r="M1222" s="1">
        <v>450</v>
      </c>
      <c r="O1222" s="1">
        <v>500</v>
      </c>
      <c r="Q1222" s="1">
        <v>20</v>
      </c>
      <c r="Y1222" s="1">
        <v>0.05</v>
      </c>
      <c r="Z1222" s="1">
        <v>4</v>
      </c>
      <c r="AA1222" s="1">
        <v>3</v>
      </c>
      <c r="AB1222" s="1">
        <v>0.7</v>
      </c>
      <c r="AG1222" s="1">
        <v>0</v>
      </c>
      <c r="AH1222" s="1">
        <v>1</v>
      </c>
      <c r="AI1222" s="1" t="s">
        <v>4792</v>
      </c>
      <c r="AJ1222" s="1" t="s">
        <v>275</v>
      </c>
      <c r="AK1222" s="1" t="s">
        <v>238</v>
      </c>
      <c r="AM1222" s="1">
        <v>1</v>
      </c>
      <c r="AP1222" s="1">
        <v>3</v>
      </c>
      <c r="AV1222" s="1">
        <v>1</v>
      </c>
      <c r="AX1222" s="1">
        <v>0.1</v>
      </c>
      <c r="BE1222" s="1" t="s">
        <v>4790</v>
      </c>
      <c r="BK1222" s="1" t="s">
        <v>4153</v>
      </c>
      <c r="BN1222" s="1" t="s">
        <v>217</v>
      </c>
      <c r="BO1222" s="1" t="s">
        <v>218</v>
      </c>
      <c r="BP1222" s="1" t="s">
        <v>239</v>
      </c>
      <c r="BQ1222" s="1" t="s">
        <v>220</v>
      </c>
      <c r="BT1222" s="1">
        <v>1</v>
      </c>
    </row>
    <row r="1223" spans="1:72">
      <c r="A1223" s="1" t="s">
        <v>4793</v>
      </c>
      <c r="B1223" s="1" t="s">
        <v>213</v>
      </c>
      <c r="C1223" s="1">
        <v>1</v>
      </c>
      <c r="D1223" s="1" t="s">
        <v>4794</v>
      </c>
      <c r="E1223" s="1">
        <v>10037</v>
      </c>
      <c r="F1223" s="1" t="s">
        <v>4793</v>
      </c>
      <c r="G1223" s="1">
        <v>1</v>
      </c>
      <c r="K1223" s="1">
        <v>2500</v>
      </c>
      <c r="M1223" s="1">
        <v>400</v>
      </c>
      <c r="O1223" s="1">
        <v>50</v>
      </c>
      <c r="Q1223" s="1">
        <v>0</v>
      </c>
      <c r="Y1223" s="1">
        <v>0.05</v>
      </c>
      <c r="Z1223" s="1">
        <v>1</v>
      </c>
      <c r="AA1223" s="1">
        <v>1</v>
      </c>
      <c r="AB1223" s="1">
        <v>1.6</v>
      </c>
      <c r="AG1223" s="1">
        <v>0</v>
      </c>
      <c r="AH1223" s="1">
        <v>1</v>
      </c>
      <c r="AI1223" s="1" t="s">
        <v>4795</v>
      </c>
      <c r="AJ1223" s="1" t="s">
        <v>275</v>
      </c>
      <c r="AK1223" s="1" t="s">
        <v>238</v>
      </c>
      <c r="AM1223" s="1">
        <v>1</v>
      </c>
      <c r="AV1223" s="1">
        <v>1</v>
      </c>
      <c r="AX1223" s="1">
        <v>0.1</v>
      </c>
      <c r="BE1223" s="1" t="s">
        <v>4793</v>
      </c>
      <c r="BK1223" s="1" t="s">
        <v>4153</v>
      </c>
      <c r="BN1223" s="1" t="s">
        <v>217</v>
      </c>
      <c r="BO1223" s="1" t="s">
        <v>218</v>
      </c>
      <c r="BP1223" s="1" t="s">
        <v>239</v>
      </c>
      <c r="BQ1223" s="1" t="s">
        <v>220</v>
      </c>
      <c r="BT1223" s="1">
        <v>1</v>
      </c>
    </row>
    <row r="1224" spans="1:72">
      <c r="A1224" s="1" t="s">
        <v>4796</v>
      </c>
      <c r="B1224" s="1" t="s">
        <v>213</v>
      </c>
      <c r="C1224" s="1">
        <v>1</v>
      </c>
      <c r="D1224" s="1" t="s">
        <v>4797</v>
      </c>
      <c r="E1224" s="1">
        <v>10037</v>
      </c>
      <c r="F1224" s="1" t="s">
        <v>4796</v>
      </c>
      <c r="G1224" s="1">
        <v>1</v>
      </c>
      <c r="K1224" s="1">
        <v>3000</v>
      </c>
      <c r="M1224" s="1">
        <v>500</v>
      </c>
      <c r="O1224" s="1">
        <v>50</v>
      </c>
      <c r="Q1224" s="1">
        <v>0</v>
      </c>
      <c r="Y1224" s="1">
        <v>0.05</v>
      </c>
      <c r="Z1224" s="1">
        <v>1</v>
      </c>
      <c r="AA1224" s="1">
        <v>1</v>
      </c>
      <c r="AB1224" s="1">
        <v>1.6</v>
      </c>
      <c r="AG1224" s="1">
        <v>0</v>
      </c>
      <c r="AH1224" s="1">
        <v>1</v>
      </c>
      <c r="AI1224" s="1" t="s">
        <v>4798</v>
      </c>
      <c r="AJ1224" s="1" t="s">
        <v>275</v>
      </c>
      <c r="AK1224" s="1" t="s">
        <v>238</v>
      </c>
      <c r="AM1224" s="1">
        <v>1</v>
      </c>
      <c r="AV1224" s="1">
        <v>1</v>
      </c>
      <c r="AX1224" s="1">
        <v>0.1</v>
      </c>
      <c r="BE1224" s="1" t="s">
        <v>4796</v>
      </c>
      <c r="BK1224" s="1" t="s">
        <v>4153</v>
      </c>
      <c r="BN1224" s="1" t="s">
        <v>217</v>
      </c>
      <c r="BO1224" s="1" t="s">
        <v>218</v>
      </c>
      <c r="BP1224" s="1" t="s">
        <v>239</v>
      </c>
      <c r="BQ1224" s="1" t="s">
        <v>220</v>
      </c>
      <c r="BT1224" s="1">
        <v>1</v>
      </c>
    </row>
    <row r="1225" spans="1:72">
      <c r="A1225" s="1" t="s">
        <v>4799</v>
      </c>
      <c r="B1225" s="1" t="s">
        <v>213</v>
      </c>
      <c r="C1225" s="1">
        <v>1</v>
      </c>
      <c r="D1225" s="1" t="s">
        <v>4800</v>
      </c>
      <c r="E1225" s="1">
        <v>10038</v>
      </c>
      <c r="F1225" s="1" t="s">
        <v>4799</v>
      </c>
      <c r="G1225" s="1">
        <v>1</v>
      </c>
      <c r="K1225" s="1">
        <v>15000</v>
      </c>
      <c r="M1225" s="1">
        <v>650</v>
      </c>
      <c r="O1225" s="1">
        <v>700</v>
      </c>
      <c r="Q1225" s="1">
        <v>20</v>
      </c>
      <c r="Y1225" s="1">
        <v>0.05</v>
      </c>
      <c r="Z1225" s="1">
        <v>5</v>
      </c>
      <c r="AA1225" s="1">
        <v>5</v>
      </c>
      <c r="AB1225" s="1">
        <v>1.5</v>
      </c>
      <c r="AG1225" s="1">
        <v>0</v>
      </c>
      <c r="AH1225" s="1">
        <v>1</v>
      </c>
      <c r="AI1225" s="1" t="s">
        <v>4801</v>
      </c>
      <c r="AJ1225" s="1" t="s">
        <v>275</v>
      </c>
      <c r="AK1225" s="1" t="s">
        <v>238</v>
      </c>
      <c r="AM1225" s="1">
        <v>1</v>
      </c>
      <c r="AP1225" s="1">
        <v>3</v>
      </c>
      <c r="AV1225" s="1">
        <v>1</v>
      </c>
      <c r="AX1225" s="1">
        <v>0.1</v>
      </c>
      <c r="BE1225" s="1" t="s">
        <v>4799</v>
      </c>
      <c r="BK1225" s="1" t="s">
        <v>2407</v>
      </c>
      <c r="BN1225" s="1" t="s">
        <v>217</v>
      </c>
      <c r="BO1225" s="1" t="s">
        <v>218</v>
      </c>
      <c r="BP1225" s="1" t="s">
        <v>239</v>
      </c>
      <c r="BQ1225" s="1" t="s">
        <v>220</v>
      </c>
      <c r="BT1225" s="1">
        <v>1</v>
      </c>
    </row>
    <row r="1226" spans="1:72">
      <c r="A1226" s="1" t="s">
        <v>4802</v>
      </c>
      <c r="B1226" s="1" t="s">
        <v>213</v>
      </c>
      <c r="C1226" s="1">
        <v>1</v>
      </c>
      <c r="D1226" s="1" t="s">
        <v>4803</v>
      </c>
      <c r="E1226" s="1">
        <v>10038</v>
      </c>
      <c r="F1226" s="1" t="s">
        <v>4802</v>
      </c>
      <c r="G1226" s="1">
        <v>1</v>
      </c>
      <c r="K1226" s="1">
        <v>17000</v>
      </c>
      <c r="M1226" s="1">
        <v>750</v>
      </c>
      <c r="O1226" s="1">
        <v>800</v>
      </c>
      <c r="Q1226" s="1">
        <v>20</v>
      </c>
      <c r="Y1226" s="1">
        <v>0.05</v>
      </c>
      <c r="Z1226" s="1">
        <v>5</v>
      </c>
      <c r="AA1226" s="1">
        <v>5</v>
      </c>
      <c r="AB1226" s="1">
        <v>1.5</v>
      </c>
      <c r="AG1226" s="1">
        <v>0</v>
      </c>
      <c r="AH1226" s="1">
        <v>1</v>
      </c>
      <c r="AI1226" s="1" t="s">
        <v>4804</v>
      </c>
      <c r="AJ1226" s="1" t="s">
        <v>275</v>
      </c>
      <c r="AK1226" s="1" t="s">
        <v>238</v>
      </c>
      <c r="AM1226" s="1">
        <v>1</v>
      </c>
      <c r="AP1226" s="1">
        <v>3</v>
      </c>
      <c r="AV1226" s="1">
        <v>1</v>
      </c>
      <c r="AX1226" s="1">
        <v>0.1</v>
      </c>
      <c r="BE1226" s="1" t="s">
        <v>4802</v>
      </c>
      <c r="BK1226" s="1" t="s">
        <v>2407</v>
      </c>
      <c r="BN1226" s="1" t="s">
        <v>217</v>
      </c>
      <c r="BO1226" s="1" t="s">
        <v>218</v>
      </c>
      <c r="BP1226" s="1" t="s">
        <v>239</v>
      </c>
      <c r="BQ1226" s="1" t="s">
        <v>220</v>
      </c>
      <c r="BT1226" s="1">
        <v>1</v>
      </c>
    </row>
    <row r="1227" spans="1:72">
      <c r="A1227" s="1" t="s">
        <v>4805</v>
      </c>
      <c r="B1227" s="1" t="s">
        <v>213</v>
      </c>
      <c r="C1227" s="1">
        <v>1</v>
      </c>
      <c r="D1227" s="1" t="s">
        <v>4806</v>
      </c>
      <c r="E1227" s="1">
        <v>10039</v>
      </c>
      <c r="F1227" s="1" t="s">
        <v>4805</v>
      </c>
      <c r="G1227" s="1">
        <v>1</v>
      </c>
      <c r="K1227" s="1">
        <v>22000</v>
      </c>
      <c r="M1227" s="1">
        <v>900</v>
      </c>
      <c r="O1227" s="1">
        <v>900</v>
      </c>
      <c r="Q1227" s="1">
        <v>20</v>
      </c>
      <c r="Y1227" s="1">
        <v>0.05</v>
      </c>
      <c r="Z1227" s="1">
        <v>5</v>
      </c>
      <c r="AA1227" s="1">
        <v>5</v>
      </c>
      <c r="AB1227" s="1">
        <v>1.2</v>
      </c>
      <c r="AG1227" s="1">
        <v>0</v>
      </c>
      <c r="AH1227" s="1">
        <v>1</v>
      </c>
      <c r="AI1227" s="1" t="s">
        <v>4807</v>
      </c>
      <c r="AJ1227" s="1" t="s">
        <v>275</v>
      </c>
      <c r="AK1227" s="1" t="s">
        <v>238</v>
      </c>
      <c r="AM1227" s="1">
        <v>1</v>
      </c>
      <c r="AP1227" s="1">
        <v>3</v>
      </c>
      <c r="AV1227" s="1">
        <v>1</v>
      </c>
      <c r="AX1227" s="1">
        <v>0.1</v>
      </c>
      <c r="BE1227" s="1" t="s">
        <v>4805</v>
      </c>
      <c r="BK1227" s="1" t="s">
        <v>2407</v>
      </c>
      <c r="BN1227" s="1" t="s">
        <v>217</v>
      </c>
      <c r="BO1227" s="1" t="s">
        <v>218</v>
      </c>
      <c r="BP1227" s="1" t="s">
        <v>239</v>
      </c>
      <c r="BQ1227" s="1" t="s">
        <v>220</v>
      </c>
      <c r="BT1227" s="1">
        <v>1</v>
      </c>
    </row>
    <row r="1228" spans="1:72">
      <c r="A1228" s="1" t="s">
        <v>4808</v>
      </c>
      <c r="B1228" s="1" t="s">
        <v>213</v>
      </c>
      <c r="C1228" s="1">
        <v>1</v>
      </c>
      <c r="D1228" s="1" t="s">
        <v>4809</v>
      </c>
      <c r="E1228" s="1">
        <v>10039</v>
      </c>
      <c r="F1228" s="1" t="s">
        <v>4808</v>
      </c>
      <c r="G1228" s="1">
        <v>1</v>
      </c>
      <c r="K1228" s="1">
        <v>25000</v>
      </c>
      <c r="M1228" s="1">
        <v>1100</v>
      </c>
      <c r="O1228" s="1">
        <v>1000</v>
      </c>
      <c r="Q1228" s="1">
        <v>20</v>
      </c>
      <c r="Y1228" s="1">
        <v>0.05</v>
      </c>
      <c r="Z1228" s="1">
        <v>5</v>
      </c>
      <c r="AA1228" s="1">
        <v>5</v>
      </c>
      <c r="AB1228" s="1">
        <v>1.2</v>
      </c>
      <c r="AG1228" s="1">
        <v>0</v>
      </c>
      <c r="AH1228" s="1">
        <v>1</v>
      </c>
      <c r="AI1228" s="1" t="s">
        <v>4810</v>
      </c>
      <c r="AJ1228" s="1" t="s">
        <v>275</v>
      </c>
      <c r="AK1228" s="1" t="s">
        <v>238</v>
      </c>
      <c r="AM1228" s="1">
        <v>1</v>
      </c>
      <c r="AP1228" s="1">
        <v>3</v>
      </c>
      <c r="AV1228" s="1">
        <v>1</v>
      </c>
      <c r="AX1228" s="1">
        <v>0.1</v>
      </c>
      <c r="BE1228" s="1" t="s">
        <v>4808</v>
      </c>
      <c r="BK1228" s="1" t="s">
        <v>2407</v>
      </c>
      <c r="BN1228" s="1" t="s">
        <v>217</v>
      </c>
      <c r="BO1228" s="1" t="s">
        <v>218</v>
      </c>
      <c r="BP1228" s="1" t="s">
        <v>239</v>
      </c>
      <c r="BQ1228" s="1" t="s">
        <v>220</v>
      </c>
      <c r="BT1228" s="1">
        <v>1</v>
      </c>
    </row>
    <row r="1229" spans="1:72">
      <c r="A1229" s="1" t="s">
        <v>4811</v>
      </c>
      <c r="B1229" s="1" t="s">
        <v>213</v>
      </c>
      <c r="C1229" s="1">
        <v>1</v>
      </c>
      <c r="D1229" s="1" t="s">
        <v>4812</v>
      </c>
      <c r="E1229" s="1">
        <v>10040</v>
      </c>
      <c r="F1229" s="1" t="s">
        <v>4811</v>
      </c>
      <c r="G1229" s="1">
        <v>1</v>
      </c>
      <c r="K1229" s="1">
        <v>2000</v>
      </c>
      <c r="M1229" s="1">
        <v>0</v>
      </c>
      <c r="O1229" s="1">
        <v>0</v>
      </c>
      <c r="Q1229" s="1">
        <v>0</v>
      </c>
      <c r="Y1229" s="1">
        <v>0.05</v>
      </c>
      <c r="Z1229" s="1">
        <v>5</v>
      </c>
      <c r="AA1229" s="1">
        <v>0</v>
      </c>
      <c r="AB1229" s="1">
        <v>1</v>
      </c>
      <c r="AG1229" s="1">
        <v>0</v>
      </c>
      <c r="AH1229" s="1">
        <v>1</v>
      </c>
      <c r="AI1229" s="1" t="s">
        <v>4813</v>
      </c>
      <c r="AJ1229" s="1" t="s">
        <v>275</v>
      </c>
      <c r="AK1229" s="1" t="s">
        <v>238</v>
      </c>
      <c r="AM1229" s="1">
        <v>1</v>
      </c>
      <c r="AN1229" s="1">
        <v>1</v>
      </c>
      <c r="AV1229" s="1">
        <v>0</v>
      </c>
      <c r="AX1229" s="1">
        <v>0.1</v>
      </c>
      <c r="BE1229" s="1" t="s">
        <v>4811</v>
      </c>
      <c r="BK1229" s="1" t="s">
        <v>3437</v>
      </c>
      <c r="BN1229" s="1" t="s">
        <v>217</v>
      </c>
      <c r="BO1229" s="1" t="s">
        <v>218</v>
      </c>
      <c r="BP1229" s="1" t="s">
        <v>239</v>
      </c>
      <c r="BQ1229" s="1" t="s">
        <v>220</v>
      </c>
      <c r="BT1229" s="1">
        <v>1</v>
      </c>
    </row>
    <row r="1230" spans="1:72">
      <c r="A1230" s="1" t="s">
        <v>4814</v>
      </c>
      <c r="B1230" s="1" t="s">
        <v>213</v>
      </c>
      <c r="C1230" s="1">
        <v>1</v>
      </c>
      <c r="D1230" s="1" t="s">
        <v>4815</v>
      </c>
      <c r="E1230" s="1">
        <v>10040</v>
      </c>
      <c r="F1230" s="1" t="s">
        <v>4814</v>
      </c>
      <c r="G1230" s="1">
        <v>1</v>
      </c>
      <c r="K1230" s="1">
        <v>3000</v>
      </c>
      <c r="M1230" s="1">
        <v>0</v>
      </c>
      <c r="O1230" s="1">
        <v>0</v>
      </c>
      <c r="Q1230" s="1">
        <v>0</v>
      </c>
      <c r="Y1230" s="1">
        <v>0.05</v>
      </c>
      <c r="Z1230" s="1">
        <v>5</v>
      </c>
      <c r="AA1230" s="1">
        <v>0</v>
      </c>
      <c r="AB1230" s="1">
        <v>1.5</v>
      </c>
      <c r="AG1230" s="1">
        <v>0</v>
      </c>
      <c r="AH1230" s="1">
        <v>1</v>
      </c>
      <c r="AI1230" s="1" t="s">
        <v>4816</v>
      </c>
      <c r="AJ1230" s="1" t="s">
        <v>275</v>
      </c>
      <c r="AK1230" s="1" t="s">
        <v>238</v>
      </c>
      <c r="AM1230" s="1">
        <v>1</v>
      </c>
      <c r="AN1230" s="1">
        <v>1</v>
      </c>
      <c r="AV1230" s="1">
        <v>0</v>
      </c>
      <c r="AX1230" s="1">
        <v>0.1</v>
      </c>
      <c r="BE1230" s="1" t="s">
        <v>4814</v>
      </c>
      <c r="BK1230" s="1" t="s">
        <v>3437</v>
      </c>
      <c r="BN1230" s="1" t="s">
        <v>217</v>
      </c>
      <c r="BO1230" s="1" t="s">
        <v>218</v>
      </c>
      <c r="BP1230" s="1" t="s">
        <v>239</v>
      </c>
      <c r="BQ1230" s="1" t="s">
        <v>220</v>
      </c>
      <c r="BT1230" s="1">
        <v>1</v>
      </c>
    </row>
    <row r="1231" spans="1:72">
      <c r="A1231" s="1" t="s">
        <v>4817</v>
      </c>
      <c r="B1231" s="1" t="s">
        <v>213</v>
      </c>
      <c r="C1231" s="1">
        <v>1</v>
      </c>
      <c r="D1231" s="1" t="s">
        <v>4818</v>
      </c>
      <c r="E1231" s="1">
        <v>1560</v>
      </c>
      <c r="F1231" s="1" t="s">
        <v>4817</v>
      </c>
      <c r="G1231" s="1">
        <v>1</v>
      </c>
      <c r="K1231" s="1">
        <v>90000</v>
      </c>
      <c r="M1231" s="1">
        <v>600</v>
      </c>
      <c r="O1231" s="1">
        <v>500</v>
      </c>
      <c r="Q1231" s="1">
        <v>30</v>
      </c>
      <c r="Y1231" s="1">
        <v>0.05</v>
      </c>
      <c r="Z1231" s="1">
        <v>5</v>
      </c>
      <c r="AA1231" s="1">
        <v>10</v>
      </c>
      <c r="AB1231" s="1">
        <v>0</v>
      </c>
      <c r="AG1231" s="1">
        <v>0</v>
      </c>
      <c r="AH1231" s="1">
        <v>1</v>
      </c>
      <c r="AI1231" s="1" t="s">
        <v>4819</v>
      </c>
      <c r="AJ1231" s="1" t="s">
        <v>275</v>
      </c>
      <c r="AK1231" s="1" t="s">
        <v>238</v>
      </c>
      <c r="AM1231" s="1">
        <v>1</v>
      </c>
      <c r="AN1231" s="1">
        <v>1</v>
      </c>
      <c r="AV1231" s="1">
        <v>1</v>
      </c>
      <c r="AX1231" s="1">
        <v>0.1</v>
      </c>
      <c r="BE1231" s="1" t="s">
        <v>4817</v>
      </c>
      <c r="BK1231" s="1" t="s">
        <v>1351</v>
      </c>
      <c r="BN1231" s="1" t="s">
        <v>2618</v>
      </c>
      <c r="BO1231" s="1" t="s">
        <v>2618</v>
      </c>
      <c r="BP1231" s="1" t="s">
        <v>2618</v>
      </c>
      <c r="BQ1231" s="1" t="s">
        <v>4820</v>
      </c>
      <c r="BT1231" s="1">
        <v>1</v>
      </c>
    </row>
    <row r="1232" spans="1:72">
      <c r="A1232" s="1" t="s">
        <v>4821</v>
      </c>
      <c r="B1232" s="1" t="s">
        <v>213</v>
      </c>
      <c r="C1232" s="1">
        <v>1</v>
      </c>
      <c r="D1232" s="1" t="s">
        <v>4818</v>
      </c>
      <c r="E1232" s="1">
        <v>1560</v>
      </c>
      <c r="F1232" s="1" t="s">
        <v>4817</v>
      </c>
      <c r="G1232" s="1">
        <v>1</v>
      </c>
      <c r="K1232" s="1">
        <v>135000</v>
      </c>
      <c r="M1232" s="1">
        <v>900</v>
      </c>
      <c r="O1232" s="1">
        <v>500</v>
      </c>
      <c r="Q1232" s="1">
        <v>30</v>
      </c>
      <c r="Y1232" s="1">
        <v>0.05</v>
      </c>
      <c r="Z1232" s="1">
        <v>3.5</v>
      </c>
      <c r="AA1232" s="1">
        <v>10</v>
      </c>
      <c r="AB1232" s="1">
        <v>0</v>
      </c>
      <c r="AG1232" s="1">
        <v>0</v>
      </c>
      <c r="AH1232" s="1">
        <v>1</v>
      </c>
      <c r="AI1232" s="1" t="s">
        <v>4822</v>
      </c>
      <c r="AJ1232" s="1" t="s">
        <v>275</v>
      </c>
      <c r="AK1232" s="1" t="s">
        <v>238</v>
      </c>
      <c r="AM1232" s="1">
        <v>1</v>
      </c>
      <c r="AV1232" s="1">
        <v>1</v>
      </c>
      <c r="AX1232" s="1">
        <v>0.1</v>
      </c>
      <c r="BE1232" s="1" t="s">
        <v>4817</v>
      </c>
      <c r="BK1232" s="1" t="s">
        <v>4823</v>
      </c>
      <c r="BL1232" s="1" t="s">
        <v>4824</v>
      </c>
      <c r="BN1232" s="1" t="s">
        <v>4048</v>
      </c>
      <c r="BO1232" s="1" t="s">
        <v>4048</v>
      </c>
      <c r="BP1232" s="1" t="s">
        <v>4048</v>
      </c>
      <c r="BQ1232" s="1" t="s">
        <v>2620</v>
      </c>
      <c r="BT1232" s="1">
        <v>1</v>
      </c>
    </row>
    <row r="1233" spans="1:72">
      <c r="A1233" s="1" t="s">
        <v>4825</v>
      </c>
      <c r="B1233" s="1" t="s">
        <v>213</v>
      </c>
      <c r="C1233" s="1">
        <v>1</v>
      </c>
      <c r="D1233" s="1" t="s">
        <v>4826</v>
      </c>
      <c r="E1233" s="1">
        <v>10043</v>
      </c>
      <c r="F1233" s="1" t="s">
        <v>4825</v>
      </c>
      <c r="G1233" s="1">
        <v>1</v>
      </c>
      <c r="K1233" s="1">
        <v>5500</v>
      </c>
      <c r="M1233" s="1">
        <v>350</v>
      </c>
      <c r="O1233" s="1">
        <v>50</v>
      </c>
      <c r="Q1233" s="1">
        <v>10</v>
      </c>
      <c r="Y1233" s="1">
        <v>0.05</v>
      </c>
      <c r="Z1233" s="1">
        <v>2</v>
      </c>
      <c r="AA1233" s="1">
        <v>1</v>
      </c>
      <c r="AB1233" s="1">
        <v>0.9</v>
      </c>
      <c r="AG1233" s="1">
        <v>0</v>
      </c>
      <c r="AH1233" s="1">
        <v>1</v>
      </c>
      <c r="AI1233" s="1" t="s">
        <v>4827</v>
      </c>
      <c r="AJ1233" s="1" t="s">
        <v>275</v>
      </c>
      <c r="AK1233" s="1" t="s">
        <v>238</v>
      </c>
      <c r="AM1233" s="1">
        <v>1</v>
      </c>
      <c r="AV1233" s="1">
        <v>1</v>
      </c>
      <c r="AX1233" s="1">
        <v>0.1</v>
      </c>
      <c r="BE1233" s="1" t="s">
        <v>4825</v>
      </c>
      <c r="BK1233" s="1" t="s">
        <v>4828</v>
      </c>
      <c r="BN1233" s="1" t="s">
        <v>217</v>
      </c>
      <c r="BO1233" s="1" t="s">
        <v>218</v>
      </c>
      <c r="BP1233" s="1" t="s">
        <v>239</v>
      </c>
      <c r="BQ1233" s="1" t="s">
        <v>220</v>
      </c>
      <c r="BT1233" s="1">
        <v>1</v>
      </c>
    </row>
    <row r="1234" spans="1:72">
      <c r="A1234" s="1" t="s">
        <v>4829</v>
      </c>
      <c r="B1234" s="1" t="s">
        <v>213</v>
      </c>
      <c r="C1234" s="1">
        <v>1</v>
      </c>
      <c r="D1234" s="1" t="s">
        <v>4830</v>
      </c>
      <c r="E1234" s="1">
        <v>10043</v>
      </c>
      <c r="F1234" s="1" t="s">
        <v>4829</v>
      </c>
      <c r="G1234" s="1">
        <v>1</v>
      </c>
      <c r="K1234" s="1">
        <v>6500</v>
      </c>
      <c r="M1234" s="1">
        <v>420</v>
      </c>
      <c r="O1234" s="1">
        <v>60</v>
      </c>
      <c r="Q1234" s="1">
        <v>10</v>
      </c>
      <c r="Y1234" s="1">
        <v>0.05</v>
      </c>
      <c r="Z1234" s="1">
        <v>2</v>
      </c>
      <c r="AA1234" s="1">
        <v>1</v>
      </c>
      <c r="AB1234" s="1">
        <v>0.9</v>
      </c>
      <c r="AG1234" s="1">
        <v>0</v>
      </c>
      <c r="AH1234" s="1">
        <v>1</v>
      </c>
      <c r="AI1234" s="1" t="s">
        <v>4831</v>
      </c>
      <c r="AJ1234" s="1" t="s">
        <v>275</v>
      </c>
      <c r="AK1234" s="1" t="s">
        <v>238</v>
      </c>
      <c r="AM1234" s="1">
        <v>1</v>
      </c>
      <c r="AV1234" s="1">
        <v>1</v>
      </c>
      <c r="AX1234" s="1">
        <v>0.1</v>
      </c>
      <c r="BE1234" s="1" t="s">
        <v>4829</v>
      </c>
      <c r="BK1234" s="1" t="s">
        <v>4828</v>
      </c>
      <c r="BN1234" s="1" t="s">
        <v>217</v>
      </c>
      <c r="BO1234" s="1" t="s">
        <v>218</v>
      </c>
      <c r="BP1234" s="1" t="s">
        <v>239</v>
      </c>
      <c r="BQ1234" s="1" t="s">
        <v>220</v>
      </c>
      <c r="BT1234" s="1">
        <v>1</v>
      </c>
    </row>
    <row r="1235" spans="1:72">
      <c r="A1235" s="1" t="s">
        <v>4832</v>
      </c>
      <c r="B1235" s="1" t="s">
        <v>213</v>
      </c>
      <c r="C1235" s="1">
        <v>1</v>
      </c>
      <c r="D1235" s="1" t="s">
        <v>4826</v>
      </c>
      <c r="E1235" s="1">
        <v>10043</v>
      </c>
      <c r="F1235" s="1" t="s">
        <v>4825</v>
      </c>
      <c r="G1235" s="1">
        <v>1</v>
      </c>
      <c r="K1235" s="1">
        <v>5500</v>
      </c>
      <c r="M1235" s="1">
        <v>350</v>
      </c>
      <c r="O1235" s="1">
        <v>50</v>
      </c>
      <c r="Q1235" s="1">
        <v>10</v>
      </c>
      <c r="Y1235" s="1">
        <v>0.05</v>
      </c>
      <c r="Z1235" s="1">
        <v>2</v>
      </c>
      <c r="AA1235" s="1">
        <v>1</v>
      </c>
      <c r="AB1235" s="1">
        <v>0.9</v>
      </c>
      <c r="AG1235" s="1">
        <v>0</v>
      </c>
      <c r="AH1235" s="1">
        <v>1</v>
      </c>
      <c r="AI1235" s="1" t="s">
        <v>4833</v>
      </c>
      <c r="AJ1235" s="1" t="s">
        <v>275</v>
      </c>
      <c r="AK1235" s="1" t="s">
        <v>238</v>
      </c>
      <c r="AM1235" s="1">
        <v>1</v>
      </c>
      <c r="AV1235" s="1">
        <v>1</v>
      </c>
      <c r="AX1235" s="1">
        <v>0.1</v>
      </c>
      <c r="BE1235" s="1" t="s">
        <v>4825</v>
      </c>
      <c r="BK1235" s="1" t="s">
        <v>4828</v>
      </c>
      <c r="BN1235" s="1" t="s">
        <v>217</v>
      </c>
      <c r="BO1235" s="1" t="s">
        <v>218</v>
      </c>
      <c r="BP1235" s="1" t="s">
        <v>239</v>
      </c>
      <c r="BQ1235" s="1" t="s">
        <v>220</v>
      </c>
      <c r="BT1235" s="1">
        <v>1</v>
      </c>
    </row>
    <row r="1236" spans="1:72">
      <c r="A1236" s="1" t="s">
        <v>4834</v>
      </c>
      <c r="B1236" s="1" t="s">
        <v>213</v>
      </c>
      <c r="C1236" s="1">
        <v>1</v>
      </c>
      <c r="D1236" s="1" t="s">
        <v>4830</v>
      </c>
      <c r="E1236" s="1">
        <v>10043</v>
      </c>
      <c r="F1236" s="1" t="s">
        <v>4829</v>
      </c>
      <c r="G1236" s="1">
        <v>1</v>
      </c>
      <c r="K1236" s="1">
        <v>6500</v>
      </c>
      <c r="M1236" s="1">
        <v>420</v>
      </c>
      <c r="O1236" s="1">
        <v>60</v>
      </c>
      <c r="Q1236" s="1">
        <v>10</v>
      </c>
      <c r="Y1236" s="1">
        <v>0.05</v>
      </c>
      <c r="Z1236" s="1">
        <v>2</v>
      </c>
      <c r="AA1236" s="1">
        <v>1</v>
      </c>
      <c r="AB1236" s="1">
        <v>0.9</v>
      </c>
      <c r="AG1236" s="1">
        <v>0</v>
      </c>
      <c r="AH1236" s="1">
        <v>1</v>
      </c>
      <c r="AI1236" s="1" t="s">
        <v>4835</v>
      </c>
      <c r="AJ1236" s="1" t="s">
        <v>275</v>
      </c>
      <c r="AK1236" s="1" t="s">
        <v>238</v>
      </c>
      <c r="AM1236" s="1">
        <v>1</v>
      </c>
      <c r="AV1236" s="1">
        <v>1</v>
      </c>
      <c r="AX1236" s="1">
        <v>0.1</v>
      </c>
      <c r="BE1236" s="1" t="s">
        <v>4829</v>
      </c>
      <c r="BK1236" s="1" t="s">
        <v>4828</v>
      </c>
      <c r="BN1236" s="1" t="s">
        <v>217</v>
      </c>
      <c r="BO1236" s="1" t="s">
        <v>218</v>
      </c>
      <c r="BP1236" s="1" t="s">
        <v>239</v>
      </c>
      <c r="BQ1236" s="1" t="s">
        <v>220</v>
      </c>
      <c r="BT1236" s="1">
        <v>1</v>
      </c>
    </row>
    <row r="1237" spans="1:72">
      <c r="A1237" s="1" t="s">
        <v>4836</v>
      </c>
      <c r="B1237" s="1" t="s">
        <v>213</v>
      </c>
      <c r="C1237" s="1">
        <v>1</v>
      </c>
      <c r="D1237" s="1" t="s">
        <v>4837</v>
      </c>
      <c r="E1237" s="1">
        <v>10042</v>
      </c>
      <c r="F1237" s="1" t="s">
        <v>4836</v>
      </c>
      <c r="G1237" s="1">
        <v>1</v>
      </c>
      <c r="K1237" s="1">
        <v>6000</v>
      </c>
      <c r="M1237" s="1">
        <v>600</v>
      </c>
      <c r="O1237" s="1">
        <v>150</v>
      </c>
      <c r="Q1237" s="1">
        <v>30</v>
      </c>
      <c r="Y1237" s="1">
        <v>0.05</v>
      </c>
      <c r="Z1237" s="1">
        <v>2</v>
      </c>
      <c r="AA1237" s="1">
        <v>4</v>
      </c>
      <c r="AB1237" s="1">
        <v>0.65</v>
      </c>
      <c r="AG1237" s="1">
        <v>0</v>
      </c>
      <c r="AH1237" s="1">
        <v>1</v>
      </c>
      <c r="AI1237" s="1" t="s">
        <v>4838</v>
      </c>
      <c r="AJ1237" s="1" t="s">
        <v>275</v>
      </c>
      <c r="AK1237" s="1" t="s">
        <v>238</v>
      </c>
      <c r="AM1237" s="1">
        <v>1</v>
      </c>
      <c r="AV1237" s="1">
        <v>1</v>
      </c>
      <c r="AX1237" s="1">
        <v>0.1</v>
      </c>
      <c r="BE1237" s="1" t="s">
        <v>4836</v>
      </c>
      <c r="BK1237" s="1" t="s">
        <v>953</v>
      </c>
      <c r="BN1237" s="1" t="s">
        <v>217</v>
      </c>
      <c r="BO1237" s="1" t="s">
        <v>1959</v>
      </c>
      <c r="BP1237" s="1" t="s">
        <v>239</v>
      </c>
      <c r="BQ1237" s="1" t="s">
        <v>3322</v>
      </c>
      <c r="BT1237" s="1">
        <v>1</v>
      </c>
    </row>
    <row r="1238" spans="1:72">
      <c r="A1238" s="1" t="s">
        <v>4839</v>
      </c>
      <c r="B1238" s="1" t="s">
        <v>213</v>
      </c>
      <c r="C1238" s="1">
        <v>1</v>
      </c>
      <c r="D1238" s="1" t="s">
        <v>4840</v>
      </c>
      <c r="E1238" s="1">
        <v>10042</v>
      </c>
      <c r="F1238" s="1" t="s">
        <v>4839</v>
      </c>
      <c r="G1238" s="1">
        <v>1</v>
      </c>
      <c r="K1238" s="1">
        <v>8000</v>
      </c>
      <c r="M1238" s="1">
        <v>720</v>
      </c>
      <c r="O1238" s="1">
        <v>300</v>
      </c>
      <c r="Q1238" s="1">
        <v>30</v>
      </c>
      <c r="Y1238" s="1">
        <v>0.05</v>
      </c>
      <c r="Z1238" s="1">
        <v>2</v>
      </c>
      <c r="AA1238" s="1">
        <v>4</v>
      </c>
      <c r="AB1238" s="1">
        <v>0.65</v>
      </c>
      <c r="AG1238" s="1">
        <v>0</v>
      </c>
      <c r="AH1238" s="1">
        <v>1</v>
      </c>
      <c r="AI1238" s="1" t="s">
        <v>4841</v>
      </c>
      <c r="AJ1238" s="1" t="s">
        <v>275</v>
      </c>
      <c r="AK1238" s="1" t="s">
        <v>238</v>
      </c>
      <c r="AM1238" s="1">
        <v>1</v>
      </c>
      <c r="AV1238" s="1">
        <v>1</v>
      </c>
      <c r="AX1238" s="1">
        <v>0.1</v>
      </c>
      <c r="BE1238" s="1" t="s">
        <v>4839</v>
      </c>
      <c r="BK1238" s="1" t="s">
        <v>953</v>
      </c>
      <c r="BN1238" s="1" t="s">
        <v>217</v>
      </c>
      <c r="BO1238" s="1" t="s">
        <v>1959</v>
      </c>
      <c r="BP1238" s="1" t="s">
        <v>239</v>
      </c>
      <c r="BQ1238" s="1" t="s">
        <v>3322</v>
      </c>
      <c r="BT1238" s="1">
        <v>1</v>
      </c>
    </row>
    <row r="1239" spans="1:72">
      <c r="A1239" s="1" t="s">
        <v>4842</v>
      </c>
      <c r="B1239" s="1" t="s">
        <v>213</v>
      </c>
      <c r="C1239" s="1">
        <v>1</v>
      </c>
      <c r="D1239" s="1" t="s">
        <v>4843</v>
      </c>
      <c r="E1239" s="1">
        <v>10044</v>
      </c>
      <c r="F1239" s="1" t="s">
        <v>4842</v>
      </c>
      <c r="G1239" s="1">
        <v>1</v>
      </c>
      <c r="K1239" s="1">
        <v>9000</v>
      </c>
      <c r="M1239" s="1">
        <v>850</v>
      </c>
      <c r="O1239" s="1">
        <v>500</v>
      </c>
      <c r="Q1239" s="1">
        <v>20</v>
      </c>
      <c r="Y1239" s="1">
        <v>0.05</v>
      </c>
      <c r="Z1239" s="1">
        <v>3</v>
      </c>
      <c r="AA1239" s="1">
        <v>3</v>
      </c>
      <c r="AB1239" s="1">
        <v>0.5</v>
      </c>
      <c r="AG1239" s="1">
        <v>0</v>
      </c>
      <c r="AH1239" s="1">
        <v>1</v>
      </c>
      <c r="AI1239" s="1" t="s">
        <v>4844</v>
      </c>
      <c r="AJ1239" s="1" t="s">
        <v>275</v>
      </c>
      <c r="AK1239" s="1" t="s">
        <v>238</v>
      </c>
      <c r="AM1239" s="1">
        <v>1</v>
      </c>
      <c r="AV1239" s="1">
        <v>1</v>
      </c>
      <c r="AX1239" s="1">
        <v>0.1</v>
      </c>
      <c r="BE1239" s="1" t="s">
        <v>4842</v>
      </c>
      <c r="BK1239" s="1" t="s">
        <v>953</v>
      </c>
      <c r="BN1239" s="1" t="s">
        <v>217</v>
      </c>
      <c r="BO1239" s="1" t="s">
        <v>218</v>
      </c>
      <c r="BP1239" s="1" t="s">
        <v>239</v>
      </c>
      <c r="BQ1239" s="1" t="s">
        <v>220</v>
      </c>
      <c r="BT1239" s="1">
        <v>1</v>
      </c>
    </row>
    <row r="1240" spans="1:72">
      <c r="A1240" s="1" t="s">
        <v>4845</v>
      </c>
      <c r="B1240" s="1" t="s">
        <v>213</v>
      </c>
      <c r="C1240" s="1">
        <v>1</v>
      </c>
      <c r="D1240" s="1" t="s">
        <v>4846</v>
      </c>
      <c r="E1240" s="1">
        <v>10044</v>
      </c>
      <c r="F1240" s="1" t="s">
        <v>4845</v>
      </c>
      <c r="G1240" s="1">
        <v>1</v>
      </c>
      <c r="K1240" s="1">
        <v>10500</v>
      </c>
      <c r="M1240" s="1">
        <v>1000</v>
      </c>
      <c r="O1240" s="1">
        <v>500</v>
      </c>
      <c r="Q1240" s="1">
        <v>20</v>
      </c>
      <c r="Y1240" s="1">
        <v>0.05</v>
      </c>
      <c r="Z1240" s="1">
        <v>3</v>
      </c>
      <c r="AA1240" s="1">
        <v>3</v>
      </c>
      <c r="AB1240" s="1">
        <v>0.5</v>
      </c>
      <c r="AG1240" s="1">
        <v>0</v>
      </c>
      <c r="AH1240" s="1">
        <v>1</v>
      </c>
      <c r="AI1240" s="1" t="s">
        <v>4847</v>
      </c>
      <c r="AJ1240" s="1" t="s">
        <v>275</v>
      </c>
      <c r="AK1240" s="1" t="s">
        <v>238</v>
      </c>
      <c r="AM1240" s="1">
        <v>1</v>
      </c>
      <c r="AV1240" s="1">
        <v>1</v>
      </c>
      <c r="AX1240" s="1">
        <v>0.1</v>
      </c>
      <c r="BE1240" s="1" t="s">
        <v>4845</v>
      </c>
      <c r="BK1240" s="1" t="s">
        <v>953</v>
      </c>
      <c r="BN1240" s="1" t="s">
        <v>217</v>
      </c>
      <c r="BO1240" s="1" t="s">
        <v>218</v>
      </c>
      <c r="BP1240" s="1" t="s">
        <v>239</v>
      </c>
      <c r="BQ1240" s="1" t="s">
        <v>220</v>
      </c>
      <c r="BT1240" s="1">
        <v>1</v>
      </c>
    </row>
    <row r="1241" spans="1:72">
      <c r="A1241" s="1" t="s">
        <v>4848</v>
      </c>
      <c r="B1241" s="1" t="s">
        <v>213</v>
      </c>
      <c r="C1241" s="1">
        <v>1</v>
      </c>
      <c r="D1241" s="1" t="s">
        <v>4849</v>
      </c>
      <c r="E1241" s="1">
        <v>10045</v>
      </c>
      <c r="F1241" s="1" t="s">
        <v>4848</v>
      </c>
      <c r="G1241" s="1">
        <v>1</v>
      </c>
      <c r="K1241" s="1">
        <v>10000</v>
      </c>
      <c r="M1241" s="1">
        <v>100</v>
      </c>
      <c r="O1241" s="1">
        <v>0</v>
      </c>
      <c r="Q1241" s="1">
        <v>10</v>
      </c>
      <c r="Y1241" s="1">
        <v>0.05</v>
      </c>
      <c r="Z1241" s="1">
        <v>1</v>
      </c>
      <c r="AA1241" s="1">
        <v>0</v>
      </c>
      <c r="AB1241" s="1">
        <v>0.6</v>
      </c>
      <c r="AG1241" s="1">
        <v>0</v>
      </c>
      <c r="AH1241" s="1">
        <v>1</v>
      </c>
      <c r="AI1241" s="1" t="s">
        <v>4850</v>
      </c>
      <c r="AJ1241" s="1" t="s">
        <v>275</v>
      </c>
      <c r="AK1241" s="1" t="s">
        <v>238</v>
      </c>
      <c r="AM1241" s="1">
        <v>1</v>
      </c>
      <c r="AN1241" s="1">
        <v>1</v>
      </c>
      <c r="AV1241" s="1">
        <v>1</v>
      </c>
      <c r="AX1241" s="1">
        <v>0.1</v>
      </c>
      <c r="BE1241" s="1" t="s">
        <v>4848</v>
      </c>
      <c r="BK1241" s="1" t="s">
        <v>4851</v>
      </c>
      <c r="BN1241" s="1" t="s">
        <v>3354</v>
      </c>
      <c r="BO1241" s="1" t="s">
        <v>1959</v>
      </c>
      <c r="BP1241" s="1" t="s">
        <v>1960</v>
      </c>
      <c r="BQ1241" s="1" t="s">
        <v>3322</v>
      </c>
      <c r="BR1241" s="1" t="s">
        <v>3626</v>
      </c>
      <c r="BT1241" s="1">
        <v>1</v>
      </c>
    </row>
    <row r="1242" spans="1:72">
      <c r="A1242" s="1" t="s">
        <v>4852</v>
      </c>
      <c r="B1242" s="1" t="s">
        <v>213</v>
      </c>
      <c r="C1242" s="1">
        <v>1</v>
      </c>
      <c r="D1242" s="1" t="s">
        <v>4853</v>
      </c>
      <c r="E1242" s="1">
        <v>10045</v>
      </c>
      <c r="F1242" s="1" t="s">
        <v>4852</v>
      </c>
      <c r="G1242" s="1">
        <v>1</v>
      </c>
      <c r="K1242" s="1">
        <v>12000</v>
      </c>
      <c r="M1242" s="1">
        <v>100</v>
      </c>
      <c r="O1242" s="1">
        <v>0</v>
      </c>
      <c r="Q1242" s="1">
        <v>10</v>
      </c>
      <c r="Y1242" s="1">
        <v>0.05</v>
      </c>
      <c r="Z1242" s="1">
        <v>1</v>
      </c>
      <c r="AA1242" s="1">
        <v>0</v>
      </c>
      <c r="AB1242" s="1">
        <v>0.6</v>
      </c>
      <c r="AG1242" s="1">
        <v>0</v>
      </c>
      <c r="AH1242" s="1">
        <v>1</v>
      </c>
      <c r="AI1242" s="1" t="s">
        <v>4854</v>
      </c>
      <c r="AJ1242" s="1" t="s">
        <v>275</v>
      </c>
      <c r="AK1242" s="1" t="s">
        <v>238</v>
      </c>
      <c r="AM1242" s="1">
        <v>1</v>
      </c>
      <c r="AN1242" s="1">
        <v>1</v>
      </c>
      <c r="AV1242" s="1">
        <v>1</v>
      </c>
      <c r="AX1242" s="1">
        <v>0.1</v>
      </c>
      <c r="BE1242" s="1" t="s">
        <v>4852</v>
      </c>
      <c r="BK1242" s="1" t="s">
        <v>4851</v>
      </c>
      <c r="BN1242" s="1" t="s">
        <v>3354</v>
      </c>
      <c r="BO1242" s="1" t="s">
        <v>1959</v>
      </c>
      <c r="BP1242" s="1" t="s">
        <v>1960</v>
      </c>
      <c r="BQ1242" s="1" t="s">
        <v>3322</v>
      </c>
      <c r="BR1242" s="1" t="s">
        <v>3626</v>
      </c>
      <c r="BT1242" s="1">
        <v>1</v>
      </c>
    </row>
    <row r="1243" spans="1:72">
      <c r="A1243" s="1" t="s">
        <v>4855</v>
      </c>
      <c r="B1243" s="1" t="s">
        <v>213</v>
      </c>
      <c r="C1243" s="1">
        <v>1</v>
      </c>
      <c r="D1243" s="1" t="s">
        <v>4849</v>
      </c>
      <c r="E1243" s="1">
        <v>10045</v>
      </c>
      <c r="F1243" s="1" t="s">
        <v>4848</v>
      </c>
      <c r="G1243" s="1">
        <v>1</v>
      </c>
      <c r="K1243" s="1">
        <v>10000</v>
      </c>
      <c r="M1243" s="1">
        <v>100</v>
      </c>
      <c r="O1243" s="1">
        <v>0</v>
      </c>
      <c r="Q1243" s="1">
        <v>10</v>
      </c>
      <c r="Y1243" s="1">
        <v>0.05</v>
      </c>
      <c r="Z1243" s="1">
        <v>1</v>
      </c>
      <c r="AA1243" s="1">
        <v>0</v>
      </c>
      <c r="AB1243" s="1">
        <v>0.6</v>
      </c>
      <c r="AG1243" s="1">
        <v>0</v>
      </c>
      <c r="AH1243" s="1">
        <v>1</v>
      </c>
      <c r="AI1243" s="1" t="s">
        <v>4856</v>
      </c>
      <c r="AJ1243" s="1" t="s">
        <v>275</v>
      </c>
      <c r="AK1243" s="1" t="s">
        <v>238</v>
      </c>
      <c r="AM1243" s="1">
        <v>1</v>
      </c>
      <c r="AN1243" s="1">
        <v>1</v>
      </c>
      <c r="AV1243" s="1">
        <v>1</v>
      </c>
      <c r="AX1243" s="1">
        <v>0.1</v>
      </c>
      <c r="BE1243" s="1" t="s">
        <v>4848</v>
      </c>
      <c r="BK1243" s="1" t="s">
        <v>4851</v>
      </c>
      <c r="BN1243" s="1" t="s">
        <v>3354</v>
      </c>
      <c r="BO1243" s="1" t="s">
        <v>1959</v>
      </c>
      <c r="BP1243" s="1" t="s">
        <v>1960</v>
      </c>
      <c r="BQ1243" s="1" t="s">
        <v>3322</v>
      </c>
      <c r="BR1243" s="1" t="s">
        <v>3626</v>
      </c>
      <c r="BT1243" s="1">
        <v>1</v>
      </c>
    </row>
    <row r="1244" spans="1:72">
      <c r="A1244" s="1" t="s">
        <v>4857</v>
      </c>
      <c r="B1244" s="1" t="s">
        <v>213</v>
      </c>
      <c r="C1244" s="1">
        <v>1</v>
      </c>
      <c r="D1244" s="1" t="s">
        <v>4853</v>
      </c>
      <c r="E1244" s="1">
        <v>10045</v>
      </c>
      <c r="F1244" s="1" t="s">
        <v>4852</v>
      </c>
      <c r="G1244" s="1">
        <v>1</v>
      </c>
      <c r="K1244" s="1">
        <v>12000</v>
      </c>
      <c r="M1244" s="1">
        <v>100</v>
      </c>
      <c r="O1244" s="1">
        <v>0</v>
      </c>
      <c r="Q1244" s="1">
        <v>10</v>
      </c>
      <c r="Y1244" s="1">
        <v>0.05</v>
      </c>
      <c r="Z1244" s="1">
        <v>1</v>
      </c>
      <c r="AA1244" s="1">
        <v>0</v>
      </c>
      <c r="AB1244" s="1">
        <v>0.6</v>
      </c>
      <c r="AG1244" s="1">
        <v>0</v>
      </c>
      <c r="AH1244" s="1">
        <v>1</v>
      </c>
      <c r="AI1244" s="1" t="s">
        <v>4858</v>
      </c>
      <c r="AJ1244" s="1" t="s">
        <v>275</v>
      </c>
      <c r="AK1244" s="1" t="s">
        <v>238</v>
      </c>
      <c r="AM1244" s="1">
        <v>1</v>
      </c>
      <c r="AN1244" s="1">
        <v>1</v>
      </c>
      <c r="AV1244" s="1">
        <v>1</v>
      </c>
      <c r="AX1244" s="1">
        <v>0.1</v>
      </c>
      <c r="BE1244" s="1" t="s">
        <v>4852</v>
      </c>
      <c r="BK1244" s="1" t="s">
        <v>4851</v>
      </c>
      <c r="BN1244" s="1" t="s">
        <v>3354</v>
      </c>
      <c r="BO1244" s="1" t="s">
        <v>1959</v>
      </c>
      <c r="BP1244" s="1" t="s">
        <v>1960</v>
      </c>
      <c r="BQ1244" s="1" t="s">
        <v>3322</v>
      </c>
      <c r="BR1244" s="1" t="s">
        <v>3626</v>
      </c>
      <c r="BT1244" s="1">
        <v>1</v>
      </c>
    </row>
    <row r="1245" spans="1:72">
      <c r="A1245" s="1" t="s">
        <v>4859</v>
      </c>
      <c r="B1245" s="1" t="s">
        <v>213</v>
      </c>
      <c r="C1245" s="1">
        <v>1</v>
      </c>
      <c r="D1245" s="1" t="s">
        <v>4860</v>
      </c>
      <c r="E1245" s="1">
        <v>10046</v>
      </c>
      <c r="F1245" s="1" t="s">
        <v>4859</v>
      </c>
      <c r="G1245" s="1">
        <v>1</v>
      </c>
      <c r="K1245" s="1">
        <v>70000</v>
      </c>
      <c r="M1245" s="1">
        <v>1500</v>
      </c>
      <c r="O1245" s="1">
        <v>0</v>
      </c>
      <c r="Q1245" s="1">
        <v>0</v>
      </c>
      <c r="Y1245" s="1">
        <v>0.05</v>
      </c>
      <c r="Z1245" s="1">
        <v>6</v>
      </c>
      <c r="AA1245" s="1">
        <v>4</v>
      </c>
      <c r="AB1245" s="1">
        <v>0.3</v>
      </c>
      <c r="AG1245" s="1">
        <v>0</v>
      </c>
      <c r="AH1245" s="1">
        <v>1</v>
      </c>
      <c r="AI1245" s="1" t="s">
        <v>4861</v>
      </c>
      <c r="AJ1245" s="1" t="s">
        <v>275</v>
      </c>
      <c r="AK1245" s="1" t="s">
        <v>238</v>
      </c>
      <c r="AM1245" s="1">
        <v>1</v>
      </c>
      <c r="AV1245" s="1">
        <v>1</v>
      </c>
      <c r="AX1245" s="1">
        <v>0.1</v>
      </c>
      <c r="BE1245" s="1" t="s">
        <v>4859</v>
      </c>
      <c r="BK1245" s="1" t="s">
        <v>4862</v>
      </c>
      <c r="BN1245" s="1" t="s">
        <v>217</v>
      </c>
      <c r="BO1245" s="1" t="s">
        <v>218</v>
      </c>
      <c r="BP1245" s="1" t="s">
        <v>1635</v>
      </c>
      <c r="BQ1245" s="1" t="s">
        <v>220</v>
      </c>
      <c r="BT1245" s="1">
        <v>1</v>
      </c>
    </row>
    <row r="1246" spans="1:72">
      <c r="A1246" s="1" t="s">
        <v>4863</v>
      </c>
      <c r="B1246" s="1" t="s">
        <v>213</v>
      </c>
      <c r="C1246" s="1">
        <v>1</v>
      </c>
      <c r="D1246" s="1" t="s">
        <v>4864</v>
      </c>
      <c r="E1246" s="1">
        <v>10046</v>
      </c>
      <c r="F1246" s="1" t="s">
        <v>4863</v>
      </c>
      <c r="G1246" s="1">
        <v>1</v>
      </c>
      <c r="K1246" s="1">
        <v>100000</v>
      </c>
      <c r="M1246" s="1">
        <v>2000</v>
      </c>
      <c r="O1246" s="1">
        <v>0</v>
      </c>
      <c r="Q1246" s="1">
        <v>0</v>
      </c>
      <c r="Y1246" s="1">
        <v>0.05</v>
      </c>
      <c r="Z1246" s="1">
        <v>6</v>
      </c>
      <c r="AA1246" s="1">
        <v>4</v>
      </c>
      <c r="AB1246" s="1">
        <v>0.3</v>
      </c>
      <c r="AG1246" s="1">
        <v>0</v>
      </c>
      <c r="AH1246" s="1">
        <v>1</v>
      </c>
      <c r="AI1246" s="1" t="s">
        <v>4865</v>
      </c>
      <c r="AJ1246" s="1" t="s">
        <v>275</v>
      </c>
      <c r="AK1246" s="1" t="s">
        <v>238</v>
      </c>
      <c r="AM1246" s="1">
        <v>1</v>
      </c>
      <c r="AV1246" s="1">
        <v>1</v>
      </c>
      <c r="AX1246" s="1">
        <v>0.1</v>
      </c>
      <c r="BE1246" s="1" t="s">
        <v>4863</v>
      </c>
      <c r="BK1246" s="1" t="s">
        <v>4866</v>
      </c>
      <c r="BN1246" s="1" t="s">
        <v>217</v>
      </c>
      <c r="BO1246" s="1" t="s">
        <v>218</v>
      </c>
      <c r="BP1246" s="1" t="s">
        <v>1635</v>
      </c>
      <c r="BQ1246" s="1" t="s">
        <v>220</v>
      </c>
      <c r="BT1246" s="1">
        <v>1</v>
      </c>
    </row>
    <row r="1247" spans="1:72">
      <c r="A1247" s="1" t="s">
        <v>4867</v>
      </c>
      <c r="B1247" s="1" t="s">
        <v>213</v>
      </c>
      <c r="C1247" s="1">
        <v>1</v>
      </c>
      <c r="D1247" s="1" t="s">
        <v>4868</v>
      </c>
      <c r="E1247" s="1">
        <v>10047</v>
      </c>
      <c r="F1247" s="1" t="s">
        <v>4867</v>
      </c>
      <c r="G1247" s="1">
        <v>1</v>
      </c>
      <c r="K1247" s="1">
        <v>12000</v>
      </c>
      <c r="M1247" s="1">
        <v>350</v>
      </c>
      <c r="O1247" s="1">
        <v>250</v>
      </c>
      <c r="Q1247" s="1">
        <v>50</v>
      </c>
      <c r="Y1247" s="1">
        <v>0.05</v>
      </c>
      <c r="Z1247" s="1">
        <v>2.5</v>
      </c>
      <c r="AA1247" s="1">
        <v>3</v>
      </c>
      <c r="AB1247" s="1">
        <v>0.7</v>
      </c>
      <c r="AG1247" s="1">
        <v>0</v>
      </c>
      <c r="AH1247" s="1">
        <v>1</v>
      </c>
      <c r="AI1247" s="1" t="s">
        <v>4869</v>
      </c>
      <c r="AJ1247" s="1" t="s">
        <v>275</v>
      </c>
      <c r="AK1247" s="1" t="s">
        <v>238</v>
      </c>
      <c r="AM1247" s="1">
        <v>1</v>
      </c>
      <c r="AV1247" s="1">
        <v>1</v>
      </c>
      <c r="AX1247" s="1">
        <v>0.1</v>
      </c>
      <c r="BE1247" s="1" t="s">
        <v>4867</v>
      </c>
      <c r="BK1247" s="1" t="s">
        <v>980</v>
      </c>
      <c r="BN1247" s="1" t="s">
        <v>4870</v>
      </c>
      <c r="BO1247" s="1" t="s">
        <v>4871</v>
      </c>
      <c r="BP1247" s="1" t="s">
        <v>4872</v>
      </c>
      <c r="BQ1247" s="1" t="s">
        <v>4873</v>
      </c>
      <c r="BT1247" s="1">
        <v>1</v>
      </c>
    </row>
    <row r="1248" spans="1:72">
      <c r="A1248" s="1" t="s">
        <v>4874</v>
      </c>
      <c r="B1248" s="1" t="s">
        <v>213</v>
      </c>
      <c r="C1248" s="1">
        <v>1</v>
      </c>
      <c r="D1248" s="1" t="s">
        <v>4875</v>
      </c>
      <c r="E1248" s="1">
        <v>10047</v>
      </c>
      <c r="F1248" s="1" t="s">
        <v>4874</v>
      </c>
      <c r="G1248" s="1">
        <v>1</v>
      </c>
      <c r="K1248" s="1">
        <v>15000</v>
      </c>
      <c r="M1248" s="1">
        <v>420</v>
      </c>
      <c r="O1248" s="1">
        <v>300</v>
      </c>
      <c r="Q1248" s="1">
        <v>50</v>
      </c>
      <c r="Y1248" s="1">
        <v>0.05</v>
      </c>
      <c r="Z1248" s="1">
        <v>2.5</v>
      </c>
      <c r="AA1248" s="1">
        <v>3</v>
      </c>
      <c r="AB1248" s="1">
        <v>0.7</v>
      </c>
      <c r="AG1248" s="1">
        <v>0</v>
      </c>
      <c r="AH1248" s="1">
        <v>1</v>
      </c>
      <c r="AI1248" s="1" t="s">
        <v>4876</v>
      </c>
      <c r="AJ1248" s="1" t="s">
        <v>275</v>
      </c>
      <c r="AK1248" s="1" t="s">
        <v>238</v>
      </c>
      <c r="AM1248" s="1">
        <v>1</v>
      </c>
      <c r="AV1248" s="1">
        <v>1</v>
      </c>
      <c r="AX1248" s="1">
        <v>0.1</v>
      </c>
      <c r="BE1248" s="1" t="s">
        <v>4874</v>
      </c>
      <c r="BK1248" s="1" t="s">
        <v>980</v>
      </c>
      <c r="BN1248" s="1" t="s">
        <v>4870</v>
      </c>
      <c r="BO1248" s="1" t="s">
        <v>4871</v>
      </c>
      <c r="BP1248" s="1" t="s">
        <v>4872</v>
      </c>
      <c r="BQ1248" s="1" t="s">
        <v>4873</v>
      </c>
      <c r="BT1248" s="1">
        <v>1</v>
      </c>
    </row>
    <row r="1249" spans="1:72">
      <c r="A1249" s="1" t="s">
        <v>4877</v>
      </c>
      <c r="B1249" s="1" t="s">
        <v>213</v>
      </c>
      <c r="C1249" s="1">
        <v>1</v>
      </c>
      <c r="D1249" s="1" t="s">
        <v>4878</v>
      </c>
      <c r="E1249" s="1">
        <v>10048</v>
      </c>
      <c r="F1249" s="1" t="s">
        <v>4877</v>
      </c>
      <c r="G1249" s="1">
        <v>1</v>
      </c>
      <c r="K1249" s="1">
        <v>15000</v>
      </c>
      <c r="M1249" s="1">
        <v>1000</v>
      </c>
      <c r="O1249" s="1">
        <v>1500</v>
      </c>
      <c r="Q1249" s="1">
        <v>40</v>
      </c>
      <c r="Y1249" s="1">
        <v>0.05</v>
      </c>
      <c r="Z1249" s="1">
        <v>5</v>
      </c>
      <c r="AA1249" s="1">
        <v>4</v>
      </c>
      <c r="AB1249" s="1">
        <v>0.5</v>
      </c>
      <c r="AG1249" s="1">
        <v>1</v>
      </c>
      <c r="AH1249" s="1">
        <v>1</v>
      </c>
      <c r="AI1249" s="1" t="s">
        <v>4879</v>
      </c>
      <c r="AJ1249" s="1" t="s">
        <v>275</v>
      </c>
      <c r="AK1249" s="1" t="s">
        <v>238</v>
      </c>
      <c r="AM1249" s="1">
        <v>1</v>
      </c>
      <c r="AV1249" s="1">
        <v>1</v>
      </c>
      <c r="AX1249" s="1">
        <v>0.1</v>
      </c>
      <c r="BE1249" s="1" t="s">
        <v>4877</v>
      </c>
      <c r="BK1249" s="1" t="s">
        <v>1012</v>
      </c>
      <c r="BN1249" s="1" t="s">
        <v>217</v>
      </c>
      <c r="BO1249" s="1" t="s">
        <v>218</v>
      </c>
      <c r="BP1249" s="1" t="s">
        <v>239</v>
      </c>
      <c r="BQ1249" s="1" t="s">
        <v>220</v>
      </c>
      <c r="BT1249" s="1">
        <v>1</v>
      </c>
    </row>
    <row r="1250" spans="1:72">
      <c r="A1250" s="1" t="s">
        <v>4880</v>
      </c>
      <c r="B1250" s="1" t="s">
        <v>213</v>
      </c>
      <c r="C1250" s="1">
        <v>1</v>
      </c>
      <c r="D1250" s="1" t="s">
        <v>4881</v>
      </c>
      <c r="E1250" s="1">
        <v>10048</v>
      </c>
      <c r="F1250" s="1" t="s">
        <v>4880</v>
      </c>
      <c r="G1250" s="1">
        <v>1</v>
      </c>
      <c r="K1250" s="1">
        <v>20000</v>
      </c>
      <c r="M1250" s="1">
        <v>1200</v>
      </c>
      <c r="O1250" s="1">
        <v>1800</v>
      </c>
      <c r="Q1250" s="1">
        <v>40</v>
      </c>
      <c r="Y1250" s="1">
        <v>0.05</v>
      </c>
      <c r="Z1250" s="1">
        <v>5</v>
      </c>
      <c r="AA1250" s="1">
        <v>4</v>
      </c>
      <c r="AB1250" s="1">
        <v>0.5</v>
      </c>
      <c r="AG1250" s="1">
        <v>1</v>
      </c>
      <c r="AH1250" s="1">
        <v>1</v>
      </c>
      <c r="AI1250" s="1" t="s">
        <v>4882</v>
      </c>
      <c r="AJ1250" s="1" t="s">
        <v>275</v>
      </c>
      <c r="AK1250" s="1" t="s">
        <v>238</v>
      </c>
      <c r="AM1250" s="1">
        <v>1</v>
      </c>
      <c r="AV1250" s="1">
        <v>1</v>
      </c>
      <c r="AX1250" s="1">
        <v>0.1</v>
      </c>
      <c r="BE1250" s="1" t="s">
        <v>4880</v>
      </c>
      <c r="BK1250" s="1" t="s">
        <v>1012</v>
      </c>
      <c r="BN1250" s="1" t="s">
        <v>217</v>
      </c>
      <c r="BO1250" s="1" t="s">
        <v>218</v>
      </c>
      <c r="BP1250" s="1" t="s">
        <v>239</v>
      </c>
      <c r="BQ1250" s="1" t="s">
        <v>220</v>
      </c>
      <c r="BT1250" s="1">
        <v>1</v>
      </c>
    </row>
    <row r="1251" spans="1:72">
      <c r="A1251" s="1" t="s">
        <v>4883</v>
      </c>
      <c r="B1251" s="1" t="s">
        <v>213</v>
      </c>
      <c r="C1251" s="1">
        <v>1</v>
      </c>
      <c r="D1251" s="1" t="s">
        <v>4884</v>
      </c>
      <c r="E1251" s="1">
        <v>10049</v>
      </c>
      <c r="F1251" s="1" t="s">
        <v>4883</v>
      </c>
      <c r="G1251" s="1">
        <v>1</v>
      </c>
      <c r="K1251" s="1">
        <v>25000</v>
      </c>
      <c r="M1251" s="1">
        <v>700</v>
      </c>
      <c r="O1251" s="1">
        <v>600</v>
      </c>
      <c r="Q1251" s="1">
        <v>30</v>
      </c>
      <c r="Y1251" s="1">
        <v>0.05</v>
      </c>
      <c r="Z1251" s="1">
        <v>3</v>
      </c>
      <c r="AA1251" s="1">
        <v>4</v>
      </c>
      <c r="AB1251" s="1">
        <v>0.45</v>
      </c>
      <c r="AG1251" s="1">
        <v>0</v>
      </c>
      <c r="AH1251" s="1">
        <v>1</v>
      </c>
      <c r="AI1251" s="1" t="s">
        <v>4885</v>
      </c>
      <c r="AJ1251" s="1" t="s">
        <v>275</v>
      </c>
      <c r="AK1251" s="1" t="s">
        <v>238</v>
      </c>
      <c r="AM1251" s="1">
        <v>1</v>
      </c>
      <c r="AV1251" s="1">
        <v>1</v>
      </c>
      <c r="AX1251" s="1">
        <v>0.1</v>
      </c>
      <c r="BE1251" s="1" t="s">
        <v>4883</v>
      </c>
      <c r="BK1251" s="1" t="s">
        <v>1927</v>
      </c>
      <c r="BN1251" s="1" t="s">
        <v>217</v>
      </c>
      <c r="BO1251" s="1" t="s">
        <v>218</v>
      </c>
      <c r="BP1251" s="1" t="s">
        <v>239</v>
      </c>
      <c r="BQ1251" s="1" t="s">
        <v>220</v>
      </c>
      <c r="BT1251" s="1">
        <v>1</v>
      </c>
    </row>
    <row r="1252" spans="1:72">
      <c r="A1252" s="1" t="s">
        <v>4886</v>
      </c>
      <c r="B1252" s="1" t="s">
        <v>213</v>
      </c>
      <c r="C1252" s="1">
        <v>1</v>
      </c>
      <c r="D1252" s="1" t="s">
        <v>4887</v>
      </c>
      <c r="E1252" s="1">
        <v>10049</v>
      </c>
      <c r="F1252" s="1" t="s">
        <v>4886</v>
      </c>
      <c r="G1252" s="1">
        <v>1</v>
      </c>
      <c r="K1252" s="1">
        <v>30000</v>
      </c>
      <c r="M1252" s="1">
        <v>850</v>
      </c>
      <c r="O1252" s="1">
        <v>800</v>
      </c>
      <c r="Q1252" s="1">
        <v>30</v>
      </c>
      <c r="Y1252" s="1">
        <v>0.05</v>
      </c>
      <c r="Z1252" s="1">
        <v>3</v>
      </c>
      <c r="AA1252" s="1">
        <v>4</v>
      </c>
      <c r="AB1252" s="1">
        <v>0.45</v>
      </c>
      <c r="AG1252" s="1">
        <v>0</v>
      </c>
      <c r="AH1252" s="1">
        <v>1</v>
      </c>
      <c r="AI1252" s="1" t="s">
        <v>4888</v>
      </c>
      <c r="AJ1252" s="1" t="s">
        <v>275</v>
      </c>
      <c r="AK1252" s="1" t="s">
        <v>238</v>
      </c>
      <c r="AM1252" s="1">
        <v>1</v>
      </c>
      <c r="AV1252" s="1">
        <v>1</v>
      </c>
      <c r="AX1252" s="1">
        <v>0.1</v>
      </c>
      <c r="BE1252" s="1" t="s">
        <v>4886</v>
      </c>
      <c r="BK1252" s="1" t="s">
        <v>1927</v>
      </c>
      <c r="BN1252" s="1" t="s">
        <v>217</v>
      </c>
      <c r="BO1252" s="1" t="s">
        <v>218</v>
      </c>
      <c r="BP1252" s="1" t="s">
        <v>239</v>
      </c>
      <c r="BQ1252" s="1" t="s">
        <v>220</v>
      </c>
      <c r="BT1252" s="1">
        <v>1</v>
      </c>
    </row>
    <row r="1253" spans="1:72">
      <c r="A1253" s="1" t="s">
        <v>4889</v>
      </c>
      <c r="B1253" s="1" t="s">
        <v>213</v>
      </c>
      <c r="C1253" s="1">
        <v>1</v>
      </c>
      <c r="D1253" s="1" t="s">
        <v>4890</v>
      </c>
      <c r="E1253" s="1">
        <v>1561</v>
      </c>
      <c r="F1253" s="1" t="s">
        <v>4889</v>
      </c>
      <c r="G1253" s="1">
        <v>1</v>
      </c>
      <c r="K1253" s="1">
        <v>70000</v>
      </c>
      <c r="M1253" s="1">
        <v>1500</v>
      </c>
      <c r="O1253" s="1">
        <v>600</v>
      </c>
      <c r="Q1253" s="1">
        <v>40</v>
      </c>
      <c r="Y1253" s="1">
        <v>0.05</v>
      </c>
      <c r="Z1253" s="1">
        <v>5</v>
      </c>
      <c r="AA1253" s="1">
        <v>7</v>
      </c>
      <c r="AB1253" s="1">
        <v>0.3</v>
      </c>
      <c r="AG1253" s="1">
        <v>0</v>
      </c>
      <c r="AH1253" s="1">
        <v>1</v>
      </c>
      <c r="AI1253" s="1" t="s">
        <v>4891</v>
      </c>
      <c r="AJ1253" s="1" t="s">
        <v>275</v>
      </c>
      <c r="AK1253" s="1" t="s">
        <v>238</v>
      </c>
      <c r="AM1253" s="1">
        <v>1</v>
      </c>
      <c r="AV1253" s="1">
        <v>1</v>
      </c>
      <c r="AX1253" s="1">
        <v>0.1</v>
      </c>
      <c r="BE1253" s="1" t="s">
        <v>4889</v>
      </c>
      <c r="BK1253" s="1" t="s">
        <v>1342</v>
      </c>
      <c r="BN1253" s="1" t="s">
        <v>3443</v>
      </c>
      <c r="BO1253" s="1" t="s">
        <v>2618</v>
      </c>
      <c r="BP1253" s="1" t="s">
        <v>2619</v>
      </c>
      <c r="BQ1253" s="1" t="s">
        <v>4892</v>
      </c>
      <c r="BT1253" s="1">
        <v>1</v>
      </c>
    </row>
    <row r="1254" spans="1:72">
      <c r="A1254" s="1" t="s">
        <v>4893</v>
      </c>
      <c r="B1254" s="1" t="s">
        <v>213</v>
      </c>
      <c r="C1254" s="1">
        <v>1</v>
      </c>
      <c r="D1254" s="1" t="s">
        <v>4890</v>
      </c>
      <c r="E1254" s="1">
        <v>1561</v>
      </c>
      <c r="F1254" s="1" t="s">
        <v>4889</v>
      </c>
      <c r="G1254" s="1">
        <v>1</v>
      </c>
      <c r="K1254" s="1">
        <v>70000</v>
      </c>
      <c r="M1254" s="1">
        <v>1500</v>
      </c>
      <c r="O1254" s="1">
        <v>600</v>
      </c>
      <c r="Q1254" s="1">
        <v>40</v>
      </c>
      <c r="Y1254" s="1">
        <v>0.05</v>
      </c>
      <c r="Z1254" s="1">
        <v>3.3</v>
      </c>
      <c r="AA1254" s="1">
        <v>7</v>
      </c>
      <c r="AB1254" s="1">
        <v>0.9</v>
      </c>
      <c r="AG1254" s="1">
        <v>0</v>
      </c>
      <c r="AH1254" s="1">
        <v>1</v>
      </c>
      <c r="AI1254" s="1" t="s">
        <v>4894</v>
      </c>
      <c r="AJ1254" s="1" t="s">
        <v>275</v>
      </c>
      <c r="AK1254" s="1" t="s">
        <v>238</v>
      </c>
      <c r="AM1254" s="1">
        <v>1</v>
      </c>
      <c r="AV1254" s="1">
        <v>1</v>
      </c>
      <c r="AX1254" s="1">
        <v>0.1</v>
      </c>
      <c r="BE1254" s="1" t="s">
        <v>4889</v>
      </c>
      <c r="BK1254" s="1" t="s">
        <v>1342</v>
      </c>
      <c r="BN1254" s="1" t="s">
        <v>4137</v>
      </c>
      <c r="BO1254" s="1" t="s">
        <v>4048</v>
      </c>
      <c r="BP1254" s="1" t="s">
        <v>4049</v>
      </c>
      <c r="BQ1254" s="1" t="s">
        <v>2620</v>
      </c>
      <c r="BT1254" s="1">
        <v>1</v>
      </c>
    </row>
    <row r="1255" spans="1:72">
      <c r="A1255" s="1" t="s">
        <v>4895</v>
      </c>
      <c r="B1255" s="1" t="s">
        <v>213</v>
      </c>
      <c r="C1255" s="1">
        <v>1</v>
      </c>
      <c r="D1255" s="1" t="s">
        <v>4896</v>
      </c>
      <c r="E1255" s="1" t="s">
        <v>4897</v>
      </c>
      <c r="F1255" s="1" t="s">
        <v>4895</v>
      </c>
      <c r="G1255" s="1">
        <v>1</v>
      </c>
      <c r="K1255" s="1">
        <v>5</v>
      </c>
      <c r="M1255" s="1">
        <v>100</v>
      </c>
      <c r="O1255" s="1">
        <v>0</v>
      </c>
      <c r="Q1255" s="1">
        <v>0</v>
      </c>
      <c r="Y1255" s="1">
        <v>0.05</v>
      </c>
      <c r="Z1255" s="1">
        <v>1.7</v>
      </c>
      <c r="AA1255" s="1">
        <v>0</v>
      </c>
      <c r="AB1255" s="1">
        <v>0.7</v>
      </c>
      <c r="AG1255" s="1">
        <v>0</v>
      </c>
      <c r="AH1255" s="1">
        <v>0</v>
      </c>
      <c r="AI1255" s="1" t="s">
        <v>4898</v>
      </c>
      <c r="AJ1255" s="1" t="s">
        <v>3521</v>
      </c>
      <c r="AK1255" s="1" t="s">
        <v>238</v>
      </c>
      <c r="AM1255" s="1">
        <v>1</v>
      </c>
      <c r="AV1255" s="1">
        <v>0</v>
      </c>
      <c r="AX1255" s="1">
        <v>0.1</v>
      </c>
      <c r="BE1255" s="1" t="s">
        <v>4895</v>
      </c>
      <c r="BK1255" s="1" t="s">
        <v>4899</v>
      </c>
      <c r="BN1255" s="1" t="s">
        <v>217</v>
      </c>
      <c r="BO1255" s="1" t="s">
        <v>218</v>
      </c>
      <c r="BP1255" s="1" t="s">
        <v>239</v>
      </c>
      <c r="BQ1255" s="1" t="s">
        <v>217</v>
      </c>
      <c r="BT1255" s="1">
        <v>1</v>
      </c>
    </row>
    <row r="1256" spans="1:72">
      <c r="A1256" s="1" t="s">
        <v>4900</v>
      </c>
      <c r="B1256" s="1" t="s">
        <v>213</v>
      </c>
      <c r="C1256" s="1">
        <v>1</v>
      </c>
      <c r="D1256" s="1" t="s">
        <v>4901</v>
      </c>
      <c r="E1256" s="1" t="s">
        <v>4902</v>
      </c>
      <c r="F1256" s="1" t="s">
        <v>4900</v>
      </c>
      <c r="G1256" s="1">
        <v>1</v>
      </c>
      <c r="K1256" s="1">
        <v>15</v>
      </c>
      <c r="M1256" s="1">
        <v>100</v>
      </c>
      <c r="O1256" s="1">
        <v>0</v>
      </c>
      <c r="Q1256" s="1">
        <v>0</v>
      </c>
      <c r="Y1256" s="1">
        <v>0.05</v>
      </c>
      <c r="Z1256" s="1">
        <v>1.7</v>
      </c>
      <c r="AA1256" s="1">
        <v>0</v>
      </c>
      <c r="AB1256" s="1">
        <v>0.7</v>
      </c>
      <c r="AG1256" s="1">
        <v>0</v>
      </c>
      <c r="AH1256" s="1">
        <v>1</v>
      </c>
      <c r="AI1256" s="1" t="s">
        <v>4903</v>
      </c>
      <c r="AJ1256" s="1" t="s">
        <v>3521</v>
      </c>
      <c r="AK1256" s="1" t="s">
        <v>238</v>
      </c>
      <c r="AM1256" s="1">
        <v>1</v>
      </c>
      <c r="AV1256" s="1">
        <v>0</v>
      </c>
      <c r="AX1256" s="1">
        <v>0.1</v>
      </c>
      <c r="BE1256" s="1" t="s">
        <v>4900</v>
      </c>
      <c r="BK1256" s="1" t="s">
        <v>4899</v>
      </c>
      <c r="BN1256" s="1" t="s">
        <v>217</v>
      </c>
      <c r="BO1256" s="1" t="s">
        <v>218</v>
      </c>
      <c r="BP1256" s="1" t="s">
        <v>239</v>
      </c>
      <c r="BQ1256" s="1" t="s">
        <v>217</v>
      </c>
      <c r="BT1256" s="1">
        <v>1</v>
      </c>
    </row>
    <row r="1257" spans="1:72">
      <c r="A1257" s="1" t="s">
        <v>4904</v>
      </c>
      <c r="B1257" s="1" t="s">
        <v>213</v>
      </c>
      <c r="C1257" s="1">
        <v>1</v>
      </c>
      <c r="D1257" s="1" t="s">
        <v>4905</v>
      </c>
      <c r="E1257" s="1" t="s">
        <v>4906</v>
      </c>
      <c r="F1257" s="1" t="s">
        <v>4904</v>
      </c>
      <c r="G1257" s="1">
        <v>1</v>
      </c>
      <c r="K1257" s="1">
        <v>3500</v>
      </c>
      <c r="M1257" s="1">
        <v>260</v>
      </c>
      <c r="O1257" s="1">
        <v>50</v>
      </c>
      <c r="Q1257" s="1">
        <v>0</v>
      </c>
      <c r="Y1257" s="1">
        <v>0.05</v>
      </c>
      <c r="Z1257" s="1">
        <v>1.7</v>
      </c>
      <c r="AA1257" s="1">
        <v>1</v>
      </c>
      <c r="AB1257" s="1">
        <v>0.9</v>
      </c>
      <c r="AG1257" s="1">
        <v>0</v>
      </c>
      <c r="AH1257" s="1">
        <v>1</v>
      </c>
      <c r="AI1257" s="1" t="s">
        <v>4907</v>
      </c>
      <c r="AJ1257" s="1" t="s">
        <v>275</v>
      </c>
      <c r="AK1257" s="1" t="s">
        <v>238</v>
      </c>
      <c r="AM1257" s="1">
        <v>1</v>
      </c>
      <c r="AV1257" s="1">
        <v>1</v>
      </c>
      <c r="AX1257" s="1">
        <v>0.1</v>
      </c>
      <c r="BE1257" s="1" t="s">
        <v>4904</v>
      </c>
      <c r="BK1257" s="1" t="s">
        <v>2041</v>
      </c>
      <c r="BN1257" s="1" t="s">
        <v>217</v>
      </c>
      <c r="BO1257" s="1" t="s">
        <v>218</v>
      </c>
      <c r="BP1257" s="1" t="s">
        <v>239</v>
      </c>
      <c r="BQ1257" s="1" t="s">
        <v>220</v>
      </c>
      <c r="BT1257" s="1">
        <v>1</v>
      </c>
    </row>
    <row r="1258" spans="1:72">
      <c r="A1258" s="1" t="s">
        <v>4908</v>
      </c>
      <c r="B1258" s="1" t="s">
        <v>213</v>
      </c>
      <c r="C1258" s="1">
        <v>1</v>
      </c>
      <c r="D1258" s="1" t="s">
        <v>4909</v>
      </c>
      <c r="E1258" s="1" t="s">
        <v>4906</v>
      </c>
      <c r="F1258" s="1" t="s">
        <v>4908</v>
      </c>
      <c r="G1258" s="1">
        <v>1</v>
      </c>
      <c r="K1258" s="1">
        <v>5000</v>
      </c>
      <c r="M1258" s="1">
        <v>350</v>
      </c>
      <c r="O1258" s="1">
        <v>100</v>
      </c>
      <c r="Q1258" s="1">
        <v>0</v>
      </c>
      <c r="Y1258" s="1">
        <v>0.05</v>
      </c>
      <c r="Z1258" s="1">
        <v>1.7</v>
      </c>
      <c r="AA1258" s="1">
        <v>1</v>
      </c>
      <c r="AB1258" s="1">
        <v>0.9</v>
      </c>
      <c r="AG1258" s="1">
        <v>0</v>
      </c>
      <c r="AH1258" s="1">
        <v>1</v>
      </c>
      <c r="AI1258" s="1" t="s">
        <v>4910</v>
      </c>
      <c r="AJ1258" s="1" t="s">
        <v>275</v>
      </c>
      <c r="AK1258" s="1" t="s">
        <v>238</v>
      </c>
      <c r="AM1258" s="1">
        <v>1</v>
      </c>
      <c r="AV1258" s="1">
        <v>1</v>
      </c>
      <c r="AX1258" s="1">
        <v>0.1</v>
      </c>
      <c r="BE1258" s="1" t="s">
        <v>4908</v>
      </c>
      <c r="BK1258" s="1" t="s">
        <v>2041</v>
      </c>
      <c r="BN1258" s="1" t="s">
        <v>217</v>
      </c>
      <c r="BO1258" s="1" t="s">
        <v>218</v>
      </c>
      <c r="BP1258" s="1" t="s">
        <v>239</v>
      </c>
      <c r="BQ1258" s="1" t="s">
        <v>220</v>
      </c>
      <c r="BT1258" s="1">
        <v>1</v>
      </c>
    </row>
    <row r="1259" spans="1:72">
      <c r="A1259" s="1" t="s">
        <v>4911</v>
      </c>
      <c r="B1259" s="1" t="s">
        <v>213</v>
      </c>
      <c r="C1259" s="1">
        <v>1</v>
      </c>
      <c r="D1259" s="1" t="s">
        <v>4912</v>
      </c>
      <c r="E1259" s="1" t="s">
        <v>4913</v>
      </c>
      <c r="F1259" s="1" t="s">
        <v>4911</v>
      </c>
      <c r="G1259" s="1">
        <v>1</v>
      </c>
      <c r="K1259" s="1">
        <v>12000</v>
      </c>
      <c r="M1259" s="1">
        <v>450</v>
      </c>
      <c r="O1259" s="1">
        <v>300</v>
      </c>
      <c r="Q1259" s="1">
        <v>50</v>
      </c>
      <c r="Y1259" s="1">
        <v>0.05</v>
      </c>
      <c r="Z1259" s="1">
        <v>4</v>
      </c>
      <c r="AA1259" s="1">
        <v>2</v>
      </c>
      <c r="AB1259" s="1">
        <v>0.7</v>
      </c>
      <c r="AG1259" s="1">
        <v>0</v>
      </c>
      <c r="AH1259" s="1">
        <v>1</v>
      </c>
      <c r="AI1259" s="1" t="s">
        <v>4914</v>
      </c>
      <c r="AJ1259" s="1" t="s">
        <v>275</v>
      </c>
      <c r="AK1259" s="1" t="s">
        <v>238</v>
      </c>
      <c r="AM1259" s="1">
        <v>1</v>
      </c>
      <c r="AV1259" s="1">
        <v>1</v>
      </c>
      <c r="AX1259" s="1">
        <v>0.1</v>
      </c>
      <c r="BE1259" s="1" t="s">
        <v>4911</v>
      </c>
      <c r="BK1259" s="1" t="s">
        <v>2087</v>
      </c>
      <c r="BN1259" s="1" t="s">
        <v>217</v>
      </c>
      <c r="BO1259" s="1" t="s">
        <v>218</v>
      </c>
      <c r="BP1259" s="1" t="s">
        <v>239</v>
      </c>
      <c r="BQ1259" s="1" t="s">
        <v>220</v>
      </c>
      <c r="BT1259" s="1">
        <v>1</v>
      </c>
    </row>
    <row r="1260" spans="1:72">
      <c r="A1260" s="1" t="s">
        <v>4915</v>
      </c>
      <c r="B1260" s="1" t="s">
        <v>213</v>
      </c>
      <c r="C1260" s="1">
        <v>1</v>
      </c>
      <c r="D1260" s="1" t="s">
        <v>4916</v>
      </c>
      <c r="E1260" s="1" t="s">
        <v>4913</v>
      </c>
      <c r="F1260" s="1" t="s">
        <v>4915</v>
      </c>
      <c r="G1260" s="1">
        <v>1</v>
      </c>
      <c r="K1260" s="1">
        <v>15000</v>
      </c>
      <c r="M1260" s="1">
        <v>600</v>
      </c>
      <c r="O1260" s="1">
        <v>400</v>
      </c>
      <c r="Q1260" s="1">
        <v>50</v>
      </c>
      <c r="Y1260" s="1">
        <v>0.05</v>
      </c>
      <c r="Z1260" s="1">
        <v>4</v>
      </c>
      <c r="AA1260" s="1">
        <v>2</v>
      </c>
      <c r="AB1260" s="1">
        <v>0.7</v>
      </c>
      <c r="AG1260" s="1">
        <v>0</v>
      </c>
      <c r="AH1260" s="1">
        <v>1</v>
      </c>
      <c r="AI1260" s="1" t="s">
        <v>4917</v>
      </c>
      <c r="AJ1260" s="1" t="s">
        <v>275</v>
      </c>
      <c r="AK1260" s="1" t="s">
        <v>238</v>
      </c>
      <c r="AM1260" s="1">
        <v>1</v>
      </c>
      <c r="AV1260" s="1">
        <v>1</v>
      </c>
      <c r="AX1260" s="1">
        <v>0.1</v>
      </c>
      <c r="BE1260" s="1" t="s">
        <v>4915</v>
      </c>
      <c r="BK1260" s="1" t="s">
        <v>2087</v>
      </c>
      <c r="BN1260" s="1" t="s">
        <v>217</v>
      </c>
      <c r="BO1260" s="1" t="s">
        <v>218</v>
      </c>
      <c r="BP1260" s="1" t="s">
        <v>239</v>
      </c>
      <c r="BQ1260" s="1" t="s">
        <v>220</v>
      </c>
      <c r="BT1260" s="1">
        <v>1</v>
      </c>
    </row>
    <row r="1261" spans="1:72">
      <c r="A1261" s="1" t="s">
        <v>4918</v>
      </c>
      <c r="B1261" s="1" t="s">
        <v>213</v>
      </c>
      <c r="C1261" s="1">
        <v>1</v>
      </c>
      <c r="D1261" s="1" t="s">
        <v>4919</v>
      </c>
      <c r="E1261" s="1" t="s">
        <v>4920</v>
      </c>
      <c r="F1261" s="1" t="s">
        <v>4918</v>
      </c>
      <c r="G1261" s="1">
        <v>1</v>
      </c>
      <c r="K1261" s="1">
        <v>5000</v>
      </c>
      <c r="M1261" s="1">
        <v>550</v>
      </c>
      <c r="O1261" s="1">
        <v>4000</v>
      </c>
      <c r="Q1261" s="1">
        <v>90</v>
      </c>
      <c r="Y1261" s="1">
        <v>0.05</v>
      </c>
      <c r="Z1261" s="1">
        <v>3</v>
      </c>
      <c r="AA1261" s="1">
        <v>4</v>
      </c>
      <c r="AB1261" s="1">
        <v>0.5</v>
      </c>
      <c r="AG1261" s="1">
        <v>1</v>
      </c>
      <c r="AH1261" s="1">
        <v>1</v>
      </c>
      <c r="AI1261" s="1" t="s">
        <v>4921</v>
      </c>
      <c r="AJ1261" s="1" t="s">
        <v>275</v>
      </c>
      <c r="AK1261" s="1" t="s">
        <v>238</v>
      </c>
      <c r="AM1261" s="1">
        <v>1</v>
      </c>
      <c r="AV1261" s="1">
        <v>1</v>
      </c>
      <c r="AX1261" s="1">
        <v>0.1</v>
      </c>
      <c r="BE1261" s="1" t="s">
        <v>4918</v>
      </c>
      <c r="BK1261" s="1" t="s">
        <v>2064</v>
      </c>
      <c r="BN1261" s="1" t="s">
        <v>217</v>
      </c>
      <c r="BO1261" s="1" t="s">
        <v>218</v>
      </c>
      <c r="BP1261" s="1" t="s">
        <v>239</v>
      </c>
      <c r="BQ1261" s="1" t="s">
        <v>220</v>
      </c>
      <c r="BT1261" s="1">
        <v>1</v>
      </c>
    </row>
    <row r="1262" spans="1:72">
      <c r="A1262" s="1" t="s">
        <v>4922</v>
      </c>
      <c r="B1262" s="1" t="s">
        <v>213</v>
      </c>
      <c r="C1262" s="1">
        <v>1</v>
      </c>
      <c r="D1262" s="1" t="s">
        <v>4923</v>
      </c>
      <c r="E1262" s="1" t="s">
        <v>4920</v>
      </c>
      <c r="F1262" s="1" t="s">
        <v>4922</v>
      </c>
      <c r="G1262" s="1">
        <v>1</v>
      </c>
      <c r="K1262" s="1">
        <v>7500</v>
      </c>
      <c r="M1262" s="1">
        <v>800</v>
      </c>
      <c r="O1262" s="1">
        <v>4000</v>
      </c>
      <c r="Q1262" s="1">
        <v>90</v>
      </c>
      <c r="Y1262" s="1">
        <v>0.05</v>
      </c>
      <c r="Z1262" s="1">
        <v>3</v>
      </c>
      <c r="AA1262" s="1">
        <v>4</v>
      </c>
      <c r="AB1262" s="1">
        <v>0.5</v>
      </c>
      <c r="AG1262" s="1">
        <v>1</v>
      </c>
      <c r="AH1262" s="1">
        <v>1</v>
      </c>
      <c r="AI1262" s="1" t="s">
        <v>4924</v>
      </c>
      <c r="AJ1262" s="1" t="s">
        <v>275</v>
      </c>
      <c r="AK1262" s="1" t="s">
        <v>238</v>
      </c>
      <c r="AM1262" s="1">
        <v>1</v>
      </c>
      <c r="AV1262" s="1">
        <v>1</v>
      </c>
      <c r="AX1262" s="1">
        <v>0.1</v>
      </c>
      <c r="BE1262" s="1" t="s">
        <v>4922</v>
      </c>
      <c r="BK1262" s="1" t="s">
        <v>2064</v>
      </c>
      <c r="BN1262" s="1" t="s">
        <v>217</v>
      </c>
      <c r="BO1262" s="1" t="s">
        <v>218</v>
      </c>
      <c r="BP1262" s="1" t="s">
        <v>239</v>
      </c>
      <c r="BQ1262" s="1" t="s">
        <v>220</v>
      </c>
      <c r="BT1262" s="1">
        <v>1</v>
      </c>
    </row>
    <row r="1263" spans="1:72">
      <c r="A1263" s="1" t="s">
        <v>4925</v>
      </c>
      <c r="B1263" s="1" t="s">
        <v>213</v>
      </c>
      <c r="C1263" s="1">
        <v>1</v>
      </c>
      <c r="D1263" s="1" t="s">
        <v>4926</v>
      </c>
      <c r="E1263" s="1" t="s">
        <v>4927</v>
      </c>
      <c r="F1263" s="1" t="s">
        <v>4925</v>
      </c>
      <c r="G1263" s="1">
        <v>1</v>
      </c>
      <c r="K1263" s="1">
        <v>4300</v>
      </c>
      <c r="M1263" s="1">
        <v>330</v>
      </c>
      <c r="O1263" s="1">
        <v>150</v>
      </c>
      <c r="Q1263" s="1">
        <v>0</v>
      </c>
      <c r="Y1263" s="1">
        <v>0.05</v>
      </c>
      <c r="Z1263" s="1">
        <v>2</v>
      </c>
      <c r="AA1263" s="1">
        <v>1</v>
      </c>
      <c r="AB1263" s="1">
        <v>0.9</v>
      </c>
      <c r="AG1263" s="1">
        <v>0</v>
      </c>
      <c r="AH1263" s="1">
        <v>1</v>
      </c>
      <c r="AI1263" s="1" t="s">
        <v>4928</v>
      </c>
      <c r="AJ1263" s="1" t="s">
        <v>216</v>
      </c>
      <c r="AK1263" s="1" t="s">
        <v>238</v>
      </c>
      <c r="AM1263" s="1">
        <v>1</v>
      </c>
      <c r="AV1263" s="1">
        <v>1</v>
      </c>
      <c r="AX1263" s="1">
        <v>0.1</v>
      </c>
      <c r="BE1263" s="1" t="s">
        <v>4925</v>
      </c>
      <c r="BK1263" s="1" t="s">
        <v>2041</v>
      </c>
      <c r="BN1263" s="1" t="s">
        <v>217</v>
      </c>
      <c r="BO1263" s="1" t="s">
        <v>218</v>
      </c>
      <c r="BP1263" s="1" t="s">
        <v>239</v>
      </c>
      <c r="BQ1263" s="1" t="s">
        <v>220</v>
      </c>
      <c r="BT1263" s="1">
        <v>1</v>
      </c>
    </row>
    <row r="1264" spans="1:72">
      <c r="A1264" s="1" t="s">
        <v>4929</v>
      </c>
      <c r="B1264" s="1" t="s">
        <v>213</v>
      </c>
      <c r="C1264" s="1">
        <v>1</v>
      </c>
      <c r="D1264" s="1" t="s">
        <v>4930</v>
      </c>
      <c r="E1264" s="1" t="s">
        <v>4927</v>
      </c>
      <c r="F1264" s="1" t="s">
        <v>4929</v>
      </c>
      <c r="G1264" s="1">
        <v>1</v>
      </c>
      <c r="K1264" s="1">
        <v>6000</v>
      </c>
      <c r="M1264" s="1">
        <v>500</v>
      </c>
      <c r="O1264" s="1">
        <v>200</v>
      </c>
      <c r="Q1264" s="1">
        <v>0</v>
      </c>
      <c r="Y1264" s="1">
        <v>0.05</v>
      </c>
      <c r="Z1264" s="1">
        <v>2</v>
      </c>
      <c r="AA1264" s="1">
        <v>1</v>
      </c>
      <c r="AB1264" s="1">
        <v>0.9</v>
      </c>
      <c r="AG1264" s="1">
        <v>0</v>
      </c>
      <c r="AH1264" s="1">
        <v>1</v>
      </c>
      <c r="AI1264" s="1" t="s">
        <v>4931</v>
      </c>
      <c r="AJ1264" s="1" t="s">
        <v>216</v>
      </c>
      <c r="AK1264" s="1" t="s">
        <v>238</v>
      </c>
      <c r="AM1264" s="1">
        <v>1</v>
      </c>
      <c r="AV1264" s="1">
        <v>1</v>
      </c>
      <c r="AX1264" s="1">
        <v>0.1</v>
      </c>
      <c r="BE1264" s="1" t="s">
        <v>4929</v>
      </c>
      <c r="BK1264" s="1" t="s">
        <v>2041</v>
      </c>
      <c r="BN1264" s="1" t="s">
        <v>217</v>
      </c>
      <c r="BO1264" s="1" t="s">
        <v>218</v>
      </c>
      <c r="BP1264" s="1" t="s">
        <v>239</v>
      </c>
      <c r="BQ1264" s="1" t="s">
        <v>220</v>
      </c>
      <c r="BT1264" s="1">
        <v>1</v>
      </c>
    </row>
    <row r="1265" spans="1:72">
      <c r="A1265" s="1" t="s">
        <v>4932</v>
      </c>
      <c r="B1265" s="1" t="s">
        <v>213</v>
      </c>
      <c r="C1265" s="1">
        <v>1</v>
      </c>
      <c r="D1265" s="1" t="s">
        <v>4933</v>
      </c>
      <c r="E1265" s="1" t="s">
        <v>4934</v>
      </c>
      <c r="F1265" s="1" t="s">
        <v>4932</v>
      </c>
      <c r="G1265" s="1">
        <v>1</v>
      </c>
      <c r="K1265" s="1">
        <v>15000</v>
      </c>
      <c r="M1265" s="1">
        <v>140</v>
      </c>
      <c r="O1265" s="1">
        <v>250</v>
      </c>
      <c r="Q1265" s="1">
        <v>60</v>
      </c>
      <c r="Y1265" s="1">
        <v>0.05</v>
      </c>
      <c r="Z1265" s="1">
        <v>1</v>
      </c>
      <c r="AA1265" s="1">
        <v>3</v>
      </c>
      <c r="AB1265" s="1">
        <v>0.8</v>
      </c>
      <c r="AG1265" s="1">
        <v>0</v>
      </c>
      <c r="AH1265" s="1">
        <v>1</v>
      </c>
      <c r="AI1265" s="1" t="s">
        <v>4935</v>
      </c>
      <c r="AJ1265" s="1" t="s">
        <v>275</v>
      </c>
      <c r="AK1265" s="1" t="s">
        <v>238</v>
      </c>
      <c r="AM1265" s="1">
        <v>1</v>
      </c>
      <c r="AV1265" s="1">
        <v>1</v>
      </c>
      <c r="AX1265" s="1">
        <v>0.1</v>
      </c>
      <c r="BE1265" s="1" t="s">
        <v>4932</v>
      </c>
      <c r="BK1265" s="1" t="s">
        <v>4936</v>
      </c>
      <c r="BN1265" s="1" t="s">
        <v>217</v>
      </c>
      <c r="BO1265" s="1" t="s">
        <v>218</v>
      </c>
      <c r="BP1265" s="1" t="s">
        <v>239</v>
      </c>
      <c r="BQ1265" s="1" t="s">
        <v>220</v>
      </c>
      <c r="BT1265" s="1">
        <v>1</v>
      </c>
    </row>
    <row r="1266" spans="1:72">
      <c r="A1266" s="1" t="s">
        <v>4937</v>
      </c>
      <c r="B1266" s="1" t="s">
        <v>213</v>
      </c>
      <c r="C1266" s="1">
        <v>1</v>
      </c>
      <c r="D1266" s="1" t="s">
        <v>4938</v>
      </c>
      <c r="E1266" s="1" t="s">
        <v>4934</v>
      </c>
      <c r="F1266" s="1" t="s">
        <v>4937</v>
      </c>
      <c r="G1266" s="1">
        <v>1</v>
      </c>
      <c r="K1266" s="1">
        <v>20000</v>
      </c>
      <c r="M1266" s="1">
        <v>200</v>
      </c>
      <c r="O1266" s="1">
        <v>325</v>
      </c>
      <c r="Q1266" s="1">
        <v>60</v>
      </c>
      <c r="Y1266" s="1">
        <v>0.05</v>
      </c>
      <c r="Z1266" s="1">
        <v>1</v>
      </c>
      <c r="AA1266" s="1">
        <v>3</v>
      </c>
      <c r="AB1266" s="1">
        <v>0.8</v>
      </c>
      <c r="AG1266" s="1">
        <v>0</v>
      </c>
      <c r="AH1266" s="1">
        <v>1</v>
      </c>
      <c r="AI1266" s="1" t="s">
        <v>4939</v>
      </c>
      <c r="AJ1266" s="1" t="s">
        <v>275</v>
      </c>
      <c r="AK1266" s="1" t="s">
        <v>238</v>
      </c>
      <c r="AM1266" s="1">
        <v>1</v>
      </c>
      <c r="AV1266" s="1">
        <v>1</v>
      </c>
      <c r="AX1266" s="1">
        <v>0.1</v>
      </c>
      <c r="BE1266" s="1" t="s">
        <v>4937</v>
      </c>
      <c r="BK1266" s="1" t="s">
        <v>4936</v>
      </c>
      <c r="BN1266" s="1" t="s">
        <v>217</v>
      </c>
      <c r="BO1266" s="1" t="s">
        <v>218</v>
      </c>
      <c r="BP1266" s="1" t="s">
        <v>239</v>
      </c>
      <c r="BQ1266" s="1" t="s">
        <v>220</v>
      </c>
      <c r="BT1266" s="1">
        <v>1</v>
      </c>
    </row>
    <row r="1267" spans="1:72">
      <c r="A1267" s="1" t="s">
        <v>4940</v>
      </c>
      <c r="B1267" s="1" t="s">
        <v>213</v>
      </c>
      <c r="C1267" s="1">
        <v>1</v>
      </c>
      <c r="D1267" s="1" t="s">
        <v>4941</v>
      </c>
      <c r="E1267" s="1" t="s">
        <v>4942</v>
      </c>
      <c r="F1267" s="1" t="s">
        <v>4940</v>
      </c>
      <c r="G1267" s="1">
        <v>1</v>
      </c>
      <c r="K1267" s="1">
        <v>9000</v>
      </c>
      <c r="M1267" s="1">
        <v>100</v>
      </c>
      <c r="O1267" s="1">
        <v>350</v>
      </c>
      <c r="Q1267" s="1">
        <v>50</v>
      </c>
      <c r="Y1267" s="1">
        <v>0.05</v>
      </c>
      <c r="Z1267" s="1">
        <v>1.7</v>
      </c>
      <c r="AA1267" s="1">
        <v>2</v>
      </c>
      <c r="AB1267" s="1">
        <v>1</v>
      </c>
      <c r="AG1267" s="1">
        <v>0</v>
      </c>
      <c r="AH1267" s="1">
        <v>1</v>
      </c>
      <c r="AI1267" s="1" t="s">
        <v>4943</v>
      </c>
      <c r="AJ1267" s="1" t="s">
        <v>275</v>
      </c>
      <c r="AK1267" s="1" t="s">
        <v>238</v>
      </c>
      <c r="AM1267" s="1">
        <v>1</v>
      </c>
      <c r="AV1267" s="1">
        <v>1</v>
      </c>
      <c r="AX1267" s="1">
        <v>0.1</v>
      </c>
      <c r="BE1267" s="1" t="s">
        <v>4940</v>
      </c>
      <c r="BK1267" s="1" t="s">
        <v>4944</v>
      </c>
      <c r="BN1267" s="1" t="s">
        <v>217</v>
      </c>
      <c r="BO1267" s="1" t="s">
        <v>218</v>
      </c>
      <c r="BP1267" s="1" t="s">
        <v>239</v>
      </c>
      <c r="BQ1267" s="1" t="s">
        <v>220</v>
      </c>
      <c r="BT1267" s="1">
        <v>1</v>
      </c>
    </row>
    <row r="1268" spans="1:72">
      <c r="A1268" s="1" t="s">
        <v>4945</v>
      </c>
      <c r="B1268" s="1" t="s">
        <v>213</v>
      </c>
      <c r="C1268" s="1">
        <v>1</v>
      </c>
      <c r="D1268" s="1" t="s">
        <v>4946</v>
      </c>
      <c r="E1268" s="1" t="s">
        <v>4942</v>
      </c>
      <c r="F1268" s="1" t="s">
        <v>4945</v>
      </c>
      <c r="G1268" s="1">
        <v>1</v>
      </c>
      <c r="K1268" s="1">
        <v>11000</v>
      </c>
      <c r="M1268" s="1">
        <v>100</v>
      </c>
      <c r="O1268" s="1">
        <v>500</v>
      </c>
      <c r="Q1268" s="1">
        <v>50</v>
      </c>
      <c r="Y1268" s="1">
        <v>0.05</v>
      </c>
      <c r="Z1268" s="1">
        <v>1.7</v>
      </c>
      <c r="AA1268" s="1">
        <v>2</v>
      </c>
      <c r="AB1268" s="1">
        <v>1</v>
      </c>
      <c r="AG1268" s="1">
        <v>0</v>
      </c>
      <c r="AH1268" s="1">
        <v>1</v>
      </c>
      <c r="AI1268" s="1" t="s">
        <v>4947</v>
      </c>
      <c r="AJ1268" s="1" t="s">
        <v>275</v>
      </c>
      <c r="AK1268" s="1" t="s">
        <v>238</v>
      </c>
      <c r="AM1268" s="1">
        <v>1</v>
      </c>
      <c r="AV1268" s="1">
        <v>1</v>
      </c>
      <c r="AX1268" s="1">
        <v>0.1</v>
      </c>
      <c r="BE1268" s="1" t="s">
        <v>4945</v>
      </c>
      <c r="BK1268" s="1" t="s">
        <v>4944</v>
      </c>
      <c r="BN1268" s="1" t="s">
        <v>217</v>
      </c>
      <c r="BO1268" s="1" t="s">
        <v>218</v>
      </c>
      <c r="BP1268" s="1" t="s">
        <v>239</v>
      </c>
      <c r="BQ1268" s="1" t="s">
        <v>220</v>
      </c>
      <c r="BT1268" s="1">
        <v>1</v>
      </c>
    </row>
    <row r="1269" spans="1:72">
      <c r="A1269" s="1" t="s">
        <v>4948</v>
      </c>
      <c r="B1269" s="1" t="s">
        <v>213</v>
      </c>
      <c r="C1269" s="1">
        <v>1</v>
      </c>
      <c r="D1269" s="1" t="s">
        <v>4949</v>
      </c>
      <c r="E1269" s="1" t="s">
        <v>4950</v>
      </c>
      <c r="F1269" s="1" t="s">
        <v>4948</v>
      </c>
      <c r="G1269" s="1">
        <v>1</v>
      </c>
      <c r="K1269" s="1">
        <v>6000</v>
      </c>
      <c r="M1269" s="1">
        <v>400</v>
      </c>
      <c r="O1269" s="1">
        <v>200</v>
      </c>
      <c r="Q1269" s="1">
        <v>30</v>
      </c>
      <c r="Y1269" s="1">
        <v>0.05</v>
      </c>
      <c r="Z1269" s="1">
        <v>3</v>
      </c>
      <c r="AA1269" s="1">
        <v>2</v>
      </c>
      <c r="AB1269" s="1">
        <v>0.6</v>
      </c>
      <c r="AG1269" s="1">
        <v>0</v>
      </c>
      <c r="AH1269" s="1">
        <v>1</v>
      </c>
      <c r="AI1269" s="1" t="s">
        <v>4951</v>
      </c>
      <c r="AJ1269" s="1" t="s">
        <v>216</v>
      </c>
      <c r="AK1269" s="1" t="s">
        <v>238</v>
      </c>
      <c r="AM1269" s="1">
        <v>1</v>
      </c>
      <c r="AV1269" s="1">
        <v>1</v>
      </c>
      <c r="AX1269" s="1">
        <v>0.1</v>
      </c>
      <c r="BE1269" s="1" t="s">
        <v>4948</v>
      </c>
      <c r="BK1269" s="1" t="s">
        <v>2056</v>
      </c>
      <c r="BN1269" s="1" t="s">
        <v>217</v>
      </c>
      <c r="BO1269" s="1" t="s">
        <v>218</v>
      </c>
      <c r="BP1269" s="1" t="s">
        <v>239</v>
      </c>
      <c r="BQ1269" s="1" t="s">
        <v>220</v>
      </c>
      <c r="BT1269" s="1">
        <v>1</v>
      </c>
    </row>
    <row r="1270" spans="1:72">
      <c r="A1270" s="1" t="s">
        <v>4952</v>
      </c>
      <c r="B1270" s="1" t="s">
        <v>213</v>
      </c>
      <c r="C1270" s="1">
        <v>1</v>
      </c>
      <c r="D1270" s="1" t="s">
        <v>4953</v>
      </c>
      <c r="E1270" s="1" t="s">
        <v>4950</v>
      </c>
      <c r="F1270" s="1" t="s">
        <v>4952</v>
      </c>
      <c r="G1270" s="1">
        <v>1</v>
      </c>
      <c r="K1270" s="1">
        <v>8000</v>
      </c>
      <c r="M1270" s="1">
        <v>550</v>
      </c>
      <c r="O1270" s="1">
        <v>300</v>
      </c>
      <c r="Q1270" s="1">
        <v>30</v>
      </c>
      <c r="Y1270" s="1">
        <v>0.05</v>
      </c>
      <c r="Z1270" s="1">
        <v>3</v>
      </c>
      <c r="AA1270" s="1">
        <v>2</v>
      </c>
      <c r="AB1270" s="1">
        <v>0.6</v>
      </c>
      <c r="AG1270" s="1">
        <v>0</v>
      </c>
      <c r="AH1270" s="1">
        <v>1</v>
      </c>
      <c r="AI1270" s="1" t="s">
        <v>4954</v>
      </c>
      <c r="AJ1270" s="1" t="s">
        <v>216</v>
      </c>
      <c r="AK1270" s="1" t="s">
        <v>238</v>
      </c>
      <c r="AM1270" s="1">
        <v>1</v>
      </c>
      <c r="AV1270" s="1">
        <v>1</v>
      </c>
      <c r="AX1270" s="1">
        <v>0.1</v>
      </c>
      <c r="BE1270" s="1" t="s">
        <v>4952</v>
      </c>
      <c r="BK1270" s="1" t="s">
        <v>2056</v>
      </c>
      <c r="BN1270" s="1" t="s">
        <v>217</v>
      </c>
      <c r="BO1270" s="1" t="s">
        <v>218</v>
      </c>
      <c r="BP1270" s="1" t="s">
        <v>239</v>
      </c>
      <c r="BQ1270" s="1" t="s">
        <v>220</v>
      </c>
      <c r="BT1270" s="1">
        <v>1</v>
      </c>
    </row>
    <row r="1271" spans="1:72">
      <c r="A1271" s="1" t="s">
        <v>4955</v>
      </c>
      <c r="B1271" s="1" t="s">
        <v>213</v>
      </c>
      <c r="C1271" s="1">
        <v>1</v>
      </c>
      <c r="D1271" s="1" t="s">
        <v>4956</v>
      </c>
      <c r="E1271" s="1" t="s">
        <v>4957</v>
      </c>
      <c r="F1271" s="1" t="s">
        <v>4955</v>
      </c>
      <c r="G1271" s="1">
        <v>1</v>
      </c>
      <c r="K1271" s="1">
        <v>25000</v>
      </c>
      <c r="M1271" s="1">
        <v>350</v>
      </c>
      <c r="O1271" s="1">
        <v>50</v>
      </c>
      <c r="Q1271" s="1">
        <v>25</v>
      </c>
      <c r="Y1271" s="1">
        <v>0.05</v>
      </c>
      <c r="Z1271" s="1">
        <v>3</v>
      </c>
      <c r="AA1271" s="1">
        <v>2</v>
      </c>
      <c r="AB1271" s="1">
        <v>1</v>
      </c>
      <c r="AG1271" s="1">
        <v>0</v>
      </c>
      <c r="AH1271" s="1">
        <v>1</v>
      </c>
      <c r="AI1271" s="1" t="s">
        <v>4958</v>
      </c>
      <c r="AJ1271" s="1" t="s">
        <v>275</v>
      </c>
      <c r="AK1271" s="1" t="s">
        <v>238</v>
      </c>
      <c r="AM1271" s="1">
        <v>1</v>
      </c>
      <c r="AV1271" s="1">
        <v>1</v>
      </c>
      <c r="AX1271" s="1">
        <v>0.1</v>
      </c>
      <c r="BE1271" s="1" t="s">
        <v>4955</v>
      </c>
      <c r="BK1271" s="1" t="s">
        <v>4959</v>
      </c>
      <c r="BN1271" s="1" t="s">
        <v>4960</v>
      </c>
      <c r="BO1271" s="1" t="s">
        <v>3508</v>
      </c>
      <c r="BP1271" s="1" t="s">
        <v>3508</v>
      </c>
      <c r="BQ1271" s="1" t="s">
        <v>4961</v>
      </c>
      <c r="BT1271" s="1">
        <v>1</v>
      </c>
    </row>
    <row r="1272" spans="1:72">
      <c r="A1272" s="1" t="s">
        <v>4962</v>
      </c>
      <c r="B1272" s="1" t="s">
        <v>213</v>
      </c>
      <c r="C1272" s="1">
        <v>1</v>
      </c>
      <c r="D1272" s="1" t="s">
        <v>4963</v>
      </c>
      <c r="E1272" s="1" t="s">
        <v>4957</v>
      </c>
      <c r="F1272" s="1" t="s">
        <v>4962</v>
      </c>
      <c r="G1272" s="1">
        <v>1</v>
      </c>
      <c r="K1272" s="1">
        <v>32500</v>
      </c>
      <c r="M1272" s="1">
        <v>500</v>
      </c>
      <c r="O1272" s="1">
        <v>50</v>
      </c>
      <c r="Q1272" s="1">
        <v>25</v>
      </c>
      <c r="Y1272" s="1">
        <v>0.05</v>
      </c>
      <c r="Z1272" s="1">
        <v>3</v>
      </c>
      <c r="AA1272" s="1">
        <v>2</v>
      </c>
      <c r="AB1272" s="1">
        <v>1</v>
      </c>
      <c r="AG1272" s="1">
        <v>0</v>
      </c>
      <c r="AH1272" s="1">
        <v>1</v>
      </c>
      <c r="AI1272" s="1" t="s">
        <v>4964</v>
      </c>
      <c r="AJ1272" s="1" t="s">
        <v>275</v>
      </c>
      <c r="AK1272" s="1" t="s">
        <v>238</v>
      </c>
      <c r="AM1272" s="1">
        <v>1</v>
      </c>
      <c r="AV1272" s="1">
        <v>1</v>
      </c>
      <c r="AX1272" s="1">
        <v>0.1</v>
      </c>
      <c r="BE1272" s="1" t="s">
        <v>4962</v>
      </c>
      <c r="BK1272" s="1" t="s">
        <v>4959</v>
      </c>
      <c r="BN1272" s="1" t="s">
        <v>4960</v>
      </c>
      <c r="BO1272" s="1" t="s">
        <v>3508</v>
      </c>
      <c r="BP1272" s="1" t="s">
        <v>3508</v>
      </c>
      <c r="BQ1272" s="1" t="s">
        <v>4961</v>
      </c>
      <c r="BT1272" s="1">
        <v>1</v>
      </c>
    </row>
    <row r="1273" spans="1:72">
      <c r="A1273" s="1" t="s">
        <v>4965</v>
      </c>
      <c r="B1273" s="1" t="s">
        <v>213</v>
      </c>
      <c r="C1273" s="1">
        <v>1</v>
      </c>
      <c r="D1273" s="1" t="s">
        <v>4966</v>
      </c>
      <c r="E1273" s="1" t="s">
        <v>4967</v>
      </c>
      <c r="F1273" s="1" t="s">
        <v>4965</v>
      </c>
      <c r="G1273" s="1">
        <v>1</v>
      </c>
      <c r="K1273" s="1">
        <v>15000</v>
      </c>
      <c r="M1273" s="1">
        <v>1200</v>
      </c>
      <c r="O1273" s="1">
        <v>700</v>
      </c>
      <c r="Q1273" s="1">
        <v>20</v>
      </c>
      <c r="Y1273" s="1">
        <v>0.05</v>
      </c>
      <c r="Z1273" s="1">
        <v>3</v>
      </c>
      <c r="AA1273" s="1">
        <v>4</v>
      </c>
      <c r="AB1273" s="1">
        <v>0.7</v>
      </c>
      <c r="AG1273" s="1">
        <v>0</v>
      </c>
      <c r="AH1273" s="1">
        <v>1</v>
      </c>
      <c r="AI1273" s="1" t="s">
        <v>4968</v>
      </c>
      <c r="AJ1273" s="1" t="s">
        <v>216</v>
      </c>
      <c r="AK1273" s="1" t="s">
        <v>238</v>
      </c>
      <c r="AM1273" s="1">
        <v>1</v>
      </c>
      <c r="AV1273" s="1">
        <v>1</v>
      </c>
      <c r="AX1273" s="1">
        <v>0.1</v>
      </c>
      <c r="BE1273" s="1" t="s">
        <v>4965</v>
      </c>
      <c r="BK1273" s="1" t="s">
        <v>2064</v>
      </c>
      <c r="BN1273" s="1" t="s">
        <v>4960</v>
      </c>
      <c r="BO1273" s="1" t="s">
        <v>3508</v>
      </c>
      <c r="BP1273" s="1" t="s">
        <v>3509</v>
      </c>
      <c r="BQ1273" s="1" t="s">
        <v>4961</v>
      </c>
      <c r="BT1273" s="1">
        <v>1</v>
      </c>
    </row>
    <row r="1274" spans="1:72">
      <c r="A1274" s="1" t="s">
        <v>4969</v>
      </c>
      <c r="B1274" s="1" t="s">
        <v>213</v>
      </c>
      <c r="C1274" s="1">
        <v>1</v>
      </c>
      <c r="D1274" s="1" t="s">
        <v>4970</v>
      </c>
      <c r="E1274" s="1" t="s">
        <v>4967</v>
      </c>
      <c r="F1274" s="1" t="s">
        <v>4969</v>
      </c>
      <c r="G1274" s="1">
        <v>1</v>
      </c>
      <c r="K1274" s="1">
        <v>20000</v>
      </c>
      <c r="M1274" s="1">
        <v>1600</v>
      </c>
      <c r="O1274" s="1">
        <v>1000</v>
      </c>
      <c r="Q1274" s="1">
        <v>20</v>
      </c>
      <c r="Y1274" s="1">
        <v>0.05</v>
      </c>
      <c r="Z1274" s="1">
        <v>3</v>
      </c>
      <c r="AA1274" s="1">
        <v>4</v>
      </c>
      <c r="AB1274" s="1">
        <v>0.7</v>
      </c>
      <c r="AG1274" s="1">
        <v>0</v>
      </c>
      <c r="AH1274" s="1">
        <v>1</v>
      </c>
      <c r="AI1274" s="1" t="s">
        <v>4971</v>
      </c>
      <c r="AJ1274" s="1" t="s">
        <v>216</v>
      </c>
      <c r="AK1274" s="1" t="s">
        <v>238</v>
      </c>
      <c r="AM1274" s="1">
        <v>1</v>
      </c>
      <c r="AV1274" s="1">
        <v>1</v>
      </c>
      <c r="AX1274" s="1">
        <v>0.1</v>
      </c>
      <c r="BE1274" s="1" t="s">
        <v>4969</v>
      </c>
      <c r="BK1274" s="1" t="s">
        <v>2064</v>
      </c>
      <c r="BN1274" s="1" t="s">
        <v>4960</v>
      </c>
      <c r="BO1274" s="1" t="s">
        <v>3508</v>
      </c>
      <c r="BP1274" s="1" t="s">
        <v>3509</v>
      </c>
      <c r="BQ1274" s="1" t="s">
        <v>4961</v>
      </c>
      <c r="BT1274" s="1">
        <v>1</v>
      </c>
    </row>
    <row r="1275" spans="1:72">
      <c r="A1275" s="1" t="s">
        <v>4972</v>
      </c>
      <c r="B1275" s="1" t="s">
        <v>213</v>
      </c>
      <c r="C1275" s="1">
        <v>1</v>
      </c>
      <c r="D1275" s="1" t="s">
        <v>4973</v>
      </c>
      <c r="E1275" s="1" t="s">
        <v>4974</v>
      </c>
      <c r="F1275" s="1" t="s">
        <v>4972</v>
      </c>
      <c r="G1275" s="1">
        <v>1.15</v>
      </c>
      <c r="K1275" s="1">
        <v>25000</v>
      </c>
      <c r="M1275" s="1">
        <v>330</v>
      </c>
      <c r="O1275" s="1">
        <v>100</v>
      </c>
      <c r="Q1275" s="1">
        <v>10</v>
      </c>
      <c r="Y1275" s="1">
        <v>0.05</v>
      </c>
      <c r="Z1275" s="1">
        <v>2</v>
      </c>
      <c r="AA1275" s="1">
        <v>1</v>
      </c>
      <c r="AB1275" s="1">
        <v>0</v>
      </c>
      <c r="AG1275" s="1">
        <v>0</v>
      </c>
      <c r="AH1275" s="1">
        <v>1</v>
      </c>
      <c r="AI1275" s="1" t="s">
        <v>4975</v>
      </c>
      <c r="AJ1275" s="1" t="s">
        <v>275</v>
      </c>
      <c r="AK1275" s="1" t="s">
        <v>238</v>
      </c>
      <c r="AM1275" s="1">
        <v>1</v>
      </c>
      <c r="AV1275" s="1">
        <v>1</v>
      </c>
      <c r="AX1275" s="1">
        <v>0.1</v>
      </c>
      <c r="BE1275" s="1" t="s">
        <v>4972</v>
      </c>
      <c r="BK1275" s="1" t="s">
        <v>4976</v>
      </c>
      <c r="BN1275" s="1" t="s">
        <v>217</v>
      </c>
      <c r="BO1275" s="1" t="s">
        <v>218</v>
      </c>
      <c r="BP1275" s="1" t="s">
        <v>218</v>
      </c>
      <c r="BQ1275" s="1" t="s">
        <v>220</v>
      </c>
      <c r="BT1275" s="1">
        <v>1</v>
      </c>
    </row>
    <row r="1276" spans="1:72">
      <c r="A1276" s="1" t="s">
        <v>4977</v>
      </c>
      <c r="B1276" s="1" t="s">
        <v>213</v>
      </c>
      <c r="C1276" s="1">
        <v>1</v>
      </c>
      <c r="D1276" s="1" t="s">
        <v>4973</v>
      </c>
      <c r="E1276" s="1" t="s">
        <v>4974</v>
      </c>
      <c r="F1276" s="1" t="s">
        <v>4972</v>
      </c>
      <c r="G1276" s="1">
        <v>1.15</v>
      </c>
      <c r="K1276" s="1">
        <v>25000</v>
      </c>
      <c r="M1276" s="1">
        <v>500</v>
      </c>
      <c r="O1276" s="1">
        <v>100</v>
      </c>
      <c r="Q1276" s="1">
        <v>10</v>
      </c>
      <c r="Y1276" s="1">
        <v>0.05</v>
      </c>
      <c r="Z1276" s="1">
        <v>2</v>
      </c>
      <c r="AA1276" s="1">
        <v>1</v>
      </c>
      <c r="AB1276" s="1">
        <v>0</v>
      </c>
      <c r="AG1276" s="1">
        <v>0</v>
      </c>
      <c r="AH1276" s="1">
        <v>1</v>
      </c>
      <c r="AI1276" s="1" t="s">
        <v>4978</v>
      </c>
      <c r="AJ1276" s="1" t="s">
        <v>275</v>
      </c>
      <c r="AK1276" s="1" t="s">
        <v>238</v>
      </c>
      <c r="AM1276" s="1">
        <v>1</v>
      </c>
      <c r="AV1276" s="1">
        <v>1</v>
      </c>
      <c r="AX1276" s="1">
        <v>0.1</v>
      </c>
      <c r="BE1276" s="1" t="s">
        <v>4972</v>
      </c>
      <c r="BK1276" s="1" t="s">
        <v>4979</v>
      </c>
      <c r="BN1276" s="1" t="s">
        <v>217</v>
      </c>
      <c r="BO1276" s="1" t="s">
        <v>218</v>
      </c>
      <c r="BP1276" s="1" t="s">
        <v>218</v>
      </c>
      <c r="BQ1276" s="1" t="s">
        <v>220</v>
      </c>
      <c r="BT1276" s="1">
        <v>1</v>
      </c>
    </row>
    <row r="1277" spans="1:72">
      <c r="A1277" s="1" t="s">
        <v>4980</v>
      </c>
      <c r="B1277" s="1" t="s">
        <v>213</v>
      </c>
      <c r="C1277" s="1">
        <v>1</v>
      </c>
      <c r="D1277" s="1" t="s">
        <v>4981</v>
      </c>
      <c r="E1277" s="1" t="s">
        <v>4982</v>
      </c>
      <c r="F1277" s="1" t="s">
        <v>4980</v>
      </c>
      <c r="G1277" s="1">
        <v>1</v>
      </c>
      <c r="K1277" s="1">
        <v>70000</v>
      </c>
      <c r="M1277" s="1">
        <v>1500</v>
      </c>
      <c r="O1277" s="1">
        <v>700</v>
      </c>
      <c r="Q1277" s="1">
        <v>40</v>
      </c>
      <c r="Y1277" s="1">
        <v>0.05</v>
      </c>
      <c r="Z1277" s="1">
        <v>4</v>
      </c>
      <c r="AA1277" s="1">
        <v>10</v>
      </c>
      <c r="AB1277" s="1">
        <v>0.45</v>
      </c>
      <c r="AG1277" s="1">
        <v>0</v>
      </c>
      <c r="AH1277" s="1">
        <v>1</v>
      </c>
      <c r="AI1277" s="1" t="s">
        <v>4983</v>
      </c>
      <c r="AJ1277" s="1" t="s">
        <v>275</v>
      </c>
      <c r="AK1277" s="1" t="s">
        <v>238</v>
      </c>
      <c r="AM1277" s="1">
        <v>1</v>
      </c>
      <c r="AV1277" s="1">
        <v>2</v>
      </c>
      <c r="AX1277" s="1">
        <v>0.1</v>
      </c>
      <c r="BE1277" s="1" t="s">
        <v>4980</v>
      </c>
      <c r="BK1277" s="1" t="s">
        <v>4984</v>
      </c>
      <c r="BN1277" s="1" t="s">
        <v>217</v>
      </c>
      <c r="BO1277" s="1" t="s">
        <v>218</v>
      </c>
      <c r="BP1277" s="1" t="s">
        <v>239</v>
      </c>
      <c r="BQ1277" s="1" t="s">
        <v>220</v>
      </c>
      <c r="BT1277" s="1">
        <v>1</v>
      </c>
    </row>
    <row r="1278" spans="1:72">
      <c r="A1278" s="1" t="s">
        <v>4985</v>
      </c>
      <c r="B1278" s="1" t="s">
        <v>213</v>
      </c>
      <c r="C1278" s="1">
        <v>1</v>
      </c>
      <c r="D1278" s="1" t="s">
        <v>4986</v>
      </c>
      <c r="E1278" s="1">
        <v>10064</v>
      </c>
      <c r="F1278" s="1" t="s">
        <v>4985</v>
      </c>
      <c r="G1278" s="1">
        <v>1</v>
      </c>
      <c r="K1278" s="1">
        <v>6500</v>
      </c>
      <c r="M1278" s="1">
        <v>500</v>
      </c>
      <c r="O1278" s="1">
        <v>150</v>
      </c>
      <c r="Q1278" s="1">
        <v>50</v>
      </c>
      <c r="Y1278" s="1">
        <v>0.05</v>
      </c>
      <c r="Z1278" s="1">
        <v>2.4</v>
      </c>
      <c r="AA1278" s="1">
        <v>3</v>
      </c>
      <c r="AB1278" s="1">
        <v>0.75</v>
      </c>
      <c r="AG1278" s="1">
        <v>0</v>
      </c>
      <c r="AH1278" s="1">
        <v>1</v>
      </c>
      <c r="AI1278" s="1" t="s">
        <v>4987</v>
      </c>
      <c r="AJ1278" s="1" t="s">
        <v>216</v>
      </c>
      <c r="AK1278" s="1" t="s">
        <v>238</v>
      </c>
      <c r="AM1278" s="1">
        <v>1</v>
      </c>
      <c r="AV1278" s="1">
        <v>1</v>
      </c>
      <c r="AX1278" s="1">
        <v>0.25</v>
      </c>
      <c r="BE1278" s="1" t="s">
        <v>4985</v>
      </c>
      <c r="BK1278" s="1" t="s">
        <v>4756</v>
      </c>
      <c r="BN1278" s="1" t="s">
        <v>217</v>
      </c>
      <c r="BO1278" s="1" t="s">
        <v>218</v>
      </c>
      <c r="BP1278" s="1" t="s">
        <v>239</v>
      </c>
      <c r="BQ1278" s="1" t="s">
        <v>220</v>
      </c>
      <c r="BT1278" s="1">
        <v>1</v>
      </c>
    </row>
    <row r="1279" spans="1:72">
      <c r="A1279" s="1" t="s">
        <v>4988</v>
      </c>
      <c r="B1279" s="1" t="s">
        <v>213</v>
      </c>
      <c r="C1279" s="1">
        <v>1</v>
      </c>
      <c r="D1279" s="1" t="s">
        <v>4989</v>
      </c>
      <c r="E1279" s="1">
        <v>10064</v>
      </c>
      <c r="F1279" s="1" t="s">
        <v>4988</v>
      </c>
      <c r="G1279" s="1">
        <v>1</v>
      </c>
      <c r="K1279" s="1">
        <v>9000</v>
      </c>
      <c r="M1279" s="1">
        <v>680</v>
      </c>
      <c r="O1279" s="1">
        <v>150</v>
      </c>
      <c r="Q1279" s="1">
        <v>50</v>
      </c>
      <c r="Y1279" s="1">
        <v>0.05</v>
      </c>
      <c r="Z1279" s="1">
        <v>2.4</v>
      </c>
      <c r="AA1279" s="1">
        <v>3</v>
      </c>
      <c r="AB1279" s="1">
        <v>0.75</v>
      </c>
      <c r="AG1279" s="1">
        <v>0</v>
      </c>
      <c r="AH1279" s="1">
        <v>1</v>
      </c>
      <c r="AI1279" s="1" t="s">
        <v>4990</v>
      </c>
      <c r="AJ1279" s="1" t="s">
        <v>216</v>
      </c>
      <c r="AK1279" s="1" t="s">
        <v>238</v>
      </c>
      <c r="AM1279" s="1">
        <v>1</v>
      </c>
      <c r="AV1279" s="1">
        <v>1</v>
      </c>
      <c r="AX1279" s="1">
        <v>0.25</v>
      </c>
      <c r="BE1279" s="1" t="s">
        <v>4988</v>
      </c>
      <c r="BK1279" s="1" t="s">
        <v>4756</v>
      </c>
      <c r="BN1279" s="1" t="s">
        <v>217</v>
      </c>
      <c r="BO1279" s="1" t="s">
        <v>218</v>
      </c>
      <c r="BP1279" s="1" t="s">
        <v>239</v>
      </c>
      <c r="BQ1279" s="1" t="s">
        <v>220</v>
      </c>
      <c r="BT1279" s="1">
        <v>1</v>
      </c>
    </row>
    <row r="1280" spans="1:72">
      <c r="A1280" s="1" t="s">
        <v>4991</v>
      </c>
      <c r="B1280" s="1" t="s">
        <v>213</v>
      </c>
      <c r="C1280" s="1">
        <v>1</v>
      </c>
      <c r="D1280" s="1" t="s">
        <v>4992</v>
      </c>
      <c r="E1280" s="1">
        <v>10065</v>
      </c>
      <c r="F1280" s="1" t="s">
        <v>4991</v>
      </c>
      <c r="G1280" s="1">
        <v>1</v>
      </c>
      <c r="K1280" s="1">
        <v>3800</v>
      </c>
      <c r="M1280" s="1">
        <v>240</v>
      </c>
      <c r="O1280" s="1">
        <v>0</v>
      </c>
      <c r="Q1280" s="1">
        <v>5</v>
      </c>
      <c r="Y1280" s="1">
        <v>0.05</v>
      </c>
      <c r="Z1280" s="1">
        <v>1.7</v>
      </c>
      <c r="AA1280" s="1">
        <v>1</v>
      </c>
      <c r="AB1280" s="1">
        <v>1</v>
      </c>
      <c r="AG1280" s="1">
        <v>0</v>
      </c>
      <c r="AH1280" s="1">
        <v>1</v>
      </c>
      <c r="AI1280" s="1" t="s">
        <v>4993</v>
      </c>
      <c r="AJ1280" s="1" t="s">
        <v>216</v>
      </c>
      <c r="AK1280" s="1" t="s">
        <v>238</v>
      </c>
      <c r="AM1280" s="1">
        <v>1</v>
      </c>
      <c r="AV1280" s="1">
        <v>1</v>
      </c>
      <c r="AX1280" s="1">
        <v>0.25</v>
      </c>
      <c r="BE1280" s="1" t="s">
        <v>4991</v>
      </c>
      <c r="BK1280" s="1" t="s">
        <v>4994</v>
      </c>
      <c r="BN1280" s="1" t="s">
        <v>217</v>
      </c>
      <c r="BO1280" s="1" t="s">
        <v>218</v>
      </c>
      <c r="BP1280" s="1" t="s">
        <v>239</v>
      </c>
      <c r="BQ1280" s="1" t="s">
        <v>220</v>
      </c>
      <c r="BT1280" s="1">
        <v>1</v>
      </c>
    </row>
    <row r="1281" spans="1:72">
      <c r="A1281" s="1" t="s">
        <v>4995</v>
      </c>
      <c r="B1281" s="1" t="s">
        <v>213</v>
      </c>
      <c r="C1281" s="1">
        <v>1</v>
      </c>
      <c r="D1281" s="1" t="s">
        <v>4996</v>
      </c>
      <c r="E1281" s="1">
        <v>10065</v>
      </c>
      <c r="F1281" s="1" t="s">
        <v>4995</v>
      </c>
      <c r="G1281" s="1">
        <v>1</v>
      </c>
      <c r="K1281" s="1">
        <v>5000</v>
      </c>
      <c r="M1281" s="1">
        <v>380</v>
      </c>
      <c r="O1281" s="1">
        <v>0</v>
      </c>
      <c r="Q1281" s="1">
        <v>5</v>
      </c>
      <c r="Y1281" s="1">
        <v>0.05</v>
      </c>
      <c r="Z1281" s="1">
        <v>1.7</v>
      </c>
      <c r="AA1281" s="1">
        <v>1</v>
      </c>
      <c r="AB1281" s="1">
        <v>1</v>
      </c>
      <c r="AG1281" s="1">
        <v>0</v>
      </c>
      <c r="AH1281" s="1">
        <v>1</v>
      </c>
      <c r="AI1281" s="1" t="s">
        <v>4997</v>
      </c>
      <c r="AJ1281" s="1" t="s">
        <v>216</v>
      </c>
      <c r="AK1281" s="1" t="s">
        <v>238</v>
      </c>
      <c r="AM1281" s="1">
        <v>1</v>
      </c>
      <c r="AV1281" s="1">
        <v>1</v>
      </c>
      <c r="AX1281" s="1">
        <v>0.25</v>
      </c>
      <c r="BE1281" s="1" t="s">
        <v>4995</v>
      </c>
      <c r="BK1281" s="1" t="s">
        <v>4994</v>
      </c>
      <c r="BN1281" s="1" t="s">
        <v>217</v>
      </c>
      <c r="BO1281" s="1" t="s">
        <v>218</v>
      </c>
      <c r="BP1281" s="1" t="s">
        <v>239</v>
      </c>
      <c r="BQ1281" s="1" t="s">
        <v>220</v>
      </c>
      <c r="BT1281" s="1">
        <v>1</v>
      </c>
    </row>
    <row r="1282" spans="1:72">
      <c r="A1282" s="1" t="s">
        <v>4998</v>
      </c>
      <c r="B1282" s="1" t="s">
        <v>213</v>
      </c>
      <c r="C1282" s="1">
        <v>1</v>
      </c>
      <c r="D1282" s="1" t="s">
        <v>4999</v>
      </c>
      <c r="E1282" s="1">
        <v>10066</v>
      </c>
      <c r="F1282" s="1" t="s">
        <v>4998</v>
      </c>
      <c r="G1282" s="1">
        <v>1</v>
      </c>
      <c r="K1282" s="1">
        <v>9000</v>
      </c>
      <c r="M1282" s="1">
        <v>320</v>
      </c>
      <c r="O1282" s="1">
        <v>0</v>
      </c>
      <c r="Q1282" s="1">
        <v>0</v>
      </c>
      <c r="Y1282" s="1">
        <v>0.05</v>
      </c>
      <c r="Z1282" s="1">
        <v>2</v>
      </c>
      <c r="AA1282" s="1">
        <v>3</v>
      </c>
      <c r="AB1282" s="1">
        <v>0.7</v>
      </c>
      <c r="AG1282" s="1">
        <v>0</v>
      </c>
      <c r="AH1282" s="1">
        <v>1</v>
      </c>
      <c r="AI1282" s="1" t="s">
        <v>5000</v>
      </c>
      <c r="AJ1282" s="1" t="s">
        <v>216</v>
      </c>
      <c r="AK1282" s="1" t="s">
        <v>238</v>
      </c>
      <c r="AM1282" s="1">
        <v>1</v>
      </c>
      <c r="AV1282" s="1">
        <v>1</v>
      </c>
      <c r="AX1282" s="1">
        <v>0.25</v>
      </c>
      <c r="BE1282" s="1" t="s">
        <v>4998</v>
      </c>
      <c r="BK1282" s="1" t="s">
        <v>4994</v>
      </c>
      <c r="BN1282" s="1" t="s">
        <v>217</v>
      </c>
      <c r="BO1282" s="1" t="s">
        <v>218</v>
      </c>
      <c r="BP1282" s="1" t="s">
        <v>239</v>
      </c>
      <c r="BQ1282" s="1" t="s">
        <v>220</v>
      </c>
      <c r="BT1282" s="1">
        <v>1</v>
      </c>
    </row>
    <row r="1283" spans="1:72">
      <c r="A1283" s="1" t="s">
        <v>5001</v>
      </c>
      <c r="B1283" s="1" t="s">
        <v>213</v>
      </c>
      <c r="C1283" s="1">
        <v>1</v>
      </c>
      <c r="D1283" s="1" t="s">
        <v>4996</v>
      </c>
      <c r="E1283" s="1">
        <v>10066</v>
      </c>
      <c r="F1283" s="1" t="s">
        <v>5001</v>
      </c>
      <c r="G1283" s="1">
        <v>1</v>
      </c>
      <c r="K1283" s="1">
        <v>11000</v>
      </c>
      <c r="M1283" s="1">
        <v>450</v>
      </c>
      <c r="O1283" s="1">
        <v>0</v>
      </c>
      <c r="Q1283" s="1">
        <v>0</v>
      </c>
      <c r="Y1283" s="1">
        <v>0.05</v>
      </c>
      <c r="Z1283" s="1">
        <v>2</v>
      </c>
      <c r="AA1283" s="1">
        <v>3</v>
      </c>
      <c r="AB1283" s="1">
        <v>0.7</v>
      </c>
      <c r="AG1283" s="1">
        <v>0</v>
      </c>
      <c r="AH1283" s="1">
        <v>1</v>
      </c>
      <c r="AI1283" s="1" t="s">
        <v>5002</v>
      </c>
      <c r="AJ1283" s="1" t="s">
        <v>216</v>
      </c>
      <c r="AK1283" s="1" t="s">
        <v>238</v>
      </c>
      <c r="AM1283" s="1">
        <v>1</v>
      </c>
      <c r="AV1283" s="1">
        <v>1</v>
      </c>
      <c r="AX1283" s="1">
        <v>0.25</v>
      </c>
      <c r="BE1283" s="1" t="s">
        <v>5001</v>
      </c>
      <c r="BK1283" s="1" t="s">
        <v>4994</v>
      </c>
      <c r="BN1283" s="1" t="s">
        <v>217</v>
      </c>
      <c r="BO1283" s="1" t="s">
        <v>218</v>
      </c>
      <c r="BP1283" s="1" t="s">
        <v>239</v>
      </c>
      <c r="BQ1283" s="1" t="s">
        <v>220</v>
      </c>
      <c r="BT1283" s="1">
        <v>1</v>
      </c>
    </row>
    <row r="1284" spans="1:72">
      <c r="A1284" s="1" t="s">
        <v>5003</v>
      </c>
      <c r="B1284" s="1" t="s">
        <v>213</v>
      </c>
      <c r="C1284" s="1">
        <v>1</v>
      </c>
      <c r="D1284" s="1" t="s">
        <v>5004</v>
      </c>
      <c r="E1284" s="1">
        <v>10067</v>
      </c>
      <c r="F1284" s="1" t="s">
        <v>5003</v>
      </c>
      <c r="G1284" s="1">
        <v>1</v>
      </c>
      <c r="K1284" s="1">
        <v>13000</v>
      </c>
      <c r="M1284" s="1">
        <v>800</v>
      </c>
      <c r="O1284" s="1">
        <v>250</v>
      </c>
      <c r="Q1284" s="1">
        <v>65</v>
      </c>
      <c r="Y1284" s="1">
        <v>0.05</v>
      </c>
      <c r="Z1284" s="1">
        <v>3.5</v>
      </c>
      <c r="AA1284" s="1">
        <v>4</v>
      </c>
      <c r="AB1284" s="1">
        <v>0.85</v>
      </c>
      <c r="AG1284" s="1">
        <v>0</v>
      </c>
      <c r="AH1284" s="1">
        <v>1</v>
      </c>
      <c r="AI1284" s="1" t="s">
        <v>5005</v>
      </c>
      <c r="AJ1284" s="1" t="s">
        <v>216</v>
      </c>
      <c r="AK1284" s="1" t="s">
        <v>238</v>
      </c>
      <c r="AM1284" s="1">
        <v>1</v>
      </c>
      <c r="AV1284" s="1">
        <v>1</v>
      </c>
      <c r="AX1284" s="1">
        <v>0.25</v>
      </c>
      <c r="BE1284" s="1" t="s">
        <v>5003</v>
      </c>
      <c r="BK1284" s="1" t="s">
        <v>4994</v>
      </c>
      <c r="BN1284" s="1" t="s">
        <v>217</v>
      </c>
      <c r="BO1284" s="1" t="s">
        <v>218</v>
      </c>
      <c r="BP1284" s="1" t="s">
        <v>239</v>
      </c>
      <c r="BQ1284" s="1" t="s">
        <v>220</v>
      </c>
      <c r="BT1284" s="1">
        <v>1</v>
      </c>
    </row>
    <row r="1285" spans="1:72">
      <c r="A1285" s="1" t="s">
        <v>5006</v>
      </c>
      <c r="B1285" s="1" t="s">
        <v>213</v>
      </c>
      <c r="C1285" s="1">
        <v>1</v>
      </c>
      <c r="D1285" s="1" t="s">
        <v>5007</v>
      </c>
      <c r="E1285" s="1">
        <v>10067</v>
      </c>
      <c r="F1285" s="1" t="s">
        <v>5006</v>
      </c>
      <c r="G1285" s="1">
        <v>1</v>
      </c>
      <c r="K1285" s="1">
        <v>15500</v>
      </c>
      <c r="M1285" s="1">
        <v>1000</v>
      </c>
      <c r="O1285" s="1">
        <v>350</v>
      </c>
      <c r="Q1285" s="1">
        <v>65</v>
      </c>
      <c r="Y1285" s="1">
        <v>0.05</v>
      </c>
      <c r="Z1285" s="1">
        <v>3.5</v>
      </c>
      <c r="AA1285" s="1">
        <v>4</v>
      </c>
      <c r="AB1285" s="1">
        <v>0.85</v>
      </c>
      <c r="AG1285" s="1">
        <v>0</v>
      </c>
      <c r="AH1285" s="1">
        <v>1</v>
      </c>
      <c r="AI1285" s="1" t="s">
        <v>5008</v>
      </c>
      <c r="AJ1285" s="1" t="s">
        <v>216</v>
      </c>
      <c r="AK1285" s="1" t="s">
        <v>238</v>
      </c>
      <c r="AM1285" s="1">
        <v>1</v>
      </c>
      <c r="AV1285" s="1">
        <v>1</v>
      </c>
      <c r="AX1285" s="1">
        <v>0.25</v>
      </c>
      <c r="BE1285" s="1" t="s">
        <v>5006</v>
      </c>
      <c r="BK1285" s="1" t="s">
        <v>4994</v>
      </c>
      <c r="BN1285" s="1" t="s">
        <v>217</v>
      </c>
      <c r="BO1285" s="1" t="s">
        <v>218</v>
      </c>
      <c r="BP1285" s="1" t="s">
        <v>239</v>
      </c>
      <c r="BQ1285" s="1" t="s">
        <v>220</v>
      </c>
      <c r="BT1285" s="1">
        <v>1</v>
      </c>
    </row>
    <row r="1286" spans="1:72">
      <c r="A1286" s="1" t="s">
        <v>5009</v>
      </c>
      <c r="B1286" s="1" t="s">
        <v>213</v>
      </c>
      <c r="C1286" s="1">
        <v>1</v>
      </c>
      <c r="D1286" s="1" t="s">
        <v>5010</v>
      </c>
      <c r="E1286" s="1">
        <v>10068</v>
      </c>
      <c r="F1286" s="1" t="s">
        <v>5009</v>
      </c>
      <c r="G1286" s="1">
        <v>1</v>
      </c>
      <c r="K1286" s="1">
        <v>5500</v>
      </c>
      <c r="M1286" s="1">
        <v>320</v>
      </c>
      <c r="O1286" s="1">
        <v>200</v>
      </c>
      <c r="Q1286" s="1">
        <v>60</v>
      </c>
      <c r="Y1286" s="1">
        <v>0.05</v>
      </c>
      <c r="Z1286" s="1">
        <v>3</v>
      </c>
      <c r="AA1286" s="1">
        <v>2</v>
      </c>
      <c r="AB1286" s="1">
        <v>0.9</v>
      </c>
      <c r="AG1286" s="1">
        <v>0</v>
      </c>
      <c r="AH1286" s="1">
        <v>1</v>
      </c>
      <c r="AI1286" s="1" t="s">
        <v>5011</v>
      </c>
      <c r="AJ1286" s="1" t="s">
        <v>216</v>
      </c>
      <c r="AK1286" s="1" t="s">
        <v>238</v>
      </c>
      <c r="AM1286" s="1">
        <v>1</v>
      </c>
      <c r="AV1286" s="1">
        <v>1</v>
      </c>
      <c r="AX1286" s="1">
        <v>0.25</v>
      </c>
      <c r="BE1286" s="1" t="s">
        <v>5009</v>
      </c>
      <c r="BK1286" s="1" t="s">
        <v>4994</v>
      </c>
      <c r="BN1286" s="1" t="s">
        <v>217</v>
      </c>
      <c r="BO1286" s="1" t="s">
        <v>218</v>
      </c>
      <c r="BP1286" s="1" t="s">
        <v>239</v>
      </c>
      <c r="BQ1286" s="1" t="s">
        <v>220</v>
      </c>
      <c r="BT1286" s="1">
        <v>1</v>
      </c>
    </row>
    <row r="1287" spans="1:72">
      <c r="A1287" s="1" t="s">
        <v>5012</v>
      </c>
      <c r="B1287" s="1" t="s">
        <v>213</v>
      </c>
      <c r="C1287" s="1">
        <v>1</v>
      </c>
      <c r="D1287" s="1" t="s">
        <v>5013</v>
      </c>
      <c r="E1287" s="1">
        <v>10068</v>
      </c>
      <c r="F1287" s="1" t="s">
        <v>5012</v>
      </c>
      <c r="G1287" s="1">
        <v>1</v>
      </c>
      <c r="K1287" s="1">
        <v>7200</v>
      </c>
      <c r="M1287" s="1">
        <v>420</v>
      </c>
      <c r="O1287" s="1">
        <v>200</v>
      </c>
      <c r="Q1287" s="1">
        <v>60</v>
      </c>
      <c r="Y1287" s="1">
        <v>0.05</v>
      </c>
      <c r="Z1287" s="1">
        <v>3</v>
      </c>
      <c r="AA1287" s="1">
        <v>2</v>
      </c>
      <c r="AB1287" s="1">
        <v>0.9</v>
      </c>
      <c r="AG1287" s="1">
        <v>0</v>
      </c>
      <c r="AH1287" s="1">
        <v>1</v>
      </c>
      <c r="AI1287" s="1" t="s">
        <v>5014</v>
      </c>
      <c r="AJ1287" s="1" t="s">
        <v>216</v>
      </c>
      <c r="AK1287" s="1" t="s">
        <v>238</v>
      </c>
      <c r="AM1287" s="1">
        <v>1</v>
      </c>
      <c r="AV1287" s="1">
        <v>1</v>
      </c>
      <c r="AX1287" s="1">
        <v>0.25</v>
      </c>
      <c r="BE1287" s="1" t="s">
        <v>5012</v>
      </c>
      <c r="BK1287" s="1" t="s">
        <v>4994</v>
      </c>
      <c r="BN1287" s="1" t="s">
        <v>217</v>
      </c>
      <c r="BO1287" s="1" t="s">
        <v>218</v>
      </c>
      <c r="BP1287" s="1" t="s">
        <v>239</v>
      </c>
      <c r="BQ1287" s="1" t="s">
        <v>220</v>
      </c>
      <c r="BT1287" s="1">
        <v>1</v>
      </c>
    </row>
    <row r="1288" spans="1:72">
      <c r="A1288" s="1" t="s">
        <v>5015</v>
      </c>
      <c r="B1288" s="1" t="s">
        <v>213</v>
      </c>
      <c r="C1288" s="1">
        <v>1</v>
      </c>
      <c r="D1288" s="1" t="s">
        <v>5016</v>
      </c>
      <c r="E1288" s="1">
        <v>10069</v>
      </c>
      <c r="F1288" s="1" t="s">
        <v>5015</v>
      </c>
      <c r="G1288" s="1">
        <v>1</v>
      </c>
      <c r="K1288" s="1">
        <v>35000</v>
      </c>
      <c r="M1288" s="1">
        <v>1050</v>
      </c>
      <c r="O1288" s="1">
        <v>550</v>
      </c>
      <c r="Q1288" s="1">
        <v>15</v>
      </c>
      <c r="Y1288" s="1">
        <v>0.05</v>
      </c>
      <c r="Z1288" s="1">
        <v>6</v>
      </c>
      <c r="AA1288" s="1">
        <v>5</v>
      </c>
      <c r="AB1288" s="1">
        <v>0.4</v>
      </c>
      <c r="AG1288" s="1">
        <v>0</v>
      </c>
      <c r="AH1288" s="1">
        <v>1</v>
      </c>
      <c r="AI1288" s="1" t="s">
        <v>5017</v>
      </c>
      <c r="AJ1288" s="1" t="s">
        <v>216</v>
      </c>
      <c r="AK1288" s="1" t="s">
        <v>238</v>
      </c>
      <c r="AM1288" s="1">
        <v>1</v>
      </c>
      <c r="AV1288" s="1">
        <v>1</v>
      </c>
      <c r="AX1288" s="1">
        <v>0.25</v>
      </c>
      <c r="BE1288" s="1" t="s">
        <v>5015</v>
      </c>
      <c r="BK1288" s="1" t="s">
        <v>4994</v>
      </c>
      <c r="BN1288" s="1" t="s">
        <v>217</v>
      </c>
      <c r="BO1288" s="1" t="s">
        <v>218</v>
      </c>
      <c r="BP1288" s="1" t="s">
        <v>239</v>
      </c>
      <c r="BQ1288" s="1" t="s">
        <v>220</v>
      </c>
      <c r="BT1288" s="1">
        <v>1</v>
      </c>
    </row>
    <row r="1289" spans="1:72">
      <c r="A1289" s="1" t="s">
        <v>5018</v>
      </c>
      <c r="B1289" s="1" t="s">
        <v>213</v>
      </c>
      <c r="C1289" s="1">
        <v>1</v>
      </c>
      <c r="D1289" s="1" t="s">
        <v>5019</v>
      </c>
      <c r="E1289" s="1">
        <v>10069</v>
      </c>
      <c r="F1289" s="1" t="s">
        <v>5018</v>
      </c>
      <c r="G1289" s="1">
        <v>1</v>
      </c>
      <c r="K1289" s="1">
        <v>45000</v>
      </c>
      <c r="M1289" s="1">
        <v>1250</v>
      </c>
      <c r="O1289" s="1">
        <v>680</v>
      </c>
      <c r="Q1289" s="1">
        <v>15</v>
      </c>
      <c r="Y1289" s="1">
        <v>0.05</v>
      </c>
      <c r="Z1289" s="1">
        <v>6</v>
      </c>
      <c r="AA1289" s="1">
        <v>5</v>
      </c>
      <c r="AB1289" s="1">
        <v>0.4</v>
      </c>
      <c r="AG1289" s="1">
        <v>0</v>
      </c>
      <c r="AH1289" s="1">
        <v>1</v>
      </c>
      <c r="AI1289" s="1" t="s">
        <v>5020</v>
      </c>
      <c r="AJ1289" s="1" t="s">
        <v>216</v>
      </c>
      <c r="AK1289" s="1" t="s">
        <v>238</v>
      </c>
      <c r="AM1289" s="1">
        <v>1</v>
      </c>
      <c r="AV1289" s="1">
        <v>1</v>
      </c>
      <c r="AX1289" s="1">
        <v>0.25</v>
      </c>
      <c r="BE1289" s="1" t="s">
        <v>5018</v>
      </c>
      <c r="BK1289" s="1" t="s">
        <v>4994</v>
      </c>
      <c r="BN1289" s="1" t="s">
        <v>217</v>
      </c>
      <c r="BO1289" s="1" t="s">
        <v>218</v>
      </c>
      <c r="BP1289" s="1" t="s">
        <v>239</v>
      </c>
      <c r="BQ1289" s="1" t="s">
        <v>220</v>
      </c>
      <c r="BT1289" s="1">
        <v>1</v>
      </c>
    </row>
    <row r="1290" spans="1:72">
      <c r="A1290" s="1" t="s">
        <v>5021</v>
      </c>
      <c r="B1290" s="1" t="s">
        <v>213</v>
      </c>
      <c r="C1290" s="1">
        <v>1</v>
      </c>
      <c r="D1290" s="1" t="s">
        <v>5022</v>
      </c>
      <c r="E1290" s="1">
        <v>10070</v>
      </c>
      <c r="F1290" s="1" t="s">
        <v>5021</v>
      </c>
      <c r="G1290" s="1">
        <v>1</v>
      </c>
      <c r="K1290" s="1">
        <v>10000</v>
      </c>
      <c r="M1290" s="1">
        <v>650</v>
      </c>
      <c r="O1290" s="1">
        <v>250</v>
      </c>
      <c r="Q1290" s="1">
        <v>50</v>
      </c>
      <c r="Y1290" s="1">
        <v>0.05</v>
      </c>
      <c r="Z1290" s="1">
        <v>2.5</v>
      </c>
      <c r="AA1290" s="1">
        <v>2</v>
      </c>
      <c r="AB1290" s="1">
        <v>0.8</v>
      </c>
      <c r="AG1290" s="1">
        <v>0</v>
      </c>
      <c r="AH1290" s="1">
        <v>1</v>
      </c>
      <c r="AI1290" s="1" t="s">
        <v>5023</v>
      </c>
      <c r="AJ1290" s="1" t="s">
        <v>216</v>
      </c>
      <c r="AK1290" s="1" t="s">
        <v>238</v>
      </c>
      <c r="AM1290" s="1">
        <v>1</v>
      </c>
      <c r="AV1290" s="1">
        <v>1</v>
      </c>
      <c r="AX1290" s="1">
        <v>0.25</v>
      </c>
      <c r="BE1290" s="1" t="s">
        <v>5021</v>
      </c>
      <c r="BK1290" s="1" t="s">
        <v>4994</v>
      </c>
      <c r="BN1290" s="1" t="s">
        <v>217</v>
      </c>
      <c r="BO1290" s="1" t="s">
        <v>218</v>
      </c>
      <c r="BP1290" s="1" t="s">
        <v>239</v>
      </c>
      <c r="BQ1290" s="1" t="s">
        <v>220</v>
      </c>
      <c r="BT1290" s="1">
        <v>1</v>
      </c>
    </row>
    <row r="1291" spans="1:72">
      <c r="A1291" s="1" t="s">
        <v>5024</v>
      </c>
      <c r="B1291" s="1" t="s">
        <v>213</v>
      </c>
      <c r="C1291" s="1">
        <v>1</v>
      </c>
      <c r="D1291" s="1" t="s">
        <v>5025</v>
      </c>
      <c r="E1291" s="1">
        <v>10070</v>
      </c>
      <c r="F1291" s="1" t="s">
        <v>5024</v>
      </c>
      <c r="G1291" s="1">
        <v>1</v>
      </c>
      <c r="K1291" s="1">
        <v>12000</v>
      </c>
      <c r="M1291" s="1">
        <v>780</v>
      </c>
      <c r="O1291" s="1">
        <v>350</v>
      </c>
      <c r="Q1291" s="1">
        <v>50</v>
      </c>
      <c r="Y1291" s="1">
        <v>0.05</v>
      </c>
      <c r="Z1291" s="1">
        <v>2.5</v>
      </c>
      <c r="AA1291" s="1">
        <v>2</v>
      </c>
      <c r="AB1291" s="1">
        <v>0.8</v>
      </c>
      <c r="AG1291" s="1">
        <v>0</v>
      </c>
      <c r="AH1291" s="1">
        <v>1</v>
      </c>
      <c r="AI1291" s="1" t="s">
        <v>5026</v>
      </c>
      <c r="AJ1291" s="1" t="s">
        <v>216</v>
      </c>
      <c r="AK1291" s="1" t="s">
        <v>238</v>
      </c>
      <c r="AM1291" s="1">
        <v>1</v>
      </c>
      <c r="AV1291" s="1">
        <v>1</v>
      </c>
      <c r="AX1291" s="1">
        <v>0.25</v>
      </c>
      <c r="BE1291" s="1" t="s">
        <v>5024</v>
      </c>
      <c r="BK1291" s="1" t="s">
        <v>4994</v>
      </c>
      <c r="BN1291" s="1" t="s">
        <v>217</v>
      </c>
      <c r="BO1291" s="1" t="s">
        <v>218</v>
      </c>
      <c r="BP1291" s="1" t="s">
        <v>239</v>
      </c>
      <c r="BQ1291" s="1" t="s">
        <v>220</v>
      </c>
      <c r="BT1291" s="1">
        <v>1</v>
      </c>
    </row>
    <row r="1292" spans="1:72">
      <c r="A1292" s="1" t="s">
        <v>5027</v>
      </c>
      <c r="B1292" s="1" t="s">
        <v>213</v>
      </c>
      <c r="C1292" s="1">
        <v>1</v>
      </c>
      <c r="D1292" s="1" t="s">
        <v>5028</v>
      </c>
      <c r="E1292" s="1">
        <v>10071</v>
      </c>
      <c r="F1292" s="1" t="s">
        <v>5027</v>
      </c>
      <c r="G1292" s="1">
        <v>1</v>
      </c>
      <c r="K1292" s="1">
        <v>8500</v>
      </c>
      <c r="M1292" s="1">
        <v>680</v>
      </c>
      <c r="O1292" s="1">
        <v>300</v>
      </c>
      <c r="Q1292" s="1">
        <v>40</v>
      </c>
      <c r="Y1292" s="1">
        <v>0.05</v>
      </c>
      <c r="Z1292" s="1">
        <v>1.8</v>
      </c>
      <c r="AA1292" s="1">
        <v>4</v>
      </c>
      <c r="AB1292" s="1">
        <v>0.65</v>
      </c>
      <c r="AG1292" s="1">
        <v>0</v>
      </c>
      <c r="AH1292" s="1">
        <v>1</v>
      </c>
      <c r="AI1292" s="1" t="s">
        <v>5029</v>
      </c>
      <c r="AJ1292" s="1" t="s">
        <v>216</v>
      </c>
      <c r="AK1292" s="1" t="s">
        <v>238</v>
      </c>
      <c r="AM1292" s="1">
        <v>1</v>
      </c>
      <c r="AV1292" s="1">
        <v>1</v>
      </c>
      <c r="AX1292" s="1">
        <v>0.25</v>
      </c>
      <c r="BE1292" s="1" t="s">
        <v>5027</v>
      </c>
      <c r="BK1292" s="1" t="s">
        <v>4994</v>
      </c>
      <c r="BN1292" s="1" t="s">
        <v>217</v>
      </c>
      <c r="BO1292" s="1" t="s">
        <v>218</v>
      </c>
      <c r="BP1292" s="1" t="s">
        <v>239</v>
      </c>
      <c r="BQ1292" s="1" t="s">
        <v>220</v>
      </c>
      <c r="BT1292" s="1">
        <v>1</v>
      </c>
    </row>
    <row r="1293" spans="1:72">
      <c r="A1293" s="1" t="s">
        <v>5030</v>
      </c>
      <c r="B1293" s="1" t="s">
        <v>213</v>
      </c>
      <c r="C1293" s="1">
        <v>1</v>
      </c>
      <c r="D1293" s="1" t="s">
        <v>5031</v>
      </c>
      <c r="E1293" s="1">
        <v>10071</v>
      </c>
      <c r="F1293" s="1" t="s">
        <v>5030</v>
      </c>
      <c r="G1293" s="1">
        <v>1</v>
      </c>
      <c r="K1293" s="1">
        <v>10000</v>
      </c>
      <c r="M1293" s="1">
        <v>800</v>
      </c>
      <c r="O1293" s="1">
        <v>400</v>
      </c>
      <c r="Q1293" s="1">
        <v>40</v>
      </c>
      <c r="Y1293" s="1">
        <v>0.05</v>
      </c>
      <c r="Z1293" s="1">
        <v>1.8</v>
      </c>
      <c r="AA1293" s="1">
        <v>4</v>
      </c>
      <c r="AB1293" s="1">
        <v>0.65</v>
      </c>
      <c r="AG1293" s="1">
        <v>0</v>
      </c>
      <c r="AH1293" s="1">
        <v>1</v>
      </c>
      <c r="AI1293" s="1" t="s">
        <v>5032</v>
      </c>
      <c r="AJ1293" s="1" t="s">
        <v>216</v>
      </c>
      <c r="AK1293" s="1" t="s">
        <v>238</v>
      </c>
      <c r="AM1293" s="1">
        <v>1</v>
      </c>
      <c r="AV1293" s="1">
        <v>1</v>
      </c>
      <c r="AX1293" s="1">
        <v>0.25</v>
      </c>
      <c r="BE1293" s="1" t="s">
        <v>5030</v>
      </c>
      <c r="BK1293" s="1" t="s">
        <v>4994</v>
      </c>
      <c r="BN1293" s="1" t="s">
        <v>217</v>
      </c>
      <c r="BO1293" s="1" t="s">
        <v>218</v>
      </c>
      <c r="BP1293" s="1" t="s">
        <v>239</v>
      </c>
      <c r="BQ1293" s="1" t="s">
        <v>220</v>
      </c>
      <c r="BT1293" s="1">
        <v>1</v>
      </c>
    </row>
    <row r="1294" spans="1:72">
      <c r="A1294" s="1" t="s">
        <v>5033</v>
      </c>
      <c r="B1294" s="1" t="s">
        <v>213</v>
      </c>
      <c r="C1294" s="1">
        <v>1</v>
      </c>
      <c r="D1294" s="1" t="s">
        <v>5034</v>
      </c>
      <c r="E1294" s="1">
        <v>1563</v>
      </c>
      <c r="F1294" s="1" t="s">
        <v>5033</v>
      </c>
      <c r="G1294" s="1">
        <v>1</v>
      </c>
      <c r="K1294" s="1">
        <v>65000</v>
      </c>
      <c r="M1294" s="1">
        <v>700</v>
      </c>
      <c r="O1294" s="1">
        <v>450</v>
      </c>
      <c r="Q1294" s="1">
        <v>45</v>
      </c>
      <c r="Y1294" s="1">
        <v>0.05</v>
      </c>
      <c r="Z1294" s="1">
        <v>3.8</v>
      </c>
      <c r="AA1294" s="1">
        <v>7</v>
      </c>
      <c r="AB1294" s="1">
        <v>0.5</v>
      </c>
      <c r="AG1294" s="1">
        <v>0</v>
      </c>
      <c r="AH1294" s="1">
        <v>1</v>
      </c>
      <c r="AI1294" s="1" t="s">
        <v>5035</v>
      </c>
      <c r="AJ1294" s="1" t="s">
        <v>216</v>
      </c>
      <c r="AK1294" s="1" t="s">
        <v>238</v>
      </c>
      <c r="AM1294" s="1">
        <v>1</v>
      </c>
      <c r="AV1294" s="1">
        <v>1</v>
      </c>
      <c r="AX1294" s="1">
        <v>0.25</v>
      </c>
      <c r="BE1294" s="1" t="s">
        <v>5033</v>
      </c>
      <c r="BK1294" s="1" t="s">
        <v>4994</v>
      </c>
      <c r="BN1294" s="1" t="s">
        <v>3443</v>
      </c>
      <c r="BO1294" s="1" t="s">
        <v>2618</v>
      </c>
      <c r="BP1294" s="1" t="s">
        <v>2619</v>
      </c>
      <c r="BQ1294" s="1" t="s">
        <v>5036</v>
      </c>
      <c r="BT1294" s="1">
        <v>1</v>
      </c>
    </row>
    <row r="1295" spans="1:72">
      <c r="A1295" s="1" t="s">
        <v>5037</v>
      </c>
      <c r="B1295" s="1" t="s">
        <v>213</v>
      </c>
      <c r="C1295" s="1">
        <v>1</v>
      </c>
      <c r="D1295" s="1" t="s">
        <v>5038</v>
      </c>
      <c r="E1295" s="1">
        <v>10073</v>
      </c>
      <c r="F1295" s="1" t="s">
        <v>5037</v>
      </c>
      <c r="G1295" s="1">
        <v>1</v>
      </c>
      <c r="K1295" s="1">
        <v>2000</v>
      </c>
      <c r="M1295" s="1">
        <v>300</v>
      </c>
      <c r="O1295" s="1">
        <v>200</v>
      </c>
      <c r="Q1295" s="1">
        <v>25</v>
      </c>
      <c r="Y1295" s="1">
        <v>0.05</v>
      </c>
      <c r="Z1295" s="1">
        <v>2</v>
      </c>
      <c r="AA1295" s="1">
        <v>1</v>
      </c>
      <c r="AB1295" s="1">
        <v>1.9</v>
      </c>
      <c r="AG1295" s="1">
        <v>0</v>
      </c>
      <c r="AH1295" s="1">
        <v>1</v>
      </c>
      <c r="AI1295" s="1" t="s">
        <v>5039</v>
      </c>
      <c r="AJ1295" s="1" t="s">
        <v>216</v>
      </c>
      <c r="AK1295" s="1" t="s">
        <v>238</v>
      </c>
      <c r="AM1295" s="1">
        <v>1</v>
      </c>
      <c r="AV1295" s="1">
        <v>1</v>
      </c>
      <c r="AX1295" s="1">
        <v>0.25</v>
      </c>
      <c r="BE1295" s="1" t="s">
        <v>5037</v>
      </c>
      <c r="BK1295" s="1" t="s">
        <v>4994</v>
      </c>
      <c r="BN1295" s="1" t="s">
        <v>217</v>
      </c>
      <c r="BO1295" s="1" t="s">
        <v>218</v>
      </c>
      <c r="BP1295" s="1" t="s">
        <v>239</v>
      </c>
      <c r="BQ1295" s="1" t="s">
        <v>220</v>
      </c>
      <c r="BT1295" s="1">
        <v>1</v>
      </c>
    </row>
    <row r="1296" spans="1:72">
      <c r="A1296" s="1" t="s">
        <v>5040</v>
      </c>
      <c r="B1296" s="1" t="s">
        <v>213</v>
      </c>
      <c r="C1296" s="1">
        <v>1</v>
      </c>
      <c r="D1296" s="1" t="s">
        <v>5041</v>
      </c>
      <c r="E1296" s="1">
        <v>10073</v>
      </c>
      <c r="F1296" s="1" t="s">
        <v>5040</v>
      </c>
      <c r="G1296" s="1">
        <v>1</v>
      </c>
      <c r="K1296" s="1">
        <v>2500</v>
      </c>
      <c r="M1296" s="1">
        <v>360</v>
      </c>
      <c r="O1296" s="1">
        <v>200</v>
      </c>
      <c r="Q1296" s="1">
        <v>25</v>
      </c>
      <c r="Y1296" s="1">
        <v>0.05</v>
      </c>
      <c r="Z1296" s="1">
        <v>2</v>
      </c>
      <c r="AA1296" s="1">
        <v>1</v>
      </c>
      <c r="AB1296" s="1">
        <v>1.9</v>
      </c>
      <c r="AG1296" s="1">
        <v>0</v>
      </c>
      <c r="AH1296" s="1">
        <v>1</v>
      </c>
      <c r="AI1296" s="1" t="s">
        <v>5042</v>
      </c>
      <c r="AJ1296" s="1" t="s">
        <v>216</v>
      </c>
      <c r="AK1296" s="1" t="s">
        <v>238</v>
      </c>
      <c r="AM1296" s="1">
        <v>1</v>
      </c>
      <c r="AV1296" s="1">
        <v>1</v>
      </c>
      <c r="AX1296" s="1">
        <v>0.25</v>
      </c>
      <c r="BE1296" s="1" t="s">
        <v>5040</v>
      </c>
      <c r="BK1296" s="1" t="s">
        <v>4994</v>
      </c>
      <c r="BN1296" s="1" t="s">
        <v>217</v>
      </c>
      <c r="BO1296" s="1" t="s">
        <v>218</v>
      </c>
      <c r="BP1296" s="1" t="s">
        <v>239</v>
      </c>
      <c r="BQ1296" s="1" t="s">
        <v>220</v>
      </c>
      <c r="BT1296" s="1">
        <v>1</v>
      </c>
    </row>
    <row r="1297" spans="1:72">
      <c r="A1297" s="1" t="s">
        <v>5043</v>
      </c>
      <c r="B1297" s="1" t="s">
        <v>213</v>
      </c>
      <c r="C1297" s="1">
        <v>1</v>
      </c>
      <c r="D1297" s="1" t="s">
        <v>5044</v>
      </c>
      <c r="E1297" s="1">
        <v>10074</v>
      </c>
      <c r="F1297" s="1" t="s">
        <v>5043</v>
      </c>
      <c r="G1297" s="1">
        <v>1</v>
      </c>
      <c r="K1297" s="1">
        <v>3000</v>
      </c>
      <c r="M1297" s="1">
        <v>350</v>
      </c>
      <c r="O1297" s="1">
        <v>240</v>
      </c>
      <c r="Q1297" s="1">
        <v>35</v>
      </c>
      <c r="Y1297" s="1">
        <v>0.05</v>
      </c>
      <c r="Z1297" s="1">
        <v>4</v>
      </c>
      <c r="AA1297" s="1">
        <v>2</v>
      </c>
      <c r="AB1297" s="1">
        <v>1</v>
      </c>
      <c r="AG1297" s="1">
        <v>0</v>
      </c>
      <c r="AH1297" s="1">
        <v>1</v>
      </c>
      <c r="AI1297" s="1" t="s">
        <v>5045</v>
      </c>
      <c r="AJ1297" s="1" t="s">
        <v>216</v>
      </c>
      <c r="AK1297" s="1" t="s">
        <v>238</v>
      </c>
      <c r="AM1297" s="1">
        <v>1</v>
      </c>
      <c r="AV1297" s="1">
        <v>1</v>
      </c>
      <c r="AX1297" s="1">
        <v>0.25</v>
      </c>
      <c r="BE1297" s="1" t="s">
        <v>5043</v>
      </c>
      <c r="BK1297" s="1" t="s">
        <v>4994</v>
      </c>
      <c r="BN1297" s="1" t="s">
        <v>217</v>
      </c>
      <c r="BO1297" s="1" t="s">
        <v>218</v>
      </c>
      <c r="BP1297" s="1" t="s">
        <v>239</v>
      </c>
      <c r="BQ1297" s="1" t="s">
        <v>220</v>
      </c>
      <c r="BT1297" s="1">
        <v>1</v>
      </c>
    </row>
    <row r="1298" spans="1:72">
      <c r="A1298" s="1" t="s">
        <v>5046</v>
      </c>
      <c r="B1298" s="1" t="s">
        <v>213</v>
      </c>
      <c r="C1298" s="1">
        <v>1</v>
      </c>
      <c r="D1298" s="1" t="s">
        <v>5047</v>
      </c>
      <c r="E1298" s="1">
        <v>10074</v>
      </c>
      <c r="F1298" s="1" t="s">
        <v>5046</v>
      </c>
      <c r="G1298" s="1">
        <v>1</v>
      </c>
      <c r="K1298" s="1">
        <v>3800</v>
      </c>
      <c r="M1298" s="1">
        <v>400</v>
      </c>
      <c r="O1298" s="1">
        <v>240</v>
      </c>
      <c r="Q1298" s="1">
        <v>35</v>
      </c>
      <c r="Y1298" s="1">
        <v>0.05</v>
      </c>
      <c r="Z1298" s="1">
        <v>4</v>
      </c>
      <c r="AA1298" s="1">
        <v>2</v>
      </c>
      <c r="AB1298" s="1">
        <v>1</v>
      </c>
      <c r="AG1298" s="1">
        <v>0</v>
      </c>
      <c r="AH1298" s="1">
        <v>1</v>
      </c>
      <c r="AI1298" s="1" t="s">
        <v>5048</v>
      </c>
      <c r="AJ1298" s="1" t="s">
        <v>216</v>
      </c>
      <c r="AK1298" s="1" t="s">
        <v>238</v>
      </c>
      <c r="AM1298" s="1">
        <v>1</v>
      </c>
      <c r="AV1298" s="1">
        <v>1</v>
      </c>
      <c r="AX1298" s="1">
        <v>0.25</v>
      </c>
      <c r="BE1298" s="1" t="s">
        <v>5046</v>
      </c>
      <c r="BK1298" s="1" t="s">
        <v>4994</v>
      </c>
      <c r="BN1298" s="1" t="s">
        <v>217</v>
      </c>
      <c r="BO1298" s="1" t="s">
        <v>218</v>
      </c>
      <c r="BP1298" s="1" t="s">
        <v>239</v>
      </c>
      <c r="BQ1298" s="1" t="s">
        <v>220</v>
      </c>
      <c r="BT1298" s="1">
        <v>1</v>
      </c>
    </row>
    <row r="1299" spans="1:72">
      <c r="A1299" s="1" t="s">
        <v>5049</v>
      </c>
      <c r="B1299" s="1" t="s">
        <v>213</v>
      </c>
      <c r="C1299" s="1">
        <v>1</v>
      </c>
      <c r="D1299" s="1" t="s">
        <v>5050</v>
      </c>
      <c r="E1299" s="1">
        <v>10075</v>
      </c>
      <c r="F1299" s="1" t="s">
        <v>5049</v>
      </c>
      <c r="G1299" s="1">
        <v>1</v>
      </c>
      <c r="K1299" s="1">
        <v>2500</v>
      </c>
      <c r="M1299" s="1">
        <v>1000</v>
      </c>
      <c r="O1299" s="1">
        <v>200</v>
      </c>
      <c r="Q1299" s="1">
        <v>30</v>
      </c>
      <c r="Y1299" s="1">
        <v>0.05</v>
      </c>
      <c r="Z1299" s="1">
        <v>1</v>
      </c>
      <c r="AA1299" s="1">
        <v>1</v>
      </c>
      <c r="AB1299" s="1">
        <v>1.2</v>
      </c>
      <c r="AG1299" s="1">
        <v>0</v>
      </c>
      <c r="AH1299" s="1">
        <v>1</v>
      </c>
      <c r="AI1299" s="1" t="s">
        <v>5051</v>
      </c>
      <c r="AJ1299" s="1" t="s">
        <v>216</v>
      </c>
      <c r="AK1299" s="1" t="s">
        <v>238</v>
      </c>
      <c r="AM1299" s="1">
        <v>1</v>
      </c>
      <c r="AN1299" s="1">
        <v>1</v>
      </c>
      <c r="AV1299" s="1">
        <v>1</v>
      </c>
      <c r="AX1299" s="1">
        <v>0.25</v>
      </c>
      <c r="BE1299" s="1" t="s">
        <v>5049</v>
      </c>
      <c r="BK1299" s="1" t="s">
        <v>4994</v>
      </c>
      <c r="BN1299" s="1" t="s">
        <v>217</v>
      </c>
      <c r="BO1299" s="1" t="s">
        <v>218</v>
      </c>
      <c r="BP1299" s="1" t="s">
        <v>239</v>
      </c>
      <c r="BQ1299" s="1" t="s">
        <v>220</v>
      </c>
      <c r="BT1299" s="1">
        <v>1</v>
      </c>
    </row>
    <row r="1300" spans="1:72">
      <c r="A1300" s="1" t="s">
        <v>5052</v>
      </c>
      <c r="B1300" s="1" t="s">
        <v>213</v>
      </c>
      <c r="C1300" s="1">
        <v>1</v>
      </c>
      <c r="D1300" s="1" t="s">
        <v>5053</v>
      </c>
      <c r="E1300" s="1">
        <v>10075</v>
      </c>
      <c r="F1300" s="1" t="s">
        <v>5052</v>
      </c>
      <c r="G1300" s="1">
        <v>1</v>
      </c>
      <c r="K1300" s="1">
        <v>3500</v>
      </c>
      <c r="M1300" s="1">
        <v>1100</v>
      </c>
      <c r="O1300" s="1">
        <v>250</v>
      </c>
      <c r="Q1300" s="1">
        <v>35</v>
      </c>
      <c r="Y1300" s="1">
        <v>0.05</v>
      </c>
      <c r="Z1300" s="1">
        <v>1</v>
      </c>
      <c r="AA1300" s="1">
        <v>1</v>
      </c>
      <c r="AB1300" s="1">
        <v>1.2</v>
      </c>
      <c r="AG1300" s="1">
        <v>0</v>
      </c>
      <c r="AH1300" s="1">
        <v>1</v>
      </c>
      <c r="AI1300" s="1" t="s">
        <v>5054</v>
      </c>
      <c r="AJ1300" s="1" t="s">
        <v>216</v>
      </c>
      <c r="AK1300" s="1" t="s">
        <v>238</v>
      </c>
      <c r="AM1300" s="1">
        <v>1</v>
      </c>
      <c r="AN1300" s="1">
        <v>1</v>
      </c>
      <c r="AV1300" s="1">
        <v>1</v>
      </c>
      <c r="AX1300" s="1">
        <v>0.25</v>
      </c>
      <c r="BE1300" s="1" t="s">
        <v>5052</v>
      </c>
      <c r="BK1300" s="1" t="s">
        <v>4994</v>
      </c>
      <c r="BN1300" s="1" t="s">
        <v>217</v>
      </c>
      <c r="BO1300" s="1" t="s">
        <v>218</v>
      </c>
      <c r="BP1300" s="1" t="s">
        <v>239</v>
      </c>
      <c r="BQ1300" s="1" t="s">
        <v>220</v>
      </c>
      <c r="BT1300" s="1">
        <v>1</v>
      </c>
    </row>
    <row r="1301" spans="1:72">
      <c r="A1301" s="1" t="s">
        <v>5055</v>
      </c>
      <c r="B1301" s="1" t="s">
        <v>213</v>
      </c>
      <c r="C1301" s="1">
        <v>1</v>
      </c>
      <c r="D1301" s="1" t="s">
        <v>5056</v>
      </c>
      <c r="E1301" s="1">
        <v>10076</v>
      </c>
      <c r="F1301" s="1" t="s">
        <v>5055</v>
      </c>
      <c r="G1301" s="1">
        <v>1</v>
      </c>
      <c r="K1301" s="1">
        <v>7000</v>
      </c>
      <c r="M1301" s="1">
        <v>450</v>
      </c>
      <c r="O1301" s="1">
        <v>1100</v>
      </c>
      <c r="Q1301" s="1">
        <v>60</v>
      </c>
      <c r="Y1301" s="1">
        <v>0.05</v>
      </c>
      <c r="Z1301" s="1">
        <v>3</v>
      </c>
      <c r="AA1301" s="1">
        <v>3</v>
      </c>
      <c r="AB1301" s="1">
        <v>0.7</v>
      </c>
      <c r="AG1301" s="1">
        <v>0</v>
      </c>
      <c r="AH1301" s="1">
        <v>1</v>
      </c>
      <c r="AI1301" s="1" t="s">
        <v>5057</v>
      </c>
      <c r="AJ1301" s="1" t="s">
        <v>216</v>
      </c>
      <c r="AK1301" s="1" t="s">
        <v>238</v>
      </c>
      <c r="AM1301" s="1">
        <v>1</v>
      </c>
      <c r="AV1301" s="1">
        <v>1</v>
      </c>
      <c r="AX1301" s="1">
        <v>0.25</v>
      </c>
      <c r="BE1301" s="1" t="s">
        <v>5055</v>
      </c>
      <c r="BK1301" s="1" t="s">
        <v>4994</v>
      </c>
      <c r="BN1301" s="1" t="s">
        <v>217</v>
      </c>
      <c r="BO1301" s="1" t="s">
        <v>218</v>
      </c>
      <c r="BP1301" s="1" t="s">
        <v>239</v>
      </c>
      <c r="BQ1301" s="1" t="s">
        <v>220</v>
      </c>
      <c r="BT1301" s="1">
        <v>1</v>
      </c>
    </row>
    <row r="1302" spans="1:72">
      <c r="A1302" s="1" t="s">
        <v>5058</v>
      </c>
      <c r="B1302" s="1" t="s">
        <v>213</v>
      </c>
      <c r="C1302" s="1">
        <v>1</v>
      </c>
      <c r="D1302" s="1" t="s">
        <v>5059</v>
      </c>
      <c r="E1302" s="1">
        <v>10076</v>
      </c>
      <c r="F1302" s="1" t="s">
        <v>5058</v>
      </c>
      <c r="G1302" s="1">
        <v>1</v>
      </c>
      <c r="K1302" s="1">
        <v>9000</v>
      </c>
      <c r="M1302" s="1">
        <v>450</v>
      </c>
      <c r="O1302" s="1">
        <v>1250</v>
      </c>
      <c r="Q1302" s="1">
        <v>60</v>
      </c>
      <c r="Y1302" s="1">
        <v>0.05</v>
      </c>
      <c r="Z1302" s="1">
        <v>3</v>
      </c>
      <c r="AA1302" s="1">
        <v>3</v>
      </c>
      <c r="AB1302" s="1">
        <v>0.7</v>
      </c>
      <c r="AG1302" s="1">
        <v>0</v>
      </c>
      <c r="AH1302" s="1">
        <v>1</v>
      </c>
      <c r="AI1302" s="1" t="s">
        <v>5060</v>
      </c>
      <c r="AJ1302" s="1" t="s">
        <v>216</v>
      </c>
      <c r="AK1302" s="1" t="s">
        <v>238</v>
      </c>
      <c r="AM1302" s="1">
        <v>1</v>
      </c>
      <c r="AV1302" s="1">
        <v>1</v>
      </c>
      <c r="AX1302" s="1">
        <v>0.25</v>
      </c>
      <c r="BE1302" s="1" t="s">
        <v>5058</v>
      </c>
      <c r="BK1302" s="1" t="s">
        <v>4994</v>
      </c>
      <c r="BN1302" s="1" t="s">
        <v>217</v>
      </c>
      <c r="BO1302" s="1" t="s">
        <v>218</v>
      </c>
      <c r="BP1302" s="1" t="s">
        <v>239</v>
      </c>
      <c r="BQ1302" s="1" t="s">
        <v>220</v>
      </c>
      <c r="BT1302" s="1">
        <v>1</v>
      </c>
    </row>
    <row r="1303" spans="1:72">
      <c r="A1303" s="1" t="s">
        <v>5061</v>
      </c>
      <c r="B1303" s="1" t="s">
        <v>213</v>
      </c>
      <c r="C1303" s="1">
        <v>1</v>
      </c>
      <c r="D1303" s="1" t="s">
        <v>5062</v>
      </c>
      <c r="E1303" s="1">
        <v>10077</v>
      </c>
      <c r="F1303" s="1" t="s">
        <v>5061</v>
      </c>
      <c r="G1303" s="1">
        <v>1</v>
      </c>
      <c r="K1303" s="1">
        <v>6000</v>
      </c>
      <c r="M1303" s="1">
        <v>800</v>
      </c>
      <c r="O1303" s="1">
        <v>1000</v>
      </c>
      <c r="Q1303" s="1">
        <v>40</v>
      </c>
      <c r="Y1303" s="1">
        <v>0.05</v>
      </c>
      <c r="Z1303" s="1">
        <v>2</v>
      </c>
      <c r="AA1303" s="1">
        <v>3</v>
      </c>
      <c r="AB1303" s="1">
        <v>0.6</v>
      </c>
      <c r="AG1303" s="1">
        <v>0</v>
      </c>
      <c r="AH1303" s="1">
        <v>1</v>
      </c>
      <c r="AI1303" s="1" t="s">
        <v>5063</v>
      </c>
      <c r="AJ1303" s="1" t="s">
        <v>216</v>
      </c>
      <c r="AK1303" s="1" t="s">
        <v>238</v>
      </c>
      <c r="AM1303" s="1">
        <v>1</v>
      </c>
      <c r="AV1303" s="1">
        <v>1</v>
      </c>
      <c r="AX1303" s="1">
        <v>0.25</v>
      </c>
      <c r="BE1303" s="1" t="s">
        <v>5061</v>
      </c>
      <c r="BK1303" s="1" t="s">
        <v>4994</v>
      </c>
      <c r="BN1303" s="1" t="s">
        <v>217</v>
      </c>
      <c r="BO1303" s="1" t="s">
        <v>218</v>
      </c>
      <c r="BP1303" s="1" t="s">
        <v>239</v>
      </c>
      <c r="BQ1303" s="1" t="s">
        <v>220</v>
      </c>
      <c r="BT1303" s="1">
        <v>1</v>
      </c>
    </row>
    <row r="1304" spans="1:72">
      <c r="A1304" s="1" t="s">
        <v>5064</v>
      </c>
      <c r="B1304" s="1" t="s">
        <v>213</v>
      </c>
      <c r="C1304" s="1">
        <v>1</v>
      </c>
      <c r="D1304" s="1" t="s">
        <v>5065</v>
      </c>
      <c r="E1304" s="1">
        <v>10077</v>
      </c>
      <c r="F1304" s="1" t="s">
        <v>5064</v>
      </c>
      <c r="G1304" s="1">
        <v>1</v>
      </c>
      <c r="K1304" s="1">
        <v>8000</v>
      </c>
      <c r="M1304" s="1">
        <v>900</v>
      </c>
      <c r="O1304" s="1">
        <v>1300</v>
      </c>
      <c r="Q1304" s="1">
        <v>50</v>
      </c>
      <c r="Y1304" s="1">
        <v>0.05</v>
      </c>
      <c r="Z1304" s="1">
        <v>2</v>
      </c>
      <c r="AA1304" s="1">
        <v>3</v>
      </c>
      <c r="AB1304" s="1">
        <v>0.6</v>
      </c>
      <c r="AG1304" s="1">
        <v>0</v>
      </c>
      <c r="AH1304" s="1">
        <v>1</v>
      </c>
      <c r="AI1304" s="1" t="s">
        <v>5066</v>
      </c>
      <c r="AJ1304" s="1" t="s">
        <v>216</v>
      </c>
      <c r="AK1304" s="1" t="s">
        <v>238</v>
      </c>
      <c r="AM1304" s="1">
        <v>1</v>
      </c>
      <c r="AV1304" s="1">
        <v>1</v>
      </c>
      <c r="AX1304" s="1">
        <v>0.25</v>
      </c>
      <c r="BE1304" s="1" t="s">
        <v>5064</v>
      </c>
      <c r="BK1304" s="1" t="s">
        <v>4994</v>
      </c>
      <c r="BN1304" s="1" t="s">
        <v>217</v>
      </c>
      <c r="BO1304" s="1" t="s">
        <v>218</v>
      </c>
      <c r="BP1304" s="1" t="s">
        <v>239</v>
      </c>
      <c r="BQ1304" s="1" t="s">
        <v>220</v>
      </c>
      <c r="BT1304" s="1">
        <v>1</v>
      </c>
    </row>
    <row r="1305" spans="1:72">
      <c r="A1305" s="1" t="s">
        <v>5067</v>
      </c>
      <c r="B1305" s="1" t="s">
        <v>213</v>
      </c>
      <c r="C1305" s="1">
        <v>1</v>
      </c>
      <c r="D1305" s="1" t="s">
        <v>5068</v>
      </c>
      <c r="E1305" s="1">
        <v>10078</v>
      </c>
      <c r="F1305" s="1" t="s">
        <v>5067</v>
      </c>
      <c r="G1305" s="1">
        <v>1</v>
      </c>
      <c r="K1305" s="1">
        <v>15000</v>
      </c>
      <c r="M1305" s="1">
        <v>1500</v>
      </c>
      <c r="O1305" s="1">
        <v>2500</v>
      </c>
      <c r="Q1305" s="1">
        <v>80</v>
      </c>
      <c r="Y1305" s="1">
        <v>0.05</v>
      </c>
      <c r="Z1305" s="1">
        <v>7</v>
      </c>
      <c r="AA1305" s="1">
        <v>4</v>
      </c>
      <c r="AB1305" s="1">
        <v>0.3</v>
      </c>
      <c r="AG1305" s="1">
        <v>0</v>
      </c>
      <c r="AH1305" s="1">
        <v>1</v>
      </c>
      <c r="AI1305" s="1" t="s">
        <v>5069</v>
      </c>
      <c r="AJ1305" s="1" t="s">
        <v>216</v>
      </c>
      <c r="AK1305" s="1" t="s">
        <v>238</v>
      </c>
      <c r="AM1305" s="1">
        <v>1</v>
      </c>
      <c r="AV1305" s="1">
        <v>1</v>
      </c>
      <c r="AX1305" s="1">
        <v>0.25</v>
      </c>
      <c r="BE1305" s="1" t="s">
        <v>5067</v>
      </c>
      <c r="BK1305" s="1" t="s">
        <v>4994</v>
      </c>
      <c r="BN1305" s="1" t="s">
        <v>217</v>
      </c>
      <c r="BO1305" s="1" t="s">
        <v>218</v>
      </c>
      <c r="BP1305" s="1" t="s">
        <v>239</v>
      </c>
      <c r="BQ1305" s="1" t="s">
        <v>220</v>
      </c>
      <c r="BT1305" s="1">
        <v>1</v>
      </c>
    </row>
    <row r="1306" spans="1:72">
      <c r="A1306" s="1" t="s">
        <v>5070</v>
      </c>
      <c r="B1306" s="1" t="s">
        <v>213</v>
      </c>
      <c r="C1306" s="1">
        <v>1</v>
      </c>
      <c r="D1306" s="1" t="s">
        <v>5071</v>
      </c>
      <c r="E1306" s="1">
        <v>10078</v>
      </c>
      <c r="F1306" s="1" t="s">
        <v>5070</v>
      </c>
      <c r="G1306" s="1">
        <v>1</v>
      </c>
      <c r="K1306" s="1">
        <v>16000</v>
      </c>
      <c r="M1306" s="1">
        <v>1500</v>
      </c>
      <c r="O1306" s="1">
        <v>3000</v>
      </c>
      <c r="Q1306" s="1">
        <v>80</v>
      </c>
      <c r="Y1306" s="1">
        <v>0.05</v>
      </c>
      <c r="Z1306" s="1">
        <v>7</v>
      </c>
      <c r="AA1306" s="1">
        <v>4</v>
      </c>
      <c r="AB1306" s="1">
        <v>0.3</v>
      </c>
      <c r="AG1306" s="1">
        <v>0</v>
      </c>
      <c r="AH1306" s="1">
        <v>1</v>
      </c>
      <c r="AI1306" s="1" t="s">
        <v>5072</v>
      </c>
      <c r="AJ1306" s="1" t="s">
        <v>216</v>
      </c>
      <c r="AK1306" s="1" t="s">
        <v>238</v>
      </c>
      <c r="AM1306" s="1">
        <v>1</v>
      </c>
      <c r="AV1306" s="1">
        <v>1</v>
      </c>
      <c r="AX1306" s="1">
        <v>0.25</v>
      </c>
      <c r="BE1306" s="1" t="s">
        <v>5070</v>
      </c>
      <c r="BK1306" s="1" t="s">
        <v>4994</v>
      </c>
      <c r="BN1306" s="1" t="s">
        <v>217</v>
      </c>
      <c r="BO1306" s="1" t="s">
        <v>218</v>
      </c>
      <c r="BP1306" s="1" t="s">
        <v>239</v>
      </c>
      <c r="BQ1306" s="1" t="s">
        <v>220</v>
      </c>
      <c r="BT1306" s="1">
        <v>1</v>
      </c>
    </row>
    <row r="1307" spans="1:72">
      <c r="A1307" s="1" t="s">
        <v>5073</v>
      </c>
      <c r="B1307" s="1" t="s">
        <v>213</v>
      </c>
      <c r="C1307" s="1">
        <v>1</v>
      </c>
      <c r="D1307" s="1" t="s">
        <v>5074</v>
      </c>
      <c r="E1307" s="1">
        <v>10079</v>
      </c>
      <c r="F1307" s="1" t="s">
        <v>5073</v>
      </c>
      <c r="G1307" s="1">
        <v>1</v>
      </c>
      <c r="K1307" s="1">
        <v>8000</v>
      </c>
      <c r="M1307" s="1">
        <v>500</v>
      </c>
      <c r="O1307" s="1">
        <v>1000</v>
      </c>
      <c r="Q1307" s="1">
        <v>60</v>
      </c>
      <c r="Y1307" s="1">
        <v>0.05</v>
      </c>
      <c r="Z1307" s="1">
        <v>4</v>
      </c>
      <c r="AA1307" s="1">
        <v>3</v>
      </c>
      <c r="AB1307" s="1">
        <v>0.8</v>
      </c>
      <c r="AG1307" s="1">
        <v>0</v>
      </c>
      <c r="AH1307" s="1">
        <v>1</v>
      </c>
      <c r="AI1307" s="1" t="s">
        <v>5075</v>
      </c>
      <c r="AJ1307" s="1" t="s">
        <v>216</v>
      </c>
      <c r="AK1307" s="1" t="s">
        <v>238</v>
      </c>
      <c r="AM1307" s="1">
        <v>1</v>
      </c>
      <c r="AV1307" s="1">
        <v>1</v>
      </c>
      <c r="AX1307" s="1">
        <v>0.25</v>
      </c>
      <c r="BE1307" s="1" t="s">
        <v>5073</v>
      </c>
      <c r="BK1307" s="1" t="s">
        <v>4994</v>
      </c>
      <c r="BN1307" s="1" t="s">
        <v>217</v>
      </c>
      <c r="BO1307" s="1" t="s">
        <v>218</v>
      </c>
      <c r="BP1307" s="1" t="s">
        <v>239</v>
      </c>
      <c r="BQ1307" s="1" t="s">
        <v>220</v>
      </c>
      <c r="BT1307" s="1">
        <v>1</v>
      </c>
    </row>
    <row r="1308" spans="1:72">
      <c r="A1308" s="1" t="s">
        <v>5076</v>
      </c>
      <c r="B1308" s="1" t="s">
        <v>213</v>
      </c>
      <c r="C1308" s="1">
        <v>1</v>
      </c>
      <c r="D1308" s="1" t="s">
        <v>5077</v>
      </c>
      <c r="E1308" s="1">
        <v>10079</v>
      </c>
      <c r="F1308" s="1" t="s">
        <v>5076</v>
      </c>
      <c r="G1308" s="1">
        <v>1</v>
      </c>
      <c r="K1308" s="1">
        <v>10000</v>
      </c>
      <c r="M1308" s="1">
        <v>600</v>
      </c>
      <c r="O1308" s="1">
        <v>1200</v>
      </c>
      <c r="Q1308" s="1">
        <v>60</v>
      </c>
      <c r="Y1308" s="1">
        <v>0.05</v>
      </c>
      <c r="Z1308" s="1">
        <v>4</v>
      </c>
      <c r="AA1308" s="1">
        <v>3</v>
      </c>
      <c r="AB1308" s="1">
        <v>0.8</v>
      </c>
      <c r="AG1308" s="1">
        <v>0</v>
      </c>
      <c r="AH1308" s="1">
        <v>1</v>
      </c>
      <c r="AI1308" s="1" t="s">
        <v>5078</v>
      </c>
      <c r="AJ1308" s="1" t="s">
        <v>216</v>
      </c>
      <c r="AK1308" s="1" t="s">
        <v>238</v>
      </c>
      <c r="AM1308" s="1">
        <v>1</v>
      </c>
      <c r="AV1308" s="1">
        <v>1</v>
      </c>
      <c r="AX1308" s="1">
        <v>0.25</v>
      </c>
      <c r="BE1308" s="1" t="s">
        <v>5076</v>
      </c>
      <c r="BK1308" s="1" t="s">
        <v>4994</v>
      </c>
      <c r="BN1308" s="1" t="s">
        <v>217</v>
      </c>
      <c r="BO1308" s="1" t="s">
        <v>218</v>
      </c>
      <c r="BP1308" s="1" t="s">
        <v>239</v>
      </c>
      <c r="BQ1308" s="1" t="s">
        <v>220</v>
      </c>
      <c r="BT1308" s="1">
        <v>1</v>
      </c>
    </row>
    <row r="1309" spans="1:72">
      <c r="A1309" s="1" t="s">
        <v>5079</v>
      </c>
      <c r="B1309" s="1" t="s">
        <v>213</v>
      </c>
      <c r="C1309" s="1">
        <v>1</v>
      </c>
      <c r="D1309" s="1" t="s">
        <v>5080</v>
      </c>
      <c r="E1309" s="1">
        <v>10080</v>
      </c>
      <c r="F1309" s="1" t="s">
        <v>5079</v>
      </c>
      <c r="G1309" s="1">
        <v>1</v>
      </c>
      <c r="K1309" s="1">
        <v>3500</v>
      </c>
      <c r="M1309" s="1">
        <v>500</v>
      </c>
      <c r="O1309" s="1">
        <v>360</v>
      </c>
      <c r="Q1309" s="1">
        <v>40</v>
      </c>
      <c r="Y1309" s="1">
        <v>0.05</v>
      </c>
      <c r="Z1309" s="1">
        <v>3</v>
      </c>
      <c r="AA1309" s="1">
        <v>2</v>
      </c>
      <c r="AB1309" s="1">
        <v>0.6</v>
      </c>
      <c r="AG1309" s="1">
        <v>0</v>
      </c>
      <c r="AH1309" s="1">
        <v>1</v>
      </c>
      <c r="AI1309" s="1" t="s">
        <v>5081</v>
      </c>
      <c r="AJ1309" s="1" t="s">
        <v>216</v>
      </c>
      <c r="AK1309" s="1" t="s">
        <v>238</v>
      </c>
      <c r="AM1309" s="1">
        <v>1</v>
      </c>
      <c r="AN1309" s="1">
        <v>1</v>
      </c>
      <c r="AV1309" s="1">
        <v>1</v>
      </c>
      <c r="AX1309" s="1">
        <v>0.25</v>
      </c>
      <c r="BE1309" s="1" t="s">
        <v>5079</v>
      </c>
      <c r="BK1309" s="1" t="s">
        <v>4994</v>
      </c>
      <c r="BN1309" s="1" t="s">
        <v>217</v>
      </c>
      <c r="BO1309" s="1" t="s">
        <v>218</v>
      </c>
      <c r="BP1309" s="1" t="s">
        <v>239</v>
      </c>
      <c r="BQ1309" s="1" t="s">
        <v>220</v>
      </c>
      <c r="BT1309" s="1">
        <v>1</v>
      </c>
    </row>
    <row r="1310" spans="1:72">
      <c r="A1310" s="1" t="s">
        <v>5082</v>
      </c>
      <c r="B1310" s="1" t="s">
        <v>213</v>
      </c>
      <c r="C1310" s="1">
        <v>1</v>
      </c>
      <c r="D1310" s="1" t="s">
        <v>5083</v>
      </c>
      <c r="E1310" s="1">
        <v>10080</v>
      </c>
      <c r="F1310" s="1" t="s">
        <v>5082</v>
      </c>
      <c r="G1310" s="1">
        <v>1</v>
      </c>
      <c r="K1310" s="1">
        <v>4500</v>
      </c>
      <c r="M1310" s="1">
        <v>500</v>
      </c>
      <c r="O1310" s="1">
        <v>400</v>
      </c>
      <c r="Q1310" s="1">
        <v>50</v>
      </c>
      <c r="Y1310" s="1">
        <v>0.05</v>
      </c>
      <c r="Z1310" s="1">
        <v>3</v>
      </c>
      <c r="AA1310" s="1">
        <v>2</v>
      </c>
      <c r="AB1310" s="1">
        <v>0.6</v>
      </c>
      <c r="AG1310" s="1">
        <v>0</v>
      </c>
      <c r="AH1310" s="1">
        <v>1</v>
      </c>
      <c r="AI1310" s="1" t="s">
        <v>5084</v>
      </c>
      <c r="AJ1310" s="1" t="s">
        <v>216</v>
      </c>
      <c r="AK1310" s="1" t="s">
        <v>238</v>
      </c>
      <c r="AM1310" s="1">
        <v>1</v>
      </c>
      <c r="AN1310" s="1">
        <v>1</v>
      </c>
      <c r="AV1310" s="1">
        <v>1</v>
      </c>
      <c r="AX1310" s="1">
        <v>0.25</v>
      </c>
      <c r="BE1310" s="1" t="s">
        <v>5082</v>
      </c>
      <c r="BK1310" s="1" t="s">
        <v>4994</v>
      </c>
      <c r="BN1310" s="1" t="s">
        <v>217</v>
      </c>
      <c r="BO1310" s="1" t="s">
        <v>218</v>
      </c>
      <c r="BP1310" s="1" t="s">
        <v>239</v>
      </c>
      <c r="BQ1310" s="1" t="s">
        <v>220</v>
      </c>
      <c r="BT1310" s="1">
        <v>1</v>
      </c>
    </row>
    <row r="1311" spans="1:72">
      <c r="A1311" s="1" t="s">
        <v>5085</v>
      </c>
      <c r="B1311" s="1" t="s">
        <v>213</v>
      </c>
      <c r="C1311" s="1">
        <v>1</v>
      </c>
      <c r="D1311" s="1" t="s">
        <v>5086</v>
      </c>
      <c r="E1311" s="1">
        <v>10081</v>
      </c>
      <c r="F1311" s="1" t="s">
        <v>5085</v>
      </c>
      <c r="G1311" s="1">
        <v>1</v>
      </c>
      <c r="K1311" s="1">
        <v>2500</v>
      </c>
      <c r="M1311" s="1">
        <v>100</v>
      </c>
      <c r="O1311" s="1">
        <v>450</v>
      </c>
      <c r="Q1311" s="1">
        <v>40</v>
      </c>
      <c r="Y1311" s="1">
        <v>0.05</v>
      </c>
      <c r="Z1311" s="1">
        <v>1</v>
      </c>
      <c r="AA1311" s="1">
        <v>1</v>
      </c>
      <c r="AB1311" s="1">
        <v>1</v>
      </c>
      <c r="AG1311" s="1">
        <v>0</v>
      </c>
      <c r="AH1311" s="1">
        <v>1</v>
      </c>
      <c r="AI1311" s="1" t="s">
        <v>5087</v>
      </c>
      <c r="AJ1311" s="1" t="s">
        <v>216</v>
      </c>
      <c r="AK1311" s="1" t="s">
        <v>238</v>
      </c>
      <c r="AM1311" s="1">
        <v>1</v>
      </c>
      <c r="AV1311" s="1">
        <v>1</v>
      </c>
      <c r="AX1311" s="1">
        <v>0.25</v>
      </c>
      <c r="BE1311" s="1" t="s">
        <v>5085</v>
      </c>
      <c r="BK1311" s="1" t="s">
        <v>4994</v>
      </c>
      <c r="BN1311" s="1" t="s">
        <v>217</v>
      </c>
      <c r="BO1311" s="1" t="s">
        <v>2618</v>
      </c>
      <c r="BP1311" s="1" t="s">
        <v>2619</v>
      </c>
      <c r="BQ1311" s="1" t="s">
        <v>220</v>
      </c>
      <c r="BT1311" s="1">
        <v>1</v>
      </c>
    </row>
    <row r="1312" spans="1:72">
      <c r="A1312" s="1" t="s">
        <v>5088</v>
      </c>
      <c r="B1312" s="1" t="s">
        <v>213</v>
      </c>
      <c r="C1312" s="1">
        <v>1</v>
      </c>
      <c r="D1312" s="1" t="s">
        <v>5089</v>
      </c>
      <c r="E1312" s="1">
        <v>10081</v>
      </c>
      <c r="F1312" s="1" t="s">
        <v>5088</v>
      </c>
      <c r="G1312" s="1">
        <v>1</v>
      </c>
      <c r="K1312" s="1">
        <v>4000</v>
      </c>
      <c r="M1312" s="1">
        <v>200</v>
      </c>
      <c r="O1312" s="1">
        <v>600</v>
      </c>
      <c r="Q1312" s="1">
        <v>45</v>
      </c>
      <c r="Y1312" s="1">
        <v>0.05</v>
      </c>
      <c r="Z1312" s="1">
        <v>1</v>
      </c>
      <c r="AA1312" s="1">
        <v>1</v>
      </c>
      <c r="AB1312" s="1">
        <v>1</v>
      </c>
      <c r="AG1312" s="1">
        <v>0</v>
      </c>
      <c r="AH1312" s="1">
        <v>1</v>
      </c>
      <c r="AI1312" s="1" t="s">
        <v>5090</v>
      </c>
      <c r="AJ1312" s="1" t="s">
        <v>216</v>
      </c>
      <c r="AK1312" s="1" t="s">
        <v>238</v>
      </c>
      <c r="AM1312" s="1">
        <v>1</v>
      </c>
      <c r="AV1312" s="1">
        <v>1</v>
      </c>
      <c r="AX1312" s="1">
        <v>0.25</v>
      </c>
      <c r="BE1312" s="1" t="s">
        <v>5088</v>
      </c>
      <c r="BK1312" s="1" t="s">
        <v>4994</v>
      </c>
      <c r="BN1312" s="1" t="s">
        <v>217</v>
      </c>
      <c r="BO1312" s="1" t="s">
        <v>2618</v>
      </c>
      <c r="BP1312" s="1" t="s">
        <v>2619</v>
      </c>
      <c r="BQ1312" s="1" t="s">
        <v>220</v>
      </c>
      <c r="BT1312" s="1">
        <v>1</v>
      </c>
    </row>
    <row r="1313" spans="1:72">
      <c r="A1313" s="1" t="s">
        <v>5091</v>
      </c>
      <c r="B1313" s="1" t="s">
        <v>213</v>
      </c>
      <c r="C1313" s="1">
        <v>1</v>
      </c>
      <c r="D1313" s="1" t="s">
        <v>5092</v>
      </c>
      <c r="E1313" s="1">
        <v>10083</v>
      </c>
      <c r="F1313" s="1" t="s">
        <v>5091</v>
      </c>
      <c r="G1313" s="1">
        <v>1</v>
      </c>
      <c r="K1313" s="1">
        <v>1500</v>
      </c>
      <c r="M1313" s="1">
        <v>0</v>
      </c>
      <c r="O1313" s="1">
        <v>0</v>
      </c>
      <c r="Q1313" s="1">
        <v>30</v>
      </c>
      <c r="Y1313" s="1">
        <v>0.05</v>
      </c>
      <c r="Z1313" s="1">
        <v>1</v>
      </c>
      <c r="AA1313" s="1">
        <v>0</v>
      </c>
      <c r="AB1313" s="1">
        <v>0.9</v>
      </c>
      <c r="AG1313" s="1">
        <v>0</v>
      </c>
      <c r="AH1313" s="1">
        <v>1</v>
      </c>
      <c r="AI1313" s="1" t="s">
        <v>5093</v>
      </c>
      <c r="AJ1313" s="1" t="s">
        <v>216</v>
      </c>
      <c r="AK1313" s="1" t="s">
        <v>238</v>
      </c>
      <c r="AM1313" s="1">
        <v>1</v>
      </c>
      <c r="AN1313" s="1">
        <v>1</v>
      </c>
      <c r="AV1313" s="1">
        <v>1</v>
      </c>
      <c r="AX1313" s="1">
        <v>0.25</v>
      </c>
      <c r="BE1313" s="1" t="s">
        <v>5091</v>
      </c>
      <c r="BK1313" s="1" t="s">
        <v>4994</v>
      </c>
      <c r="BN1313" s="1" t="s">
        <v>217</v>
      </c>
      <c r="BO1313" s="1" t="s">
        <v>218</v>
      </c>
      <c r="BP1313" s="1" t="s">
        <v>239</v>
      </c>
      <c r="BQ1313" s="1" t="s">
        <v>220</v>
      </c>
      <c r="BT1313" s="1">
        <v>1</v>
      </c>
    </row>
    <row r="1314" spans="1:72">
      <c r="A1314" s="1" t="s">
        <v>5094</v>
      </c>
      <c r="B1314" s="1" t="s">
        <v>213</v>
      </c>
      <c r="C1314" s="1">
        <v>1</v>
      </c>
      <c r="D1314" s="1" t="s">
        <v>5095</v>
      </c>
      <c r="E1314" s="1">
        <v>10083</v>
      </c>
      <c r="F1314" s="1" t="s">
        <v>5094</v>
      </c>
      <c r="G1314" s="1">
        <v>1</v>
      </c>
      <c r="K1314" s="1">
        <v>2000</v>
      </c>
      <c r="M1314" s="1">
        <v>0</v>
      </c>
      <c r="O1314" s="1">
        <v>0</v>
      </c>
      <c r="Q1314" s="1">
        <v>30</v>
      </c>
      <c r="Y1314" s="1">
        <v>0.05</v>
      </c>
      <c r="Z1314" s="1">
        <v>1</v>
      </c>
      <c r="AA1314" s="1">
        <v>0</v>
      </c>
      <c r="AB1314" s="1">
        <v>0.9</v>
      </c>
      <c r="AG1314" s="1">
        <v>0</v>
      </c>
      <c r="AH1314" s="1">
        <v>1</v>
      </c>
      <c r="AI1314" s="1" t="s">
        <v>5096</v>
      </c>
      <c r="AJ1314" s="1" t="s">
        <v>216</v>
      </c>
      <c r="AK1314" s="1" t="s">
        <v>238</v>
      </c>
      <c r="AM1314" s="1">
        <v>1</v>
      </c>
      <c r="AN1314" s="1">
        <v>1</v>
      </c>
      <c r="AV1314" s="1">
        <v>1</v>
      </c>
      <c r="AX1314" s="1">
        <v>0.25</v>
      </c>
      <c r="BE1314" s="1" t="s">
        <v>5094</v>
      </c>
      <c r="BK1314" s="1" t="s">
        <v>4994</v>
      </c>
      <c r="BN1314" s="1" t="s">
        <v>217</v>
      </c>
      <c r="BO1314" s="1" t="s">
        <v>218</v>
      </c>
      <c r="BP1314" s="1" t="s">
        <v>239</v>
      </c>
      <c r="BQ1314" s="1" t="s">
        <v>220</v>
      </c>
      <c r="BT1314" s="1">
        <v>1</v>
      </c>
    </row>
    <row r="1315" spans="1:72">
      <c r="A1315" s="1" t="s">
        <v>5097</v>
      </c>
      <c r="B1315" s="1" t="s">
        <v>213</v>
      </c>
      <c r="C1315" s="1">
        <v>1</v>
      </c>
      <c r="D1315" s="1" t="s">
        <v>5098</v>
      </c>
      <c r="E1315" s="1">
        <v>10084</v>
      </c>
      <c r="F1315" s="1" t="s">
        <v>5097</v>
      </c>
      <c r="G1315" s="1">
        <v>1</v>
      </c>
      <c r="K1315" s="1">
        <v>5500</v>
      </c>
      <c r="M1315" s="1">
        <v>1000</v>
      </c>
      <c r="O1315" s="1">
        <v>150</v>
      </c>
      <c r="Q1315" s="1">
        <v>30</v>
      </c>
      <c r="Y1315" s="1">
        <v>0.05</v>
      </c>
      <c r="Z1315" s="1">
        <v>3</v>
      </c>
      <c r="AA1315" s="1">
        <v>1</v>
      </c>
      <c r="AB1315" s="1">
        <v>0.7</v>
      </c>
      <c r="AG1315" s="1">
        <v>0</v>
      </c>
      <c r="AH1315" s="1">
        <v>1</v>
      </c>
      <c r="AI1315" s="1" t="s">
        <v>5099</v>
      </c>
      <c r="AJ1315" s="1" t="s">
        <v>216</v>
      </c>
      <c r="AK1315" s="1" t="s">
        <v>238</v>
      </c>
      <c r="AM1315" s="1">
        <v>1</v>
      </c>
      <c r="AN1315" s="1">
        <v>1</v>
      </c>
      <c r="AV1315" s="1">
        <v>1</v>
      </c>
      <c r="AX1315" s="1">
        <v>0.25</v>
      </c>
      <c r="BE1315" s="1" t="s">
        <v>5097</v>
      </c>
      <c r="BK1315" s="1" t="s">
        <v>4994</v>
      </c>
      <c r="BN1315" s="1" t="s">
        <v>217</v>
      </c>
      <c r="BO1315" s="1" t="s">
        <v>218</v>
      </c>
      <c r="BP1315" s="1" t="s">
        <v>239</v>
      </c>
      <c r="BQ1315" s="1" t="s">
        <v>220</v>
      </c>
      <c r="BT1315" s="1">
        <v>1</v>
      </c>
    </row>
    <row r="1316" spans="1:72">
      <c r="A1316" s="1" t="s">
        <v>5100</v>
      </c>
      <c r="B1316" s="1" t="s">
        <v>213</v>
      </c>
      <c r="C1316" s="1">
        <v>1</v>
      </c>
      <c r="D1316" s="1" t="s">
        <v>5101</v>
      </c>
      <c r="E1316" s="1">
        <v>10084</v>
      </c>
      <c r="F1316" s="1" t="s">
        <v>5100</v>
      </c>
      <c r="G1316" s="1">
        <v>1</v>
      </c>
      <c r="K1316" s="1">
        <v>7200</v>
      </c>
      <c r="M1316" s="1">
        <v>1500</v>
      </c>
      <c r="O1316" s="1">
        <v>150</v>
      </c>
      <c r="Q1316" s="1">
        <v>30</v>
      </c>
      <c r="Y1316" s="1">
        <v>0.05</v>
      </c>
      <c r="Z1316" s="1">
        <v>3</v>
      </c>
      <c r="AA1316" s="1">
        <v>1</v>
      </c>
      <c r="AB1316" s="1">
        <v>0.7</v>
      </c>
      <c r="AG1316" s="1">
        <v>0</v>
      </c>
      <c r="AH1316" s="1">
        <v>1</v>
      </c>
      <c r="AI1316" s="1" t="s">
        <v>5102</v>
      </c>
      <c r="AJ1316" s="1" t="s">
        <v>216</v>
      </c>
      <c r="AK1316" s="1" t="s">
        <v>238</v>
      </c>
      <c r="AM1316" s="1">
        <v>1</v>
      </c>
      <c r="AN1316" s="1">
        <v>1</v>
      </c>
      <c r="AV1316" s="1">
        <v>1</v>
      </c>
      <c r="AX1316" s="1">
        <v>0.25</v>
      </c>
      <c r="BE1316" s="1" t="s">
        <v>5100</v>
      </c>
      <c r="BK1316" s="1" t="s">
        <v>4994</v>
      </c>
      <c r="BN1316" s="1" t="s">
        <v>217</v>
      </c>
      <c r="BO1316" s="1" t="s">
        <v>218</v>
      </c>
      <c r="BP1316" s="1" t="s">
        <v>239</v>
      </c>
      <c r="BQ1316" s="1" t="s">
        <v>220</v>
      </c>
      <c r="BT1316" s="1">
        <v>1</v>
      </c>
    </row>
    <row r="1317" spans="1:72">
      <c r="A1317" s="1" t="s">
        <v>5103</v>
      </c>
      <c r="B1317" s="1" t="s">
        <v>213</v>
      </c>
      <c r="C1317" s="1">
        <v>1</v>
      </c>
      <c r="D1317" s="1" t="s">
        <v>5104</v>
      </c>
      <c r="E1317" s="1">
        <v>10085</v>
      </c>
      <c r="F1317" s="1" t="s">
        <v>5103</v>
      </c>
      <c r="G1317" s="1">
        <v>1</v>
      </c>
      <c r="K1317" s="1">
        <v>60000</v>
      </c>
      <c r="M1317" s="1">
        <v>0</v>
      </c>
      <c r="O1317" s="1">
        <v>50</v>
      </c>
      <c r="Q1317" s="1">
        <v>30</v>
      </c>
      <c r="Y1317" s="1">
        <v>0.05</v>
      </c>
      <c r="Z1317" s="1">
        <v>1</v>
      </c>
      <c r="AA1317" s="1">
        <v>5</v>
      </c>
      <c r="AB1317" s="1">
        <v>0.4</v>
      </c>
      <c r="AG1317" s="1">
        <v>0</v>
      </c>
      <c r="AH1317" s="1">
        <v>1</v>
      </c>
      <c r="AI1317" s="1" t="s">
        <v>5105</v>
      </c>
      <c r="AJ1317" s="1" t="s">
        <v>216</v>
      </c>
      <c r="AK1317" s="1" t="s">
        <v>238</v>
      </c>
      <c r="AM1317" s="1">
        <v>1</v>
      </c>
      <c r="AN1317" s="1">
        <v>1</v>
      </c>
      <c r="AV1317" s="1">
        <v>1</v>
      </c>
      <c r="AX1317" s="1">
        <v>0.25</v>
      </c>
      <c r="BE1317" s="1" t="s">
        <v>5103</v>
      </c>
      <c r="BK1317" s="1" t="s">
        <v>4994</v>
      </c>
      <c r="BN1317" s="1" t="s">
        <v>217</v>
      </c>
      <c r="BO1317" s="1" t="s">
        <v>218</v>
      </c>
      <c r="BP1317" s="1" t="s">
        <v>239</v>
      </c>
      <c r="BQ1317" s="1" t="s">
        <v>220</v>
      </c>
      <c r="BT1317" s="1">
        <v>1</v>
      </c>
    </row>
    <row r="1318" spans="1:72">
      <c r="A1318" s="1" t="s">
        <v>5106</v>
      </c>
      <c r="B1318" s="1" t="s">
        <v>213</v>
      </c>
      <c r="C1318" s="1">
        <v>1</v>
      </c>
      <c r="D1318" s="1" t="s">
        <v>5107</v>
      </c>
      <c r="E1318" s="1">
        <v>10085</v>
      </c>
      <c r="F1318" s="1" t="s">
        <v>5106</v>
      </c>
      <c r="G1318" s="1">
        <v>1</v>
      </c>
      <c r="K1318" s="1">
        <v>80000</v>
      </c>
      <c r="M1318" s="1">
        <v>0</v>
      </c>
      <c r="O1318" s="1">
        <v>50</v>
      </c>
      <c r="Q1318" s="1">
        <v>30</v>
      </c>
      <c r="Y1318" s="1">
        <v>0.05</v>
      </c>
      <c r="Z1318" s="1">
        <v>1</v>
      </c>
      <c r="AA1318" s="1">
        <v>5</v>
      </c>
      <c r="AB1318" s="1">
        <v>0.4</v>
      </c>
      <c r="AG1318" s="1">
        <v>0</v>
      </c>
      <c r="AH1318" s="1">
        <v>1</v>
      </c>
      <c r="AI1318" s="1" t="s">
        <v>5108</v>
      </c>
      <c r="AJ1318" s="1" t="s">
        <v>216</v>
      </c>
      <c r="AK1318" s="1" t="s">
        <v>238</v>
      </c>
      <c r="AM1318" s="1">
        <v>1</v>
      </c>
      <c r="AN1318" s="1">
        <v>1</v>
      </c>
      <c r="AV1318" s="1">
        <v>1</v>
      </c>
      <c r="AX1318" s="1">
        <v>0.25</v>
      </c>
      <c r="BE1318" s="1" t="s">
        <v>5106</v>
      </c>
      <c r="BK1318" s="1" t="s">
        <v>4994</v>
      </c>
      <c r="BN1318" s="1" t="s">
        <v>217</v>
      </c>
      <c r="BO1318" s="1" t="s">
        <v>218</v>
      </c>
      <c r="BP1318" s="1" t="s">
        <v>239</v>
      </c>
      <c r="BQ1318" s="1" t="s">
        <v>220</v>
      </c>
      <c r="BT1318" s="1">
        <v>1</v>
      </c>
    </row>
    <row r="1319" spans="1:72">
      <c r="A1319" s="1" t="s">
        <v>5109</v>
      </c>
      <c r="B1319" s="1" t="s">
        <v>213</v>
      </c>
      <c r="C1319" s="1">
        <v>1</v>
      </c>
      <c r="D1319" s="1" t="s">
        <v>5110</v>
      </c>
      <c r="E1319" s="1">
        <v>10086</v>
      </c>
      <c r="F1319" s="1" t="s">
        <v>5109</v>
      </c>
      <c r="G1319" s="1">
        <v>1</v>
      </c>
      <c r="K1319" s="1">
        <v>25000</v>
      </c>
      <c r="M1319" s="1">
        <v>1550</v>
      </c>
      <c r="O1319" s="1">
        <v>300</v>
      </c>
      <c r="Q1319" s="1">
        <v>30</v>
      </c>
      <c r="Y1319" s="1">
        <v>0.05</v>
      </c>
      <c r="Z1319" s="1">
        <v>5</v>
      </c>
      <c r="AA1319" s="1">
        <v>3</v>
      </c>
      <c r="AB1319" s="1">
        <v>1.1</v>
      </c>
      <c r="AG1319" s="1">
        <v>0</v>
      </c>
      <c r="AH1319" s="1">
        <v>1</v>
      </c>
      <c r="AI1319" s="1" t="s">
        <v>5111</v>
      </c>
      <c r="AJ1319" s="1" t="s">
        <v>216</v>
      </c>
      <c r="AK1319" s="1" t="s">
        <v>238</v>
      </c>
      <c r="AM1319" s="1">
        <v>1</v>
      </c>
      <c r="AV1319" s="1">
        <v>1</v>
      </c>
      <c r="AX1319" s="1">
        <v>0.25</v>
      </c>
      <c r="BE1319" s="1" t="s">
        <v>5109</v>
      </c>
      <c r="BK1319" s="1" t="s">
        <v>4994</v>
      </c>
      <c r="BN1319" s="1" t="s">
        <v>217</v>
      </c>
      <c r="BO1319" s="1" t="s">
        <v>218</v>
      </c>
      <c r="BP1319" s="1" t="s">
        <v>239</v>
      </c>
      <c r="BQ1319" s="1" t="s">
        <v>220</v>
      </c>
      <c r="BT1319" s="1">
        <v>1</v>
      </c>
    </row>
    <row r="1320" spans="1:72">
      <c r="A1320" s="1" t="s">
        <v>5112</v>
      </c>
      <c r="B1320" s="1" t="s">
        <v>213</v>
      </c>
      <c r="C1320" s="1">
        <v>1</v>
      </c>
      <c r="D1320" s="1" t="s">
        <v>5113</v>
      </c>
      <c r="E1320" s="1">
        <v>10086</v>
      </c>
      <c r="F1320" s="1" t="s">
        <v>5112</v>
      </c>
      <c r="G1320" s="1">
        <v>1</v>
      </c>
      <c r="K1320" s="1">
        <v>30000</v>
      </c>
      <c r="M1320" s="1">
        <v>1950</v>
      </c>
      <c r="O1320" s="1">
        <v>350</v>
      </c>
      <c r="Q1320" s="1">
        <v>30</v>
      </c>
      <c r="Y1320" s="1">
        <v>0.05</v>
      </c>
      <c r="Z1320" s="1">
        <v>5</v>
      </c>
      <c r="AA1320" s="1">
        <v>3</v>
      </c>
      <c r="AB1320" s="1">
        <v>1.1</v>
      </c>
      <c r="AG1320" s="1">
        <v>0</v>
      </c>
      <c r="AH1320" s="1">
        <v>1</v>
      </c>
      <c r="AI1320" s="1" t="s">
        <v>5114</v>
      </c>
      <c r="AJ1320" s="1" t="s">
        <v>216</v>
      </c>
      <c r="AK1320" s="1" t="s">
        <v>238</v>
      </c>
      <c r="AM1320" s="1">
        <v>1</v>
      </c>
      <c r="AV1320" s="1">
        <v>1</v>
      </c>
      <c r="AX1320" s="1">
        <v>0.25</v>
      </c>
      <c r="BE1320" s="1" t="s">
        <v>5112</v>
      </c>
      <c r="BK1320" s="1" t="s">
        <v>4994</v>
      </c>
      <c r="BN1320" s="1" t="s">
        <v>217</v>
      </c>
      <c r="BO1320" s="1" t="s">
        <v>218</v>
      </c>
      <c r="BP1320" s="1" t="s">
        <v>239</v>
      </c>
      <c r="BQ1320" s="1" t="s">
        <v>220</v>
      </c>
      <c r="BT1320" s="1">
        <v>1</v>
      </c>
    </row>
    <row r="1321" spans="1:72">
      <c r="A1321" s="1" t="s">
        <v>5115</v>
      </c>
      <c r="B1321" s="1" t="s">
        <v>213</v>
      </c>
      <c r="C1321" s="1">
        <v>1</v>
      </c>
      <c r="D1321" s="1" t="s">
        <v>5116</v>
      </c>
      <c r="E1321" s="1">
        <v>10087</v>
      </c>
      <c r="F1321" s="1" t="s">
        <v>5115</v>
      </c>
      <c r="G1321" s="1">
        <v>1</v>
      </c>
      <c r="K1321" s="1">
        <v>6000</v>
      </c>
      <c r="M1321" s="1">
        <v>400</v>
      </c>
      <c r="O1321" s="1">
        <v>350</v>
      </c>
      <c r="Q1321" s="1">
        <v>0</v>
      </c>
      <c r="Y1321" s="1">
        <v>0.05</v>
      </c>
      <c r="Z1321" s="1">
        <v>1.3</v>
      </c>
      <c r="AA1321" s="1">
        <v>1</v>
      </c>
      <c r="AB1321" s="1">
        <v>1.2</v>
      </c>
      <c r="AG1321" s="1">
        <v>0</v>
      </c>
      <c r="AH1321" s="1">
        <v>1</v>
      </c>
      <c r="AI1321" s="1" t="s">
        <v>5117</v>
      </c>
      <c r="AJ1321" s="1" t="s">
        <v>216</v>
      </c>
      <c r="AK1321" s="1" t="s">
        <v>238</v>
      </c>
      <c r="AM1321" s="1">
        <v>1</v>
      </c>
      <c r="AV1321" s="1">
        <v>1</v>
      </c>
      <c r="AX1321" s="1">
        <v>0.25</v>
      </c>
      <c r="BE1321" s="1" t="s">
        <v>5115</v>
      </c>
      <c r="BK1321" s="1" t="s">
        <v>4994</v>
      </c>
      <c r="BN1321" s="1" t="s">
        <v>217</v>
      </c>
      <c r="BO1321" s="1" t="s">
        <v>218</v>
      </c>
      <c r="BP1321" s="1" t="s">
        <v>239</v>
      </c>
      <c r="BQ1321" s="1" t="s">
        <v>220</v>
      </c>
      <c r="BT1321" s="1">
        <v>1</v>
      </c>
    </row>
    <row r="1322" spans="1:72">
      <c r="A1322" s="1" t="s">
        <v>5118</v>
      </c>
      <c r="B1322" s="1" t="s">
        <v>213</v>
      </c>
      <c r="C1322" s="1">
        <v>1</v>
      </c>
      <c r="D1322" s="1" t="s">
        <v>5119</v>
      </c>
      <c r="E1322" s="1">
        <v>10087</v>
      </c>
      <c r="F1322" s="1" t="s">
        <v>5118</v>
      </c>
      <c r="G1322" s="1">
        <v>1</v>
      </c>
      <c r="K1322" s="1">
        <v>8000</v>
      </c>
      <c r="M1322" s="1">
        <v>500</v>
      </c>
      <c r="O1322" s="1">
        <v>350</v>
      </c>
      <c r="Q1322" s="1">
        <v>0</v>
      </c>
      <c r="Y1322" s="1">
        <v>0.05</v>
      </c>
      <c r="Z1322" s="1">
        <v>1.3</v>
      </c>
      <c r="AA1322" s="1">
        <v>1</v>
      </c>
      <c r="AB1322" s="1">
        <v>1.2</v>
      </c>
      <c r="AG1322" s="1">
        <v>0</v>
      </c>
      <c r="AH1322" s="1">
        <v>1</v>
      </c>
      <c r="AI1322" s="1" t="s">
        <v>5120</v>
      </c>
      <c r="AJ1322" s="1" t="s">
        <v>216</v>
      </c>
      <c r="AK1322" s="1" t="s">
        <v>238</v>
      </c>
      <c r="AM1322" s="1">
        <v>1</v>
      </c>
      <c r="AV1322" s="1">
        <v>1</v>
      </c>
      <c r="AX1322" s="1">
        <v>0.25</v>
      </c>
      <c r="BE1322" s="1" t="s">
        <v>5118</v>
      </c>
      <c r="BK1322" s="1" t="s">
        <v>4994</v>
      </c>
      <c r="BN1322" s="1" t="s">
        <v>217</v>
      </c>
      <c r="BO1322" s="1" t="s">
        <v>218</v>
      </c>
      <c r="BP1322" s="1" t="s">
        <v>239</v>
      </c>
      <c r="BQ1322" s="1" t="s">
        <v>220</v>
      </c>
      <c r="BT1322" s="1">
        <v>1</v>
      </c>
    </row>
    <row r="1323" spans="1:72">
      <c r="A1323" s="1" t="s">
        <v>5121</v>
      </c>
      <c r="B1323" s="1" t="s">
        <v>213</v>
      </c>
      <c r="C1323" s="1">
        <v>1</v>
      </c>
      <c r="D1323" s="1" t="s">
        <v>5122</v>
      </c>
      <c r="E1323" s="1">
        <v>10088</v>
      </c>
      <c r="F1323" s="1" t="s">
        <v>5121</v>
      </c>
      <c r="G1323" s="1">
        <v>1</v>
      </c>
      <c r="K1323" s="1">
        <v>10000</v>
      </c>
      <c r="M1323" s="1">
        <v>1400</v>
      </c>
      <c r="O1323" s="1">
        <v>180</v>
      </c>
      <c r="Q1323" s="1">
        <v>0</v>
      </c>
      <c r="Y1323" s="1">
        <v>0.05</v>
      </c>
      <c r="Z1323" s="1">
        <v>3.5</v>
      </c>
      <c r="AA1323" s="1">
        <v>1</v>
      </c>
      <c r="AB1323" s="1">
        <v>0.9</v>
      </c>
      <c r="AG1323" s="1">
        <v>0</v>
      </c>
      <c r="AH1323" s="1">
        <v>1</v>
      </c>
      <c r="AI1323" s="1" t="s">
        <v>5123</v>
      </c>
      <c r="AJ1323" s="1" t="s">
        <v>216</v>
      </c>
      <c r="AK1323" s="1" t="s">
        <v>238</v>
      </c>
      <c r="AM1323" s="1">
        <v>1</v>
      </c>
      <c r="AV1323" s="1">
        <v>1</v>
      </c>
      <c r="AX1323" s="1">
        <v>0.25</v>
      </c>
      <c r="BE1323" s="1" t="s">
        <v>5121</v>
      </c>
      <c r="BK1323" s="1" t="s">
        <v>4994</v>
      </c>
      <c r="BN1323" s="1" t="s">
        <v>217</v>
      </c>
      <c r="BO1323" s="1" t="s">
        <v>218</v>
      </c>
      <c r="BP1323" s="1" t="s">
        <v>239</v>
      </c>
      <c r="BQ1323" s="1" t="s">
        <v>220</v>
      </c>
      <c r="BT1323" s="1">
        <v>1</v>
      </c>
    </row>
    <row r="1324" spans="1:72">
      <c r="A1324" s="1" t="s">
        <v>5124</v>
      </c>
      <c r="B1324" s="1" t="s">
        <v>213</v>
      </c>
      <c r="C1324" s="1">
        <v>1</v>
      </c>
      <c r="D1324" s="1" t="s">
        <v>5125</v>
      </c>
      <c r="E1324" s="1">
        <v>10088</v>
      </c>
      <c r="F1324" s="1" t="s">
        <v>5124</v>
      </c>
      <c r="G1324" s="1">
        <v>1</v>
      </c>
      <c r="K1324" s="1">
        <v>12500</v>
      </c>
      <c r="M1324" s="1">
        <v>1800</v>
      </c>
      <c r="O1324" s="1">
        <v>180</v>
      </c>
      <c r="Q1324" s="1">
        <v>0</v>
      </c>
      <c r="Y1324" s="1">
        <v>0.05</v>
      </c>
      <c r="Z1324" s="1">
        <v>3.5</v>
      </c>
      <c r="AA1324" s="1">
        <v>1</v>
      </c>
      <c r="AB1324" s="1">
        <v>0.9</v>
      </c>
      <c r="AG1324" s="1">
        <v>0</v>
      </c>
      <c r="AH1324" s="1">
        <v>1</v>
      </c>
      <c r="AI1324" s="1" t="s">
        <v>5126</v>
      </c>
      <c r="AJ1324" s="1" t="s">
        <v>216</v>
      </c>
      <c r="AK1324" s="1" t="s">
        <v>238</v>
      </c>
      <c r="AM1324" s="1">
        <v>1</v>
      </c>
      <c r="AV1324" s="1">
        <v>1</v>
      </c>
      <c r="AX1324" s="1">
        <v>0.25</v>
      </c>
      <c r="BE1324" s="1" t="s">
        <v>5124</v>
      </c>
      <c r="BK1324" s="1" t="s">
        <v>4994</v>
      </c>
      <c r="BN1324" s="1" t="s">
        <v>217</v>
      </c>
      <c r="BO1324" s="1" t="s">
        <v>218</v>
      </c>
      <c r="BP1324" s="1" t="s">
        <v>239</v>
      </c>
      <c r="BQ1324" s="1" t="s">
        <v>220</v>
      </c>
      <c r="BT1324" s="1">
        <v>1</v>
      </c>
    </row>
    <row r="1325" spans="1:72">
      <c r="A1325" s="1" t="s">
        <v>5127</v>
      </c>
      <c r="B1325" s="1" t="s">
        <v>213</v>
      </c>
      <c r="C1325" s="1">
        <v>1</v>
      </c>
      <c r="D1325" s="1" t="s">
        <v>5128</v>
      </c>
      <c r="E1325" s="1">
        <v>10089</v>
      </c>
      <c r="F1325" s="1" t="s">
        <v>5127</v>
      </c>
      <c r="G1325" s="1">
        <v>1</v>
      </c>
      <c r="K1325" s="1">
        <v>8000</v>
      </c>
      <c r="M1325" s="1">
        <v>500</v>
      </c>
      <c r="O1325" s="1">
        <v>240</v>
      </c>
      <c r="Q1325" s="1">
        <v>30</v>
      </c>
      <c r="Y1325" s="1">
        <v>0.05</v>
      </c>
      <c r="Z1325" s="1">
        <v>2.7</v>
      </c>
      <c r="AA1325" s="1">
        <v>1</v>
      </c>
      <c r="AB1325" s="1">
        <v>0.7</v>
      </c>
      <c r="AG1325" s="1">
        <v>0</v>
      </c>
      <c r="AH1325" s="1">
        <v>1</v>
      </c>
      <c r="AI1325" s="1" t="s">
        <v>5129</v>
      </c>
      <c r="AJ1325" s="1" t="s">
        <v>216</v>
      </c>
      <c r="AK1325" s="1" t="s">
        <v>238</v>
      </c>
      <c r="AM1325" s="1">
        <v>1</v>
      </c>
      <c r="AV1325" s="1">
        <v>1</v>
      </c>
      <c r="AX1325" s="1">
        <v>0.25</v>
      </c>
      <c r="BE1325" s="1" t="s">
        <v>5127</v>
      </c>
      <c r="BK1325" s="1" t="s">
        <v>4994</v>
      </c>
      <c r="BN1325" s="1" t="s">
        <v>217</v>
      </c>
      <c r="BO1325" s="1" t="s">
        <v>218</v>
      </c>
      <c r="BP1325" s="1" t="s">
        <v>239</v>
      </c>
      <c r="BQ1325" s="1" t="s">
        <v>220</v>
      </c>
      <c r="BT1325" s="1">
        <v>1</v>
      </c>
    </row>
    <row r="1326" spans="1:72">
      <c r="A1326" s="1" t="s">
        <v>5130</v>
      </c>
      <c r="B1326" s="1" t="s">
        <v>213</v>
      </c>
      <c r="C1326" s="1">
        <v>1</v>
      </c>
      <c r="D1326" s="1" t="s">
        <v>5131</v>
      </c>
      <c r="E1326" s="1">
        <v>10089</v>
      </c>
      <c r="F1326" s="1" t="s">
        <v>5130</v>
      </c>
      <c r="G1326" s="1">
        <v>1</v>
      </c>
      <c r="K1326" s="1">
        <v>9500</v>
      </c>
      <c r="M1326" s="1">
        <v>650</v>
      </c>
      <c r="O1326" s="1">
        <v>420</v>
      </c>
      <c r="Q1326" s="1">
        <v>30</v>
      </c>
      <c r="Y1326" s="1">
        <v>0.05</v>
      </c>
      <c r="Z1326" s="1">
        <v>2.7</v>
      </c>
      <c r="AA1326" s="1">
        <v>1</v>
      </c>
      <c r="AB1326" s="1">
        <v>0.7</v>
      </c>
      <c r="AG1326" s="1">
        <v>0</v>
      </c>
      <c r="AH1326" s="1">
        <v>1</v>
      </c>
      <c r="AI1326" s="1" t="s">
        <v>5132</v>
      </c>
      <c r="AJ1326" s="1" t="s">
        <v>216</v>
      </c>
      <c r="AK1326" s="1" t="s">
        <v>238</v>
      </c>
      <c r="AM1326" s="1">
        <v>1</v>
      </c>
      <c r="AV1326" s="1">
        <v>1</v>
      </c>
      <c r="AX1326" s="1">
        <v>0.25</v>
      </c>
      <c r="BE1326" s="1" t="s">
        <v>5130</v>
      </c>
      <c r="BK1326" s="1" t="s">
        <v>4994</v>
      </c>
      <c r="BN1326" s="1" t="s">
        <v>217</v>
      </c>
      <c r="BO1326" s="1" t="s">
        <v>218</v>
      </c>
      <c r="BP1326" s="1" t="s">
        <v>239</v>
      </c>
      <c r="BQ1326" s="1" t="s">
        <v>220</v>
      </c>
      <c r="BT1326" s="1">
        <v>1</v>
      </c>
    </row>
    <row r="1327" spans="1:72">
      <c r="A1327" s="1" t="s">
        <v>5133</v>
      </c>
      <c r="B1327" s="1" t="s">
        <v>213</v>
      </c>
      <c r="C1327" s="1">
        <v>1</v>
      </c>
      <c r="D1327" s="1" t="s">
        <v>5134</v>
      </c>
      <c r="E1327" s="1">
        <v>10090</v>
      </c>
      <c r="F1327" s="1" t="s">
        <v>5133</v>
      </c>
      <c r="G1327" s="1">
        <v>1</v>
      </c>
      <c r="K1327" s="1">
        <v>16000</v>
      </c>
      <c r="M1327" s="1">
        <v>360</v>
      </c>
      <c r="O1327" s="1">
        <v>400</v>
      </c>
      <c r="Q1327" s="1">
        <v>30</v>
      </c>
      <c r="Y1327" s="1">
        <v>0.05</v>
      </c>
      <c r="Z1327" s="1">
        <v>3</v>
      </c>
      <c r="AA1327" s="1">
        <v>2</v>
      </c>
      <c r="AB1327" s="1">
        <v>0.6</v>
      </c>
      <c r="AG1327" s="1">
        <v>0</v>
      </c>
      <c r="AH1327" s="1">
        <v>1</v>
      </c>
      <c r="AI1327" s="1" t="s">
        <v>5135</v>
      </c>
      <c r="AJ1327" s="1" t="s">
        <v>216</v>
      </c>
      <c r="AK1327" s="1" t="s">
        <v>238</v>
      </c>
      <c r="AM1327" s="1">
        <v>1</v>
      </c>
      <c r="AV1327" s="1">
        <v>1</v>
      </c>
      <c r="AX1327" s="1">
        <v>0.25</v>
      </c>
      <c r="BE1327" s="1" t="s">
        <v>5133</v>
      </c>
      <c r="BK1327" s="1" t="s">
        <v>4994</v>
      </c>
      <c r="BN1327" s="1" t="s">
        <v>217</v>
      </c>
      <c r="BO1327" s="1" t="s">
        <v>218</v>
      </c>
      <c r="BP1327" s="1" t="s">
        <v>239</v>
      </c>
      <c r="BQ1327" s="1" t="s">
        <v>220</v>
      </c>
      <c r="BT1327" s="1">
        <v>1</v>
      </c>
    </row>
    <row r="1328" spans="1:72">
      <c r="A1328" s="1" t="s">
        <v>5136</v>
      </c>
      <c r="B1328" s="1" t="s">
        <v>213</v>
      </c>
      <c r="C1328" s="1">
        <v>1</v>
      </c>
      <c r="D1328" s="1" t="s">
        <v>5137</v>
      </c>
      <c r="E1328" s="1">
        <v>10090</v>
      </c>
      <c r="F1328" s="1" t="s">
        <v>5136</v>
      </c>
      <c r="G1328" s="1">
        <v>1</v>
      </c>
      <c r="K1328" s="1">
        <v>20000</v>
      </c>
      <c r="M1328" s="1">
        <v>520</v>
      </c>
      <c r="O1328" s="1">
        <v>400</v>
      </c>
      <c r="Q1328" s="1">
        <v>30</v>
      </c>
      <c r="Y1328" s="1">
        <v>0.05</v>
      </c>
      <c r="Z1328" s="1">
        <v>3</v>
      </c>
      <c r="AA1328" s="1">
        <v>2</v>
      </c>
      <c r="AB1328" s="1">
        <v>0.6</v>
      </c>
      <c r="AG1328" s="1">
        <v>0</v>
      </c>
      <c r="AH1328" s="1">
        <v>1</v>
      </c>
      <c r="AI1328" s="1" t="s">
        <v>5138</v>
      </c>
      <c r="AJ1328" s="1" t="s">
        <v>216</v>
      </c>
      <c r="AK1328" s="1" t="s">
        <v>238</v>
      </c>
      <c r="AM1328" s="1">
        <v>1</v>
      </c>
      <c r="AV1328" s="1">
        <v>1</v>
      </c>
      <c r="AX1328" s="1">
        <v>0.25</v>
      </c>
      <c r="BE1328" s="1" t="s">
        <v>5136</v>
      </c>
      <c r="BK1328" s="1" t="s">
        <v>4994</v>
      </c>
      <c r="BN1328" s="1" t="s">
        <v>217</v>
      </c>
      <c r="BO1328" s="1" t="s">
        <v>218</v>
      </c>
      <c r="BP1328" s="1" t="s">
        <v>239</v>
      </c>
      <c r="BQ1328" s="1" t="s">
        <v>220</v>
      </c>
      <c r="BT1328" s="1">
        <v>1</v>
      </c>
    </row>
    <row r="1329" spans="1:72">
      <c r="A1329" s="1" t="s">
        <v>5139</v>
      </c>
      <c r="B1329" s="1" t="s">
        <v>213</v>
      </c>
      <c r="C1329" s="1">
        <v>1</v>
      </c>
      <c r="D1329" s="1" t="s">
        <v>5140</v>
      </c>
      <c r="E1329" s="1">
        <v>10091</v>
      </c>
      <c r="F1329" s="1" t="s">
        <v>5139</v>
      </c>
      <c r="G1329" s="1">
        <v>1</v>
      </c>
      <c r="K1329" s="1">
        <v>40000</v>
      </c>
      <c r="M1329" s="1">
        <v>180</v>
      </c>
      <c r="O1329" s="1">
        <v>150</v>
      </c>
      <c r="Q1329" s="1">
        <v>50</v>
      </c>
      <c r="Y1329" s="1">
        <v>0.05</v>
      </c>
      <c r="Z1329" s="1">
        <v>1.2</v>
      </c>
      <c r="AA1329" s="1">
        <v>10</v>
      </c>
      <c r="AB1329" s="1">
        <v>0</v>
      </c>
      <c r="AG1329" s="1">
        <v>0</v>
      </c>
      <c r="AH1329" s="1">
        <v>1</v>
      </c>
      <c r="AI1329" s="1" t="s">
        <v>5141</v>
      </c>
      <c r="AJ1329" s="1" t="s">
        <v>216</v>
      </c>
      <c r="AK1329" s="1" t="s">
        <v>238</v>
      </c>
      <c r="AM1329" s="1">
        <v>1</v>
      </c>
      <c r="AV1329" s="1">
        <v>1</v>
      </c>
      <c r="AX1329" s="1">
        <v>0.25</v>
      </c>
      <c r="BE1329" s="1" t="s">
        <v>5139</v>
      </c>
      <c r="BK1329" s="1" t="s">
        <v>4994</v>
      </c>
      <c r="BN1329" s="1" t="s">
        <v>217</v>
      </c>
      <c r="BO1329" s="1" t="s">
        <v>218</v>
      </c>
      <c r="BQ1329" s="1" t="s">
        <v>220</v>
      </c>
      <c r="BT1329" s="1">
        <v>1</v>
      </c>
    </row>
    <row r="1330" spans="1:72">
      <c r="A1330" s="1" t="s">
        <v>5142</v>
      </c>
      <c r="B1330" s="1" t="s">
        <v>213</v>
      </c>
      <c r="C1330" s="1">
        <v>1</v>
      </c>
      <c r="D1330" s="1" t="s">
        <v>5143</v>
      </c>
      <c r="E1330" s="1">
        <v>10091</v>
      </c>
      <c r="F1330" s="1" t="s">
        <v>5142</v>
      </c>
      <c r="G1330" s="1">
        <v>1</v>
      </c>
      <c r="K1330" s="1">
        <v>50000</v>
      </c>
      <c r="M1330" s="1">
        <v>225</v>
      </c>
      <c r="O1330" s="1">
        <v>150</v>
      </c>
      <c r="Q1330" s="1">
        <v>50</v>
      </c>
      <c r="Y1330" s="1">
        <v>0.05</v>
      </c>
      <c r="Z1330" s="1">
        <v>1.2</v>
      </c>
      <c r="AA1330" s="1">
        <v>10</v>
      </c>
      <c r="AB1330" s="1">
        <v>0</v>
      </c>
      <c r="AG1330" s="1">
        <v>0</v>
      </c>
      <c r="AH1330" s="1">
        <v>1</v>
      </c>
      <c r="AI1330" s="1" t="s">
        <v>5144</v>
      </c>
      <c r="AJ1330" s="1" t="s">
        <v>216</v>
      </c>
      <c r="AK1330" s="1" t="s">
        <v>238</v>
      </c>
      <c r="AM1330" s="1">
        <v>1</v>
      </c>
      <c r="AV1330" s="1">
        <v>1</v>
      </c>
      <c r="AX1330" s="1">
        <v>0.25</v>
      </c>
      <c r="BE1330" s="1" t="s">
        <v>5142</v>
      </c>
      <c r="BK1330" s="1" t="s">
        <v>4994</v>
      </c>
      <c r="BN1330" s="1" t="s">
        <v>217</v>
      </c>
      <c r="BO1330" s="1" t="s">
        <v>218</v>
      </c>
      <c r="BQ1330" s="1" t="s">
        <v>220</v>
      </c>
      <c r="BT1330" s="1">
        <v>1</v>
      </c>
    </row>
    <row r="1331" spans="1:72">
      <c r="A1331" s="1" t="s">
        <v>5145</v>
      </c>
      <c r="B1331" s="1" t="s">
        <v>213</v>
      </c>
      <c r="C1331" s="1">
        <v>1</v>
      </c>
      <c r="D1331" s="1" t="s">
        <v>5146</v>
      </c>
      <c r="E1331" s="1">
        <v>10091</v>
      </c>
      <c r="F1331" s="1" t="s">
        <v>5145</v>
      </c>
      <c r="G1331" s="1">
        <v>1</v>
      </c>
      <c r="K1331" s="1">
        <v>75000</v>
      </c>
      <c r="M1331" s="1">
        <v>225</v>
      </c>
      <c r="O1331" s="1">
        <v>150</v>
      </c>
      <c r="Q1331" s="1">
        <v>50</v>
      </c>
      <c r="Y1331" s="1">
        <v>0.05</v>
      </c>
      <c r="Z1331" s="1">
        <v>1.2</v>
      </c>
      <c r="AA1331" s="1">
        <v>10</v>
      </c>
      <c r="AB1331" s="1">
        <v>0</v>
      </c>
      <c r="AG1331" s="1">
        <v>0</v>
      </c>
      <c r="AH1331" s="1">
        <v>1</v>
      </c>
      <c r="AI1331" s="1" t="s">
        <v>5147</v>
      </c>
      <c r="AJ1331" s="1" t="s">
        <v>216</v>
      </c>
      <c r="AK1331" s="1" t="s">
        <v>238</v>
      </c>
      <c r="AM1331" s="1">
        <v>1</v>
      </c>
      <c r="AV1331" s="1">
        <v>1</v>
      </c>
      <c r="AX1331" s="1">
        <v>0.25</v>
      </c>
      <c r="BE1331" s="1" t="s">
        <v>5145</v>
      </c>
      <c r="BK1331" s="1" t="s">
        <v>4994</v>
      </c>
      <c r="BN1331" s="1" t="s">
        <v>217</v>
      </c>
      <c r="BO1331" s="1" t="s">
        <v>218</v>
      </c>
      <c r="BQ1331" s="1" t="s">
        <v>220</v>
      </c>
      <c r="BT1331" s="1">
        <v>1</v>
      </c>
    </row>
    <row r="1332" spans="1:72">
      <c r="A1332" s="1" t="s">
        <v>5148</v>
      </c>
      <c r="B1332" s="1" t="s">
        <v>213</v>
      </c>
      <c r="C1332" s="1">
        <v>1</v>
      </c>
      <c r="D1332" s="1" t="s">
        <v>5149</v>
      </c>
      <c r="E1332" s="1">
        <v>1567</v>
      </c>
      <c r="F1332" s="1" t="s">
        <v>5148</v>
      </c>
      <c r="G1332" s="1">
        <v>1</v>
      </c>
      <c r="K1332" s="1">
        <v>20000</v>
      </c>
      <c r="M1332" s="1">
        <v>600</v>
      </c>
      <c r="O1332" s="1">
        <v>1000</v>
      </c>
      <c r="Q1332" s="1">
        <v>60</v>
      </c>
      <c r="Y1332" s="1">
        <v>0.05</v>
      </c>
      <c r="Z1332" s="1">
        <v>6</v>
      </c>
      <c r="AA1332" s="1">
        <v>10</v>
      </c>
      <c r="AB1332" s="1">
        <v>0.6</v>
      </c>
      <c r="AG1332" s="1">
        <v>0</v>
      </c>
      <c r="AH1332" s="1">
        <v>1</v>
      </c>
      <c r="AI1332" s="1" t="s">
        <v>5150</v>
      </c>
      <c r="AJ1332" s="1" t="s">
        <v>216</v>
      </c>
      <c r="AK1332" s="1" t="s">
        <v>238</v>
      </c>
      <c r="AM1332" s="1">
        <v>1</v>
      </c>
      <c r="AV1332" s="1">
        <v>1</v>
      </c>
      <c r="AX1332" s="1">
        <v>0.25</v>
      </c>
      <c r="BE1332" s="1" t="s">
        <v>5148</v>
      </c>
      <c r="BK1332" s="1" t="s">
        <v>4994</v>
      </c>
      <c r="BN1332" s="1" t="s">
        <v>3443</v>
      </c>
      <c r="BO1332" s="1" t="s">
        <v>2618</v>
      </c>
      <c r="BP1332" s="1" t="s">
        <v>2619</v>
      </c>
      <c r="BQ1332" s="1" t="s">
        <v>5151</v>
      </c>
      <c r="BT1332" s="1">
        <v>1</v>
      </c>
    </row>
    <row r="1333" spans="1:72">
      <c r="A1333" s="1" t="s">
        <v>5152</v>
      </c>
      <c r="B1333" s="1" t="s">
        <v>213</v>
      </c>
      <c r="C1333" s="1">
        <v>1</v>
      </c>
      <c r="D1333" s="1" t="s">
        <v>5153</v>
      </c>
      <c r="E1333" s="1">
        <v>10094</v>
      </c>
      <c r="F1333" s="1" t="s">
        <v>5152</v>
      </c>
      <c r="G1333" s="1">
        <v>1</v>
      </c>
      <c r="K1333" s="1">
        <v>4000</v>
      </c>
      <c r="M1333" s="1">
        <v>350</v>
      </c>
      <c r="O1333" s="1">
        <v>150</v>
      </c>
      <c r="Q1333" s="1">
        <v>15</v>
      </c>
      <c r="Y1333" s="1">
        <v>0.05</v>
      </c>
      <c r="Z1333" s="1">
        <v>2</v>
      </c>
      <c r="AA1333" s="1">
        <v>1</v>
      </c>
      <c r="AB1333" s="1">
        <v>0.9</v>
      </c>
      <c r="AG1333" s="1">
        <v>0</v>
      </c>
      <c r="AH1333" s="1">
        <v>1</v>
      </c>
      <c r="AI1333" s="1" t="s">
        <v>5154</v>
      </c>
      <c r="AJ1333" s="1" t="s">
        <v>216</v>
      </c>
      <c r="AK1333" s="1" t="s">
        <v>238</v>
      </c>
      <c r="AM1333" s="1">
        <v>1</v>
      </c>
      <c r="AV1333" s="1">
        <v>1</v>
      </c>
      <c r="AX1333" s="1">
        <v>0.25</v>
      </c>
      <c r="BE1333" s="1" t="s">
        <v>5152</v>
      </c>
      <c r="BK1333" s="1" t="s">
        <v>4994</v>
      </c>
      <c r="BN1333" s="1" t="s">
        <v>217</v>
      </c>
      <c r="BO1333" s="1" t="s">
        <v>218</v>
      </c>
      <c r="BP1333" s="1" t="s">
        <v>239</v>
      </c>
      <c r="BQ1333" s="1" t="s">
        <v>220</v>
      </c>
      <c r="BT1333" s="1">
        <v>1</v>
      </c>
    </row>
    <row r="1334" spans="1:72">
      <c r="A1334" s="1" t="s">
        <v>5155</v>
      </c>
      <c r="B1334" s="1" t="s">
        <v>213</v>
      </c>
      <c r="C1334" s="1">
        <v>1</v>
      </c>
      <c r="D1334" s="1" t="s">
        <v>5156</v>
      </c>
      <c r="E1334" s="1">
        <v>10094</v>
      </c>
      <c r="F1334" s="1" t="s">
        <v>5155</v>
      </c>
      <c r="G1334" s="1">
        <v>1</v>
      </c>
      <c r="K1334" s="1">
        <v>5000</v>
      </c>
      <c r="M1334" s="1">
        <v>400</v>
      </c>
      <c r="O1334" s="1">
        <v>150</v>
      </c>
      <c r="Q1334" s="1">
        <v>15</v>
      </c>
      <c r="Y1334" s="1">
        <v>0.05</v>
      </c>
      <c r="Z1334" s="1">
        <v>2</v>
      </c>
      <c r="AA1334" s="1">
        <v>1</v>
      </c>
      <c r="AB1334" s="1">
        <v>0.9</v>
      </c>
      <c r="AG1334" s="1">
        <v>0</v>
      </c>
      <c r="AH1334" s="1">
        <v>1</v>
      </c>
      <c r="AI1334" s="1" t="s">
        <v>5157</v>
      </c>
      <c r="AJ1334" s="1" t="s">
        <v>216</v>
      </c>
      <c r="AK1334" s="1" t="s">
        <v>238</v>
      </c>
      <c r="AM1334" s="1">
        <v>1</v>
      </c>
      <c r="AV1334" s="1">
        <v>1</v>
      </c>
      <c r="AX1334" s="1">
        <v>0.25</v>
      </c>
      <c r="BE1334" s="1" t="s">
        <v>5155</v>
      </c>
      <c r="BK1334" s="1" t="s">
        <v>4994</v>
      </c>
      <c r="BN1334" s="1" t="s">
        <v>217</v>
      </c>
      <c r="BO1334" s="1" t="s">
        <v>218</v>
      </c>
      <c r="BP1334" s="1" t="s">
        <v>239</v>
      </c>
      <c r="BQ1334" s="1" t="s">
        <v>220</v>
      </c>
      <c r="BT1334" s="1">
        <v>1</v>
      </c>
    </row>
    <row r="1335" spans="1:72">
      <c r="A1335" s="1" t="s">
        <v>5158</v>
      </c>
      <c r="B1335" s="1" t="s">
        <v>213</v>
      </c>
      <c r="C1335" s="1">
        <v>1</v>
      </c>
      <c r="D1335" s="1" t="s">
        <v>5159</v>
      </c>
      <c r="E1335" s="1">
        <v>10095</v>
      </c>
      <c r="F1335" s="1" t="s">
        <v>5158</v>
      </c>
      <c r="G1335" s="1">
        <v>1</v>
      </c>
      <c r="K1335" s="1">
        <v>8000</v>
      </c>
      <c r="M1335" s="1">
        <v>100</v>
      </c>
      <c r="O1335" s="1">
        <v>200</v>
      </c>
      <c r="Q1335" s="1">
        <v>40</v>
      </c>
      <c r="Y1335" s="1">
        <v>0.05</v>
      </c>
      <c r="Z1335" s="1">
        <v>2</v>
      </c>
      <c r="AA1335" s="1">
        <v>1</v>
      </c>
      <c r="AB1335" s="1">
        <v>1.3</v>
      </c>
      <c r="AG1335" s="1">
        <v>0</v>
      </c>
      <c r="AH1335" s="1">
        <v>1</v>
      </c>
      <c r="AI1335" s="1" t="s">
        <v>5160</v>
      </c>
      <c r="AJ1335" s="1" t="s">
        <v>216</v>
      </c>
      <c r="AK1335" s="1" t="s">
        <v>238</v>
      </c>
      <c r="AM1335" s="1">
        <v>1</v>
      </c>
      <c r="AV1335" s="1">
        <v>1</v>
      </c>
      <c r="AX1335" s="1">
        <v>0.25</v>
      </c>
      <c r="BE1335" s="1" t="s">
        <v>5158</v>
      </c>
      <c r="BK1335" s="1" t="s">
        <v>4994</v>
      </c>
      <c r="BN1335" s="1" t="s">
        <v>217</v>
      </c>
      <c r="BO1335" s="1" t="s">
        <v>218</v>
      </c>
      <c r="BP1335" s="1" t="s">
        <v>239</v>
      </c>
      <c r="BQ1335" s="1" t="s">
        <v>220</v>
      </c>
      <c r="BT1335" s="1">
        <v>1</v>
      </c>
    </row>
    <row r="1336" spans="1:72">
      <c r="A1336" s="1" t="s">
        <v>5161</v>
      </c>
      <c r="B1336" s="1" t="s">
        <v>213</v>
      </c>
      <c r="C1336" s="1">
        <v>1</v>
      </c>
      <c r="D1336" s="1" t="s">
        <v>5162</v>
      </c>
      <c r="E1336" s="1">
        <v>10095</v>
      </c>
      <c r="F1336" s="1" t="s">
        <v>5161</v>
      </c>
      <c r="G1336" s="1">
        <v>1</v>
      </c>
      <c r="K1336" s="1">
        <v>9000</v>
      </c>
      <c r="M1336" s="1">
        <v>100</v>
      </c>
      <c r="O1336" s="1">
        <v>250</v>
      </c>
      <c r="Q1336" s="1">
        <v>40</v>
      </c>
      <c r="Y1336" s="1">
        <v>0.05</v>
      </c>
      <c r="Z1336" s="1">
        <v>2</v>
      </c>
      <c r="AA1336" s="1">
        <v>1</v>
      </c>
      <c r="AB1336" s="1">
        <v>1.3</v>
      </c>
      <c r="AG1336" s="1">
        <v>0</v>
      </c>
      <c r="AH1336" s="1">
        <v>1</v>
      </c>
      <c r="AI1336" s="1" t="s">
        <v>5163</v>
      </c>
      <c r="AJ1336" s="1" t="s">
        <v>216</v>
      </c>
      <c r="AK1336" s="1" t="s">
        <v>238</v>
      </c>
      <c r="AM1336" s="1">
        <v>1</v>
      </c>
      <c r="AV1336" s="1">
        <v>1</v>
      </c>
      <c r="AX1336" s="1">
        <v>0.25</v>
      </c>
      <c r="BE1336" s="1" t="s">
        <v>5161</v>
      </c>
      <c r="BK1336" s="1" t="s">
        <v>4994</v>
      </c>
      <c r="BN1336" s="1" t="s">
        <v>217</v>
      </c>
      <c r="BO1336" s="1" t="s">
        <v>218</v>
      </c>
      <c r="BP1336" s="1" t="s">
        <v>239</v>
      </c>
      <c r="BQ1336" s="1" t="s">
        <v>220</v>
      </c>
      <c r="BT1336" s="1">
        <v>1</v>
      </c>
    </row>
    <row r="1337" spans="1:72">
      <c r="A1337" s="1" t="s">
        <v>5164</v>
      </c>
      <c r="B1337" s="1" t="s">
        <v>213</v>
      </c>
      <c r="C1337" s="1">
        <v>1</v>
      </c>
      <c r="D1337" s="1" t="s">
        <v>5165</v>
      </c>
      <c r="E1337" s="1">
        <v>10096</v>
      </c>
      <c r="F1337" s="1" t="s">
        <v>5164</v>
      </c>
      <c r="G1337" s="1">
        <v>1</v>
      </c>
      <c r="K1337" s="1">
        <v>8000</v>
      </c>
      <c r="M1337" s="1">
        <v>200</v>
      </c>
      <c r="O1337" s="1">
        <v>200</v>
      </c>
      <c r="Q1337" s="1">
        <v>20</v>
      </c>
      <c r="Y1337" s="1">
        <v>0.05</v>
      </c>
      <c r="Z1337" s="1">
        <v>2</v>
      </c>
      <c r="AA1337" s="1">
        <v>3</v>
      </c>
      <c r="AB1337" s="1">
        <v>1</v>
      </c>
      <c r="AG1337" s="1">
        <v>0</v>
      </c>
      <c r="AH1337" s="1">
        <v>1</v>
      </c>
      <c r="AI1337" s="1" t="s">
        <v>5166</v>
      </c>
      <c r="AJ1337" s="1" t="s">
        <v>216</v>
      </c>
      <c r="AK1337" s="1" t="s">
        <v>238</v>
      </c>
      <c r="AM1337" s="1">
        <v>1</v>
      </c>
      <c r="AV1337" s="1">
        <v>1</v>
      </c>
      <c r="AX1337" s="1">
        <v>0.25</v>
      </c>
      <c r="BE1337" s="1" t="s">
        <v>5164</v>
      </c>
      <c r="BK1337" s="1" t="s">
        <v>4994</v>
      </c>
      <c r="BN1337" s="1" t="s">
        <v>217</v>
      </c>
      <c r="BO1337" s="1" t="s">
        <v>218</v>
      </c>
      <c r="BP1337" s="1" t="s">
        <v>239</v>
      </c>
      <c r="BQ1337" s="1" t="s">
        <v>220</v>
      </c>
      <c r="BT1337" s="1">
        <v>1</v>
      </c>
    </row>
    <row r="1338" spans="1:72">
      <c r="A1338" s="1" t="s">
        <v>5167</v>
      </c>
      <c r="B1338" s="1" t="s">
        <v>213</v>
      </c>
      <c r="C1338" s="1">
        <v>1</v>
      </c>
      <c r="D1338" s="1" t="s">
        <v>5168</v>
      </c>
      <c r="E1338" s="1">
        <v>10096</v>
      </c>
      <c r="F1338" s="1" t="s">
        <v>5167</v>
      </c>
      <c r="G1338" s="1">
        <v>1</v>
      </c>
      <c r="K1338" s="1">
        <v>9500</v>
      </c>
      <c r="M1338" s="1">
        <v>300</v>
      </c>
      <c r="O1338" s="1">
        <v>300</v>
      </c>
      <c r="Q1338" s="1">
        <v>20</v>
      </c>
      <c r="Y1338" s="1">
        <v>0.05</v>
      </c>
      <c r="Z1338" s="1">
        <v>2</v>
      </c>
      <c r="AA1338" s="1">
        <v>3</v>
      </c>
      <c r="AB1338" s="1">
        <v>1</v>
      </c>
      <c r="AG1338" s="1">
        <v>0</v>
      </c>
      <c r="AH1338" s="1">
        <v>1</v>
      </c>
      <c r="AI1338" s="1" t="s">
        <v>5169</v>
      </c>
      <c r="AJ1338" s="1" t="s">
        <v>216</v>
      </c>
      <c r="AK1338" s="1" t="s">
        <v>238</v>
      </c>
      <c r="AM1338" s="1">
        <v>1</v>
      </c>
      <c r="AV1338" s="1">
        <v>1</v>
      </c>
      <c r="AX1338" s="1">
        <v>0.25</v>
      </c>
      <c r="BE1338" s="1" t="s">
        <v>5167</v>
      </c>
      <c r="BK1338" s="1" t="s">
        <v>4994</v>
      </c>
      <c r="BN1338" s="1" t="s">
        <v>217</v>
      </c>
      <c r="BO1338" s="1" t="s">
        <v>218</v>
      </c>
      <c r="BP1338" s="1" t="s">
        <v>239</v>
      </c>
      <c r="BQ1338" s="1" t="s">
        <v>220</v>
      </c>
      <c r="BT1338" s="1">
        <v>1</v>
      </c>
    </row>
    <row r="1339" spans="1:72">
      <c r="A1339" s="1" t="s">
        <v>5170</v>
      </c>
      <c r="B1339" s="1" t="s">
        <v>213</v>
      </c>
      <c r="C1339" s="1">
        <v>1</v>
      </c>
      <c r="D1339" s="1" t="s">
        <v>5171</v>
      </c>
      <c r="E1339" s="1">
        <v>10097</v>
      </c>
      <c r="F1339" s="1" t="s">
        <v>5170</v>
      </c>
      <c r="G1339" s="1">
        <v>1</v>
      </c>
      <c r="K1339" s="1">
        <v>10000</v>
      </c>
      <c r="M1339" s="1">
        <v>400</v>
      </c>
      <c r="O1339" s="1">
        <v>450</v>
      </c>
      <c r="Q1339" s="1">
        <v>30</v>
      </c>
      <c r="Y1339" s="1">
        <v>0.05</v>
      </c>
      <c r="Z1339" s="1">
        <v>1</v>
      </c>
      <c r="AA1339" s="1">
        <v>4</v>
      </c>
      <c r="AB1339" s="1">
        <v>0.5</v>
      </c>
      <c r="AG1339" s="1">
        <v>0</v>
      </c>
      <c r="AH1339" s="1">
        <v>1</v>
      </c>
      <c r="AI1339" s="1" t="s">
        <v>5172</v>
      </c>
      <c r="AJ1339" s="1" t="s">
        <v>216</v>
      </c>
      <c r="AK1339" s="1" t="s">
        <v>238</v>
      </c>
      <c r="AM1339" s="1">
        <v>1</v>
      </c>
      <c r="AV1339" s="1">
        <v>1</v>
      </c>
      <c r="AX1339" s="1">
        <v>0.25</v>
      </c>
      <c r="BE1339" s="1" t="s">
        <v>5170</v>
      </c>
      <c r="BK1339" s="1" t="s">
        <v>4994</v>
      </c>
      <c r="BN1339" s="1" t="s">
        <v>217</v>
      </c>
      <c r="BO1339" s="1" t="s">
        <v>218</v>
      </c>
      <c r="BP1339" s="1" t="s">
        <v>239</v>
      </c>
      <c r="BQ1339" s="1" t="s">
        <v>220</v>
      </c>
      <c r="BT1339" s="1">
        <v>1</v>
      </c>
    </row>
    <row r="1340" spans="1:72">
      <c r="A1340" s="1" t="s">
        <v>5173</v>
      </c>
      <c r="B1340" s="1" t="s">
        <v>213</v>
      </c>
      <c r="C1340" s="1">
        <v>1</v>
      </c>
      <c r="D1340" s="1" t="s">
        <v>5174</v>
      </c>
      <c r="E1340" s="1">
        <v>10097</v>
      </c>
      <c r="F1340" s="1" t="s">
        <v>5173</v>
      </c>
      <c r="G1340" s="1">
        <v>1</v>
      </c>
      <c r="K1340" s="1">
        <v>13000</v>
      </c>
      <c r="M1340" s="1">
        <v>400</v>
      </c>
      <c r="O1340" s="1">
        <v>650</v>
      </c>
      <c r="Q1340" s="1">
        <v>40</v>
      </c>
      <c r="Y1340" s="1">
        <v>0.05</v>
      </c>
      <c r="Z1340" s="1">
        <v>1</v>
      </c>
      <c r="AA1340" s="1">
        <v>4</v>
      </c>
      <c r="AB1340" s="1">
        <v>0.5</v>
      </c>
      <c r="AG1340" s="1">
        <v>0</v>
      </c>
      <c r="AH1340" s="1">
        <v>1</v>
      </c>
      <c r="AI1340" s="1" t="s">
        <v>5175</v>
      </c>
      <c r="AJ1340" s="1" t="s">
        <v>216</v>
      </c>
      <c r="AK1340" s="1" t="s">
        <v>238</v>
      </c>
      <c r="AM1340" s="1">
        <v>1</v>
      </c>
      <c r="AV1340" s="1">
        <v>1</v>
      </c>
      <c r="AX1340" s="1">
        <v>0.25</v>
      </c>
      <c r="BE1340" s="1" t="s">
        <v>5173</v>
      </c>
      <c r="BK1340" s="1" t="s">
        <v>4994</v>
      </c>
      <c r="BN1340" s="1" t="s">
        <v>217</v>
      </c>
      <c r="BO1340" s="1" t="s">
        <v>218</v>
      </c>
      <c r="BP1340" s="1" t="s">
        <v>239</v>
      </c>
      <c r="BQ1340" s="1" t="s">
        <v>220</v>
      </c>
      <c r="BT1340" s="1">
        <v>1</v>
      </c>
    </row>
    <row r="1341" spans="1:72">
      <c r="A1341" s="1" t="s">
        <v>5176</v>
      </c>
      <c r="B1341" s="1" t="s">
        <v>213</v>
      </c>
      <c r="C1341" s="1">
        <v>1</v>
      </c>
      <c r="D1341" s="1" t="s">
        <v>5177</v>
      </c>
      <c r="E1341" s="1">
        <v>10098</v>
      </c>
      <c r="F1341" s="1" t="s">
        <v>5176</v>
      </c>
      <c r="G1341" s="1">
        <v>1</v>
      </c>
      <c r="K1341" s="1">
        <v>15000</v>
      </c>
      <c r="M1341" s="1">
        <v>720</v>
      </c>
      <c r="O1341" s="1">
        <v>600</v>
      </c>
      <c r="Q1341" s="1">
        <v>20</v>
      </c>
      <c r="Y1341" s="1">
        <v>0.05</v>
      </c>
      <c r="Z1341" s="1">
        <v>5</v>
      </c>
      <c r="AA1341" s="1">
        <v>3</v>
      </c>
      <c r="AB1341" s="1">
        <v>0.65</v>
      </c>
      <c r="AG1341" s="1">
        <v>0</v>
      </c>
      <c r="AH1341" s="1">
        <v>1</v>
      </c>
      <c r="AI1341" s="1" t="s">
        <v>5178</v>
      </c>
      <c r="AJ1341" s="1" t="s">
        <v>216</v>
      </c>
      <c r="AK1341" s="1" t="s">
        <v>238</v>
      </c>
      <c r="AM1341" s="1">
        <v>1</v>
      </c>
      <c r="AV1341" s="1">
        <v>1</v>
      </c>
      <c r="AX1341" s="1">
        <v>0.25</v>
      </c>
      <c r="BE1341" s="1" t="s">
        <v>5176</v>
      </c>
      <c r="BK1341" s="1" t="s">
        <v>4994</v>
      </c>
      <c r="BN1341" s="1" t="s">
        <v>217</v>
      </c>
      <c r="BO1341" s="1" t="s">
        <v>218</v>
      </c>
      <c r="BP1341" s="1" t="s">
        <v>239</v>
      </c>
      <c r="BQ1341" s="1" t="s">
        <v>220</v>
      </c>
      <c r="BT1341" s="1">
        <v>1</v>
      </c>
    </row>
    <row r="1342" spans="1:72">
      <c r="A1342" s="1" t="s">
        <v>5179</v>
      </c>
      <c r="B1342" s="1" t="s">
        <v>213</v>
      </c>
      <c r="C1342" s="1">
        <v>1</v>
      </c>
      <c r="D1342" s="1" t="s">
        <v>5180</v>
      </c>
      <c r="E1342" s="1">
        <v>10098</v>
      </c>
      <c r="F1342" s="1" t="s">
        <v>5179</v>
      </c>
      <c r="G1342" s="1">
        <v>1</v>
      </c>
      <c r="K1342" s="1">
        <v>18000</v>
      </c>
      <c r="M1342" s="1">
        <v>800</v>
      </c>
      <c r="O1342" s="1">
        <v>800</v>
      </c>
      <c r="Q1342" s="1">
        <v>20</v>
      </c>
      <c r="Y1342" s="1">
        <v>0.05</v>
      </c>
      <c r="Z1342" s="1">
        <v>5</v>
      </c>
      <c r="AA1342" s="1">
        <v>3</v>
      </c>
      <c r="AB1342" s="1">
        <v>0.65</v>
      </c>
      <c r="AG1342" s="1">
        <v>0</v>
      </c>
      <c r="AH1342" s="1">
        <v>1</v>
      </c>
      <c r="AI1342" s="1" t="s">
        <v>5181</v>
      </c>
      <c r="AJ1342" s="1" t="s">
        <v>216</v>
      </c>
      <c r="AK1342" s="1" t="s">
        <v>238</v>
      </c>
      <c r="AM1342" s="1">
        <v>1</v>
      </c>
      <c r="AV1342" s="1">
        <v>1</v>
      </c>
      <c r="AX1342" s="1">
        <v>0.25</v>
      </c>
      <c r="BE1342" s="1" t="s">
        <v>5179</v>
      </c>
      <c r="BK1342" s="1" t="s">
        <v>4994</v>
      </c>
      <c r="BN1342" s="1" t="s">
        <v>217</v>
      </c>
      <c r="BO1342" s="1" t="s">
        <v>218</v>
      </c>
      <c r="BP1342" s="1" t="s">
        <v>239</v>
      </c>
      <c r="BQ1342" s="1" t="s">
        <v>220</v>
      </c>
      <c r="BT1342" s="1">
        <v>1</v>
      </c>
    </row>
    <row r="1343" spans="1:72">
      <c r="A1343" s="1" t="s">
        <v>5182</v>
      </c>
      <c r="B1343" s="1" t="s">
        <v>213</v>
      </c>
      <c r="C1343" s="1">
        <v>1</v>
      </c>
      <c r="D1343" s="1" t="s">
        <v>5183</v>
      </c>
      <c r="E1343" s="1">
        <v>10099</v>
      </c>
      <c r="F1343" s="1" t="s">
        <v>5182</v>
      </c>
      <c r="G1343" s="1">
        <v>1</v>
      </c>
      <c r="K1343" s="1">
        <v>15000</v>
      </c>
      <c r="M1343" s="1">
        <v>480</v>
      </c>
      <c r="O1343" s="1">
        <v>450</v>
      </c>
      <c r="Q1343" s="1">
        <v>60</v>
      </c>
      <c r="Y1343" s="1">
        <v>0.05</v>
      </c>
      <c r="Z1343" s="1">
        <v>5</v>
      </c>
      <c r="AA1343" s="1">
        <v>3</v>
      </c>
      <c r="AB1343" s="1">
        <v>0.65</v>
      </c>
      <c r="AG1343" s="1">
        <v>0</v>
      </c>
      <c r="AH1343" s="1">
        <v>1</v>
      </c>
      <c r="AI1343" s="1" t="s">
        <v>5184</v>
      </c>
      <c r="AJ1343" s="1" t="s">
        <v>216</v>
      </c>
      <c r="AK1343" s="1" t="s">
        <v>238</v>
      </c>
      <c r="AM1343" s="1">
        <v>1</v>
      </c>
      <c r="AV1343" s="1">
        <v>1</v>
      </c>
      <c r="AX1343" s="1">
        <v>0.25</v>
      </c>
      <c r="BE1343" s="1" t="s">
        <v>5182</v>
      </c>
      <c r="BK1343" s="1" t="s">
        <v>4994</v>
      </c>
      <c r="BN1343" s="1" t="s">
        <v>217</v>
      </c>
      <c r="BO1343" s="1" t="s">
        <v>218</v>
      </c>
      <c r="BP1343" s="1" t="s">
        <v>239</v>
      </c>
      <c r="BQ1343" s="1" t="s">
        <v>220</v>
      </c>
      <c r="BT1343" s="1">
        <v>1</v>
      </c>
    </row>
    <row r="1344" spans="1:72">
      <c r="A1344" s="1" t="s">
        <v>5185</v>
      </c>
      <c r="B1344" s="1" t="s">
        <v>213</v>
      </c>
      <c r="C1344" s="1">
        <v>1</v>
      </c>
      <c r="D1344" s="1" t="s">
        <v>5186</v>
      </c>
      <c r="E1344" s="1">
        <v>10099</v>
      </c>
      <c r="F1344" s="1" t="s">
        <v>5185</v>
      </c>
      <c r="G1344" s="1">
        <v>1</v>
      </c>
      <c r="K1344" s="1">
        <v>17000</v>
      </c>
      <c r="M1344" s="1">
        <v>640</v>
      </c>
      <c r="O1344" s="1">
        <v>650</v>
      </c>
      <c r="Q1344" s="1">
        <v>60</v>
      </c>
      <c r="Y1344" s="1">
        <v>0.05</v>
      </c>
      <c r="Z1344" s="1">
        <v>5</v>
      </c>
      <c r="AA1344" s="1">
        <v>3</v>
      </c>
      <c r="AB1344" s="1">
        <v>0.65</v>
      </c>
      <c r="AG1344" s="1">
        <v>0</v>
      </c>
      <c r="AH1344" s="1">
        <v>1</v>
      </c>
      <c r="AI1344" s="1" t="s">
        <v>5187</v>
      </c>
      <c r="AJ1344" s="1" t="s">
        <v>216</v>
      </c>
      <c r="AK1344" s="1" t="s">
        <v>238</v>
      </c>
      <c r="AM1344" s="1">
        <v>1</v>
      </c>
      <c r="AV1344" s="1">
        <v>1</v>
      </c>
      <c r="AX1344" s="1">
        <v>0.25</v>
      </c>
      <c r="BE1344" s="1" t="s">
        <v>5185</v>
      </c>
      <c r="BK1344" s="1" t="s">
        <v>4994</v>
      </c>
      <c r="BN1344" s="1" t="s">
        <v>217</v>
      </c>
      <c r="BO1344" s="1" t="s">
        <v>218</v>
      </c>
      <c r="BP1344" s="1" t="s">
        <v>239</v>
      </c>
      <c r="BQ1344" s="1" t="s">
        <v>220</v>
      </c>
      <c r="BT1344" s="1">
        <v>1</v>
      </c>
    </row>
    <row r="1345" spans="1:72">
      <c r="A1345" s="1" t="s">
        <v>5188</v>
      </c>
      <c r="B1345" s="1" t="s">
        <v>213</v>
      </c>
      <c r="C1345" s="1">
        <v>1</v>
      </c>
      <c r="D1345" s="1" t="s">
        <v>5189</v>
      </c>
      <c r="E1345" s="1">
        <v>10100</v>
      </c>
      <c r="F1345" s="1" t="s">
        <v>5188</v>
      </c>
      <c r="G1345" s="1">
        <v>1</v>
      </c>
      <c r="K1345" s="1">
        <v>80000</v>
      </c>
      <c r="M1345" s="1">
        <v>1750</v>
      </c>
      <c r="O1345" s="1">
        <v>0</v>
      </c>
      <c r="Q1345" s="1">
        <v>0</v>
      </c>
      <c r="Y1345" s="1">
        <v>0.05</v>
      </c>
      <c r="Z1345" s="1">
        <v>5</v>
      </c>
      <c r="AA1345" s="1">
        <v>5</v>
      </c>
      <c r="AB1345" s="1">
        <v>0.8</v>
      </c>
      <c r="AG1345" s="1">
        <v>0</v>
      </c>
      <c r="AH1345" s="1">
        <v>1</v>
      </c>
      <c r="AI1345" s="1" t="s">
        <v>5190</v>
      </c>
      <c r="AJ1345" s="1" t="s">
        <v>216</v>
      </c>
      <c r="AK1345" s="1" t="s">
        <v>238</v>
      </c>
      <c r="AM1345" s="1">
        <v>1</v>
      </c>
      <c r="AV1345" s="1">
        <v>1</v>
      </c>
      <c r="AX1345" s="1">
        <v>0.25</v>
      </c>
      <c r="BE1345" s="1" t="s">
        <v>5188</v>
      </c>
      <c r="BK1345" s="1" t="s">
        <v>4994</v>
      </c>
      <c r="BN1345" s="1" t="s">
        <v>217</v>
      </c>
      <c r="BO1345" s="1" t="s">
        <v>218</v>
      </c>
      <c r="BP1345" s="1" t="s">
        <v>239</v>
      </c>
      <c r="BQ1345" s="1" t="s">
        <v>220</v>
      </c>
      <c r="BT1345" s="1">
        <v>1</v>
      </c>
    </row>
    <row r="1346" spans="1:72">
      <c r="A1346" s="1" t="s">
        <v>5191</v>
      </c>
      <c r="B1346" s="1" t="s">
        <v>213</v>
      </c>
      <c r="C1346" s="1">
        <v>1</v>
      </c>
      <c r="D1346" s="1" t="s">
        <v>5192</v>
      </c>
      <c r="E1346" s="1">
        <v>10100</v>
      </c>
      <c r="F1346" s="1" t="s">
        <v>5191</v>
      </c>
      <c r="G1346" s="1">
        <v>1</v>
      </c>
      <c r="K1346" s="1">
        <v>95000</v>
      </c>
      <c r="M1346" s="1">
        <v>2250</v>
      </c>
      <c r="O1346" s="1">
        <v>0</v>
      </c>
      <c r="Q1346" s="1">
        <v>0</v>
      </c>
      <c r="Y1346" s="1">
        <v>0.05</v>
      </c>
      <c r="Z1346" s="1">
        <v>5</v>
      </c>
      <c r="AA1346" s="1">
        <v>5</v>
      </c>
      <c r="AB1346" s="1">
        <v>0.8</v>
      </c>
      <c r="AG1346" s="1">
        <v>0</v>
      </c>
      <c r="AH1346" s="1">
        <v>1</v>
      </c>
      <c r="AI1346" s="1" t="s">
        <v>5193</v>
      </c>
      <c r="AJ1346" s="1" t="s">
        <v>216</v>
      </c>
      <c r="AK1346" s="1" t="s">
        <v>238</v>
      </c>
      <c r="AM1346" s="1">
        <v>1</v>
      </c>
      <c r="AV1346" s="1">
        <v>1</v>
      </c>
      <c r="AX1346" s="1">
        <v>0.25</v>
      </c>
      <c r="BE1346" s="1" t="s">
        <v>5191</v>
      </c>
      <c r="BK1346" s="1" t="s">
        <v>4994</v>
      </c>
      <c r="BN1346" s="1" t="s">
        <v>217</v>
      </c>
      <c r="BO1346" s="1" t="s">
        <v>218</v>
      </c>
      <c r="BP1346" s="1" t="s">
        <v>239</v>
      </c>
      <c r="BQ1346" s="1" t="s">
        <v>220</v>
      </c>
      <c r="BT1346" s="1">
        <v>1</v>
      </c>
    </row>
    <row r="1347" spans="1:72">
      <c r="A1347" s="1" t="s">
        <v>5194</v>
      </c>
      <c r="B1347" s="1" t="s">
        <v>213</v>
      </c>
      <c r="C1347" s="1">
        <v>1</v>
      </c>
      <c r="D1347" s="1" t="s">
        <v>5195</v>
      </c>
      <c r="E1347" s="1">
        <v>10101</v>
      </c>
      <c r="F1347" s="1" t="s">
        <v>5194</v>
      </c>
      <c r="G1347" s="1">
        <v>1</v>
      </c>
      <c r="K1347" s="1">
        <v>35000</v>
      </c>
      <c r="M1347" s="1">
        <v>1200</v>
      </c>
      <c r="O1347" s="1">
        <v>300</v>
      </c>
      <c r="Q1347" s="1">
        <v>40</v>
      </c>
      <c r="Y1347" s="1">
        <v>0.05</v>
      </c>
      <c r="Z1347" s="1">
        <v>5</v>
      </c>
      <c r="AA1347" s="1">
        <v>4</v>
      </c>
      <c r="AB1347" s="1">
        <v>0.6</v>
      </c>
      <c r="AG1347" s="1">
        <v>0</v>
      </c>
      <c r="AH1347" s="1">
        <v>1</v>
      </c>
      <c r="AI1347" s="1" t="s">
        <v>5196</v>
      </c>
      <c r="AJ1347" s="1" t="s">
        <v>216</v>
      </c>
      <c r="AK1347" s="1" t="s">
        <v>238</v>
      </c>
      <c r="AM1347" s="1">
        <v>1</v>
      </c>
      <c r="AV1347" s="1">
        <v>1</v>
      </c>
      <c r="AX1347" s="1">
        <v>0.25</v>
      </c>
      <c r="BE1347" s="1" t="s">
        <v>5194</v>
      </c>
      <c r="BK1347" s="1" t="s">
        <v>4994</v>
      </c>
      <c r="BN1347" s="1" t="s">
        <v>217</v>
      </c>
      <c r="BO1347" s="1" t="s">
        <v>218</v>
      </c>
      <c r="BP1347" s="1" t="s">
        <v>239</v>
      </c>
      <c r="BQ1347" s="1" t="s">
        <v>220</v>
      </c>
      <c r="BT1347" s="1">
        <v>1</v>
      </c>
    </row>
    <row r="1348" spans="1:72">
      <c r="A1348" s="1" t="s">
        <v>5197</v>
      </c>
      <c r="B1348" s="1" t="s">
        <v>213</v>
      </c>
      <c r="C1348" s="1">
        <v>1</v>
      </c>
      <c r="D1348" s="1" t="s">
        <v>5198</v>
      </c>
      <c r="E1348" s="1">
        <v>10101</v>
      </c>
      <c r="F1348" s="1" t="s">
        <v>5197</v>
      </c>
      <c r="G1348" s="1">
        <v>1</v>
      </c>
      <c r="K1348" s="1">
        <v>45000</v>
      </c>
      <c r="M1348" s="1">
        <v>1400</v>
      </c>
      <c r="O1348" s="1">
        <v>300</v>
      </c>
      <c r="Q1348" s="1">
        <v>40</v>
      </c>
      <c r="Y1348" s="1">
        <v>0.05</v>
      </c>
      <c r="Z1348" s="1">
        <v>5</v>
      </c>
      <c r="AA1348" s="1">
        <v>4</v>
      </c>
      <c r="AB1348" s="1">
        <v>0.6</v>
      </c>
      <c r="AG1348" s="1">
        <v>0</v>
      </c>
      <c r="AH1348" s="1">
        <v>1</v>
      </c>
      <c r="AI1348" s="1" t="s">
        <v>5199</v>
      </c>
      <c r="AJ1348" s="1" t="s">
        <v>216</v>
      </c>
      <c r="AK1348" s="1" t="s">
        <v>238</v>
      </c>
      <c r="AM1348" s="1">
        <v>1</v>
      </c>
      <c r="AV1348" s="1">
        <v>1</v>
      </c>
      <c r="AX1348" s="1">
        <v>0.25</v>
      </c>
      <c r="BE1348" s="1" t="s">
        <v>5197</v>
      </c>
      <c r="BK1348" s="1" t="s">
        <v>4994</v>
      </c>
      <c r="BN1348" s="1" t="s">
        <v>217</v>
      </c>
      <c r="BO1348" s="1" t="s">
        <v>218</v>
      </c>
      <c r="BP1348" s="1" t="s">
        <v>239</v>
      </c>
      <c r="BQ1348" s="1" t="s">
        <v>220</v>
      </c>
      <c r="BT1348" s="1">
        <v>1</v>
      </c>
    </row>
    <row r="1349" spans="1:72">
      <c r="A1349" s="1" t="s">
        <v>5200</v>
      </c>
      <c r="B1349" s="1" t="s">
        <v>213</v>
      </c>
      <c r="C1349" s="1">
        <v>1</v>
      </c>
      <c r="D1349" s="1" t="s">
        <v>5201</v>
      </c>
      <c r="E1349" s="1">
        <v>1568</v>
      </c>
      <c r="F1349" s="1" t="s">
        <v>5200</v>
      </c>
      <c r="G1349" s="1">
        <v>1</v>
      </c>
      <c r="K1349" s="1">
        <v>75000</v>
      </c>
      <c r="M1349" s="1">
        <v>700</v>
      </c>
      <c r="O1349" s="1">
        <v>500</v>
      </c>
      <c r="Q1349" s="1">
        <v>40</v>
      </c>
      <c r="Y1349" s="1">
        <v>0.05</v>
      </c>
      <c r="Z1349" s="1">
        <v>4</v>
      </c>
      <c r="AA1349" s="1">
        <v>5</v>
      </c>
      <c r="AB1349" s="1">
        <v>0.7</v>
      </c>
      <c r="AG1349" s="1">
        <v>0</v>
      </c>
      <c r="AH1349" s="1">
        <v>1</v>
      </c>
      <c r="AI1349" s="1" t="s">
        <v>5202</v>
      </c>
      <c r="AJ1349" s="1" t="s">
        <v>216</v>
      </c>
      <c r="AK1349" s="1" t="s">
        <v>238</v>
      </c>
      <c r="AM1349" s="1">
        <v>1</v>
      </c>
      <c r="AV1349" s="1">
        <v>1</v>
      </c>
      <c r="AX1349" s="1">
        <v>0.25</v>
      </c>
      <c r="BE1349" s="1" t="s">
        <v>5200</v>
      </c>
      <c r="BK1349" s="1" t="s">
        <v>4994</v>
      </c>
      <c r="BN1349" s="1" t="s">
        <v>3443</v>
      </c>
      <c r="BO1349" s="1" t="s">
        <v>2618</v>
      </c>
      <c r="BP1349" s="1" t="s">
        <v>2619</v>
      </c>
      <c r="BQ1349" s="1" t="s">
        <v>2620</v>
      </c>
      <c r="BT1349" s="1">
        <v>1</v>
      </c>
    </row>
    <row r="1350" spans="1:72">
      <c r="A1350" s="1" t="s">
        <v>5203</v>
      </c>
      <c r="B1350" s="1" t="s">
        <v>213</v>
      </c>
      <c r="C1350" s="1">
        <v>1</v>
      </c>
      <c r="D1350" s="1" t="s">
        <v>5204</v>
      </c>
      <c r="E1350" s="1">
        <v>10103</v>
      </c>
      <c r="F1350" s="1" t="s">
        <v>5203</v>
      </c>
      <c r="G1350" s="1">
        <v>1</v>
      </c>
      <c r="K1350" s="1">
        <v>3000</v>
      </c>
      <c r="M1350" s="1">
        <v>300</v>
      </c>
      <c r="O1350" s="1">
        <v>120</v>
      </c>
      <c r="Q1350" s="1">
        <v>5</v>
      </c>
      <c r="Y1350" s="1">
        <v>0.05</v>
      </c>
      <c r="Z1350" s="1">
        <v>1.5</v>
      </c>
      <c r="AA1350" s="1">
        <v>1</v>
      </c>
      <c r="AB1350" s="1">
        <v>0.3</v>
      </c>
      <c r="AG1350" s="1">
        <v>0</v>
      </c>
      <c r="AH1350" s="1">
        <v>1</v>
      </c>
      <c r="AI1350" s="1" t="s">
        <v>5205</v>
      </c>
      <c r="AJ1350" s="1" t="s">
        <v>216</v>
      </c>
      <c r="AK1350" s="1" t="s">
        <v>238</v>
      </c>
      <c r="AM1350" s="1">
        <v>1</v>
      </c>
      <c r="AV1350" s="1">
        <v>1</v>
      </c>
      <c r="AX1350" s="1">
        <v>0.25</v>
      </c>
      <c r="BE1350" s="1" t="s">
        <v>5203</v>
      </c>
      <c r="BK1350" s="1" t="s">
        <v>4994</v>
      </c>
      <c r="BN1350" s="1" t="s">
        <v>217</v>
      </c>
      <c r="BO1350" s="1" t="s">
        <v>3624</v>
      </c>
      <c r="BP1350" s="1" t="s">
        <v>3625</v>
      </c>
      <c r="BQ1350" s="1" t="s">
        <v>220</v>
      </c>
      <c r="BT1350" s="1">
        <v>1</v>
      </c>
    </row>
    <row r="1351" spans="1:72">
      <c r="A1351" s="1" t="s">
        <v>5206</v>
      </c>
      <c r="B1351" s="1" t="s">
        <v>213</v>
      </c>
      <c r="C1351" s="1">
        <v>1</v>
      </c>
      <c r="D1351" s="1" t="s">
        <v>5207</v>
      </c>
      <c r="E1351" s="1">
        <v>10103</v>
      </c>
      <c r="F1351" s="1" t="s">
        <v>5206</v>
      </c>
      <c r="G1351" s="1">
        <v>1</v>
      </c>
      <c r="K1351" s="1">
        <v>4200</v>
      </c>
      <c r="M1351" s="1">
        <v>390</v>
      </c>
      <c r="O1351" s="1">
        <v>120</v>
      </c>
      <c r="Q1351" s="1">
        <v>5</v>
      </c>
      <c r="Y1351" s="1">
        <v>0.05</v>
      </c>
      <c r="Z1351" s="1">
        <v>1.5</v>
      </c>
      <c r="AA1351" s="1">
        <v>1</v>
      </c>
      <c r="AB1351" s="1">
        <v>0.3</v>
      </c>
      <c r="AG1351" s="1">
        <v>0</v>
      </c>
      <c r="AH1351" s="1">
        <v>1</v>
      </c>
      <c r="AI1351" s="1" t="s">
        <v>5208</v>
      </c>
      <c r="AJ1351" s="1" t="s">
        <v>216</v>
      </c>
      <c r="AK1351" s="1" t="s">
        <v>238</v>
      </c>
      <c r="AM1351" s="1">
        <v>1</v>
      </c>
      <c r="AV1351" s="1">
        <v>1</v>
      </c>
      <c r="AX1351" s="1">
        <v>0.25</v>
      </c>
      <c r="BE1351" s="1" t="s">
        <v>5206</v>
      </c>
      <c r="BK1351" s="1" t="s">
        <v>4994</v>
      </c>
      <c r="BN1351" s="1" t="s">
        <v>217</v>
      </c>
      <c r="BO1351" s="1" t="s">
        <v>3624</v>
      </c>
      <c r="BP1351" s="1" t="s">
        <v>3625</v>
      </c>
      <c r="BQ1351" s="1" t="s">
        <v>220</v>
      </c>
      <c r="BT1351" s="1">
        <v>1</v>
      </c>
    </row>
    <row r="1352" spans="1:72">
      <c r="A1352" s="1" t="s">
        <v>5209</v>
      </c>
      <c r="B1352" s="1" t="s">
        <v>213</v>
      </c>
      <c r="C1352" s="1">
        <v>1</v>
      </c>
      <c r="D1352" s="1" t="s">
        <v>5210</v>
      </c>
      <c r="E1352" s="1">
        <v>10104</v>
      </c>
      <c r="F1352" s="1" t="s">
        <v>5209</v>
      </c>
      <c r="G1352" s="1">
        <v>1</v>
      </c>
      <c r="K1352" s="1">
        <v>4500</v>
      </c>
      <c r="M1352" s="1">
        <v>300</v>
      </c>
      <c r="O1352" s="1">
        <v>120</v>
      </c>
      <c r="Q1352" s="1">
        <v>30</v>
      </c>
      <c r="Y1352" s="1">
        <v>0.05</v>
      </c>
      <c r="Z1352" s="1">
        <v>3</v>
      </c>
      <c r="AA1352" s="1">
        <v>1</v>
      </c>
      <c r="AB1352" s="1">
        <v>0.6</v>
      </c>
      <c r="AG1352" s="1">
        <v>0</v>
      </c>
      <c r="AH1352" s="1">
        <v>1</v>
      </c>
      <c r="AI1352" s="1" t="s">
        <v>5211</v>
      </c>
      <c r="AJ1352" s="1" t="s">
        <v>216</v>
      </c>
      <c r="AK1352" s="1" t="s">
        <v>238</v>
      </c>
      <c r="AM1352" s="1">
        <v>1</v>
      </c>
      <c r="AV1352" s="1">
        <v>1</v>
      </c>
      <c r="AX1352" s="1">
        <v>0.25</v>
      </c>
      <c r="BE1352" s="1" t="s">
        <v>5209</v>
      </c>
      <c r="BK1352" s="1" t="s">
        <v>4994</v>
      </c>
      <c r="BN1352" s="1" t="s">
        <v>217</v>
      </c>
      <c r="BO1352" s="1" t="s">
        <v>281</v>
      </c>
      <c r="BP1352" s="1" t="s">
        <v>1635</v>
      </c>
      <c r="BQ1352" s="1" t="s">
        <v>3222</v>
      </c>
      <c r="BT1352" s="1">
        <v>1</v>
      </c>
    </row>
    <row r="1353" spans="1:72">
      <c r="A1353" s="1" t="s">
        <v>5212</v>
      </c>
      <c r="B1353" s="1" t="s">
        <v>213</v>
      </c>
      <c r="C1353" s="1">
        <v>1</v>
      </c>
      <c r="D1353" s="1" t="s">
        <v>5213</v>
      </c>
      <c r="E1353" s="1">
        <v>10104</v>
      </c>
      <c r="F1353" s="1" t="s">
        <v>5212</v>
      </c>
      <c r="G1353" s="1">
        <v>1</v>
      </c>
      <c r="K1353" s="1">
        <v>5800</v>
      </c>
      <c r="M1353" s="1">
        <v>350</v>
      </c>
      <c r="O1353" s="1">
        <v>120</v>
      </c>
      <c r="Q1353" s="1">
        <v>35</v>
      </c>
      <c r="Y1353" s="1">
        <v>0.05</v>
      </c>
      <c r="Z1353" s="1">
        <v>3</v>
      </c>
      <c r="AA1353" s="1">
        <v>1</v>
      </c>
      <c r="AB1353" s="1">
        <v>0.6</v>
      </c>
      <c r="AG1353" s="1">
        <v>0</v>
      </c>
      <c r="AH1353" s="1">
        <v>1</v>
      </c>
      <c r="AI1353" s="1" t="s">
        <v>5214</v>
      </c>
      <c r="AJ1353" s="1" t="s">
        <v>216</v>
      </c>
      <c r="AK1353" s="1" t="s">
        <v>238</v>
      </c>
      <c r="AM1353" s="1">
        <v>1</v>
      </c>
      <c r="AV1353" s="1">
        <v>1</v>
      </c>
      <c r="AX1353" s="1">
        <v>0.25</v>
      </c>
      <c r="BE1353" s="1" t="s">
        <v>5212</v>
      </c>
      <c r="BK1353" s="1" t="s">
        <v>4994</v>
      </c>
      <c r="BN1353" s="1" t="s">
        <v>217</v>
      </c>
      <c r="BO1353" s="1" t="s">
        <v>281</v>
      </c>
      <c r="BP1353" s="1" t="s">
        <v>1635</v>
      </c>
      <c r="BQ1353" s="1" t="s">
        <v>3222</v>
      </c>
      <c r="BT1353" s="1">
        <v>1</v>
      </c>
    </row>
    <row r="1354" spans="1:72">
      <c r="A1354" s="1" t="s">
        <v>5215</v>
      </c>
      <c r="B1354" s="1" t="s">
        <v>213</v>
      </c>
      <c r="C1354" s="1">
        <v>1</v>
      </c>
      <c r="D1354" s="1" t="s">
        <v>5216</v>
      </c>
      <c r="E1354" s="1">
        <v>10105</v>
      </c>
      <c r="F1354" s="1" t="s">
        <v>5215</v>
      </c>
      <c r="G1354" s="1">
        <v>1</v>
      </c>
      <c r="K1354" s="1">
        <v>4200</v>
      </c>
      <c r="M1354" s="1">
        <v>390</v>
      </c>
      <c r="O1354" s="1">
        <v>120</v>
      </c>
      <c r="Q1354" s="1">
        <v>5</v>
      </c>
      <c r="Y1354" s="1">
        <v>0.05</v>
      </c>
      <c r="Z1354" s="1">
        <v>1.5</v>
      </c>
      <c r="AA1354" s="1">
        <v>1</v>
      </c>
      <c r="AB1354" s="1">
        <v>0.3</v>
      </c>
      <c r="AG1354" s="1">
        <v>0</v>
      </c>
      <c r="AH1354" s="1">
        <v>1</v>
      </c>
      <c r="AI1354" s="1" t="s">
        <v>5217</v>
      </c>
      <c r="AJ1354" s="1" t="s">
        <v>216</v>
      </c>
      <c r="AK1354" s="1" t="s">
        <v>238</v>
      </c>
      <c r="AM1354" s="1">
        <v>1</v>
      </c>
      <c r="AV1354" s="1">
        <v>1</v>
      </c>
      <c r="AX1354" s="1">
        <v>0.25</v>
      </c>
      <c r="BE1354" s="1" t="s">
        <v>5215</v>
      </c>
      <c r="BK1354" s="1" t="s">
        <v>4994</v>
      </c>
      <c r="BN1354" s="1" t="s">
        <v>217</v>
      </c>
      <c r="BO1354" s="1" t="s">
        <v>2618</v>
      </c>
      <c r="BP1354" s="1" t="s">
        <v>2619</v>
      </c>
      <c r="BQ1354" s="1" t="s">
        <v>3157</v>
      </c>
      <c r="BT1354" s="1">
        <v>1</v>
      </c>
    </row>
    <row r="1355" spans="1:72">
      <c r="A1355" s="1" t="s">
        <v>5218</v>
      </c>
      <c r="B1355" s="1" t="s">
        <v>213</v>
      </c>
      <c r="C1355" s="1">
        <v>1</v>
      </c>
      <c r="D1355" s="1" t="s">
        <v>5219</v>
      </c>
      <c r="E1355" s="1">
        <v>10106</v>
      </c>
      <c r="F1355" s="1" t="s">
        <v>5218</v>
      </c>
      <c r="G1355" s="1">
        <v>1</v>
      </c>
      <c r="K1355" s="1">
        <v>3000</v>
      </c>
      <c r="M1355" s="1">
        <v>70</v>
      </c>
      <c r="O1355" s="1">
        <v>200</v>
      </c>
      <c r="Q1355" s="1">
        <v>35</v>
      </c>
      <c r="Y1355" s="1">
        <v>0.05</v>
      </c>
      <c r="Z1355" s="1">
        <v>0.4</v>
      </c>
      <c r="AA1355" s="1">
        <v>0</v>
      </c>
      <c r="AB1355" s="1">
        <v>0.3</v>
      </c>
      <c r="AG1355" s="1">
        <v>0</v>
      </c>
      <c r="AH1355" s="1">
        <v>1</v>
      </c>
      <c r="AI1355" s="1" t="s">
        <v>5220</v>
      </c>
      <c r="AJ1355" s="1" t="s">
        <v>216</v>
      </c>
      <c r="AK1355" s="1" t="s">
        <v>238</v>
      </c>
      <c r="AM1355" s="1">
        <v>1</v>
      </c>
      <c r="AN1355" s="1">
        <v>1</v>
      </c>
      <c r="AV1355" s="1">
        <v>1</v>
      </c>
      <c r="AX1355" s="1">
        <v>0.25</v>
      </c>
      <c r="BE1355" s="1" t="s">
        <v>5218</v>
      </c>
      <c r="BK1355" s="1" t="s">
        <v>4994</v>
      </c>
      <c r="BN1355" s="1" t="s">
        <v>217</v>
      </c>
      <c r="BO1355" s="1" t="s">
        <v>218</v>
      </c>
      <c r="BP1355" s="1" t="s">
        <v>239</v>
      </c>
      <c r="BQ1355" s="1" t="s">
        <v>220</v>
      </c>
      <c r="BT1355" s="1">
        <v>1</v>
      </c>
    </row>
    <row r="1356" spans="1:72">
      <c r="A1356" s="1" t="s">
        <v>5221</v>
      </c>
      <c r="B1356" s="1" t="s">
        <v>213</v>
      </c>
      <c r="C1356" s="1">
        <v>1</v>
      </c>
      <c r="D1356" s="1" t="s">
        <v>5222</v>
      </c>
      <c r="E1356" s="1">
        <v>10106</v>
      </c>
      <c r="F1356" s="1" t="s">
        <v>5221</v>
      </c>
      <c r="G1356" s="1">
        <v>1</v>
      </c>
      <c r="K1356" s="1">
        <v>3300</v>
      </c>
      <c r="M1356" s="1">
        <v>77</v>
      </c>
      <c r="O1356" s="1">
        <v>200</v>
      </c>
      <c r="Q1356" s="1">
        <v>35</v>
      </c>
      <c r="Y1356" s="1">
        <v>0.05</v>
      </c>
      <c r="Z1356" s="1">
        <v>0.4</v>
      </c>
      <c r="AA1356" s="1">
        <v>0</v>
      </c>
      <c r="AB1356" s="1">
        <v>0.3</v>
      </c>
      <c r="AG1356" s="1">
        <v>0</v>
      </c>
      <c r="AH1356" s="1">
        <v>1</v>
      </c>
      <c r="AI1356" s="1" t="s">
        <v>5223</v>
      </c>
      <c r="AJ1356" s="1" t="s">
        <v>216</v>
      </c>
      <c r="AK1356" s="1" t="s">
        <v>238</v>
      </c>
      <c r="AM1356" s="1">
        <v>1</v>
      </c>
      <c r="AN1356" s="1">
        <v>1</v>
      </c>
      <c r="AV1356" s="1">
        <v>1</v>
      </c>
      <c r="AX1356" s="1">
        <v>0.25</v>
      </c>
      <c r="BE1356" s="1" t="s">
        <v>5221</v>
      </c>
      <c r="BK1356" s="1" t="s">
        <v>4994</v>
      </c>
      <c r="BN1356" s="1" t="s">
        <v>217</v>
      </c>
      <c r="BO1356" s="1" t="s">
        <v>218</v>
      </c>
      <c r="BP1356" s="1" t="s">
        <v>239</v>
      </c>
      <c r="BQ1356" s="1" t="s">
        <v>220</v>
      </c>
      <c r="BT1356" s="1">
        <v>1</v>
      </c>
    </row>
    <row r="1357" spans="1:72">
      <c r="A1357" s="1" t="s">
        <v>5224</v>
      </c>
      <c r="B1357" s="1" t="s">
        <v>213</v>
      </c>
      <c r="C1357" s="1">
        <v>1</v>
      </c>
      <c r="D1357" s="1" t="s">
        <v>5225</v>
      </c>
      <c r="E1357" s="1">
        <v>10107</v>
      </c>
      <c r="F1357" s="1" t="s">
        <v>5224</v>
      </c>
      <c r="G1357" s="1">
        <v>1</v>
      </c>
      <c r="K1357" s="1">
        <v>16000</v>
      </c>
      <c r="M1357" s="1">
        <v>150</v>
      </c>
      <c r="O1357" s="1">
        <v>500</v>
      </c>
      <c r="Q1357" s="1">
        <v>30</v>
      </c>
      <c r="Y1357" s="1">
        <v>0.05</v>
      </c>
      <c r="Z1357" s="1">
        <v>3.3</v>
      </c>
      <c r="AA1357" s="1">
        <v>3</v>
      </c>
      <c r="AB1357" s="1">
        <v>2</v>
      </c>
      <c r="AG1357" s="1">
        <v>0</v>
      </c>
      <c r="AH1357" s="1">
        <v>1</v>
      </c>
      <c r="AI1357" s="1" t="s">
        <v>5226</v>
      </c>
      <c r="AJ1357" s="1" t="s">
        <v>216</v>
      </c>
      <c r="AK1357" s="1" t="s">
        <v>238</v>
      </c>
      <c r="AM1357" s="1">
        <v>1</v>
      </c>
      <c r="AV1357" s="1">
        <v>1</v>
      </c>
      <c r="AX1357" s="1">
        <v>0.25</v>
      </c>
      <c r="BE1357" s="1" t="s">
        <v>5224</v>
      </c>
      <c r="BK1357" s="1" t="s">
        <v>4994</v>
      </c>
      <c r="BN1357" s="1" t="s">
        <v>217</v>
      </c>
      <c r="BO1357" s="1" t="s">
        <v>2618</v>
      </c>
      <c r="BP1357" s="1" t="s">
        <v>2619</v>
      </c>
      <c r="BQ1357" s="1" t="s">
        <v>220</v>
      </c>
      <c r="BT1357" s="1">
        <v>1</v>
      </c>
    </row>
    <row r="1358" spans="1:72">
      <c r="A1358" s="1" t="s">
        <v>5227</v>
      </c>
      <c r="B1358" s="1" t="s">
        <v>213</v>
      </c>
      <c r="C1358" s="1">
        <v>1</v>
      </c>
      <c r="D1358" s="1" t="s">
        <v>5228</v>
      </c>
      <c r="E1358" s="1">
        <v>10107</v>
      </c>
      <c r="F1358" s="1" t="s">
        <v>5227</v>
      </c>
      <c r="G1358" s="1">
        <v>1</v>
      </c>
      <c r="K1358" s="1">
        <v>17600</v>
      </c>
      <c r="M1358" s="1">
        <v>165</v>
      </c>
      <c r="O1358" s="1">
        <v>500</v>
      </c>
      <c r="Q1358" s="1">
        <v>30</v>
      </c>
      <c r="Y1358" s="1">
        <v>0.05</v>
      </c>
      <c r="Z1358" s="1">
        <v>3.3</v>
      </c>
      <c r="AA1358" s="1">
        <v>3</v>
      </c>
      <c r="AB1358" s="1">
        <v>2</v>
      </c>
      <c r="AG1358" s="1">
        <v>0</v>
      </c>
      <c r="AH1358" s="1">
        <v>1</v>
      </c>
      <c r="AI1358" s="1" t="s">
        <v>5229</v>
      </c>
      <c r="AJ1358" s="1" t="s">
        <v>216</v>
      </c>
      <c r="AK1358" s="1" t="s">
        <v>238</v>
      </c>
      <c r="AM1358" s="1">
        <v>1</v>
      </c>
      <c r="AV1358" s="1">
        <v>1</v>
      </c>
      <c r="AX1358" s="1">
        <v>0.25</v>
      </c>
      <c r="BE1358" s="1" t="s">
        <v>5227</v>
      </c>
      <c r="BK1358" s="1" t="s">
        <v>4994</v>
      </c>
      <c r="BN1358" s="1" t="s">
        <v>217</v>
      </c>
      <c r="BO1358" s="1" t="s">
        <v>2618</v>
      </c>
      <c r="BP1358" s="1" t="s">
        <v>2619</v>
      </c>
      <c r="BQ1358" s="1" t="s">
        <v>220</v>
      </c>
      <c r="BT1358" s="1">
        <v>1</v>
      </c>
    </row>
    <row r="1359" spans="1:72">
      <c r="A1359" s="1" t="s">
        <v>5230</v>
      </c>
      <c r="B1359" s="1" t="s">
        <v>213</v>
      </c>
      <c r="C1359" s="1">
        <v>1</v>
      </c>
      <c r="D1359" s="1" t="s">
        <v>5231</v>
      </c>
      <c r="E1359" s="1">
        <v>10108</v>
      </c>
      <c r="F1359" s="1" t="s">
        <v>5230</v>
      </c>
      <c r="G1359" s="1">
        <v>1</v>
      </c>
      <c r="K1359" s="1">
        <v>25000</v>
      </c>
      <c r="M1359" s="1">
        <v>850</v>
      </c>
      <c r="O1359" s="1">
        <v>800</v>
      </c>
      <c r="Q1359" s="1">
        <v>20</v>
      </c>
      <c r="Y1359" s="1">
        <v>0.05</v>
      </c>
      <c r="Z1359" s="1">
        <v>5.5</v>
      </c>
      <c r="AA1359" s="1">
        <v>3</v>
      </c>
      <c r="AB1359" s="1">
        <v>0.8</v>
      </c>
      <c r="AG1359" s="1">
        <v>0</v>
      </c>
      <c r="AH1359" s="1">
        <v>1</v>
      </c>
      <c r="AI1359" s="1" t="s">
        <v>5232</v>
      </c>
      <c r="AJ1359" s="1" t="s">
        <v>216</v>
      </c>
      <c r="AK1359" s="1" t="s">
        <v>238</v>
      </c>
      <c r="AM1359" s="1">
        <v>1</v>
      </c>
      <c r="AV1359" s="1">
        <v>1</v>
      </c>
      <c r="AX1359" s="1">
        <v>0.25</v>
      </c>
      <c r="BE1359" s="1" t="s">
        <v>5230</v>
      </c>
      <c r="BK1359" s="1" t="s">
        <v>4994</v>
      </c>
      <c r="BN1359" s="1" t="s">
        <v>217</v>
      </c>
      <c r="BO1359" s="1" t="s">
        <v>218</v>
      </c>
      <c r="BP1359" s="1" t="s">
        <v>239</v>
      </c>
      <c r="BQ1359" s="1" t="s">
        <v>220</v>
      </c>
      <c r="BT1359" s="1">
        <v>1</v>
      </c>
    </row>
    <row r="1360" spans="1:72">
      <c r="A1360" s="1" t="s">
        <v>5233</v>
      </c>
      <c r="B1360" s="1" t="s">
        <v>213</v>
      </c>
      <c r="C1360" s="1">
        <v>1</v>
      </c>
      <c r="D1360" s="1" t="s">
        <v>5234</v>
      </c>
      <c r="E1360" s="1">
        <v>10108</v>
      </c>
      <c r="F1360" s="1" t="s">
        <v>5233</v>
      </c>
      <c r="G1360" s="1">
        <v>1</v>
      </c>
      <c r="K1360" s="1">
        <v>27500</v>
      </c>
      <c r="M1360" s="1">
        <v>900</v>
      </c>
      <c r="O1360" s="1">
        <v>800</v>
      </c>
      <c r="Q1360" s="1">
        <v>20</v>
      </c>
      <c r="Y1360" s="1">
        <v>0.05</v>
      </c>
      <c r="Z1360" s="1">
        <v>5.5</v>
      </c>
      <c r="AA1360" s="1">
        <v>3</v>
      </c>
      <c r="AB1360" s="1">
        <v>0.8</v>
      </c>
      <c r="AG1360" s="1">
        <v>0</v>
      </c>
      <c r="AH1360" s="1">
        <v>1</v>
      </c>
      <c r="AI1360" s="1" t="s">
        <v>5235</v>
      </c>
      <c r="AJ1360" s="1" t="s">
        <v>216</v>
      </c>
      <c r="AK1360" s="1" t="s">
        <v>238</v>
      </c>
      <c r="AM1360" s="1">
        <v>1</v>
      </c>
      <c r="AV1360" s="1">
        <v>1</v>
      </c>
      <c r="AX1360" s="1">
        <v>0.25</v>
      </c>
      <c r="BE1360" s="1" t="s">
        <v>5233</v>
      </c>
      <c r="BK1360" s="1" t="s">
        <v>4994</v>
      </c>
      <c r="BN1360" s="1" t="s">
        <v>217</v>
      </c>
      <c r="BO1360" s="1" t="s">
        <v>218</v>
      </c>
      <c r="BP1360" s="1" t="s">
        <v>239</v>
      </c>
      <c r="BQ1360" s="1" t="s">
        <v>220</v>
      </c>
      <c r="BT1360" s="1">
        <v>1</v>
      </c>
    </row>
    <row r="1361" spans="1:72">
      <c r="A1361" s="1" t="s">
        <v>5236</v>
      </c>
      <c r="B1361" s="1" t="s">
        <v>213</v>
      </c>
      <c r="C1361" s="1">
        <v>1</v>
      </c>
      <c r="D1361" s="1" t="s">
        <v>5237</v>
      </c>
      <c r="E1361" s="1">
        <v>10109</v>
      </c>
      <c r="F1361" s="1" t="s">
        <v>5236</v>
      </c>
      <c r="G1361" s="1">
        <v>1</v>
      </c>
      <c r="K1361" s="1">
        <v>15000</v>
      </c>
      <c r="M1361" s="1">
        <v>520</v>
      </c>
      <c r="O1361" s="1">
        <v>0</v>
      </c>
      <c r="Q1361" s="1">
        <v>50</v>
      </c>
      <c r="Y1361" s="1">
        <v>0.05</v>
      </c>
      <c r="Z1361" s="1">
        <v>2.4</v>
      </c>
      <c r="AA1361" s="1">
        <v>0</v>
      </c>
      <c r="AB1361" s="1">
        <v>0.6</v>
      </c>
      <c r="AG1361" s="1">
        <v>0</v>
      </c>
      <c r="AH1361" s="1">
        <v>1</v>
      </c>
      <c r="AI1361" s="1" t="s">
        <v>5238</v>
      </c>
      <c r="AJ1361" s="1" t="s">
        <v>216</v>
      </c>
      <c r="AK1361" s="1" t="s">
        <v>238</v>
      </c>
      <c r="AM1361" s="1">
        <v>1</v>
      </c>
      <c r="AV1361" s="1">
        <v>1</v>
      </c>
      <c r="AX1361" s="1">
        <v>0.25</v>
      </c>
      <c r="BE1361" s="1" t="s">
        <v>5236</v>
      </c>
      <c r="BK1361" s="1" t="s">
        <v>4994</v>
      </c>
      <c r="BN1361" s="1" t="s">
        <v>217</v>
      </c>
      <c r="BO1361" s="1" t="s">
        <v>218</v>
      </c>
      <c r="BP1361" s="1" t="s">
        <v>239</v>
      </c>
      <c r="BQ1361" s="1" t="s">
        <v>220</v>
      </c>
      <c r="BT1361" s="1">
        <v>1</v>
      </c>
    </row>
    <row r="1362" spans="1:72">
      <c r="A1362" s="1" t="s">
        <v>5239</v>
      </c>
      <c r="B1362" s="1" t="s">
        <v>213</v>
      </c>
      <c r="C1362" s="1">
        <v>1</v>
      </c>
      <c r="D1362" s="1" t="s">
        <v>5240</v>
      </c>
      <c r="E1362" s="1">
        <v>10109</v>
      </c>
      <c r="F1362" s="1" t="s">
        <v>5239</v>
      </c>
      <c r="G1362" s="1">
        <v>1</v>
      </c>
      <c r="K1362" s="1">
        <v>16500</v>
      </c>
      <c r="M1362" s="1">
        <v>550</v>
      </c>
      <c r="O1362" s="1">
        <v>0</v>
      </c>
      <c r="Q1362" s="1">
        <v>50</v>
      </c>
      <c r="Y1362" s="1">
        <v>0.05</v>
      </c>
      <c r="Z1362" s="1">
        <v>2.4</v>
      </c>
      <c r="AA1362" s="1">
        <v>0</v>
      </c>
      <c r="AB1362" s="1">
        <v>0.6</v>
      </c>
      <c r="AG1362" s="1">
        <v>0</v>
      </c>
      <c r="AH1362" s="1">
        <v>1</v>
      </c>
      <c r="AI1362" s="1" t="s">
        <v>5241</v>
      </c>
      <c r="AJ1362" s="1" t="s">
        <v>216</v>
      </c>
      <c r="AK1362" s="1" t="s">
        <v>238</v>
      </c>
      <c r="AM1362" s="1">
        <v>1</v>
      </c>
      <c r="AV1362" s="1">
        <v>1</v>
      </c>
      <c r="AX1362" s="1">
        <v>0.25</v>
      </c>
      <c r="BE1362" s="1" t="s">
        <v>5239</v>
      </c>
      <c r="BK1362" s="1" t="s">
        <v>4994</v>
      </c>
      <c r="BN1362" s="1" t="s">
        <v>217</v>
      </c>
      <c r="BO1362" s="1" t="s">
        <v>218</v>
      </c>
      <c r="BP1362" s="1" t="s">
        <v>239</v>
      </c>
      <c r="BQ1362" s="1" t="s">
        <v>220</v>
      </c>
      <c r="BT1362" s="1">
        <v>1</v>
      </c>
    </row>
    <row r="1363" spans="1:72">
      <c r="A1363" s="1" t="s">
        <v>5242</v>
      </c>
      <c r="B1363" s="1" t="s">
        <v>213</v>
      </c>
      <c r="C1363" s="1">
        <v>1</v>
      </c>
      <c r="D1363" s="1" t="s">
        <v>5243</v>
      </c>
      <c r="E1363" s="1">
        <v>10110</v>
      </c>
      <c r="F1363" s="1" t="s">
        <v>5242</v>
      </c>
      <c r="G1363" s="1">
        <v>1</v>
      </c>
      <c r="K1363" s="1">
        <v>30000</v>
      </c>
      <c r="M1363" s="1">
        <v>140</v>
      </c>
      <c r="O1363" s="1">
        <v>800</v>
      </c>
      <c r="Q1363" s="1">
        <v>40</v>
      </c>
      <c r="Y1363" s="1">
        <v>0.05</v>
      </c>
      <c r="Z1363" s="1">
        <v>2.2</v>
      </c>
      <c r="AA1363" s="1">
        <v>3</v>
      </c>
      <c r="AB1363" s="1">
        <v>1</v>
      </c>
      <c r="AG1363" s="1">
        <v>0</v>
      </c>
      <c r="AH1363" s="1">
        <v>1</v>
      </c>
      <c r="AI1363" s="1" t="s">
        <v>5244</v>
      </c>
      <c r="AJ1363" s="1" t="s">
        <v>216</v>
      </c>
      <c r="AK1363" s="1" t="s">
        <v>238</v>
      </c>
      <c r="AM1363" s="1">
        <v>1</v>
      </c>
      <c r="AN1363" s="1">
        <v>1</v>
      </c>
      <c r="AV1363" s="1">
        <v>1</v>
      </c>
      <c r="AX1363" s="1">
        <v>0.25</v>
      </c>
      <c r="BE1363" s="1" t="s">
        <v>5242</v>
      </c>
      <c r="BK1363" s="1" t="s">
        <v>4994</v>
      </c>
      <c r="BN1363" s="1" t="s">
        <v>217</v>
      </c>
      <c r="BO1363" s="1" t="s">
        <v>218</v>
      </c>
      <c r="BP1363" s="1" t="s">
        <v>239</v>
      </c>
      <c r="BQ1363" s="1" t="s">
        <v>220</v>
      </c>
      <c r="BT1363" s="1">
        <v>1</v>
      </c>
    </row>
    <row r="1364" spans="1:72">
      <c r="A1364" s="1" t="s">
        <v>5245</v>
      </c>
      <c r="B1364" s="1" t="s">
        <v>213</v>
      </c>
      <c r="C1364" s="1">
        <v>1</v>
      </c>
      <c r="D1364" s="1" t="s">
        <v>5246</v>
      </c>
      <c r="E1364" s="1">
        <v>10110</v>
      </c>
      <c r="F1364" s="1" t="s">
        <v>5245</v>
      </c>
      <c r="G1364" s="1">
        <v>1</v>
      </c>
      <c r="K1364" s="1">
        <v>33000</v>
      </c>
      <c r="M1364" s="1">
        <v>150</v>
      </c>
      <c r="O1364" s="1">
        <v>800</v>
      </c>
      <c r="Q1364" s="1">
        <v>40</v>
      </c>
      <c r="Y1364" s="1">
        <v>0.05</v>
      </c>
      <c r="Z1364" s="1">
        <v>2.2</v>
      </c>
      <c r="AA1364" s="1">
        <v>3</v>
      </c>
      <c r="AB1364" s="1">
        <v>1</v>
      </c>
      <c r="AG1364" s="1">
        <v>0</v>
      </c>
      <c r="AH1364" s="1">
        <v>1</v>
      </c>
      <c r="AI1364" s="1" t="s">
        <v>5247</v>
      </c>
      <c r="AJ1364" s="1" t="s">
        <v>216</v>
      </c>
      <c r="AK1364" s="1" t="s">
        <v>238</v>
      </c>
      <c r="AM1364" s="1">
        <v>1</v>
      </c>
      <c r="AN1364" s="1">
        <v>1</v>
      </c>
      <c r="AV1364" s="1">
        <v>1</v>
      </c>
      <c r="AX1364" s="1">
        <v>0.25</v>
      </c>
      <c r="BE1364" s="1" t="s">
        <v>5245</v>
      </c>
      <c r="BK1364" s="1" t="s">
        <v>4994</v>
      </c>
      <c r="BN1364" s="1" t="s">
        <v>217</v>
      </c>
      <c r="BO1364" s="1" t="s">
        <v>218</v>
      </c>
      <c r="BP1364" s="1" t="s">
        <v>239</v>
      </c>
      <c r="BQ1364" s="1" t="s">
        <v>220</v>
      </c>
      <c r="BT1364" s="1">
        <v>1</v>
      </c>
    </row>
    <row r="1365" spans="1:72">
      <c r="A1365" s="1" t="s">
        <v>5248</v>
      </c>
      <c r="B1365" s="1" t="s">
        <v>213</v>
      </c>
      <c r="C1365" s="1">
        <v>1</v>
      </c>
      <c r="D1365" s="1" t="s">
        <v>5249</v>
      </c>
      <c r="E1365" s="1">
        <v>1569</v>
      </c>
      <c r="F1365" s="1" t="s">
        <v>5248</v>
      </c>
      <c r="G1365" s="1">
        <v>1</v>
      </c>
      <c r="K1365" s="1">
        <v>60000</v>
      </c>
      <c r="M1365" s="1">
        <v>680</v>
      </c>
      <c r="O1365" s="1">
        <v>580</v>
      </c>
      <c r="Q1365" s="1">
        <v>35</v>
      </c>
      <c r="Y1365" s="1">
        <v>0.05</v>
      </c>
      <c r="Z1365" s="1">
        <v>2.8</v>
      </c>
      <c r="AA1365" s="1">
        <v>5</v>
      </c>
      <c r="AB1365" s="1">
        <v>0.7</v>
      </c>
      <c r="AG1365" s="1">
        <v>0</v>
      </c>
      <c r="AH1365" s="1">
        <v>1</v>
      </c>
      <c r="AI1365" s="1" t="s">
        <v>5250</v>
      </c>
      <c r="AJ1365" s="1" t="s">
        <v>216</v>
      </c>
      <c r="AK1365" s="1" t="s">
        <v>238</v>
      </c>
      <c r="AM1365" s="1">
        <v>1</v>
      </c>
      <c r="AV1365" s="1">
        <v>1</v>
      </c>
      <c r="AX1365" s="1">
        <v>0.25</v>
      </c>
      <c r="BE1365" s="1" t="s">
        <v>5248</v>
      </c>
      <c r="BK1365" s="1" t="s">
        <v>4994</v>
      </c>
      <c r="BN1365" s="1" t="s">
        <v>3443</v>
      </c>
      <c r="BO1365" s="1" t="s">
        <v>2618</v>
      </c>
      <c r="BP1365" s="1" t="s">
        <v>2619</v>
      </c>
      <c r="BQ1365" s="1" t="s">
        <v>220</v>
      </c>
      <c r="BT1365" s="1">
        <v>1</v>
      </c>
    </row>
    <row r="1366" spans="1:72">
      <c r="A1366" s="1" t="s">
        <v>5251</v>
      </c>
      <c r="B1366" s="1" t="s">
        <v>213</v>
      </c>
      <c r="C1366" s="1">
        <v>1</v>
      </c>
      <c r="D1366" s="1" t="s">
        <v>5252</v>
      </c>
      <c r="E1366" s="1">
        <v>10111</v>
      </c>
      <c r="F1366" s="1" t="s">
        <v>5251</v>
      </c>
      <c r="G1366" s="1">
        <v>1</v>
      </c>
      <c r="K1366" s="1">
        <v>1000</v>
      </c>
      <c r="M1366" s="1">
        <v>100</v>
      </c>
      <c r="O1366" s="1">
        <v>500</v>
      </c>
      <c r="Q1366" s="1">
        <v>0</v>
      </c>
      <c r="Y1366" s="1">
        <v>0.05</v>
      </c>
      <c r="AA1366" s="1">
        <v>5</v>
      </c>
      <c r="AB1366" s="1">
        <v>3.5</v>
      </c>
      <c r="AG1366" s="1">
        <v>0</v>
      </c>
      <c r="AH1366" s="1">
        <v>1</v>
      </c>
      <c r="AI1366" s="1" t="s">
        <v>5253</v>
      </c>
      <c r="AJ1366" s="1" t="s">
        <v>216</v>
      </c>
      <c r="AK1366" s="1" t="s">
        <v>238</v>
      </c>
      <c r="AM1366" s="1">
        <v>1</v>
      </c>
      <c r="AV1366" s="1">
        <v>1</v>
      </c>
      <c r="AX1366" s="1">
        <v>0.25</v>
      </c>
      <c r="BE1366" s="1" t="s">
        <v>5251</v>
      </c>
      <c r="BK1366" s="1" t="s">
        <v>4994</v>
      </c>
      <c r="BN1366" s="1" t="s">
        <v>217</v>
      </c>
      <c r="BO1366" s="1" t="s">
        <v>218</v>
      </c>
      <c r="BP1366" s="1" t="s">
        <v>239</v>
      </c>
      <c r="BQ1366" s="1" t="s">
        <v>220</v>
      </c>
      <c r="BT1366" s="1">
        <v>1</v>
      </c>
    </row>
    <row r="1367" spans="1:72">
      <c r="A1367" s="1" t="s">
        <v>5254</v>
      </c>
      <c r="B1367" s="1" t="s">
        <v>213</v>
      </c>
      <c r="C1367" s="1">
        <v>1</v>
      </c>
      <c r="D1367" s="1" t="s">
        <v>5255</v>
      </c>
      <c r="E1367" s="1">
        <v>10112</v>
      </c>
      <c r="F1367" s="1" t="s">
        <v>5254</v>
      </c>
      <c r="G1367" s="1">
        <v>1</v>
      </c>
      <c r="K1367" s="1">
        <v>5000</v>
      </c>
      <c r="M1367" s="1">
        <v>500</v>
      </c>
      <c r="O1367" s="1">
        <v>80</v>
      </c>
      <c r="Q1367" s="1">
        <v>0</v>
      </c>
      <c r="Y1367" s="1">
        <v>0.05</v>
      </c>
      <c r="Z1367" s="1">
        <v>5</v>
      </c>
      <c r="AA1367" s="1">
        <v>3</v>
      </c>
      <c r="AB1367" s="1">
        <v>0.7</v>
      </c>
      <c r="AG1367" s="1">
        <v>0</v>
      </c>
      <c r="AH1367" s="1">
        <v>1</v>
      </c>
      <c r="AI1367" s="1" t="s">
        <v>5256</v>
      </c>
      <c r="AJ1367" s="1" t="s">
        <v>216</v>
      </c>
      <c r="AK1367" s="1" t="s">
        <v>238</v>
      </c>
      <c r="AM1367" s="1">
        <v>1</v>
      </c>
      <c r="AV1367" s="1">
        <v>1</v>
      </c>
      <c r="AX1367" s="1">
        <v>0.25</v>
      </c>
      <c r="BE1367" s="1" t="s">
        <v>5254</v>
      </c>
      <c r="BK1367" s="1" t="s">
        <v>4994</v>
      </c>
      <c r="BN1367" s="1" t="s">
        <v>217</v>
      </c>
      <c r="BO1367" s="1" t="s">
        <v>218</v>
      </c>
      <c r="BP1367" s="1" t="s">
        <v>239</v>
      </c>
      <c r="BQ1367" s="1" t="s">
        <v>220</v>
      </c>
      <c r="BT1367" s="1">
        <v>1</v>
      </c>
    </row>
    <row r="1368" spans="1:72">
      <c r="A1368" s="1" t="s">
        <v>5257</v>
      </c>
      <c r="B1368" s="1" t="s">
        <v>213</v>
      </c>
      <c r="C1368" s="1">
        <v>1</v>
      </c>
      <c r="D1368" s="1" t="s">
        <v>5258</v>
      </c>
      <c r="E1368" s="1">
        <v>10112</v>
      </c>
      <c r="F1368" s="1" t="s">
        <v>5257</v>
      </c>
      <c r="G1368" s="1">
        <v>1</v>
      </c>
      <c r="K1368" s="1">
        <v>6000</v>
      </c>
      <c r="M1368" s="1">
        <v>550</v>
      </c>
      <c r="O1368" s="1">
        <v>150</v>
      </c>
      <c r="Q1368" s="1">
        <v>0</v>
      </c>
      <c r="Y1368" s="1">
        <v>0.05</v>
      </c>
      <c r="Z1368" s="1">
        <v>5</v>
      </c>
      <c r="AA1368" s="1">
        <v>3</v>
      </c>
      <c r="AB1368" s="1">
        <v>0.7</v>
      </c>
      <c r="AG1368" s="1">
        <v>0</v>
      </c>
      <c r="AH1368" s="1">
        <v>1</v>
      </c>
      <c r="AI1368" s="1" t="s">
        <v>5259</v>
      </c>
      <c r="AJ1368" s="1" t="s">
        <v>216</v>
      </c>
      <c r="AK1368" s="1" t="s">
        <v>238</v>
      </c>
      <c r="AM1368" s="1">
        <v>1</v>
      </c>
      <c r="AV1368" s="1">
        <v>1</v>
      </c>
      <c r="AX1368" s="1">
        <v>0.25</v>
      </c>
      <c r="BE1368" s="1" t="s">
        <v>5257</v>
      </c>
      <c r="BK1368" s="1" t="s">
        <v>4994</v>
      </c>
      <c r="BN1368" s="1" t="s">
        <v>217</v>
      </c>
      <c r="BO1368" s="1" t="s">
        <v>218</v>
      </c>
      <c r="BP1368" s="1" t="s">
        <v>239</v>
      </c>
      <c r="BQ1368" s="1" t="s">
        <v>220</v>
      </c>
      <c r="BT1368" s="1">
        <v>1</v>
      </c>
    </row>
    <row r="1369" spans="1:72">
      <c r="A1369" s="1" t="s">
        <v>5260</v>
      </c>
      <c r="B1369" s="1" t="s">
        <v>213</v>
      </c>
      <c r="C1369" s="1">
        <v>1</v>
      </c>
      <c r="D1369" s="1" t="s">
        <v>5261</v>
      </c>
      <c r="E1369" s="1">
        <v>10113</v>
      </c>
      <c r="F1369" s="1" t="s">
        <v>5260</v>
      </c>
      <c r="G1369" s="1">
        <v>1</v>
      </c>
      <c r="K1369" s="1">
        <v>5000</v>
      </c>
      <c r="M1369" s="1">
        <v>300</v>
      </c>
      <c r="O1369" s="1">
        <v>50</v>
      </c>
      <c r="Q1369" s="1">
        <v>10</v>
      </c>
      <c r="Y1369" s="1">
        <v>0.05</v>
      </c>
      <c r="Z1369" s="1">
        <v>3.5</v>
      </c>
      <c r="AA1369" s="1">
        <v>3</v>
      </c>
      <c r="AB1369" s="1">
        <v>1</v>
      </c>
      <c r="AG1369" s="1">
        <v>0</v>
      </c>
      <c r="AH1369" s="1">
        <v>1</v>
      </c>
      <c r="AI1369" s="1" t="s">
        <v>5262</v>
      </c>
      <c r="AJ1369" s="1" t="s">
        <v>216</v>
      </c>
      <c r="AK1369" s="1" t="s">
        <v>238</v>
      </c>
      <c r="AM1369" s="1">
        <v>1</v>
      </c>
      <c r="AV1369" s="1">
        <v>1</v>
      </c>
      <c r="AX1369" s="1">
        <v>0.25</v>
      </c>
      <c r="BE1369" s="1" t="s">
        <v>5260</v>
      </c>
      <c r="BK1369" s="1" t="s">
        <v>4994</v>
      </c>
      <c r="BN1369" s="1" t="s">
        <v>217</v>
      </c>
      <c r="BO1369" s="1" t="s">
        <v>218</v>
      </c>
      <c r="BP1369" s="1" t="s">
        <v>239</v>
      </c>
      <c r="BQ1369" s="1" t="s">
        <v>220</v>
      </c>
      <c r="BT1369" s="1">
        <v>1</v>
      </c>
    </row>
    <row r="1370" spans="1:72">
      <c r="A1370" s="1" t="s">
        <v>5263</v>
      </c>
      <c r="B1370" s="1" t="s">
        <v>213</v>
      </c>
      <c r="C1370" s="1">
        <v>1</v>
      </c>
      <c r="D1370" s="1" t="s">
        <v>5264</v>
      </c>
      <c r="E1370" s="1">
        <v>10113</v>
      </c>
      <c r="F1370" s="1" t="s">
        <v>5263</v>
      </c>
      <c r="G1370" s="1">
        <v>1</v>
      </c>
      <c r="K1370" s="1">
        <v>7000</v>
      </c>
      <c r="M1370" s="1">
        <v>350</v>
      </c>
      <c r="O1370" s="1">
        <v>100</v>
      </c>
      <c r="Q1370" s="1">
        <v>10</v>
      </c>
      <c r="Y1370" s="1">
        <v>0.05</v>
      </c>
      <c r="Z1370" s="1">
        <v>3.5</v>
      </c>
      <c r="AA1370" s="1">
        <v>3</v>
      </c>
      <c r="AB1370" s="1">
        <v>1</v>
      </c>
      <c r="AG1370" s="1">
        <v>0</v>
      </c>
      <c r="AH1370" s="1">
        <v>1</v>
      </c>
      <c r="AI1370" s="1" t="s">
        <v>5265</v>
      </c>
      <c r="AJ1370" s="1" t="s">
        <v>216</v>
      </c>
      <c r="AK1370" s="1" t="s">
        <v>238</v>
      </c>
      <c r="AM1370" s="1">
        <v>1</v>
      </c>
      <c r="AV1370" s="1">
        <v>1</v>
      </c>
      <c r="AX1370" s="1">
        <v>0.25</v>
      </c>
      <c r="BE1370" s="1" t="s">
        <v>5263</v>
      </c>
      <c r="BK1370" s="1" t="s">
        <v>4994</v>
      </c>
      <c r="BN1370" s="1" t="s">
        <v>217</v>
      </c>
      <c r="BO1370" s="1" t="s">
        <v>218</v>
      </c>
      <c r="BP1370" s="1" t="s">
        <v>239</v>
      </c>
      <c r="BQ1370" s="1" t="s">
        <v>220</v>
      </c>
      <c r="BT1370" s="1">
        <v>1</v>
      </c>
    </row>
    <row r="1371" spans="1:72">
      <c r="A1371" s="1" t="s">
        <v>5266</v>
      </c>
      <c r="B1371" s="1" t="s">
        <v>213</v>
      </c>
      <c r="C1371" s="1">
        <v>1</v>
      </c>
      <c r="D1371" s="1" t="s">
        <v>5267</v>
      </c>
      <c r="E1371" s="1">
        <v>10114</v>
      </c>
      <c r="F1371" s="1" t="s">
        <v>5266</v>
      </c>
      <c r="G1371" s="1">
        <v>1</v>
      </c>
      <c r="K1371" s="1">
        <v>10000</v>
      </c>
      <c r="M1371" s="1">
        <v>800</v>
      </c>
      <c r="O1371" s="1">
        <v>1200</v>
      </c>
      <c r="Q1371" s="1">
        <v>0</v>
      </c>
      <c r="Y1371" s="1">
        <v>0.05</v>
      </c>
      <c r="Z1371" s="1">
        <v>5</v>
      </c>
      <c r="AA1371" s="1">
        <v>4</v>
      </c>
      <c r="AB1371" s="1">
        <v>0.6</v>
      </c>
      <c r="AG1371" s="1">
        <v>0</v>
      </c>
      <c r="AH1371" s="1">
        <v>1</v>
      </c>
      <c r="AI1371" s="1" t="s">
        <v>5268</v>
      </c>
      <c r="AJ1371" s="1" t="s">
        <v>216</v>
      </c>
      <c r="AK1371" s="1" t="s">
        <v>238</v>
      </c>
      <c r="AM1371" s="1">
        <v>1</v>
      </c>
      <c r="AV1371" s="1">
        <v>1</v>
      </c>
      <c r="AX1371" s="1">
        <v>0.25</v>
      </c>
      <c r="BE1371" s="1" t="s">
        <v>5266</v>
      </c>
      <c r="BK1371" s="1" t="s">
        <v>4994</v>
      </c>
      <c r="BN1371" s="1" t="s">
        <v>217</v>
      </c>
      <c r="BO1371" s="1" t="s">
        <v>218</v>
      </c>
      <c r="BP1371" s="1" t="s">
        <v>239</v>
      </c>
      <c r="BQ1371" s="1" t="s">
        <v>220</v>
      </c>
      <c r="BT1371" s="1">
        <v>1</v>
      </c>
    </row>
    <row r="1372" spans="1:72">
      <c r="A1372" s="1" t="s">
        <v>5269</v>
      </c>
      <c r="B1372" s="1" t="s">
        <v>213</v>
      </c>
      <c r="C1372" s="1">
        <v>1</v>
      </c>
      <c r="D1372" s="1" t="s">
        <v>5270</v>
      </c>
      <c r="E1372" s="1">
        <v>10114</v>
      </c>
      <c r="F1372" s="1" t="s">
        <v>5269</v>
      </c>
      <c r="G1372" s="1">
        <v>1</v>
      </c>
      <c r="K1372" s="1">
        <v>20000</v>
      </c>
      <c r="M1372" s="1">
        <v>1200</v>
      </c>
      <c r="O1372" s="1">
        <v>1500</v>
      </c>
      <c r="Q1372" s="1">
        <v>0</v>
      </c>
      <c r="Y1372" s="1">
        <v>0.05</v>
      </c>
      <c r="Z1372" s="1">
        <v>5</v>
      </c>
      <c r="AA1372" s="1">
        <v>4</v>
      </c>
      <c r="AB1372" s="1">
        <v>0.6</v>
      </c>
      <c r="AG1372" s="1">
        <v>0</v>
      </c>
      <c r="AH1372" s="1">
        <v>1</v>
      </c>
      <c r="AI1372" s="1" t="s">
        <v>5271</v>
      </c>
      <c r="AJ1372" s="1" t="s">
        <v>216</v>
      </c>
      <c r="AK1372" s="1" t="s">
        <v>238</v>
      </c>
      <c r="AM1372" s="1">
        <v>1</v>
      </c>
      <c r="AV1372" s="1">
        <v>1</v>
      </c>
      <c r="AX1372" s="1">
        <v>0.25</v>
      </c>
      <c r="BE1372" s="1" t="s">
        <v>5269</v>
      </c>
      <c r="BK1372" s="1" t="s">
        <v>4994</v>
      </c>
      <c r="BN1372" s="1" t="s">
        <v>217</v>
      </c>
      <c r="BO1372" s="1" t="s">
        <v>218</v>
      </c>
      <c r="BP1372" s="1" t="s">
        <v>239</v>
      </c>
      <c r="BQ1372" s="1" t="s">
        <v>220</v>
      </c>
      <c r="BT1372" s="1">
        <v>1</v>
      </c>
    </row>
    <row r="1373" spans="1:72">
      <c r="A1373" s="1" t="s">
        <v>5272</v>
      </c>
      <c r="B1373" s="1" t="s">
        <v>213</v>
      </c>
      <c r="C1373" s="1">
        <v>1</v>
      </c>
      <c r="D1373" s="1" t="s">
        <v>5273</v>
      </c>
      <c r="E1373" s="1">
        <v>10115</v>
      </c>
      <c r="F1373" s="1" t="s">
        <v>5272</v>
      </c>
      <c r="G1373" s="1">
        <v>1</v>
      </c>
      <c r="K1373" s="1">
        <v>8000</v>
      </c>
      <c r="M1373" s="1">
        <v>350</v>
      </c>
      <c r="O1373" s="1">
        <v>200</v>
      </c>
      <c r="Q1373" s="1">
        <v>70</v>
      </c>
      <c r="Y1373" s="1">
        <v>0.05</v>
      </c>
      <c r="Z1373" s="1">
        <v>3.5</v>
      </c>
      <c r="AA1373" s="1">
        <v>3</v>
      </c>
      <c r="AB1373" s="1">
        <v>0.7</v>
      </c>
      <c r="AG1373" s="1">
        <v>0</v>
      </c>
      <c r="AH1373" s="1">
        <v>1</v>
      </c>
      <c r="AI1373" s="1" t="s">
        <v>5274</v>
      </c>
      <c r="AJ1373" s="1" t="s">
        <v>216</v>
      </c>
      <c r="AK1373" s="1" t="s">
        <v>238</v>
      </c>
      <c r="AM1373" s="1">
        <v>1</v>
      </c>
      <c r="AV1373" s="1">
        <v>1</v>
      </c>
      <c r="AX1373" s="1">
        <v>0.25</v>
      </c>
      <c r="BE1373" s="1" t="s">
        <v>5272</v>
      </c>
      <c r="BK1373" s="1" t="s">
        <v>4994</v>
      </c>
      <c r="BN1373" s="1" t="s">
        <v>217</v>
      </c>
      <c r="BO1373" s="1" t="s">
        <v>218</v>
      </c>
      <c r="BP1373" s="1" t="s">
        <v>239</v>
      </c>
      <c r="BQ1373" s="1" t="s">
        <v>220</v>
      </c>
      <c r="BT1373" s="1">
        <v>1</v>
      </c>
    </row>
    <row r="1374" spans="1:72">
      <c r="A1374" s="1" t="s">
        <v>5275</v>
      </c>
      <c r="B1374" s="1" t="s">
        <v>213</v>
      </c>
      <c r="C1374" s="1">
        <v>1</v>
      </c>
      <c r="D1374" s="1" t="s">
        <v>5276</v>
      </c>
      <c r="E1374" s="1">
        <v>10115</v>
      </c>
      <c r="F1374" s="1" t="s">
        <v>5275</v>
      </c>
      <c r="G1374" s="1">
        <v>1</v>
      </c>
      <c r="K1374" s="1">
        <v>10000</v>
      </c>
      <c r="M1374" s="1">
        <v>500</v>
      </c>
      <c r="O1374" s="1">
        <v>250</v>
      </c>
      <c r="Q1374" s="1">
        <v>70</v>
      </c>
      <c r="Y1374" s="1">
        <v>0.05</v>
      </c>
      <c r="Z1374" s="1">
        <v>3.5</v>
      </c>
      <c r="AA1374" s="1">
        <v>3</v>
      </c>
      <c r="AB1374" s="1">
        <v>0.7</v>
      </c>
      <c r="AG1374" s="1">
        <v>0</v>
      </c>
      <c r="AH1374" s="1">
        <v>1</v>
      </c>
      <c r="AI1374" s="1" t="s">
        <v>5277</v>
      </c>
      <c r="AJ1374" s="1" t="s">
        <v>216</v>
      </c>
      <c r="AK1374" s="1" t="s">
        <v>238</v>
      </c>
      <c r="AM1374" s="1">
        <v>1</v>
      </c>
      <c r="AV1374" s="1">
        <v>1</v>
      </c>
      <c r="AX1374" s="1">
        <v>0.25</v>
      </c>
      <c r="BE1374" s="1" t="s">
        <v>5275</v>
      </c>
      <c r="BK1374" s="1" t="s">
        <v>4994</v>
      </c>
      <c r="BN1374" s="1" t="s">
        <v>217</v>
      </c>
      <c r="BO1374" s="1" t="s">
        <v>218</v>
      </c>
      <c r="BP1374" s="1" t="s">
        <v>239</v>
      </c>
      <c r="BQ1374" s="1" t="s">
        <v>220</v>
      </c>
      <c r="BT1374" s="1">
        <v>1</v>
      </c>
    </row>
    <row r="1375" spans="1:72">
      <c r="A1375" s="1" t="s">
        <v>5278</v>
      </c>
      <c r="B1375" s="1" t="s">
        <v>213</v>
      </c>
      <c r="C1375" s="1">
        <v>1</v>
      </c>
      <c r="D1375" s="1" t="s">
        <v>5279</v>
      </c>
      <c r="E1375" s="1">
        <v>10116</v>
      </c>
      <c r="F1375" s="1" t="s">
        <v>5278</v>
      </c>
      <c r="G1375" s="1">
        <v>1</v>
      </c>
      <c r="K1375" s="1">
        <v>10000</v>
      </c>
      <c r="M1375" s="1">
        <v>600</v>
      </c>
      <c r="O1375" s="1">
        <v>500</v>
      </c>
      <c r="Q1375" s="1">
        <v>20</v>
      </c>
      <c r="Y1375" s="1">
        <v>0.05</v>
      </c>
      <c r="Z1375" s="1">
        <v>1.5</v>
      </c>
      <c r="AA1375" s="1">
        <v>2</v>
      </c>
      <c r="AB1375" s="1">
        <v>0.7</v>
      </c>
      <c r="AG1375" s="1">
        <v>0</v>
      </c>
      <c r="AH1375" s="1">
        <v>1</v>
      </c>
      <c r="AI1375" s="1" t="s">
        <v>5280</v>
      </c>
      <c r="AJ1375" s="1" t="s">
        <v>216</v>
      </c>
      <c r="AK1375" s="1" t="s">
        <v>238</v>
      </c>
      <c r="AM1375" s="1">
        <v>1</v>
      </c>
      <c r="AV1375" s="1">
        <v>1</v>
      </c>
      <c r="AX1375" s="1">
        <v>0.25</v>
      </c>
      <c r="BE1375" s="1" t="s">
        <v>5278</v>
      </c>
      <c r="BK1375" s="1" t="s">
        <v>4994</v>
      </c>
      <c r="BN1375" s="1" t="s">
        <v>217</v>
      </c>
      <c r="BO1375" s="1" t="s">
        <v>218</v>
      </c>
      <c r="BP1375" s="1" t="s">
        <v>239</v>
      </c>
      <c r="BQ1375" s="1" t="s">
        <v>220</v>
      </c>
      <c r="BT1375" s="1">
        <v>1</v>
      </c>
    </row>
    <row r="1376" spans="1:72">
      <c r="A1376" s="1" t="s">
        <v>5281</v>
      </c>
      <c r="B1376" s="1" t="s">
        <v>213</v>
      </c>
      <c r="C1376" s="1">
        <v>1</v>
      </c>
      <c r="D1376" s="1" t="s">
        <v>5282</v>
      </c>
      <c r="E1376" s="1">
        <v>10116</v>
      </c>
      <c r="F1376" s="1" t="s">
        <v>5281</v>
      </c>
      <c r="G1376" s="1">
        <v>1</v>
      </c>
      <c r="K1376" s="1">
        <v>12000</v>
      </c>
      <c r="M1376" s="1">
        <v>750</v>
      </c>
      <c r="O1376" s="1">
        <v>550</v>
      </c>
      <c r="Q1376" s="1">
        <v>20</v>
      </c>
      <c r="Y1376" s="1">
        <v>0.05</v>
      </c>
      <c r="Z1376" s="1">
        <v>1.5</v>
      </c>
      <c r="AA1376" s="1">
        <v>2</v>
      </c>
      <c r="AB1376" s="1">
        <v>0.7</v>
      </c>
      <c r="AG1376" s="1">
        <v>0</v>
      </c>
      <c r="AH1376" s="1">
        <v>1</v>
      </c>
      <c r="AI1376" s="1" t="s">
        <v>5283</v>
      </c>
      <c r="AJ1376" s="1" t="s">
        <v>216</v>
      </c>
      <c r="AK1376" s="1" t="s">
        <v>238</v>
      </c>
      <c r="AM1376" s="1">
        <v>1</v>
      </c>
      <c r="AV1376" s="1">
        <v>1</v>
      </c>
      <c r="AX1376" s="1">
        <v>0.25</v>
      </c>
      <c r="BE1376" s="1" t="s">
        <v>5281</v>
      </c>
      <c r="BK1376" s="1" t="s">
        <v>4994</v>
      </c>
      <c r="BN1376" s="1" t="s">
        <v>217</v>
      </c>
      <c r="BO1376" s="1" t="s">
        <v>218</v>
      </c>
      <c r="BP1376" s="1" t="s">
        <v>239</v>
      </c>
      <c r="BQ1376" s="1" t="s">
        <v>220</v>
      </c>
      <c r="BT1376" s="1">
        <v>1</v>
      </c>
    </row>
    <row r="1377" spans="1:72">
      <c r="A1377" s="1" t="s">
        <v>5284</v>
      </c>
      <c r="B1377" s="1" t="s">
        <v>213</v>
      </c>
      <c r="C1377" s="1">
        <v>1</v>
      </c>
      <c r="D1377" s="1" t="s">
        <v>5285</v>
      </c>
      <c r="E1377" s="1">
        <v>10117</v>
      </c>
      <c r="F1377" s="1" t="s">
        <v>5284</v>
      </c>
      <c r="G1377" s="1">
        <v>1</v>
      </c>
      <c r="K1377" s="1">
        <v>8000</v>
      </c>
      <c r="M1377" s="1">
        <v>500</v>
      </c>
      <c r="O1377" s="1">
        <v>250</v>
      </c>
      <c r="Q1377" s="1">
        <v>20</v>
      </c>
      <c r="Y1377" s="1">
        <v>0.05</v>
      </c>
      <c r="Z1377" s="1">
        <v>2</v>
      </c>
      <c r="AA1377" s="1">
        <v>3</v>
      </c>
      <c r="AB1377" s="1">
        <v>0.2</v>
      </c>
      <c r="AG1377" s="1">
        <v>0</v>
      </c>
      <c r="AH1377" s="1">
        <v>1</v>
      </c>
      <c r="AI1377" s="1" t="s">
        <v>5286</v>
      </c>
      <c r="AJ1377" s="1" t="s">
        <v>216</v>
      </c>
      <c r="AK1377" s="1" t="s">
        <v>238</v>
      </c>
      <c r="AM1377" s="1">
        <v>1</v>
      </c>
      <c r="AV1377" s="1">
        <v>1</v>
      </c>
      <c r="AX1377" s="1">
        <v>0.25</v>
      </c>
      <c r="BE1377" s="1" t="s">
        <v>5284</v>
      </c>
      <c r="BK1377" s="1" t="s">
        <v>4994</v>
      </c>
      <c r="BN1377" s="1" t="s">
        <v>217</v>
      </c>
      <c r="BO1377" s="1" t="s">
        <v>218</v>
      </c>
      <c r="BP1377" s="1" t="s">
        <v>239</v>
      </c>
      <c r="BQ1377" s="1" t="s">
        <v>220</v>
      </c>
      <c r="BT1377" s="1">
        <v>1</v>
      </c>
    </row>
    <row r="1378" spans="1:72">
      <c r="A1378" s="1" t="s">
        <v>5287</v>
      </c>
      <c r="B1378" s="1" t="s">
        <v>213</v>
      </c>
      <c r="C1378" s="1">
        <v>1</v>
      </c>
      <c r="D1378" s="1" t="s">
        <v>5288</v>
      </c>
      <c r="E1378" s="1">
        <v>10117</v>
      </c>
      <c r="F1378" s="1" t="s">
        <v>5287</v>
      </c>
      <c r="G1378" s="1">
        <v>1</v>
      </c>
      <c r="K1378" s="1">
        <v>12000</v>
      </c>
      <c r="M1378" s="1">
        <v>550</v>
      </c>
      <c r="O1378" s="1">
        <v>300</v>
      </c>
      <c r="Q1378" s="1">
        <v>25</v>
      </c>
      <c r="Y1378" s="1">
        <v>0.05</v>
      </c>
      <c r="Z1378" s="1">
        <v>2</v>
      </c>
      <c r="AA1378" s="1">
        <v>3</v>
      </c>
      <c r="AB1378" s="1">
        <v>0.2</v>
      </c>
      <c r="AG1378" s="1">
        <v>0</v>
      </c>
      <c r="AH1378" s="1">
        <v>1</v>
      </c>
      <c r="AI1378" s="1" t="s">
        <v>5289</v>
      </c>
      <c r="AJ1378" s="1" t="s">
        <v>216</v>
      </c>
      <c r="AK1378" s="1" t="s">
        <v>238</v>
      </c>
      <c r="AM1378" s="1">
        <v>1</v>
      </c>
      <c r="AV1378" s="1">
        <v>1</v>
      </c>
      <c r="AX1378" s="1">
        <v>0.25</v>
      </c>
      <c r="BE1378" s="1" t="s">
        <v>5287</v>
      </c>
      <c r="BK1378" s="1" t="s">
        <v>4994</v>
      </c>
      <c r="BN1378" s="1" t="s">
        <v>217</v>
      </c>
      <c r="BO1378" s="1" t="s">
        <v>218</v>
      </c>
      <c r="BP1378" s="1" t="s">
        <v>239</v>
      </c>
      <c r="BQ1378" s="1" t="s">
        <v>220</v>
      </c>
      <c r="BT1378" s="1">
        <v>1</v>
      </c>
    </row>
    <row r="1379" spans="1:72">
      <c r="A1379" s="1" t="s">
        <v>5290</v>
      </c>
      <c r="B1379" s="1" t="s">
        <v>213</v>
      </c>
      <c r="C1379" s="1">
        <v>1</v>
      </c>
      <c r="D1379" s="1" t="s">
        <v>5291</v>
      </c>
      <c r="E1379" s="1">
        <v>10118</v>
      </c>
      <c r="F1379" s="1" t="s">
        <v>5290</v>
      </c>
      <c r="G1379" s="1">
        <v>1</v>
      </c>
      <c r="K1379" s="1">
        <v>50000</v>
      </c>
      <c r="M1379" s="1">
        <v>777</v>
      </c>
      <c r="O1379" s="1">
        <v>900</v>
      </c>
      <c r="Q1379" s="1">
        <v>50</v>
      </c>
      <c r="Y1379" s="1">
        <v>0.05</v>
      </c>
      <c r="Z1379" s="1">
        <v>3</v>
      </c>
      <c r="AA1379" s="1">
        <v>5</v>
      </c>
      <c r="AB1379" s="1">
        <v>0.6</v>
      </c>
      <c r="AG1379" s="1">
        <v>0</v>
      </c>
      <c r="AH1379" s="1">
        <v>1</v>
      </c>
      <c r="AI1379" s="1" t="s">
        <v>5292</v>
      </c>
      <c r="AJ1379" s="1" t="s">
        <v>216</v>
      </c>
      <c r="AK1379" s="1" t="s">
        <v>238</v>
      </c>
      <c r="AM1379" s="1">
        <v>1</v>
      </c>
      <c r="AV1379" s="1">
        <v>1</v>
      </c>
      <c r="AX1379" s="1">
        <v>0.25</v>
      </c>
      <c r="BE1379" s="1" t="s">
        <v>5290</v>
      </c>
      <c r="BK1379" s="1" t="s">
        <v>4994</v>
      </c>
      <c r="BN1379" s="1" t="s">
        <v>217</v>
      </c>
      <c r="BO1379" s="1" t="s">
        <v>218</v>
      </c>
      <c r="BP1379" s="1" t="s">
        <v>239</v>
      </c>
      <c r="BQ1379" s="1" t="s">
        <v>220</v>
      </c>
      <c r="BT1379" s="1">
        <v>1</v>
      </c>
    </row>
    <row r="1380" spans="1:72">
      <c r="A1380" s="1" t="s">
        <v>5293</v>
      </c>
      <c r="B1380" s="1" t="s">
        <v>213</v>
      </c>
      <c r="C1380" s="1">
        <v>1</v>
      </c>
      <c r="D1380" s="1" t="s">
        <v>5294</v>
      </c>
      <c r="E1380" s="1">
        <v>10119</v>
      </c>
      <c r="F1380" s="1" t="s">
        <v>5293</v>
      </c>
      <c r="G1380" s="1">
        <v>1</v>
      </c>
      <c r="K1380" s="1">
        <v>35000</v>
      </c>
      <c r="M1380" s="1">
        <v>3000</v>
      </c>
      <c r="O1380" s="1">
        <v>1500</v>
      </c>
      <c r="Q1380" s="1">
        <v>0</v>
      </c>
      <c r="Y1380" s="1">
        <v>0.05</v>
      </c>
      <c r="Z1380" s="1">
        <v>7</v>
      </c>
      <c r="AA1380" s="1">
        <v>5</v>
      </c>
      <c r="AB1380" s="1">
        <v>0.5</v>
      </c>
      <c r="AG1380" s="1">
        <v>0</v>
      </c>
      <c r="AH1380" s="1">
        <v>1</v>
      </c>
      <c r="AI1380" s="1" t="s">
        <v>5295</v>
      </c>
      <c r="AJ1380" s="1" t="s">
        <v>216</v>
      </c>
      <c r="AK1380" s="1" t="s">
        <v>238</v>
      </c>
      <c r="AM1380" s="1">
        <v>1</v>
      </c>
      <c r="AV1380" s="1">
        <v>1</v>
      </c>
      <c r="AX1380" s="1">
        <v>0.25</v>
      </c>
      <c r="BE1380" s="1" t="s">
        <v>5293</v>
      </c>
      <c r="BK1380" s="1" t="s">
        <v>4994</v>
      </c>
      <c r="BN1380" s="1" t="s">
        <v>217</v>
      </c>
      <c r="BO1380" s="1" t="s">
        <v>218</v>
      </c>
      <c r="BP1380" s="1" t="s">
        <v>239</v>
      </c>
      <c r="BQ1380" s="1" t="s">
        <v>220</v>
      </c>
      <c r="BT1380" s="1">
        <v>1</v>
      </c>
    </row>
    <row r="1381" spans="1:72">
      <c r="A1381" s="1" t="s">
        <v>5296</v>
      </c>
      <c r="B1381" s="1" t="s">
        <v>213</v>
      </c>
      <c r="C1381" s="1">
        <v>1</v>
      </c>
      <c r="D1381" s="1" t="s">
        <v>5297</v>
      </c>
      <c r="E1381" s="1">
        <v>10119</v>
      </c>
      <c r="F1381" s="1" t="s">
        <v>5296</v>
      </c>
      <c r="G1381" s="1">
        <v>1</v>
      </c>
      <c r="K1381" s="1">
        <v>50000</v>
      </c>
      <c r="M1381" s="1">
        <v>3800</v>
      </c>
      <c r="O1381" s="1">
        <v>1500</v>
      </c>
      <c r="Q1381" s="1">
        <v>0</v>
      </c>
      <c r="Y1381" s="1">
        <v>0.05</v>
      </c>
      <c r="Z1381" s="1">
        <v>7</v>
      </c>
      <c r="AA1381" s="1">
        <v>5</v>
      </c>
      <c r="AB1381" s="1">
        <v>0.5</v>
      </c>
      <c r="AG1381" s="1">
        <v>0</v>
      </c>
      <c r="AH1381" s="1">
        <v>1</v>
      </c>
      <c r="AI1381" s="1" t="s">
        <v>5298</v>
      </c>
      <c r="AJ1381" s="1" t="s">
        <v>216</v>
      </c>
      <c r="AK1381" s="1" t="s">
        <v>238</v>
      </c>
      <c r="AM1381" s="1">
        <v>1</v>
      </c>
      <c r="AV1381" s="1">
        <v>1</v>
      </c>
      <c r="AX1381" s="1">
        <v>0.25</v>
      </c>
      <c r="BE1381" s="1" t="s">
        <v>5296</v>
      </c>
      <c r="BK1381" s="1" t="s">
        <v>4994</v>
      </c>
      <c r="BN1381" s="1" t="s">
        <v>217</v>
      </c>
      <c r="BO1381" s="1" t="s">
        <v>218</v>
      </c>
      <c r="BP1381" s="1" t="s">
        <v>239</v>
      </c>
      <c r="BQ1381" s="1" t="s">
        <v>220</v>
      </c>
      <c r="BT1381" s="1">
        <v>1</v>
      </c>
    </row>
    <row r="1382" spans="1:72">
      <c r="A1382" s="1" t="s">
        <v>5299</v>
      </c>
      <c r="B1382" s="1" t="s">
        <v>213</v>
      </c>
      <c r="C1382" s="1">
        <v>1</v>
      </c>
      <c r="D1382" s="1" t="s">
        <v>5300</v>
      </c>
      <c r="E1382" s="1">
        <v>1570</v>
      </c>
      <c r="F1382" s="1" t="s">
        <v>5299</v>
      </c>
      <c r="G1382" s="1">
        <v>1</v>
      </c>
      <c r="K1382" s="1">
        <v>60000</v>
      </c>
      <c r="M1382" s="1">
        <v>1000</v>
      </c>
      <c r="O1382" s="1">
        <v>800</v>
      </c>
      <c r="Q1382" s="1">
        <v>70</v>
      </c>
      <c r="Y1382" s="1">
        <v>0.05</v>
      </c>
      <c r="Z1382" s="1">
        <v>3.8</v>
      </c>
      <c r="AA1382" s="1">
        <v>10</v>
      </c>
      <c r="AB1382" s="1">
        <v>0.35</v>
      </c>
      <c r="AG1382" s="1">
        <v>0</v>
      </c>
      <c r="AH1382" s="1">
        <v>1</v>
      </c>
      <c r="AI1382" s="1" t="s">
        <v>5301</v>
      </c>
      <c r="AJ1382" s="1" t="s">
        <v>216</v>
      </c>
      <c r="AK1382" s="1" t="s">
        <v>238</v>
      </c>
      <c r="AM1382" s="1">
        <v>1</v>
      </c>
      <c r="AV1382" s="1">
        <v>1</v>
      </c>
      <c r="AX1382" s="1">
        <v>0.25</v>
      </c>
      <c r="BE1382" s="1" t="s">
        <v>5299</v>
      </c>
      <c r="BK1382" s="1" t="s">
        <v>4994</v>
      </c>
      <c r="BN1382" s="1" t="s">
        <v>3443</v>
      </c>
      <c r="BO1382" s="1" t="s">
        <v>2618</v>
      </c>
      <c r="BP1382" s="1" t="s">
        <v>2619</v>
      </c>
      <c r="BQ1382" s="1" t="s">
        <v>220</v>
      </c>
      <c r="BT1382" s="1">
        <v>1</v>
      </c>
    </row>
    <row r="1383" spans="1:72">
      <c r="A1383" s="1" t="s">
        <v>5302</v>
      </c>
      <c r="B1383" s="1" t="s">
        <v>213</v>
      </c>
      <c r="C1383" s="1">
        <v>1</v>
      </c>
      <c r="D1383" s="1" t="s">
        <v>5303</v>
      </c>
      <c r="E1383" s="1">
        <v>10120</v>
      </c>
      <c r="F1383" s="1" t="s">
        <v>5302</v>
      </c>
      <c r="G1383" s="1">
        <v>1</v>
      </c>
      <c r="K1383" s="1">
        <v>5000</v>
      </c>
      <c r="M1383" s="1">
        <v>400</v>
      </c>
      <c r="O1383" s="1">
        <v>200</v>
      </c>
      <c r="Q1383" s="1">
        <v>0</v>
      </c>
      <c r="Y1383" s="1">
        <v>0.05</v>
      </c>
      <c r="Z1383" s="1">
        <v>2</v>
      </c>
      <c r="AA1383" s="1">
        <v>1</v>
      </c>
      <c r="AB1383" s="1">
        <v>1</v>
      </c>
      <c r="AG1383" s="1">
        <v>0</v>
      </c>
      <c r="AH1383" s="1">
        <v>1</v>
      </c>
      <c r="AI1383" s="1" t="s">
        <v>5304</v>
      </c>
      <c r="AJ1383" s="1" t="s">
        <v>216</v>
      </c>
      <c r="AK1383" s="1" t="s">
        <v>238</v>
      </c>
      <c r="AM1383" s="1">
        <v>1</v>
      </c>
      <c r="AV1383" s="1">
        <v>1</v>
      </c>
      <c r="AX1383" s="1">
        <v>0.25</v>
      </c>
      <c r="BE1383" s="1" t="s">
        <v>5302</v>
      </c>
      <c r="BK1383" s="1" t="s">
        <v>4994</v>
      </c>
      <c r="BN1383" s="1" t="s">
        <v>217</v>
      </c>
      <c r="BO1383" s="1" t="s">
        <v>218</v>
      </c>
      <c r="BP1383" s="1" t="s">
        <v>239</v>
      </c>
      <c r="BQ1383" s="1" t="s">
        <v>220</v>
      </c>
      <c r="BT1383" s="1">
        <v>1</v>
      </c>
    </row>
    <row r="1384" spans="1:72">
      <c r="A1384" s="1" t="s">
        <v>5305</v>
      </c>
      <c r="B1384" s="1" t="s">
        <v>213</v>
      </c>
      <c r="C1384" s="1">
        <v>1</v>
      </c>
      <c r="D1384" s="1" t="s">
        <v>5306</v>
      </c>
      <c r="E1384" s="1">
        <v>10120</v>
      </c>
      <c r="F1384" s="1" t="s">
        <v>5305</v>
      </c>
      <c r="G1384" s="1">
        <v>1</v>
      </c>
      <c r="K1384" s="1">
        <v>7000</v>
      </c>
      <c r="M1384" s="1">
        <v>400</v>
      </c>
      <c r="O1384" s="1">
        <v>250</v>
      </c>
      <c r="Q1384" s="1">
        <v>0</v>
      </c>
      <c r="Y1384" s="1">
        <v>0.05</v>
      </c>
      <c r="Z1384" s="1">
        <v>2</v>
      </c>
      <c r="AA1384" s="1">
        <v>1</v>
      </c>
      <c r="AB1384" s="1">
        <v>1</v>
      </c>
      <c r="AG1384" s="1">
        <v>0</v>
      </c>
      <c r="AH1384" s="1">
        <v>1</v>
      </c>
      <c r="AI1384" s="1" t="s">
        <v>5307</v>
      </c>
      <c r="AJ1384" s="1" t="s">
        <v>216</v>
      </c>
      <c r="AK1384" s="1" t="s">
        <v>238</v>
      </c>
      <c r="AM1384" s="1">
        <v>1</v>
      </c>
      <c r="AV1384" s="1">
        <v>1</v>
      </c>
      <c r="AX1384" s="1">
        <v>0.25</v>
      </c>
      <c r="BE1384" s="1" t="s">
        <v>5305</v>
      </c>
      <c r="BK1384" s="1" t="s">
        <v>4994</v>
      </c>
      <c r="BN1384" s="1" t="s">
        <v>217</v>
      </c>
      <c r="BO1384" s="1" t="s">
        <v>218</v>
      </c>
      <c r="BP1384" s="1" t="s">
        <v>239</v>
      </c>
      <c r="BQ1384" s="1" t="s">
        <v>220</v>
      </c>
      <c r="BT1384" s="1">
        <v>1</v>
      </c>
    </row>
    <row r="1385" spans="1:72">
      <c r="A1385" s="1" t="s">
        <v>5308</v>
      </c>
      <c r="B1385" s="1" t="s">
        <v>213</v>
      </c>
      <c r="C1385" s="1">
        <v>1</v>
      </c>
      <c r="D1385" s="1" t="s">
        <v>5309</v>
      </c>
      <c r="E1385" s="1">
        <v>10121</v>
      </c>
      <c r="F1385" s="1" t="s">
        <v>5308</v>
      </c>
      <c r="G1385" s="1">
        <v>1</v>
      </c>
      <c r="K1385" s="1">
        <v>7000</v>
      </c>
      <c r="M1385" s="1">
        <v>380</v>
      </c>
      <c r="O1385" s="1">
        <v>200</v>
      </c>
      <c r="Q1385" s="1">
        <v>0</v>
      </c>
      <c r="Y1385" s="1">
        <v>0.05</v>
      </c>
      <c r="Z1385" s="1">
        <v>5</v>
      </c>
      <c r="AA1385" s="1">
        <v>1</v>
      </c>
      <c r="AB1385" s="1">
        <v>0.75</v>
      </c>
      <c r="AG1385" s="1">
        <v>0</v>
      </c>
      <c r="AH1385" s="1">
        <v>1</v>
      </c>
      <c r="AI1385" s="1" t="s">
        <v>5310</v>
      </c>
      <c r="AJ1385" s="1" t="s">
        <v>216</v>
      </c>
      <c r="AK1385" s="1" t="s">
        <v>238</v>
      </c>
      <c r="AM1385" s="1">
        <v>1</v>
      </c>
      <c r="AV1385" s="1">
        <v>1</v>
      </c>
      <c r="AX1385" s="1">
        <v>0.25</v>
      </c>
      <c r="BE1385" s="1" t="s">
        <v>5308</v>
      </c>
      <c r="BK1385" s="1" t="s">
        <v>4994</v>
      </c>
      <c r="BN1385" s="1" t="s">
        <v>217</v>
      </c>
      <c r="BO1385" s="1" t="s">
        <v>218</v>
      </c>
      <c r="BP1385" s="1" t="s">
        <v>239</v>
      </c>
      <c r="BQ1385" s="1" t="s">
        <v>220</v>
      </c>
      <c r="BT1385" s="1">
        <v>1</v>
      </c>
    </row>
    <row r="1386" spans="1:72">
      <c r="A1386" s="1" t="s">
        <v>5311</v>
      </c>
      <c r="B1386" s="1" t="s">
        <v>213</v>
      </c>
      <c r="C1386" s="1">
        <v>1</v>
      </c>
      <c r="D1386" s="1" t="s">
        <v>5312</v>
      </c>
      <c r="E1386" s="1">
        <v>10121</v>
      </c>
      <c r="F1386" s="1" t="s">
        <v>5311</v>
      </c>
      <c r="G1386" s="1">
        <v>1</v>
      </c>
      <c r="K1386" s="1">
        <v>8500</v>
      </c>
      <c r="M1386" s="1">
        <v>500</v>
      </c>
      <c r="O1386" s="1">
        <v>200</v>
      </c>
      <c r="Q1386" s="1">
        <v>0</v>
      </c>
      <c r="Y1386" s="1">
        <v>0.05</v>
      </c>
      <c r="Z1386" s="1">
        <v>5</v>
      </c>
      <c r="AA1386" s="1">
        <v>1</v>
      </c>
      <c r="AB1386" s="1">
        <v>0.75</v>
      </c>
      <c r="AG1386" s="1">
        <v>0</v>
      </c>
      <c r="AH1386" s="1">
        <v>1</v>
      </c>
      <c r="AI1386" s="1" t="s">
        <v>5313</v>
      </c>
      <c r="AJ1386" s="1" t="s">
        <v>216</v>
      </c>
      <c r="AK1386" s="1" t="s">
        <v>238</v>
      </c>
      <c r="AM1386" s="1">
        <v>1</v>
      </c>
      <c r="AV1386" s="1">
        <v>1</v>
      </c>
      <c r="AX1386" s="1">
        <v>0.25</v>
      </c>
      <c r="BE1386" s="1" t="s">
        <v>5311</v>
      </c>
      <c r="BK1386" s="1" t="s">
        <v>4994</v>
      </c>
      <c r="BN1386" s="1" t="s">
        <v>217</v>
      </c>
      <c r="BO1386" s="1" t="s">
        <v>218</v>
      </c>
      <c r="BP1386" s="1" t="s">
        <v>239</v>
      </c>
      <c r="BQ1386" s="1" t="s">
        <v>220</v>
      </c>
      <c r="BT1386" s="1">
        <v>1</v>
      </c>
    </row>
    <row r="1387" spans="1:72">
      <c r="A1387" s="1" t="s">
        <v>5314</v>
      </c>
      <c r="B1387" s="1" t="s">
        <v>213</v>
      </c>
      <c r="C1387" s="1">
        <v>1</v>
      </c>
      <c r="D1387" s="1" t="s">
        <v>5315</v>
      </c>
      <c r="E1387" s="1">
        <v>10122</v>
      </c>
      <c r="F1387" s="1" t="s">
        <v>5314</v>
      </c>
      <c r="G1387" s="1">
        <v>1</v>
      </c>
      <c r="K1387" s="1">
        <v>8000</v>
      </c>
      <c r="M1387" s="1">
        <v>350</v>
      </c>
      <c r="O1387" s="1">
        <v>350</v>
      </c>
      <c r="Q1387" s="1">
        <v>0</v>
      </c>
      <c r="Y1387" s="1">
        <v>0.05</v>
      </c>
      <c r="Z1387" s="1">
        <v>5</v>
      </c>
      <c r="AA1387" s="1">
        <v>2</v>
      </c>
      <c r="AB1387" s="1">
        <v>0.8</v>
      </c>
      <c r="AG1387" s="1">
        <v>0</v>
      </c>
      <c r="AH1387" s="1">
        <v>1</v>
      </c>
      <c r="AI1387" s="1" t="s">
        <v>5316</v>
      </c>
      <c r="AJ1387" s="1" t="s">
        <v>216</v>
      </c>
      <c r="AK1387" s="1" t="s">
        <v>238</v>
      </c>
      <c r="AM1387" s="1">
        <v>1</v>
      </c>
      <c r="AV1387" s="1">
        <v>1</v>
      </c>
      <c r="AX1387" s="1">
        <v>0.25</v>
      </c>
      <c r="BE1387" s="1" t="s">
        <v>5314</v>
      </c>
      <c r="BK1387" s="1" t="s">
        <v>4994</v>
      </c>
      <c r="BN1387" s="1" t="s">
        <v>217</v>
      </c>
      <c r="BO1387" s="1" t="s">
        <v>218</v>
      </c>
      <c r="BP1387" s="1" t="s">
        <v>239</v>
      </c>
      <c r="BQ1387" s="1" t="s">
        <v>220</v>
      </c>
      <c r="BT1387" s="1">
        <v>1</v>
      </c>
    </row>
    <row r="1388" spans="1:72">
      <c r="A1388" s="1" t="s">
        <v>5317</v>
      </c>
      <c r="B1388" s="1" t="s">
        <v>213</v>
      </c>
      <c r="C1388" s="1">
        <v>1</v>
      </c>
      <c r="D1388" s="1" t="s">
        <v>5318</v>
      </c>
      <c r="E1388" s="1">
        <v>10122</v>
      </c>
      <c r="F1388" s="1" t="s">
        <v>5317</v>
      </c>
      <c r="G1388" s="1">
        <v>1</v>
      </c>
      <c r="K1388" s="1">
        <v>10000</v>
      </c>
      <c r="M1388" s="1">
        <v>500</v>
      </c>
      <c r="O1388" s="1">
        <v>350</v>
      </c>
      <c r="Q1388" s="1">
        <v>0</v>
      </c>
      <c r="Y1388" s="1">
        <v>0.05</v>
      </c>
      <c r="Z1388" s="1">
        <v>5</v>
      </c>
      <c r="AA1388" s="1">
        <v>2</v>
      </c>
      <c r="AB1388" s="1">
        <v>0.8</v>
      </c>
      <c r="AG1388" s="1">
        <v>0</v>
      </c>
      <c r="AH1388" s="1">
        <v>1</v>
      </c>
      <c r="AI1388" s="1" t="s">
        <v>5319</v>
      </c>
      <c r="AJ1388" s="1" t="s">
        <v>216</v>
      </c>
      <c r="AK1388" s="1" t="s">
        <v>238</v>
      </c>
      <c r="AM1388" s="1">
        <v>1</v>
      </c>
      <c r="AV1388" s="1">
        <v>1</v>
      </c>
      <c r="AX1388" s="1">
        <v>0.25</v>
      </c>
      <c r="BE1388" s="1" t="s">
        <v>5317</v>
      </c>
      <c r="BK1388" s="1" t="s">
        <v>4994</v>
      </c>
      <c r="BN1388" s="1" t="s">
        <v>217</v>
      </c>
      <c r="BO1388" s="1" t="s">
        <v>218</v>
      </c>
      <c r="BP1388" s="1" t="s">
        <v>239</v>
      </c>
      <c r="BQ1388" s="1" t="s">
        <v>220</v>
      </c>
      <c r="BT1388" s="1">
        <v>1</v>
      </c>
    </row>
    <row r="1389" spans="1:72">
      <c r="A1389" s="1" t="s">
        <v>5320</v>
      </c>
      <c r="B1389" s="1" t="s">
        <v>213</v>
      </c>
      <c r="C1389" s="1">
        <v>1</v>
      </c>
      <c r="D1389" s="1" t="s">
        <v>5321</v>
      </c>
      <c r="E1389" s="1">
        <v>10123</v>
      </c>
      <c r="F1389" s="1" t="s">
        <v>5320</v>
      </c>
      <c r="G1389" s="1">
        <v>1</v>
      </c>
      <c r="K1389" s="1">
        <v>25000</v>
      </c>
      <c r="M1389" s="1">
        <v>800</v>
      </c>
      <c r="O1389" s="1">
        <v>1300</v>
      </c>
      <c r="Q1389" s="1">
        <v>20</v>
      </c>
      <c r="Y1389" s="1">
        <v>0.05</v>
      </c>
      <c r="Z1389" s="1">
        <v>3.5</v>
      </c>
      <c r="AA1389" s="1">
        <v>4</v>
      </c>
      <c r="AB1389" s="1">
        <v>0.5</v>
      </c>
      <c r="AG1389" s="1">
        <v>0</v>
      </c>
      <c r="AH1389" s="1">
        <v>1</v>
      </c>
      <c r="AI1389" s="1" t="s">
        <v>5322</v>
      </c>
      <c r="AJ1389" s="1" t="s">
        <v>216</v>
      </c>
      <c r="AK1389" s="1" t="s">
        <v>238</v>
      </c>
      <c r="AM1389" s="1">
        <v>1</v>
      </c>
      <c r="AV1389" s="1">
        <v>1</v>
      </c>
      <c r="AX1389" s="1">
        <v>0.25</v>
      </c>
      <c r="BE1389" s="1" t="s">
        <v>5320</v>
      </c>
      <c r="BK1389" s="1" t="s">
        <v>4994</v>
      </c>
      <c r="BN1389" s="1" t="s">
        <v>3291</v>
      </c>
      <c r="BO1389" s="1" t="s">
        <v>3228</v>
      </c>
      <c r="BP1389" s="1" t="s">
        <v>3229</v>
      </c>
      <c r="BQ1389" s="1" t="s">
        <v>3230</v>
      </c>
      <c r="BT1389" s="1">
        <v>1</v>
      </c>
    </row>
    <row r="1390" spans="1:72">
      <c r="A1390" s="1" t="s">
        <v>5323</v>
      </c>
      <c r="B1390" s="1" t="s">
        <v>213</v>
      </c>
      <c r="C1390" s="1">
        <v>1</v>
      </c>
      <c r="D1390" s="1" t="s">
        <v>5324</v>
      </c>
      <c r="E1390" s="1">
        <v>10123</v>
      </c>
      <c r="F1390" s="1" t="s">
        <v>5323</v>
      </c>
      <c r="G1390" s="1">
        <v>1</v>
      </c>
      <c r="K1390" s="1">
        <v>35000</v>
      </c>
      <c r="M1390" s="1">
        <v>1000</v>
      </c>
      <c r="O1390" s="1">
        <v>1600</v>
      </c>
      <c r="Q1390" s="1">
        <v>20</v>
      </c>
      <c r="Y1390" s="1">
        <v>0.05</v>
      </c>
      <c r="Z1390" s="1">
        <v>3.5</v>
      </c>
      <c r="AA1390" s="1">
        <v>4</v>
      </c>
      <c r="AB1390" s="1">
        <v>0.5</v>
      </c>
      <c r="AG1390" s="1">
        <v>0</v>
      </c>
      <c r="AH1390" s="1">
        <v>1</v>
      </c>
      <c r="AI1390" s="1" t="s">
        <v>5325</v>
      </c>
      <c r="AJ1390" s="1" t="s">
        <v>216</v>
      </c>
      <c r="AK1390" s="1" t="s">
        <v>238</v>
      </c>
      <c r="AM1390" s="1">
        <v>1</v>
      </c>
      <c r="AV1390" s="1">
        <v>1</v>
      </c>
      <c r="AX1390" s="1">
        <v>0.25</v>
      </c>
      <c r="BE1390" s="1" t="s">
        <v>5323</v>
      </c>
      <c r="BK1390" s="1" t="s">
        <v>4994</v>
      </c>
      <c r="BN1390" s="1" t="s">
        <v>3291</v>
      </c>
      <c r="BO1390" s="1" t="s">
        <v>3228</v>
      </c>
      <c r="BP1390" s="1" t="s">
        <v>3229</v>
      </c>
      <c r="BQ1390" s="1" t="s">
        <v>3230</v>
      </c>
      <c r="BT1390" s="1">
        <v>1</v>
      </c>
    </row>
    <row r="1391" spans="1:72">
      <c r="A1391" s="1" t="s">
        <v>5326</v>
      </c>
      <c r="B1391" s="1" t="s">
        <v>213</v>
      </c>
      <c r="C1391" s="1">
        <v>1</v>
      </c>
      <c r="D1391" s="1" t="s">
        <v>5327</v>
      </c>
      <c r="E1391" s="1">
        <v>10124</v>
      </c>
      <c r="F1391" s="1" t="s">
        <v>5326</v>
      </c>
      <c r="G1391" s="1">
        <v>1</v>
      </c>
      <c r="K1391" s="1">
        <v>15000</v>
      </c>
      <c r="M1391" s="1">
        <v>800</v>
      </c>
      <c r="O1391" s="1">
        <v>1500</v>
      </c>
      <c r="Q1391" s="1">
        <v>60</v>
      </c>
      <c r="Y1391" s="1">
        <v>0.05</v>
      </c>
      <c r="Z1391" s="1">
        <v>3.8</v>
      </c>
      <c r="AA1391" s="1">
        <v>4</v>
      </c>
      <c r="AB1391" s="1">
        <v>0.7</v>
      </c>
      <c r="AG1391" s="1">
        <v>0</v>
      </c>
      <c r="AH1391" s="1">
        <v>1</v>
      </c>
      <c r="AI1391" s="1" t="s">
        <v>5328</v>
      </c>
      <c r="AJ1391" s="1" t="s">
        <v>216</v>
      </c>
      <c r="AK1391" s="1" t="s">
        <v>238</v>
      </c>
      <c r="AM1391" s="1">
        <v>1</v>
      </c>
      <c r="AV1391" s="1">
        <v>1</v>
      </c>
      <c r="AX1391" s="1">
        <v>0.25</v>
      </c>
      <c r="BE1391" s="1" t="s">
        <v>5326</v>
      </c>
      <c r="BK1391" s="1" t="s">
        <v>4994</v>
      </c>
      <c r="BN1391" s="1" t="s">
        <v>217</v>
      </c>
      <c r="BO1391" s="1" t="s">
        <v>218</v>
      </c>
      <c r="BP1391" s="1" t="s">
        <v>219</v>
      </c>
      <c r="BQ1391" s="1" t="s">
        <v>220</v>
      </c>
      <c r="BT1391" s="1">
        <v>1</v>
      </c>
    </row>
    <row r="1392" spans="1:72">
      <c r="A1392" s="1" t="s">
        <v>5329</v>
      </c>
      <c r="B1392" s="1" t="s">
        <v>213</v>
      </c>
      <c r="C1392" s="1">
        <v>1</v>
      </c>
      <c r="D1392" s="1" t="s">
        <v>5330</v>
      </c>
      <c r="E1392" s="1">
        <v>10124</v>
      </c>
      <c r="F1392" s="1" t="s">
        <v>5329</v>
      </c>
      <c r="G1392" s="1">
        <v>1</v>
      </c>
      <c r="K1392" s="1">
        <v>25000</v>
      </c>
      <c r="M1392" s="1">
        <v>900</v>
      </c>
      <c r="O1392" s="1">
        <v>1800</v>
      </c>
      <c r="Q1392" s="1">
        <v>60</v>
      </c>
      <c r="Y1392" s="1">
        <v>0.05</v>
      </c>
      <c r="Z1392" s="1">
        <v>3.8</v>
      </c>
      <c r="AA1392" s="1">
        <v>4</v>
      </c>
      <c r="AB1392" s="1">
        <v>0.7</v>
      </c>
      <c r="AG1392" s="1">
        <v>0</v>
      </c>
      <c r="AH1392" s="1">
        <v>1</v>
      </c>
      <c r="AI1392" s="1" t="s">
        <v>5331</v>
      </c>
      <c r="AJ1392" s="1" t="s">
        <v>216</v>
      </c>
      <c r="AK1392" s="1" t="s">
        <v>238</v>
      </c>
      <c r="AM1392" s="1">
        <v>1</v>
      </c>
      <c r="AV1392" s="1">
        <v>1</v>
      </c>
      <c r="AX1392" s="1">
        <v>0.25</v>
      </c>
      <c r="BE1392" s="1" t="s">
        <v>5329</v>
      </c>
      <c r="BK1392" s="1" t="s">
        <v>4994</v>
      </c>
      <c r="BN1392" s="1" t="s">
        <v>217</v>
      </c>
      <c r="BO1392" s="1" t="s">
        <v>218</v>
      </c>
      <c r="BP1392" s="1" t="s">
        <v>219</v>
      </c>
      <c r="BQ1392" s="1" t="s">
        <v>220</v>
      </c>
      <c r="BT1392" s="1">
        <v>1</v>
      </c>
    </row>
    <row r="1393" spans="1:72">
      <c r="A1393" s="1" t="s">
        <v>5332</v>
      </c>
      <c r="B1393" s="1" t="s">
        <v>213</v>
      </c>
      <c r="C1393" s="1">
        <v>1</v>
      </c>
      <c r="D1393" s="1" t="s">
        <v>5333</v>
      </c>
      <c r="E1393" s="1">
        <v>10125</v>
      </c>
      <c r="F1393" s="1" t="s">
        <v>5332</v>
      </c>
      <c r="G1393" s="1">
        <v>1</v>
      </c>
      <c r="K1393" s="1">
        <v>15000</v>
      </c>
      <c r="M1393" s="1">
        <v>1000</v>
      </c>
      <c r="O1393" s="1">
        <v>500</v>
      </c>
      <c r="Q1393" s="1">
        <v>40</v>
      </c>
      <c r="Y1393" s="1">
        <v>0.05</v>
      </c>
      <c r="Z1393" s="1">
        <v>2</v>
      </c>
      <c r="AA1393" s="1">
        <v>2</v>
      </c>
      <c r="AB1393" s="1">
        <v>0.7</v>
      </c>
      <c r="AG1393" s="1">
        <v>0</v>
      </c>
      <c r="AH1393" s="1">
        <v>1</v>
      </c>
      <c r="AI1393" s="1" t="s">
        <v>5334</v>
      </c>
      <c r="AJ1393" s="1" t="s">
        <v>216</v>
      </c>
      <c r="AK1393" s="1" t="s">
        <v>238</v>
      </c>
      <c r="AM1393" s="1">
        <v>1</v>
      </c>
      <c r="AV1393" s="1">
        <v>1</v>
      </c>
      <c r="AX1393" s="1">
        <v>0.25</v>
      </c>
      <c r="BE1393" s="1" t="s">
        <v>5332</v>
      </c>
      <c r="BK1393" s="1" t="s">
        <v>4994</v>
      </c>
      <c r="BN1393" s="1" t="s">
        <v>217</v>
      </c>
      <c r="BO1393" s="1" t="s">
        <v>218</v>
      </c>
      <c r="BP1393" s="1" t="s">
        <v>239</v>
      </c>
      <c r="BQ1393" s="1" t="s">
        <v>220</v>
      </c>
      <c r="BT1393" s="1">
        <v>1</v>
      </c>
    </row>
    <row r="1394" spans="1:72">
      <c r="A1394" s="1" t="s">
        <v>5335</v>
      </c>
      <c r="B1394" s="1" t="s">
        <v>213</v>
      </c>
      <c r="C1394" s="1">
        <v>1</v>
      </c>
      <c r="D1394" s="1" t="s">
        <v>5336</v>
      </c>
      <c r="E1394" s="1">
        <v>10125</v>
      </c>
      <c r="F1394" s="1" t="s">
        <v>5335</v>
      </c>
      <c r="G1394" s="1">
        <v>1</v>
      </c>
      <c r="K1394" s="1">
        <v>20000</v>
      </c>
      <c r="M1394" s="1">
        <v>1500</v>
      </c>
      <c r="O1394" s="1">
        <v>500</v>
      </c>
      <c r="Q1394" s="1">
        <v>40</v>
      </c>
      <c r="Y1394" s="1">
        <v>0.05</v>
      </c>
      <c r="Z1394" s="1">
        <v>2</v>
      </c>
      <c r="AA1394" s="1">
        <v>2</v>
      </c>
      <c r="AB1394" s="1">
        <v>0.7</v>
      </c>
      <c r="AG1394" s="1">
        <v>0</v>
      </c>
      <c r="AH1394" s="1">
        <v>1</v>
      </c>
      <c r="AI1394" s="1" t="s">
        <v>5337</v>
      </c>
      <c r="AJ1394" s="1" t="s">
        <v>216</v>
      </c>
      <c r="AK1394" s="1" t="s">
        <v>238</v>
      </c>
      <c r="AM1394" s="1">
        <v>1</v>
      </c>
      <c r="AV1394" s="1">
        <v>1</v>
      </c>
      <c r="AX1394" s="1">
        <v>0.25</v>
      </c>
      <c r="BE1394" s="1" t="s">
        <v>5335</v>
      </c>
      <c r="BK1394" s="1" t="s">
        <v>4994</v>
      </c>
      <c r="BN1394" s="1" t="s">
        <v>217</v>
      </c>
      <c r="BO1394" s="1" t="s">
        <v>218</v>
      </c>
      <c r="BP1394" s="1" t="s">
        <v>239</v>
      </c>
      <c r="BQ1394" s="1" t="s">
        <v>220</v>
      </c>
      <c r="BT1394" s="1">
        <v>1</v>
      </c>
    </row>
    <row r="1395" spans="1:72">
      <c r="A1395" s="1" t="s">
        <v>5338</v>
      </c>
      <c r="B1395" s="1" t="s">
        <v>213</v>
      </c>
      <c r="C1395" s="1">
        <v>1</v>
      </c>
      <c r="D1395" s="1" t="s">
        <v>5339</v>
      </c>
      <c r="E1395" s="1">
        <v>10126</v>
      </c>
      <c r="F1395" s="1" t="s">
        <v>5338</v>
      </c>
      <c r="G1395" s="1">
        <v>1</v>
      </c>
      <c r="K1395" s="1">
        <v>4500</v>
      </c>
      <c r="M1395" s="1">
        <v>300</v>
      </c>
      <c r="O1395" s="1">
        <v>100</v>
      </c>
      <c r="Q1395" s="1">
        <v>20</v>
      </c>
      <c r="Y1395" s="1">
        <v>0.05</v>
      </c>
      <c r="Z1395" s="1">
        <v>2</v>
      </c>
      <c r="AA1395" s="1">
        <v>1</v>
      </c>
      <c r="AB1395" s="1">
        <v>0.5</v>
      </c>
      <c r="AG1395" s="1">
        <v>0</v>
      </c>
      <c r="AH1395" s="1">
        <v>1</v>
      </c>
      <c r="AI1395" s="1" t="s">
        <v>5340</v>
      </c>
      <c r="AJ1395" s="1" t="s">
        <v>216</v>
      </c>
      <c r="AK1395" s="1" t="s">
        <v>238</v>
      </c>
      <c r="AM1395" s="1">
        <v>1</v>
      </c>
      <c r="AV1395" s="1">
        <v>1</v>
      </c>
      <c r="AX1395" s="1">
        <v>0.25</v>
      </c>
      <c r="BE1395" s="1" t="s">
        <v>5338</v>
      </c>
      <c r="BK1395" s="1" t="s">
        <v>4994</v>
      </c>
      <c r="BN1395" s="1" t="s">
        <v>3443</v>
      </c>
      <c r="BO1395" s="1" t="s">
        <v>2618</v>
      </c>
      <c r="BP1395" s="1" t="s">
        <v>2619</v>
      </c>
      <c r="BQ1395" s="1" t="s">
        <v>3157</v>
      </c>
      <c r="BT1395" s="1">
        <v>1</v>
      </c>
    </row>
    <row r="1396" spans="1:72">
      <c r="A1396" s="1" t="s">
        <v>5341</v>
      </c>
      <c r="B1396" s="1" t="s">
        <v>213</v>
      </c>
      <c r="C1396" s="1">
        <v>1</v>
      </c>
      <c r="D1396" s="1" t="s">
        <v>5342</v>
      </c>
      <c r="E1396" s="1">
        <v>10126</v>
      </c>
      <c r="F1396" s="1" t="s">
        <v>5341</v>
      </c>
      <c r="G1396" s="1">
        <v>1</v>
      </c>
      <c r="K1396" s="1">
        <v>6000</v>
      </c>
      <c r="M1396" s="1">
        <v>400</v>
      </c>
      <c r="O1396" s="1">
        <v>100</v>
      </c>
      <c r="Q1396" s="1">
        <v>20</v>
      </c>
      <c r="Y1396" s="1">
        <v>0.05</v>
      </c>
      <c r="Z1396" s="1">
        <v>2</v>
      </c>
      <c r="AA1396" s="1">
        <v>1</v>
      </c>
      <c r="AB1396" s="1">
        <v>0.5</v>
      </c>
      <c r="AG1396" s="1">
        <v>0</v>
      </c>
      <c r="AH1396" s="1">
        <v>1</v>
      </c>
      <c r="AI1396" s="1" t="s">
        <v>5343</v>
      </c>
      <c r="AJ1396" s="1" t="s">
        <v>216</v>
      </c>
      <c r="AK1396" s="1" t="s">
        <v>238</v>
      </c>
      <c r="AM1396" s="1">
        <v>1</v>
      </c>
      <c r="AV1396" s="1">
        <v>1</v>
      </c>
      <c r="AX1396" s="1">
        <v>0.25</v>
      </c>
      <c r="BE1396" s="1" t="s">
        <v>5341</v>
      </c>
      <c r="BK1396" s="1" t="s">
        <v>4994</v>
      </c>
      <c r="BN1396" s="1" t="s">
        <v>3443</v>
      </c>
      <c r="BO1396" s="1" t="s">
        <v>2618</v>
      </c>
      <c r="BP1396" s="1" t="s">
        <v>2619</v>
      </c>
      <c r="BQ1396" s="1" t="s">
        <v>3157</v>
      </c>
      <c r="BT1396" s="1">
        <v>1</v>
      </c>
    </row>
    <row r="1397" spans="1:72">
      <c r="A1397" s="1" t="s">
        <v>5344</v>
      </c>
      <c r="B1397" s="1" t="s">
        <v>213</v>
      </c>
      <c r="C1397" s="1">
        <v>1</v>
      </c>
      <c r="D1397" s="1" t="s">
        <v>5345</v>
      </c>
      <c r="E1397" s="1">
        <v>10127</v>
      </c>
      <c r="F1397" s="1" t="s">
        <v>5344</v>
      </c>
      <c r="G1397" s="1">
        <v>1</v>
      </c>
      <c r="K1397" s="1">
        <v>20000</v>
      </c>
      <c r="M1397" s="1">
        <v>1000</v>
      </c>
      <c r="O1397" s="1">
        <v>100</v>
      </c>
      <c r="Q1397" s="1">
        <v>20</v>
      </c>
      <c r="Y1397" s="1">
        <v>0.05</v>
      </c>
      <c r="Z1397" s="1">
        <v>3</v>
      </c>
      <c r="AA1397" s="1">
        <v>3</v>
      </c>
      <c r="AB1397" s="1">
        <v>0.5</v>
      </c>
      <c r="AG1397" s="1">
        <v>0</v>
      </c>
      <c r="AH1397" s="1">
        <v>1</v>
      </c>
      <c r="AI1397" s="1" t="s">
        <v>5346</v>
      </c>
      <c r="AJ1397" s="1" t="s">
        <v>216</v>
      </c>
      <c r="AK1397" s="1" t="s">
        <v>238</v>
      </c>
      <c r="AM1397" s="1">
        <v>1</v>
      </c>
      <c r="AV1397" s="1">
        <v>1</v>
      </c>
      <c r="AX1397" s="1">
        <v>0.25</v>
      </c>
      <c r="BE1397" s="1" t="s">
        <v>5344</v>
      </c>
      <c r="BK1397" s="1" t="s">
        <v>4994</v>
      </c>
      <c r="BN1397" s="1" t="s">
        <v>3443</v>
      </c>
      <c r="BO1397" s="1" t="s">
        <v>2618</v>
      </c>
      <c r="BP1397" s="1" t="s">
        <v>2619</v>
      </c>
      <c r="BQ1397" s="1" t="s">
        <v>3157</v>
      </c>
      <c r="BT1397" s="1">
        <v>1</v>
      </c>
    </row>
    <row r="1398" spans="1:72">
      <c r="A1398" s="1" t="s">
        <v>5347</v>
      </c>
      <c r="B1398" s="1" t="s">
        <v>213</v>
      </c>
      <c r="C1398" s="1">
        <v>1</v>
      </c>
      <c r="D1398" s="1" t="s">
        <v>5348</v>
      </c>
      <c r="E1398" s="1">
        <v>10127</v>
      </c>
      <c r="F1398" s="1" t="s">
        <v>5347</v>
      </c>
      <c r="G1398" s="1">
        <v>1</v>
      </c>
      <c r="K1398" s="1">
        <v>27500</v>
      </c>
      <c r="M1398" s="1">
        <v>1250</v>
      </c>
      <c r="O1398" s="1">
        <v>100</v>
      </c>
      <c r="Q1398" s="1">
        <v>20</v>
      </c>
      <c r="Y1398" s="1">
        <v>0.05</v>
      </c>
      <c r="Z1398" s="1">
        <v>3</v>
      </c>
      <c r="AA1398" s="1">
        <v>3</v>
      </c>
      <c r="AB1398" s="1">
        <v>0.5</v>
      </c>
      <c r="AG1398" s="1">
        <v>0</v>
      </c>
      <c r="AH1398" s="1">
        <v>1</v>
      </c>
      <c r="AI1398" s="1" t="s">
        <v>5349</v>
      </c>
      <c r="AJ1398" s="1" t="s">
        <v>216</v>
      </c>
      <c r="AK1398" s="1" t="s">
        <v>238</v>
      </c>
      <c r="AM1398" s="1">
        <v>1</v>
      </c>
      <c r="AV1398" s="1">
        <v>1</v>
      </c>
      <c r="AX1398" s="1">
        <v>0.25</v>
      </c>
      <c r="BE1398" s="1" t="s">
        <v>5347</v>
      </c>
      <c r="BK1398" s="1" t="s">
        <v>4994</v>
      </c>
      <c r="BN1398" s="1" t="s">
        <v>3443</v>
      </c>
      <c r="BO1398" s="1" t="s">
        <v>2618</v>
      </c>
      <c r="BP1398" s="1" t="s">
        <v>2619</v>
      </c>
      <c r="BQ1398" s="1" t="s">
        <v>3157</v>
      </c>
      <c r="BT1398" s="1">
        <v>1</v>
      </c>
    </row>
    <row r="1399" spans="1:72">
      <c r="A1399" s="1" t="s">
        <v>5350</v>
      </c>
      <c r="B1399" s="1" t="s">
        <v>213</v>
      </c>
      <c r="C1399" s="1">
        <v>1</v>
      </c>
      <c r="D1399" s="1" t="s">
        <v>5351</v>
      </c>
      <c r="E1399" s="1">
        <v>10128</v>
      </c>
      <c r="F1399" s="1" t="s">
        <v>5350</v>
      </c>
      <c r="G1399" s="1">
        <v>1</v>
      </c>
      <c r="K1399" s="1">
        <v>5000</v>
      </c>
      <c r="M1399" s="1">
        <v>700</v>
      </c>
      <c r="O1399" s="1">
        <v>100</v>
      </c>
      <c r="Q1399" s="1">
        <v>50</v>
      </c>
      <c r="Y1399" s="1">
        <v>0.05</v>
      </c>
      <c r="Z1399" s="1">
        <v>1</v>
      </c>
      <c r="AA1399" s="1">
        <v>0</v>
      </c>
      <c r="AB1399" s="1">
        <v>0.8</v>
      </c>
      <c r="AG1399" s="1">
        <v>0</v>
      </c>
      <c r="AH1399" s="1">
        <v>1</v>
      </c>
      <c r="AI1399" s="1" t="s">
        <v>5352</v>
      </c>
      <c r="AJ1399" s="1" t="s">
        <v>216</v>
      </c>
      <c r="AK1399" s="1" t="s">
        <v>238</v>
      </c>
      <c r="AM1399" s="1">
        <v>1</v>
      </c>
      <c r="AN1399" s="1">
        <v>1</v>
      </c>
      <c r="AV1399" s="1">
        <v>1</v>
      </c>
      <c r="AX1399" s="1">
        <v>0.25</v>
      </c>
      <c r="BE1399" s="1" t="s">
        <v>5350</v>
      </c>
      <c r="BK1399" s="1" t="s">
        <v>4994</v>
      </c>
      <c r="BN1399" s="1" t="s">
        <v>217</v>
      </c>
      <c r="BO1399" s="1" t="s">
        <v>218</v>
      </c>
      <c r="BP1399" s="1" t="s">
        <v>239</v>
      </c>
      <c r="BQ1399" s="1" t="s">
        <v>220</v>
      </c>
      <c r="BT1399" s="1">
        <v>1</v>
      </c>
    </row>
    <row r="1400" spans="1:72">
      <c r="A1400" s="1" t="s">
        <v>5353</v>
      </c>
      <c r="B1400" s="1" t="s">
        <v>213</v>
      </c>
      <c r="C1400" s="1">
        <v>1</v>
      </c>
      <c r="D1400" s="1" t="s">
        <v>5354</v>
      </c>
      <c r="E1400" s="1">
        <v>1571</v>
      </c>
      <c r="F1400" s="1" t="s">
        <v>5353</v>
      </c>
      <c r="G1400" s="1">
        <v>1</v>
      </c>
      <c r="K1400" s="1">
        <v>150000</v>
      </c>
      <c r="M1400" s="1">
        <v>1000</v>
      </c>
      <c r="O1400" s="1">
        <v>300</v>
      </c>
      <c r="Q1400" s="1">
        <v>40</v>
      </c>
      <c r="Y1400" s="1">
        <v>0.05</v>
      </c>
      <c r="Z1400" s="1">
        <v>3.5</v>
      </c>
      <c r="AA1400" s="1">
        <v>7</v>
      </c>
      <c r="AB1400" s="1">
        <v>0.5</v>
      </c>
      <c r="AG1400" s="1">
        <v>0</v>
      </c>
      <c r="AH1400" s="1">
        <v>1</v>
      </c>
      <c r="AI1400" s="1" t="s">
        <v>5355</v>
      </c>
      <c r="AJ1400" s="1" t="s">
        <v>216</v>
      </c>
      <c r="AK1400" s="1" t="s">
        <v>238</v>
      </c>
      <c r="AM1400" s="1">
        <v>1</v>
      </c>
      <c r="AV1400" s="1">
        <v>1</v>
      </c>
      <c r="AX1400" s="1">
        <v>0.25</v>
      </c>
      <c r="BE1400" s="1" t="s">
        <v>5353</v>
      </c>
      <c r="BK1400" s="1" t="s">
        <v>4994</v>
      </c>
      <c r="BN1400" s="1" t="s">
        <v>217</v>
      </c>
      <c r="BO1400" s="1" t="s">
        <v>218</v>
      </c>
      <c r="BP1400" s="1" t="s">
        <v>239</v>
      </c>
      <c r="BQ1400" s="1" t="s">
        <v>220</v>
      </c>
      <c r="BT1400" s="1">
        <v>1</v>
      </c>
    </row>
    <row r="1401" spans="1:72">
      <c r="A1401" s="1" t="s">
        <v>5356</v>
      </c>
      <c r="B1401" s="1" t="s">
        <v>213</v>
      </c>
      <c r="C1401" s="1">
        <v>1</v>
      </c>
      <c r="D1401" s="1" t="s">
        <v>5357</v>
      </c>
      <c r="E1401" s="1">
        <v>1572</v>
      </c>
      <c r="F1401" s="1" t="s">
        <v>5356</v>
      </c>
      <c r="G1401" s="1">
        <v>1</v>
      </c>
      <c r="K1401" s="1">
        <v>80000</v>
      </c>
      <c r="M1401" s="1">
        <v>800</v>
      </c>
      <c r="O1401" s="1">
        <v>800</v>
      </c>
      <c r="Q1401" s="1">
        <v>70</v>
      </c>
      <c r="Y1401" s="1">
        <v>0.05</v>
      </c>
      <c r="Z1401" s="1">
        <v>4</v>
      </c>
      <c r="AA1401" s="1">
        <v>10</v>
      </c>
      <c r="AB1401" s="1">
        <v>0.3</v>
      </c>
      <c r="AG1401" s="1">
        <v>0</v>
      </c>
      <c r="AH1401" s="1">
        <v>1</v>
      </c>
      <c r="AI1401" s="1" t="s">
        <v>5358</v>
      </c>
      <c r="AJ1401" s="1" t="s">
        <v>216</v>
      </c>
      <c r="AK1401" s="1" t="s">
        <v>238</v>
      </c>
      <c r="AM1401" s="1">
        <v>1</v>
      </c>
      <c r="AV1401" s="1">
        <v>1</v>
      </c>
      <c r="AX1401" s="1">
        <v>0.25</v>
      </c>
      <c r="BE1401" s="1" t="s">
        <v>5356</v>
      </c>
      <c r="BK1401" s="1" t="s">
        <v>4994</v>
      </c>
      <c r="BN1401" s="1" t="s">
        <v>217</v>
      </c>
      <c r="BO1401" s="1" t="s">
        <v>2618</v>
      </c>
      <c r="BP1401" s="1" t="s">
        <v>2619</v>
      </c>
      <c r="BQ1401" s="1" t="s">
        <v>3157</v>
      </c>
      <c r="BT1401" s="1">
        <v>1</v>
      </c>
    </row>
    <row r="1402" spans="1:72">
      <c r="A1402" s="1" t="s">
        <v>5359</v>
      </c>
      <c r="B1402" s="1" t="s">
        <v>213</v>
      </c>
      <c r="C1402" s="1">
        <v>1</v>
      </c>
      <c r="D1402" s="1" t="s">
        <v>5360</v>
      </c>
      <c r="E1402" s="1">
        <v>10138</v>
      </c>
      <c r="F1402" s="1" t="s">
        <v>5359</v>
      </c>
      <c r="G1402" s="1">
        <v>1</v>
      </c>
      <c r="K1402" s="1">
        <v>5500</v>
      </c>
      <c r="M1402" s="1">
        <v>200</v>
      </c>
      <c r="O1402" s="1">
        <v>200</v>
      </c>
      <c r="Q1402" s="1">
        <v>10</v>
      </c>
      <c r="Y1402" s="1">
        <v>0.05</v>
      </c>
      <c r="Z1402" s="1">
        <v>5</v>
      </c>
      <c r="AA1402" s="1">
        <v>1</v>
      </c>
      <c r="AB1402" s="1">
        <v>0.6</v>
      </c>
      <c r="AG1402" s="1">
        <v>0</v>
      </c>
      <c r="AH1402" s="1">
        <v>1</v>
      </c>
      <c r="AI1402" s="1" t="s">
        <v>5361</v>
      </c>
      <c r="AJ1402" s="1" t="s">
        <v>216</v>
      </c>
      <c r="AK1402" s="1" t="s">
        <v>238</v>
      </c>
      <c r="AM1402" s="1">
        <v>1</v>
      </c>
      <c r="AV1402" s="1">
        <v>1</v>
      </c>
      <c r="AX1402" s="1">
        <v>0.25</v>
      </c>
      <c r="BE1402" s="1" t="s">
        <v>5359</v>
      </c>
      <c r="BK1402" s="1" t="s">
        <v>4994</v>
      </c>
      <c r="BN1402" s="1" t="s">
        <v>217</v>
      </c>
      <c r="BO1402" s="1" t="s">
        <v>218</v>
      </c>
      <c r="BP1402" s="1" t="s">
        <v>239</v>
      </c>
      <c r="BQ1402" s="1" t="s">
        <v>220</v>
      </c>
      <c r="BT1402" s="1">
        <v>1</v>
      </c>
    </row>
    <row r="1403" spans="1:72">
      <c r="A1403" s="1" t="s">
        <v>5362</v>
      </c>
      <c r="B1403" s="1" t="s">
        <v>213</v>
      </c>
      <c r="C1403" s="1">
        <v>1</v>
      </c>
      <c r="D1403" s="1" t="s">
        <v>5363</v>
      </c>
      <c r="E1403" s="1">
        <v>10138</v>
      </c>
      <c r="F1403" s="1" t="s">
        <v>5362</v>
      </c>
      <c r="G1403" s="1">
        <v>1</v>
      </c>
      <c r="K1403" s="1">
        <v>7000</v>
      </c>
      <c r="M1403" s="1">
        <v>300</v>
      </c>
      <c r="O1403" s="1">
        <v>200</v>
      </c>
      <c r="Q1403" s="1">
        <v>10</v>
      </c>
      <c r="Y1403" s="1">
        <v>0.05</v>
      </c>
      <c r="Z1403" s="1">
        <v>5</v>
      </c>
      <c r="AA1403" s="1">
        <v>1</v>
      </c>
      <c r="AB1403" s="1">
        <v>0.6</v>
      </c>
      <c r="AG1403" s="1">
        <v>0</v>
      </c>
      <c r="AH1403" s="1">
        <v>1</v>
      </c>
      <c r="AI1403" s="1" t="s">
        <v>5364</v>
      </c>
      <c r="AJ1403" s="1" t="s">
        <v>216</v>
      </c>
      <c r="AK1403" s="1" t="s">
        <v>238</v>
      </c>
      <c r="AM1403" s="1">
        <v>1</v>
      </c>
      <c r="AV1403" s="1">
        <v>1</v>
      </c>
      <c r="AX1403" s="1">
        <v>0.25</v>
      </c>
      <c r="BE1403" s="1" t="s">
        <v>5362</v>
      </c>
      <c r="BK1403" s="1" t="s">
        <v>4994</v>
      </c>
      <c r="BN1403" s="1" t="s">
        <v>217</v>
      </c>
      <c r="BO1403" s="1" t="s">
        <v>218</v>
      </c>
      <c r="BP1403" s="1" t="s">
        <v>239</v>
      </c>
      <c r="BQ1403" s="1" t="s">
        <v>220</v>
      </c>
      <c r="BT1403" s="1">
        <v>1</v>
      </c>
    </row>
    <row r="1404" spans="1:72">
      <c r="A1404" s="1" t="s">
        <v>5365</v>
      </c>
      <c r="B1404" s="1" t="s">
        <v>213</v>
      </c>
      <c r="C1404" s="1">
        <v>1</v>
      </c>
      <c r="D1404" s="1" t="s">
        <v>5366</v>
      </c>
      <c r="E1404" s="1">
        <v>10139</v>
      </c>
      <c r="F1404" s="1" t="s">
        <v>5365</v>
      </c>
      <c r="G1404" s="1">
        <v>1</v>
      </c>
      <c r="K1404" s="1">
        <v>5500</v>
      </c>
      <c r="M1404" s="1">
        <v>200</v>
      </c>
      <c r="O1404" s="1">
        <v>200</v>
      </c>
      <c r="Q1404" s="1">
        <v>10</v>
      </c>
      <c r="Y1404" s="1">
        <v>0.05</v>
      </c>
      <c r="Z1404" s="1">
        <v>5</v>
      </c>
      <c r="AA1404" s="1">
        <v>1</v>
      </c>
      <c r="AB1404" s="1">
        <v>0.8</v>
      </c>
      <c r="AG1404" s="1">
        <v>0</v>
      </c>
      <c r="AH1404" s="1">
        <v>1</v>
      </c>
      <c r="AI1404" s="1" t="s">
        <v>5367</v>
      </c>
      <c r="AJ1404" s="1" t="s">
        <v>216</v>
      </c>
      <c r="AK1404" s="1" t="s">
        <v>238</v>
      </c>
      <c r="AM1404" s="1">
        <v>1</v>
      </c>
      <c r="AV1404" s="1">
        <v>1</v>
      </c>
      <c r="AX1404" s="1">
        <v>0.25</v>
      </c>
      <c r="BE1404" s="1" t="s">
        <v>5365</v>
      </c>
      <c r="BK1404" s="1" t="s">
        <v>4994</v>
      </c>
      <c r="BN1404" s="1" t="s">
        <v>217</v>
      </c>
      <c r="BO1404" s="1" t="s">
        <v>218</v>
      </c>
      <c r="BP1404" s="1" t="s">
        <v>239</v>
      </c>
      <c r="BQ1404" s="1" t="s">
        <v>220</v>
      </c>
      <c r="BT1404" s="1">
        <v>1</v>
      </c>
    </row>
    <row r="1405" spans="1:72">
      <c r="A1405" s="1" t="s">
        <v>5368</v>
      </c>
      <c r="B1405" s="1" t="s">
        <v>213</v>
      </c>
      <c r="C1405" s="1">
        <v>1</v>
      </c>
      <c r="D1405" s="1" t="s">
        <v>5369</v>
      </c>
      <c r="E1405" s="1">
        <v>10139</v>
      </c>
      <c r="F1405" s="1" t="s">
        <v>5368</v>
      </c>
      <c r="G1405" s="1">
        <v>1</v>
      </c>
      <c r="K1405" s="1">
        <v>7000</v>
      </c>
      <c r="M1405" s="1">
        <v>300</v>
      </c>
      <c r="O1405" s="1">
        <v>200</v>
      </c>
      <c r="Q1405" s="1">
        <v>10</v>
      </c>
      <c r="Y1405" s="1">
        <v>0.05</v>
      </c>
      <c r="Z1405" s="1">
        <v>5</v>
      </c>
      <c r="AA1405" s="1">
        <v>1</v>
      </c>
      <c r="AB1405" s="1">
        <v>0.8</v>
      </c>
      <c r="AG1405" s="1">
        <v>0</v>
      </c>
      <c r="AH1405" s="1">
        <v>1</v>
      </c>
      <c r="AI1405" s="1" t="s">
        <v>5370</v>
      </c>
      <c r="AJ1405" s="1" t="s">
        <v>216</v>
      </c>
      <c r="AK1405" s="1" t="s">
        <v>238</v>
      </c>
      <c r="AM1405" s="1">
        <v>1</v>
      </c>
      <c r="AV1405" s="1">
        <v>1</v>
      </c>
      <c r="AX1405" s="1">
        <v>0.25</v>
      </c>
      <c r="BE1405" s="1" t="s">
        <v>5368</v>
      </c>
      <c r="BK1405" s="1" t="s">
        <v>4994</v>
      </c>
      <c r="BN1405" s="1" t="s">
        <v>217</v>
      </c>
      <c r="BO1405" s="1" t="s">
        <v>218</v>
      </c>
      <c r="BP1405" s="1" t="s">
        <v>239</v>
      </c>
      <c r="BQ1405" s="1" t="s">
        <v>220</v>
      </c>
      <c r="BT1405" s="1">
        <v>1</v>
      </c>
    </row>
    <row r="1406" spans="1:72">
      <c r="A1406" s="1" t="s">
        <v>5371</v>
      </c>
      <c r="B1406" s="1" t="s">
        <v>213</v>
      </c>
      <c r="C1406" s="1">
        <v>1</v>
      </c>
      <c r="D1406" s="1" t="s">
        <v>5372</v>
      </c>
      <c r="E1406" s="1">
        <v>10140</v>
      </c>
      <c r="F1406" s="1" t="s">
        <v>5371</v>
      </c>
      <c r="G1406" s="1">
        <v>1</v>
      </c>
      <c r="K1406" s="1">
        <v>4500</v>
      </c>
      <c r="M1406" s="1">
        <v>200</v>
      </c>
      <c r="O1406" s="1">
        <v>100</v>
      </c>
      <c r="Q1406" s="1">
        <v>10</v>
      </c>
      <c r="Y1406" s="1">
        <v>0.05</v>
      </c>
      <c r="Z1406" s="1">
        <v>3</v>
      </c>
      <c r="AA1406" s="1">
        <v>3</v>
      </c>
      <c r="AB1406" s="1">
        <v>0.6</v>
      </c>
      <c r="AG1406" s="1">
        <v>0</v>
      </c>
      <c r="AH1406" s="1">
        <v>1</v>
      </c>
      <c r="AI1406" s="1" t="s">
        <v>5373</v>
      </c>
      <c r="AJ1406" s="1" t="s">
        <v>216</v>
      </c>
      <c r="AK1406" s="1" t="s">
        <v>238</v>
      </c>
      <c r="AM1406" s="1">
        <v>1</v>
      </c>
      <c r="AN1406" s="1">
        <v>1</v>
      </c>
      <c r="AV1406" s="1">
        <v>1</v>
      </c>
      <c r="AX1406" s="1">
        <v>0.25</v>
      </c>
      <c r="BE1406" s="1" t="s">
        <v>5371</v>
      </c>
      <c r="BK1406" s="1" t="s">
        <v>4994</v>
      </c>
      <c r="BN1406" s="1" t="s">
        <v>217</v>
      </c>
      <c r="BO1406" s="1" t="s">
        <v>218</v>
      </c>
      <c r="BP1406" s="1" t="s">
        <v>239</v>
      </c>
      <c r="BQ1406" s="1" t="s">
        <v>220</v>
      </c>
      <c r="BT1406" s="1">
        <v>1</v>
      </c>
    </row>
    <row r="1407" spans="1:72">
      <c r="A1407" s="1" t="s">
        <v>5374</v>
      </c>
      <c r="B1407" s="1" t="s">
        <v>213</v>
      </c>
      <c r="C1407" s="1">
        <v>1</v>
      </c>
      <c r="D1407" s="1" t="s">
        <v>5375</v>
      </c>
      <c r="E1407" s="1">
        <v>10140</v>
      </c>
      <c r="F1407" s="1" t="s">
        <v>5374</v>
      </c>
      <c r="G1407" s="1">
        <v>1</v>
      </c>
      <c r="K1407" s="1">
        <v>6000</v>
      </c>
      <c r="M1407" s="1">
        <v>300</v>
      </c>
      <c r="O1407" s="1">
        <v>150</v>
      </c>
      <c r="Q1407" s="1">
        <v>15</v>
      </c>
      <c r="Y1407" s="1">
        <v>0.05</v>
      </c>
      <c r="Z1407" s="1">
        <v>3</v>
      </c>
      <c r="AA1407" s="1">
        <v>3</v>
      </c>
      <c r="AB1407" s="1">
        <v>0.6</v>
      </c>
      <c r="AG1407" s="1">
        <v>0</v>
      </c>
      <c r="AH1407" s="1">
        <v>1</v>
      </c>
      <c r="AI1407" s="1" t="s">
        <v>5376</v>
      </c>
      <c r="AJ1407" s="1" t="s">
        <v>216</v>
      </c>
      <c r="AK1407" s="1" t="s">
        <v>238</v>
      </c>
      <c r="AM1407" s="1">
        <v>1</v>
      </c>
      <c r="AN1407" s="1">
        <v>1</v>
      </c>
      <c r="AV1407" s="1">
        <v>1</v>
      </c>
      <c r="AX1407" s="1">
        <v>0.25</v>
      </c>
      <c r="BE1407" s="1" t="s">
        <v>5374</v>
      </c>
      <c r="BK1407" s="1" t="s">
        <v>4994</v>
      </c>
      <c r="BN1407" s="1" t="s">
        <v>217</v>
      </c>
      <c r="BO1407" s="1" t="s">
        <v>218</v>
      </c>
      <c r="BP1407" s="1" t="s">
        <v>239</v>
      </c>
      <c r="BQ1407" s="1" t="s">
        <v>220</v>
      </c>
      <c r="BT1407" s="1">
        <v>1</v>
      </c>
    </row>
    <row r="1408" spans="1:72">
      <c r="A1408" s="1" t="s">
        <v>5377</v>
      </c>
      <c r="B1408" s="1" t="s">
        <v>213</v>
      </c>
      <c r="C1408" s="1">
        <v>1</v>
      </c>
      <c r="D1408" s="1" t="s">
        <v>5378</v>
      </c>
      <c r="E1408" s="1">
        <v>10141</v>
      </c>
      <c r="F1408" s="1" t="s">
        <v>5377</v>
      </c>
      <c r="G1408" s="1">
        <v>1</v>
      </c>
      <c r="K1408" s="1">
        <v>7500</v>
      </c>
      <c r="M1408" s="1">
        <v>300</v>
      </c>
      <c r="O1408" s="1">
        <v>150</v>
      </c>
      <c r="Q1408" s="1">
        <v>15</v>
      </c>
      <c r="Y1408" s="1">
        <v>0.05</v>
      </c>
      <c r="Z1408" s="1">
        <v>3.5</v>
      </c>
      <c r="AA1408" s="1">
        <v>3</v>
      </c>
      <c r="AB1408" s="1">
        <v>0.7</v>
      </c>
      <c r="AG1408" s="1">
        <v>0</v>
      </c>
      <c r="AH1408" s="1">
        <v>1</v>
      </c>
      <c r="AI1408" s="1" t="s">
        <v>5379</v>
      </c>
      <c r="AJ1408" s="1" t="s">
        <v>216</v>
      </c>
      <c r="AK1408" s="1" t="s">
        <v>238</v>
      </c>
      <c r="AM1408" s="1">
        <v>1</v>
      </c>
      <c r="AV1408" s="1">
        <v>1</v>
      </c>
      <c r="AX1408" s="1">
        <v>0.25</v>
      </c>
      <c r="BE1408" s="1" t="s">
        <v>5377</v>
      </c>
      <c r="BK1408" s="1" t="s">
        <v>4994</v>
      </c>
      <c r="BN1408" s="1" t="s">
        <v>217</v>
      </c>
      <c r="BO1408" s="1" t="s">
        <v>218</v>
      </c>
      <c r="BP1408" s="1" t="s">
        <v>239</v>
      </c>
      <c r="BQ1408" s="1" t="s">
        <v>220</v>
      </c>
      <c r="BT1408" s="1">
        <v>1</v>
      </c>
    </row>
    <row r="1409" spans="1:72">
      <c r="A1409" s="1" t="s">
        <v>5380</v>
      </c>
      <c r="B1409" s="1" t="s">
        <v>213</v>
      </c>
      <c r="C1409" s="1">
        <v>1</v>
      </c>
      <c r="D1409" s="1" t="s">
        <v>5381</v>
      </c>
      <c r="E1409" s="1">
        <v>10141</v>
      </c>
      <c r="F1409" s="1" t="s">
        <v>5380</v>
      </c>
      <c r="G1409" s="1">
        <v>1</v>
      </c>
      <c r="K1409" s="1">
        <v>10000</v>
      </c>
      <c r="M1409" s="1">
        <v>400</v>
      </c>
      <c r="O1409" s="1">
        <v>200</v>
      </c>
      <c r="Q1409" s="1">
        <v>20</v>
      </c>
      <c r="Y1409" s="1">
        <v>0.05</v>
      </c>
      <c r="Z1409" s="1">
        <v>3.5</v>
      </c>
      <c r="AA1409" s="1">
        <v>3</v>
      </c>
      <c r="AB1409" s="1">
        <v>0.7</v>
      </c>
      <c r="AG1409" s="1">
        <v>0</v>
      </c>
      <c r="AH1409" s="1">
        <v>1</v>
      </c>
      <c r="AI1409" s="1" t="s">
        <v>5382</v>
      </c>
      <c r="AJ1409" s="1" t="s">
        <v>216</v>
      </c>
      <c r="AK1409" s="1" t="s">
        <v>238</v>
      </c>
      <c r="AM1409" s="1">
        <v>1</v>
      </c>
      <c r="AV1409" s="1">
        <v>1</v>
      </c>
      <c r="AX1409" s="1">
        <v>0.25</v>
      </c>
      <c r="BE1409" s="1" t="s">
        <v>5380</v>
      </c>
      <c r="BK1409" s="1" t="s">
        <v>4994</v>
      </c>
      <c r="BN1409" s="1" t="s">
        <v>217</v>
      </c>
      <c r="BO1409" s="1" t="s">
        <v>218</v>
      </c>
      <c r="BP1409" s="1" t="s">
        <v>239</v>
      </c>
      <c r="BQ1409" s="1" t="s">
        <v>220</v>
      </c>
      <c r="BT1409" s="1">
        <v>1</v>
      </c>
    </row>
    <row r="1410" spans="1:72">
      <c r="A1410" s="1" t="s">
        <v>5383</v>
      </c>
      <c r="B1410" s="1" t="s">
        <v>213</v>
      </c>
      <c r="C1410" s="1">
        <v>1</v>
      </c>
      <c r="D1410" s="1" t="s">
        <v>5384</v>
      </c>
      <c r="E1410" s="1">
        <v>10142</v>
      </c>
      <c r="F1410" s="1" t="s">
        <v>5383</v>
      </c>
      <c r="G1410" s="1">
        <v>1</v>
      </c>
      <c r="K1410" s="1">
        <v>8000</v>
      </c>
      <c r="M1410" s="1">
        <v>500</v>
      </c>
      <c r="O1410" s="1">
        <v>3200</v>
      </c>
      <c r="Q1410" s="1">
        <v>80</v>
      </c>
      <c r="Y1410" s="1">
        <v>0.05</v>
      </c>
      <c r="Z1410" s="1">
        <v>3</v>
      </c>
      <c r="AA1410" s="1">
        <v>3</v>
      </c>
      <c r="AB1410" s="1">
        <v>0.5</v>
      </c>
      <c r="AG1410" s="1">
        <v>0</v>
      </c>
      <c r="AH1410" s="1">
        <v>1</v>
      </c>
      <c r="AI1410" s="1" t="s">
        <v>5385</v>
      </c>
      <c r="AJ1410" s="1" t="s">
        <v>216</v>
      </c>
      <c r="AK1410" s="1" t="s">
        <v>238</v>
      </c>
      <c r="AM1410" s="1">
        <v>1</v>
      </c>
      <c r="AV1410" s="1">
        <v>1</v>
      </c>
      <c r="AX1410" s="1">
        <v>0.25</v>
      </c>
      <c r="BE1410" s="1" t="s">
        <v>5383</v>
      </c>
      <c r="BK1410" s="1" t="s">
        <v>4994</v>
      </c>
      <c r="BN1410" s="1" t="s">
        <v>3354</v>
      </c>
      <c r="BO1410" s="1" t="s">
        <v>1959</v>
      </c>
      <c r="BP1410" s="1" t="s">
        <v>1960</v>
      </c>
      <c r="BQ1410" s="1" t="s">
        <v>3322</v>
      </c>
      <c r="BT1410" s="1">
        <v>1</v>
      </c>
    </row>
    <row r="1411" spans="1:72">
      <c r="A1411" s="1" t="s">
        <v>5386</v>
      </c>
      <c r="B1411" s="1" t="s">
        <v>213</v>
      </c>
      <c r="C1411" s="1">
        <v>1</v>
      </c>
      <c r="D1411" s="1" t="s">
        <v>5387</v>
      </c>
      <c r="E1411" s="1">
        <v>10142</v>
      </c>
      <c r="F1411" s="1" t="s">
        <v>5386</v>
      </c>
      <c r="G1411" s="1">
        <v>1</v>
      </c>
      <c r="K1411" s="1">
        <v>10000</v>
      </c>
      <c r="M1411" s="1">
        <v>700</v>
      </c>
      <c r="O1411" s="1">
        <v>3200</v>
      </c>
      <c r="Q1411" s="1">
        <v>80</v>
      </c>
      <c r="Y1411" s="1">
        <v>0.05</v>
      </c>
      <c r="Z1411" s="1">
        <v>3</v>
      </c>
      <c r="AA1411" s="1">
        <v>3</v>
      </c>
      <c r="AB1411" s="1">
        <v>0.5</v>
      </c>
      <c r="AG1411" s="1">
        <v>0</v>
      </c>
      <c r="AH1411" s="1">
        <v>1</v>
      </c>
      <c r="AI1411" s="1" t="s">
        <v>5388</v>
      </c>
      <c r="AJ1411" s="1" t="s">
        <v>216</v>
      </c>
      <c r="AK1411" s="1" t="s">
        <v>238</v>
      </c>
      <c r="AM1411" s="1">
        <v>1</v>
      </c>
      <c r="AV1411" s="1">
        <v>1</v>
      </c>
      <c r="AX1411" s="1">
        <v>0.25</v>
      </c>
      <c r="BE1411" s="1" t="s">
        <v>5386</v>
      </c>
      <c r="BK1411" s="1" t="s">
        <v>4994</v>
      </c>
      <c r="BN1411" s="1" t="s">
        <v>3354</v>
      </c>
      <c r="BO1411" s="1" t="s">
        <v>1959</v>
      </c>
      <c r="BP1411" s="1" t="s">
        <v>1960</v>
      </c>
      <c r="BQ1411" s="1" t="s">
        <v>3322</v>
      </c>
      <c r="BT1411" s="1">
        <v>1</v>
      </c>
    </row>
    <row r="1412" spans="1:72">
      <c r="A1412" s="1" t="s">
        <v>5389</v>
      </c>
      <c r="B1412" s="1" t="s">
        <v>213</v>
      </c>
      <c r="C1412" s="1">
        <v>1</v>
      </c>
      <c r="D1412" s="1" t="s">
        <v>5390</v>
      </c>
      <c r="E1412" s="1">
        <v>10143</v>
      </c>
      <c r="F1412" s="1" t="s">
        <v>5389</v>
      </c>
      <c r="G1412" s="1">
        <v>1</v>
      </c>
      <c r="K1412" s="1">
        <v>12000</v>
      </c>
      <c r="M1412" s="1">
        <v>500</v>
      </c>
      <c r="O1412" s="1">
        <v>600</v>
      </c>
      <c r="Q1412" s="1">
        <v>0</v>
      </c>
      <c r="Y1412" s="1">
        <v>0.05</v>
      </c>
      <c r="Z1412" s="1">
        <v>3.5</v>
      </c>
      <c r="AA1412" s="1">
        <v>3</v>
      </c>
      <c r="AB1412" s="1">
        <v>1</v>
      </c>
      <c r="AG1412" s="1">
        <v>0</v>
      </c>
      <c r="AH1412" s="1">
        <v>1</v>
      </c>
      <c r="AI1412" s="1" t="s">
        <v>5391</v>
      </c>
      <c r="AJ1412" s="1" t="s">
        <v>216</v>
      </c>
      <c r="AK1412" s="1" t="s">
        <v>238</v>
      </c>
      <c r="AM1412" s="1">
        <v>1</v>
      </c>
      <c r="AV1412" s="1">
        <v>1</v>
      </c>
      <c r="AX1412" s="1">
        <v>0.25</v>
      </c>
      <c r="BE1412" s="1" t="s">
        <v>5389</v>
      </c>
      <c r="BK1412" s="1" t="s">
        <v>4994</v>
      </c>
      <c r="BN1412" s="1" t="s">
        <v>3354</v>
      </c>
      <c r="BO1412" s="1" t="s">
        <v>1959</v>
      </c>
      <c r="BP1412" s="1" t="s">
        <v>1960</v>
      </c>
      <c r="BQ1412" s="1" t="s">
        <v>3322</v>
      </c>
      <c r="BT1412" s="1">
        <v>1</v>
      </c>
    </row>
    <row r="1413" spans="1:72">
      <c r="A1413" s="1" t="s">
        <v>5392</v>
      </c>
      <c r="B1413" s="1" t="s">
        <v>213</v>
      </c>
      <c r="C1413" s="1">
        <v>1</v>
      </c>
      <c r="D1413" s="1" t="s">
        <v>5393</v>
      </c>
      <c r="E1413" s="1">
        <v>10143</v>
      </c>
      <c r="F1413" s="1" t="s">
        <v>5392</v>
      </c>
      <c r="G1413" s="1">
        <v>1</v>
      </c>
      <c r="K1413" s="1">
        <v>18000</v>
      </c>
      <c r="M1413" s="1">
        <v>800</v>
      </c>
      <c r="O1413" s="1">
        <v>800</v>
      </c>
      <c r="Q1413" s="1">
        <v>0</v>
      </c>
      <c r="Y1413" s="1">
        <v>0.05</v>
      </c>
      <c r="Z1413" s="1">
        <v>3.5</v>
      </c>
      <c r="AA1413" s="1">
        <v>3</v>
      </c>
      <c r="AB1413" s="1">
        <v>1</v>
      </c>
      <c r="AG1413" s="1">
        <v>0</v>
      </c>
      <c r="AH1413" s="1">
        <v>1</v>
      </c>
      <c r="AI1413" s="1" t="s">
        <v>5394</v>
      </c>
      <c r="AJ1413" s="1" t="s">
        <v>216</v>
      </c>
      <c r="AK1413" s="1" t="s">
        <v>238</v>
      </c>
      <c r="AM1413" s="1">
        <v>1</v>
      </c>
      <c r="AV1413" s="1">
        <v>1</v>
      </c>
      <c r="AX1413" s="1">
        <v>0.25</v>
      </c>
      <c r="BE1413" s="1" t="s">
        <v>5392</v>
      </c>
      <c r="BK1413" s="1" t="s">
        <v>4994</v>
      </c>
      <c r="BN1413" s="1" t="s">
        <v>3354</v>
      </c>
      <c r="BO1413" s="1" t="s">
        <v>1959</v>
      </c>
      <c r="BP1413" s="1" t="s">
        <v>1960</v>
      </c>
      <c r="BQ1413" s="1" t="s">
        <v>3322</v>
      </c>
      <c r="BT1413" s="1">
        <v>1</v>
      </c>
    </row>
    <row r="1414" spans="1:72">
      <c r="A1414" s="1" t="s">
        <v>5395</v>
      </c>
      <c r="B1414" s="1" t="s">
        <v>213</v>
      </c>
      <c r="C1414" s="1">
        <v>1</v>
      </c>
      <c r="D1414" s="1" t="s">
        <v>5396</v>
      </c>
      <c r="E1414" s="1">
        <v>10144</v>
      </c>
      <c r="F1414" s="1" t="s">
        <v>5395</v>
      </c>
      <c r="G1414" s="1">
        <v>1</v>
      </c>
      <c r="K1414" s="1">
        <v>15000</v>
      </c>
      <c r="M1414" s="1">
        <v>800</v>
      </c>
      <c r="O1414" s="1">
        <v>500</v>
      </c>
      <c r="Q1414" s="1">
        <v>20</v>
      </c>
      <c r="Y1414" s="1">
        <v>0.05</v>
      </c>
      <c r="Z1414" s="1">
        <v>5</v>
      </c>
      <c r="AA1414" s="1">
        <v>3</v>
      </c>
      <c r="AB1414" s="1">
        <v>0.7</v>
      </c>
      <c r="AG1414" s="1">
        <v>0</v>
      </c>
      <c r="AH1414" s="1">
        <v>1</v>
      </c>
      <c r="AI1414" s="1" t="s">
        <v>5397</v>
      </c>
      <c r="AJ1414" s="1" t="s">
        <v>216</v>
      </c>
      <c r="AK1414" s="1" t="s">
        <v>238</v>
      </c>
      <c r="AM1414" s="1">
        <v>1</v>
      </c>
      <c r="AV1414" s="1">
        <v>1</v>
      </c>
      <c r="AX1414" s="1">
        <v>0.25</v>
      </c>
      <c r="BE1414" s="1" t="s">
        <v>5395</v>
      </c>
      <c r="BK1414" s="1" t="s">
        <v>4994</v>
      </c>
      <c r="BN1414" s="1" t="s">
        <v>217</v>
      </c>
      <c r="BO1414" s="1" t="s">
        <v>218</v>
      </c>
      <c r="BP1414" s="1" t="s">
        <v>239</v>
      </c>
      <c r="BQ1414" s="1" t="s">
        <v>220</v>
      </c>
      <c r="BT1414" s="1">
        <v>1</v>
      </c>
    </row>
    <row r="1415" spans="1:72">
      <c r="A1415" s="1" t="s">
        <v>5398</v>
      </c>
      <c r="B1415" s="1" t="s">
        <v>213</v>
      </c>
      <c r="C1415" s="1">
        <v>1</v>
      </c>
      <c r="D1415" s="1" t="s">
        <v>5399</v>
      </c>
      <c r="E1415" s="1">
        <v>10144</v>
      </c>
      <c r="F1415" s="1" t="s">
        <v>5398</v>
      </c>
      <c r="G1415" s="1">
        <v>1</v>
      </c>
      <c r="K1415" s="1">
        <v>20000</v>
      </c>
      <c r="M1415" s="1">
        <v>1000</v>
      </c>
      <c r="O1415" s="1">
        <v>800</v>
      </c>
      <c r="Q1415" s="1">
        <v>30</v>
      </c>
      <c r="Y1415" s="1">
        <v>0.05</v>
      </c>
      <c r="Z1415" s="1">
        <v>5</v>
      </c>
      <c r="AA1415" s="1">
        <v>3</v>
      </c>
      <c r="AB1415" s="1">
        <v>0.7</v>
      </c>
      <c r="AG1415" s="1">
        <v>0</v>
      </c>
      <c r="AH1415" s="1">
        <v>1</v>
      </c>
      <c r="AI1415" s="1" t="s">
        <v>5400</v>
      </c>
      <c r="AJ1415" s="1" t="s">
        <v>216</v>
      </c>
      <c r="AK1415" s="1" t="s">
        <v>238</v>
      </c>
      <c r="AM1415" s="1">
        <v>1</v>
      </c>
      <c r="AV1415" s="1">
        <v>1</v>
      </c>
      <c r="AX1415" s="1">
        <v>0.25</v>
      </c>
      <c r="BE1415" s="1" t="s">
        <v>5398</v>
      </c>
      <c r="BK1415" s="1" t="s">
        <v>4994</v>
      </c>
      <c r="BN1415" s="1" t="s">
        <v>217</v>
      </c>
      <c r="BO1415" s="1" t="s">
        <v>218</v>
      </c>
      <c r="BP1415" s="1" t="s">
        <v>239</v>
      </c>
      <c r="BQ1415" s="1" t="s">
        <v>220</v>
      </c>
      <c r="BT1415" s="1">
        <v>1</v>
      </c>
    </row>
    <row r="1416" spans="1:72">
      <c r="A1416" s="1" t="s">
        <v>5401</v>
      </c>
      <c r="B1416" s="1" t="s">
        <v>213</v>
      </c>
      <c r="C1416" s="1">
        <v>1</v>
      </c>
      <c r="D1416" s="1" t="s">
        <v>5402</v>
      </c>
      <c r="E1416" s="1">
        <v>10145</v>
      </c>
      <c r="F1416" s="1" t="s">
        <v>5401</v>
      </c>
      <c r="G1416" s="1">
        <v>1</v>
      </c>
      <c r="K1416" s="1">
        <v>20000</v>
      </c>
      <c r="M1416" s="1">
        <v>1500</v>
      </c>
      <c r="O1416" s="1">
        <v>2500</v>
      </c>
      <c r="Q1416" s="1">
        <v>80</v>
      </c>
      <c r="Y1416" s="1">
        <v>0.05</v>
      </c>
      <c r="Z1416" s="1">
        <v>7</v>
      </c>
      <c r="AA1416" s="1">
        <v>5</v>
      </c>
      <c r="AB1416" s="1">
        <v>0.3</v>
      </c>
      <c r="AG1416" s="1">
        <v>0</v>
      </c>
      <c r="AH1416" s="1">
        <v>1</v>
      </c>
      <c r="AI1416" s="1" t="s">
        <v>5403</v>
      </c>
      <c r="AJ1416" s="1" t="s">
        <v>216</v>
      </c>
      <c r="AK1416" s="1" t="s">
        <v>238</v>
      </c>
      <c r="AM1416" s="1">
        <v>1</v>
      </c>
      <c r="AV1416" s="1">
        <v>1</v>
      </c>
      <c r="AX1416" s="1">
        <v>0.25</v>
      </c>
      <c r="BE1416" s="1" t="s">
        <v>5401</v>
      </c>
      <c r="BK1416" s="1" t="s">
        <v>4994</v>
      </c>
      <c r="BN1416" s="1" t="s">
        <v>4137</v>
      </c>
      <c r="BO1416" s="1" t="s">
        <v>4048</v>
      </c>
      <c r="BP1416" s="1" t="s">
        <v>4049</v>
      </c>
      <c r="BQ1416" s="1" t="s">
        <v>2620</v>
      </c>
      <c r="BT1416" s="1">
        <v>1</v>
      </c>
    </row>
    <row r="1417" spans="1:72">
      <c r="A1417" s="1" t="s">
        <v>5404</v>
      </c>
      <c r="B1417" s="1" t="s">
        <v>213</v>
      </c>
      <c r="C1417" s="1">
        <v>1</v>
      </c>
      <c r="D1417" s="1" t="s">
        <v>5405</v>
      </c>
      <c r="E1417" s="1">
        <v>10145</v>
      </c>
      <c r="F1417" s="1" t="s">
        <v>5404</v>
      </c>
      <c r="G1417" s="1">
        <v>1</v>
      </c>
      <c r="K1417" s="1">
        <v>24000</v>
      </c>
      <c r="M1417" s="1">
        <v>1500</v>
      </c>
      <c r="O1417" s="1">
        <v>3000</v>
      </c>
      <c r="Q1417" s="1">
        <v>80</v>
      </c>
      <c r="Y1417" s="1">
        <v>0.05</v>
      </c>
      <c r="Z1417" s="1">
        <v>7</v>
      </c>
      <c r="AA1417" s="1">
        <v>5</v>
      </c>
      <c r="AB1417" s="1">
        <v>0.3</v>
      </c>
      <c r="AG1417" s="1">
        <v>0</v>
      </c>
      <c r="AH1417" s="1">
        <v>1</v>
      </c>
      <c r="AI1417" s="1" t="s">
        <v>5406</v>
      </c>
      <c r="AJ1417" s="1" t="s">
        <v>216</v>
      </c>
      <c r="AK1417" s="1" t="s">
        <v>238</v>
      </c>
      <c r="AM1417" s="1">
        <v>1</v>
      </c>
      <c r="AV1417" s="1">
        <v>1</v>
      </c>
      <c r="AX1417" s="1">
        <v>0.25</v>
      </c>
      <c r="BE1417" s="1" t="s">
        <v>5404</v>
      </c>
      <c r="BK1417" s="1" t="s">
        <v>4994</v>
      </c>
      <c r="BN1417" s="1" t="s">
        <v>4137</v>
      </c>
      <c r="BO1417" s="1" t="s">
        <v>4048</v>
      </c>
      <c r="BP1417" s="1" t="s">
        <v>4049</v>
      </c>
      <c r="BQ1417" s="1" t="s">
        <v>2620</v>
      </c>
      <c r="BT1417" s="1">
        <v>1</v>
      </c>
    </row>
    <row r="1418" spans="1:67">
      <c r="A1418" s="1" t="s">
        <v>5407</v>
      </c>
      <c r="B1418" s="1" t="s">
        <v>213</v>
      </c>
      <c r="C1418" s="1">
        <v>1</v>
      </c>
      <c r="D1418" s="1" t="s">
        <v>5408</v>
      </c>
      <c r="E1418" s="1">
        <v>1574</v>
      </c>
      <c r="F1418" s="1" t="s">
        <v>5407</v>
      </c>
      <c r="G1418" s="1">
        <v>1</v>
      </c>
      <c r="K1418" s="1">
        <v>125000</v>
      </c>
      <c r="M1418" s="1">
        <v>600</v>
      </c>
      <c r="O1418" s="1">
        <v>600</v>
      </c>
      <c r="Q1418" s="1">
        <v>40</v>
      </c>
      <c r="Y1418" s="1">
        <v>0.05</v>
      </c>
      <c r="Z1418" s="1">
        <v>7</v>
      </c>
      <c r="AA1418" s="1">
        <v>10</v>
      </c>
      <c r="AB1418" s="1">
        <v>0.1</v>
      </c>
      <c r="AG1418" s="1">
        <v>0</v>
      </c>
      <c r="AH1418" s="1">
        <v>1</v>
      </c>
      <c r="AI1418" s="1" t="s">
        <v>5409</v>
      </c>
      <c r="AJ1418" s="1" t="s">
        <v>216</v>
      </c>
      <c r="AK1418" s="1" t="s">
        <v>238</v>
      </c>
      <c r="AM1418" s="1">
        <v>1</v>
      </c>
      <c r="AV1418" s="1">
        <v>1</v>
      </c>
      <c r="AX1418" s="1">
        <v>0.25</v>
      </c>
      <c r="BE1418" s="1" t="s">
        <v>5407</v>
      </c>
      <c r="BK1418" s="1" t="s">
        <v>4994</v>
      </c>
      <c r="BN1418" s="1" t="s">
        <v>217</v>
      </c>
      <c r="BO1418" s="1" t="s">
        <v>218</v>
      </c>
    </row>
    <row r="1420" spans="1:72">
      <c r="A1420" s="1" t="s">
        <v>5410</v>
      </c>
      <c r="B1420" s="1" t="s">
        <v>213</v>
      </c>
      <c r="C1420" s="1">
        <v>1</v>
      </c>
      <c r="D1420" s="1" t="s">
        <v>5411</v>
      </c>
      <c r="E1420" s="1">
        <v>1576</v>
      </c>
      <c r="F1420" s="1" t="s">
        <v>5410</v>
      </c>
      <c r="G1420" s="1">
        <v>1</v>
      </c>
      <c r="K1420" s="1">
        <v>10000</v>
      </c>
      <c r="M1420" s="1">
        <v>1000</v>
      </c>
      <c r="O1420" s="1">
        <v>250</v>
      </c>
      <c r="Q1420" s="1">
        <v>15</v>
      </c>
      <c r="Y1420" s="1">
        <v>0.05</v>
      </c>
      <c r="Z1420" s="1">
        <v>5</v>
      </c>
      <c r="AA1420" s="1">
        <v>0</v>
      </c>
      <c r="AB1420" s="1">
        <v>0.8</v>
      </c>
      <c r="AG1420" s="1">
        <v>0</v>
      </c>
      <c r="AH1420" s="1">
        <v>2</v>
      </c>
      <c r="AI1420" s="1" t="s">
        <v>5412</v>
      </c>
      <c r="AJ1420" s="1" t="s">
        <v>216</v>
      </c>
      <c r="AK1420" s="1" t="s">
        <v>238</v>
      </c>
      <c r="AM1420" s="1">
        <v>1</v>
      </c>
      <c r="AV1420" s="1">
        <v>1</v>
      </c>
      <c r="AX1420" s="1">
        <v>0.25</v>
      </c>
      <c r="BE1420" s="1" t="s">
        <v>5410</v>
      </c>
      <c r="BK1420" s="1" t="s">
        <v>4994</v>
      </c>
      <c r="BN1420" s="1" t="s">
        <v>217</v>
      </c>
      <c r="BO1420" s="1" t="s">
        <v>218</v>
      </c>
      <c r="BP1420" s="1" t="s">
        <v>239</v>
      </c>
      <c r="BQ1420" s="1" t="s">
        <v>5413</v>
      </c>
      <c r="BT1420" s="1">
        <v>1</v>
      </c>
    </row>
    <row r="1421" spans="1:72">
      <c r="A1421" s="1" t="s">
        <v>5414</v>
      </c>
      <c r="B1421" s="1" t="s">
        <v>213</v>
      </c>
      <c r="C1421" s="1">
        <v>1</v>
      </c>
      <c r="D1421" s="1" t="s">
        <v>5415</v>
      </c>
      <c r="E1421" s="1">
        <v>10146</v>
      </c>
      <c r="F1421" s="1" t="s">
        <v>5414</v>
      </c>
      <c r="G1421" s="1">
        <v>1</v>
      </c>
      <c r="K1421" s="1">
        <v>5000</v>
      </c>
      <c r="M1421" s="1">
        <v>350</v>
      </c>
      <c r="O1421" s="1">
        <v>100</v>
      </c>
      <c r="Q1421" s="1">
        <v>10</v>
      </c>
      <c r="Y1421" s="1">
        <v>0.05</v>
      </c>
      <c r="Z1421" s="1">
        <v>3</v>
      </c>
      <c r="AA1421" s="1">
        <v>0</v>
      </c>
      <c r="AB1421" s="1">
        <v>0.3</v>
      </c>
      <c r="AG1421" s="1">
        <v>0</v>
      </c>
      <c r="AH1421" s="1">
        <v>1</v>
      </c>
      <c r="AI1421" s="1" t="s">
        <v>5416</v>
      </c>
      <c r="AJ1421" s="1" t="s">
        <v>216</v>
      </c>
      <c r="AK1421" s="1" t="s">
        <v>5417</v>
      </c>
      <c r="AM1421" s="1">
        <v>1</v>
      </c>
      <c r="AN1421" s="1">
        <v>1</v>
      </c>
      <c r="AT1421" s="1">
        <v>-120</v>
      </c>
      <c r="AV1421" s="1">
        <v>1</v>
      </c>
      <c r="AX1421" s="1">
        <v>0.25</v>
      </c>
      <c r="BE1421" s="1" t="s">
        <v>5414</v>
      </c>
      <c r="BK1421" s="1" t="s">
        <v>4994</v>
      </c>
      <c r="BN1421" s="1" t="s">
        <v>217</v>
      </c>
      <c r="BO1421" s="1" t="s">
        <v>218</v>
      </c>
      <c r="BP1421" s="1" t="s">
        <v>239</v>
      </c>
      <c r="BQ1421" s="1" t="s">
        <v>220</v>
      </c>
      <c r="BT1421" s="1">
        <v>1</v>
      </c>
    </row>
    <row r="1422" spans="1:72">
      <c r="A1422" s="1" t="s">
        <v>5418</v>
      </c>
      <c r="B1422" s="1" t="s">
        <v>213</v>
      </c>
      <c r="C1422" s="1">
        <v>1</v>
      </c>
      <c r="D1422" s="1" t="s">
        <v>5419</v>
      </c>
      <c r="E1422" s="1">
        <v>10146</v>
      </c>
      <c r="F1422" s="1" t="s">
        <v>5418</v>
      </c>
      <c r="G1422" s="1">
        <v>1</v>
      </c>
      <c r="K1422" s="1">
        <v>6500</v>
      </c>
      <c r="M1422" s="1">
        <v>400</v>
      </c>
      <c r="O1422" s="1">
        <v>100</v>
      </c>
      <c r="Q1422" s="1">
        <v>10</v>
      </c>
      <c r="Y1422" s="1">
        <v>0.05</v>
      </c>
      <c r="Z1422" s="1">
        <v>3</v>
      </c>
      <c r="AA1422" s="1">
        <v>0</v>
      </c>
      <c r="AB1422" s="1">
        <v>0.3</v>
      </c>
      <c r="AG1422" s="1">
        <v>0</v>
      </c>
      <c r="AH1422" s="1">
        <v>1</v>
      </c>
      <c r="AI1422" s="1" t="s">
        <v>5420</v>
      </c>
      <c r="AJ1422" s="1" t="s">
        <v>216</v>
      </c>
      <c r="AK1422" s="1" t="s">
        <v>5417</v>
      </c>
      <c r="AM1422" s="1">
        <v>1</v>
      </c>
      <c r="AN1422" s="1">
        <v>1</v>
      </c>
      <c r="AT1422" s="1">
        <v>-120</v>
      </c>
      <c r="AV1422" s="1">
        <v>1</v>
      </c>
      <c r="AX1422" s="1">
        <v>0.25</v>
      </c>
      <c r="BE1422" s="1" t="s">
        <v>5418</v>
      </c>
      <c r="BK1422" s="1" t="s">
        <v>4994</v>
      </c>
      <c r="BN1422" s="1" t="s">
        <v>217</v>
      </c>
      <c r="BO1422" s="1" t="s">
        <v>218</v>
      </c>
      <c r="BP1422" s="1" t="s">
        <v>239</v>
      </c>
      <c r="BQ1422" s="1" t="s">
        <v>220</v>
      </c>
      <c r="BT1422" s="1">
        <v>1</v>
      </c>
    </row>
    <row r="1423" spans="1:72">
      <c r="A1423" s="1" t="s">
        <v>5421</v>
      </c>
      <c r="B1423" s="1" t="s">
        <v>213</v>
      </c>
      <c r="C1423" s="1">
        <v>1</v>
      </c>
      <c r="D1423" s="1" t="s">
        <v>5422</v>
      </c>
      <c r="E1423" s="1">
        <v>10147</v>
      </c>
      <c r="F1423" s="1" t="s">
        <v>5421</v>
      </c>
      <c r="G1423" s="1">
        <v>1</v>
      </c>
      <c r="K1423" s="1">
        <v>7000</v>
      </c>
      <c r="M1423" s="1">
        <v>330</v>
      </c>
      <c r="O1423" s="1">
        <v>300</v>
      </c>
      <c r="Q1423" s="1">
        <v>20</v>
      </c>
      <c r="Y1423" s="1">
        <v>0.05</v>
      </c>
      <c r="Z1423" s="1">
        <v>2.5</v>
      </c>
      <c r="AA1423" s="1">
        <v>1</v>
      </c>
      <c r="AB1423" s="1">
        <v>0.6</v>
      </c>
      <c r="AG1423" s="1">
        <v>0</v>
      </c>
      <c r="AH1423" s="1">
        <v>1</v>
      </c>
      <c r="AI1423" s="1" t="s">
        <v>5423</v>
      </c>
      <c r="AJ1423" s="1" t="s">
        <v>216</v>
      </c>
      <c r="AK1423" s="1" t="s">
        <v>238</v>
      </c>
      <c r="AM1423" s="1">
        <v>1</v>
      </c>
      <c r="AN1423" s="1">
        <v>1</v>
      </c>
      <c r="AV1423" s="1">
        <v>1</v>
      </c>
      <c r="AX1423" s="1">
        <v>0.25</v>
      </c>
      <c r="BE1423" s="1" t="s">
        <v>5421</v>
      </c>
      <c r="BK1423" s="1" t="s">
        <v>4994</v>
      </c>
      <c r="BN1423" s="1" t="s">
        <v>217</v>
      </c>
      <c r="BO1423" s="1" t="s">
        <v>218</v>
      </c>
      <c r="BP1423" s="1" t="s">
        <v>239</v>
      </c>
      <c r="BQ1423" s="1" t="s">
        <v>220</v>
      </c>
      <c r="BT1423" s="1">
        <v>1</v>
      </c>
    </row>
    <row r="1424" spans="1:72">
      <c r="A1424" s="1" t="s">
        <v>5424</v>
      </c>
      <c r="B1424" s="1" t="s">
        <v>213</v>
      </c>
      <c r="C1424" s="1">
        <v>1</v>
      </c>
      <c r="D1424" s="1" t="s">
        <v>5425</v>
      </c>
      <c r="E1424" s="1">
        <v>10147</v>
      </c>
      <c r="F1424" s="1" t="s">
        <v>5424</v>
      </c>
      <c r="G1424" s="1">
        <v>1</v>
      </c>
      <c r="K1424" s="1">
        <v>9000</v>
      </c>
      <c r="M1424" s="1">
        <v>400</v>
      </c>
      <c r="O1424" s="1">
        <v>300</v>
      </c>
      <c r="Q1424" s="1">
        <v>20</v>
      </c>
      <c r="Y1424" s="1">
        <v>0.05</v>
      </c>
      <c r="Z1424" s="1">
        <v>2.5</v>
      </c>
      <c r="AA1424" s="1">
        <v>1</v>
      </c>
      <c r="AB1424" s="1">
        <v>0.6</v>
      </c>
      <c r="AG1424" s="1">
        <v>0</v>
      </c>
      <c r="AH1424" s="1">
        <v>1</v>
      </c>
      <c r="AI1424" s="1" t="s">
        <v>5426</v>
      </c>
      <c r="AJ1424" s="1" t="s">
        <v>216</v>
      </c>
      <c r="AK1424" s="1" t="s">
        <v>238</v>
      </c>
      <c r="AM1424" s="1">
        <v>1</v>
      </c>
      <c r="AN1424" s="1">
        <v>1</v>
      </c>
      <c r="AV1424" s="1">
        <v>1</v>
      </c>
      <c r="AX1424" s="1">
        <v>0.25</v>
      </c>
      <c r="BE1424" s="1" t="s">
        <v>5424</v>
      </c>
      <c r="BK1424" s="1" t="s">
        <v>4994</v>
      </c>
      <c r="BN1424" s="1" t="s">
        <v>217</v>
      </c>
      <c r="BO1424" s="1" t="s">
        <v>218</v>
      </c>
      <c r="BP1424" s="1" t="s">
        <v>239</v>
      </c>
      <c r="BQ1424" s="1" t="s">
        <v>220</v>
      </c>
      <c r="BT1424" s="1">
        <v>1</v>
      </c>
    </row>
    <row r="1425" spans="1:72">
      <c r="A1425" s="1" t="s">
        <v>5427</v>
      </c>
      <c r="B1425" s="1" t="s">
        <v>213</v>
      </c>
      <c r="C1425" s="1">
        <v>1</v>
      </c>
      <c r="D1425" s="1" t="s">
        <v>5428</v>
      </c>
      <c r="E1425" s="1">
        <v>10148</v>
      </c>
      <c r="F1425" s="1" t="s">
        <v>5427</v>
      </c>
      <c r="G1425" s="1">
        <v>1</v>
      </c>
      <c r="K1425" s="1">
        <v>6000</v>
      </c>
      <c r="M1425" s="1">
        <v>200</v>
      </c>
      <c r="O1425" s="1">
        <v>200</v>
      </c>
      <c r="Q1425" s="1">
        <v>50</v>
      </c>
      <c r="Y1425" s="1">
        <v>0.05</v>
      </c>
      <c r="Z1425" s="1">
        <v>1</v>
      </c>
      <c r="AA1425" s="1">
        <v>0</v>
      </c>
      <c r="AB1425" s="1">
        <v>1</v>
      </c>
      <c r="AG1425" s="1">
        <v>0</v>
      </c>
      <c r="AH1425" s="1">
        <v>1</v>
      </c>
      <c r="AI1425" s="1" t="s">
        <v>5429</v>
      </c>
      <c r="AJ1425" s="1" t="s">
        <v>216</v>
      </c>
      <c r="AK1425" s="1" t="s">
        <v>238</v>
      </c>
      <c r="AM1425" s="1">
        <v>1</v>
      </c>
      <c r="AN1425" s="1">
        <v>1</v>
      </c>
      <c r="AV1425" s="1">
        <v>1</v>
      </c>
      <c r="AX1425" s="1">
        <v>0.25</v>
      </c>
      <c r="BE1425" s="1" t="s">
        <v>5427</v>
      </c>
      <c r="BK1425" s="1" t="s">
        <v>4994</v>
      </c>
      <c r="BN1425" s="1" t="s">
        <v>217</v>
      </c>
      <c r="BO1425" s="1" t="s">
        <v>218</v>
      </c>
      <c r="BP1425" s="1" t="s">
        <v>239</v>
      </c>
      <c r="BQ1425" s="1" t="s">
        <v>220</v>
      </c>
      <c r="BT1425" s="1">
        <v>1</v>
      </c>
    </row>
    <row r="1426" spans="1:72">
      <c r="A1426" s="1" t="s">
        <v>5430</v>
      </c>
      <c r="B1426" s="1" t="s">
        <v>213</v>
      </c>
      <c r="C1426" s="1">
        <v>1</v>
      </c>
      <c r="D1426" s="1" t="s">
        <v>5431</v>
      </c>
      <c r="E1426" s="1">
        <v>10148</v>
      </c>
      <c r="F1426" s="1" t="s">
        <v>5430</v>
      </c>
      <c r="G1426" s="1">
        <v>1</v>
      </c>
      <c r="K1426" s="1">
        <v>7000</v>
      </c>
      <c r="M1426" s="1">
        <v>250</v>
      </c>
      <c r="O1426" s="1">
        <v>200</v>
      </c>
      <c r="Q1426" s="1">
        <v>50</v>
      </c>
      <c r="Y1426" s="1">
        <v>0.05</v>
      </c>
      <c r="Z1426" s="1">
        <v>1</v>
      </c>
      <c r="AA1426" s="1">
        <v>0</v>
      </c>
      <c r="AB1426" s="1">
        <v>1</v>
      </c>
      <c r="AG1426" s="1">
        <v>0</v>
      </c>
      <c r="AH1426" s="1">
        <v>1</v>
      </c>
      <c r="AI1426" s="1" t="s">
        <v>5432</v>
      </c>
      <c r="AJ1426" s="1" t="s">
        <v>216</v>
      </c>
      <c r="AK1426" s="1" t="s">
        <v>238</v>
      </c>
      <c r="AM1426" s="1">
        <v>1</v>
      </c>
      <c r="AN1426" s="1">
        <v>1</v>
      </c>
      <c r="AV1426" s="1">
        <v>1</v>
      </c>
      <c r="AX1426" s="1">
        <v>0.25</v>
      </c>
      <c r="BE1426" s="1" t="s">
        <v>5430</v>
      </c>
      <c r="BK1426" s="1" t="s">
        <v>4994</v>
      </c>
      <c r="BN1426" s="1" t="s">
        <v>217</v>
      </c>
      <c r="BO1426" s="1" t="s">
        <v>218</v>
      </c>
      <c r="BP1426" s="1" t="s">
        <v>239</v>
      </c>
      <c r="BQ1426" s="1" t="s">
        <v>220</v>
      </c>
      <c r="BT1426" s="1">
        <v>1</v>
      </c>
    </row>
    <row r="1427" spans="1:72">
      <c r="A1427" s="1" t="s">
        <v>5433</v>
      </c>
      <c r="B1427" s="1" t="s">
        <v>213</v>
      </c>
      <c r="C1427" s="1">
        <v>1</v>
      </c>
      <c r="D1427" s="1" t="s">
        <v>5434</v>
      </c>
      <c r="E1427" s="1">
        <v>10149</v>
      </c>
      <c r="F1427" s="1" t="s">
        <v>5433</v>
      </c>
      <c r="G1427" s="1">
        <v>1</v>
      </c>
      <c r="K1427" s="1">
        <v>11000</v>
      </c>
      <c r="M1427" s="1">
        <v>550</v>
      </c>
      <c r="O1427" s="1">
        <v>400</v>
      </c>
      <c r="Q1427" s="1">
        <v>10</v>
      </c>
      <c r="Y1427" s="1">
        <v>0.05</v>
      </c>
      <c r="Z1427" s="1">
        <v>3.5</v>
      </c>
      <c r="AA1427" s="1">
        <v>2</v>
      </c>
      <c r="AB1427" s="1">
        <v>0.3</v>
      </c>
      <c r="AG1427" s="1">
        <v>0</v>
      </c>
      <c r="AH1427" s="1">
        <v>1</v>
      </c>
      <c r="AI1427" s="1" t="s">
        <v>5435</v>
      </c>
      <c r="AJ1427" s="1" t="s">
        <v>216</v>
      </c>
      <c r="AK1427" s="1" t="s">
        <v>5417</v>
      </c>
      <c r="AM1427" s="1">
        <v>1</v>
      </c>
      <c r="AN1427" s="1">
        <v>1</v>
      </c>
      <c r="AT1427" s="1">
        <v>-250</v>
      </c>
      <c r="AV1427" s="1">
        <v>1</v>
      </c>
      <c r="AX1427" s="1">
        <v>0.25</v>
      </c>
      <c r="BE1427" s="1" t="s">
        <v>5433</v>
      </c>
      <c r="BK1427" s="1" t="s">
        <v>4994</v>
      </c>
      <c r="BN1427" s="1" t="s">
        <v>217</v>
      </c>
      <c r="BO1427" s="1" t="s">
        <v>218</v>
      </c>
      <c r="BP1427" s="1" t="s">
        <v>239</v>
      </c>
      <c r="BQ1427" s="1" t="s">
        <v>220</v>
      </c>
      <c r="BT1427" s="1">
        <v>1</v>
      </c>
    </row>
    <row r="1428" spans="1:72">
      <c r="A1428" s="1" t="s">
        <v>5436</v>
      </c>
      <c r="B1428" s="1" t="s">
        <v>213</v>
      </c>
      <c r="C1428" s="1">
        <v>1</v>
      </c>
      <c r="D1428" s="1" t="s">
        <v>5437</v>
      </c>
      <c r="E1428" s="1">
        <v>10149</v>
      </c>
      <c r="F1428" s="1" t="s">
        <v>5436</v>
      </c>
      <c r="G1428" s="1">
        <v>1</v>
      </c>
      <c r="K1428" s="1">
        <v>13000</v>
      </c>
      <c r="M1428" s="1">
        <v>650</v>
      </c>
      <c r="O1428" s="1">
        <v>400</v>
      </c>
      <c r="Q1428" s="1">
        <v>10</v>
      </c>
      <c r="Y1428" s="1">
        <v>0.05</v>
      </c>
      <c r="Z1428" s="1">
        <v>3.5</v>
      </c>
      <c r="AA1428" s="1">
        <v>2</v>
      </c>
      <c r="AB1428" s="1">
        <v>0.3</v>
      </c>
      <c r="AG1428" s="1">
        <v>0</v>
      </c>
      <c r="AH1428" s="1">
        <v>1</v>
      </c>
      <c r="AI1428" s="1" t="s">
        <v>5438</v>
      </c>
      <c r="AJ1428" s="1" t="s">
        <v>216</v>
      </c>
      <c r="AK1428" s="1" t="s">
        <v>5417</v>
      </c>
      <c r="AM1428" s="1">
        <v>1</v>
      </c>
      <c r="AN1428" s="1">
        <v>1</v>
      </c>
      <c r="AT1428" s="1">
        <v>-250</v>
      </c>
      <c r="AV1428" s="1">
        <v>1</v>
      </c>
      <c r="AX1428" s="1">
        <v>0.25</v>
      </c>
      <c r="BE1428" s="1" t="s">
        <v>5436</v>
      </c>
      <c r="BK1428" s="1" t="s">
        <v>4994</v>
      </c>
      <c r="BN1428" s="1" t="s">
        <v>217</v>
      </c>
      <c r="BO1428" s="1" t="s">
        <v>218</v>
      </c>
      <c r="BP1428" s="1" t="s">
        <v>239</v>
      </c>
      <c r="BQ1428" s="1" t="s">
        <v>220</v>
      </c>
      <c r="BT1428" s="1">
        <v>1</v>
      </c>
    </row>
    <row r="1429" spans="1:72">
      <c r="A1429" s="1" t="s">
        <v>5439</v>
      </c>
      <c r="B1429" s="1" t="s">
        <v>213</v>
      </c>
      <c r="C1429" s="1">
        <v>1</v>
      </c>
      <c r="D1429" s="1" t="s">
        <v>5440</v>
      </c>
      <c r="E1429" s="1">
        <v>10150</v>
      </c>
      <c r="F1429" s="1" t="s">
        <v>5439</v>
      </c>
      <c r="G1429" s="1">
        <v>1</v>
      </c>
      <c r="K1429" s="1">
        <v>15000</v>
      </c>
      <c r="M1429" s="1">
        <v>360</v>
      </c>
      <c r="O1429" s="1">
        <v>200</v>
      </c>
      <c r="Q1429" s="1">
        <v>60</v>
      </c>
      <c r="Y1429" s="1">
        <v>0.05</v>
      </c>
      <c r="Z1429" s="1">
        <v>4.5</v>
      </c>
      <c r="AA1429" s="1">
        <v>2</v>
      </c>
      <c r="AB1429" s="1">
        <v>0.4</v>
      </c>
      <c r="AG1429" s="1">
        <v>0</v>
      </c>
      <c r="AH1429" s="1">
        <v>1</v>
      </c>
      <c r="AI1429" s="1" t="s">
        <v>5441</v>
      </c>
      <c r="AJ1429" s="1" t="s">
        <v>216</v>
      </c>
      <c r="AK1429" s="1" t="s">
        <v>238</v>
      </c>
      <c r="AM1429" s="1">
        <v>1</v>
      </c>
      <c r="AN1429" s="1">
        <v>1</v>
      </c>
      <c r="AV1429" s="1">
        <v>1</v>
      </c>
      <c r="AX1429" s="1">
        <v>0.25</v>
      </c>
      <c r="BE1429" s="1" t="s">
        <v>5439</v>
      </c>
      <c r="BK1429" s="1" t="s">
        <v>4994</v>
      </c>
      <c r="BN1429" s="1" t="s">
        <v>217</v>
      </c>
      <c r="BO1429" s="1" t="s">
        <v>218</v>
      </c>
      <c r="BP1429" s="1" t="s">
        <v>239</v>
      </c>
      <c r="BQ1429" s="1" t="s">
        <v>220</v>
      </c>
      <c r="BT1429" s="1">
        <v>1</v>
      </c>
    </row>
    <row r="1430" spans="1:72">
      <c r="A1430" s="1" t="s">
        <v>5442</v>
      </c>
      <c r="B1430" s="1" t="s">
        <v>213</v>
      </c>
      <c r="C1430" s="1">
        <v>1</v>
      </c>
      <c r="D1430" s="1" t="s">
        <v>5443</v>
      </c>
      <c r="E1430" s="1">
        <v>10150</v>
      </c>
      <c r="F1430" s="1" t="s">
        <v>5442</v>
      </c>
      <c r="G1430" s="1">
        <v>1</v>
      </c>
      <c r="K1430" s="1">
        <v>20000</v>
      </c>
      <c r="M1430" s="1">
        <v>480</v>
      </c>
      <c r="O1430" s="1">
        <v>200</v>
      </c>
      <c r="Q1430" s="1">
        <v>60</v>
      </c>
      <c r="Y1430" s="1">
        <v>0.05</v>
      </c>
      <c r="Z1430" s="1">
        <v>4.5</v>
      </c>
      <c r="AA1430" s="1">
        <v>2</v>
      </c>
      <c r="AB1430" s="1">
        <v>0.4</v>
      </c>
      <c r="AG1430" s="1">
        <v>0</v>
      </c>
      <c r="AH1430" s="1">
        <v>1</v>
      </c>
      <c r="AI1430" s="1" t="s">
        <v>5444</v>
      </c>
      <c r="AJ1430" s="1" t="s">
        <v>216</v>
      </c>
      <c r="AK1430" s="1" t="s">
        <v>238</v>
      </c>
      <c r="AM1430" s="1">
        <v>1</v>
      </c>
      <c r="AN1430" s="1">
        <v>1</v>
      </c>
      <c r="AV1430" s="1">
        <v>1</v>
      </c>
      <c r="AX1430" s="1">
        <v>0.25</v>
      </c>
      <c r="BE1430" s="1" t="s">
        <v>5442</v>
      </c>
      <c r="BK1430" s="1" t="s">
        <v>4994</v>
      </c>
      <c r="BN1430" s="1" t="s">
        <v>217</v>
      </c>
      <c r="BO1430" s="1" t="s">
        <v>218</v>
      </c>
      <c r="BP1430" s="1" t="s">
        <v>239</v>
      </c>
      <c r="BQ1430" s="1" t="s">
        <v>220</v>
      </c>
      <c r="BT1430" s="1">
        <v>1</v>
      </c>
    </row>
    <row r="1431" spans="1:72">
      <c r="A1431" s="1" t="s">
        <v>5445</v>
      </c>
      <c r="B1431" s="1" t="s">
        <v>213</v>
      </c>
      <c r="C1431" s="1">
        <v>1</v>
      </c>
      <c r="D1431" s="1" t="s">
        <v>5446</v>
      </c>
      <c r="E1431" s="1">
        <v>10151</v>
      </c>
      <c r="F1431" s="1" t="s">
        <v>5445</v>
      </c>
      <c r="G1431" s="1">
        <v>1</v>
      </c>
      <c r="K1431" s="1">
        <v>15000</v>
      </c>
      <c r="M1431" s="1">
        <v>800</v>
      </c>
      <c r="O1431" s="1">
        <v>1000</v>
      </c>
      <c r="Q1431" s="1">
        <v>0</v>
      </c>
      <c r="Y1431" s="1">
        <v>0.05</v>
      </c>
      <c r="Z1431" s="1">
        <v>4</v>
      </c>
      <c r="AA1431" s="1">
        <v>3</v>
      </c>
      <c r="AB1431" s="1">
        <v>0.3</v>
      </c>
      <c r="AG1431" s="1">
        <v>0</v>
      </c>
      <c r="AH1431" s="1">
        <v>1</v>
      </c>
      <c r="AI1431" s="1" t="s">
        <v>5447</v>
      </c>
      <c r="AJ1431" s="1" t="s">
        <v>216</v>
      </c>
      <c r="AK1431" s="1" t="s">
        <v>238</v>
      </c>
      <c r="AM1431" s="1">
        <v>1</v>
      </c>
      <c r="AN1431" s="1">
        <v>1</v>
      </c>
      <c r="AV1431" s="1">
        <v>1</v>
      </c>
      <c r="AX1431" s="1">
        <v>0.25</v>
      </c>
      <c r="BE1431" s="1" t="s">
        <v>5445</v>
      </c>
      <c r="BK1431" s="1" t="s">
        <v>4994</v>
      </c>
      <c r="BN1431" s="1" t="s">
        <v>217</v>
      </c>
      <c r="BO1431" s="1" t="s">
        <v>218</v>
      </c>
      <c r="BP1431" s="1" t="s">
        <v>239</v>
      </c>
      <c r="BQ1431" s="1" t="s">
        <v>220</v>
      </c>
      <c r="BT1431" s="1">
        <v>1</v>
      </c>
    </row>
    <row r="1432" spans="1:72">
      <c r="A1432" s="1" t="s">
        <v>5448</v>
      </c>
      <c r="B1432" s="1" t="s">
        <v>213</v>
      </c>
      <c r="C1432" s="1">
        <v>1</v>
      </c>
      <c r="D1432" s="1" t="s">
        <v>5449</v>
      </c>
      <c r="E1432" s="1">
        <v>10151</v>
      </c>
      <c r="F1432" s="1" t="s">
        <v>5448</v>
      </c>
      <c r="G1432" s="1">
        <v>1</v>
      </c>
      <c r="K1432" s="1">
        <v>18000</v>
      </c>
      <c r="M1432" s="1">
        <v>900</v>
      </c>
      <c r="O1432" s="1">
        <v>1200</v>
      </c>
      <c r="Q1432" s="1">
        <v>0</v>
      </c>
      <c r="Y1432" s="1">
        <v>0.05</v>
      </c>
      <c r="Z1432" s="1">
        <v>4</v>
      </c>
      <c r="AA1432" s="1">
        <v>3</v>
      </c>
      <c r="AB1432" s="1">
        <v>0.3</v>
      </c>
      <c r="AG1432" s="1">
        <v>0</v>
      </c>
      <c r="AH1432" s="1">
        <v>1</v>
      </c>
      <c r="AI1432" s="1" t="s">
        <v>5450</v>
      </c>
      <c r="AJ1432" s="1" t="s">
        <v>216</v>
      </c>
      <c r="AK1432" s="1" t="s">
        <v>238</v>
      </c>
      <c r="AM1432" s="1">
        <v>1</v>
      </c>
      <c r="AN1432" s="1">
        <v>1</v>
      </c>
      <c r="AV1432" s="1">
        <v>1</v>
      </c>
      <c r="AX1432" s="1">
        <v>0.25</v>
      </c>
      <c r="BE1432" s="1" t="s">
        <v>5448</v>
      </c>
      <c r="BK1432" s="1" t="s">
        <v>4994</v>
      </c>
      <c r="BN1432" s="1" t="s">
        <v>217</v>
      </c>
      <c r="BO1432" s="1" t="s">
        <v>218</v>
      </c>
      <c r="BP1432" s="1" t="s">
        <v>239</v>
      </c>
      <c r="BQ1432" s="1" t="s">
        <v>220</v>
      </c>
      <c r="BT1432" s="1">
        <v>1</v>
      </c>
    </row>
    <row r="1433" spans="1:72">
      <c r="A1433" s="1" t="s">
        <v>5451</v>
      </c>
      <c r="B1433" s="1" t="s">
        <v>213</v>
      </c>
      <c r="C1433" s="1">
        <v>1</v>
      </c>
      <c r="D1433" s="1" t="s">
        <v>5452</v>
      </c>
      <c r="E1433" s="1">
        <v>10152</v>
      </c>
      <c r="F1433" s="1" t="s">
        <v>5451</v>
      </c>
      <c r="G1433" s="1">
        <v>1</v>
      </c>
      <c r="K1433" s="1">
        <v>40000</v>
      </c>
      <c r="M1433" s="1">
        <v>2500</v>
      </c>
      <c r="O1433" s="1">
        <v>600</v>
      </c>
      <c r="Q1433" s="1">
        <v>30</v>
      </c>
      <c r="Y1433" s="1">
        <v>0.05</v>
      </c>
      <c r="Z1433" s="1">
        <v>5.5</v>
      </c>
      <c r="AA1433" s="1">
        <v>3</v>
      </c>
      <c r="AB1433" s="1">
        <v>0.4</v>
      </c>
      <c r="AG1433" s="1">
        <v>0</v>
      </c>
      <c r="AH1433" s="1">
        <v>1</v>
      </c>
      <c r="AI1433" s="1" t="s">
        <v>5453</v>
      </c>
      <c r="AJ1433" s="1" t="s">
        <v>216</v>
      </c>
      <c r="AK1433" s="1" t="s">
        <v>238</v>
      </c>
      <c r="AM1433" s="1">
        <v>1</v>
      </c>
      <c r="AN1433" s="1">
        <v>1</v>
      </c>
      <c r="AV1433" s="1">
        <v>1</v>
      </c>
      <c r="AX1433" s="1">
        <v>0.25</v>
      </c>
      <c r="BE1433" s="1" t="s">
        <v>5451</v>
      </c>
      <c r="BK1433" s="1" t="s">
        <v>4994</v>
      </c>
      <c r="BN1433" s="1" t="s">
        <v>217</v>
      </c>
      <c r="BO1433" s="1" t="s">
        <v>218</v>
      </c>
      <c r="BP1433" s="1" t="s">
        <v>239</v>
      </c>
      <c r="BQ1433" s="1" t="s">
        <v>220</v>
      </c>
      <c r="BT1433" s="1">
        <v>1</v>
      </c>
    </row>
    <row r="1434" spans="1:72">
      <c r="A1434" s="1" t="s">
        <v>5454</v>
      </c>
      <c r="B1434" s="1" t="s">
        <v>213</v>
      </c>
      <c r="C1434" s="1">
        <v>1</v>
      </c>
      <c r="D1434" s="1" t="s">
        <v>5455</v>
      </c>
      <c r="E1434" s="1">
        <v>10152</v>
      </c>
      <c r="F1434" s="1" t="s">
        <v>5454</v>
      </c>
      <c r="G1434" s="1">
        <v>1</v>
      </c>
      <c r="K1434" s="1">
        <v>50000</v>
      </c>
      <c r="M1434" s="1">
        <v>3000</v>
      </c>
      <c r="O1434" s="1">
        <v>600</v>
      </c>
      <c r="Q1434" s="1">
        <v>30</v>
      </c>
      <c r="Y1434" s="1">
        <v>0.05</v>
      </c>
      <c r="Z1434" s="1">
        <v>5.5</v>
      </c>
      <c r="AA1434" s="1">
        <v>3</v>
      </c>
      <c r="AB1434" s="1">
        <v>0.4</v>
      </c>
      <c r="AG1434" s="1">
        <v>0</v>
      </c>
      <c r="AH1434" s="1">
        <v>1</v>
      </c>
      <c r="AI1434" s="1" t="s">
        <v>5456</v>
      </c>
      <c r="AJ1434" s="1" t="s">
        <v>216</v>
      </c>
      <c r="AK1434" s="1" t="s">
        <v>238</v>
      </c>
      <c r="AM1434" s="1">
        <v>1</v>
      </c>
      <c r="AN1434" s="1">
        <v>1</v>
      </c>
      <c r="AV1434" s="1">
        <v>1</v>
      </c>
      <c r="AX1434" s="1">
        <v>0.25</v>
      </c>
      <c r="BE1434" s="1" t="s">
        <v>5454</v>
      </c>
      <c r="BK1434" s="1" t="s">
        <v>4994</v>
      </c>
      <c r="BN1434" s="1" t="s">
        <v>217</v>
      </c>
      <c r="BO1434" s="1" t="s">
        <v>218</v>
      </c>
      <c r="BP1434" s="1" t="s">
        <v>239</v>
      </c>
      <c r="BQ1434" s="1" t="s">
        <v>220</v>
      </c>
      <c r="BT1434" s="1">
        <v>1</v>
      </c>
    </row>
    <row r="1435" spans="1:72">
      <c r="A1435" s="1" t="s">
        <v>5457</v>
      </c>
      <c r="B1435" s="1" t="s">
        <v>213</v>
      </c>
      <c r="C1435" s="1">
        <v>1</v>
      </c>
      <c r="D1435" s="1" t="s">
        <v>5458</v>
      </c>
      <c r="E1435" s="1">
        <v>10153</v>
      </c>
      <c r="F1435" s="1" t="s">
        <v>5457</v>
      </c>
      <c r="G1435" s="1">
        <v>1</v>
      </c>
      <c r="K1435" s="1">
        <v>8000</v>
      </c>
      <c r="M1435" s="1">
        <v>0</v>
      </c>
      <c r="O1435" s="1">
        <v>0</v>
      </c>
      <c r="Q1435" s="1">
        <v>60</v>
      </c>
      <c r="Y1435" s="1">
        <v>0.05</v>
      </c>
      <c r="Z1435" s="1">
        <v>1</v>
      </c>
      <c r="AA1435" s="1">
        <v>0</v>
      </c>
      <c r="AB1435" s="1">
        <v>1.5</v>
      </c>
      <c r="AG1435" s="1">
        <v>0</v>
      </c>
      <c r="AH1435" s="1">
        <v>2</v>
      </c>
      <c r="AI1435" s="1" t="s">
        <v>5459</v>
      </c>
      <c r="AJ1435" s="1" t="s">
        <v>216</v>
      </c>
      <c r="AK1435" s="1" t="s">
        <v>238</v>
      </c>
      <c r="AM1435" s="1">
        <v>1</v>
      </c>
      <c r="AN1435" s="1">
        <v>1</v>
      </c>
      <c r="AV1435" s="1">
        <v>1</v>
      </c>
      <c r="AX1435" s="1">
        <v>0.25</v>
      </c>
      <c r="BE1435" s="1" t="s">
        <v>5457</v>
      </c>
      <c r="BK1435" s="1" t="s">
        <v>4994</v>
      </c>
      <c r="BN1435" s="1" t="s">
        <v>217</v>
      </c>
      <c r="BO1435" s="1" t="s">
        <v>218</v>
      </c>
      <c r="BP1435" s="1" t="s">
        <v>239</v>
      </c>
      <c r="BQ1435" s="1" t="s">
        <v>220</v>
      </c>
      <c r="BT1435" s="1">
        <v>1</v>
      </c>
    </row>
    <row r="1436" spans="1:72">
      <c r="A1436" s="1" t="s">
        <v>5460</v>
      </c>
      <c r="B1436" s="1" t="s">
        <v>213</v>
      </c>
      <c r="C1436" s="1">
        <v>1</v>
      </c>
      <c r="D1436" s="1" t="s">
        <v>5461</v>
      </c>
      <c r="E1436" s="1">
        <v>10153</v>
      </c>
      <c r="F1436" s="1" t="s">
        <v>5460</v>
      </c>
      <c r="G1436" s="1">
        <v>1</v>
      </c>
      <c r="K1436" s="1">
        <v>10000</v>
      </c>
      <c r="M1436" s="1">
        <v>0</v>
      </c>
      <c r="O1436" s="1">
        <v>0</v>
      </c>
      <c r="Q1436" s="1">
        <v>60</v>
      </c>
      <c r="Y1436" s="1">
        <v>0.05</v>
      </c>
      <c r="Z1436" s="1">
        <v>1</v>
      </c>
      <c r="AA1436" s="1">
        <v>0</v>
      </c>
      <c r="AB1436" s="1">
        <v>1.5</v>
      </c>
      <c r="AG1436" s="1">
        <v>0</v>
      </c>
      <c r="AH1436" s="1">
        <v>2</v>
      </c>
      <c r="AI1436" s="1" t="s">
        <v>5462</v>
      </c>
      <c r="AJ1436" s="1" t="s">
        <v>216</v>
      </c>
      <c r="AK1436" s="1" t="s">
        <v>238</v>
      </c>
      <c r="AM1436" s="1">
        <v>1</v>
      </c>
      <c r="AN1436" s="1">
        <v>1</v>
      </c>
      <c r="AV1436" s="1">
        <v>1</v>
      </c>
      <c r="AX1436" s="1">
        <v>0.25</v>
      </c>
      <c r="BE1436" s="1" t="s">
        <v>5460</v>
      </c>
      <c r="BK1436" s="1" t="s">
        <v>4994</v>
      </c>
      <c r="BN1436" s="1" t="s">
        <v>217</v>
      </c>
      <c r="BO1436" s="1" t="s">
        <v>218</v>
      </c>
      <c r="BP1436" s="1" t="s">
        <v>239</v>
      </c>
      <c r="BQ1436" s="1" t="s">
        <v>220</v>
      </c>
      <c r="BT1436" s="1">
        <v>1</v>
      </c>
    </row>
    <row r="1437" spans="1:72">
      <c r="A1437" s="1" t="s">
        <v>5463</v>
      </c>
      <c r="B1437" s="1" t="s">
        <v>213</v>
      </c>
      <c r="C1437" s="1">
        <v>1</v>
      </c>
      <c r="D1437" s="1" t="s">
        <v>5464</v>
      </c>
      <c r="E1437" s="1">
        <v>1579</v>
      </c>
      <c r="F1437" s="1" t="s">
        <v>5463</v>
      </c>
      <c r="G1437" s="1">
        <v>1</v>
      </c>
      <c r="K1437" s="1">
        <v>70000</v>
      </c>
      <c r="M1437" s="1">
        <v>1200</v>
      </c>
      <c r="O1437" s="1">
        <v>2000</v>
      </c>
      <c r="Q1437" s="1">
        <v>50</v>
      </c>
      <c r="Y1437" s="1">
        <v>0.05</v>
      </c>
      <c r="Z1437" s="1">
        <v>6</v>
      </c>
      <c r="AA1437" s="1">
        <v>5</v>
      </c>
      <c r="AB1437" s="1">
        <v>0.5</v>
      </c>
      <c r="AG1437" s="1">
        <v>0</v>
      </c>
      <c r="AH1437" s="1">
        <v>1</v>
      </c>
      <c r="AI1437" s="1" t="s">
        <v>5465</v>
      </c>
      <c r="AJ1437" s="1" t="s">
        <v>216</v>
      </c>
      <c r="AK1437" s="1" t="s">
        <v>238</v>
      </c>
      <c r="AM1437" s="1">
        <v>1</v>
      </c>
      <c r="AN1437" s="1">
        <v>1</v>
      </c>
      <c r="AV1437" s="1">
        <v>1</v>
      </c>
      <c r="AX1437" s="1">
        <v>0.25</v>
      </c>
      <c r="BE1437" s="1" t="s">
        <v>5463</v>
      </c>
      <c r="BK1437" s="1" t="s">
        <v>4994</v>
      </c>
      <c r="BN1437" s="1" t="s">
        <v>217</v>
      </c>
      <c r="BO1437" s="1" t="s">
        <v>1959</v>
      </c>
      <c r="BP1437" s="1" t="s">
        <v>239</v>
      </c>
      <c r="BQ1437" s="1" t="s">
        <v>220</v>
      </c>
      <c r="BT1437" s="1">
        <v>1</v>
      </c>
    </row>
    <row r="1438" spans="1:72">
      <c r="A1438" s="1" t="s">
        <v>5466</v>
      </c>
      <c r="B1438" s="1" t="s">
        <v>213</v>
      </c>
      <c r="C1438" s="1">
        <v>1</v>
      </c>
      <c r="D1438" s="1" t="s">
        <v>5467</v>
      </c>
      <c r="E1438" s="1">
        <v>10154</v>
      </c>
      <c r="F1438" s="1" t="s">
        <v>5466</v>
      </c>
      <c r="G1438" s="1">
        <v>1</v>
      </c>
      <c r="K1438" s="1">
        <v>3</v>
      </c>
      <c r="M1438" s="1">
        <v>100</v>
      </c>
      <c r="O1438" s="1">
        <v>100</v>
      </c>
      <c r="Q1438" s="1">
        <v>0</v>
      </c>
      <c r="Y1438" s="1">
        <v>0.05</v>
      </c>
      <c r="Z1438" s="1">
        <v>5</v>
      </c>
      <c r="AA1438" s="1">
        <v>1</v>
      </c>
      <c r="AB1438" s="1">
        <v>0.2</v>
      </c>
      <c r="AG1438" s="1">
        <v>0</v>
      </c>
      <c r="AH1438" s="1">
        <v>1</v>
      </c>
      <c r="AI1438" s="1" t="s">
        <v>5468</v>
      </c>
      <c r="AJ1438" s="1" t="s">
        <v>216</v>
      </c>
      <c r="AK1438" s="1" t="s">
        <v>238</v>
      </c>
      <c r="AM1438" s="1">
        <v>1</v>
      </c>
      <c r="AN1438" s="1">
        <v>1</v>
      </c>
      <c r="AV1438" s="1">
        <v>1</v>
      </c>
      <c r="AX1438" s="1">
        <v>0.25</v>
      </c>
      <c r="BE1438" s="1" t="s">
        <v>5466</v>
      </c>
      <c r="BK1438" s="1" t="s">
        <v>4994</v>
      </c>
      <c r="BN1438" s="1" t="s">
        <v>217</v>
      </c>
      <c r="BO1438" s="1" t="s">
        <v>218</v>
      </c>
      <c r="BP1438" s="1" t="s">
        <v>239</v>
      </c>
      <c r="BQ1438" s="1" t="s">
        <v>220</v>
      </c>
      <c r="BT1438" s="1">
        <v>1</v>
      </c>
    </row>
    <row r="1439" spans="1:72">
      <c r="A1439" s="1" t="s">
        <v>5469</v>
      </c>
      <c r="B1439" s="1" t="s">
        <v>213</v>
      </c>
      <c r="C1439" s="1">
        <v>1</v>
      </c>
      <c r="D1439" s="1" t="s">
        <v>5470</v>
      </c>
      <c r="E1439" s="1">
        <v>10155</v>
      </c>
      <c r="F1439" s="1" t="s">
        <v>5469</v>
      </c>
      <c r="G1439" s="1">
        <v>1</v>
      </c>
      <c r="K1439" s="1">
        <v>4200</v>
      </c>
      <c r="M1439" s="1">
        <v>360</v>
      </c>
      <c r="O1439" s="1">
        <v>100</v>
      </c>
      <c r="Q1439" s="1">
        <v>10</v>
      </c>
      <c r="Y1439" s="1">
        <v>0.05</v>
      </c>
      <c r="Z1439" s="1">
        <v>2.5</v>
      </c>
      <c r="AA1439" s="1">
        <v>1</v>
      </c>
      <c r="AB1439" s="1">
        <v>0.8</v>
      </c>
      <c r="AG1439" s="1">
        <v>0</v>
      </c>
      <c r="AH1439" s="1">
        <v>1</v>
      </c>
      <c r="AI1439" s="1" t="s">
        <v>5471</v>
      </c>
      <c r="AJ1439" s="1" t="s">
        <v>216</v>
      </c>
      <c r="AK1439" s="1" t="s">
        <v>238</v>
      </c>
      <c r="AM1439" s="1">
        <v>1</v>
      </c>
      <c r="AV1439" s="1">
        <v>1</v>
      </c>
      <c r="AX1439" s="1">
        <v>0.25</v>
      </c>
      <c r="BE1439" s="1" t="s">
        <v>5469</v>
      </c>
      <c r="BK1439" s="1" t="s">
        <v>4994</v>
      </c>
      <c r="BN1439" s="1" t="s">
        <v>217</v>
      </c>
      <c r="BO1439" s="1" t="s">
        <v>218</v>
      </c>
      <c r="BP1439" s="1" t="s">
        <v>239</v>
      </c>
      <c r="BQ1439" s="1" t="s">
        <v>220</v>
      </c>
      <c r="BT1439" s="1">
        <v>1</v>
      </c>
    </row>
    <row r="1440" spans="1:72">
      <c r="A1440" s="1" t="s">
        <v>5472</v>
      </c>
      <c r="B1440" s="1" t="s">
        <v>213</v>
      </c>
      <c r="C1440" s="1">
        <v>1</v>
      </c>
      <c r="D1440" s="1" t="s">
        <v>5473</v>
      </c>
      <c r="E1440" s="1">
        <v>10155</v>
      </c>
      <c r="F1440" s="1" t="s">
        <v>5472</v>
      </c>
      <c r="G1440" s="1">
        <v>1</v>
      </c>
      <c r="K1440" s="1">
        <v>5400</v>
      </c>
      <c r="M1440" s="1">
        <v>450</v>
      </c>
      <c r="O1440" s="1">
        <v>150</v>
      </c>
      <c r="Q1440" s="1">
        <v>10</v>
      </c>
      <c r="Y1440" s="1">
        <v>0.05</v>
      </c>
      <c r="Z1440" s="1">
        <v>2.5</v>
      </c>
      <c r="AA1440" s="1">
        <v>1</v>
      </c>
      <c r="AB1440" s="1">
        <v>0.8</v>
      </c>
      <c r="AG1440" s="1">
        <v>0</v>
      </c>
      <c r="AH1440" s="1">
        <v>1</v>
      </c>
      <c r="AI1440" s="1" t="s">
        <v>5474</v>
      </c>
      <c r="AJ1440" s="1" t="s">
        <v>216</v>
      </c>
      <c r="AK1440" s="1" t="s">
        <v>238</v>
      </c>
      <c r="AM1440" s="1">
        <v>1</v>
      </c>
      <c r="AV1440" s="1">
        <v>1</v>
      </c>
      <c r="AX1440" s="1">
        <v>0.25</v>
      </c>
      <c r="BE1440" s="1" t="s">
        <v>5472</v>
      </c>
      <c r="BK1440" s="1" t="s">
        <v>4994</v>
      </c>
      <c r="BN1440" s="1" t="s">
        <v>217</v>
      </c>
      <c r="BO1440" s="1" t="s">
        <v>218</v>
      </c>
      <c r="BP1440" s="1" t="s">
        <v>239</v>
      </c>
      <c r="BQ1440" s="1" t="s">
        <v>220</v>
      </c>
      <c r="BT1440" s="1">
        <v>1</v>
      </c>
    </row>
    <row r="1441" spans="1:72">
      <c r="A1441" s="1" t="s">
        <v>5475</v>
      </c>
      <c r="B1441" s="1" t="s">
        <v>213</v>
      </c>
      <c r="C1441" s="1">
        <v>1</v>
      </c>
      <c r="D1441" s="1" t="s">
        <v>5476</v>
      </c>
      <c r="E1441" s="1">
        <v>10156</v>
      </c>
      <c r="F1441" s="1" t="s">
        <v>5475</v>
      </c>
      <c r="G1441" s="1">
        <v>1</v>
      </c>
      <c r="K1441" s="1">
        <v>4000</v>
      </c>
      <c r="M1441" s="1">
        <v>300</v>
      </c>
      <c r="O1441" s="1">
        <v>100</v>
      </c>
      <c r="Q1441" s="1">
        <v>20</v>
      </c>
      <c r="Y1441" s="1">
        <v>0.05</v>
      </c>
      <c r="Z1441" s="1">
        <v>5</v>
      </c>
      <c r="AA1441" s="1">
        <v>1</v>
      </c>
      <c r="AB1441" s="1">
        <v>0.5</v>
      </c>
      <c r="AG1441" s="1">
        <v>0</v>
      </c>
      <c r="AH1441" s="1">
        <v>1</v>
      </c>
      <c r="AI1441" s="1" t="s">
        <v>5477</v>
      </c>
      <c r="AJ1441" s="1" t="s">
        <v>216</v>
      </c>
      <c r="AK1441" s="1" t="s">
        <v>238</v>
      </c>
      <c r="AM1441" s="1">
        <v>1</v>
      </c>
      <c r="AV1441" s="1">
        <v>1</v>
      </c>
      <c r="AX1441" s="1">
        <v>0.25</v>
      </c>
      <c r="BE1441" s="1" t="s">
        <v>5475</v>
      </c>
      <c r="BK1441" s="1" t="s">
        <v>4994</v>
      </c>
      <c r="BN1441" s="1" t="s">
        <v>217</v>
      </c>
      <c r="BO1441" s="1" t="s">
        <v>218</v>
      </c>
      <c r="BP1441" s="1" t="s">
        <v>239</v>
      </c>
      <c r="BQ1441" s="1" t="s">
        <v>220</v>
      </c>
      <c r="BT1441" s="1">
        <v>1</v>
      </c>
    </row>
    <row r="1442" spans="1:72">
      <c r="A1442" s="1" t="s">
        <v>5478</v>
      </c>
      <c r="B1442" s="1" t="s">
        <v>213</v>
      </c>
      <c r="C1442" s="1">
        <v>1</v>
      </c>
      <c r="D1442" s="1" t="s">
        <v>5479</v>
      </c>
      <c r="E1442" s="1">
        <v>10156</v>
      </c>
      <c r="F1442" s="1" t="s">
        <v>5478</v>
      </c>
      <c r="G1442" s="1">
        <v>1</v>
      </c>
      <c r="K1442" s="1">
        <v>5500</v>
      </c>
      <c r="M1442" s="1">
        <v>360</v>
      </c>
      <c r="O1442" s="1">
        <v>100</v>
      </c>
      <c r="Q1442" s="1">
        <v>20</v>
      </c>
      <c r="Y1442" s="1">
        <v>0.05</v>
      </c>
      <c r="Z1442" s="1">
        <v>5</v>
      </c>
      <c r="AA1442" s="1">
        <v>1</v>
      </c>
      <c r="AB1442" s="1">
        <v>0.5</v>
      </c>
      <c r="AG1442" s="1">
        <v>0</v>
      </c>
      <c r="AH1442" s="1">
        <v>1</v>
      </c>
      <c r="AI1442" s="1" t="s">
        <v>5480</v>
      </c>
      <c r="AJ1442" s="1" t="s">
        <v>216</v>
      </c>
      <c r="AK1442" s="1" t="s">
        <v>238</v>
      </c>
      <c r="AM1442" s="1">
        <v>1</v>
      </c>
      <c r="AV1442" s="1">
        <v>1</v>
      </c>
      <c r="AX1442" s="1">
        <v>0.25</v>
      </c>
      <c r="BE1442" s="1" t="s">
        <v>5478</v>
      </c>
      <c r="BK1442" s="1" t="s">
        <v>4994</v>
      </c>
      <c r="BN1442" s="1" t="s">
        <v>217</v>
      </c>
      <c r="BO1442" s="1" t="s">
        <v>218</v>
      </c>
      <c r="BP1442" s="1" t="s">
        <v>239</v>
      </c>
      <c r="BQ1442" s="1" t="s">
        <v>220</v>
      </c>
      <c r="BT1442" s="1">
        <v>1</v>
      </c>
    </row>
    <row r="1443" spans="1:72">
      <c r="A1443" s="1" t="s">
        <v>5481</v>
      </c>
      <c r="B1443" s="1" t="s">
        <v>213</v>
      </c>
      <c r="C1443" s="1">
        <v>1</v>
      </c>
      <c r="D1443" s="1" t="s">
        <v>5482</v>
      </c>
      <c r="E1443" s="1">
        <v>10157</v>
      </c>
      <c r="F1443" s="1" t="s">
        <v>5481</v>
      </c>
      <c r="G1443" s="1">
        <v>1</v>
      </c>
      <c r="K1443" s="1">
        <v>6000</v>
      </c>
      <c r="M1443" s="1">
        <v>450</v>
      </c>
      <c r="O1443" s="1">
        <v>600</v>
      </c>
      <c r="Q1443" s="1">
        <v>50</v>
      </c>
      <c r="Y1443" s="1">
        <v>0.05</v>
      </c>
      <c r="Z1443" s="1">
        <v>4</v>
      </c>
      <c r="AA1443" s="1">
        <v>2</v>
      </c>
      <c r="AB1443" s="1">
        <v>0.75</v>
      </c>
      <c r="AG1443" s="1">
        <v>0</v>
      </c>
      <c r="AH1443" s="1">
        <v>1</v>
      </c>
      <c r="AI1443" s="1" t="s">
        <v>5483</v>
      </c>
      <c r="AJ1443" s="1" t="s">
        <v>216</v>
      </c>
      <c r="AK1443" s="1" t="s">
        <v>238</v>
      </c>
      <c r="AM1443" s="1">
        <v>1</v>
      </c>
      <c r="AN1443" s="1">
        <v>1</v>
      </c>
      <c r="AV1443" s="1">
        <v>1</v>
      </c>
      <c r="AX1443" s="1">
        <v>0.25</v>
      </c>
      <c r="BE1443" s="1" t="s">
        <v>5481</v>
      </c>
      <c r="BK1443" s="1" t="s">
        <v>4994</v>
      </c>
      <c r="BN1443" s="1" t="s">
        <v>3443</v>
      </c>
      <c r="BO1443" s="1" t="s">
        <v>2618</v>
      </c>
      <c r="BP1443" s="1" t="s">
        <v>2619</v>
      </c>
      <c r="BQ1443" s="1" t="s">
        <v>3157</v>
      </c>
      <c r="BT1443" s="1">
        <v>1</v>
      </c>
    </row>
    <row r="1444" spans="1:72">
      <c r="A1444" s="1" t="s">
        <v>5484</v>
      </c>
      <c r="B1444" s="1" t="s">
        <v>213</v>
      </c>
      <c r="C1444" s="1">
        <v>1</v>
      </c>
      <c r="D1444" s="1" t="s">
        <v>5485</v>
      </c>
      <c r="E1444" s="1">
        <v>10157</v>
      </c>
      <c r="F1444" s="1" t="s">
        <v>5484</v>
      </c>
      <c r="G1444" s="1">
        <v>1</v>
      </c>
      <c r="K1444" s="1">
        <v>8000</v>
      </c>
      <c r="M1444" s="1">
        <v>550</v>
      </c>
      <c r="O1444" s="1">
        <v>800</v>
      </c>
      <c r="Q1444" s="1">
        <v>60</v>
      </c>
      <c r="Y1444" s="1">
        <v>0.05</v>
      </c>
      <c r="Z1444" s="1">
        <v>4</v>
      </c>
      <c r="AA1444" s="1">
        <v>2</v>
      </c>
      <c r="AB1444" s="1">
        <v>0.75</v>
      </c>
      <c r="AG1444" s="1">
        <v>0</v>
      </c>
      <c r="AH1444" s="1">
        <v>1</v>
      </c>
      <c r="AI1444" s="1" t="s">
        <v>5486</v>
      </c>
      <c r="AJ1444" s="1" t="s">
        <v>216</v>
      </c>
      <c r="AK1444" s="1" t="s">
        <v>238</v>
      </c>
      <c r="AM1444" s="1">
        <v>1</v>
      </c>
      <c r="AN1444" s="1">
        <v>1</v>
      </c>
      <c r="AV1444" s="1">
        <v>1</v>
      </c>
      <c r="AX1444" s="1">
        <v>0.25</v>
      </c>
      <c r="BE1444" s="1" t="s">
        <v>5484</v>
      </c>
      <c r="BK1444" s="1" t="s">
        <v>4994</v>
      </c>
      <c r="BN1444" s="1" t="s">
        <v>3443</v>
      </c>
      <c r="BO1444" s="1" t="s">
        <v>2618</v>
      </c>
      <c r="BP1444" s="1" t="s">
        <v>2619</v>
      </c>
      <c r="BQ1444" s="1" t="s">
        <v>3157</v>
      </c>
      <c r="BT1444" s="1">
        <v>1</v>
      </c>
    </row>
    <row r="1445" spans="1:72">
      <c r="A1445" s="1" t="s">
        <v>5487</v>
      </c>
      <c r="B1445" s="1" t="s">
        <v>213</v>
      </c>
      <c r="C1445" s="1">
        <v>1</v>
      </c>
      <c r="D1445" s="1" t="s">
        <v>5488</v>
      </c>
      <c r="E1445" s="1">
        <v>10158</v>
      </c>
      <c r="F1445" s="1" t="s">
        <v>5487</v>
      </c>
      <c r="G1445" s="1">
        <v>1</v>
      </c>
      <c r="K1445" s="1">
        <v>8000</v>
      </c>
      <c r="M1445" s="1">
        <v>100</v>
      </c>
      <c r="O1445" s="1">
        <v>200</v>
      </c>
      <c r="Q1445" s="1">
        <v>20</v>
      </c>
      <c r="Y1445" s="1">
        <v>0.05</v>
      </c>
      <c r="Z1445" s="1">
        <v>5</v>
      </c>
      <c r="AA1445" s="1">
        <v>1</v>
      </c>
      <c r="AB1445" s="1">
        <v>0.5</v>
      </c>
      <c r="AG1445" s="1">
        <v>0</v>
      </c>
      <c r="AH1445" s="1">
        <v>1</v>
      </c>
      <c r="AI1445" s="1" t="s">
        <v>5489</v>
      </c>
      <c r="AJ1445" s="1" t="s">
        <v>216</v>
      </c>
      <c r="AK1445" s="1" t="s">
        <v>1039</v>
      </c>
      <c r="AM1445" s="1">
        <v>1</v>
      </c>
      <c r="AV1445" s="1">
        <v>1</v>
      </c>
      <c r="AX1445" s="1">
        <v>0.25</v>
      </c>
      <c r="BE1445" s="1" t="s">
        <v>5487</v>
      </c>
      <c r="BK1445" s="1" t="s">
        <v>4994</v>
      </c>
      <c r="BN1445" s="1" t="s">
        <v>217</v>
      </c>
      <c r="BO1445" s="1" t="s">
        <v>218</v>
      </c>
      <c r="BP1445" s="1" t="s">
        <v>239</v>
      </c>
      <c r="BQ1445" s="1" t="s">
        <v>220</v>
      </c>
      <c r="BT1445" s="1">
        <v>1</v>
      </c>
    </row>
    <row r="1446" spans="1:72">
      <c r="A1446" s="1" t="s">
        <v>5490</v>
      </c>
      <c r="B1446" s="1" t="s">
        <v>213</v>
      </c>
      <c r="C1446" s="1">
        <v>1</v>
      </c>
      <c r="D1446" s="1" t="s">
        <v>5491</v>
      </c>
      <c r="E1446" s="1">
        <v>10158</v>
      </c>
      <c r="F1446" s="1" t="s">
        <v>5490</v>
      </c>
      <c r="G1446" s="1">
        <v>1</v>
      </c>
      <c r="K1446" s="1">
        <v>9600</v>
      </c>
      <c r="M1446" s="1">
        <v>100</v>
      </c>
      <c r="O1446" s="1">
        <v>300</v>
      </c>
      <c r="Q1446" s="1">
        <v>25</v>
      </c>
      <c r="Y1446" s="1">
        <v>0.05</v>
      </c>
      <c r="Z1446" s="1">
        <v>5</v>
      </c>
      <c r="AA1446" s="1">
        <v>1</v>
      </c>
      <c r="AB1446" s="1">
        <v>0.5</v>
      </c>
      <c r="AG1446" s="1">
        <v>0</v>
      </c>
      <c r="AH1446" s="1">
        <v>1</v>
      </c>
      <c r="AI1446" s="1" t="s">
        <v>5492</v>
      </c>
      <c r="AJ1446" s="1" t="s">
        <v>216</v>
      </c>
      <c r="AK1446" s="1" t="s">
        <v>1039</v>
      </c>
      <c r="AM1446" s="1">
        <v>1</v>
      </c>
      <c r="AV1446" s="1">
        <v>1</v>
      </c>
      <c r="AX1446" s="1">
        <v>0.25</v>
      </c>
      <c r="BE1446" s="1" t="s">
        <v>5490</v>
      </c>
      <c r="BK1446" s="1" t="s">
        <v>4994</v>
      </c>
      <c r="BN1446" s="1" t="s">
        <v>217</v>
      </c>
      <c r="BO1446" s="1" t="s">
        <v>218</v>
      </c>
      <c r="BP1446" s="1" t="s">
        <v>239</v>
      </c>
      <c r="BQ1446" s="1" t="s">
        <v>220</v>
      </c>
      <c r="BT1446" s="1">
        <v>1</v>
      </c>
    </row>
    <row r="1447" spans="1:72">
      <c r="A1447" s="1" t="s">
        <v>5493</v>
      </c>
      <c r="B1447" s="1" t="s">
        <v>213</v>
      </c>
      <c r="C1447" s="1">
        <v>1</v>
      </c>
      <c r="D1447" s="1" t="s">
        <v>5494</v>
      </c>
      <c r="E1447" s="1">
        <v>10159</v>
      </c>
      <c r="F1447" s="1" t="s">
        <v>5493</v>
      </c>
      <c r="G1447" s="1">
        <v>1</v>
      </c>
      <c r="K1447" s="1">
        <v>28000</v>
      </c>
      <c r="M1447" s="1">
        <v>100</v>
      </c>
      <c r="O1447" s="1">
        <v>600</v>
      </c>
      <c r="Q1447" s="1">
        <v>20</v>
      </c>
      <c r="Y1447" s="1">
        <v>0.05</v>
      </c>
      <c r="Z1447" s="1">
        <v>5</v>
      </c>
      <c r="AA1447" s="1">
        <v>6</v>
      </c>
      <c r="AB1447" s="1">
        <v>1</v>
      </c>
      <c r="AG1447" s="1">
        <v>0</v>
      </c>
      <c r="AH1447" s="1">
        <v>1</v>
      </c>
      <c r="AI1447" s="1" t="s">
        <v>5495</v>
      </c>
      <c r="AJ1447" s="1" t="s">
        <v>216</v>
      </c>
      <c r="AK1447" s="1" t="s">
        <v>238</v>
      </c>
      <c r="AM1447" s="1">
        <v>1</v>
      </c>
      <c r="AV1447" s="1">
        <v>1</v>
      </c>
      <c r="AX1447" s="1">
        <v>0.25</v>
      </c>
      <c r="BE1447" s="1" t="s">
        <v>5493</v>
      </c>
      <c r="BK1447" s="1" t="s">
        <v>4994</v>
      </c>
      <c r="BN1447" s="1" t="s">
        <v>217</v>
      </c>
      <c r="BO1447" s="1" t="s">
        <v>218</v>
      </c>
      <c r="BP1447" s="1" t="s">
        <v>239</v>
      </c>
      <c r="BQ1447" s="1" t="s">
        <v>220</v>
      </c>
      <c r="BT1447" s="1">
        <v>1</v>
      </c>
    </row>
    <row r="1448" spans="1:72">
      <c r="A1448" s="1" t="s">
        <v>5496</v>
      </c>
      <c r="B1448" s="1" t="s">
        <v>213</v>
      </c>
      <c r="C1448" s="1">
        <v>1</v>
      </c>
      <c r="D1448" s="1" t="s">
        <v>5497</v>
      </c>
      <c r="E1448" s="1">
        <v>10159</v>
      </c>
      <c r="F1448" s="1" t="s">
        <v>5496</v>
      </c>
      <c r="G1448" s="1">
        <v>1</v>
      </c>
      <c r="K1448" s="1">
        <v>32000</v>
      </c>
      <c r="M1448" s="1">
        <v>100</v>
      </c>
      <c r="O1448" s="1">
        <v>600</v>
      </c>
      <c r="Q1448" s="1">
        <v>20</v>
      </c>
      <c r="Y1448" s="1">
        <v>0.05</v>
      </c>
      <c r="Z1448" s="1">
        <v>5</v>
      </c>
      <c r="AA1448" s="1">
        <v>6</v>
      </c>
      <c r="AB1448" s="1">
        <v>1</v>
      </c>
      <c r="AG1448" s="1">
        <v>0</v>
      </c>
      <c r="AH1448" s="1">
        <v>1</v>
      </c>
      <c r="AI1448" s="1" t="s">
        <v>5498</v>
      </c>
      <c r="AJ1448" s="1" t="s">
        <v>216</v>
      </c>
      <c r="AK1448" s="1" t="s">
        <v>238</v>
      </c>
      <c r="AM1448" s="1">
        <v>1</v>
      </c>
      <c r="AV1448" s="1">
        <v>1</v>
      </c>
      <c r="AX1448" s="1">
        <v>0.25</v>
      </c>
      <c r="BE1448" s="1" t="s">
        <v>5496</v>
      </c>
      <c r="BK1448" s="1" t="s">
        <v>4994</v>
      </c>
      <c r="BN1448" s="1" t="s">
        <v>217</v>
      </c>
      <c r="BO1448" s="1" t="s">
        <v>218</v>
      </c>
      <c r="BP1448" s="1" t="s">
        <v>239</v>
      </c>
      <c r="BQ1448" s="1" t="s">
        <v>220</v>
      </c>
      <c r="BT1448" s="1">
        <v>1</v>
      </c>
    </row>
    <row r="1449" spans="1:72">
      <c r="A1449" s="1" t="s">
        <v>5499</v>
      </c>
      <c r="B1449" s="1" t="s">
        <v>213</v>
      </c>
      <c r="C1449" s="1">
        <v>1</v>
      </c>
      <c r="D1449" s="1" t="s">
        <v>5500</v>
      </c>
      <c r="E1449" s="1">
        <v>10160</v>
      </c>
      <c r="F1449" s="1" t="s">
        <v>5499</v>
      </c>
      <c r="G1449" s="1">
        <v>1</v>
      </c>
      <c r="K1449" s="1">
        <v>8000</v>
      </c>
      <c r="M1449" s="1">
        <v>600</v>
      </c>
      <c r="O1449" s="1">
        <v>150</v>
      </c>
      <c r="Q1449" s="1">
        <v>40</v>
      </c>
      <c r="Y1449" s="1">
        <v>0.05</v>
      </c>
      <c r="Z1449" s="1">
        <v>2</v>
      </c>
      <c r="AA1449" s="1">
        <v>2</v>
      </c>
      <c r="AB1449" s="1">
        <v>0.5</v>
      </c>
      <c r="AG1449" s="1">
        <v>0</v>
      </c>
      <c r="AH1449" s="1">
        <v>1</v>
      </c>
      <c r="AI1449" s="1" t="s">
        <v>5501</v>
      </c>
      <c r="AJ1449" s="1" t="s">
        <v>216</v>
      </c>
      <c r="AK1449" s="1" t="s">
        <v>238</v>
      </c>
      <c r="AM1449" s="1">
        <v>1</v>
      </c>
      <c r="AV1449" s="1">
        <v>1</v>
      </c>
      <c r="AX1449" s="1">
        <v>0.25</v>
      </c>
      <c r="BE1449" s="1" t="s">
        <v>5499</v>
      </c>
      <c r="BK1449" s="1" t="s">
        <v>4994</v>
      </c>
      <c r="BN1449" s="1" t="s">
        <v>217</v>
      </c>
      <c r="BO1449" s="1" t="s">
        <v>218</v>
      </c>
      <c r="BP1449" s="1" t="s">
        <v>239</v>
      </c>
      <c r="BQ1449" s="1" t="s">
        <v>220</v>
      </c>
      <c r="BT1449" s="1">
        <v>1</v>
      </c>
    </row>
    <row r="1450" spans="1:72">
      <c r="A1450" s="1" t="s">
        <v>5502</v>
      </c>
      <c r="B1450" s="1" t="s">
        <v>213</v>
      </c>
      <c r="C1450" s="1">
        <v>1</v>
      </c>
      <c r="D1450" s="1" t="s">
        <v>5503</v>
      </c>
      <c r="E1450" s="1">
        <v>10160</v>
      </c>
      <c r="F1450" s="1" t="s">
        <v>5502</v>
      </c>
      <c r="G1450" s="1">
        <v>1</v>
      </c>
      <c r="K1450" s="1">
        <v>10000</v>
      </c>
      <c r="M1450" s="1">
        <v>800</v>
      </c>
      <c r="O1450" s="1">
        <v>150</v>
      </c>
      <c r="Q1450" s="1">
        <v>40</v>
      </c>
      <c r="Y1450" s="1">
        <v>0.05</v>
      </c>
      <c r="Z1450" s="1">
        <v>2</v>
      </c>
      <c r="AA1450" s="1">
        <v>2</v>
      </c>
      <c r="AB1450" s="1">
        <v>0.5</v>
      </c>
      <c r="AG1450" s="1">
        <v>0</v>
      </c>
      <c r="AH1450" s="1">
        <v>1</v>
      </c>
      <c r="AI1450" s="1" t="s">
        <v>5504</v>
      </c>
      <c r="AJ1450" s="1" t="s">
        <v>216</v>
      </c>
      <c r="AK1450" s="1" t="s">
        <v>238</v>
      </c>
      <c r="AM1450" s="1">
        <v>1</v>
      </c>
      <c r="AV1450" s="1">
        <v>1</v>
      </c>
      <c r="AX1450" s="1">
        <v>0.25</v>
      </c>
      <c r="BE1450" s="1" t="s">
        <v>5502</v>
      </c>
      <c r="BK1450" s="1" t="s">
        <v>4994</v>
      </c>
      <c r="BN1450" s="1" t="s">
        <v>217</v>
      </c>
      <c r="BO1450" s="1" t="s">
        <v>218</v>
      </c>
      <c r="BP1450" s="1" t="s">
        <v>239</v>
      </c>
      <c r="BQ1450" s="1" t="s">
        <v>220</v>
      </c>
      <c r="BT1450" s="1">
        <v>1</v>
      </c>
    </row>
    <row r="1451" spans="1:72">
      <c r="A1451" s="1" t="s">
        <v>5505</v>
      </c>
      <c r="B1451" s="1" t="s">
        <v>213</v>
      </c>
      <c r="C1451" s="1">
        <v>1</v>
      </c>
      <c r="D1451" s="1" t="s">
        <v>5506</v>
      </c>
      <c r="E1451" s="1">
        <v>10161</v>
      </c>
      <c r="F1451" s="1" t="s">
        <v>5505</v>
      </c>
      <c r="G1451" s="1">
        <v>1</v>
      </c>
      <c r="K1451" s="1">
        <v>22000</v>
      </c>
      <c r="M1451" s="1">
        <v>1100</v>
      </c>
      <c r="O1451" s="1">
        <v>330</v>
      </c>
      <c r="Q1451" s="1">
        <v>50</v>
      </c>
      <c r="Y1451" s="1">
        <v>0.05</v>
      </c>
      <c r="Z1451" s="1">
        <v>3</v>
      </c>
      <c r="AA1451" s="1">
        <v>4</v>
      </c>
      <c r="AB1451" s="1">
        <v>0.7</v>
      </c>
      <c r="AG1451" s="1">
        <v>0</v>
      </c>
      <c r="AH1451" s="1">
        <v>1</v>
      </c>
      <c r="AI1451" s="1" t="s">
        <v>5507</v>
      </c>
      <c r="AJ1451" s="1" t="s">
        <v>216</v>
      </c>
      <c r="AK1451" s="1" t="s">
        <v>238</v>
      </c>
      <c r="AM1451" s="1">
        <v>1</v>
      </c>
      <c r="AV1451" s="1">
        <v>1</v>
      </c>
      <c r="AX1451" s="1">
        <v>0.25</v>
      </c>
      <c r="BE1451" s="1" t="s">
        <v>5505</v>
      </c>
      <c r="BK1451" s="1" t="s">
        <v>4994</v>
      </c>
      <c r="BN1451" s="1" t="s">
        <v>217</v>
      </c>
      <c r="BO1451" s="1" t="s">
        <v>218</v>
      </c>
      <c r="BP1451" s="1" t="s">
        <v>239</v>
      </c>
      <c r="BQ1451" s="1" t="s">
        <v>220</v>
      </c>
      <c r="BT1451" s="1">
        <v>1</v>
      </c>
    </row>
    <row r="1452" spans="1:72">
      <c r="A1452" s="1" t="s">
        <v>5508</v>
      </c>
      <c r="B1452" s="1" t="s">
        <v>213</v>
      </c>
      <c r="C1452" s="1">
        <v>1</v>
      </c>
      <c r="D1452" s="1" t="s">
        <v>5509</v>
      </c>
      <c r="E1452" s="1">
        <v>10161</v>
      </c>
      <c r="F1452" s="1" t="s">
        <v>5508</v>
      </c>
      <c r="G1452" s="1">
        <v>1</v>
      </c>
      <c r="K1452" s="1">
        <v>25000</v>
      </c>
      <c r="M1452" s="1">
        <v>1250</v>
      </c>
      <c r="O1452" s="1">
        <v>360</v>
      </c>
      <c r="Q1452" s="1">
        <v>50</v>
      </c>
      <c r="Y1452" s="1">
        <v>0.05</v>
      </c>
      <c r="Z1452" s="1">
        <v>3</v>
      </c>
      <c r="AA1452" s="1">
        <v>4</v>
      </c>
      <c r="AB1452" s="1">
        <v>0.7</v>
      </c>
      <c r="AG1452" s="1">
        <v>0</v>
      </c>
      <c r="AH1452" s="1">
        <v>1</v>
      </c>
      <c r="AI1452" s="1" t="s">
        <v>5510</v>
      </c>
      <c r="AJ1452" s="1" t="s">
        <v>216</v>
      </c>
      <c r="AK1452" s="1" t="s">
        <v>238</v>
      </c>
      <c r="AM1452" s="1">
        <v>1</v>
      </c>
      <c r="AV1452" s="1">
        <v>1</v>
      </c>
      <c r="AX1452" s="1">
        <v>0.25</v>
      </c>
      <c r="BE1452" s="1" t="s">
        <v>5508</v>
      </c>
      <c r="BK1452" s="1" t="s">
        <v>4994</v>
      </c>
      <c r="BN1452" s="1" t="s">
        <v>217</v>
      </c>
      <c r="BO1452" s="1" t="s">
        <v>218</v>
      </c>
      <c r="BP1452" s="1" t="s">
        <v>239</v>
      </c>
      <c r="BQ1452" s="1" t="s">
        <v>220</v>
      </c>
      <c r="BT1452" s="1">
        <v>1</v>
      </c>
    </row>
    <row r="1453" spans="1:72">
      <c r="A1453" s="1" t="s">
        <v>5511</v>
      </c>
      <c r="B1453" s="1" t="s">
        <v>213</v>
      </c>
      <c r="C1453" s="1">
        <v>1</v>
      </c>
      <c r="D1453" s="1" t="s">
        <v>5512</v>
      </c>
      <c r="E1453" s="1">
        <v>10162</v>
      </c>
      <c r="F1453" s="1" t="s">
        <v>5511</v>
      </c>
      <c r="G1453" s="1">
        <v>1</v>
      </c>
      <c r="K1453" s="1">
        <v>16000</v>
      </c>
      <c r="M1453" s="1">
        <v>750</v>
      </c>
      <c r="O1453" s="1">
        <v>800</v>
      </c>
      <c r="Q1453" s="1">
        <v>0</v>
      </c>
      <c r="Y1453" s="1">
        <v>0.05</v>
      </c>
      <c r="Z1453" s="1">
        <v>7</v>
      </c>
      <c r="AA1453" s="1">
        <v>4</v>
      </c>
      <c r="AB1453" s="1">
        <v>0.6</v>
      </c>
      <c r="AG1453" s="1">
        <v>0</v>
      </c>
      <c r="AH1453" s="1">
        <v>1</v>
      </c>
      <c r="AI1453" s="1" t="s">
        <v>5513</v>
      </c>
      <c r="AJ1453" s="1" t="s">
        <v>216</v>
      </c>
      <c r="AK1453" s="1" t="s">
        <v>238</v>
      </c>
      <c r="AM1453" s="1">
        <v>1</v>
      </c>
      <c r="AV1453" s="1">
        <v>1</v>
      </c>
      <c r="AX1453" s="1">
        <v>0.25</v>
      </c>
      <c r="BE1453" s="1" t="s">
        <v>5511</v>
      </c>
      <c r="BK1453" s="1" t="s">
        <v>4994</v>
      </c>
      <c r="BN1453" s="1" t="s">
        <v>217</v>
      </c>
      <c r="BO1453" s="1" t="s">
        <v>218</v>
      </c>
      <c r="BP1453" s="1" t="s">
        <v>239</v>
      </c>
      <c r="BQ1453" s="1" t="s">
        <v>220</v>
      </c>
      <c r="BT1453" s="1">
        <v>1</v>
      </c>
    </row>
    <row r="1454" spans="1:72">
      <c r="A1454" s="1" t="s">
        <v>5514</v>
      </c>
      <c r="B1454" s="1" t="s">
        <v>213</v>
      </c>
      <c r="C1454" s="1">
        <v>1</v>
      </c>
      <c r="D1454" s="1" t="s">
        <v>5515</v>
      </c>
      <c r="E1454" s="1">
        <v>10162</v>
      </c>
      <c r="F1454" s="1" t="s">
        <v>5514</v>
      </c>
      <c r="G1454" s="1">
        <v>1</v>
      </c>
      <c r="K1454" s="1">
        <v>18000</v>
      </c>
      <c r="M1454" s="1">
        <v>1000</v>
      </c>
      <c r="O1454" s="1">
        <v>800</v>
      </c>
      <c r="Q1454" s="1">
        <v>0</v>
      </c>
      <c r="Y1454" s="1">
        <v>0.05</v>
      </c>
      <c r="Z1454" s="1">
        <v>7</v>
      </c>
      <c r="AA1454" s="1">
        <v>4</v>
      </c>
      <c r="AB1454" s="1">
        <v>0.6</v>
      </c>
      <c r="AG1454" s="1">
        <v>0</v>
      </c>
      <c r="AH1454" s="1">
        <v>1</v>
      </c>
      <c r="AI1454" s="1" t="s">
        <v>5516</v>
      </c>
      <c r="AJ1454" s="1" t="s">
        <v>216</v>
      </c>
      <c r="AK1454" s="1" t="s">
        <v>238</v>
      </c>
      <c r="AM1454" s="1">
        <v>1</v>
      </c>
      <c r="AV1454" s="1">
        <v>1</v>
      </c>
      <c r="AX1454" s="1">
        <v>0.25</v>
      </c>
      <c r="BE1454" s="1" t="s">
        <v>5514</v>
      </c>
      <c r="BK1454" s="1" t="s">
        <v>4994</v>
      </c>
      <c r="BN1454" s="1" t="s">
        <v>217</v>
      </c>
      <c r="BO1454" s="1" t="s">
        <v>218</v>
      </c>
      <c r="BP1454" s="1" t="s">
        <v>239</v>
      </c>
      <c r="BQ1454" s="1" t="s">
        <v>220</v>
      </c>
      <c r="BT1454" s="1">
        <v>1</v>
      </c>
    </row>
    <row r="1455" spans="1:72">
      <c r="A1455" s="1" t="s">
        <v>5517</v>
      </c>
      <c r="B1455" s="1" t="s">
        <v>213</v>
      </c>
      <c r="C1455" s="1">
        <v>1</v>
      </c>
      <c r="D1455" s="1" t="s">
        <v>5518</v>
      </c>
      <c r="E1455" s="1">
        <v>10163</v>
      </c>
      <c r="F1455" s="1" t="s">
        <v>5517</v>
      </c>
      <c r="G1455" s="1">
        <v>1</v>
      </c>
      <c r="K1455" s="1">
        <v>40000</v>
      </c>
      <c r="M1455" s="1">
        <v>1700</v>
      </c>
      <c r="O1455" s="1">
        <v>1000</v>
      </c>
      <c r="Q1455" s="1">
        <v>30</v>
      </c>
      <c r="Y1455" s="1">
        <v>0.05</v>
      </c>
      <c r="Z1455" s="1">
        <v>7</v>
      </c>
      <c r="AA1455" s="1">
        <v>4</v>
      </c>
      <c r="AB1455" s="1">
        <v>0.6</v>
      </c>
      <c r="AG1455" s="1">
        <v>0</v>
      </c>
      <c r="AH1455" s="1">
        <v>1</v>
      </c>
      <c r="AI1455" s="1" t="s">
        <v>5519</v>
      </c>
      <c r="AJ1455" s="1" t="s">
        <v>216</v>
      </c>
      <c r="AK1455" s="1" t="s">
        <v>238</v>
      </c>
      <c r="AM1455" s="1">
        <v>1</v>
      </c>
      <c r="AV1455" s="1">
        <v>1</v>
      </c>
      <c r="AX1455" s="1">
        <v>0.25</v>
      </c>
      <c r="BE1455" s="1" t="s">
        <v>5517</v>
      </c>
      <c r="BK1455" s="1" t="s">
        <v>4994</v>
      </c>
      <c r="BN1455" s="1" t="s">
        <v>217</v>
      </c>
      <c r="BO1455" s="1" t="s">
        <v>218</v>
      </c>
      <c r="BP1455" s="1" t="s">
        <v>239</v>
      </c>
      <c r="BQ1455" s="1" t="s">
        <v>220</v>
      </c>
      <c r="BT1455" s="1">
        <v>1</v>
      </c>
    </row>
    <row r="1456" spans="1:72">
      <c r="A1456" s="1" t="s">
        <v>5520</v>
      </c>
      <c r="B1456" s="1" t="s">
        <v>213</v>
      </c>
      <c r="C1456" s="1">
        <v>1</v>
      </c>
      <c r="D1456" s="1" t="s">
        <v>5521</v>
      </c>
      <c r="E1456" s="1">
        <v>10163</v>
      </c>
      <c r="F1456" s="1" t="s">
        <v>5520</v>
      </c>
      <c r="G1456" s="1">
        <v>1</v>
      </c>
      <c r="K1456" s="1">
        <v>44000</v>
      </c>
      <c r="M1456" s="1">
        <v>1900</v>
      </c>
      <c r="O1456" s="1">
        <v>1600</v>
      </c>
      <c r="Q1456" s="1">
        <v>30</v>
      </c>
      <c r="Y1456" s="1">
        <v>0.05</v>
      </c>
      <c r="Z1456" s="1">
        <v>7</v>
      </c>
      <c r="AA1456" s="1">
        <v>4</v>
      </c>
      <c r="AB1456" s="1">
        <v>0.6</v>
      </c>
      <c r="AG1456" s="1">
        <v>0</v>
      </c>
      <c r="AH1456" s="1">
        <v>1</v>
      </c>
      <c r="AI1456" s="1" t="s">
        <v>5522</v>
      </c>
      <c r="AJ1456" s="1" t="s">
        <v>216</v>
      </c>
      <c r="AK1456" s="1" t="s">
        <v>238</v>
      </c>
      <c r="AM1456" s="1">
        <v>1</v>
      </c>
      <c r="AV1456" s="1">
        <v>1</v>
      </c>
      <c r="AX1456" s="1">
        <v>0.25</v>
      </c>
      <c r="BE1456" s="1" t="s">
        <v>5520</v>
      </c>
      <c r="BK1456" s="1" t="s">
        <v>4994</v>
      </c>
      <c r="BN1456" s="1" t="s">
        <v>217</v>
      </c>
      <c r="BO1456" s="1" t="s">
        <v>218</v>
      </c>
      <c r="BP1456" s="1" t="s">
        <v>239</v>
      </c>
      <c r="BQ1456" s="1" t="s">
        <v>220</v>
      </c>
      <c r="BT1456" s="1">
        <v>1</v>
      </c>
    </row>
    <row r="1457" spans="1:72">
      <c r="A1457" s="1" t="s">
        <v>5523</v>
      </c>
      <c r="B1457" s="1" t="s">
        <v>213</v>
      </c>
      <c r="C1457" s="1">
        <v>1</v>
      </c>
      <c r="D1457" s="1" t="s">
        <v>5524</v>
      </c>
      <c r="E1457" s="1">
        <v>1580</v>
      </c>
      <c r="F1457" s="1" t="s">
        <v>5523</v>
      </c>
      <c r="G1457" s="1">
        <v>1</v>
      </c>
      <c r="K1457" s="1">
        <v>90000</v>
      </c>
      <c r="M1457" s="1">
        <v>1200</v>
      </c>
      <c r="O1457" s="1">
        <v>800</v>
      </c>
      <c r="Q1457" s="1">
        <v>30</v>
      </c>
      <c r="Y1457" s="1">
        <v>0.05</v>
      </c>
      <c r="Z1457" s="1">
        <v>3.6</v>
      </c>
      <c r="AA1457" s="1">
        <v>7</v>
      </c>
      <c r="AB1457" s="1">
        <v>0.5</v>
      </c>
      <c r="AG1457" s="1">
        <v>0</v>
      </c>
      <c r="AH1457" s="1">
        <v>1</v>
      </c>
      <c r="AI1457" s="1" t="s">
        <v>5525</v>
      </c>
      <c r="AJ1457" s="1" t="s">
        <v>216</v>
      </c>
      <c r="AK1457" s="1" t="s">
        <v>238</v>
      </c>
      <c r="AM1457" s="1">
        <v>1</v>
      </c>
      <c r="AV1457" s="1">
        <v>1</v>
      </c>
      <c r="AX1457" s="1">
        <v>0.25</v>
      </c>
      <c r="BE1457" s="1" t="s">
        <v>5523</v>
      </c>
      <c r="BK1457" s="1" t="s">
        <v>4994</v>
      </c>
      <c r="BN1457" s="1" t="s">
        <v>217</v>
      </c>
      <c r="BO1457" s="1" t="s">
        <v>218</v>
      </c>
      <c r="BP1457" s="1" t="s">
        <v>239</v>
      </c>
      <c r="BQ1457" s="1" t="s">
        <v>220</v>
      </c>
      <c r="BT1457" s="1">
        <v>1</v>
      </c>
    </row>
    <row r="1458" spans="1:72">
      <c r="A1458" s="1" t="s">
        <v>5526</v>
      </c>
      <c r="B1458" s="1" t="s">
        <v>213</v>
      </c>
      <c r="C1458" s="1">
        <v>1</v>
      </c>
      <c r="D1458" s="1" t="s">
        <v>5527</v>
      </c>
      <c r="E1458" s="1">
        <v>1581</v>
      </c>
      <c r="F1458" s="1" t="s">
        <v>5526</v>
      </c>
      <c r="G1458" s="1">
        <v>1</v>
      </c>
      <c r="K1458" s="1">
        <v>90000</v>
      </c>
      <c r="M1458" s="1">
        <v>900</v>
      </c>
      <c r="O1458" s="1">
        <v>300</v>
      </c>
      <c r="Q1458" s="1">
        <v>30</v>
      </c>
      <c r="Y1458" s="1">
        <v>0.05</v>
      </c>
      <c r="Z1458" s="1">
        <v>3.6</v>
      </c>
      <c r="AA1458" s="1">
        <v>7</v>
      </c>
      <c r="AB1458" s="1">
        <v>0.5</v>
      </c>
      <c r="AG1458" s="1">
        <v>0</v>
      </c>
      <c r="AH1458" s="1">
        <v>1</v>
      </c>
      <c r="AI1458" s="1" t="s">
        <v>5528</v>
      </c>
      <c r="AJ1458" s="1" t="s">
        <v>216</v>
      </c>
      <c r="AK1458" s="1" t="s">
        <v>238</v>
      </c>
      <c r="AM1458" s="1">
        <v>1</v>
      </c>
      <c r="AV1458" s="1">
        <v>1</v>
      </c>
      <c r="AX1458" s="1">
        <v>0.25</v>
      </c>
      <c r="BE1458" s="1" t="s">
        <v>5526</v>
      </c>
      <c r="BK1458" s="1" t="s">
        <v>4994</v>
      </c>
      <c r="BN1458" s="1" t="s">
        <v>217</v>
      </c>
      <c r="BO1458" s="1" t="s">
        <v>218</v>
      </c>
      <c r="BP1458" s="1" t="s">
        <v>239</v>
      </c>
      <c r="BQ1458" s="1" t="s">
        <v>220</v>
      </c>
      <c r="BT1458" s="1">
        <v>1</v>
      </c>
    </row>
    <row r="1459" spans="1:72">
      <c r="A1459" s="1" t="s">
        <v>5529</v>
      </c>
      <c r="B1459" s="1" t="s">
        <v>213</v>
      </c>
      <c r="C1459" s="1">
        <v>1</v>
      </c>
      <c r="D1459" s="1" t="s">
        <v>5530</v>
      </c>
      <c r="E1459" s="1">
        <v>10164</v>
      </c>
      <c r="F1459" s="1" t="s">
        <v>5529</v>
      </c>
      <c r="G1459" s="1">
        <v>1</v>
      </c>
      <c r="K1459" s="1">
        <v>4500</v>
      </c>
      <c r="M1459" s="1">
        <v>400</v>
      </c>
      <c r="O1459" s="1">
        <v>200</v>
      </c>
      <c r="Q1459" s="1">
        <v>5</v>
      </c>
      <c r="Y1459" s="1">
        <v>0.05</v>
      </c>
      <c r="Z1459" s="1">
        <v>3</v>
      </c>
      <c r="AA1459" s="1">
        <v>1</v>
      </c>
      <c r="AB1459" s="1">
        <v>1</v>
      </c>
      <c r="AG1459" s="1">
        <v>0</v>
      </c>
      <c r="AH1459" s="1">
        <v>1</v>
      </c>
      <c r="AI1459" s="1" t="s">
        <v>5531</v>
      </c>
      <c r="AJ1459" s="1" t="s">
        <v>216</v>
      </c>
      <c r="AK1459" s="1" t="s">
        <v>238</v>
      </c>
      <c r="AM1459" s="1">
        <v>1</v>
      </c>
      <c r="AV1459" s="1">
        <v>1</v>
      </c>
      <c r="AX1459" s="1">
        <v>0.25</v>
      </c>
      <c r="BE1459" s="1" t="s">
        <v>5529</v>
      </c>
      <c r="BK1459" s="1" t="s">
        <v>4994</v>
      </c>
      <c r="BN1459" s="1" t="s">
        <v>217</v>
      </c>
      <c r="BO1459" s="1" t="s">
        <v>218</v>
      </c>
      <c r="BP1459" s="1" t="s">
        <v>239</v>
      </c>
      <c r="BQ1459" s="1" t="s">
        <v>220</v>
      </c>
      <c r="BT1459" s="1">
        <v>1</v>
      </c>
    </row>
    <row r="1460" spans="1:72">
      <c r="A1460" s="1" t="s">
        <v>5532</v>
      </c>
      <c r="B1460" s="1" t="s">
        <v>213</v>
      </c>
      <c r="C1460" s="1">
        <v>1</v>
      </c>
      <c r="D1460" s="1" t="s">
        <v>5533</v>
      </c>
      <c r="E1460" s="1">
        <v>10164</v>
      </c>
      <c r="F1460" s="1" t="s">
        <v>5532</v>
      </c>
      <c r="G1460" s="1">
        <v>1</v>
      </c>
      <c r="K1460" s="1">
        <v>5400</v>
      </c>
      <c r="M1460" s="1">
        <v>500</v>
      </c>
      <c r="O1460" s="1">
        <v>250</v>
      </c>
      <c r="Q1460" s="1">
        <v>5</v>
      </c>
      <c r="Y1460" s="1">
        <v>0.05</v>
      </c>
      <c r="Z1460" s="1">
        <v>3</v>
      </c>
      <c r="AA1460" s="1">
        <v>1</v>
      </c>
      <c r="AB1460" s="1">
        <v>1</v>
      </c>
      <c r="AG1460" s="1">
        <v>0</v>
      </c>
      <c r="AH1460" s="1">
        <v>1</v>
      </c>
      <c r="AI1460" s="1" t="s">
        <v>5534</v>
      </c>
      <c r="AJ1460" s="1" t="s">
        <v>216</v>
      </c>
      <c r="AK1460" s="1" t="s">
        <v>238</v>
      </c>
      <c r="AM1460" s="1">
        <v>1</v>
      </c>
      <c r="AV1460" s="1">
        <v>1</v>
      </c>
      <c r="AX1460" s="1">
        <v>0.25</v>
      </c>
      <c r="BE1460" s="1" t="s">
        <v>5532</v>
      </c>
      <c r="BK1460" s="1" t="s">
        <v>4994</v>
      </c>
      <c r="BN1460" s="1" t="s">
        <v>217</v>
      </c>
      <c r="BO1460" s="1" t="s">
        <v>218</v>
      </c>
      <c r="BP1460" s="1" t="s">
        <v>239</v>
      </c>
      <c r="BQ1460" s="1" t="s">
        <v>220</v>
      </c>
      <c r="BT1460" s="1">
        <v>1</v>
      </c>
    </row>
    <row r="1461" spans="1:72">
      <c r="A1461" s="1" t="s">
        <v>5535</v>
      </c>
      <c r="B1461" s="1" t="s">
        <v>213</v>
      </c>
      <c r="C1461" s="1">
        <v>1</v>
      </c>
      <c r="D1461" s="1" t="s">
        <v>5536</v>
      </c>
      <c r="E1461" s="1">
        <v>10165</v>
      </c>
      <c r="F1461" s="1" t="s">
        <v>5535</v>
      </c>
      <c r="G1461" s="1">
        <v>1</v>
      </c>
      <c r="K1461" s="1">
        <v>7000</v>
      </c>
      <c r="M1461" s="1">
        <v>120</v>
      </c>
      <c r="O1461" s="1">
        <v>100</v>
      </c>
      <c r="Q1461" s="1">
        <v>5</v>
      </c>
      <c r="Y1461" s="1">
        <v>0.05</v>
      </c>
      <c r="Z1461" s="1">
        <v>4</v>
      </c>
      <c r="AA1461" s="1">
        <v>1</v>
      </c>
      <c r="AB1461" s="1">
        <v>0.7</v>
      </c>
      <c r="AG1461" s="1">
        <v>0</v>
      </c>
      <c r="AH1461" s="1">
        <v>1</v>
      </c>
      <c r="AI1461" s="1" t="s">
        <v>5537</v>
      </c>
      <c r="AJ1461" s="1" t="s">
        <v>216</v>
      </c>
      <c r="AK1461" s="1" t="s">
        <v>238</v>
      </c>
      <c r="AM1461" s="1">
        <v>1</v>
      </c>
      <c r="AV1461" s="1">
        <v>1</v>
      </c>
      <c r="AX1461" s="1">
        <v>0.25</v>
      </c>
      <c r="BE1461" s="1" t="s">
        <v>5535</v>
      </c>
      <c r="BK1461" s="1" t="s">
        <v>4994</v>
      </c>
      <c r="BN1461" s="1" t="s">
        <v>217</v>
      </c>
      <c r="BO1461" s="1" t="s">
        <v>218</v>
      </c>
      <c r="BP1461" s="1" t="s">
        <v>239</v>
      </c>
      <c r="BQ1461" s="1" t="s">
        <v>220</v>
      </c>
      <c r="BT1461" s="1">
        <v>1</v>
      </c>
    </row>
    <row r="1462" spans="1:72">
      <c r="A1462" s="1" t="s">
        <v>5538</v>
      </c>
      <c r="B1462" s="1" t="s">
        <v>213</v>
      </c>
      <c r="C1462" s="1">
        <v>1</v>
      </c>
      <c r="D1462" s="1" t="s">
        <v>5539</v>
      </c>
      <c r="E1462" s="1">
        <v>10165</v>
      </c>
      <c r="F1462" s="1" t="s">
        <v>5538</v>
      </c>
      <c r="G1462" s="1">
        <v>1</v>
      </c>
      <c r="K1462" s="1">
        <v>9000</v>
      </c>
      <c r="M1462" s="1">
        <v>210</v>
      </c>
      <c r="O1462" s="1">
        <v>150</v>
      </c>
      <c r="Q1462" s="1">
        <v>5</v>
      </c>
      <c r="Y1462" s="1">
        <v>0.05</v>
      </c>
      <c r="Z1462" s="1">
        <v>4</v>
      </c>
      <c r="AA1462" s="1">
        <v>1</v>
      </c>
      <c r="AB1462" s="1">
        <v>0.7</v>
      </c>
      <c r="AG1462" s="1">
        <v>0</v>
      </c>
      <c r="AH1462" s="1">
        <v>1</v>
      </c>
      <c r="AI1462" s="1" t="s">
        <v>5540</v>
      </c>
      <c r="AJ1462" s="1" t="s">
        <v>216</v>
      </c>
      <c r="AK1462" s="1" t="s">
        <v>238</v>
      </c>
      <c r="AM1462" s="1">
        <v>1</v>
      </c>
      <c r="AV1462" s="1">
        <v>1</v>
      </c>
      <c r="AX1462" s="1">
        <v>0.25</v>
      </c>
      <c r="BE1462" s="1" t="s">
        <v>5538</v>
      </c>
      <c r="BK1462" s="1" t="s">
        <v>4994</v>
      </c>
      <c r="BN1462" s="1" t="s">
        <v>217</v>
      </c>
      <c r="BO1462" s="1" t="s">
        <v>218</v>
      </c>
      <c r="BP1462" s="1" t="s">
        <v>239</v>
      </c>
      <c r="BQ1462" s="1" t="s">
        <v>220</v>
      </c>
      <c r="BT1462" s="1">
        <v>1</v>
      </c>
    </row>
    <row r="1463" spans="1:72">
      <c r="A1463" s="1" t="s">
        <v>5541</v>
      </c>
      <c r="B1463" s="1" t="s">
        <v>213</v>
      </c>
      <c r="C1463" s="1">
        <v>1</v>
      </c>
      <c r="D1463" s="1" t="s">
        <v>5542</v>
      </c>
      <c r="E1463" s="1">
        <v>10166</v>
      </c>
      <c r="F1463" s="1" t="s">
        <v>5541</v>
      </c>
      <c r="G1463" s="1">
        <v>1</v>
      </c>
      <c r="K1463" s="1">
        <v>16000</v>
      </c>
      <c r="M1463" s="1">
        <v>800</v>
      </c>
      <c r="O1463" s="1">
        <v>1300</v>
      </c>
      <c r="Q1463" s="1">
        <v>5</v>
      </c>
      <c r="Y1463" s="1">
        <v>0.05</v>
      </c>
      <c r="Z1463" s="1">
        <v>3.8</v>
      </c>
      <c r="AA1463" s="1">
        <v>3</v>
      </c>
      <c r="AB1463" s="1">
        <v>0.7</v>
      </c>
      <c r="AG1463" s="1">
        <v>0</v>
      </c>
      <c r="AH1463" s="1">
        <v>1</v>
      </c>
      <c r="AI1463" s="1" t="s">
        <v>5543</v>
      </c>
      <c r="AJ1463" s="1" t="s">
        <v>216</v>
      </c>
      <c r="AK1463" s="1" t="s">
        <v>238</v>
      </c>
      <c r="AM1463" s="1">
        <v>1</v>
      </c>
      <c r="AV1463" s="1">
        <v>1</v>
      </c>
      <c r="AX1463" s="1">
        <v>0.25</v>
      </c>
      <c r="BE1463" s="1" t="s">
        <v>5541</v>
      </c>
      <c r="BK1463" s="1" t="s">
        <v>4994</v>
      </c>
      <c r="BN1463" s="1" t="s">
        <v>217</v>
      </c>
      <c r="BO1463" s="1" t="s">
        <v>218</v>
      </c>
      <c r="BP1463" s="1" t="s">
        <v>239</v>
      </c>
      <c r="BQ1463" s="1" t="s">
        <v>220</v>
      </c>
      <c r="BT1463" s="1">
        <v>1</v>
      </c>
    </row>
    <row r="1464" spans="1:72">
      <c r="A1464" s="1" t="s">
        <v>5544</v>
      </c>
      <c r="B1464" s="1" t="s">
        <v>213</v>
      </c>
      <c r="C1464" s="1">
        <v>1</v>
      </c>
      <c r="D1464" s="1" t="s">
        <v>5545</v>
      </c>
      <c r="E1464" s="1">
        <v>10166</v>
      </c>
      <c r="F1464" s="1" t="s">
        <v>5544</v>
      </c>
      <c r="G1464" s="1">
        <v>1</v>
      </c>
      <c r="K1464" s="1">
        <v>20000</v>
      </c>
      <c r="M1464" s="1">
        <v>800</v>
      </c>
      <c r="O1464" s="1">
        <v>1550</v>
      </c>
      <c r="Q1464" s="1">
        <v>5</v>
      </c>
      <c r="Y1464" s="1">
        <v>0.05</v>
      </c>
      <c r="Z1464" s="1">
        <v>3.8</v>
      </c>
      <c r="AA1464" s="1">
        <v>3</v>
      </c>
      <c r="AB1464" s="1">
        <v>0.7</v>
      </c>
      <c r="AG1464" s="1">
        <v>0</v>
      </c>
      <c r="AH1464" s="1">
        <v>1</v>
      </c>
      <c r="AI1464" s="1" t="s">
        <v>5546</v>
      </c>
      <c r="AJ1464" s="1" t="s">
        <v>216</v>
      </c>
      <c r="AK1464" s="1" t="s">
        <v>238</v>
      </c>
      <c r="AM1464" s="1">
        <v>1</v>
      </c>
      <c r="AV1464" s="1">
        <v>1</v>
      </c>
      <c r="AX1464" s="1">
        <v>0.25</v>
      </c>
      <c r="BE1464" s="1" t="s">
        <v>5544</v>
      </c>
      <c r="BK1464" s="1" t="s">
        <v>4994</v>
      </c>
      <c r="BN1464" s="1" t="s">
        <v>217</v>
      </c>
      <c r="BO1464" s="1" t="s">
        <v>218</v>
      </c>
      <c r="BP1464" s="1" t="s">
        <v>239</v>
      </c>
      <c r="BQ1464" s="1" t="s">
        <v>220</v>
      </c>
      <c r="BT1464" s="1">
        <v>1</v>
      </c>
    </row>
    <row r="1465" spans="1:72">
      <c r="A1465" s="1" t="s">
        <v>5547</v>
      </c>
      <c r="B1465" s="1" t="s">
        <v>213</v>
      </c>
      <c r="C1465" s="1">
        <v>1</v>
      </c>
      <c r="D1465" s="1" t="s">
        <v>5548</v>
      </c>
      <c r="E1465" s="1">
        <v>10167</v>
      </c>
      <c r="F1465" s="1" t="s">
        <v>5547</v>
      </c>
      <c r="G1465" s="1">
        <v>1</v>
      </c>
      <c r="K1465" s="1">
        <v>8000</v>
      </c>
      <c r="M1465" s="1">
        <v>250</v>
      </c>
      <c r="O1465" s="1">
        <v>50</v>
      </c>
      <c r="Q1465" s="1">
        <v>40</v>
      </c>
      <c r="Y1465" s="1">
        <v>0.05</v>
      </c>
      <c r="Z1465" s="1">
        <v>4.5</v>
      </c>
      <c r="AA1465" s="1">
        <v>1</v>
      </c>
      <c r="AB1465" s="1">
        <v>0.5</v>
      </c>
      <c r="AG1465" s="1">
        <v>0</v>
      </c>
      <c r="AH1465" s="1">
        <v>1</v>
      </c>
      <c r="AI1465" s="1" t="s">
        <v>5549</v>
      </c>
      <c r="AJ1465" s="1" t="s">
        <v>216</v>
      </c>
      <c r="AK1465" s="1" t="s">
        <v>238</v>
      </c>
      <c r="AM1465" s="1">
        <v>1</v>
      </c>
      <c r="AV1465" s="1">
        <v>1</v>
      </c>
      <c r="AX1465" s="1">
        <v>0.25</v>
      </c>
      <c r="BE1465" s="1" t="s">
        <v>5547</v>
      </c>
      <c r="BK1465" s="1" t="s">
        <v>4994</v>
      </c>
      <c r="BN1465" s="1" t="s">
        <v>5550</v>
      </c>
      <c r="BO1465" s="1" t="s">
        <v>5551</v>
      </c>
      <c r="BP1465" s="1" t="s">
        <v>5552</v>
      </c>
      <c r="BQ1465" s="1" t="s">
        <v>5553</v>
      </c>
      <c r="BT1465" s="1">
        <v>1</v>
      </c>
    </row>
    <row r="1466" spans="1:72">
      <c r="A1466" s="1" t="s">
        <v>5554</v>
      </c>
      <c r="B1466" s="1" t="s">
        <v>213</v>
      </c>
      <c r="C1466" s="1">
        <v>1</v>
      </c>
      <c r="D1466" s="1" t="s">
        <v>5555</v>
      </c>
      <c r="E1466" s="1">
        <v>10167</v>
      </c>
      <c r="F1466" s="1" t="s">
        <v>5554</v>
      </c>
      <c r="G1466" s="1">
        <v>1</v>
      </c>
      <c r="K1466" s="1">
        <v>9600</v>
      </c>
      <c r="M1466" s="1">
        <v>300</v>
      </c>
      <c r="O1466" s="1">
        <v>100</v>
      </c>
      <c r="Q1466" s="1">
        <v>40</v>
      </c>
      <c r="Y1466" s="1">
        <v>0.05</v>
      </c>
      <c r="Z1466" s="1">
        <v>4.5</v>
      </c>
      <c r="AA1466" s="1">
        <v>1</v>
      </c>
      <c r="AB1466" s="1">
        <v>0.5</v>
      </c>
      <c r="AG1466" s="1">
        <v>0</v>
      </c>
      <c r="AH1466" s="1">
        <v>1</v>
      </c>
      <c r="AI1466" s="1" t="s">
        <v>5556</v>
      </c>
      <c r="AJ1466" s="1" t="s">
        <v>216</v>
      </c>
      <c r="AK1466" s="1" t="s">
        <v>238</v>
      </c>
      <c r="AM1466" s="1">
        <v>1</v>
      </c>
      <c r="AV1466" s="1">
        <v>1</v>
      </c>
      <c r="AX1466" s="1">
        <v>0.25</v>
      </c>
      <c r="BE1466" s="1" t="s">
        <v>5554</v>
      </c>
      <c r="BK1466" s="1" t="s">
        <v>4994</v>
      </c>
      <c r="BN1466" s="1" t="s">
        <v>5550</v>
      </c>
      <c r="BO1466" s="1" t="s">
        <v>5551</v>
      </c>
      <c r="BP1466" s="1" t="s">
        <v>5552</v>
      </c>
      <c r="BQ1466" s="1" t="s">
        <v>5553</v>
      </c>
      <c r="BT1466" s="1">
        <v>1</v>
      </c>
    </row>
    <row r="1467" spans="1:72">
      <c r="A1467" s="1" t="s">
        <v>5547</v>
      </c>
      <c r="B1467" s="1" t="s">
        <v>213</v>
      </c>
      <c r="C1467" s="1">
        <v>1</v>
      </c>
      <c r="D1467" s="1" t="s">
        <v>5548</v>
      </c>
      <c r="E1467" s="1">
        <v>10167</v>
      </c>
      <c r="F1467" s="1" t="s">
        <v>5547</v>
      </c>
      <c r="G1467" s="1">
        <v>1</v>
      </c>
      <c r="K1467" s="1">
        <v>8000</v>
      </c>
      <c r="M1467" s="1">
        <v>250</v>
      </c>
      <c r="O1467" s="1">
        <v>50</v>
      </c>
      <c r="Q1467" s="1">
        <v>40</v>
      </c>
      <c r="Y1467" s="1">
        <v>0.05</v>
      </c>
      <c r="Z1467" s="1">
        <v>4.5</v>
      </c>
      <c r="AA1467" s="1">
        <v>1</v>
      </c>
      <c r="AB1467" s="1">
        <v>0.5</v>
      </c>
      <c r="AG1467" s="1">
        <v>0</v>
      </c>
      <c r="AH1467" s="1">
        <v>1</v>
      </c>
      <c r="AI1467" s="1" t="s">
        <v>5557</v>
      </c>
      <c r="AJ1467" s="1" t="s">
        <v>216</v>
      </c>
      <c r="AK1467" s="1" t="s">
        <v>238</v>
      </c>
      <c r="AM1467" s="1">
        <v>1</v>
      </c>
      <c r="AV1467" s="1">
        <v>1</v>
      </c>
      <c r="AX1467" s="1">
        <v>0.25</v>
      </c>
      <c r="BE1467" s="1" t="s">
        <v>5547</v>
      </c>
      <c r="BK1467" s="1" t="s">
        <v>4994</v>
      </c>
      <c r="BN1467" s="1" t="s">
        <v>5558</v>
      </c>
      <c r="BO1467" s="1" t="s">
        <v>5559</v>
      </c>
      <c r="BP1467" s="1" t="s">
        <v>5560</v>
      </c>
      <c r="BQ1467" s="1" t="s">
        <v>5561</v>
      </c>
      <c r="BT1467" s="1">
        <v>1</v>
      </c>
    </row>
    <row r="1468" spans="1:69">
      <c r="A1468" s="1" t="s">
        <v>5554</v>
      </c>
      <c r="B1468" s="1" t="s">
        <v>213</v>
      </c>
      <c r="C1468" s="1">
        <v>1</v>
      </c>
      <c r="D1468" s="1" t="s">
        <v>5555</v>
      </c>
      <c r="E1468" s="1">
        <v>10167</v>
      </c>
      <c r="F1468" s="1" t="s">
        <v>5554</v>
      </c>
      <c r="G1468" s="1">
        <v>1</v>
      </c>
      <c r="K1468" s="1">
        <v>9600</v>
      </c>
      <c r="M1468" s="1">
        <v>300</v>
      </c>
      <c r="O1468" s="1">
        <v>100</v>
      </c>
      <c r="Q1468" s="1">
        <v>40</v>
      </c>
      <c r="Y1468" s="1">
        <v>0.05</v>
      </c>
      <c r="Z1468" s="1">
        <v>4.5</v>
      </c>
      <c r="AA1468" s="1">
        <v>1</v>
      </c>
      <c r="AB1468" s="1">
        <v>0.5</v>
      </c>
      <c r="AG1468" s="1">
        <v>0</v>
      </c>
      <c r="AH1468" s="1">
        <v>1</v>
      </c>
      <c r="AI1468" s="1" t="s">
        <v>5562</v>
      </c>
      <c r="AJ1468" s="1" t="s">
        <v>216</v>
      </c>
      <c r="AK1468" s="1" t="s">
        <v>238</v>
      </c>
      <c r="AM1468" s="1">
        <v>1</v>
      </c>
      <c r="AV1468" s="1">
        <v>1</v>
      </c>
      <c r="AX1468" s="1">
        <v>0.25</v>
      </c>
      <c r="BE1468" s="1" t="s">
        <v>5554</v>
      </c>
      <c r="BK1468" s="1" t="s">
        <v>4994</v>
      </c>
      <c r="BN1468" s="1" t="s">
        <v>5558</v>
      </c>
      <c r="BO1468" s="1" t="s">
        <v>5559</v>
      </c>
      <c r="BP1468" s="1" t="s">
        <v>5560</v>
      </c>
      <c r="BQ1468" s="1" t="s">
        <v>5561</v>
      </c>
    </row>
    <row r="1469" spans="1:72">
      <c r="A1469" s="1" t="s">
        <v>5563</v>
      </c>
      <c r="B1469" s="1" t="s">
        <v>213</v>
      </c>
      <c r="C1469" s="1">
        <v>1</v>
      </c>
      <c r="D1469" s="1" t="s">
        <v>5564</v>
      </c>
      <c r="E1469" s="1">
        <v>10168</v>
      </c>
      <c r="F1469" s="1" t="s">
        <v>5563</v>
      </c>
      <c r="G1469" s="1">
        <v>1</v>
      </c>
      <c r="K1469" s="1">
        <v>35000</v>
      </c>
      <c r="M1469" s="1">
        <v>550</v>
      </c>
      <c r="O1469" s="1">
        <v>0</v>
      </c>
      <c r="Q1469" s="1">
        <v>0</v>
      </c>
      <c r="Y1469" s="1">
        <v>0.05</v>
      </c>
      <c r="Z1469" s="1">
        <v>2.5</v>
      </c>
      <c r="AA1469" s="1">
        <v>1</v>
      </c>
      <c r="AB1469" s="1">
        <v>1.2</v>
      </c>
      <c r="AG1469" s="1">
        <v>0</v>
      </c>
      <c r="AH1469" s="1">
        <v>1</v>
      </c>
      <c r="AI1469" s="1" t="s">
        <v>5565</v>
      </c>
      <c r="AJ1469" s="1" t="s">
        <v>216</v>
      </c>
      <c r="AK1469" s="1" t="s">
        <v>238</v>
      </c>
      <c r="AM1469" s="1">
        <v>1</v>
      </c>
      <c r="AV1469" s="1">
        <v>1</v>
      </c>
      <c r="AX1469" s="1">
        <v>0.25</v>
      </c>
      <c r="BE1469" s="1" t="s">
        <v>5563</v>
      </c>
      <c r="BK1469" s="1" t="s">
        <v>4994</v>
      </c>
      <c r="BN1469" s="1" t="s">
        <v>3291</v>
      </c>
      <c r="BO1469" s="1" t="s">
        <v>3228</v>
      </c>
      <c r="BP1469" s="1" t="s">
        <v>3229</v>
      </c>
      <c r="BQ1469" s="1" t="s">
        <v>3230</v>
      </c>
      <c r="BT1469" s="1">
        <v>1</v>
      </c>
    </row>
    <row r="1470" spans="1:72">
      <c r="A1470" s="1" t="s">
        <v>5566</v>
      </c>
      <c r="B1470" s="1" t="s">
        <v>213</v>
      </c>
      <c r="C1470" s="1">
        <v>1</v>
      </c>
      <c r="D1470" s="1" t="s">
        <v>5567</v>
      </c>
      <c r="E1470" s="1">
        <v>10168</v>
      </c>
      <c r="F1470" s="1" t="s">
        <v>5566</v>
      </c>
      <c r="G1470" s="1">
        <v>1</v>
      </c>
      <c r="K1470" s="1">
        <v>50000</v>
      </c>
      <c r="M1470" s="1">
        <v>650</v>
      </c>
      <c r="O1470" s="1">
        <v>0</v>
      </c>
      <c r="Q1470" s="1">
        <v>0</v>
      </c>
      <c r="Y1470" s="1">
        <v>0.05</v>
      </c>
      <c r="Z1470" s="1">
        <v>2.5</v>
      </c>
      <c r="AA1470" s="1">
        <v>1</v>
      </c>
      <c r="AB1470" s="1">
        <v>1.2</v>
      </c>
      <c r="AG1470" s="1">
        <v>0</v>
      </c>
      <c r="AH1470" s="1">
        <v>1</v>
      </c>
      <c r="AI1470" s="1" t="s">
        <v>5568</v>
      </c>
      <c r="AJ1470" s="1" t="s">
        <v>216</v>
      </c>
      <c r="AK1470" s="1" t="s">
        <v>238</v>
      </c>
      <c r="AM1470" s="1">
        <v>1</v>
      </c>
      <c r="AV1470" s="1">
        <v>1</v>
      </c>
      <c r="AX1470" s="1">
        <v>0.25</v>
      </c>
      <c r="BE1470" s="1" t="s">
        <v>5566</v>
      </c>
      <c r="BK1470" s="1" t="s">
        <v>4994</v>
      </c>
      <c r="BN1470" s="1" t="s">
        <v>3291</v>
      </c>
      <c r="BO1470" s="1" t="s">
        <v>3228</v>
      </c>
      <c r="BP1470" s="1" t="s">
        <v>3229</v>
      </c>
      <c r="BQ1470" s="1" t="s">
        <v>3230</v>
      </c>
      <c r="BT1470" s="1">
        <v>1</v>
      </c>
    </row>
    <row r="1471" spans="1:72">
      <c r="A1471" s="1" t="s">
        <v>5569</v>
      </c>
      <c r="B1471" s="1" t="s">
        <v>213</v>
      </c>
      <c r="C1471" s="1">
        <v>1</v>
      </c>
      <c r="D1471" s="1" t="s">
        <v>5570</v>
      </c>
      <c r="E1471" s="1">
        <v>10169</v>
      </c>
      <c r="F1471" s="1" t="s">
        <v>5569</v>
      </c>
      <c r="G1471" s="1">
        <v>1</v>
      </c>
      <c r="K1471" s="1">
        <v>10000</v>
      </c>
      <c r="M1471" s="1">
        <v>450</v>
      </c>
      <c r="O1471" s="1">
        <v>450</v>
      </c>
      <c r="Q1471" s="1">
        <v>20</v>
      </c>
      <c r="Y1471" s="1">
        <v>0.05</v>
      </c>
      <c r="Z1471" s="1">
        <v>4</v>
      </c>
      <c r="AA1471" s="1">
        <v>0</v>
      </c>
      <c r="AB1471" s="1">
        <v>1.3</v>
      </c>
      <c r="AG1471" s="1">
        <v>0</v>
      </c>
      <c r="AH1471" s="1">
        <v>1</v>
      </c>
      <c r="AI1471" s="1" t="s">
        <v>5571</v>
      </c>
      <c r="AJ1471" s="1" t="s">
        <v>216</v>
      </c>
      <c r="AK1471" s="1" t="s">
        <v>238</v>
      </c>
      <c r="AM1471" s="1">
        <v>1</v>
      </c>
      <c r="AN1471" s="1">
        <v>1</v>
      </c>
      <c r="AV1471" s="1">
        <v>1</v>
      </c>
      <c r="AX1471" s="1">
        <v>0.25</v>
      </c>
      <c r="BE1471" s="1" t="s">
        <v>5569</v>
      </c>
      <c r="BK1471" s="1" t="s">
        <v>4994</v>
      </c>
      <c r="BN1471" s="1" t="s">
        <v>3443</v>
      </c>
      <c r="BO1471" s="1" t="s">
        <v>2618</v>
      </c>
      <c r="BP1471" s="1" t="s">
        <v>2619</v>
      </c>
      <c r="BQ1471" s="1" t="s">
        <v>3157</v>
      </c>
      <c r="BT1471" s="1">
        <v>1</v>
      </c>
    </row>
    <row r="1472" spans="1:72">
      <c r="A1472" s="1" t="s">
        <v>5572</v>
      </c>
      <c r="B1472" s="1" t="s">
        <v>213</v>
      </c>
      <c r="C1472" s="1">
        <v>1</v>
      </c>
      <c r="D1472" s="1" t="s">
        <v>5573</v>
      </c>
      <c r="E1472" s="1">
        <v>10169</v>
      </c>
      <c r="F1472" s="1" t="s">
        <v>5572</v>
      </c>
      <c r="G1472" s="1">
        <v>1</v>
      </c>
      <c r="K1472" s="1">
        <v>12000</v>
      </c>
      <c r="M1472" s="1">
        <v>550</v>
      </c>
      <c r="O1472" s="1">
        <v>550</v>
      </c>
      <c r="Q1472" s="1">
        <v>10</v>
      </c>
      <c r="Y1472" s="1">
        <v>0.05</v>
      </c>
      <c r="Z1472" s="1">
        <v>4</v>
      </c>
      <c r="AA1472" s="1">
        <v>0</v>
      </c>
      <c r="AB1472" s="1">
        <v>1.3</v>
      </c>
      <c r="AG1472" s="1">
        <v>0</v>
      </c>
      <c r="AH1472" s="1">
        <v>1</v>
      </c>
      <c r="AI1472" s="1" t="s">
        <v>5574</v>
      </c>
      <c r="AJ1472" s="1" t="s">
        <v>216</v>
      </c>
      <c r="AK1472" s="1" t="s">
        <v>238</v>
      </c>
      <c r="AM1472" s="1">
        <v>1</v>
      </c>
      <c r="AN1472" s="1">
        <v>1</v>
      </c>
      <c r="AV1472" s="1">
        <v>1</v>
      </c>
      <c r="AX1472" s="1">
        <v>0.25</v>
      </c>
      <c r="BE1472" s="1" t="s">
        <v>5572</v>
      </c>
      <c r="BK1472" s="1" t="s">
        <v>4994</v>
      </c>
      <c r="BN1472" s="1" t="s">
        <v>3443</v>
      </c>
      <c r="BO1472" s="1" t="s">
        <v>2618</v>
      </c>
      <c r="BP1472" s="1" t="s">
        <v>2619</v>
      </c>
      <c r="BQ1472" s="1" t="s">
        <v>3157</v>
      </c>
      <c r="BT1472" s="1">
        <v>1</v>
      </c>
    </row>
    <row r="1473" spans="1:72">
      <c r="A1473" s="1" t="s">
        <v>5575</v>
      </c>
      <c r="B1473" s="1" t="s">
        <v>213</v>
      </c>
      <c r="C1473" s="1">
        <v>1</v>
      </c>
      <c r="D1473" s="1" t="s">
        <v>5576</v>
      </c>
      <c r="E1473" s="1">
        <v>10170</v>
      </c>
      <c r="F1473" s="1" t="s">
        <v>5575</v>
      </c>
      <c r="G1473" s="1">
        <v>1</v>
      </c>
      <c r="K1473" s="1">
        <v>9000</v>
      </c>
      <c r="M1473" s="1">
        <v>280</v>
      </c>
      <c r="O1473" s="1">
        <v>300</v>
      </c>
      <c r="Q1473" s="1">
        <v>15</v>
      </c>
      <c r="Y1473" s="1">
        <v>0.05</v>
      </c>
      <c r="Z1473" s="1">
        <v>3</v>
      </c>
      <c r="AA1473" s="1">
        <v>0</v>
      </c>
      <c r="AB1473" s="1">
        <v>0.7</v>
      </c>
      <c r="AG1473" s="1">
        <v>0</v>
      </c>
      <c r="AH1473" s="1">
        <v>1</v>
      </c>
      <c r="AI1473" s="1" t="s">
        <v>5577</v>
      </c>
      <c r="AJ1473" s="1" t="s">
        <v>216</v>
      </c>
      <c r="AK1473" s="1" t="s">
        <v>238</v>
      </c>
      <c r="AM1473" s="1">
        <v>1</v>
      </c>
      <c r="AV1473" s="1">
        <v>1</v>
      </c>
      <c r="AX1473" s="1">
        <v>0.25</v>
      </c>
      <c r="BE1473" s="1" t="s">
        <v>5575</v>
      </c>
      <c r="BK1473" s="1" t="s">
        <v>4994</v>
      </c>
      <c r="BN1473" s="1" t="s">
        <v>217</v>
      </c>
      <c r="BO1473" s="1" t="s">
        <v>218</v>
      </c>
      <c r="BP1473" s="1" t="s">
        <v>239</v>
      </c>
      <c r="BQ1473" s="1" t="s">
        <v>220</v>
      </c>
      <c r="BT1473" s="1">
        <v>1</v>
      </c>
    </row>
    <row r="1474" spans="1:72">
      <c r="A1474" s="1" t="s">
        <v>5578</v>
      </c>
      <c r="B1474" s="1" t="s">
        <v>213</v>
      </c>
      <c r="C1474" s="1">
        <v>1</v>
      </c>
      <c r="D1474" s="1" t="s">
        <v>5579</v>
      </c>
      <c r="E1474" s="1">
        <v>10170</v>
      </c>
      <c r="F1474" s="1" t="s">
        <v>5578</v>
      </c>
      <c r="G1474" s="1">
        <v>1</v>
      </c>
      <c r="K1474" s="1">
        <v>11000</v>
      </c>
      <c r="M1474" s="1">
        <v>350</v>
      </c>
      <c r="O1474" s="1">
        <v>360</v>
      </c>
      <c r="Q1474" s="1">
        <v>15</v>
      </c>
      <c r="Y1474" s="1">
        <v>0.05</v>
      </c>
      <c r="Z1474" s="1">
        <v>3</v>
      </c>
      <c r="AA1474" s="1">
        <v>0</v>
      </c>
      <c r="AB1474" s="1">
        <v>0.7</v>
      </c>
      <c r="AG1474" s="1">
        <v>0</v>
      </c>
      <c r="AH1474" s="1">
        <v>1</v>
      </c>
      <c r="AI1474" s="1" t="s">
        <v>5580</v>
      </c>
      <c r="AJ1474" s="1" t="s">
        <v>216</v>
      </c>
      <c r="AK1474" s="1" t="s">
        <v>238</v>
      </c>
      <c r="AM1474" s="1">
        <v>1</v>
      </c>
      <c r="AV1474" s="1">
        <v>1</v>
      </c>
      <c r="AX1474" s="1">
        <v>0.25</v>
      </c>
      <c r="BE1474" s="1" t="s">
        <v>5578</v>
      </c>
      <c r="BK1474" s="1" t="s">
        <v>4994</v>
      </c>
      <c r="BN1474" s="1" t="s">
        <v>217</v>
      </c>
      <c r="BO1474" s="1" t="s">
        <v>218</v>
      </c>
      <c r="BP1474" s="1" t="s">
        <v>239</v>
      </c>
      <c r="BQ1474" s="1" t="s">
        <v>220</v>
      </c>
      <c r="BT1474" s="1">
        <v>1</v>
      </c>
    </row>
    <row r="1475" spans="1:72">
      <c r="A1475" s="1" t="s">
        <v>5581</v>
      </c>
      <c r="B1475" s="1" t="s">
        <v>213</v>
      </c>
      <c r="C1475" s="1">
        <v>1</v>
      </c>
      <c r="D1475" s="1" t="s">
        <v>5582</v>
      </c>
      <c r="E1475" s="1">
        <v>10171</v>
      </c>
      <c r="F1475" s="1" t="s">
        <v>5581</v>
      </c>
      <c r="G1475" s="1">
        <v>1</v>
      </c>
      <c r="K1475" s="1">
        <v>25000</v>
      </c>
      <c r="M1475" s="1">
        <v>450</v>
      </c>
      <c r="O1475" s="1">
        <v>250</v>
      </c>
      <c r="Q1475" s="1">
        <v>35</v>
      </c>
      <c r="Y1475" s="1">
        <v>0.05</v>
      </c>
      <c r="Z1475" s="1">
        <v>3.5</v>
      </c>
      <c r="AA1475" s="1">
        <v>5</v>
      </c>
      <c r="AB1475" s="1">
        <v>0.6</v>
      </c>
      <c r="AG1475" s="1">
        <v>0</v>
      </c>
      <c r="AH1475" s="1">
        <v>1</v>
      </c>
      <c r="AI1475" s="1" t="s">
        <v>5583</v>
      </c>
      <c r="AJ1475" s="1" t="s">
        <v>216</v>
      </c>
      <c r="AK1475" s="1" t="s">
        <v>238</v>
      </c>
      <c r="AM1475" s="1">
        <v>1</v>
      </c>
      <c r="AV1475" s="1">
        <v>1</v>
      </c>
      <c r="AX1475" s="1">
        <v>0.25</v>
      </c>
      <c r="BE1475" s="1" t="s">
        <v>5581</v>
      </c>
      <c r="BK1475" s="1" t="s">
        <v>4994</v>
      </c>
      <c r="BN1475" s="1" t="s">
        <v>217</v>
      </c>
      <c r="BO1475" s="1" t="s">
        <v>218</v>
      </c>
      <c r="BP1475" s="1" t="s">
        <v>239</v>
      </c>
      <c r="BQ1475" s="1" t="s">
        <v>220</v>
      </c>
      <c r="BT1475" s="1">
        <v>1</v>
      </c>
    </row>
    <row r="1476" spans="1:72">
      <c r="A1476" s="1" t="s">
        <v>5584</v>
      </c>
      <c r="B1476" s="1" t="s">
        <v>213</v>
      </c>
      <c r="C1476" s="1">
        <v>1</v>
      </c>
      <c r="D1476" s="1" t="s">
        <v>5585</v>
      </c>
      <c r="E1476" s="1">
        <v>10172</v>
      </c>
      <c r="F1476" s="1" t="s">
        <v>5584</v>
      </c>
      <c r="G1476" s="1">
        <v>1</v>
      </c>
      <c r="K1476" s="1">
        <v>10000</v>
      </c>
      <c r="M1476" s="1">
        <v>700</v>
      </c>
      <c r="O1476" s="1">
        <v>550</v>
      </c>
      <c r="Q1476" s="1">
        <v>20</v>
      </c>
      <c r="Y1476" s="1">
        <v>0.05</v>
      </c>
      <c r="Z1476" s="1">
        <v>3</v>
      </c>
      <c r="AA1476" s="1">
        <v>0</v>
      </c>
      <c r="AB1476" s="1">
        <v>1</v>
      </c>
      <c r="AG1476" s="1">
        <v>0</v>
      </c>
      <c r="AH1476" s="1">
        <v>1</v>
      </c>
      <c r="AI1476" s="1" t="s">
        <v>5586</v>
      </c>
      <c r="AJ1476" s="1" t="s">
        <v>216</v>
      </c>
      <c r="AK1476" s="1" t="s">
        <v>238</v>
      </c>
      <c r="AM1476" s="1">
        <v>1</v>
      </c>
      <c r="AV1476" s="1">
        <v>1</v>
      </c>
      <c r="AX1476" s="1">
        <v>0.25</v>
      </c>
      <c r="BE1476" s="1" t="s">
        <v>5584</v>
      </c>
      <c r="BK1476" s="1" t="s">
        <v>4994</v>
      </c>
      <c r="BN1476" s="1" t="s">
        <v>217</v>
      </c>
      <c r="BO1476" s="1" t="s">
        <v>218</v>
      </c>
      <c r="BP1476" s="1" t="s">
        <v>239</v>
      </c>
      <c r="BQ1476" s="1" t="s">
        <v>220</v>
      </c>
      <c r="BT1476" s="1">
        <v>1</v>
      </c>
    </row>
    <row r="1477" spans="1:72">
      <c r="A1477" s="1" t="s">
        <v>5587</v>
      </c>
      <c r="B1477" s="1" t="s">
        <v>213</v>
      </c>
      <c r="C1477" s="1">
        <v>1</v>
      </c>
      <c r="D1477" s="1" t="s">
        <v>5588</v>
      </c>
      <c r="E1477" s="1">
        <v>3012</v>
      </c>
      <c r="F1477" s="1" t="s">
        <v>5587</v>
      </c>
      <c r="G1477" s="1">
        <v>1</v>
      </c>
      <c r="K1477" s="1">
        <v>3000</v>
      </c>
      <c r="M1477" s="1">
        <v>100</v>
      </c>
      <c r="O1477" s="1">
        <v>50</v>
      </c>
      <c r="Q1477" s="1">
        <v>0</v>
      </c>
      <c r="Y1477" s="1">
        <v>0.05</v>
      </c>
      <c r="Z1477" s="1">
        <v>3</v>
      </c>
      <c r="AA1477" s="1">
        <v>0</v>
      </c>
      <c r="AB1477" s="1">
        <v>1</v>
      </c>
      <c r="AG1477" s="1">
        <v>0</v>
      </c>
      <c r="AH1477" s="1">
        <v>2</v>
      </c>
      <c r="AI1477" s="1" t="s">
        <v>5589</v>
      </c>
      <c r="AJ1477" s="1" t="s">
        <v>216</v>
      </c>
      <c r="AK1477" s="1" t="s">
        <v>5590</v>
      </c>
      <c r="AM1477" s="1">
        <v>1</v>
      </c>
      <c r="AV1477" s="1">
        <v>1</v>
      </c>
      <c r="AX1477" s="1">
        <v>0.25</v>
      </c>
      <c r="BE1477" s="1" t="s">
        <v>5587</v>
      </c>
      <c r="BK1477" s="1" t="s">
        <v>4994</v>
      </c>
      <c r="BN1477" s="1" t="s">
        <v>217</v>
      </c>
      <c r="BO1477" s="1" t="s">
        <v>218</v>
      </c>
      <c r="BP1477" s="1" t="s">
        <v>239</v>
      </c>
      <c r="BQ1477" s="1" t="s">
        <v>220</v>
      </c>
      <c r="BT1477" s="1">
        <v>1</v>
      </c>
    </row>
    <row r="1478" spans="1:72">
      <c r="A1478" s="1" t="s">
        <v>5591</v>
      </c>
      <c r="B1478" s="1" t="s">
        <v>213</v>
      </c>
      <c r="C1478" s="1">
        <v>1</v>
      </c>
      <c r="D1478" s="1" t="s">
        <v>5592</v>
      </c>
      <c r="E1478" s="1">
        <v>3013</v>
      </c>
      <c r="F1478" s="1" t="s">
        <v>5591</v>
      </c>
      <c r="G1478" s="1">
        <v>1</v>
      </c>
      <c r="K1478" s="1">
        <v>3000</v>
      </c>
      <c r="M1478" s="1">
        <v>100</v>
      </c>
      <c r="O1478" s="1">
        <v>50</v>
      </c>
      <c r="Q1478" s="1">
        <v>0</v>
      </c>
      <c r="Y1478" s="1">
        <v>0.05</v>
      </c>
      <c r="Z1478" s="1">
        <v>3</v>
      </c>
      <c r="AA1478" s="1">
        <v>0</v>
      </c>
      <c r="AB1478" s="1">
        <v>1</v>
      </c>
      <c r="AG1478" s="1">
        <v>0</v>
      </c>
      <c r="AH1478" s="1">
        <v>2</v>
      </c>
      <c r="AI1478" s="1" t="s">
        <v>5593</v>
      </c>
      <c r="AJ1478" s="1" t="s">
        <v>216</v>
      </c>
      <c r="AK1478" s="1" t="s">
        <v>5590</v>
      </c>
      <c r="AM1478" s="1">
        <v>1</v>
      </c>
      <c r="AV1478" s="1">
        <v>1</v>
      </c>
      <c r="AX1478" s="1">
        <v>0.25</v>
      </c>
      <c r="BE1478" s="1" t="s">
        <v>5591</v>
      </c>
      <c r="BK1478" s="1" t="s">
        <v>4994</v>
      </c>
      <c r="BN1478" s="1" t="s">
        <v>217</v>
      </c>
      <c r="BO1478" s="1" t="s">
        <v>218</v>
      </c>
      <c r="BP1478" s="1" t="s">
        <v>239</v>
      </c>
      <c r="BQ1478" s="1" t="s">
        <v>220</v>
      </c>
      <c r="BT1478" s="1">
        <v>1</v>
      </c>
    </row>
    <row r="1479" spans="1:72">
      <c r="A1479" s="1" t="s">
        <v>5594</v>
      </c>
      <c r="B1479" s="1" t="s">
        <v>213</v>
      </c>
      <c r="C1479" s="1">
        <v>1</v>
      </c>
      <c r="D1479" s="1" t="s">
        <v>5595</v>
      </c>
      <c r="E1479" s="1">
        <v>3014</v>
      </c>
      <c r="F1479" s="1" t="s">
        <v>5594</v>
      </c>
      <c r="G1479" s="1">
        <v>1</v>
      </c>
      <c r="K1479" s="1">
        <v>10000</v>
      </c>
      <c r="M1479" s="1">
        <v>300</v>
      </c>
      <c r="O1479" s="1">
        <v>250</v>
      </c>
      <c r="Q1479" s="1">
        <v>0</v>
      </c>
      <c r="Y1479" s="1">
        <v>0.05</v>
      </c>
      <c r="Z1479" s="1">
        <v>3</v>
      </c>
      <c r="AA1479" s="1">
        <v>5</v>
      </c>
      <c r="AB1479" s="1">
        <v>1</v>
      </c>
      <c r="AG1479" s="1">
        <v>0</v>
      </c>
      <c r="AH1479" s="1">
        <v>1</v>
      </c>
      <c r="AI1479" s="1" t="s">
        <v>5596</v>
      </c>
      <c r="AJ1479" s="1" t="s">
        <v>216</v>
      </c>
      <c r="AK1479" s="1" t="s">
        <v>238</v>
      </c>
      <c r="AM1479" s="1">
        <v>1</v>
      </c>
      <c r="AV1479" s="1">
        <v>1</v>
      </c>
      <c r="AX1479" s="1">
        <v>0.25</v>
      </c>
      <c r="BE1479" s="1" t="s">
        <v>5594</v>
      </c>
      <c r="BK1479" s="1" t="s">
        <v>4994</v>
      </c>
      <c r="BN1479" s="1" t="s">
        <v>217</v>
      </c>
      <c r="BO1479" s="1" t="s">
        <v>218</v>
      </c>
      <c r="BQ1479" s="1" t="s">
        <v>220</v>
      </c>
      <c r="BT1479" s="1">
        <v>1</v>
      </c>
    </row>
    <row r="1480" spans="1:72">
      <c r="A1480" s="1" t="s">
        <v>5597</v>
      </c>
      <c r="B1480" s="1" t="s">
        <v>213</v>
      </c>
      <c r="C1480" s="1">
        <v>1</v>
      </c>
      <c r="D1480" s="1" t="s">
        <v>5598</v>
      </c>
      <c r="E1480" s="1">
        <v>10193</v>
      </c>
      <c r="F1480" s="1" t="s">
        <v>5597</v>
      </c>
      <c r="G1480" s="1">
        <v>1</v>
      </c>
      <c r="K1480" s="1">
        <v>5000</v>
      </c>
      <c r="M1480" s="1">
        <v>350</v>
      </c>
      <c r="O1480" s="1">
        <v>80</v>
      </c>
      <c r="Q1480" s="1">
        <v>0</v>
      </c>
      <c r="Y1480" s="1">
        <v>0.05</v>
      </c>
      <c r="Z1480" s="1">
        <v>1.8</v>
      </c>
      <c r="AA1480" s="1">
        <v>1</v>
      </c>
      <c r="AB1480" s="1">
        <v>0.75</v>
      </c>
      <c r="AG1480" s="1">
        <v>0</v>
      </c>
      <c r="AH1480" s="1">
        <v>1</v>
      </c>
      <c r="AI1480" s="1" t="s">
        <v>5599</v>
      </c>
      <c r="AJ1480" s="1" t="s">
        <v>216</v>
      </c>
      <c r="AK1480" s="1" t="s">
        <v>238</v>
      </c>
      <c r="AM1480" s="1">
        <v>1</v>
      </c>
      <c r="AV1480" s="1">
        <v>1</v>
      </c>
      <c r="AX1480" s="1">
        <v>0.25</v>
      </c>
      <c r="BE1480" s="1" t="s">
        <v>5597</v>
      </c>
      <c r="BK1480" s="1" t="s">
        <v>4994</v>
      </c>
      <c r="BN1480" s="1" t="s">
        <v>217</v>
      </c>
      <c r="BO1480" s="1" t="s">
        <v>218</v>
      </c>
      <c r="BP1480" s="1" t="s">
        <v>239</v>
      </c>
      <c r="BQ1480" s="1" t="s">
        <v>220</v>
      </c>
      <c r="BT1480" s="1">
        <v>1</v>
      </c>
    </row>
    <row r="1481" spans="1:72">
      <c r="A1481" s="1" t="s">
        <v>5600</v>
      </c>
      <c r="B1481" s="1" t="s">
        <v>213</v>
      </c>
      <c r="C1481" s="1">
        <v>1</v>
      </c>
      <c r="D1481" s="1" t="s">
        <v>5601</v>
      </c>
      <c r="E1481" s="1">
        <v>10193</v>
      </c>
      <c r="F1481" s="1" t="s">
        <v>5600</v>
      </c>
      <c r="G1481" s="1">
        <v>1</v>
      </c>
      <c r="K1481" s="1">
        <v>6000</v>
      </c>
      <c r="M1481" s="1">
        <v>400</v>
      </c>
      <c r="O1481" s="1">
        <v>150</v>
      </c>
      <c r="Q1481" s="1">
        <v>0</v>
      </c>
      <c r="Y1481" s="1">
        <v>0.05</v>
      </c>
      <c r="Z1481" s="1">
        <v>1.8</v>
      </c>
      <c r="AA1481" s="1">
        <v>1</v>
      </c>
      <c r="AB1481" s="1">
        <v>0.75</v>
      </c>
      <c r="AG1481" s="1">
        <v>0</v>
      </c>
      <c r="AH1481" s="1">
        <v>1</v>
      </c>
      <c r="AI1481" s="1" t="s">
        <v>5602</v>
      </c>
      <c r="AJ1481" s="1" t="s">
        <v>216</v>
      </c>
      <c r="AK1481" s="1" t="s">
        <v>238</v>
      </c>
      <c r="AM1481" s="1">
        <v>1</v>
      </c>
      <c r="AV1481" s="1">
        <v>1</v>
      </c>
      <c r="AX1481" s="1">
        <v>0.25</v>
      </c>
      <c r="BE1481" s="1" t="s">
        <v>5600</v>
      </c>
      <c r="BK1481" s="1" t="s">
        <v>4994</v>
      </c>
      <c r="BN1481" s="1" t="s">
        <v>217</v>
      </c>
      <c r="BO1481" s="1" t="s">
        <v>218</v>
      </c>
      <c r="BP1481" s="1" t="s">
        <v>239</v>
      </c>
      <c r="BQ1481" s="1" t="s">
        <v>220</v>
      </c>
      <c r="BT1481" s="1">
        <v>1</v>
      </c>
    </row>
    <row r="1482" spans="1:72">
      <c r="A1482" s="1" t="s">
        <v>5603</v>
      </c>
      <c r="B1482" s="1" t="s">
        <v>213</v>
      </c>
      <c r="C1482" s="1">
        <v>1</v>
      </c>
      <c r="D1482" s="1" t="s">
        <v>5604</v>
      </c>
      <c r="E1482" s="1">
        <v>10194</v>
      </c>
      <c r="F1482" s="1" t="s">
        <v>5603</v>
      </c>
      <c r="G1482" s="1">
        <v>1</v>
      </c>
      <c r="K1482" s="1">
        <v>4500</v>
      </c>
      <c r="M1482" s="1">
        <v>300</v>
      </c>
      <c r="O1482" s="1">
        <v>40</v>
      </c>
      <c r="Q1482" s="1">
        <v>0</v>
      </c>
      <c r="Y1482" s="1">
        <v>0.05</v>
      </c>
      <c r="Z1482" s="1">
        <v>2.5</v>
      </c>
      <c r="AA1482" s="1">
        <v>1</v>
      </c>
      <c r="AB1482" s="1">
        <v>0.7</v>
      </c>
      <c r="AG1482" s="1">
        <v>0</v>
      </c>
      <c r="AH1482" s="1">
        <v>1</v>
      </c>
      <c r="AI1482" s="1" t="s">
        <v>5605</v>
      </c>
      <c r="AJ1482" s="1" t="s">
        <v>216</v>
      </c>
      <c r="AK1482" s="1" t="s">
        <v>238</v>
      </c>
      <c r="AM1482" s="1">
        <v>1</v>
      </c>
      <c r="AV1482" s="1">
        <v>1</v>
      </c>
      <c r="AX1482" s="1">
        <v>0.25</v>
      </c>
      <c r="BE1482" s="1" t="s">
        <v>5603</v>
      </c>
      <c r="BK1482" s="1" t="s">
        <v>4994</v>
      </c>
      <c r="BN1482" s="1" t="s">
        <v>217</v>
      </c>
      <c r="BO1482" s="1" t="s">
        <v>218</v>
      </c>
      <c r="BP1482" s="1" t="s">
        <v>239</v>
      </c>
      <c r="BQ1482" s="1" t="s">
        <v>220</v>
      </c>
      <c r="BT1482" s="1">
        <v>1</v>
      </c>
    </row>
    <row r="1483" spans="1:72">
      <c r="A1483" s="1" t="s">
        <v>5606</v>
      </c>
      <c r="B1483" s="1" t="s">
        <v>213</v>
      </c>
      <c r="C1483" s="1">
        <v>1</v>
      </c>
      <c r="D1483" s="1" t="s">
        <v>5607</v>
      </c>
      <c r="E1483" s="1">
        <v>10194</v>
      </c>
      <c r="F1483" s="1" t="s">
        <v>5606</v>
      </c>
      <c r="G1483" s="1">
        <v>1</v>
      </c>
      <c r="K1483" s="1">
        <v>6000</v>
      </c>
      <c r="M1483" s="1">
        <v>400</v>
      </c>
      <c r="O1483" s="1">
        <v>100</v>
      </c>
      <c r="Q1483" s="1">
        <v>0</v>
      </c>
      <c r="Y1483" s="1">
        <v>0.05</v>
      </c>
      <c r="Z1483" s="1">
        <v>2.5</v>
      </c>
      <c r="AA1483" s="1">
        <v>1</v>
      </c>
      <c r="AB1483" s="1">
        <v>0.7</v>
      </c>
      <c r="AG1483" s="1">
        <v>0</v>
      </c>
      <c r="AH1483" s="1">
        <v>1</v>
      </c>
      <c r="AI1483" s="1" t="s">
        <v>5608</v>
      </c>
      <c r="AJ1483" s="1" t="s">
        <v>216</v>
      </c>
      <c r="AK1483" s="1" t="s">
        <v>238</v>
      </c>
      <c r="AM1483" s="1">
        <v>1</v>
      </c>
      <c r="AV1483" s="1">
        <v>1</v>
      </c>
      <c r="AX1483" s="1">
        <v>0.25</v>
      </c>
      <c r="BE1483" s="1" t="s">
        <v>5606</v>
      </c>
      <c r="BK1483" s="1" t="s">
        <v>4994</v>
      </c>
      <c r="BN1483" s="1" t="s">
        <v>217</v>
      </c>
      <c r="BO1483" s="1" t="s">
        <v>218</v>
      </c>
      <c r="BP1483" s="1" t="s">
        <v>239</v>
      </c>
      <c r="BQ1483" s="1" t="s">
        <v>220</v>
      </c>
      <c r="BT1483" s="1">
        <v>1</v>
      </c>
    </row>
    <row r="1484" spans="1:72">
      <c r="A1484" s="1" t="s">
        <v>5609</v>
      </c>
      <c r="B1484" s="1" t="s">
        <v>213</v>
      </c>
      <c r="C1484" s="1">
        <v>1</v>
      </c>
      <c r="D1484" s="1" t="s">
        <v>5610</v>
      </c>
      <c r="E1484" s="1">
        <v>10195</v>
      </c>
      <c r="F1484" s="1" t="s">
        <v>5609</v>
      </c>
      <c r="G1484" s="1">
        <v>1</v>
      </c>
      <c r="K1484" s="1">
        <v>8000</v>
      </c>
      <c r="M1484" s="1">
        <v>250</v>
      </c>
      <c r="O1484" s="1">
        <v>250</v>
      </c>
      <c r="Q1484" s="1">
        <v>5</v>
      </c>
      <c r="Y1484" s="1">
        <v>0.05</v>
      </c>
      <c r="Z1484" s="1">
        <v>3.2</v>
      </c>
      <c r="AA1484" s="1">
        <v>2</v>
      </c>
      <c r="AB1484" s="1">
        <v>0.5</v>
      </c>
      <c r="AG1484" s="1">
        <v>0</v>
      </c>
      <c r="AH1484" s="1">
        <v>1</v>
      </c>
      <c r="AI1484" s="1" t="s">
        <v>5611</v>
      </c>
      <c r="AJ1484" s="1" t="s">
        <v>216</v>
      </c>
      <c r="AK1484" s="1" t="s">
        <v>238</v>
      </c>
      <c r="AM1484" s="1">
        <v>1</v>
      </c>
      <c r="AV1484" s="1">
        <v>1</v>
      </c>
      <c r="AX1484" s="1">
        <v>0.25</v>
      </c>
      <c r="BE1484" s="1" t="s">
        <v>5609</v>
      </c>
      <c r="BK1484" s="1" t="s">
        <v>4994</v>
      </c>
      <c r="BN1484" s="1" t="s">
        <v>217</v>
      </c>
      <c r="BO1484" s="1" t="s">
        <v>218</v>
      </c>
      <c r="BP1484" s="1" t="s">
        <v>239</v>
      </c>
      <c r="BQ1484" s="1" t="s">
        <v>220</v>
      </c>
      <c r="BT1484" s="1">
        <v>1</v>
      </c>
    </row>
    <row r="1485" spans="1:72">
      <c r="A1485" s="1" t="s">
        <v>5612</v>
      </c>
      <c r="B1485" s="1" t="s">
        <v>213</v>
      </c>
      <c r="C1485" s="1">
        <v>1</v>
      </c>
      <c r="D1485" s="1" t="s">
        <v>5613</v>
      </c>
      <c r="E1485" s="1">
        <v>10195</v>
      </c>
      <c r="F1485" s="1" t="s">
        <v>5612</v>
      </c>
      <c r="G1485" s="1">
        <v>1</v>
      </c>
      <c r="K1485" s="1">
        <v>10000</v>
      </c>
      <c r="M1485" s="1">
        <v>350</v>
      </c>
      <c r="O1485" s="1">
        <v>250</v>
      </c>
      <c r="Q1485" s="1">
        <v>5</v>
      </c>
      <c r="Y1485" s="1">
        <v>0.05</v>
      </c>
      <c r="Z1485" s="1">
        <v>3.2</v>
      </c>
      <c r="AA1485" s="1">
        <v>2</v>
      </c>
      <c r="AB1485" s="1">
        <v>0.5</v>
      </c>
      <c r="AG1485" s="1">
        <v>0</v>
      </c>
      <c r="AH1485" s="1">
        <v>1</v>
      </c>
      <c r="AI1485" s="1" t="s">
        <v>5614</v>
      </c>
      <c r="AJ1485" s="1" t="s">
        <v>216</v>
      </c>
      <c r="AK1485" s="1" t="s">
        <v>238</v>
      </c>
      <c r="AM1485" s="1">
        <v>1</v>
      </c>
      <c r="AV1485" s="1">
        <v>1</v>
      </c>
      <c r="AX1485" s="1">
        <v>0.25</v>
      </c>
      <c r="BE1485" s="1" t="s">
        <v>5612</v>
      </c>
      <c r="BK1485" s="1" t="s">
        <v>4994</v>
      </c>
      <c r="BN1485" s="1" t="s">
        <v>217</v>
      </c>
      <c r="BO1485" s="1" t="s">
        <v>218</v>
      </c>
      <c r="BP1485" s="1" t="s">
        <v>239</v>
      </c>
      <c r="BQ1485" s="1" t="s">
        <v>220</v>
      </c>
      <c r="BT1485" s="1">
        <v>1</v>
      </c>
    </row>
    <row r="1486" spans="1:72">
      <c r="A1486" s="1" t="s">
        <v>5615</v>
      </c>
      <c r="B1486" s="1" t="s">
        <v>213</v>
      </c>
      <c r="C1486" s="1">
        <v>1</v>
      </c>
      <c r="D1486" s="1" t="s">
        <v>5616</v>
      </c>
      <c r="E1486" s="1">
        <v>10196</v>
      </c>
      <c r="F1486" s="1" t="s">
        <v>5615</v>
      </c>
      <c r="G1486" s="1">
        <v>1</v>
      </c>
      <c r="K1486" s="1">
        <v>15000</v>
      </c>
      <c r="M1486" s="1">
        <v>650</v>
      </c>
      <c r="O1486" s="1">
        <v>1000</v>
      </c>
      <c r="Q1486" s="1">
        <v>15</v>
      </c>
      <c r="Y1486" s="1">
        <v>0.05</v>
      </c>
      <c r="Z1486" s="1">
        <v>3</v>
      </c>
      <c r="AA1486" s="1">
        <v>3</v>
      </c>
      <c r="AB1486" s="1">
        <v>0.5</v>
      </c>
      <c r="AG1486" s="1">
        <v>0</v>
      </c>
      <c r="AH1486" s="1">
        <v>1</v>
      </c>
      <c r="AI1486" s="1" t="s">
        <v>5617</v>
      </c>
      <c r="AJ1486" s="1" t="s">
        <v>216</v>
      </c>
      <c r="AK1486" s="1" t="s">
        <v>238</v>
      </c>
      <c r="AM1486" s="1">
        <v>1</v>
      </c>
      <c r="AV1486" s="1">
        <v>1</v>
      </c>
      <c r="AX1486" s="1">
        <v>0.25</v>
      </c>
      <c r="BE1486" s="1" t="s">
        <v>5615</v>
      </c>
      <c r="BK1486" s="1" t="s">
        <v>4994</v>
      </c>
      <c r="BN1486" s="1" t="s">
        <v>217</v>
      </c>
      <c r="BO1486" s="1" t="s">
        <v>218</v>
      </c>
      <c r="BP1486" s="1" t="s">
        <v>239</v>
      </c>
      <c r="BQ1486" s="1" t="s">
        <v>220</v>
      </c>
      <c r="BT1486" s="1">
        <v>1</v>
      </c>
    </row>
    <row r="1487" spans="1:72">
      <c r="A1487" s="1" t="s">
        <v>5618</v>
      </c>
      <c r="B1487" s="1" t="s">
        <v>213</v>
      </c>
      <c r="C1487" s="1">
        <v>1</v>
      </c>
      <c r="D1487" s="1" t="s">
        <v>5619</v>
      </c>
      <c r="E1487" s="1">
        <v>10196</v>
      </c>
      <c r="F1487" s="1" t="s">
        <v>5618</v>
      </c>
      <c r="G1487" s="1">
        <v>1</v>
      </c>
      <c r="K1487" s="1">
        <v>25000</v>
      </c>
      <c r="M1487" s="1">
        <v>700</v>
      </c>
      <c r="O1487" s="1">
        <v>1100</v>
      </c>
      <c r="Q1487" s="1">
        <v>15</v>
      </c>
      <c r="Y1487" s="1">
        <v>0.05</v>
      </c>
      <c r="Z1487" s="1">
        <v>3</v>
      </c>
      <c r="AA1487" s="1">
        <v>3</v>
      </c>
      <c r="AB1487" s="1">
        <v>0.5</v>
      </c>
      <c r="AG1487" s="1">
        <v>0</v>
      </c>
      <c r="AH1487" s="1">
        <v>1</v>
      </c>
      <c r="AI1487" s="1" t="s">
        <v>5620</v>
      </c>
      <c r="AJ1487" s="1" t="s">
        <v>216</v>
      </c>
      <c r="AK1487" s="1" t="s">
        <v>238</v>
      </c>
      <c r="AM1487" s="1">
        <v>1</v>
      </c>
      <c r="AV1487" s="1">
        <v>1</v>
      </c>
      <c r="AX1487" s="1">
        <v>0.25</v>
      </c>
      <c r="BE1487" s="1" t="s">
        <v>5618</v>
      </c>
      <c r="BK1487" s="1" t="s">
        <v>4994</v>
      </c>
      <c r="BN1487" s="1" t="s">
        <v>217</v>
      </c>
      <c r="BO1487" s="1" t="s">
        <v>218</v>
      </c>
      <c r="BP1487" s="1" t="s">
        <v>239</v>
      </c>
      <c r="BQ1487" s="1" t="s">
        <v>220</v>
      </c>
      <c r="BT1487" s="1">
        <v>1</v>
      </c>
    </row>
    <row r="1488" spans="1:72">
      <c r="A1488" s="1" t="s">
        <v>5621</v>
      </c>
      <c r="B1488" s="1" t="s">
        <v>213</v>
      </c>
      <c r="C1488" s="1">
        <v>1</v>
      </c>
      <c r="D1488" s="1" t="s">
        <v>5622</v>
      </c>
      <c r="E1488" s="1">
        <v>10197</v>
      </c>
      <c r="F1488" s="1" t="s">
        <v>5621</v>
      </c>
      <c r="G1488" s="1">
        <v>1</v>
      </c>
      <c r="K1488" s="1">
        <v>10000</v>
      </c>
      <c r="M1488" s="1">
        <v>600</v>
      </c>
      <c r="O1488" s="1">
        <v>150</v>
      </c>
      <c r="Q1488" s="1">
        <v>20</v>
      </c>
      <c r="Y1488" s="1">
        <v>0.05</v>
      </c>
      <c r="Z1488" s="1">
        <v>2.3</v>
      </c>
      <c r="AA1488" s="1">
        <v>2</v>
      </c>
      <c r="AB1488" s="1">
        <v>0.8</v>
      </c>
      <c r="AG1488" s="1">
        <v>0</v>
      </c>
      <c r="AH1488" s="1">
        <v>1</v>
      </c>
      <c r="AI1488" s="1" t="s">
        <v>5623</v>
      </c>
      <c r="AJ1488" s="1" t="s">
        <v>216</v>
      </c>
      <c r="AK1488" s="1" t="s">
        <v>238</v>
      </c>
      <c r="AM1488" s="1">
        <v>1</v>
      </c>
      <c r="AV1488" s="1">
        <v>1</v>
      </c>
      <c r="AX1488" s="1">
        <v>0.25</v>
      </c>
      <c r="BE1488" s="1" t="s">
        <v>5621</v>
      </c>
      <c r="BK1488" s="1" t="s">
        <v>4994</v>
      </c>
      <c r="BN1488" s="1" t="s">
        <v>217</v>
      </c>
      <c r="BO1488" s="1" t="s">
        <v>218</v>
      </c>
      <c r="BP1488" s="1" t="s">
        <v>239</v>
      </c>
      <c r="BQ1488" s="1" t="s">
        <v>220</v>
      </c>
      <c r="BT1488" s="1">
        <v>1</v>
      </c>
    </row>
    <row r="1489" spans="1:72">
      <c r="A1489" s="1" t="s">
        <v>5624</v>
      </c>
      <c r="B1489" s="1" t="s">
        <v>213</v>
      </c>
      <c r="C1489" s="1">
        <v>1</v>
      </c>
      <c r="D1489" s="1" t="s">
        <v>5625</v>
      </c>
      <c r="E1489" s="1">
        <v>10197</v>
      </c>
      <c r="F1489" s="1" t="s">
        <v>5624</v>
      </c>
      <c r="G1489" s="1">
        <v>1</v>
      </c>
      <c r="K1489" s="1">
        <v>15000</v>
      </c>
      <c r="M1489" s="1">
        <v>800</v>
      </c>
      <c r="O1489" s="1">
        <v>240</v>
      </c>
      <c r="Q1489" s="1">
        <v>20</v>
      </c>
      <c r="Y1489" s="1">
        <v>0.05</v>
      </c>
      <c r="Z1489" s="1">
        <v>2.3</v>
      </c>
      <c r="AA1489" s="1">
        <v>2</v>
      </c>
      <c r="AB1489" s="1">
        <v>0.8</v>
      </c>
      <c r="AG1489" s="1">
        <v>0</v>
      </c>
      <c r="AH1489" s="1">
        <v>1</v>
      </c>
      <c r="AI1489" s="1" t="s">
        <v>5626</v>
      </c>
      <c r="AJ1489" s="1" t="s">
        <v>216</v>
      </c>
      <c r="AK1489" s="1" t="s">
        <v>238</v>
      </c>
      <c r="AM1489" s="1">
        <v>1</v>
      </c>
      <c r="AV1489" s="1">
        <v>1</v>
      </c>
      <c r="AX1489" s="1">
        <v>0.25</v>
      </c>
      <c r="BE1489" s="1" t="s">
        <v>5624</v>
      </c>
      <c r="BK1489" s="1" t="s">
        <v>4994</v>
      </c>
      <c r="BN1489" s="1" t="s">
        <v>217</v>
      </c>
      <c r="BO1489" s="1" t="s">
        <v>218</v>
      </c>
      <c r="BP1489" s="1" t="s">
        <v>239</v>
      </c>
      <c r="BQ1489" s="1" t="s">
        <v>220</v>
      </c>
      <c r="BT1489" s="1">
        <v>1</v>
      </c>
    </row>
    <row r="1490" spans="1:72">
      <c r="A1490" s="1" t="s">
        <v>5627</v>
      </c>
      <c r="B1490" s="1" t="s">
        <v>213</v>
      </c>
      <c r="C1490" s="1">
        <v>1</v>
      </c>
      <c r="D1490" s="1" t="s">
        <v>5628</v>
      </c>
      <c r="E1490" s="1">
        <v>10198</v>
      </c>
      <c r="F1490" s="1" t="s">
        <v>5627</v>
      </c>
      <c r="G1490" s="1">
        <v>1</v>
      </c>
      <c r="K1490" s="1">
        <v>9000</v>
      </c>
      <c r="M1490" s="1">
        <v>650</v>
      </c>
      <c r="O1490" s="1">
        <v>100</v>
      </c>
      <c r="Q1490" s="1">
        <v>30</v>
      </c>
      <c r="Y1490" s="1">
        <v>0.05</v>
      </c>
      <c r="Z1490" s="1">
        <v>4</v>
      </c>
      <c r="AA1490" s="1">
        <v>5</v>
      </c>
      <c r="AB1490" s="1">
        <v>0.4</v>
      </c>
      <c r="AG1490" s="1">
        <v>0</v>
      </c>
      <c r="AH1490" s="1">
        <v>1</v>
      </c>
      <c r="AI1490" s="1" t="s">
        <v>5629</v>
      </c>
      <c r="AJ1490" s="1" t="s">
        <v>216</v>
      </c>
      <c r="AK1490" s="1" t="s">
        <v>238</v>
      </c>
      <c r="AM1490" s="1">
        <v>1</v>
      </c>
      <c r="AV1490" s="1">
        <v>1</v>
      </c>
      <c r="AX1490" s="1">
        <v>0.25</v>
      </c>
      <c r="BE1490" s="1" t="s">
        <v>5627</v>
      </c>
      <c r="BK1490" s="1" t="s">
        <v>4994</v>
      </c>
      <c r="BN1490" s="1" t="s">
        <v>217</v>
      </c>
      <c r="BO1490" s="1" t="s">
        <v>218</v>
      </c>
      <c r="BP1490" s="1" t="s">
        <v>239</v>
      </c>
      <c r="BQ1490" s="1" t="s">
        <v>220</v>
      </c>
      <c r="BT1490" s="1">
        <v>1</v>
      </c>
    </row>
    <row r="1491" spans="1:72">
      <c r="A1491" s="1" t="s">
        <v>5630</v>
      </c>
      <c r="B1491" s="1" t="s">
        <v>213</v>
      </c>
      <c r="C1491" s="1">
        <v>1</v>
      </c>
      <c r="D1491" s="1" t="s">
        <v>5631</v>
      </c>
      <c r="E1491" s="1">
        <v>10198</v>
      </c>
      <c r="F1491" s="1" t="s">
        <v>5630</v>
      </c>
      <c r="G1491" s="1">
        <v>1</v>
      </c>
      <c r="K1491" s="1">
        <v>13000</v>
      </c>
      <c r="M1491" s="1">
        <v>800</v>
      </c>
      <c r="O1491" s="1">
        <v>100</v>
      </c>
      <c r="Q1491" s="1">
        <v>30</v>
      </c>
      <c r="Y1491" s="1">
        <v>0.05</v>
      </c>
      <c r="Z1491" s="1">
        <v>4</v>
      </c>
      <c r="AA1491" s="1">
        <v>5</v>
      </c>
      <c r="AB1491" s="1">
        <v>0.4</v>
      </c>
      <c r="AG1491" s="1">
        <v>0</v>
      </c>
      <c r="AH1491" s="1">
        <v>1</v>
      </c>
      <c r="AI1491" s="1" t="s">
        <v>5632</v>
      </c>
      <c r="AJ1491" s="1" t="s">
        <v>216</v>
      </c>
      <c r="AK1491" s="1" t="s">
        <v>238</v>
      </c>
      <c r="AM1491" s="1">
        <v>1</v>
      </c>
      <c r="AV1491" s="1">
        <v>1</v>
      </c>
      <c r="AX1491" s="1">
        <v>0.25</v>
      </c>
      <c r="BE1491" s="1" t="s">
        <v>5630</v>
      </c>
      <c r="BK1491" s="1" t="s">
        <v>4994</v>
      </c>
      <c r="BN1491" s="1" t="s">
        <v>217</v>
      </c>
      <c r="BO1491" s="1" t="s">
        <v>218</v>
      </c>
      <c r="BP1491" s="1" t="s">
        <v>239</v>
      </c>
      <c r="BQ1491" s="1" t="s">
        <v>220</v>
      </c>
      <c r="BT1491" s="1">
        <v>1</v>
      </c>
    </row>
    <row r="1492" spans="1:72">
      <c r="A1492" s="1" t="s">
        <v>5633</v>
      </c>
      <c r="B1492" s="1" t="s">
        <v>213</v>
      </c>
      <c r="C1492" s="1">
        <v>1</v>
      </c>
      <c r="D1492" s="1" t="s">
        <v>5634</v>
      </c>
      <c r="E1492" s="1">
        <v>10199</v>
      </c>
      <c r="F1492" s="1" t="s">
        <v>5633</v>
      </c>
      <c r="G1492" s="1">
        <v>1</v>
      </c>
      <c r="K1492" s="1">
        <v>12000</v>
      </c>
      <c r="M1492" s="1">
        <v>550</v>
      </c>
      <c r="O1492" s="1">
        <v>400</v>
      </c>
      <c r="Q1492" s="1">
        <v>15</v>
      </c>
      <c r="Y1492" s="1">
        <v>0.05</v>
      </c>
      <c r="Z1492" s="1">
        <v>3</v>
      </c>
      <c r="AA1492" s="1">
        <v>3</v>
      </c>
      <c r="AB1492" s="1">
        <v>1</v>
      </c>
      <c r="AG1492" s="1">
        <v>0</v>
      </c>
      <c r="AH1492" s="1">
        <v>1</v>
      </c>
      <c r="AI1492" s="1" t="s">
        <v>5635</v>
      </c>
      <c r="AJ1492" s="1" t="s">
        <v>216</v>
      </c>
      <c r="AK1492" s="1" t="s">
        <v>238</v>
      </c>
      <c r="AM1492" s="1">
        <v>1</v>
      </c>
      <c r="AV1492" s="1">
        <v>1</v>
      </c>
      <c r="AX1492" s="1">
        <v>0.25</v>
      </c>
      <c r="BE1492" s="1" t="s">
        <v>5633</v>
      </c>
      <c r="BK1492" s="1" t="s">
        <v>4994</v>
      </c>
      <c r="BN1492" s="1" t="s">
        <v>217</v>
      </c>
      <c r="BO1492" s="1" t="s">
        <v>218</v>
      </c>
      <c r="BP1492" s="1" t="s">
        <v>239</v>
      </c>
      <c r="BQ1492" s="1" t="s">
        <v>220</v>
      </c>
      <c r="BT1492" s="1">
        <v>1</v>
      </c>
    </row>
    <row r="1493" spans="1:72">
      <c r="A1493" s="1" t="s">
        <v>5636</v>
      </c>
      <c r="B1493" s="1" t="s">
        <v>213</v>
      </c>
      <c r="C1493" s="1">
        <v>1</v>
      </c>
      <c r="D1493" s="1" t="s">
        <v>5637</v>
      </c>
      <c r="E1493" s="1">
        <v>10199</v>
      </c>
      <c r="F1493" s="1" t="s">
        <v>5636</v>
      </c>
      <c r="G1493" s="1">
        <v>1</v>
      </c>
      <c r="K1493" s="1">
        <v>18000</v>
      </c>
      <c r="M1493" s="1">
        <v>800</v>
      </c>
      <c r="O1493" s="1">
        <v>400</v>
      </c>
      <c r="Q1493" s="1">
        <v>15</v>
      </c>
      <c r="Y1493" s="1">
        <v>0.05</v>
      </c>
      <c r="Z1493" s="1">
        <v>3</v>
      </c>
      <c r="AA1493" s="1">
        <v>3</v>
      </c>
      <c r="AB1493" s="1">
        <v>1</v>
      </c>
      <c r="AG1493" s="1">
        <v>0</v>
      </c>
      <c r="AH1493" s="1">
        <v>1</v>
      </c>
      <c r="AI1493" s="1" t="s">
        <v>5638</v>
      </c>
      <c r="AJ1493" s="1" t="s">
        <v>216</v>
      </c>
      <c r="AK1493" s="1" t="s">
        <v>238</v>
      </c>
      <c r="AM1493" s="1">
        <v>1</v>
      </c>
      <c r="AV1493" s="1">
        <v>1</v>
      </c>
      <c r="AX1493" s="1">
        <v>0.25</v>
      </c>
      <c r="BE1493" s="1" t="s">
        <v>5636</v>
      </c>
      <c r="BK1493" s="1" t="s">
        <v>4994</v>
      </c>
      <c r="BN1493" s="1" t="s">
        <v>217</v>
      </c>
      <c r="BO1493" s="1" t="s">
        <v>218</v>
      </c>
      <c r="BP1493" s="1" t="s">
        <v>239</v>
      </c>
      <c r="BQ1493" s="1" t="s">
        <v>220</v>
      </c>
      <c r="BT1493" s="1">
        <v>1</v>
      </c>
    </row>
    <row r="1494" spans="1:72">
      <c r="A1494" s="1" t="s">
        <v>5639</v>
      </c>
      <c r="B1494" s="1" t="s">
        <v>213</v>
      </c>
      <c r="C1494" s="1">
        <v>1</v>
      </c>
      <c r="D1494" s="1" t="s">
        <v>5640</v>
      </c>
      <c r="E1494" s="1">
        <v>10200</v>
      </c>
      <c r="F1494" s="1" t="s">
        <v>5639</v>
      </c>
      <c r="G1494" s="1">
        <v>1</v>
      </c>
      <c r="K1494" s="1">
        <v>40000</v>
      </c>
      <c r="M1494" s="1">
        <v>1400</v>
      </c>
      <c r="O1494" s="1">
        <v>600</v>
      </c>
      <c r="Q1494" s="1">
        <v>30</v>
      </c>
      <c r="Y1494" s="1">
        <v>0.05</v>
      </c>
      <c r="Z1494" s="1">
        <v>4</v>
      </c>
      <c r="AA1494" s="1">
        <v>5</v>
      </c>
      <c r="AB1494" s="1">
        <v>0.65</v>
      </c>
      <c r="AG1494" s="1">
        <v>0</v>
      </c>
      <c r="AH1494" s="1">
        <v>1</v>
      </c>
      <c r="AI1494" s="1" t="s">
        <v>5641</v>
      </c>
      <c r="AJ1494" s="1" t="s">
        <v>216</v>
      </c>
      <c r="AK1494" s="1" t="s">
        <v>238</v>
      </c>
      <c r="AM1494" s="1">
        <v>1</v>
      </c>
      <c r="AV1494" s="1">
        <v>1</v>
      </c>
      <c r="AX1494" s="1">
        <v>0.25</v>
      </c>
      <c r="BE1494" s="1" t="s">
        <v>5639</v>
      </c>
      <c r="BK1494" s="1" t="s">
        <v>4994</v>
      </c>
      <c r="BN1494" s="1" t="s">
        <v>217</v>
      </c>
      <c r="BO1494" s="1" t="s">
        <v>218</v>
      </c>
      <c r="BP1494" s="1" t="s">
        <v>239</v>
      </c>
      <c r="BQ1494" s="1" t="s">
        <v>220</v>
      </c>
      <c r="BT1494" s="1">
        <v>1</v>
      </c>
    </row>
    <row r="1495" spans="1:72">
      <c r="A1495" s="1" t="s">
        <v>5642</v>
      </c>
      <c r="B1495" s="1" t="s">
        <v>213</v>
      </c>
      <c r="C1495" s="1">
        <v>1</v>
      </c>
      <c r="D1495" s="1" t="s">
        <v>5643</v>
      </c>
      <c r="E1495" s="1">
        <v>3015</v>
      </c>
      <c r="F1495" s="1" t="s">
        <v>5642</v>
      </c>
      <c r="G1495" s="1">
        <v>1</v>
      </c>
      <c r="K1495" s="1">
        <v>1000</v>
      </c>
      <c r="M1495" s="1">
        <v>100</v>
      </c>
      <c r="O1495" s="1">
        <v>100</v>
      </c>
      <c r="Q1495" s="1">
        <v>0</v>
      </c>
      <c r="Y1495" s="1">
        <v>0.05</v>
      </c>
      <c r="Z1495" s="1">
        <v>10</v>
      </c>
      <c r="AA1495" s="1">
        <v>1</v>
      </c>
      <c r="AB1495" s="1">
        <v>0.75</v>
      </c>
      <c r="AG1495" s="1">
        <v>0</v>
      </c>
      <c r="AH1495" s="1">
        <v>2</v>
      </c>
      <c r="AI1495" s="1" t="s">
        <v>5644</v>
      </c>
      <c r="AJ1495" s="1" t="s">
        <v>216</v>
      </c>
      <c r="AK1495" s="1" t="s">
        <v>5590</v>
      </c>
      <c r="AM1495" s="1">
        <v>1</v>
      </c>
      <c r="AV1495" s="1">
        <v>1</v>
      </c>
      <c r="AX1495" s="1">
        <v>0.25</v>
      </c>
      <c r="BE1495" s="1" t="s">
        <v>5642</v>
      </c>
      <c r="BK1495" s="1" t="s">
        <v>4994</v>
      </c>
      <c r="BN1495" s="1" t="s">
        <v>217</v>
      </c>
      <c r="BO1495" s="1" t="s">
        <v>218</v>
      </c>
      <c r="BP1495" s="1" t="s">
        <v>4442</v>
      </c>
      <c r="BQ1495" s="1" t="s">
        <v>220</v>
      </c>
      <c r="BT1495" s="1">
        <v>1</v>
      </c>
    </row>
    <row r="1496" spans="1:72">
      <c r="A1496" s="1" t="s">
        <v>5645</v>
      </c>
      <c r="B1496" s="1" t="s">
        <v>213</v>
      </c>
      <c r="C1496" s="1">
        <v>1</v>
      </c>
      <c r="D1496" s="1" t="s">
        <v>5646</v>
      </c>
      <c r="E1496" s="1">
        <v>1587</v>
      </c>
      <c r="F1496" s="1" t="s">
        <v>5645</v>
      </c>
      <c r="G1496" s="1">
        <v>1</v>
      </c>
      <c r="K1496" s="1">
        <v>60000</v>
      </c>
      <c r="M1496" s="1">
        <v>1200</v>
      </c>
      <c r="O1496" s="1">
        <v>600</v>
      </c>
      <c r="Q1496" s="1">
        <v>15</v>
      </c>
      <c r="Y1496" s="1">
        <v>0.05</v>
      </c>
      <c r="Z1496" s="1">
        <v>3.5</v>
      </c>
      <c r="AA1496" s="1">
        <v>6</v>
      </c>
      <c r="AB1496" s="1">
        <v>0.5</v>
      </c>
      <c r="AG1496" s="1">
        <v>0</v>
      </c>
      <c r="AH1496" s="1">
        <v>1</v>
      </c>
      <c r="AI1496" s="1" t="s">
        <v>5647</v>
      </c>
      <c r="AJ1496" s="1" t="s">
        <v>216</v>
      </c>
      <c r="AK1496" s="1" t="s">
        <v>238</v>
      </c>
      <c r="AM1496" s="1">
        <v>1</v>
      </c>
      <c r="AV1496" s="1">
        <v>1</v>
      </c>
      <c r="AX1496" s="1">
        <v>0.25</v>
      </c>
      <c r="BE1496" s="1" t="s">
        <v>5645</v>
      </c>
      <c r="BK1496" s="1" t="s">
        <v>4994</v>
      </c>
      <c r="BN1496" s="1" t="s">
        <v>3443</v>
      </c>
      <c r="BO1496" s="1" t="s">
        <v>2618</v>
      </c>
      <c r="BP1496" s="1" t="s">
        <v>2619</v>
      </c>
      <c r="BQ1496" s="1" t="s">
        <v>2620</v>
      </c>
      <c r="BT1496" s="1">
        <v>1</v>
      </c>
    </row>
    <row r="1497" spans="1:72">
      <c r="A1497" s="1" t="s">
        <v>5648</v>
      </c>
      <c r="B1497" s="1" t="s">
        <v>213</v>
      </c>
      <c r="C1497" s="1">
        <v>1</v>
      </c>
      <c r="D1497" s="1" t="s">
        <v>5649</v>
      </c>
      <c r="E1497" s="1">
        <v>1588</v>
      </c>
      <c r="F1497" s="1" t="s">
        <v>5648</v>
      </c>
      <c r="G1497" s="1">
        <v>1</v>
      </c>
      <c r="K1497" s="1">
        <v>50000</v>
      </c>
      <c r="M1497" s="1">
        <v>700</v>
      </c>
      <c r="O1497" s="1">
        <v>2000</v>
      </c>
      <c r="Q1497" s="1">
        <v>50</v>
      </c>
      <c r="Y1497" s="1">
        <v>0.05</v>
      </c>
      <c r="Z1497" s="1">
        <v>3</v>
      </c>
      <c r="AA1497" s="1">
        <v>3</v>
      </c>
      <c r="AB1497" s="1">
        <v>0.5</v>
      </c>
      <c r="AG1497" s="1">
        <v>0</v>
      </c>
      <c r="AH1497" s="1">
        <v>1</v>
      </c>
      <c r="AI1497" s="1" t="s">
        <v>5650</v>
      </c>
      <c r="AJ1497" s="1" t="s">
        <v>216</v>
      </c>
      <c r="AK1497" s="1" t="s">
        <v>238</v>
      </c>
      <c r="AM1497" s="1">
        <v>1</v>
      </c>
      <c r="AV1497" s="1">
        <v>1</v>
      </c>
      <c r="AX1497" s="1">
        <v>0.25</v>
      </c>
      <c r="BE1497" s="1" t="s">
        <v>5648</v>
      </c>
      <c r="BK1497" s="1" t="s">
        <v>4994</v>
      </c>
      <c r="BN1497" s="1" t="s">
        <v>217</v>
      </c>
      <c r="BO1497" s="1" t="s">
        <v>218</v>
      </c>
      <c r="BP1497" s="1" t="s">
        <v>239</v>
      </c>
      <c r="BQ1497" s="1" t="s">
        <v>220</v>
      </c>
      <c r="BT1497" s="1">
        <v>1</v>
      </c>
    </row>
    <row r="1498" spans="1:72">
      <c r="A1498" s="1" t="s">
        <v>5651</v>
      </c>
      <c r="B1498" s="1" t="s">
        <v>213</v>
      </c>
      <c r="C1498" s="1">
        <v>1</v>
      </c>
      <c r="D1498" s="1" t="s">
        <v>5652</v>
      </c>
      <c r="E1498" s="1">
        <v>10201</v>
      </c>
      <c r="F1498" s="1" t="s">
        <v>5651</v>
      </c>
      <c r="G1498" s="1">
        <v>1</v>
      </c>
      <c r="K1498" s="1">
        <v>4000</v>
      </c>
      <c r="M1498" s="1">
        <v>250</v>
      </c>
      <c r="O1498" s="1">
        <v>20</v>
      </c>
      <c r="Q1498" s="1">
        <v>20</v>
      </c>
      <c r="Y1498" s="1">
        <v>0.05</v>
      </c>
      <c r="Z1498" s="1">
        <v>2</v>
      </c>
      <c r="AA1498" s="1">
        <v>0</v>
      </c>
      <c r="AB1498" s="1">
        <v>1.2</v>
      </c>
      <c r="AG1498" s="1">
        <v>0</v>
      </c>
      <c r="AH1498" s="1">
        <v>1</v>
      </c>
      <c r="AI1498" s="1" t="s">
        <v>5653</v>
      </c>
      <c r="AJ1498" s="1" t="s">
        <v>216</v>
      </c>
      <c r="AK1498" s="1" t="s">
        <v>238</v>
      </c>
      <c r="AM1498" s="1">
        <v>1</v>
      </c>
      <c r="AV1498" s="1">
        <v>1</v>
      </c>
      <c r="AX1498" s="1">
        <v>0.25</v>
      </c>
      <c r="BE1498" s="1" t="s">
        <v>5651</v>
      </c>
      <c r="BK1498" s="1" t="s">
        <v>4994</v>
      </c>
      <c r="BN1498" s="1" t="s">
        <v>217</v>
      </c>
      <c r="BO1498" s="1" t="s">
        <v>218</v>
      </c>
      <c r="BP1498" s="1" t="s">
        <v>239</v>
      </c>
      <c r="BQ1498" s="1" t="s">
        <v>220</v>
      </c>
      <c r="BT1498" s="1">
        <v>1</v>
      </c>
    </row>
    <row r="1499" spans="1:72">
      <c r="A1499" s="1" t="s">
        <v>5654</v>
      </c>
      <c r="B1499" s="1" t="s">
        <v>213</v>
      </c>
      <c r="C1499" s="1">
        <v>1</v>
      </c>
      <c r="D1499" s="1" t="s">
        <v>5655</v>
      </c>
      <c r="E1499" s="1">
        <v>10201</v>
      </c>
      <c r="F1499" s="1" t="s">
        <v>5654</v>
      </c>
      <c r="G1499" s="1">
        <v>1</v>
      </c>
      <c r="K1499" s="1">
        <v>5000</v>
      </c>
      <c r="M1499" s="1">
        <v>300</v>
      </c>
      <c r="O1499" s="1">
        <v>20</v>
      </c>
      <c r="Q1499" s="1">
        <v>20</v>
      </c>
      <c r="Y1499" s="1">
        <v>0.05</v>
      </c>
      <c r="Z1499" s="1">
        <v>2</v>
      </c>
      <c r="AA1499" s="1">
        <v>0</v>
      </c>
      <c r="AB1499" s="1">
        <v>1.2</v>
      </c>
      <c r="AG1499" s="1">
        <v>0</v>
      </c>
      <c r="AH1499" s="1">
        <v>1</v>
      </c>
      <c r="AI1499" s="1" t="s">
        <v>5656</v>
      </c>
      <c r="AJ1499" s="1" t="s">
        <v>216</v>
      </c>
      <c r="AK1499" s="1" t="s">
        <v>238</v>
      </c>
      <c r="AM1499" s="1">
        <v>1</v>
      </c>
      <c r="AV1499" s="1">
        <v>1</v>
      </c>
      <c r="AX1499" s="1">
        <v>0.25</v>
      </c>
      <c r="BE1499" s="1" t="s">
        <v>5654</v>
      </c>
      <c r="BK1499" s="1" t="s">
        <v>4994</v>
      </c>
      <c r="BN1499" s="1" t="s">
        <v>217</v>
      </c>
      <c r="BO1499" s="1" t="s">
        <v>218</v>
      </c>
      <c r="BP1499" s="1" t="s">
        <v>239</v>
      </c>
      <c r="BQ1499" s="1" t="s">
        <v>220</v>
      </c>
      <c r="BT1499" s="1">
        <v>1</v>
      </c>
    </row>
    <row r="1500" spans="1:72">
      <c r="A1500" s="1" t="s">
        <v>5657</v>
      </c>
      <c r="B1500" s="1" t="s">
        <v>213</v>
      </c>
      <c r="C1500" s="1">
        <v>1</v>
      </c>
      <c r="D1500" s="1" t="s">
        <v>5658</v>
      </c>
      <c r="E1500" s="1">
        <v>10202</v>
      </c>
      <c r="F1500" s="1" t="s">
        <v>5657</v>
      </c>
      <c r="G1500" s="1">
        <v>1</v>
      </c>
      <c r="K1500" s="1">
        <v>4100</v>
      </c>
      <c r="M1500" s="1">
        <v>200</v>
      </c>
      <c r="O1500" s="1">
        <v>30</v>
      </c>
      <c r="Q1500" s="1">
        <v>10</v>
      </c>
      <c r="Y1500" s="1">
        <v>0.05</v>
      </c>
      <c r="Z1500" s="1">
        <v>3</v>
      </c>
      <c r="AA1500" s="1">
        <v>1</v>
      </c>
      <c r="AB1500" s="1">
        <v>0.8</v>
      </c>
      <c r="AG1500" s="1">
        <v>0</v>
      </c>
      <c r="AH1500" s="1">
        <v>1</v>
      </c>
      <c r="AI1500" s="1" t="s">
        <v>5659</v>
      </c>
      <c r="AJ1500" s="1" t="s">
        <v>216</v>
      </c>
      <c r="AK1500" s="1" t="s">
        <v>238</v>
      </c>
      <c r="AM1500" s="1">
        <v>1</v>
      </c>
      <c r="AV1500" s="1">
        <v>1</v>
      </c>
      <c r="AX1500" s="1">
        <v>0.25</v>
      </c>
      <c r="BE1500" s="1" t="s">
        <v>5657</v>
      </c>
      <c r="BK1500" s="1" t="s">
        <v>4994</v>
      </c>
      <c r="BN1500" s="1" t="s">
        <v>217</v>
      </c>
      <c r="BO1500" s="1" t="s">
        <v>218</v>
      </c>
      <c r="BP1500" s="1" t="s">
        <v>239</v>
      </c>
      <c r="BQ1500" s="1" t="s">
        <v>220</v>
      </c>
      <c r="BT1500" s="1">
        <v>1</v>
      </c>
    </row>
    <row r="1501" spans="1:72">
      <c r="A1501" s="1" t="s">
        <v>5660</v>
      </c>
      <c r="B1501" s="1" t="s">
        <v>213</v>
      </c>
      <c r="C1501" s="1">
        <v>1</v>
      </c>
      <c r="D1501" s="1" t="s">
        <v>5661</v>
      </c>
      <c r="E1501" s="1">
        <v>10202</v>
      </c>
      <c r="F1501" s="1" t="s">
        <v>5660</v>
      </c>
      <c r="G1501" s="1">
        <v>1</v>
      </c>
      <c r="K1501" s="1">
        <v>5200</v>
      </c>
      <c r="M1501" s="1">
        <v>250</v>
      </c>
      <c r="O1501" s="1">
        <v>30</v>
      </c>
      <c r="Q1501" s="1">
        <v>10</v>
      </c>
      <c r="Y1501" s="1">
        <v>0.05</v>
      </c>
      <c r="Z1501" s="1">
        <v>3</v>
      </c>
      <c r="AA1501" s="1">
        <v>1</v>
      </c>
      <c r="AB1501" s="1">
        <v>0.8</v>
      </c>
      <c r="AG1501" s="1">
        <v>0</v>
      </c>
      <c r="AH1501" s="1">
        <v>1</v>
      </c>
      <c r="AI1501" s="1" t="s">
        <v>5662</v>
      </c>
      <c r="AJ1501" s="1" t="s">
        <v>216</v>
      </c>
      <c r="AK1501" s="1" t="s">
        <v>238</v>
      </c>
      <c r="AM1501" s="1">
        <v>1</v>
      </c>
      <c r="AV1501" s="1">
        <v>1</v>
      </c>
      <c r="AX1501" s="1">
        <v>0.25</v>
      </c>
      <c r="BE1501" s="1" t="s">
        <v>5660</v>
      </c>
      <c r="BK1501" s="1" t="s">
        <v>4994</v>
      </c>
      <c r="BN1501" s="1" t="s">
        <v>217</v>
      </c>
      <c r="BO1501" s="1" t="s">
        <v>218</v>
      </c>
      <c r="BP1501" s="1" t="s">
        <v>239</v>
      </c>
      <c r="BQ1501" s="1" t="s">
        <v>220</v>
      </c>
      <c r="BT1501" s="1">
        <v>1</v>
      </c>
    </row>
    <row r="1502" spans="1:72">
      <c r="A1502" s="1" t="s">
        <v>5663</v>
      </c>
      <c r="B1502" s="1" t="s">
        <v>213</v>
      </c>
      <c r="C1502" s="1">
        <v>1</v>
      </c>
      <c r="D1502" s="1" t="s">
        <v>5664</v>
      </c>
      <c r="E1502" s="1">
        <v>10203</v>
      </c>
      <c r="F1502" s="1" t="s">
        <v>5663</v>
      </c>
      <c r="G1502" s="1">
        <v>1</v>
      </c>
      <c r="K1502" s="1">
        <v>5000</v>
      </c>
      <c r="M1502" s="1">
        <v>110</v>
      </c>
      <c r="O1502" s="1">
        <v>700</v>
      </c>
      <c r="Q1502" s="1">
        <v>10</v>
      </c>
      <c r="Y1502" s="1">
        <v>0.05</v>
      </c>
      <c r="Z1502" s="1">
        <v>5</v>
      </c>
      <c r="AA1502" s="1">
        <v>1</v>
      </c>
      <c r="AB1502" s="1">
        <v>0.6</v>
      </c>
      <c r="AG1502" s="1">
        <v>0</v>
      </c>
      <c r="AH1502" s="1">
        <v>1</v>
      </c>
      <c r="AI1502" s="1" t="s">
        <v>5665</v>
      </c>
      <c r="AJ1502" s="1" t="s">
        <v>216</v>
      </c>
      <c r="AK1502" s="1" t="s">
        <v>238</v>
      </c>
      <c r="AM1502" s="1">
        <v>1</v>
      </c>
      <c r="AV1502" s="1">
        <v>1</v>
      </c>
      <c r="AX1502" s="1">
        <v>0.25</v>
      </c>
      <c r="BE1502" s="1" t="s">
        <v>5663</v>
      </c>
      <c r="BK1502" s="1" t="s">
        <v>4994</v>
      </c>
      <c r="BN1502" s="1" t="s">
        <v>217</v>
      </c>
      <c r="BO1502" s="1" t="s">
        <v>218</v>
      </c>
      <c r="BP1502" s="1" t="s">
        <v>239</v>
      </c>
      <c r="BQ1502" s="1" t="s">
        <v>220</v>
      </c>
      <c r="BT1502" s="1">
        <v>1</v>
      </c>
    </row>
    <row r="1503" spans="1:72">
      <c r="A1503" s="1" t="s">
        <v>5666</v>
      </c>
      <c r="B1503" s="1" t="s">
        <v>213</v>
      </c>
      <c r="C1503" s="1">
        <v>1</v>
      </c>
      <c r="D1503" s="1" t="s">
        <v>5667</v>
      </c>
      <c r="E1503" s="1">
        <v>10203</v>
      </c>
      <c r="F1503" s="1" t="s">
        <v>5666</v>
      </c>
      <c r="G1503" s="1">
        <v>1</v>
      </c>
      <c r="K1503" s="1">
        <v>6250</v>
      </c>
      <c r="M1503" s="1">
        <v>130</v>
      </c>
      <c r="O1503" s="1">
        <v>700</v>
      </c>
      <c r="Q1503" s="1">
        <v>10</v>
      </c>
      <c r="Y1503" s="1">
        <v>0.05</v>
      </c>
      <c r="Z1503" s="1">
        <v>5</v>
      </c>
      <c r="AA1503" s="1">
        <v>1</v>
      </c>
      <c r="AB1503" s="1">
        <v>0.6</v>
      </c>
      <c r="AG1503" s="1">
        <v>0</v>
      </c>
      <c r="AH1503" s="1">
        <v>1</v>
      </c>
      <c r="AI1503" s="1" t="s">
        <v>5668</v>
      </c>
      <c r="AJ1503" s="1" t="s">
        <v>216</v>
      </c>
      <c r="AK1503" s="1" t="s">
        <v>238</v>
      </c>
      <c r="AM1503" s="1">
        <v>1</v>
      </c>
      <c r="AV1503" s="1">
        <v>1</v>
      </c>
      <c r="AX1503" s="1">
        <v>0.25</v>
      </c>
      <c r="BE1503" s="1" t="s">
        <v>5666</v>
      </c>
      <c r="BK1503" s="1" t="s">
        <v>4994</v>
      </c>
      <c r="BN1503" s="1" t="s">
        <v>217</v>
      </c>
      <c r="BO1503" s="1" t="s">
        <v>218</v>
      </c>
      <c r="BP1503" s="1" t="s">
        <v>239</v>
      </c>
      <c r="BQ1503" s="1" t="s">
        <v>220</v>
      </c>
      <c r="BT1503" s="1">
        <v>1</v>
      </c>
    </row>
    <row r="1504" spans="1:72">
      <c r="A1504" s="1" t="s">
        <v>5669</v>
      </c>
      <c r="B1504" s="1" t="s">
        <v>213</v>
      </c>
      <c r="C1504" s="1">
        <v>1</v>
      </c>
      <c r="D1504" s="1" t="s">
        <v>5670</v>
      </c>
      <c r="E1504" s="1">
        <v>10204</v>
      </c>
      <c r="F1504" s="1" t="s">
        <v>5669</v>
      </c>
      <c r="G1504" s="1">
        <v>1</v>
      </c>
      <c r="K1504" s="1">
        <v>4500</v>
      </c>
      <c r="M1504" s="1">
        <v>500</v>
      </c>
      <c r="O1504" s="1">
        <v>1500</v>
      </c>
      <c r="Q1504" s="1">
        <v>60</v>
      </c>
      <c r="Y1504" s="1">
        <v>0.05</v>
      </c>
      <c r="Z1504" s="1">
        <v>2.3</v>
      </c>
      <c r="AA1504" s="1">
        <v>1</v>
      </c>
      <c r="AB1504" s="1">
        <v>0.7</v>
      </c>
      <c r="AG1504" s="1">
        <v>0</v>
      </c>
      <c r="AH1504" s="1">
        <v>1</v>
      </c>
      <c r="AI1504" s="1" t="s">
        <v>5671</v>
      </c>
      <c r="AJ1504" s="1" t="s">
        <v>216</v>
      </c>
      <c r="AK1504" s="1" t="s">
        <v>238</v>
      </c>
      <c r="AM1504" s="1">
        <v>1</v>
      </c>
      <c r="AV1504" s="1">
        <v>1</v>
      </c>
      <c r="AX1504" s="1">
        <v>0.25</v>
      </c>
      <c r="BE1504" s="1" t="s">
        <v>5669</v>
      </c>
      <c r="BK1504" s="1" t="s">
        <v>4994</v>
      </c>
      <c r="BN1504" s="1" t="s">
        <v>217</v>
      </c>
      <c r="BO1504" s="1" t="s">
        <v>218</v>
      </c>
      <c r="BP1504" s="1" t="s">
        <v>239</v>
      </c>
      <c r="BQ1504" s="1" t="s">
        <v>220</v>
      </c>
      <c r="BT1504" s="1">
        <v>1</v>
      </c>
    </row>
    <row r="1505" spans="1:72">
      <c r="A1505" s="1" t="s">
        <v>5672</v>
      </c>
      <c r="B1505" s="1" t="s">
        <v>213</v>
      </c>
      <c r="C1505" s="1">
        <v>1</v>
      </c>
      <c r="D1505" s="1" t="s">
        <v>5673</v>
      </c>
      <c r="E1505" s="1">
        <v>10204</v>
      </c>
      <c r="F1505" s="1" t="s">
        <v>5672</v>
      </c>
      <c r="G1505" s="1">
        <v>1</v>
      </c>
      <c r="K1505" s="1">
        <v>5000</v>
      </c>
      <c r="M1505" s="1">
        <v>500</v>
      </c>
      <c r="O1505" s="1">
        <v>1700</v>
      </c>
      <c r="Q1505" s="1">
        <v>60</v>
      </c>
      <c r="Y1505" s="1">
        <v>0.05</v>
      </c>
      <c r="Z1505" s="1">
        <v>2.3</v>
      </c>
      <c r="AA1505" s="1">
        <v>1</v>
      </c>
      <c r="AB1505" s="1">
        <v>0.7</v>
      </c>
      <c r="AG1505" s="1">
        <v>0</v>
      </c>
      <c r="AH1505" s="1">
        <v>1</v>
      </c>
      <c r="AI1505" s="1" t="s">
        <v>5674</v>
      </c>
      <c r="AJ1505" s="1" t="s">
        <v>216</v>
      </c>
      <c r="AK1505" s="1" t="s">
        <v>238</v>
      </c>
      <c r="AM1505" s="1">
        <v>1</v>
      </c>
      <c r="AV1505" s="1">
        <v>1</v>
      </c>
      <c r="AX1505" s="1">
        <v>0.25</v>
      </c>
      <c r="BE1505" s="1" t="s">
        <v>5672</v>
      </c>
      <c r="BK1505" s="1" t="s">
        <v>4994</v>
      </c>
      <c r="BN1505" s="1" t="s">
        <v>217</v>
      </c>
      <c r="BO1505" s="1" t="s">
        <v>218</v>
      </c>
      <c r="BP1505" s="1" t="s">
        <v>239</v>
      </c>
      <c r="BQ1505" s="1" t="s">
        <v>220</v>
      </c>
      <c r="BT1505" s="1">
        <v>1</v>
      </c>
    </row>
    <row r="1506" spans="1:72">
      <c r="A1506" s="1" t="s">
        <v>5675</v>
      </c>
      <c r="B1506" s="1" t="s">
        <v>213</v>
      </c>
      <c r="C1506" s="1">
        <v>1</v>
      </c>
      <c r="D1506" s="1" t="s">
        <v>5676</v>
      </c>
      <c r="E1506" s="1">
        <v>10205</v>
      </c>
      <c r="F1506" s="1" t="s">
        <v>5675</v>
      </c>
      <c r="G1506" s="1">
        <v>1</v>
      </c>
      <c r="K1506" s="1">
        <v>4800</v>
      </c>
      <c r="M1506" s="1">
        <v>350</v>
      </c>
      <c r="O1506" s="1">
        <v>80</v>
      </c>
      <c r="Q1506" s="1">
        <v>20</v>
      </c>
      <c r="Y1506" s="1">
        <v>0.05</v>
      </c>
      <c r="Z1506" s="1">
        <v>3</v>
      </c>
      <c r="AA1506" s="1">
        <v>1</v>
      </c>
      <c r="AB1506" s="1">
        <v>0.55</v>
      </c>
      <c r="AG1506" s="1">
        <v>0</v>
      </c>
      <c r="AH1506" s="1">
        <v>1</v>
      </c>
      <c r="AI1506" s="1" t="s">
        <v>5677</v>
      </c>
      <c r="AJ1506" s="1" t="s">
        <v>216</v>
      </c>
      <c r="AK1506" s="1" t="s">
        <v>238</v>
      </c>
      <c r="AM1506" s="1">
        <v>1</v>
      </c>
      <c r="AN1506" s="1">
        <v>1</v>
      </c>
      <c r="AV1506" s="1">
        <v>1</v>
      </c>
      <c r="AX1506" s="1">
        <v>0.25</v>
      </c>
      <c r="BE1506" s="1" t="s">
        <v>5675</v>
      </c>
      <c r="BK1506" s="1" t="s">
        <v>4994</v>
      </c>
      <c r="BN1506" s="1" t="s">
        <v>3766</v>
      </c>
      <c r="BO1506" s="1" t="s">
        <v>281</v>
      </c>
      <c r="BP1506" s="1" t="s">
        <v>1635</v>
      </c>
      <c r="BQ1506" s="1" t="s">
        <v>3222</v>
      </c>
      <c r="BT1506" s="1">
        <v>1</v>
      </c>
    </row>
    <row r="1507" spans="1:72">
      <c r="A1507" s="1" t="s">
        <v>5678</v>
      </c>
      <c r="B1507" s="1" t="s">
        <v>213</v>
      </c>
      <c r="C1507" s="1">
        <v>1</v>
      </c>
      <c r="D1507" s="1" t="s">
        <v>5679</v>
      </c>
      <c r="E1507" s="1">
        <v>10205</v>
      </c>
      <c r="F1507" s="1" t="s">
        <v>5678</v>
      </c>
      <c r="G1507" s="1">
        <v>1</v>
      </c>
      <c r="K1507" s="1">
        <v>6000</v>
      </c>
      <c r="M1507" s="1">
        <v>400</v>
      </c>
      <c r="O1507" s="1">
        <v>80</v>
      </c>
      <c r="Q1507" s="1">
        <v>20</v>
      </c>
      <c r="Y1507" s="1">
        <v>0.05</v>
      </c>
      <c r="Z1507" s="1">
        <v>3</v>
      </c>
      <c r="AA1507" s="1">
        <v>1</v>
      </c>
      <c r="AB1507" s="1">
        <v>0.55</v>
      </c>
      <c r="AG1507" s="1">
        <v>0</v>
      </c>
      <c r="AH1507" s="1">
        <v>1</v>
      </c>
      <c r="AI1507" s="1" t="s">
        <v>5680</v>
      </c>
      <c r="AJ1507" s="1" t="s">
        <v>216</v>
      </c>
      <c r="AK1507" s="1" t="s">
        <v>238</v>
      </c>
      <c r="AM1507" s="1">
        <v>1</v>
      </c>
      <c r="AN1507" s="1">
        <v>1</v>
      </c>
      <c r="AV1507" s="1">
        <v>1</v>
      </c>
      <c r="AX1507" s="1">
        <v>0.25</v>
      </c>
      <c r="BE1507" s="1" t="s">
        <v>5678</v>
      </c>
      <c r="BK1507" s="1" t="s">
        <v>4994</v>
      </c>
      <c r="BN1507" s="1" t="s">
        <v>3766</v>
      </c>
      <c r="BO1507" s="1" t="s">
        <v>281</v>
      </c>
      <c r="BP1507" s="1" t="s">
        <v>1635</v>
      </c>
      <c r="BQ1507" s="1" t="s">
        <v>3222</v>
      </c>
      <c r="BT1507" s="1">
        <v>1</v>
      </c>
    </row>
    <row r="1508" spans="1:72">
      <c r="A1508" s="1" t="s">
        <v>5681</v>
      </c>
      <c r="B1508" s="1" t="s">
        <v>213</v>
      </c>
      <c r="C1508" s="1">
        <v>1</v>
      </c>
      <c r="D1508" s="1" t="s">
        <v>5682</v>
      </c>
      <c r="E1508" s="1">
        <v>10206</v>
      </c>
      <c r="F1508" s="1" t="s">
        <v>5681</v>
      </c>
      <c r="G1508" s="1">
        <v>1</v>
      </c>
      <c r="K1508" s="1">
        <v>22500</v>
      </c>
      <c r="M1508" s="1">
        <v>500</v>
      </c>
      <c r="O1508" s="1">
        <v>300</v>
      </c>
      <c r="Q1508" s="1">
        <v>10</v>
      </c>
      <c r="Y1508" s="1">
        <v>0.05</v>
      </c>
      <c r="Z1508" s="1">
        <v>4</v>
      </c>
      <c r="AA1508" s="1">
        <v>4</v>
      </c>
      <c r="AB1508" s="1">
        <v>0.6</v>
      </c>
      <c r="AG1508" s="1">
        <v>0</v>
      </c>
      <c r="AH1508" s="1">
        <v>1</v>
      </c>
      <c r="AI1508" s="1" t="s">
        <v>5683</v>
      </c>
      <c r="AJ1508" s="1" t="s">
        <v>216</v>
      </c>
      <c r="AK1508" s="1" t="s">
        <v>238</v>
      </c>
      <c r="AM1508" s="1">
        <v>1</v>
      </c>
      <c r="AV1508" s="1">
        <v>1</v>
      </c>
      <c r="AX1508" s="1">
        <v>0.25</v>
      </c>
      <c r="BE1508" s="1" t="s">
        <v>5681</v>
      </c>
      <c r="BK1508" s="1" t="s">
        <v>4994</v>
      </c>
      <c r="BN1508" s="1" t="s">
        <v>217</v>
      </c>
      <c r="BO1508" s="1" t="s">
        <v>218</v>
      </c>
      <c r="BP1508" s="1" t="s">
        <v>239</v>
      </c>
      <c r="BQ1508" s="1" t="s">
        <v>220</v>
      </c>
      <c r="BT1508" s="1">
        <v>1</v>
      </c>
    </row>
    <row r="1509" spans="1:72">
      <c r="A1509" s="1" t="s">
        <v>5684</v>
      </c>
      <c r="B1509" s="1" t="s">
        <v>213</v>
      </c>
      <c r="C1509" s="1">
        <v>1</v>
      </c>
      <c r="D1509" s="1" t="s">
        <v>5685</v>
      </c>
      <c r="E1509" s="1">
        <v>10206</v>
      </c>
      <c r="F1509" s="1" t="s">
        <v>5684</v>
      </c>
      <c r="G1509" s="1">
        <v>1</v>
      </c>
      <c r="K1509" s="1">
        <v>27500</v>
      </c>
      <c r="M1509" s="1">
        <v>600</v>
      </c>
      <c r="O1509" s="1">
        <v>300</v>
      </c>
      <c r="Q1509" s="1">
        <v>10</v>
      </c>
      <c r="Y1509" s="1">
        <v>0.05</v>
      </c>
      <c r="Z1509" s="1">
        <v>4</v>
      </c>
      <c r="AA1509" s="1">
        <v>4</v>
      </c>
      <c r="AB1509" s="1">
        <v>0.6</v>
      </c>
      <c r="AG1509" s="1">
        <v>0</v>
      </c>
      <c r="AH1509" s="1">
        <v>1</v>
      </c>
      <c r="AI1509" s="1" t="s">
        <v>5686</v>
      </c>
      <c r="AJ1509" s="1" t="s">
        <v>216</v>
      </c>
      <c r="AK1509" s="1" t="s">
        <v>238</v>
      </c>
      <c r="AM1509" s="1">
        <v>1</v>
      </c>
      <c r="AV1509" s="1">
        <v>1</v>
      </c>
      <c r="AX1509" s="1">
        <v>0.25</v>
      </c>
      <c r="BE1509" s="1" t="s">
        <v>5684</v>
      </c>
      <c r="BK1509" s="1" t="s">
        <v>4994</v>
      </c>
      <c r="BN1509" s="1" t="s">
        <v>217</v>
      </c>
      <c r="BO1509" s="1" t="s">
        <v>218</v>
      </c>
      <c r="BP1509" s="1" t="s">
        <v>239</v>
      </c>
      <c r="BQ1509" s="1" t="s">
        <v>220</v>
      </c>
      <c r="BT1509" s="1">
        <v>1</v>
      </c>
    </row>
    <row r="1510" spans="1:72">
      <c r="A1510" s="1" t="s">
        <v>5687</v>
      </c>
      <c r="B1510" s="1" t="s">
        <v>213</v>
      </c>
      <c r="C1510" s="1">
        <v>1</v>
      </c>
      <c r="D1510" s="1" t="s">
        <v>5688</v>
      </c>
      <c r="E1510" s="1">
        <v>10207</v>
      </c>
      <c r="F1510" s="1" t="s">
        <v>5687</v>
      </c>
      <c r="G1510" s="1">
        <v>1</v>
      </c>
      <c r="K1510" s="1">
        <v>9000</v>
      </c>
      <c r="M1510" s="1">
        <v>1800</v>
      </c>
      <c r="O1510" s="1">
        <v>800</v>
      </c>
      <c r="Q1510" s="1">
        <v>25</v>
      </c>
      <c r="Y1510" s="1">
        <v>0.05</v>
      </c>
      <c r="Z1510" s="1">
        <v>6</v>
      </c>
      <c r="AA1510" s="1">
        <v>3</v>
      </c>
      <c r="AB1510" s="1">
        <v>0.5</v>
      </c>
      <c r="AG1510" s="1">
        <v>0</v>
      </c>
      <c r="AH1510" s="1">
        <v>1</v>
      </c>
      <c r="AI1510" s="1" t="s">
        <v>5689</v>
      </c>
      <c r="AJ1510" s="1" t="s">
        <v>216</v>
      </c>
      <c r="AK1510" s="1" t="s">
        <v>238</v>
      </c>
      <c r="AM1510" s="1">
        <v>1</v>
      </c>
      <c r="AV1510" s="1">
        <v>1</v>
      </c>
      <c r="AX1510" s="1">
        <v>0.25</v>
      </c>
      <c r="BE1510" s="1" t="s">
        <v>5687</v>
      </c>
      <c r="BK1510" s="1" t="s">
        <v>4994</v>
      </c>
      <c r="BN1510" s="1" t="s">
        <v>217</v>
      </c>
      <c r="BO1510" s="1" t="s">
        <v>218</v>
      </c>
      <c r="BP1510" s="1" t="s">
        <v>239</v>
      </c>
      <c r="BQ1510" s="1" t="s">
        <v>220</v>
      </c>
      <c r="BT1510" s="1">
        <v>1</v>
      </c>
    </row>
    <row r="1511" spans="1:72">
      <c r="A1511" s="1" t="s">
        <v>5690</v>
      </c>
      <c r="B1511" s="1" t="s">
        <v>213</v>
      </c>
      <c r="C1511" s="1">
        <v>1</v>
      </c>
      <c r="D1511" s="1" t="s">
        <v>5691</v>
      </c>
      <c r="E1511" s="1">
        <v>10207</v>
      </c>
      <c r="F1511" s="1" t="s">
        <v>5690</v>
      </c>
      <c r="G1511" s="1">
        <v>1</v>
      </c>
      <c r="K1511" s="1">
        <v>12000</v>
      </c>
      <c r="M1511" s="1">
        <v>2100</v>
      </c>
      <c r="O1511" s="1">
        <v>800</v>
      </c>
      <c r="Q1511" s="1">
        <v>25</v>
      </c>
      <c r="Y1511" s="1">
        <v>0.05</v>
      </c>
      <c r="Z1511" s="1">
        <v>6</v>
      </c>
      <c r="AA1511" s="1">
        <v>3</v>
      </c>
      <c r="AB1511" s="1">
        <v>0.5</v>
      </c>
      <c r="AG1511" s="1">
        <v>0</v>
      </c>
      <c r="AH1511" s="1">
        <v>1</v>
      </c>
      <c r="AI1511" s="1" t="s">
        <v>5692</v>
      </c>
      <c r="AJ1511" s="1" t="s">
        <v>216</v>
      </c>
      <c r="AK1511" s="1" t="s">
        <v>238</v>
      </c>
      <c r="AM1511" s="1">
        <v>1</v>
      </c>
      <c r="AV1511" s="1">
        <v>1</v>
      </c>
      <c r="AX1511" s="1">
        <v>0.25</v>
      </c>
      <c r="BE1511" s="1" t="s">
        <v>5690</v>
      </c>
      <c r="BK1511" s="1" t="s">
        <v>4994</v>
      </c>
      <c r="BN1511" s="1" t="s">
        <v>217</v>
      </c>
      <c r="BO1511" s="1" t="s">
        <v>218</v>
      </c>
      <c r="BP1511" s="1" t="s">
        <v>239</v>
      </c>
      <c r="BQ1511" s="1" t="s">
        <v>220</v>
      </c>
      <c r="BT1511" s="1">
        <v>1</v>
      </c>
    </row>
    <row r="1512" spans="1:72">
      <c r="A1512" s="1" t="s">
        <v>5693</v>
      </c>
      <c r="B1512" s="1" t="s">
        <v>213</v>
      </c>
      <c r="C1512" s="1">
        <v>1</v>
      </c>
      <c r="D1512" s="1" t="s">
        <v>5694</v>
      </c>
      <c r="E1512" s="1">
        <v>10208</v>
      </c>
      <c r="F1512" s="1" t="s">
        <v>5693</v>
      </c>
      <c r="G1512" s="1">
        <v>1</v>
      </c>
      <c r="K1512" s="1">
        <v>75000</v>
      </c>
      <c r="M1512" s="1">
        <v>1000</v>
      </c>
      <c r="O1512" s="1">
        <v>0</v>
      </c>
      <c r="Q1512" s="1">
        <v>0</v>
      </c>
      <c r="Y1512" s="1">
        <v>0.05</v>
      </c>
      <c r="Z1512" s="1">
        <v>4.2</v>
      </c>
      <c r="AA1512" s="1">
        <v>5</v>
      </c>
      <c r="AB1512" s="1">
        <v>0.3</v>
      </c>
      <c r="AG1512" s="1">
        <v>0</v>
      </c>
      <c r="AH1512" s="1">
        <v>1</v>
      </c>
      <c r="AI1512" s="1" t="s">
        <v>5695</v>
      </c>
      <c r="AJ1512" s="1" t="s">
        <v>216</v>
      </c>
      <c r="AK1512" s="1" t="s">
        <v>238</v>
      </c>
      <c r="AM1512" s="1">
        <v>1</v>
      </c>
      <c r="AV1512" s="1">
        <v>1</v>
      </c>
      <c r="AX1512" s="1">
        <v>0.25</v>
      </c>
      <c r="BE1512" s="1" t="s">
        <v>5693</v>
      </c>
      <c r="BK1512" s="1" t="s">
        <v>4994</v>
      </c>
      <c r="BN1512" s="1" t="s">
        <v>217</v>
      </c>
      <c r="BO1512" s="1" t="s">
        <v>218</v>
      </c>
      <c r="BP1512" s="1" t="s">
        <v>239</v>
      </c>
      <c r="BQ1512" s="1" t="s">
        <v>220</v>
      </c>
      <c r="BT1512" s="1">
        <v>1</v>
      </c>
    </row>
    <row r="1513" spans="1:72">
      <c r="A1513" s="1" t="s">
        <v>5696</v>
      </c>
      <c r="B1513" s="1" t="s">
        <v>213</v>
      </c>
      <c r="C1513" s="1">
        <v>1</v>
      </c>
      <c r="D1513" s="1" t="s">
        <v>5697</v>
      </c>
      <c r="E1513" s="1">
        <v>10208</v>
      </c>
      <c r="F1513" s="1" t="s">
        <v>5696</v>
      </c>
      <c r="G1513" s="1">
        <v>1</v>
      </c>
      <c r="K1513" s="1">
        <v>100000</v>
      </c>
      <c r="M1513" s="1">
        <v>1200</v>
      </c>
      <c r="O1513" s="1">
        <v>0</v>
      </c>
      <c r="Q1513" s="1">
        <v>0</v>
      </c>
      <c r="Y1513" s="1">
        <v>0.05</v>
      </c>
      <c r="Z1513" s="1">
        <v>4.2</v>
      </c>
      <c r="AA1513" s="1">
        <v>5</v>
      </c>
      <c r="AB1513" s="1">
        <v>0.3</v>
      </c>
      <c r="AG1513" s="1">
        <v>0</v>
      </c>
      <c r="AH1513" s="1">
        <v>1</v>
      </c>
      <c r="AI1513" s="1" t="s">
        <v>5698</v>
      </c>
      <c r="AJ1513" s="1" t="s">
        <v>216</v>
      </c>
      <c r="AK1513" s="1" t="s">
        <v>238</v>
      </c>
      <c r="AM1513" s="1">
        <v>1</v>
      </c>
      <c r="AV1513" s="1">
        <v>1</v>
      </c>
      <c r="AX1513" s="1">
        <v>0.25</v>
      </c>
      <c r="BE1513" s="1" t="s">
        <v>5696</v>
      </c>
      <c r="BK1513" s="1" t="s">
        <v>4994</v>
      </c>
      <c r="BN1513" s="1" t="s">
        <v>217</v>
      </c>
      <c r="BO1513" s="1" t="s">
        <v>218</v>
      </c>
      <c r="BP1513" s="1" t="s">
        <v>239</v>
      </c>
      <c r="BQ1513" s="1" t="s">
        <v>220</v>
      </c>
      <c r="BT1513" s="1">
        <v>1</v>
      </c>
    </row>
    <row r="1514" spans="1:72">
      <c r="A1514" s="1" t="s">
        <v>5699</v>
      </c>
      <c r="B1514" s="1" t="s">
        <v>213</v>
      </c>
      <c r="C1514" s="1">
        <v>1</v>
      </c>
      <c r="D1514" s="1" t="s">
        <v>5700</v>
      </c>
      <c r="E1514" s="1">
        <v>10209</v>
      </c>
      <c r="F1514" s="1" t="s">
        <v>5699</v>
      </c>
      <c r="G1514" s="1">
        <v>1</v>
      </c>
      <c r="K1514" s="1">
        <v>30000</v>
      </c>
      <c r="M1514" s="1">
        <v>150</v>
      </c>
      <c r="O1514" s="1">
        <v>100</v>
      </c>
      <c r="Q1514" s="1">
        <v>20</v>
      </c>
      <c r="Y1514" s="1">
        <v>0.05</v>
      </c>
      <c r="Z1514" s="1">
        <v>1</v>
      </c>
      <c r="AA1514" s="1">
        <v>0</v>
      </c>
      <c r="AB1514" s="1">
        <v>0.35</v>
      </c>
      <c r="AG1514" s="1">
        <v>0</v>
      </c>
      <c r="AH1514" s="1">
        <v>1</v>
      </c>
      <c r="AI1514" s="1" t="s">
        <v>5701</v>
      </c>
      <c r="AJ1514" s="1" t="s">
        <v>216</v>
      </c>
      <c r="AK1514" s="1" t="s">
        <v>238</v>
      </c>
      <c r="AM1514" s="1">
        <v>1</v>
      </c>
      <c r="AN1514" s="1">
        <v>1</v>
      </c>
      <c r="AV1514" s="1">
        <v>1</v>
      </c>
      <c r="AX1514" s="1">
        <v>0.25</v>
      </c>
      <c r="BE1514" s="1" t="s">
        <v>5699</v>
      </c>
      <c r="BK1514" s="1" t="s">
        <v>4994</v>
      </c>
      <c r="BN1514" s="1" t="s">
        <v>217</v>
      </c>
      <c r="BO1514" s="1" t="s">
        <v>218</v>
      </c>
      <c r="BP1514" s="1" t="s">
        <v>239</v>
      </c>
      <c r="BQ1514" s="1" t="s">
        <v>220</v>
      </c>
      <c r="BT1514" s="1">
        <v>1</v>
      </c>
    </row>
    <row r="1515" spans="1:72">
      <c r="A1515" s="1" t="s">
        <v>5702</v>
      </c>
      <c r="B1515" s="1" t="s">
        <v>213</v>
      </c>
      <c r="C1515" s="1">
        <v>1</v>
      </c>
      <c r="D1515" s="1" t="s">
        <v>5703</v>
      </c>
      <c r="E1515" s="1">
        <v>10209</v>
      </c>
      <c r="F1515" s="1" t="s">
        <v>5702</v>
      </c>
      <c r="G1515" s="1">
        <v>1</v>
      </c>
      <c r="K1515" s="1">
        <v>37500</v>
      </c>
      <c r="M1515" s="1">
        <v>180</v>
      </c>
      <c r="O1515" s="1">
        <v>100</v>
      </c>
      <c r="Q1515" s="1">
        <v>20</v>
      </c>
      <c r="Y1515" s="1">
        <v>0.05</v>
      </c>
      <c r="Z1515" s="1">
        <v>1</v>
      </c>
      <c r="AA1515" s="1">
        <v>0</v>
      </c>
      <c r="AB1515" s="1">
        <v>0.35</v>
      </c>
      <c r="AG1515" s="1">
        <v>0</v>
      </c>
      <c r="AH1515" s="1">
        <v>1</v>
      </c>
      <c r="AI1515" s="1" t="s">
        <v>5704</v>
      </c>
      <c r="AJ1515" s="1" t="s">
        <v>216</v>
      </c>
      <c r="AK1515" s="1" t="s">
        <v>238</v>
      </c>
      <c r="AM1515" s="1">
        <v>1</v>
      </c>
      <c r="AN1515" s="1">
        <v>1</v>
      </c>
      <c r="AV1515" s="1">
        <v>1</v>
      </c>
      <c r="AX1515" s="1">
        <v>0.25</v>
      </c>
      <c r="BE1515" s="1" t="s">
        <v>5702</v>
      </c>
      <c r="BK1515" s="1" t="s">
        <v>4994</v>
      </c>
      <c r="BN1515" s="1" t="s">
        <v>217</v>
      </c>
      <c r="BO1515" s="1" t="s">
        <v>218</v>
      </c>
      <c r="BP1515" s="1" t="s">
        <v>239</v>
      </c>
      <c r="BQ1515" s="1" t="s">
        <v>220</v>
      </c>
      <c r="BT1515" s="1">
        <v>1</v>
      </c>
    </row>
    <row r="1516" spans="1:72">
      <c r="A1516" s="1" t="s">
        <v>5705</v>
      </c>
      <c r="B1516" s="1" t="s">
        <v>213</v>
      </c>
      <c r="C1516" s="1">
        <v>1</v>
      </c>
      <c r="D1516" s="1" t="s">
        <v>5706</v>
      </c>
      <c r="E1516" s="1">
        <v>10210</v>
      </c>
      <c r="F1516" s="1" t="s">
        <v>5705</v>
      </c>
      <c r="G1516" s="1">
        <v>1</v>
      </c>
      <c r="K1516" s="1">
        <v>38000</v>
      </c>
      <c r="M1516" s="1">
        <v>750</v>
      </c>
      <c r="O1516" s="1">
        <v>900</v>
      </c>
      <c r="Q1516" s="1">
        <v>40</v>
      </c>
      <c r="Y1516" s="1">
        <v>0.05</v>
      </c>
      <c r="Z1516" s="1">
        <v>5</v>
      </c>
      <c r="AA1516" s="1">
        <v>3</v>
      </c>
      <c r="AB1516" s="1">
        <v>0.55</v>
      </c>
      <c r="AG1516" s="1">
        <v>0</v>
      </c>
      <c r="AH1516" s="1">
        <v>1</v>
      </c>
      <c r="AI1516" s="1" t="s">
        <v>5707</v>
      </c>
      <c r="AJ1516" s="1" t="s">
        <v>216</v>
      </c>
      <c r="AK1516" s="1" t="s">
        <v>238</v>
      </c>
      <c r="AM1516" s="1">
        <v>1</v>
      </c>
      <c r="AV1516" s="1">
        <v>1</v>
      </c>
      <c r="AX1516" s="1">
        <v>0.25</v>
      </c>
      <c r="BE1516" s="1" t="s">
        <v>5705</v>
      </c>
      <c r="BK1516" s="1" t="s">
        <v>4994</v>
      </c>
      <c r="BN1516" s="1" t="s">
        <v>217</v>
      </c>
      <c r="BO1516" s="1" t="s">
        <v>218</v>
      </c>
      <c r="BP1516" s="1" t="s">
        <v>239</v>
      </c>
      <c r="BQ1516" s="1" t="s">
        <v>5708</v>
      </c>
      <c r="BT1516" s="1">
        <v>1</v>
      </c>
    </row>
    <row r="1517" spans="1:72">
      <c r="A1517" s="1" t="s">
        <v>5709</v>
      </c>
      <c r="B1517" s="1" t="s">
        <v>213</v>
      </c>
      <c r="C1517" s="1">
        <v>1</v>
      </c>
      <c r="D1517" s="1" t="s">
        <v>5710</v>
      </c>
      <c r="E1517" s="1">
        <v>10211</v>
      </c>
      <c r="F1517" s="1" t="s">
        <v>5709</v>
      </c>
      <c r="G1517" s="1">
        <v>1</v>
      </c>
      <c r="K1517" s="1">
        <v>100000</v>
      </c>
      <c r="M1517" s="1">
        <v>15</v>
      </c>
      <c r="O1517" s="1">
        <v>0</v>
      </c>
      <c r="Q1517" s="1">
        <v>0</v>
      </c>
      <c r="Y1517" s="1">
        <v>0.05</v>
      </c>
      <c r="AG1517" s="1">
        <v>0</v>
      </c>
      <c r="AH1517" s="1">
        <v>3</v>
      </c>
      <c r="AI1517" s="1" t="s">
        <v>5711</v>
      </c>
      <c r="AJ1517" s="1" t="s">
        <v>216</v>
      </c>
      <c r="AK1517" s="1" t="s">
        <v>238</v>
      </c>
      <c r="AM1517" s="1">
        <v>1</v>
      </c>
      <c r="AV1517" s="1">
        <v>1</v>
      </c>
      <c r="AX1517" s="1">
        <v>0.25</v>
      </c>
      <c r="BE1517" s="1" t="s">
        <v>5709</v>
      </c>
      <c r="BK1517" s="1" t="s">
        <v>4994</v>
      </c>
      <c r="BN1517" s="1" t="s">
        <v>217</v>
      </c>
      <c r="BO1517" s="1" t="s">
        <v>218</v>
      </c>
      <c r="BP1517" s="1" t="s">
        <v>239</v>
      </c>
      <c r="BQ1517" s="1" t="s">
        <v>220</v>
      </c>
      <c r="BT1517" s="1">
        <v>1</v>
      </c>
    </row>
    <row r="1518" spans="1:72">
      <c r="A1518" s="1" t="s">
        <v>5712</v>
      </c>
      <c r="B1518" s="1" t="s">
        <v>213</v>
      </c>
      <c r="C1518" s="1">
        <v>1</v>
      </c>
      <c r="D1518" s="1" t="s">
        <v>5713</v>
      </c>
      <c r="E1518" s="1">
        <v>10129</v>
      </c>
      <c r="F1518" s="1" t="s">
        <v>5712</v>
      </c>
      <c r="G1518" s="1">
        <v>1</v>
      </c>
      <c r="K1518" s="1">
        <v>4000</v>
      </c>
      <c r="M1518" s="1">
        <v>300</v>
      </c>
      <c r="O1518" s="1">
        <v>100</v>
      </c>
      <c r="Q1518" s="1">
        <v>20</v>
      </c>
      <c r="Y1518" s="1">
        <v>0.05</v>
      </c>
      <c r="Z1518" s="1">
        <v>2</v>
      </c>
      <c r="AA1518" s="1">
        <v>0</v>
      </c>
      <c r="AB1518" s="1">
        <v>0.9</v>
      </c>
      <c r="AG1518" s="1">
        <v>0</v>
      </c>
      <c r="AH1518" s="1">
        <v>1</v>
      </c>
      <c r="AI1518" s="1" t="s">
        <v>5714</v>
      </c>
      <c r="AJ1518" s="1" t="s">
        <v>216</v>
      </c>
      <c r="AK1518" s="1" t="s">
        <v>238</v>
      </c>
      <c r="AM1518" s="1">
        <v>1</v>
      </c>
      <c r="AV1518" s="1">
        <v>1</v>
      </c>
      <c r="AX1518" s="1">
        <v>0.25</v>
      </c>
      <c r="BE1518" s="1" t="s">
        <v>5712</v>
      </c>
      <c r="BK1518" s="1" t="s">
        <v>4994</v>
      </c>
      <c r="BN1518" s="1" t="s">
        <v>3354</v>
      </c>
      <c r="BO1518" s="1" t="s">
        <v>1959</v>
      </c>
      <c r="BP1518" s="1" t="s">
        <v>1960</v>
      </c>
      <c r="BQ1518" s="1" t="s">
        <v>3322</v>
      </c>
      <c r="BT1518" s="1">
        <v>1</v>
      </c>
    </row>
    <row r="1519" spans="1:72">
      <c r="A1519" s="1" t="s">
        <v>5715</v>
      </c>
      <c r="B1519" s="1" t="s">
        <v>213</v>
      </c>
      <c r="C1519" s="1">
        <v>1</v>
      </c>
      <c r="D1519" s="1" t="s">
        <v>5716</v>
      </c>
      <c r="E1519" s="1">
        <v>10129</v>
      </c>
      <c r="F1519" s="1" t="s">
        <v>5715</v>
      </c>
      <c r="G1519" s="1">
        <v>1</v>
      </c>
      <c r="K1519" s="1">
        <v>5500</v>
      </c>
      <c r="M1519" s="1">
        <v>380</v>
      </c>
      <c r="O1519" s="1">
        <v>135</v>
      </c>
      <c r="Q1519" s="1">
        <v>25</v>
      </c>
      <c r="Y1519" s="1">
        <v>0.05</v>
      </c>
      <c r="Z1519" s="1">
        <v>2</v>
      </c>
      <c r="AA1519" s="1">
        <v>0</v>
      </c>
      <c r="AB1519" s="1">
        <v>0.9</v>
      </c>
      <c r="AG1519" s="1">
        <v>0</v>
      </c>
      <c r="AH1519" s="1">
        <v>1</v>
      </c>
      <c r="AI1519" s="1" t="s">
        <v>5717</v>
      </c>
      <c r="AJ1519" s="1" t="s">
        <v>216</v>
      </c>
      <c r="AK1519" s="1" t="s">
        <v>238</v>
      </c>
      <c r="AM1519" s="1">
        <v>1</v>
      </c>
      <c r="AV1519" s="1">
        <v>1</v>
      </c>
      <c r="AX1519" s="1">
        <v>0.25</v>
      </c>
      <c r="BE1519" s="1" t="s">
        <v>5715</v>
      </c>
      <c r="BK1519" s="1" t="s">
        <v>4994</v>
      </c>
      <c r="BN1519" s="1" t="s">
        <v>3354</v>
      </c>
      <c r="BO1519" s="1" t="s">
        <v>1959</v>
      </c>
      <c r="BP1519" s="1" t="s">
        <v>1960</v>
      </c>
      <c r="BQ1519" s="1" t="s">
        <v>3322</v>
      </c>
      <c r="BT1519" s="1">
        <v>1</v>
      </c>
    </row>
    <row r="1520" spans="1:72">
      <c r="A1520" s="1" t="s">
        <v>5718</v>
      </c>
      <c r="B1520" s="1" t="s">
        <v>213</v>
      </c>
      <c r="C1520" s="1">
        <v>1</v>
      </c>
      <c r="D1520" s="1" t="s">
        <v>5719</v>
      </c>
      <c r="E1520" s="1">
        <v>10130</v>
      </c>
      <c r="F1520" s="1" t="s">
        <v>5718</v>
      </c>
      <c r="G1520" s="1">
        <v>1</v>
      </c>
      <c r="K1520" s="1">
        <v>8000</v>
      </c>
      <c r="M1520" s="1">
        <v>350</v>
      </c>
      <c r="O1520" s="1">
        <v>250</v>
      </c>
      <c r="Q1520" s="1">
        <v>20</v>
      </c>
      <c r="Y1520" s="1">
        <v>0.05</v>
      </c>
      <c r="Z1520" s="1">
        <v>4</v>
      </c>
      <c r="AA1520" s="1">
        <v>1</v>
      </c>
      <c r="AB1520" s="1">
        <v>0.75</v>
      </c>
      <c r="AG1520" s="1">
        <v>0</v>
      </c>
      <c r="AH1520" s="1">
        <v>1</v>
      </c>
      <c r="AI1520" s="1" t="s">
        <v>5720</v>
      </c>
      <c r="AJ1520" s="1" t="s">
        <v>216</v>
      </c>
      <c r="AK1520" s="1" t="s">
        <v>238</v>
      </c>
      <c r="AM1520" s="1">
        <v>1</v>
      </c>
      <c r="AV1520" s="1">
        <v>1</v>
      </c>
      <c r="AX1520" s="1">
        <v>0.25</v>
      </c>
      <c r="BE1520" s="1" t="s">
        <v>5718</v>
      </c>
      <c r="BK1520" s="1" t="s">
        <v>4994</v>
      </c>
      <c r="BN1520" s="1" t="s">
        <v>3354</v>
      </c>
      <c r="BO1520" s="1" t="s">
        <v>1959</v>
      </c>
      <c r="BP1520" s="1" t="s">
        <v>1960</v>
      </c>
      <c r="BQ1520" s="1" t="s">
        <v>3322</v>
      </c>
      <c r="BT1520" s="1">
        <v>1</v>
      </c>
    </row>
    <row r="1521" spans="1:72">
      <c r="A1521" s="1" t="s">
        <v>5721</v>
      </c>
      <c r="B1521" s="1" t="s">
        <v>213</v>
      </c>
      <c r="C1521" s="1">
        <v>1</v>
      </c>
      <c r="D1521" s="1" t="s">
        <v>5722</v>
      </c>
      <c r="E1521" s="1">
        <v>10130</v>
      </c>
      <c r="F1521" s="1" t="s">
        <v>5721</v>
      </c>
      <c r="G1521" s="1">
        <v>1</v>
      </c>
      <c r="K1521" s="1">
        <v>10000</v>
      </c>
      <c r="M1521" s="1">
        <v>450</v>
      </c>
      <c r="O1521" s="1">
        <v>300</v>
      </c>
      <c r="Q1521" s="1">
        <v>25</v>
      </c>
      <c r="Y1521" s="1">
        <v>0.05</v>
      </c>
      <c r="Z1521" s="1">
        <v>4</v>
      </c>
      <c r="AA1521" s="1">
        <v>1</v>
      </c>
      <c r="AB1521" s="1">
        <v>0.75</v>
      </c>
      <c r="AG1521" s="1">
        <v>0</v>
      </c>
      <c r="AH1521" s="1">
        <v>1</v>
      </c>
      <c r="AI1521" s="1" t="s">
        <v>5723</v>
      </c>
      <c r="AJ1521" s="1" t="s">
        <v>216</v>
      </c>
      <c r="AK1521" s="1" t="s">
        <v>238</v>
      </c>
      <c r="AM1521" s="1">
        <v>1</v>
      </c>
      <c r="AV1521" s="1">
        <v>1</v>
      </c>
      <c r="AX1521" s="1">
        <v>0.25</v>
      </c>
      <c r="BE1521" s="1" t="s">
        <v>5721</v>
      </c>
      <c r="BK1521" s="1" t="s">
        <v>4994</v>
      </c>
      <c r="BN1521" s="1" t="s">
        <v>3354</v>
      </c>
      <c r="BO1521" s="1" t="s">
        <v>1959</v>
      </c>
      <c r="BP1521" s="1" t="s">
        <v>1960</v>
      </c>
      <c r="BQ1521" s="1" t="s">
        <v>3322</v>
      </c>
      <c r="BT1521" s="1">
        <v>1</v>
      </c>
    </row>
    <row r="1522" spans="1:72">
      <c r="A1522" s="1" t="s">
        <v>5724</v>
      </c>
      <c r="B1522" s="1" t="s">
        <v>213</v>
      </c>
      <c r="C1522" s="1">
        <v>1</v>
      </c>
      <c r="D1522" s="1" t="s">
        <v>5725</v>
      </c>
      <c r="E1522" s="1">
        <v>10131</v>
      </c>
      <c r="F1522" s="1" t="s">
        <v>5724</v>
      </c>
      <c r="G1522" s="1">
        <v>1</v>
      </c>
      <c r="K1522" s="1">
        <v>10000</v>
      </c>
      <c r="M1522" s="1">
        <v>400</v>
      </c>
      <c r="O1522" s="1">
        <v>400</v>
      </c>
      <c r="Q1522" s="1">
        <v>35</v>
      </c>
      <c r="Y1522" s="1">
        <v>0.05</v>
      </c>
      <c r="Z1522" s="1">
        <v>3</v>
      </c>
      <c r="AA1522" s="1">
        <v>3</v>
      </c>
      <c r="AB1522" s="1">
        <v>0.6</v>
      </c>
      <c r="AG1522" s="1">
        <v>0</v>
      </c>
      <c r="AH1522" s="1">
        <v>1</v>
      </c>
      <c r="AI1522" s="1" t="s">
        <v>5726</v>
      </c>
      <c r="AJ1522" s="1" t="s">
        <v>216</v>
      </c>
      <c r="AK1522" s="1" t="s">
        <v>238</v>
      </c>
      <c r="AM1522" s="1">
        <v>1</v>
      </c>
      <c r="AV1522" s="1">
        <v>1</v>
      </c>
      <c r="AX1522" s="1">
        <v>0.25</v>
      </c>
      <c r="BE1522" s="1" t="s">
        <v>5724</v>
      </c>
      <c r="BK1522" s="1" t="s">
        <v>4994</v>
      </c>
      <c r="BN1522" s="1" t="s">
        <v>217</v>
      </c>
      <c r="BO1522" s="1" t="s">
        <v>1959</v>
      </c>
      <c r="BP1522" s="1" t="s">
        <v>1960</v>
      </c>
      <c r="BQ1522" s="1" t="s">
        <v>3322</v>
      </c>
      <c r="BT1522" s="1">
        <v>1</v>
      </c>
    </row>
    <row r="1523" spans="1:72">
      <c r="A1523" s="1" t="s">
        <v>5727</v>
      </c>
      <c r="B1523" s="1" t="s">
        <v>213</v>
      </c>
      <c r="C1523" s="1">
        <v>1</v>
      </c>
      <c r="D1523" s="1" t="s">
        <v>5728</v>
      </c>
      <c r="E1523" s="1">
        <v>10131</v>
      </c>
      <c r="F1523" s="1" t="s">
        <v>5727</v>
      </c>
      <c r="G1523" s="1">
        <v>1</v>
      </c>
      <c r="K1523" s="1">
        <v>12000</v>
      </c>
      <c r="M1523" s="1">
        <v>440</v>
      </c>
      <c r="O1523" s="1">
        <v>450</v>
      </c>
      <c r="Q1523" s="1">
        <v>40</v>
      </c>
      <c r="Y1523" s="1">
        <v>0.05</v>
      </c>
      <c r="Z1523" s="1">
        <v>3</v>
      </c>
      <c r="AA1523" s="1">
        <v>3</v>
      </c>
      <c r="AB1523" s="1">
        <v>0.6</v>
      </c>
      <c r="AG1523" s="1">
        <v>0</v>
      </c>
      <c r="AH1523" s="1">
        <v>1</v>
      </c>
      <c r="AI1523" s="1" t="s">
        <v>5729</v>
      </c>
      <c r="AJ1523" s="1" t="s">
        <v>216</v>
      </c>
      <c r="AK1523" s="1" t="s">
        <v>238</v>
      </c>
      <c r="AM1523" s="1">
        <v>1</v>
      </c>
      <c r="AV1523" s="1">
        <v>1</v>
      </c>
      <c r="AX1523" s="1">
        <v>0.25</v>
      </c>
      <c r="BE1523" s="1" t="s">
        <v>5727</v>
      </c>
      <c r="BK1523" s="1" t="s">
        <v>4994</v>
      </c>
      <c r="BN1523" s="1" t="s">
        <v>217</v>
      </c>
      <c r="BO1523" s="1" t="s">
        <v>1959</v>
      </c>
      <c r="BP1523" s="1" t="s">
        <v>1960</v>
      </c>
      <c r="BQ1523" s="1" t="s">
        <v>3322</v>
      </c>
      <c r="BT1523" s="1">
        <v>1</v>
      </c>
    </row>
    <row r="1524" spans="1:72">
      <c r="A1524" s="1" t="s">
        <v>5730</v>
      </c>
      <c r="B1524" s="1" t="s">
        <v>213</v>
      </c>
      <c r="C1524" s="1">
        <v>1</v>
      </c>
      <c r="D1524" s="1" t="s">
        <v>5731</v>
      </c>
      <c r="E1524" s="1">
        <v>10132</v>
      </c>
      <c r="F1524" s="1" t="s">
        <v>5730</v>
      </c>
      <c r="G1524" s="1">
        <v>1</v>
      </c>
      <c r="K1524" s="1">
        <v>12000</v>
      </c>
      <c r="M1524" s="1">
        <v>550</v>
      </c>
      <c r="O1524" s="1">
        <v>800</v>
      </c>
      <c r="Q1524" s="1">
        <v>20</v>
      </c>
      <c r="Y1524" s="1">
        <v>0.05</v>
      </c>
      <c r="Z1524" s="1">
        <v>4</v>
      </c>
      <c r="AA1524" s="1">
        <v>4</v>
      </c>
      <c r="AB1524" s="1">
        <v>0.6</v>
      </c>
      <c r="AG1524" s="1">
        <v>0</v>
      </c>
      <c r="AH1524" s="1">
        <v>1</v>
      </c>
      <c r="AI1524" s="1" t="s">
        <v>5732</v>
      </c>
      <c r="AJ1524" s="1" t="s">
        <v>216</v>
      </c>
      <c r="AK1524" s="1" t="s">
        <v>238</v>
      </c>
      <c r="AM1524" s="1">
        <v>1</v>
      </c>
      <c r="AV1524" s="1">
        <v>1</v>
      </c>
      <c r="AX1524" s="1">
        <v>0.25</v>
      </c>
      <c r="BE1524" s="1" t="s">
        <v>5730</v>
      </c>
      <c r="BK1524" s="1" t="s">
        <v>4994</v>
      </c>
      <c r="BN1524" s="1" t="s">
        <v>217</v>
      </c>
      <c r="BO1524" s="1" t="s">
        <v>1959</v>
      </c>
      <c r="BP1524" s="1" t="s">
        <v>1960</v>
      </c>
      <c r="BQ1524" s="1" t="s">
        <v>3322</v>
      </c>
      <c r="BT1524" s="1">
        <v>1</v>
      </c>
    </row>
    <row r="1525" spans="1:72">
      <c r="A1525" s="1" t="s">
        <v>5733</v>
      </c>
      <c r="B1525" s="1" t="s">
        <v>213</v>
      </c>
      <c r="C1525" s="1">
        <v>1</v>
      </c>
      <c r="D1525" s="1" t="s">
        <v>5734</v>
      </c>
      <c r="E1525" s="1">
        <v>10132</v>
      </c>
      <c r="F1525" s="1" t="s">
        <v>5733</v>
      </c>
      <c r="G1525" s="1">
        <v>1</v>
      </c>
      <c r="K1525" s="1">
        <v>14500</v>
      </c>
      <c r="M1525" s="1">
        <v>625</v>
      </c>
      <c r="O1525" s="1">
        <v>880</v>
      </c>
      <c r="Q1525" s="1">
        <v>25</v>
      </c>
      <c r="Y1525" s="1">
        <v>0.05</v>
      </c>
      <c r="Z1525" s="1">
        <v>4</v>
      </c>
      <c r="AA1525" s="1">
        <v>4</v>
      </c>
      <c r="AB1525" s="1">
        <v>0.6</v>
      </c>
      <c r="AG1525" s="1">
        <v>0</v>
      </c>
      <c r="AH1525" s="1">
        <v>1</v>
      </c>
      <c r="AI1525" s="1" t="s">
        <v>5735</v>
      </c>
      <c r="AJ1525" s="1" t="s">
        <v>216</v>
      </c>
      <c r="AK1525" s="1" t="s">
        <v>238</v>
      </c>
      <c r="AM1525" s="1">
        <v>1</v>
      </c>
      <c r="AV1525" s="1">
        <v>1</v>
      </c>
      <c r="AX1525" s="1">
        <v>0.25</v>
      </c>
      <c r="BE1525" s="1" t="s">
        <v>5733</v>
      </c>
      <c r="BK1525" s="1" t="s">
        <v>4994</v>
      </c>
      <c r="BN1525" s="1" t="s">
        <v>217</v>
      </c>
      <c r="BO1525" s="1" t="s">
        <v>1959</v>
      </c>
      <c r="BP1525" s="1" t="s">
        <v>1960</v>
      </c>
      <c r="BQ1525" s="1" t="s">
        <v>3322</v>
      </c>
      <c r="BT1525" s="1">
        <v>1</v>
      </c>
    </row>
    <row r="1526" spans="1:72">
      <c r="A1526" s="1" t="s">
        <v>5736</v>
      </c>
      <c r="B1526" s="1" t="s">
        <v>213</v>
      </c>
      <c r="C1526" s="1">
        <v>1</v>
      </c>
      <c r="D1526" s="1" t="s">
        <v>5737</v>
      </c>
      <c r="E1526" s="1">
        <v>10133</v>
      </c>
      <c r="F1526" s="1" t="s">
        <v>5736</v>
      </c>
      <c r="G1526" s="1">
        <v>1</v>
      </c>
      <c r="K1526" s="1">
        <v>16000</v>
      </c>
      <c r="M1526" s="1">
        <v>450</v>
      </c>
      <c r="O1526" s="1">
        <v>700</v>
      </c>
      <c r="Q1526" s="1">
        <v>35</v>
      </c>
      <c r="Y1526" s="1">
        <v>0.05</v>
      </c>
      <c r="Z1526" s="1">
        <v>0.8</v>
      </c>
      <c r="AA1526" s="1">
        <v>4</v>
      </c>
      <c r="AB1526" s="1">
        <v>1</v>
      </c>
      <c r="AG1526" s="1">
        <v>0</v>
      </c>
      <c r="AH1526" s="1">
        <v>1</v>
      </c>
      <c r="AI1526" s="1" t="s">
        <v>5738</v>
      </c>
      <c r="AJ1526" s="1" t="s">
        <v>216</v>
      </c>
      <c r="AK1526" s="1" t="s">
        <v>238</v>
      </c>
      <c r="AM1526" s="1">
        <v>1</v>
      </c>
      <c r="AV1526" s="1">
        <v>1</v>
      </c>
      <c r="AX1526" s="1">
        <v>0.25</v>
      </c>
      <c r="BE1526" s="1" t="s">
        <v>5736</v>
      </c>
      <c r="BK1526" s="1" t="s">
        <v>4994</v>
      </c>
      <c r="BN1526" s="1" t="s">
        <v>217</v>
      </c>
      <c r="BO1526" s="1" t="s">
        <v>218</v>
      </c>
      <c r="BP1526" s="1" t="s">
        <v>239</v>
      </c>
      <c r="BQ1526" s="1" t="s">
        <v>220</v>
      </c>
      <c r="BT1526" s="1">
        <v>1</v>
      </c>
    </row>
    <row r="1527" spans="1:72">
      <c r="A1527" s="1" t="s">
        <v>5739</v>
      </c>
      <c r="B1527" s="1" t="s">
        <v>213</v>
      </c>
      <c r="C1527" s="1">
        <v>1</v>
      </c>
      <c r="D1527" s="1" t="s">
        <v>5740</v>
      </c>
      <c r="E1527" s="1">
        <v>10133</v>
      </c>
      <c r="F1527" s="1" t="s">
        <v>5739</v>
      </c>
      <c r="G1527" s="1">
        <v>1</v>
      </c>
      <c r="K1527" s="1">
        <v>18500</v>
      </c>
      <c r="M1527" s="1">
        <v>500</v>
      </c>
      <c r="O1527" s="1">
        <v>750</v>
      </c>
      <c r="Q1527" s="1">
        <v>40</v>
      </c>
      <c r="Y1527" s="1">
        <v>0.05</v>
      </c>
      <c r="Z1527" s="1">
        <v>0.8</v>
      </c>
      <c r="AA1527" s="1">
        <v>4</v>
      </c>
      <c r="AB1527" s="1">
        <v>1</v>
      </c>
      <c r="AG1527" s="1">
        <v>0</v>
      </c>
      <c r="AH1527" s="1">
        <v>1</v>
      </c>
      <c r="AI1527" s="1" t="s">
        <v>5741</v>
      </c>
      <c r="AJ1527" s="1" t="s">
        <v>216</v>
      </c>
      <c r="AK1527" s="1" t="s">
        <v>238</v>
      </c>
      <c r="AM1527" s="1">
        <v>1</v>
      </c>
      <c r="AV1527" s="1">
        <v>1</v>
      </c>
      <c r="AX1527" s="1">
        <v>0.25</v>
      </c>
      <c r="BE1527" s="1" t="s">
        <v>5739</v>
      </c>
      <c r="BK1527" s="1" t="s">
        <v>4994</v>
      </c>
      <c r="BN1527" s="1" t="s">
        <v>217</v>
      </c>
      <c r="BO1527" s="1" t="s">
        <v>218</v>
      </c>
      <c r="BP1527" s="1" t="s">
        <v>239</v>
      </c>
      <c r="BQ1527" s="1" t="s">
        <v>220</v>
      </c>
      <c r="BT1527" s="1">
        <v>1</v>
      </c>
    </row>
    <row r="1528" spans="1:72">
      <c r="A1528" s="1" t="s">
        <v>5742</v>
      </c>
      <c r="B1528" s="1" t="s">
        <v>213</v>
      </c>
      <c r="C1528" s="1">
        <v>1</v>
      </c>
      <c r="D1528" s="1" t="s">
        <v>5743</v>
      </c>
      <c r="E1528" s="1">
        <v>10134</v>
      </c>
      <c r="F1528" s="1" t="s">
        <v>5742</v>
      </c>
      <c r="G1528" s="1">
        <v>1</v>
      </c>
      <c r="K1528" s="1">
        <v>18000</v>
      </c>
      <c r="M1528" s="1">
        <v>275</v>
      </c>
      <c r="O1528" s="1">
        <v>660</v>
      </c>
      <c r="Q1528" s="1">
        <v>30</v>
      </c>
      <c r="Y1528" s="1">
        <v>0.05</v>
      </c>
      <c r="Z1528" s="1">
        <v>2.5</v>
      </c>
      <c r="AA1528" s="1">
        <v>4</v>
      </c>
      <c r="AB1528" s="1">
        <v>1</v>
      </c>
      <c r="AG1528" s="1">
        <v>0</v>
      </c>
      <c r="AH1528" s="1">
        <v>1</v>
      </c>
      <c r="AI1528" s="1" t="s">
        <v>5744</v>
      </c>
      <c r="AJ1528" s="1" t="s">
        <v>216</v>
      </c>
      <c r="AK1528" s="1" t="s">
        <v>238</v>
      </c>
      <c r="AM1528" s="1">
        <v>1</v>
      </c>
      <c r="AV1528" s="1">
        <v>1</v>
      </c>
      <c r="AX1528" s="1">
        <v>0.25</v>
      </c>
      <c r="BE1528" s="1" t="s">
        <v>5742</v>
      </c>
      <c r="BK1528" s="1" t="s">
        <v>4994</v>
      </c>
      <c r="BN1528" s="1" t="s">
        <v>217</v>
      </c>
      <c r="BO1528" s="1" t="s">
        <v>218</v>
      </c>
      <c r="BQ1528" s="1" t="s">
        <v>220</v>
      </c>
      <c r="BT1528" s="1">
        <v>1</v>
      </c>
    </row>
    <row r="1529" spans="1:72">
      <c r="A1529" s="1" t="s">
        <v>5745</v>
      </c>
      <c r="B1529" s="1" t="s">
        <v>213</v>
      </c>
      <c r="C1529" s="1">
        <v>1</v>
      </c>
      <c r="D1529" s="1" t="s">
        <v>5746</v>
      </c>
      <c r="E1529" s="1">
        <v>10134</v>
      </c>
      <c r="F1529" s="1" t="s">
        <v>5745</v>
      </c>
      <c r="G1529" s="1">
        <v>1</v>
      </c>
      <c r="K1529" s="1">
        <v>19500</v>
      </c>
      <c r="M1529" s="1">
        <v>325</v>
      </c>
      <c r="O1529" s="1">
        <v>700</v>
      </c>
      <c r="Q1529" s="1">
        <v>30</v>
      </c>
      <c r="Y1529" s="1">
        <v>0.05</v>
      </c>
      <c r="Z1529" s="1">
        <v>2.5</v>
      </c>
      <c r="AA1529" s="1">
        <v>4</v>
      </c>
      <c r="AB1529" s="1">
        <v>1</v>
      </c>
      <c r="AG1529" s="1">
        <v>0</v>
      </c>
      <c r="AH1529" s="1">
        <v>1</v>
      </c>
      <c r="AI1529" s="1" t="s">
        <v>5747</v>
      </c>
      <c r="AJ1529" s="1" t="s">
        <v>216</v>
      </c>
      <c r="AK1529" s="1" t="s">
        <v>238</v>
      </c>
      <c r="AM1529" s="1">
        <v>1</v>
      </c>
      <c r="AV1529" s="1">
        <v>1</v>
      </c>
      <c r="AX1529" s="1">
        <v>0.25</v>
      </c>
      <c r="BE1529" s="1" t="s">
        <v>5745</v>
      </c>
      <c r="BK1529" s="1" t="s">
        <v>4994</v>
      </c>
      <c r="BN1529" s="1" t="s">
        <v>217</v>
      </c>
      <c r="BO1529" s="1" t="s">
        <v>218</v>
      </c>
      <c r="BQ1529" s="1" t="s">
        <v>220</v>
      </c>
      <c r="BT1529" s="1">
        <v>1</v>
      </c>
    </row>
    <row r="1530" spans="1:72">
      <c r="A1530" s="1" t="s">
        <v>5748</v>
      </c>
      <c r="B1530" s="1" t="s">
        <v>213</v>
      </c>
      <c r="C1530" s="1">
        <v>1</v>
      </c>
      <c r="D1530" s="1" t="s">
        <v>5749</v>
      </c>
      <c r="E1530" s="1">
        <v>10135</v>
      </c>
      <c r="F1530" s="1" t="s">
        <v>5748</v>
      </c>
      <c r="G1530" s="1">
        <v>1</v>
      </c>
      <c r="K1530" s="1">
        <v>15000</v>
      </c>
      <c r="M1530" s="1">
        <v>350</v>
      </c>
      <c r="O1530" s="1">
        <v>550</v>
      </c>
      <c r="Q1530" s="1">
        <v>45</v>
      </c>
      <c r="Y1530" s="1">
        <v>0.05</v>
      </c>
      <c r="Z1530" s="1">
        <v>6</v>
      </c>
      <c r="AA1530" s="1">
        <v>4</v>
      </c>
      <c r="AB1530" s="1">
        <v>0.75</v>
      </c>
      <c r="AG1530" s="1">
        <v>0</v>
      </c>
      <c r="AH1530" s="1">
        <v>1</v>
      </c>
      <c r="AI1530" s="1" t="s">
        <v>5750</v>
      </c>
      <c r="AJ1530" s="1" t="s">
        <v>216</v>
      </c>
      <c r="AK1530" s="1" t="s">
        <v>238</v>
      </c>
      <c r="AM1530" s="1">
        <v>1</v>
      </c>
      <c r="AV1530" s="1">
        <v>1</v>
      </c>
      <c r="AX1530" s="1">
        <v>0.25</v>
      </c>
      <c r="BE1530" s="1" t="s">
        <v>5748</v>
      </c>
      <c r="BK1530" s="1" t="s">
        <v>4994</v>
      </c>
      <c r="BN1530" s="1" t="s">
        <v>217</v>
      </c>
      <c r="BO1530" s="1" t="s">
        <v>218</v>
      </c>
      <c r="BP1530" s="1" t="s">
        <v>239</v>
      </c>
      <c r="BQ1530" s="1" t="s">
        <v>220</v>
      </c>
      <c r="BT1530" s="1">
        <v>1</v>
      </c>
    </row>
    <row r="1531" spans="1:72">
      <c r="A1531" s="1" t="s">
        <v>5751</v>
      </c>
      <c r="B1531" s="1" t="s">
        <v>213</v>
      </c>
      <c r="C1531" s="1">
        <v>1</v>
      </c>
      <c r="D1531" s="1" t="s">
        <v>5752</v>
      </c>
      <c r="E1531" s="1">
        <v>10135</v>
      </c>
      <c r="F1531" s="1" t="s">
        <v>5751</v>
      </c>
      <c r="G1531" s="1">
        <v>1</v>
      </c>
      <c r="K1531" s="1">
        <v>17000</v>
      </c>
      <c r="M1531" s="1">
        <v>400</v>
      </c>
      <c r="O1531" s="1">
        <v>600</v>
      </c>
      <c r="Q1531" s="1">
        <v>50</v>
      </c>
      <c r="Y1531" s="1">
        <v>0.05</v>
      </c>
      <c r="Z1531" s="1">
        <v>6</v>
      </c>
      <c r="AA1531" s="1">
        <v>4</v>
      </c>
      <c r="AB1531" s="1">
        <v>0.75</v>
      </c>
      <c r="AG1531" s="1">
        <v>0</v>
      </c>
      <c r="AH1531" s="1">
        <v>1</v>
      </c>
      <c r="AI1531" s="1" t="s">
        <v>5753</v>
      </c>
      <c r="AJ1531" s="1" t="s">
        <v>216</v>
      </c>
      <c r="AK1531" s="1" t="s">
        <v>238</v>
      </c>
      <c r="AM1531" s="1">
        <v>1</v>
      </c>
      <c r="AV1531" s="1">
        <v>1</v>
      </c>
      <c r="AX1531" s="1">
        <v>0.25</v>
      </c>
      <c r="BE1531" s="1" t="s">
        <v>5751</v>
      </c>
      <c r="BK1531" s="1" t="s">
        <v>4994</v>
      </c>
      <c r="BN1531" s="1" t="s">
        <v>217</v>
      </c>
      <c r="BO1531" s="1" t="s">
        <v>218</v>
      </c>
      <c r="BP1531" s="1" t="s">
        <v>239</v>
      </c>
      <c r="BQ1531" s="1" t="s">
        <v>220</v>
      </c>
      <c r="BT1531" s="1">
        <v>1</v>
      </c>
    </row>
    <row r="1532" spans="1:72">
      <c r="A1532" s="1" t="s">
        <v>5754</v>
      </c>
      <c r="B1532" s="1" t="s">
        <v>213</v>
      </c>
      <c r="C1532" s="1">
        <v>1</v>
      </c>
      <c r="D1532" s="1" t="s">
        <v>5755</v>
      </c>
      <c r="E1532" s="1">
        <v>10136</v>
      </c>
      <c r="F1532" s="1" t="s">
        <v>5754</v>
      </c>
      <c r="G1532" s="1">
        <v>1</v>
      </c>
      <c r="K1532" s="1">
        <v>18000</v>
      </c>
      <c r="M1532" s="1">
        <v>840</v>
      </c>
      <c r="O1532" s="1">
        <v>850</v>
      </c>
      <c r="Q1532" s="1">
        <v>30</v>
      </c>
      <c r="Y1532" s="1">
        <v>0.05</v>
      </c>
      <c r="Z1532" s="1">
        <v>4</v>
      </c>
      <c r="AA1532" s="1">
        <v>5</v>
      </c>
      <c r="AB1532" s="1">
        <v>0.55</v>
      </c>
      <c r="AG1532" s="1">
        <v>0</v>
      </c>
      <c r="AH1532" s="1">
        <v>1</v>
      </c>
      <c r="AI1532" s="1" t="s">
        <v>5756</v>
      </c>
      <c r="AJ1532" s="1" t="s">
        <v>216</v>
      </c>
      <c r="AK1532" s="1" t="s">
        <v>238</v>
      </c>
      <c r="AM1532" s="1">
        <v>1</v>
      </c>
      <c r="AV1532" s="1">
        <v>1</v>
      </c>
      <c r="AX1532" s="1">
        <v>0.25</v>
      </c>
      <c r="BE1532" s="1" t="s">
        <v>5754</v>
      </c>
      <c r="BK1532" s="1" t="s">
        <v>4994</v>
      </c>
      <c r="BN1532" s="1" t="s">
        <v>217</v>
      </c>
      <c r="BO1532" s="1" t="s">
        <v>218</v>
      </c>
      <c r="BP1532" s="1" t="s">
        <v>239</v>
      </c>
      <c r="BQ1532" s="1" t="s">
        <v>220</v>
      </c>
      <c r="BT1532" s="1">
        <v>1</v>
      </c>
    </row>
    <row r="1533" spans="1:72">
      <c r="A1533" s="1" t="s">
        <v>5757</v>
      </c>
      <c r="B1533" s="1" t="s">
        <v>213</v>
      </c>
      <c r="C1533" s="1">
        <v>1</v>
      </c>
      <c r="D1533" s="1" t="s">
        <v>5758</v>
      </c>
      <c r="E1533" s="1">
        <v>10136</v>
      </c>
      <c r="F1533" s="1" t="s">
        <v>5757</v>
      </c>
      <c r="G1533" s="1">
        <v>1</v>
      </c>
      <c r="K1533" s="1">
        <v>19500</v>
      </c>
      <c r="M1533" s="1">
        <v>950</v>
      </c>
      <c r="O1533" s="1">
        <v>950</v>
      </c>
      <c r="Q1533" s="1">
        <v>30</v>
      </c>
      <c r="Y1533" s="1">
        <v>0.05</v>
      </c>
      <c r="Z1533" s="1">
        <v>4</v>
      </c>
      <c r="AA1533" s="1">
        <v>5</v>
      </c>
      <c r="AB1533" s="1">
        <v>0.55</v>
      </c>
      <c r="AG1533" s="1">
        <v>0</v>
      </c>
      <c r="AH1533" s="1">
        <v>1</v>
      </c>
      <c r="AI1533" s="1" t="s">
        <v>5759</v>
      </c>
      <c r="AJ1533" s="1" t="s">
        <v>216</v>
      </c>
      <c r="AK1533" s="1" t="s">
        <v>238</v>
      </c>
      <c r="AM1533" s="1">
        <v>1</v>
      </c>
      <c r="AV1533" s="1">
        <v>1</v>
      </c>
      <c r="AX1533" s="1">
        <v>0.25</v>
      </c>
      <c r="BE1533" s="1" t="s">
        <v>5757</v>
      </c>
      <c r="BK1533" s="1" t="s">
        <v>4994</v>
      </c>
      <c r="BN1533" s="1" t="s">
        <v>217</v>
      </c>
      <c r="BO1533" s="1" t="s">
        <v>218</v>
      </c>
      <c r="BP1533" s="1" t="s">
        <v>239</v>
      </c>
      <c r="BQ1533" s="1" t="s">
        <v>220</v>
      </c>
      <c r="BT1533" s="1">
        <v>1</v>
      </c>
    </row>
    <row r="1534" spans="1:72">
      <c r="A1534" s="1" t="s">
        <v>5760</v>
      </c>
      <c r="B1534" s="1" t="s">
        <v>213</v>
      </c>
      <c r="C1534" s="1">
        <v>1</v>
      </c>
      <c r="D1534" s="1" t="s">
        <v>5761</v>
      </c>
      <c r="E1534" s="1">
        <v>10137</v>
      </c>
      <c r="F1534" s="1" t="s">
        <v>5760</v>
      </c>
      <c r="G1534" s="1">
        <v>1</v>
      </c>
      <c r="K1534" s="1">
        <v>50000</v>
      </c>
      <c r="M1534" s="1">
        <v>300</v>
      </c>
      <c r="O1534" s="1">
        <v>350</v>
      </c>
      <c r="Q1534" s="1">
        <v>75</v>
      </c>
      <c r="Y1534" s="1">
        <v>0.05</v>
      </c>
      <c r="Z1534" s="1">
        <v>4</v>
      </c>
      <c r="AA1534" s="1">
        <v>5</v>
      </c>
      <c r="AB1534" s="1">
        <v>0.65</v>
      </c>
      <c r="AG1534" s="1">
        <v>0</v>
      </c>
      <c r="AH1534" s="1">
        <v>1</v>
      </c>
      <c r="AI1534" s="1" t="s">
        <v>5762</v>
      </c>
      <c r="AJ1534" s="1" t="s">
        <v>216</v>
      </c>
      <c r="AK1534" s="1" t="s">
        <v>238</v>
      </c>
      <c r="AM1534" s="1">
        <v>1</v>
      </c>
      <c r="AV1534" s="1">
        <v>1</v>
      </c>
      <c r="AX1534" s="1">
        <v>0.25</v>
      </c>
      <c r="BE1534" s="1" t="s">
        <v>5760</v>
      </c>
      <c r="BK1534" s="1" t="s">
        <v>4994</v>
      </c>
      <c r="BN1534" s="1" t="s">
        <v>217</v>
      </c>
      <c r="BO1534" s="1" t="s">
        <v>218</v>
      </c>
      <c r="BP1534" s="1" t="s">
        <v>239</v>
      </c>
      <c r="BQ1534" s="1" t="s">
        <v>220</v>
      </c>
      <c r="BT1534" s="1">
        <v>1</v>
      </c>
    </row>
    <row r="1535" spans="1:72">
      <c r="A1535" t="s">
        <v>5763</v>
      </c>
      <c r="B1535" t="s">
        <v>213</v>
      </c>
      <c r="C1535">
        <v>1</v>
      </c>
      <c r="D1535" s="1" t="s">
        <v>5764</v>
      </c>
      <c r="E1535" s="1">
        <v>10137</v>
      </c>
      <c r="F1535" t="s">
        <v>5763</v>
      </c>
      <c r="G1535">
        <v>1</v>
      </c>
      <c r="K1535">
        <v>17000</v>
      </c>
      <c r="M1535">
        <v>320</v>
      </c>
      <c r="O1535">
        <v>150</v>
      </c>
      <c r="Q1535">
        <v>0</v>
      </c>
      <c r="Y1535">
        <v>0.05</v>
      </c>
      <c r="Z1535">
        <v>2.5</v>
      </c>
      <c r="AA1535">
        <v>1</v>
      </c>
      <c r="AB1535">
        <v>0.8</v>
      </c>
      <c r="AG1535">
        <v>0</v>
      </c>
      <c r="AH1535">
        <v>1</v>
      </c>
      <c r="AI1535" t="s">
        <v>5765</v>
      </c>
      <c r="AJ1535" t="s">
        <v>216</v>
      </c>
      <c r="AK1535" t="s">
        <v>238</v>
      </c>
      <c r="AM1535">
        <v>1</v>
      </c>
      <c r="AV1535">
        <v>1</v>
      </c>
      <c r="AX1535">
        <v>0.25</v>
      </c>
      <c r="BE1535" t="s">
        <v>5763</v>
      </c>
      <c r="BK1535" t="s">
        <v>953</v>
      </c>
      <c r="BL1535" t="s">
        <v>5766</v>
      </c>
      <c r="BN1535" t="s">
        <v>217</v>
      </c>
      <c r="BO1535" t="s">
        <v>218</v>
      </c>
      <c r="BP1535" s="1" t="s">
        <v>239</v>
      </c>
      <c r="BQ1535" t="s">
        <v>220</v>
      </c>
      <c r="BT1535">
        <v>1</v>
      </c>
    </row>
    <row r="1536" spans="1:72">
      <c r="A1536" t="s">
        <v>5767</v>
      </c>
      <c r="B1536" t="s">
        <v>213</v>
      </c>
      <c r="C1536">
        <v>1</v>
      </c>
      <c r="F1536" t="s">
        <v>5767</v>
      </c>
      <c r="G1536">
        <v>1</v>
      </c>
      <c r="K1536">
        <v>20000</v>
      </c>
      <c r="M1536">
        <v>420</v>
      </c>
      <c r="O1536">
        <v>150</v>
      </c>
      <c r="Q1536">
        <v>0</v>
      </c>
      <c r="Y1536">
        <v>0.05</v>
      </c>
      <c r="Z1536">
        <v>2.5</v>
      </c>
      <c r="AA1536">
        <v>1</v>
      </c>
      <c r="AB1536">
        <v>0.8</v>
      </c>
      <c r="AG1536">
        <v>0</v>
      </c>
      <c r="AH1536">
        <v>1</v>
      </c>
      <c r="AI1536" t="s">
        <v>5768</v>
      </c>
      <c r="AJ1536" t="s">
        <v>216</v>
      </c>
      <c r="AK1536" t="s">
        <v>238</v>
      </c>
      <c r="AM1536">
        <v>1</v>
      </c>
      <c r="AV1536">
        <v>1</v>
      </c>
      <c r="AX1536">
        <v>0.25</v>
      </c>
      <c r="BE1536" t="s">
        <v>5767</v>
      </c>
      <c r="BK1536" t="s">
        <v>953</v>
      </c>
      <c r="BL1536" t="s">
        <v>5766</v>
      </c>
      <c r="BN1536" t="s">
        <v>217</v>
      </c>
      <c r="BO1536" t="s">
        <v>218</v>
      </c>
      <c r="BP1536" t="s">
        <v>239</v>
      </c>
      <c r="BQ1536" t="s">
        <v>220</v>
      </c>
      <c r="BT1536">
        <v>1</v>
      </c>
    </row>
    <row r="1537" spans="1:72">
      <c r="A1537" t="s">
        <v>5769</v>
      </c>
      <c r="B1537" t="s">
        <v>213</v>
      </c>
      <c r="C1537">
        <v>1</v>
      </c>
      <c r="F1537" t="s">
        <v>5769</v>
      </c>
      <c r="G1537">
        <v>1</v>
      </c>
      <c r="K1537">
        <v>35000</v>
      </c>
      <c r="M1537">
        <v>750</v>
      </c>
      <c r="O1537">
        <v>1500</v>
      </c>
      <c r="Q1537">
        <v>0</v>
      </c>
      <c r="Y1537">
        <v>0.05</v>
      </c>
      <c r="Z1537">
        <v>3.5</v>
      </c>
      <c r="AA1537">
        <v>3</v>
      </c>
      <c r="AB1537">
        <v>0.7</v>
      </c>
      <c r="AG1537">
        <v>0</v>
      </c>
      <c r="AH1537">
        <v>1</v>
      </c>
      <c r="AI1537" t="s">
        <v>5770</v>
      </c>
      <c r="AJ1537" t="s">
        <v>216</v>
      </c>
      <c r="AK1537" t="s">
        <v>238</v>
      </c>
      <c r="AM1537">
        <v>1</v>
      </c>
      <c r="AV1537">
        <v>1</v>
      </c>
      <c r="AX1537">
        <v>0.25</v>
      </c>
      <c r="BE1537" t="s">
        <v>5769</v>
      </c>
      <c r="BK1537" t="s">
        <v>953</v>
      </c>
      <c r="BL1537" t="s">
        <v>5766</v>
      </c>
      <c r="BN1537" t="s">
        <v>217</v>
      </c>
      <c r="BO1537" t="s">
        <v>218</v>
      </c>
      <c r="BP1537" t="s">
        <v>239</v>
      </c>
      <c r="BQ1537" t="s">
        <v>220</v>
      </c>
      <c r="BT1537">
        <v>1</v>
      </c>
    </row>
    <row r="1538" spans="1:72">
      <c r="A1538" t="s">
        <v>5771</v>
      </c>
      <c r="B1538" t="s">
        <v>213</v>
      </c>
      <c r="C1538">
        <v>1</v>
      </c>
      <c r="F1538" t="s">
        <v>5771</v>
      </c>
      <c r="G1538">
        <v>1</v>
      </c>
      <c r="K1538">
        <v>40000</v>
      </c>
      <c r="M1538">
        <v>750</v>
      </c>
      <c r="O1538">
        <v>1750</v>
      </c>
      <c r="Q1538">
        <v>0</v>
      </c>
      <c r="Y1538">
        <v>0.05</v>
      </c>
      <c r="Z1538">
        <v>3.5</v>
      </c>
      <c r="AA1538">
        <v>3</v>
      </c>
      <c r="AB1538">
        <v>0.7</v>
      </c>
      <c r="AG1538">
        <v>0</v>
      </c>
      <c r="AH1538">
        <v>1</v>
      </c>
      <c r="AI1538" t="s">
        <v>5772</v>
      </c>
      <c r="AJ1538" t="s">
        <v>216</v>
      </c>
      <c r="AK1538" t="s">
        <v>238</v>
      </c>
      <c r="AM1538">
        <v>1</v>
      </c>
      <c r="AV1538">
        <v>1</v>
      </c>
      <c r="AX1538">
        <v>0.25</v>
      </c>
      <c r="BE1538" t="s">
        <v>5771</v>
      </c>
      <c r="BK1538" t="s">
        <v>953</v>
      </c>
      <c r="BL1538" t="s">
        <v>5766</v>
      </c>
      <c r="BN1538" t="s">
        <v>217</v>
      </c>
      <c r="BO1538" t="s">
        <v>218</v>
      </c>
      <c r="BP1538" t="s">
        <v>239</v>
      </c>
      <c r="BQ1538" t="s">
        <v>220</v>
      </c>
      <c r="BT1538">
        <v>1</v>
      </c>
    </row>
    <row r="1539" spans="1:72">
      <c r="A1539" t="s">
        <v>5773</v>
      </c>
      <c r="B1539" t="s">
        <v>213</v>
      </c>
      <c r="C1539">
        <v>1</v>
      </c>
      <c r="F1539" t="s">
        <v>5773</v>
      </c>
      <c r="G1539">
        <v>1</v>
      </c>
      <c r="K1539">
        <v>27000</v>
      </c>
      <c r="M1539">
        <v>320</v>
      </c>
      <c r="O1539">
        <v>50</v>
      </c>
      <c r="Q1539">
        <v>0</v>
      </c>
      <c r="Y1539">
        <v>0.05</v>
      </c>
      <c r="Z1539">
        <v>3</v>
      </c>
      <c r="AA1539">
        <v>2</v>
      </c>
      <c r="AB1539">
        <v>0.9</v>
      </c>
      <c r="AG1539">
        <v>0</v>
      </c>
      <c r="AH1539">
        <v>1</v>
      </c>
      <c r="AI1539" t="s">
        <v>5774</v>
      </c>
      <c r="AJ1539" t="s">
        <v>216</v>
      </c>
      <c r="AK1539" t="s">
        <v>288</v>
      </c>
      <c r="AM1539">
        <v>1</v>
      </c>
      <c r="AV1539">
        <v>1</v>
      </c>
      <c r="AX1539">
        <v>0.25</v>
      </c>
      <c r="BE1539" t="s">
        <v>5773</v>
      </c>
      <c r="BK1539" t="s">
        <v>959</v>
      </c>
      <c r="BL1539" t="s">
        <v>5775</v>
      </c>
      <c r="BN1539" t="s">
        <v>217</v>
      </c>
      <c r="BO1539" t="s">
        <v>2618</v>
      </c>
      <c r="BP1539" t="s">
        <v>2619</v>
      </c>
      <c r="BQ1539" t="s">
        <v>3157</v>
      </c>
      <c r="BT1539">
        <v>1</v>
      </c>
    </row>
    <row r="1540" spans="1:72">
      <c r="A1540" t="s">
        <v>5776</v>
      </c>
      <c r="B1540" t="s">
        <v>213</v>
      </c>
      <c r="C1540">
        <v>1</v>
      </c>
      <c r="F1540" t="s">
        <v>5776</v>
      </c>
      <c r="G1540">
        <v>1</v>
      </c>
      <c r="K1540">
        <v>31000</v>
      </c>
      <c r="M1540">
        <v>420</v>
      </c>
      <c r="O1540">
        <v>50</v>
      </c>
      <c r="Q1540">
        <v>0</v>
      </c>
      <c r="Y1540">
        <v>0.05</v>
      </c>
      <c r="Z1540">
        <v>3</v>
      </c>
      <c r="AA1540">
        <v>2</v>
      </c>
      <c r="AB1540">
        <v>0.9</v>
      </c>
      <c r="AG1540">
        <v>0</v>
      </c>
      <c r="AH1540">
        <v>1</v>
      </c>
      <c r="AI1540" t="s">
        <v>5777</v>
      </c>
      <c r="AJ1540" t="s">
        <v>216</v>
      </c>
      <c r="AK1540" t="s">
        <v>288</v>
      </c>
      <c r="AM1540">
        <v>1</v>
      </c>
      <c r="AV1540">
        <v>1</v>
      </c>
      <c r="AX1540">
        <v>0.25</v>
      </c>
      <c r="BE1540" t="s">
        <v>5776</v>
      </c>
      <c r="BK1540" t="s">
        <v>959</v>
      </c>
      <c r="BL1540" t="s">
        <v>5775</v>
      </c>
      <c r="BN1540" t="s">
        <v>217</v>
      </c>
      <c r="BO1540" t="s">
        <v>2618</v>
      </c>
      <c r="BP1540" t="s">
        <v>2619</v>
      </c>
      <c r="BQ1540" t="s">
        <v>3157</v>
      </c>
      <c r="BT1540">
        <v>1</v>
      </c>
    </row>
    <row r="1541" spans="1:72">
      <c r="A1541" t="s">
        <v>5778</v>
      </c>
      <c r="B1541" t="s">
        <v>213</v>
      </c>
      <c r="C1541">
        <v>1</v>
      </c>
      <c r="F1541" t="s">
        <v>5778</v>
      </c>
      <c r="G1541">
        <v>1</v>
      </c>
      <c r="K1541">
        <v>28000</v>
      </c>
      <c r="M1541">
        <v>500</v>
      </c>
      <c r="O1541">
        <v>150</v>
      </c>
      <c r="Q1541">
        <v>50</v>
      </c>
      <c r="Y1541">
        <v>0.05</v>
      </c>
      <c r="Z1541">
        <v>4</v>
      </c>
      <c r="AA1541">
        <v>2</v>
      </c>
      <c r="AB1541">
        <v>0.8</v>
      </c>
      <c r="AG1541">
        <v>0</v>
      </c>
      <c r="AH1541">
        <v>1</v>
      </c>
      <c r="AI1541" t="s">
        <v>5779</v>
      </c>
      <c r="AJ1541" t="s">
        <v>216</v>
      </c>
      <c r="AK1541" t="s">
        <v>5780</v>
      </c>
      <c r="AM1541">
        <v>1</v>
      </c>
      <c r="AV1541">
        <v>1</v>
      </c>
      <c r="AX1541">
        <v>0.25</v>
      </c>
      <c r="BE1541" t="s">
        <v>5778</v>
      </c>
      <c r="BK1541" t="s">
        <v>959</v>
      </c>
      <c r="BL1541" t="s">
        <v>5781</v>
      </c>
      <c r="BN1541" t="s">
        <v>217</v>
      </c>
      <c r="BO1541" t="s">
        <v>218</v>
      </c>
      <c r="BP1541" t="s">
        <v>239</v>
      </c>
      <c r="BQ1541" t="s">
        <v>220</v>
      </c>
      <c r="BT1541">
        <v>1</v>
      </c>
    </row>
    <row r="1542" spans="1:72">
      <c r="A1542" t="s">
        <v>5782</v>
      </c>
      <c r="B1542" t="s">
        <v>213</v>
      </c>
      <c r="C1542">
        <v>1</v>
      </c>
      <c r="F1542" t="s">
        <v>5782</v>
      </c>
      <c r="G1542">
        <v>1</v>
      </c>
      <c r="K1542">
        <v>33000</v>
      </c>
      <c r="M1542">
        <v>650</v>
      </c>
      <c r="O1542">
        <v>150</v>
      </c>
      <c r="Q1542">
        <v>50</v>
      </c>
      <c r="Y1542">
        <v>0.05</v>
      </c>
      <c r="Z1542">
        <v>4</v>
      </c>
      <c r="AA1542">
        <v>2</v>
      </c>
      <c r="AB1542">
        <v>0.8</v>
      </c>
      <c r="AG1542">
        <v>0</v>
      </c>
      <c r="AH1542">
        <v>1</v>
      </c>
      <c r="AI1542" t="s">
        <v>5783</v>
      </c>
      <c r="AJ1542" t="s">
        <v>216</v>
      </c>
      <c r="AK1542" t="s">
        <v>969</v>
      </c>
      <c r="AM1542">
        <v>1</v>
      </c>
      <c r="AV1542">
        <v>1</v>
      </c>
      <c r="AX1542">
        <v>0.25</v>
      </c>
      <c r="BE1542" t="s">
        <v>5782</v>
      </c>
      <c r="BK1542" t="s">
        <v>959</v>
      </c>
      <c r="BL1542" t="s">
        <v>5781</v>
      </c>
      <c r="BN1542" t="s">
        <v>217</v>
      </c>
      <c r="BO1542" t="s">
        <v>218</v>
      </c>
      <c r="BP1542" t="s">
        <v>239</v>
      </c>
      <c r="BQ1542" t="s">
        <v>220</v>
      </c>
      <c r="BT1542">
        <v>1</v>
      </c>
    </row>
    <row r="1543" spans="1:72">
      <c r="A1543" t="s">
        <v>5784</v>
      </c>
      <c r="B1543" t="s">
        <v>213</v>
      </c>
      <c r="C1543">
        <v>1</v>
      </c>
      <c r="F1543" t="s">
        <v>5784</v>
      </c>
      <c r="G1543">
        <v>1</v>
      </c>
      <c r="K1543">
        <v>22000</v>
      </c>
      <c r="M1543">
        <v>450</v>
      </c>
      <c r="O1543">
        <v>600</v>
      </c>
      <c r="Q1543">
        <v>10</v>
      </c>
      <c r="Y1543">
        <v>0.05</v>
      </c>
      <c r="Z1543">
        <v>2.7</v>
      </c>
      <c r="AA1543">
        <v>2</v>
      </c>
      <c r="AB1543">
        <v>1</v>
      </c>
      <c r="AG1543">
        <v>0</v>
      </c>
      <c r="AH1543">
        <v>1</v>
      </c>
      <c r="AI1543" t="s">
        <v>5785</v>
      </c>
      <c r="AJ1543" t="s">
        <v>216</v>
      </c>
      <c r="AK1543" t="s">
        <v>238</v>
      </c>
      <c r="AM1543">
        <v>1</v>
      </c>
      <c r="AV1543">
        <v>1</v>
      </c>
      <c r="AX1543">
        <v>0.25</v>
      </c>
      <c r="BE1543" t="s">
        <v>5784</v>
      </c>
      <c r="BK1543" t="s">
        <v>1012</v>
      </c>
      <c r="BL1543" t="s">
        <v>5766</v>
      </c>
      <c r="BN1543" t="s">
        <v>217</v>
      </c>
      <c r="BO1543" t="s">
        <v>218</v>
      </c>
      <c r="BP1543" t="s">
        <v>239</v>
      </c>
      <c r="BQ1543" t="s">
        <v>220</v>
      </c>
      <c r="BT1543">
        <v>1</v>
      </c>
    </row>
    <row r="1544" spans="1:72">
      <c r="A1544" t="s">
        <v>5786</v>
      </c>
      <c r="B1544" t="s">
        <v>213</v>
      </c>
      <c r="C1544">
        <v>1</v>
      </c>
      <c r="F1544" t="s">
        <v>5786</v>
      </c>
      <c r="G1544">
        <v>1</v>
      </c>
      <c r="K1544">
        <v>30000</v>
      </c>
      <c r="M1544">
        <v>450</v>
      </c>
      <c r="O1544">
        <v>600</v>
      </c>
      <c r="Q1544">
        <v>10</v>
      </c>
      <c r="Y1544">
        <v>0.05</v>
      </c>
      <c r="Z1544">
        <v>2.7</v>
      </c>
      <c r="AA1544">
        <v>2</v>
      </c>
      <c r="AB1544">
        <v>1</v>
      </c>
      <c r="AG1544">
        <v>0</v>
      </c>
      <c r="AH1544">
        <v>1</v>
      </c>
      <c r="AI1544" t="s">
        <v>5787</v>
      </c>
      <c r="AJ1544" t="s">
        <v>216</v>
      </c>
      <c r="AK1544" t="s">
        <v>238</v>
      </c>
      <c r="AM1544">
        <v>1</v>
      </c>
      <c r="AV1544">
        <v>1</v>
      </c>
      <c r="AX1544">
        <v>0.25</v>
      </c>
      <c r="BE1544" t="s">
        <v>5786</v>
      </c>
      <c r="BK1544" t="s">
        <v>1012</v>
      </c>
      <c r="BL1544" t="s">
        <v>5766</v>
      </c>
      <c r="BN1544" t="s">
        <v>217</v>
      </c>
      <c r="BO1544" t="s">
        <v>218</v>
      </c>
      <c r="BP1544" t="s">
        <v>239</v>
      </c>
      <c r="BQ1544" t="s">
        <v>220</v>
      </c>
      <c r="BT1544">
        <v>1</v>
      </c>
    </row>
    <row r="1545" spans="1:72">
      <c r="A1545" t="s">
        <v>5788</v>
      </c>
      <c r="B1545" t="s">
        <v>213</v>
      </c>
      <c r="C1545">
        <v>1</v>
      </c>
      <c r="F1545" t="s">
        <v>5788</v>
      </c>
      <c r="G1545">
        <v>1</v>
      </c>
      <c r="K1545">
        <v>42000</v>
      </c>
      <c r="M1545">
        <v>650</v>
      </c>
      <c r="O1545">
        <v>300</v>
      </c>
      <c r="Q1545">
        <v>99</v>
      </c>
      <c r="Y1545">
        <v>0.05</v>
      </c>
      <c r="Z1545">
        <v>5</v>
      </c>
      <c r="AA1545">
        <v>2</v>
      </c>
      <c r="AB1545">
        <v>0.6</v>
      </c>
      <c r="AG1545">
        <v>0</v>
      </c>
      <c r="AH1545">
        <v>1</v>
      </c>
      <c r="AI1545" t="s">
        <v>5789</v>
      </c>
      <c r="AJ1545" t="s">
        <v>216</v>
      </c>
      <c r="AK1545" t="s">
        <v>969</v>
      </c>
      <c r="AM1545">
        <v>1</v>
      </c>
      <c r="AV1545">
        <v>1</v>
      </c>
      <c r="AX1545">
        <v>0.25</v>
      </c>
      <c r="BE1545" t="s">
        <v>5788</v>
      </c>
      <c r="BK1545" t="s">
        <v>980</v>
      </c>
      <c r="BL1545" t="s">
        <v>5781</v>
      </c>
      <c r="BN1545" t="s">
        <v>217</v>
      </c>
      <c r="BO1545" t="s">
        <v>218</v>
      </c>
      <c r="BP1545" t="s">
        <v>239</v>
      </c>
      <c r="BQ1545" t="s">
        <v>220</v>
      </c>
      <c r="BT1545">
        <v>1</v>
      </c>
    </row>
    <row r="1546" spans="1:72">
      <c r="A1546" t="s">
        <v>5790</v>
      </c>
      <c r="B1546" t="s">
        <v>213</v>
      </c>
      <c r="C1546">
        <v>1</v>
      </c>
      <c r="F1546" t="s">
        <v>5790</v>
      </c>
      <c r="G1546">
        <v>1</v>
      </c>
      <c r="K1546">
        <v>50000</v>
      </c>
      <c r="M1546">
        <v>650</v>
      </c>
      <c r="O1546">
        <v>300</v>
      </c>
      <c r="Q1546">
        <v>99</v>
      </c>
      <c r="Y1546">
        <v>0.05</v>
      </c>
      <c r="Z1546">
        <v>5</v>
      </c>
      <c r="AA1546">
        <v>2</v>
      </c>
      <c r="AB1546">
        <v>0.6</v>
      </c>
      <c r="AG1546">
        <v>0</v>
      </c>
      <c r="AH1546">
        <v>1</v>
      </c>
      <c r="AI1546" t="s">
        <v>5791</v>
      </c>
      <c r="AJ1546" t="s">
        <v>216</v>
      </c>
      <c r="AK1546" t="s">
        <v>969</v>
      </c>
      <c r="AM1546">
        <v>1</v>
      </c>
      <c r="AV1546">
        <v>1</v>
      </c>
      <c r="AX1546">
        <v>0.25</v>
      </c>
      <c r="BE1546" t="s">
        <v>5790</v>
      </c>
      <c r="BK1546" t="s">
        <v>980</v>
      </c>
      <c r="BL1546" t="s">
        <v>5781</v>
      </c>
      <c r="BN1546" t="s">
        <v>217</v>
      </c>
      <c r="BO1546" t="s">
        <v>218</v>
      </c>
      <c r="BP1546" t="s">
        <v>239</v>
      </c>
      <c r="BQ1546" t="s">
        <v>220</v>
      </c>
      <c r="BT1546">
        <v>1</v>
      </c>
    </row>
    <row r="1547" spans="1:72">
      <c r="A1547" t="s">
        <v>5792</v>
      </c>
      <c r="B1547" t="s">
        <v>213</v>
      </c>
      <c r="C1547">
        <v>1</v>
      </c>
      <c r="F1547" t="s">
        <v>5792</v>
      </c>
      <c r="G1547">
        <v>1</v>
      </c>
      <c r="K1547">
        <v>55000</v>
      </c>
      <c r="M1547">
        <v>1350</v>
      </c>
      <c r="O1547">
        <v>99999</v>
      </c>
      <c r="Q1547">
        <v>10</v>
      </c>
      <c r="Y1547">
        <v>0.05</v>
      </c>
      <c r="Z1547">
        <v>3.5</v>
      </c>
      <c r="AA1547">
        <v>3</v>
      </c>
      <c r="AB1547">
        <v>0.8</v>
      </c>
      <c r="AG1547">
        <v>0</v>
      </c>
      <c r="AH1547">
        <v>1</v>
      </c>
      <c r="AI1547" t="s">
        <v>5793</v>
      </c>
      <c r="AJ1547" t="s">
        <v>216</v>
      </c>
      <c r="AK1547" t="s">
        <v>238</v>
      </c>
      <c r="AM1547">
        <v>1</v>
      </c>
      <c r="AV1547">
        <v>1</v>
      </c>
      <c r="AX1547">
        <v>0.25</v>
      </c>
      <c r="BE1547" t="s">
        <v>5792</v>
      </c>
      <c r="BK1547" t="s">
        <v>1012</v>
      </c>
      <c r="BL1547" t="s">
        <v>5766</v>
      </c>
      <c r="BN1547" t="s">
        <v>217</v>
      </c>
      <c r="BO1547" t="s">
        <v>218</v>
      </c>
      <c r="BP1547" t="s">
        <v>239</v>
      </c>
      <c r="BQ1547" t="s">
        <v>220</v>
      </c>
      <c r="BT1547">
        <v>1</v>
      </c>
    </row>
    <row r="1548" spans="1:72">
      <c r="A1548" t="s">
        <v>5794</v>
      </c>
      <c r="B1548" t="s">
        <v>213</v>
      </c>
      <c r="C1548">
        <v>1</v>
      </c>
      <c r="F1548" t="s">
        <v>5794</v>
      </c>
      <c r="G1548">
        <v>1</v>
      </c>
      <c r="K1548">
        <v>65000</v>
      </c>
      <c r="M1548">
        <v>1600</v>
      </c>
      <c r="O1548">
        <v>99999</v>
      </c>
      <c r="Q1548">
        <v>10</v>
      </c>
      <c r="Y1548">
        <v>0.05</v>
      </c>
      <c r="Z1548">
        <v>3.5</v>
      </c>
      <c r="AA1548">
        <v>3</v>
      </c>
      <c r="AB1548">
        <v>0.8</v>
      </c>
      <c r="AG1548">
        <v>0</v>
      </c>
      <c r="AH1548">
        <v>1</v>
      </c>
      <c r="AI1548" t="s">
        <v>5795</v>
      </c>
      <c r="AJ1548" t="s">
        <v>216</v>
      </c>
      <c r="AK1548" t="s">
        <v>238</v>
      </c>
      <c r="AM1548">
        <v>1</v>
      </c>
      <c r="AV1548">
        <v>1</v>
      </c>
      <c r="AX1548">
        <v>0.25</v>
      </c>
      <c r="BE1548" t="s">
        <v>5794</v>
      </c>
      <c r="BK1548" t="s">
        <v>1012</v>
      </c>
      <c r="BL1548" t="s">
        <v>5766</v>
      </c>
      <c r="BN1548" t="s">
        <v>217</v>
      </c>
      <c r="BO1548" t="s">
        <v>218</v>
      </c>
      <c r="BP1548" t="s">
        <v>239</v>
      </c>
      <c r="BQ1548" t="s">
        <v>220</v>
      </c>
      <c r="BT1548">
        <v>1</v>
      </c>
    </row>
    <row r="1549" spans="1:72">
      <c r="A1549" t="s">
        <v>5796</v>
      </c>
      <c r="B1549" t="s">
        <v>213</v>
      </c>
      <c r="C1549">
        <v>1</v>
      </c>
      <c r="F1549" t="s">
        <v>5796</v>
      </c>
      <c r="G1549">
        <v>1</v>
      </c>
      <c r="K1549">
        <v>20000</v>
      </c>
      <c r="M1549">
        <v>0</v>
      </c>
      <c r="O1549">
        <v>200</v>
      </c>
      <c r="Q1549">
        <v>0</v>
      </c>
      <c r="Y1549">
        <v>0.05</v>
      </c>
      <c r="Z1549">
        <v>1</v>
      </c>
      <c r="AA1549">
        <v>1</v>
      </c>
      <c r="AB1549">
        <v>1.4</v>
      </c>
      <c r="AG1549">
        <v>0</v>
      </c>
      <c r="AH1549">
        <v>1</v>
      </c>
      <c r="AI1549" t="s">
        <v>5797</v>
      </c>
      <c r="AJ1549" t="s">
        <v>216</v>
      </c>
      <c r="AM1549">
        <v>1</v>
      </c>
      <c r="AV1549">
        <v>1</v>
      </c>
      <c r="AX1549">
        <v>0.25</v>
      </c>
      <c r="BE1549" t="s">
        <v>5796</v>
      </c>
      <c r="BK1549" t="s">
        <v>1040</v>
      </c>
      <c r="BL1549" t="s">
        <v>5798</v>
      </c>
      <c r="BN1549" t="s">
        <v>217</v>
      </c>
      <c r="BO1549" t="s">
        <v>218</v>
      </c>
      <c r="BP1549" t="s">
        <v>239</v>
      </c>
      <c r="BQ1549" t="s">
        <v>220</v>
      </c>
      <c r="BT1549">
        <v>1</v>
      </c>
    </row>
    <row r="1550" spans="1:72">
      <c r="A1550" t="s">
        <v>5799</v>
      </c>
      <c r="B1550" t="s">
        <v>213</v>
      </c>
      <c r="C1550">
        <v>1</v>
      </c>
      <c r="F1550" t="s">
        <v>5799</v>
      </c>
      <c r="G1550">
        <v>1</v>
      </c>
      <c r="K1550">
        <v>20000</v>
      </c>
      <c r="M1550">
        <v>0</v>
      </c>
      <c r="O1550">
        <v>2000</v>
      </c>
      <c r="Q1550">
        <v>0</v>
      </c>
      <c r="Y1550">
        <v>0.05</v>
      </c>
      <c r="Z1550">
        <v>1</v>
      </c>
      <c r="AA1550">
        <v>1</v>
      </c>
      <c r="AB1550">
        <v>1.4</v>
      </c>
      <c r="AG1550">
        <v>0</v>
      </c>
      <c r="AH1550">
        <v>1</v>
      </c>
      <c r="AI1550" t="s">
        <v>5800</v>
      </c>
      <c r="AJ1550" t="s">
        <v>216</v>
      </c>
      <c r="AM1550">
        <v>1</v>
      </c>
      <c r="AV1550">
        <v>1</v>
      </c>
      <c r="AX1550">
        <v>0.25</v>
      </c>
      <c r="BE1550" t="s">
        <v>5799</v>
      </c>
      <c r="BK1550" t="s">
        <v>1040</v>
      </c>
      <c r="BL1550" t="s">
        <v>5798</v>
      </c>
      <c r="BN1550" t="s">
        <v>217</v>
      </c>
      <c r="BO1550" t="s">
        <v>218</v>
      </c>
      <c r="BP1550" t="s">
        <v>239</v>
      </c>
      <c r="BQ1550" t="s">
        <v>220</v>
      </c>
      <c r="BT1550">
        <v>1</v>
      </c>
    </row>
    <row r="1551" spans="1:72">
      <c r="A1551" t="s">
        <v>5801</v>
      </c>
      <c r="B1551" t="s">
        <v>213</v>
      </c>
      <c r="C1551">
        <v>1</v>
      </c>
      <c r="F1551" t="s">
        <v>5801</v>
      </c>
      <c r="G1551">
        <v>1</v>
      </c>
      <c r="K1551">
        <v>20000</v>
      </c>
      <c r="M1551">
        <v>0</v>
      </c>
      <c r="O1551">
        <v>1000</v>
      </c>
      <c r="Q1551">
        <v>30</v>
      </c>
      <c r="Y1551">
        <v>0.05</v>
      </c>
      <c r="Z1551">
        <v>1</v>
      </c>
      <c r="AA1551">
        <v>1</v>
      </c>
      <c r="AB1551">
        <v>1.4</v>
      </c>
      <c r="AG1551">
        <v>0</v>
      </c>
      <c r="AH1551">
        <v>1</v>
      </c>
      <c r="AI1551" t="s">
        <v>5802</v>
      </c>
      <c r="AJ1551" t="s">
        <v>216</v>
      </c>
      <c r="AM1551">
        <v>1</v>
      </c>
      <c r="AV1551">
        <v>1</v>
      </c>
      <c r="AX1551">
        <v>0.25</v>
      </c>
      <c r="BE1551" t="s">
        <v>5801</v>
      </c>
      <c r="BK1551" t="s">
        <v>1040</v>
      </c>
      <c r="BL1551" t="s">
        <v>5798</v>
      </c>
      <c r="BN1551" t="s">
        <v>217</v>
      </c>
      <c r="BO1551" t="s">
        <v>218</v>
      </c>
      <c r="BP1551" t="s">
        <v>239</v>
      </c>
      <c r="BQ1551" t="s">
        <v>220</v>
      </c>
      <c r="BT1551">
        <v>1</v>
      </c>
    </row>
    <row r="1552" spans="1:72">
      <c r="A1552" t="s">
        <v>5803</v>
      </c>
      <c r="B1552" t="s">
        <v>213</v>
      </c>
      <c r="C1552">
        <v>1</v>
      </c>
      <c r="F1552" t="s">
        <v>5803</v>
      </c>
      <c r="G1552">
        <v>1</v>
      </c>
      <c r="K1552">
        <v>20000</v>
      </c>
      <c r="M1552">
        <v>0</v>
      </c>
      <c r="O1552">
        <v>500</v>
      </c>
      <c r="Q1552">
        <v>60</v>
      </c>
      <c r="Y1552">
        <v>0.05</v>
      </c>
      <c r="Z1552">
        <v>1</v>
      </c>
      <c r="AA1552">
        <v>1</v>
      </c>
      <c r="AB1552">
        <v>1.4</v>
      </c>
      <c r="AG1552">
        <v>0</v>
      </c>
      <c r="AH1552">
        <v>1</v>
      </c>
      <c r="AI1552" t="s">
        <v>5804</v>
      </c>
      <c r="AJ1552" t="s">
        <v>216</v>
      </c>
      <c r="AM1552">
        <v>1</v>
      </c>
      <c r="AV1552">
        <v>1</v>
      </c>
      <c r="AX1552">
        <v>0.25</v>
      </c>
      <c r="BE1552" t="s">
        <v>5803</v>
      </c>
      <c r="BK1552" t="s">
        <v>1040</v>
      </c>
      <c r="BL1552" t="s">
        <v>5798</v>
      </c>
      <c r="BN1552" t="s">
        <v>217</v>
      </c>
      <c r="BO1552" t="s">
        <v>218</v>
      </c>
      <c r="BP1552" t="s">
        <v>239</v>
      </c>
      <c r="BQ1552" t="s">
        <v>220</v>
      </c>
      <c r="BT1552">
        <v>1</v>
      </c>
    </row>
    <row r="1553" spans="1:72">
      <c r="A1553" t="s">
        <v>5805</v>
      </c>
      <c r="B1553" t="s">
        <v>213</v>
      </c>
      <c r="C1553">
        <v>1</v>
      </c>
      <c r="F1553" t="s">
        <v>5805</v>
      </c>
      <c r="G1553">
        <v>1</v>
      </c>
      <c r="K1553">
        <v>20000</v>
      </c>
      <c r="M1553">
        <v>0</v>
      </c>
      <c r="O1553">
        <v>200</v>
      </c>
      <c r="Q1553">
        <v>90</v>
      </c>
      <c r="Y1553">
        <v>0.05</v>
      </c>
      <c r="Z1553">
        <v>1</v>
      </c>
      <c r="AA1553">
        <v>1</v>
      </c>
      <c r="AB1553">
        <v>1.4</v>
      </c>
      <c r="AG1553">
        <v>0</v>
      </c>
      <c r="AH1553">
        <v>1</v>
      </c>
      <c r="AI1553" t="s">
        <v>5806</v>
      </c>
      <c r="AJ1553" t="s">
        <v>216</v>
      </c>
      <c r="AM1553">
        <v>1</v>
      </c>
      <c r="AV1553">
        <v>1</v>
      </c>
      <c r="AX1553">
        <v>0.25</v>
      </c>
      <c r="BE1553" t="s">
        <v>5805</v>
      </c>
      <c r="BK1553" t="s">
        <v>1040</v>
      </c>
      <c r="BL1553" t="s">
        <v>5798</v>
      </c>
      <c r="BN1553" t="s">
        <v>217</v>
      </c>
      <c r="BO1553" t="s">
        <v>218</v>
      </c>
      <c r="BP1553" t="s">
        <v>239</v>
      </c>
      <c r="BQ1553" t="s">
        <v>220</v>
      </c>
      <c r="BT1553">
        <v>1</v>
      </c>
    </row>
    <row r="1554" spans="1:72">
      <c r="A1554" t="s">
        <v>5807</v>
      </c>
      <c r="B1554" t="s">
        <v>213</v>
      </c>
      <c r="C1554">
        <v>1</v>
      </c>
      <c r="F1554" t="s">
        <v>5807</v>
      </c>
      <c r="G1554">
        <v>1</v>
      </c>
      <c r="K1554">
        <v>25000</v>
      </c>
      <c r="M1554">
        <v>1500</v>
      </c>
      <c r="O1554">
        <v>1000</v>
      </c>
      <c r="Q1554">
        <v>40</v>
      </c>
      <c r="Y1554">
        <v>0.05</v>
      </c>
      <c r="Z1554">
        <v>2</v>
      </c>
      <c r="AA1554">
        <v>4</v>
      </c>
      <c r="AB1554">
        <v>0.7</v>
      </c>
      <c r="AG1554">
        <v>0</v>
      </c>
      <c r="AH1554">
        <v>1</v>
      </c>
      <c r="AI1554" t="s">
        <v>5808</v>
      </c>
      <c r="AJ1554" t="s">
        <v>216</v>
      </c>
      <c r="AK1554" t="s">
        <v>288</v>
      </c>
      <c r="AM1554">
        <v>1</v>
      </c>
      <c r="AN1554" s="1">
        <v>0.5</v>
      </c>
      <c r="AV1554">
        <v>1</v>
      </c>
      <c r="AX1554">
        <v>0.25</v>
      </c>
      <c r="BE1554" t="s">
        <v>5807</v>
      </c>
      <c r="BK1554" t="s">
        <v>1055</v>
      </c>
      <c r="BL1554" t="s">
        <v>5775</v>
      </c>
      <c r="BN1554" t="s">
        <v>217</v>
      </c>
      <c r="BO1554" t="s">
        <v>218</v>
      </c>
      <c r="BP1554" t="s">
        <v>239</v>
      </c>
      <c r="BQ1554" t="s">
        <v>220</v>
      </c>
      <c r="BT1554">
        <v>1</v>
      </c>
    </row>
    <row r="1555" spans="1:73">
      <c r="A1555" t="s">
        <v>5809</v>
      </c>
      <c r="B1555" t="s">
        <v>213</v>
      </c>
      <c r="C1555">
        <v>1</v>
      </c>
      <c r="F1555" t="s">
        <v>5809</v>
      </c>
      <c r="G1555">
        <v>1</v>
      </c>
      <c r="K1555">
        <v>150000</v>
      </c>
      <c r="M1555">
        <v>650</v>
      </c>
      <c r="O1555">
        <v>600</v>
      </c>
      <c r="Q1555">
        <v>20</v>
      </c>
      <c r="Y1555">
        <v>0.05</v>
      </c>
      <c r="Z1555">
        <v>6</v>
      </c>
      <c r="AA1555">
        <v>7</v>
      </c>
      <c r="AB1555">
        <v>0.7</v>
      </c>
      <c r="AG1555">
        <v>0</v>
      </c>
      <c r="AH1555">
        <v>1</v>
      </c>
      <c r="AI1555" t="s">
        <v>5810</v>
      </c>
      <c r="AJ1555" t="s">
        <v>216</v>
      </c>
      <c r="AK1555" t="s">
        <v>5811</v>
      </c>
      <c r="AM1555">
        <v>1</v>
      </c>
      <c r="AV1555">
        <v>1</v>
      </c>
      <c r="AX1555">
        <v>0.25</v>
      </c>
      <c r="BE1555" t="s">
        <v>5809</v>
      </c>
      <c r="BK1555" t="s">
        <v>1351</v>
      </c>
      <c r="BL1555" t="s">
        <v>5775</v>
      </c>
      <c r="BN1555" t="s">
        <v>217</v>
      </c>
      <c r="BO1555" t="s">
        <v>218</v>
      </c>
      <c r="BP1555" t="s">
        <v>239</v>
      </c>
      <c r="BQ1555" t="s">
        <v>220</v>
      </c>
      <c r="BT1555">
        <v>1</v>
      </c>
      <c r="BU1555" t="s">
        <v>218</v>
      </c>
    </row>
    <row r="1556" spans="1:72">
      <c r="A1556" t="s">
        <v>5812</v>
      </c>
      <c r="B1556" t="s">
        <v>213</v>
      </c>
      <c r="C1556">
        <v>1</v>
      </c>
      <c r="F1556" t="s">
        <v>5812</v>
      </c>
      <c r="G1556">
        <v>1</v>
      </c>
      <c r="K1556">
        <v>1600</v>
      </c>
      <c r="M1556">
        <v>280</v>
      </c>
      <c r="O1556">
        <v>0</v>
      </c>
      <c r="Q1556">
        <v>40</v>
      </c>
      <c r="Y1556">
        <v>0.05</v>
      </c>
      <c r="Z1556">
        <v>2</v>
      </c>
      <c r="AA1556">
        <v>1</v>
      </c>
      <c r="AB1556">
        <v>1</v>
      </c>
      <c r="AG1556">
        <v>0</v>
      </c>
      <c r="AH1556">
        <v>1</v>
      </c>
      <c r="AI1556" t="s">
        <v>5813</v>
      </c>
      <c r="AJ1556" t="s">
        <v>216</v>
      </c>
      <c r="AK1556" t="s">
        <v>238</v>
      </c>
      <c r="AM1556">
        <v>1</v>
      </c>
      <c r="AV1556">
        <v>1</v>
      </c>
      <c r="AX1556">
        <v>0.25</v>
      </c>
      <c r="BE1556" t="s">
        <v>5812</v>
      </c>
      <c r="BK1556" t="s">
        <v>953</v>
      </c>
      <c r="BL1556" t="s">
        <v>5814</v>
      </c>
      <c r="BN1556" t="s">
        <v>3443</v>
      </c>
      <c r="BO1556" t="s">
        <v>2618</v>
      </c>
      <c r="BP1556" t="s">
        <v>2619</v>
      </c>
      <c r="BQ1556" t="s">
        <v>3157</v>
      </c>
      <c r="BT1556">
        <v>1</v>
      </c>
    </row>
    <row r="1557" spans="1:72">
      <c r="A1557" t="s">
        <v>5815</v>
      </c>
      <c r="B1557" t="s">
        <v>213</v>
      </c>
      <c r="C1557">
        <v>1</v>
      </c>
      <c r="F1557" t="s">
        <v>5815</v>
      </c>
      <c r="G1557">
        <v>1</v>
      </c>
      <c r="K1557">
        <v>2000</v>
      </c>
      <c r="M1557">
        <v>320</v>
      </c>
      <c r="O1557">
        <v>0</v>
      </c>
      <c r="Q1557">
        <v>40</v>
      </c>
      <c r="Y1557">
        <v>0.05</v>
      </c>
      <c r="Z1557">
        <v>2</v>
      </c>
      <c r="AA1557">
        <v>1</v>
      </c>
      <c r="AB1557">
        <v>1</v>
      </c>
      <c r="AG1557">
        <v>0</v>
      </c>
      <c r="AH1557">
        <v>1</v>
      </c>
      <c r="AI1557" t="s">
        <v>5816</v>
      </c>
      <c r="AJ1557" t="s">
        <v>216</v>
      </c>
      <c r="AK1557" t="s">
        <v>238</v>
      </c>
      <c r="AM1557">
        <v>1</v>
      </c>
      <c r="AV1557">
        <v>1</v>
      </c>
      <c r="AX1557">
        <v>0.25</v>
      </c>
      <c r="BE1557" t="s">
        <v>5815</v>
      </c>
      <c r="BK1557" t="s">
        <v>953</v>
      </c>
      <c r="BL1557" t="s">
        <v>5814</v>
      </c>
      <c r="BN1557" t="s">
        <v>3443</v>
      </c>
      <c r="BO1557" t="s">
        <v>2618</v>
      </c>
      <c r="BP1557" t="s">
        <v>2619</v>
      </c>
      <c r="BQ1557" t="s">
        <v>3157</v>
      </c>
      <c r="BT1557">
        <v>1</v>
      </c>
    </row>
    <row r="1558" spans="1:72">
      <c r="A1558" t="s">
        <v>5817</v>
      </c>
      <c r="B1558" t="s">
        <v>213</v>
      </c>
      <c r="C1558">
        <v>1</v>
      </c>
      <c r="F1558" t="s">
        <v>5817</v>
      </c>
      <c r="G1558">
        <v>1</v>
      </c>
      <c r="K1558">
        <v>6500</v>
      </c>
      <c r="M1558">
        <v>400</v>
      </c>
      <c r="O1558">
        <v>0</v>
      </c>
      <c r="Q1558">
        <v>20</v>
      </c>
      <c r="Y1558">
        <v>0.05</v>
      </c>
      <c r="Z1558">
        <v>3.5</v>
      </c>
      <c r="AA1558">
        <v>0</v>
      </c>
      <c r="AB1558">
        <v>0.8</v>
      </c>
      <c r="AG1558">
        <v>0</v>
      </c>
      <c r="AH1558">
        <v>1</v>
      </c>
      <c r="AI1558" t="s">
        <v>5818</v>
      </c>
      <c r="AJ1558" t="s">
        <v>216</v>
      </c>
      <c r="AK1558" t="s">
        <v>238</v>
      </c>
      <c r="AM1558">
        <v>1</v>
      </c>
      <c r="AV1558">
        <v>1</v>
      </c>
      <c r="AX1558">
        <v>0.25</v>
      </c>
      <c r="BE1558" t="s">
        <v>5817</v>
      </c>
      <c r="BK1558" t="s">
        <v>953</v>
      </c>
      <c r="BL1558" t="s">
        <v>5814</v>
      </c>
      <c r="BN1558" t="s">
        <v>3354</v>
      </c>
      <c r="BO1558" t="s">
        <v>1959</v>
      </c>
      <c r="BP1558" t="s">
        <v>1960</v>
      </c>
      <c r="BQ1558" t="s">
        <v>3322</v>
      </c>
      <c r="BT1558">
        <v>1</v>
      </c>
    </row>
    <row r="1559" spans="1:72">
      <c r="A1559" t="s">
        <v>5819</v>
      </c>
      <c r="B1559" t="s">
        <v>213</v>
      </c>
      <c r="C1559">
        <v>1</v>
      </c>
      <c r="F1559" t="s">
        <v>5819</v>
      </c>
      <c r="G1559">
        <v>1</v>
      </c>
      <c r="K1559">
        <v>8000</v>
      </c>
      <c r="M1559">
        <v>480</v>
      </c>
      <c r="O1559">
        <v>0</v>
      </c>
      <c r="Q1559">
        <v>20</v>
      </c>
      <c r="Y1559">
        <v>0.05</v>
      </c>
      <c r="Z1559">
        <v>3.5</v>
      </c>
      <c r="AA1559">
        <v>0</v>
      </c>
      <c r="AB1559">
        <v>0.8</v>
      </c>
      <c r="AG1559">
        <v>0</v>
      </c>
      <c r="AH1559">
        <v>1</v>
      </c>
      <c r="AI1559" t="s">
        <v>5820</v>
      </c>
      <c r="AJ1559" t="s">
        <v>216</v>
      </c>
      <c r="AK1559" t="s">
        <v>238</v>
      </c>
      <c r="AM1559">
        <v>1</v>
      </c>
      <c r="AV1559">
        <v>1</v>
      </c>
      <c r="AX1559">
        <v>0.25</v>
      </c>
      <c r="BE1559" t="s">
        <v>5819</v>
      </c>
      <c r="BK1559" t="s">
        <v>953</v>
      </c>
      <c r="BL1559" t="s">
        <v>5814</v>
      </c>
      <c r="BN1559" t="s">
        <v>3354</v>
      </c>
      <c r="BO1559" t="s">
        <v>1959</v>
      </c>
      <c r="BP1559" t="s">
        <v>1960</v>
      </c>
      <c r="BQ1559" t="s">
        <v>3322</v>
      </c>
      <c r="BT1559">
        <v>1</v>
      </c>
    </row>
    <row r="1560" spans="1:72">
      <c r="A1560" t="s">
        <v>5821</v>
      </c>
      <c r="B1560" t="s">
        <v>213</v>
      </c>
      <c r="C1560">
        <v>1</v>
      </c>
      <c r="F1560" t="s">
        <v>5821</v>
      </c>
      <c r="G1560">
        <v>1</v>
      </c>
      <c r="K1560">
        <v>4500</v>
      </c>
      <c r="M1560">
        <v>400</v>
      </c>
      <c r="O1560">
        <v>800</v>
      </c>
      <c r="Q1560">
        <v>0</v>
      </c>
      <c r="Y1560">
        <v>0.05</v>
      </c>
      <c r="Z1560">
        <v>5</v>
      </c>
      <c r="AA1560">
        <v>3</v>
      </c>
      <c r="AB1560">
        <v>0.35</v>
      </c>
      <c r="AG1560">
        <v>0</v>
      </c>
      <c r="AH1560">
        <v>1</v>
      </c>
      <c r="AI1560" t="s">
        <v>5822</v>
      </c>
      <c r="AJ1560" t="s">
        <v>216</v>
      </c>
      <c r="AK1560" t="s">
        <v>288</v>
      </c>
      <c r="AM1560">
        <v>1</v>
      </c>
      <c r="AV1560">
        <v>1</v>
      </c>
      <c r="AX1560">
        <v>0.25</v>
      </c>
      <c r="BE1560" t="s">
        <v>5821</v>
      </c>
      <c r="BK1560" t="s">
        <v>959</v>
      </c>
      <c r="BL1560" t="s">
        <v>5823</v>
      </c>
      <c r="BN1560" t="s">
        <v>217</v>
      </c>
      <c r="BO1560" t="s">
        <v>218</v>
      </c>
      <c r="BP1560"/>
      <c r="BQ1560" t="s">
        <v>220</v>
      </c>
      <c r="BT1560">
        <v>1</v>
      </c>
    </row>
    <row r="1561" spans="1:72">
      <c r="A1561" t="s">
        <v>5824</v>
      </c>
      <c r="B1561" t="s">
        <v>213</v>
      </c>
      <c r="C1561">
        <v>1</v>
      </c>
      <c r="F1561" t="s">
        <v>5824</v>
      </c>
      <c r="G1561">
        <v>1</v>
      </c>
      <c r="K1561">
        <v>4500</v>
      </c>
      <c r="M1561">
        <v>400</v>
      </c>
      <c r="O1561">
        <v>800</v>
      </c>
      <c r="Q1561">
        <v>0</v>
      </c>
      <c r="Y1561">
        <v>0.05</v>
      </c>
      <c r="Z1561">
        <v>5</v>
      </c>
      <c r="AA1561">
        <v>3</v>
      </c>
      <c r="AB1561">
        <v>0.35</v>
      </c>
      <c r="AG1561">
        <v>0</v>
      </c>
      <c r="AH1561">
        <v>1</v>
      </c>
      <c r="AI1561" t="s">
        <v>5825</v>
      </c>
      <c r="AJ1561" t="s">
        <v>216</v>
      </c>
      <c r="AK1561" t="s">
        <v>288</v>
      </c>
      <c r="AM1561">
        <v>1</v>
      </c>
      <c r="AV1561">
        <v>1</v>
      </c>
      <c r="AX1561">
        <v>0.25</v>
      </c>
      <c r="BE1561" t="s">
        <v>5824</v>
      </c>
      <c r="BK1561" t="s">
        <v>959</v>
      </c>
      <c r="BL1561" t="s">
        <v>5823</v>
      </c>
      <c r="BN1561" t="s">
        <v>217</v>
      </c>
      <c r="BO1561" t="s">
        <v>218</v>
      </c>
      <c r="BP1561"/>
      <c r="BQ1561" t="s">
        <v>220</v>
      </c>
      <c r="BT1561">
        <v>1</v>
      </c>
    </row>
    <row r="1562" spans="1:72">
      <c r="A1562" t="s">
        <v>5826</v>
      </c>
      <c r="B1562" t="s">
        <v>213</v>
      </c>
      <c r="C1562">
        <v>1</v>
      </c>
      <c r="F1562" t="s">
        <v>5826</v>
      </c>
      <c r="G1562">
        <v>1</v>
      </c>
      <c r="K1562">
        <v>8000</v>
      </c>
      <c r="M1562">
        <v>240</v>
      </c>
      <c r="O1562">
        <v>0</v>
      </c>
      <c r="Q1562">
        <v>20</v>
      </c>
      <c r="Y1562">
        <v>0.05</v>
      </c>
      <c r="Z1562">
        <v>4</v>
      </c>
      <c r="AA1562">
        <v>1</v>
      </c>
      <c r="AB1562">
        <v>0.8</v>
      </c>
      <c r="AG1562">
        <v>0</v>
      </c>
      <c r="AH1562">
        <v>1</v>
      </c>
      <c r="AI1562" t="s">
        <v>5827</v>
      </c>
      <c r="AJ1562" t="s">
        <v>216</v>
      </c>
      <c r="AK1562" t="s">
        <v>969</v>
      </c>
      <c r="AM1562">
        <v>1</v>
      </c>
      <c r="AV1562">
        <v>1</v>
      </c>
      <c r="AX1562">
        <v>0.25</v>
      </c>
      <c r="BE1562" t="s">
        <v>5826</v>
      </c>
      <c r="BK1562" t="s">
        <v>959</v>
      </c>
      <c r="BL1562" t="s">
        <v>5828</v>
      </c>
      <c r="BN1562" t="s">
        <v>3354</v>
      </c>
      <c r="BO1562" t="s">
        <v>1959</v>
      </c>
      <c r="BP1562" t="s">
        <v>1960</v>
      </c>
      <c r="BQ1562" t="s">
        <v>3322</v>
      </c>
      <c r="BT1562">
        <v>1</v>
      </c>
    </row>
    <row r="1563" spans="1:72">
      <c r="A1563" t="s">
        <v>5829</v>
      </c>
      <c r="B1563" t="s">
        <v>213</v>
      </c>
      <c r="C1563">
        <v>1</v>
      </c>
      <c r="F1563" t="s">
        <v>5829</v>
      </c>
      <c r="G1563">
        <v>1</v>
      </c>
      <c r="K1563">
        <v>9600</v>
      </c>
      <c r="M1563">
        <v>240</v>
      </c>
      <c r="O1563">
        <v>0</v>
      </c>
      <c r="Q1563">
        <v>20</v>
      </c>
      <c r="Y1563">
        <v>0.05</v>
      </c>
      <c r="Z1563">
        <v>4</v>
      </c>
      <c r="AA1563">
        <v>1</v>
      </c>
      <c r="AB1563">
        <v>0.8</v>
      </c>
      <c r="AG1563">
        <v>0</v>
      </c>
      <c r="AH1563">
        <v>1</v>
      </c>
      <c r="AI1563" t="s">
        <v>5830</v>
      </c>
      <c r="AJ1563" t="s">
        <v>216</v>
      </c>
      <c r="AK1563" t="s">
        <v>969</v>
      </c>
      <c r="AM1563">
        <v>1</v>
      </c>
      <c r="AV1563">
        <v>1</v>
      </c>
      <c r="AX1563">
        <v>0.25</v>
      </c>
      <c r="BE1563" t="s">
        <v>5829</v>
      </c>
      <c r="BK1563" t="s">
        <v>959</v>
      </c>
      <c r="BL1563" t="s">
        <v>5828</v>
      </c>
      <c r="BN1563" t="s">
        <v>3354</v>
      </c>
      <c r="BO1563" t="s">
        <v>1959</v>
      </c>
      <c r="BP1563" t="s">
        <v>1960</v>
      </c>
      <c r="BQ1563" t="s">
        <v>3322</v>
      </c>
      <c r="BT1563">
        <v>1</v>
      </c>
    </row>
    <row r="1564" spans="1:72">
      <c r="A1564" t="s">
        <v>5831</v>
      </c>
      <c r="B1564" t="s">
        <v>213</v>
      </c>
      <c r="C1564">
        <v>1</v>
      </c>
      <c r="F1564" t="s">
        <v>5831</v>
      </c>
      <c r="G1564">
        <v>1</v>
      </c>
      <c r="K1564">
        <v>20000</v>
      </c>
      <c r="M1564">
        <v>400</v>
      </c>
      <c r="O1564">
        <v>150</v>
      </c>
      <c r="Q1564">
        <v>20</v>
      </c>
      <c r="Y1564">
        <v>0.05</v>
      </c>
      <c r="Z1564">
        <v>2</v>
      </c>
      <c r="AA1564">
        <v>4</v>
      </c>
      <c r="AB1564">
        <v>0.6</v>
      </c>
      <c r="AG1564">
        <v>0</v>
      </c>
      <c r="AH1564">
        <v>1</v>
      </c>
      <c r="AI1564" t="s">
        <v>5832</v>
      </c>
      <c r="AJ1564" t="s">
        <v>216</v>
      </c>
      <c r="AM1564">
        <v>1</v>
      </c>
      <c r="AV1564">
        <v>1</v>
      </c>
      <c r="AX1564">
        <v>0.25</v>
      </c>
      <c r="BE1564" t="s">
        <v>5831</v>
      </c>
      <c r="BK1564" t="s">
        <v>1762</v>
      </c>
      <c r="BL1564" t="s">
        <v>5833</v>
      </c>
      <c r="BN1564" t="s">
        <v>217</v>
      </c>
      <c r="BO1564" t="s">
        <v>218</v>
      </c>
      <c r="BP1564" t="s">
        <v>239</v>
      </c>
      <c r="BQ1564" t="s">
        <v>220</v>
      </c>
      <c r="BT1564">
        <v>1</v>
      </c>
    </row>
    <row r="1565" spans="1:72">
      <c r="A1565" t="s">
        <v>5834</v>
      </c>
      <c r="B1565" t="s">
        <v>213</v>
      </c>
      <c r="C1565">
        <v>1</v>
      </c>
      <c r="F1565" t="s">
        <v>5834</v>
      </c>
      <c r="G1565">
        <v>1</v>
      </c>
      <c r="K1565">
        <v>24000</v>
      </c>
      <c r="M1565">
        <v>400</v>
      </c>
      <c r="O1565">
        <v>160</v>
      </c>
      <c r="Q1565">
        <v>20</v>
      </c>
      <c r="Y1565">
        <v>0.05</v>
      </c>
      <c r="Z1565">
        <v>2</v>
      </c>
      <c r="AA1565">
        <v>4</v>
      </c>
      <c r="AB1565">
        <v>0.6</v>
      </c>
      <c r="AG1565">
        <v>0</v>
      </c>
      <c r="AH1565">
        <v>1</v>
      </c>
      <c r="AI1565" t="s">
        <v>5835</v>
      </c>
      <c r="AJ1565" t="s">
        <v>216</v>
      </c>
      <c r="AM1565">
        <v>1</v>
      </c>
      <c r="AV1565">
        <v>1</v>
      </c>
      <c r="AX1565">
        <v>0.25</v>
      </c>
      <c r="BE1565" t="s">
        <v>5834</v>
      </c>
      <c r="BK1565" t="s">
        <v>1762</v>
      </c>
      <c r="BL1565" t="s">
        <v>5833</v>
      </c>
      <c r="BN1565" t="s">
        <v>217</v>
      </c>
      <c r="BO1565" t="s">
        <v>218</v>
      </c>
      <c r="BP1565" t="s">
        <v>239</v>
      </c>
      <c r="BQ1565" t="s">
        <v>220</v>
      </c>
      <c r="BT1565">
        <v>1</v>
      </c>
    </row>
    <row r="1566" spans="1:72">
      <c r="A1566" t="s">
        <v>5836</v>
      </c>
      <c r="B1566" t="s">
        <v>213</v>
      </c>
      <c r="C1566">
        <v>1</v>
      </c>
      <c r="F1566" t="s">
        <v>5836</v>
      </c>
      <c r="G1566">
        <v>1</v>
      </c>
      <c r="K1566">
        <v>6500</v>
      </c>
      <c r="M1566">
        <v>500</v>
      </c>
      <c r="O1566">
        <v>200</v>
      </c>
      <c r="Q1566">
        <v>20</v>
      </c>
      <c r="Y1566">
        <v>0.05</v>
      </c>
      <c r="Z1566">
        <v>2.5</v>
      </c>
      <c r="AA1566">
        <v>0</v>
      </c>
      <c r="AB1566">
        <v>1.5</v>
      </c>
      <c r="AG1566">
        <v>0</v>
      </c>
      <c r="AH1566">
        <v>1</v>
      </c>
      <c r="AI1566" t="s">
        <v>5837</v>
      </c>
      <c r="AJ1566" t="s">
        <v>216</v>
      </c>
      <c r="AK1566" t="s">
        <v>238</v>
      </c>
      <c r="AM1566">
        <v>1</v>
      </c>
      <c r="AV1566">
        <v>1</v>
      </c>
      <c r="AX1566">
        <v>0.25</v>
      </c>
      <c r="BE1566" t="s">
        <v>5836</v>
      </c>
      <c r="BK1566" t="s">
        <v>953</v>
      </c>
      <c r="BL1566" t="s">
        <v>5814</v>
      </c>
      <c r="BN1566" t="s">
        <v>3354</v>
      </c>
      <c r="BO1566" t="s">
        <v>1959</v>
      </c>
      <c r="BP1566" t="s">
        <v>1960</v>
      </c>
      <c r="BQ1566" t="s">
        <v>3322</v>
      </c>
      <c r="BT1566">
        <v>1</v>
      </c>
    </row>
    <row r="1567" spans="1:72">
      <c r="A1567" t="s">
        <v>5838</v>
      </c>
      <c r="B1567" t="s">
        <v>213</v>
      </c>
      <c r="C1567">
        <v>1</v>
      </c>
      <c r="F1567" t="s">
        <v>5838</v>
      </c>
      <c r="G1567">
        <v>1</v>
      </c>
      <c r="K1567">
        <v>7200</v>
      </c>
      <c r="M1567">
        <v>600</v>
      </c>
      <c r="O1567">
        <v>200</v>
      </c>
      <c r="Q1567">
        <v>20</v>
      </c>
      <c r="Y1567">
        <v>0.05</v>
      </c>
      <c r="Z1567">
        <v>2.5</v>
      </c>
      <c r="AA1567">
        <v>0</v>
      </c>
      <c r="AB1567">
        <v>1.5</v>
      </c>
      <c r="AG1567">
        <v>0</v>
      </c>
      <c r="AH1567">
        <v>1</v>
      </c>
      <c r="AI1567" t="s">
        <v>5839</v>
      </c>
      <c r="AJ1567" t="s">
        <v>216</v>
      </c>
      <c r="AK1567" t="s">
        <v>238</v>
      </c>
      <c r="AM1567">
        <v>1</v>
      </c>
      <c r="AV1567">
        <v>1</v>
      </c>
      <c r="AX1567">
        <v>0.25</v>
      </c>
      <c r="BE1567" t="s">
        <v>5838</v>
      </c>
      <c r="BK1567" t="s">
        <v>953</v>
      </c>
      <c r="BL1567" t="s">
        <v>5814</v>
      </c>
      <c r="BN1567" t="s">
        <v>3354</v>
      </c>
      <c r="BO1567" t="s">
        <v>1959</v>
      </c>
      <c r="BP1567" t="s">
        <v>1960</v>
      </c>
      <c r="BQ1567" t="s">
        <v>3322</v>
      </c>
      <c r="BT1567">
        <v>1</v>
      </c>
    </row>
    <row r="1568" spans="1:72">
      <c r="A1568" t="s">
        <v>5840</v>
      </c>
      <c r="B1568" t="s">
        <v>213</v>
      </c>
      <c r="C1568">
        <v>1</v>
      </c>
      <c r="F1568" t="s">
        <v>5840</v>
      </c>
      <c r="G1568">
        <v>1</v>
      </c>
      <c r="K1568">
        <v>8000</v>
      </c>
      <c r="M1568">
        <v>500</v>
      </c>
      <c r="O1568">
        <v>0</v>
      </c>
      <c r="Q1568">
        <v>10</v>
      </c>
      <c r="Y1568">
        <v>0.05</v>
      </c>
      <c r="Z1568">
        <v>5</v>
      </c>
      <c r="AA1568">
        <v>1</v>
      </c>
      <c r="AB1568">
        <v>0.35</v>
      </c>
      <c r="AG1568">
        <v>0</v>
      </c>
      <c r="AH1568">
        <v>1</v>
      </c>
      <c r="AI1568" t="s">
        <v>5841</v>
      </c>
      <c r="AJ1568" t="s">
        <v>216</v>
      </c>
      <c r="AM1568">
        <v>1</v>
      </c>
      <c r="AV1568">
        <v>1</v>
      </c>
      <c r="AX1568">
        <v>0.25</v>
      </c>
      <c r="BE1568" t="s">
        <v>5840</v>
      </c>
      <c r="BK1568" t="s">
        <v>1040</v>
      </c>
      <c r="BL1568" t="s">
        <v>5833</v>
      </c>
      <c r="BN1568" t="s">
        <v>217</v>
      </c>
      <c r="BO1568" t="s">
        <v>218</v>
      </c>
      <c r="BP1568"/>
      <c r="BQ1568" t="s">
        <v>220</v>
      </c>
      <c r="BT1568">
        <v>1</v>
      </c>
    </row>
    <row r="1569" spans="1:72">
      <c r="A1569" t="s">
        <v>5842</v>
      </c>
      <c r="B1569" t="s">
        <v>213</v>
      </c>
      <c r="C1569">
        <v>1</v>
      </c>
      <c r="F1569" t="s">
        <v>5842</v>
      </c>
      <c r="G1569">
        <v>1</v>
      </c>
      <c r="K1569">
        <v>12000</v>
      </c>
      <c r="M1569">
        <v>800</v>
      </c>
      <c r="O1569">
        <v>400</v>
      </c>
      <c r="Q1569">
        <v>20</v>
      </c>
      <c r="Y1569">
        <v>0.05</v>
      </c>
      <c r="Z1569">
        <v>3</v>
      </c>
      <c r="AA1569">
        <v>1</v>
      </c>
      <c r="AB1569">
        <v>0.8</v>
      </c>
      <c r="AG1569">
        <v>0</v>
      </c>
      <c r="AH1569">
        <v>1</v>
      </c>
      <c r="AI1569" t="s">
        <v>5843</v>
      </c>
      <c r="AJ1569" t="s">
        <v>216</v>
      </c>
      <c r="AK1569" t="s">
        <v>238</v>
      </c>
      <c r="AM1569">
        <v>1</v>
      </c>
      <c r="AV1569">
        <v>1</v>
      </c>
      <c r="AX1569">
        <v>0.25</v>
      </c>
      <c r="BE1569" t="s">
        <v>5842</v>
      </c>
      <c r="BK1569" t="s">
        <v>1012</v>
      </c>
      <c r="BL1569" t="s">
        <v>5814</v>
      </c>
      <c r="BN1569" t="s">
        <v>217</v>
      </c>
      <c r="BO1569" t="s">
        <v>218</v>
      </c>
      <c r="BP1569" t="s">
        <v>239</v>
      </c>
      <c r="BQ1569" t="s">
        <v>220</v>
      </c>
      <c r="BT1569">
        <v>1</v>
      </c>
    </row>
    <row r="1570" spans="1:72">
      <c r="A1570" t="s">
        <v>5844</v>
      </c>
      <c r="B1570" t="s">
        <v>213</v>
      </c>
      <c r="C1570">
        <v>1</v>
      </c>
      <c r="F1570" t="s">
        <v>5844</v>
      </c>
      <c r="G1570">
        <v>1</v>
      </c>
      <c r="K1570">
        <v>13000</v>
      </c>
      <c r="M1570">
        <v>900</v>
      </c>
      <c r="O1570">
        <v>400</v>
      </c>
      <c r="Q1570">
        <v>20</v>
      </c>
      <c r="Y1570">
        <v>0.05</v>
      </c>
      <c r="Z1570">
        <v>3</v>
      </c>
      <c r="AA1570">
        <v>1</v>
      </c>
      <c r="AB1570">
        <v>0.8</v>
      </c>
      <c r="AG1570">
        <v>0</v>
      </c>
      <c r="AH1570">
        <v>1</v>
      </c>
      <c r="AI1570" t="s">
        <v>5845</v>
      </c>
      <c r="AJ1570" t="s">
        <v>216</v>
      </c>
      <c r="AK1570" t="s">
        <v>238</v>
      </c>
      <c r="AM1570">
        <v>1</v>
      </c>
      <c r="AV1570">
        <v>1</v>
      </c>
      <c r="AX1570">
        <v>0.25</v>
      </c>
      <c r="BE1570" t="s">
        <v>5844</v>
      </c>
      <c r="BK1570" t="s">
        <v>1012</v>
      </c>
      <c r="BL1570" t="s">
        <v>5814</v>
      </c>
      <c r="BN1570" t="s">
        <v>217</v>
      </c>
      <c r="BO1570" t="s">
        <v>218</v>
      </c>
      <c r="BP1570" t="s">
        <v>239</v>
      </c>
      <c r="BQ1570" t="s">
        <v>220</v>
      </c>
      <c r="BT1570">
        <v>1</v>
      </c>
    </row>
    <row r="1571" spans="1:72">
      <c r="A1571" t="s">
        <v>5846</v>
      </c>
      <c r="B1571" t="s">
        <v>213</v>
      </c>
      <c r="C1571">
        <v>1</v>
      </c>
      <c r="F1571" t="s">
        <v>5846</v>
      </c>
      <c r="G1571">
        <v>1</v>
      </c>
      <c r="K1571">
        <v>15000</v>
      </c>
      <c r="M1571">
        <v>600</v>
      </c>
      <c r="O1571">
        <v>400</v>
      </c>
      <c r="Q1571">
        <v>20</v>
      </c>
      <c r="Y1571">
        <v>0.05</v>
      </c>
      <c r="Z1571">
        <v>4</v>
      </c>
      <c r="AA1571">
        <v>0</v>
      </c>
      <c r="AB1571">
        <v>0.8</v>
      </c>
      <c r="AG1571">
        <v>0</v>
      </c>
      <c r="AH1571">
        <v>1</v>
      </c>
      <c r="AI1571" t="s">
        <v>5847</v>
      </c>
      <c r="AJ1571" t="s">
        <v>216</v>
      </c>
      <c r="AK1571" t="s">
        <v>1155</v>
      </c>
      <c r="AM1571">
        <v>1</v>
      </c>
      <c r="AV1571">
        <v>1</v>
      </c>
      <c r="AX1571">
        <v>0.25</v>
      </c>
      <c r="BE1571" t="s">
        <v>5846</v>
      </c>
      <c r="BK1571" t="s">
        <v>1012</v>
      </c>
      <c r="BL1571" t="s">
        <v>5848</v>
      </c>
      <c r="BN1571" t="s">
        <v>217</v>
      </c>
      <c r="BO1571" t="s">
        <v>218</v>
      </c>
      <c r="BP1571" t="s">
        <v>239</v>
      </c>
      <c r="BQ1571" t="s">
        <v>220</v>
      </c>
      <c r="BT1571">
        <v>1</v>
      </c>
    </row>
    <row r="1572" spans="1:72">
      <c r="A1572" t="s">
        <v>5849</v>
      </c>
      <c r="B1572" t="s">
        <v>213</v>
      </c>
      <c r="C1572">
        <v>1</v>
      </c>
      <c r="F1572" t="s">
        <v>5849</v>
      </c>
      <c r="G1572">
        <v>1</v>
      </c>
      <c r="K1572">
        <v>18000</v>
      </c>
      <c r="M1572">
        <v>600</v>
      </c>
      <c r="O1572">
        <v>500</v>
      </c>
      <c r="Q1572">
        <v>20</v>
      </c>
      <c r="Y1572">
        <v>0.05</v>
      </c>
      <c r="Z1572">
        <v>4</v>
      </c>
      <c r="AA1572">
        <v>0</v>
      </c>
      <c r="AB1572">
        <v>0.8</v>
      </c>
      <c r="AG1572">
        <v>0</v>
      </c>
      <c r="AH1572">
        <v>1</v>
      </c>
      <c r="AI1572" t="s">
        <v>5850</v>
      </c>
      <c r="AJ1572" t="s">
        <v>216</v>
      </c>
      <c r="AK1572" t="s">
        <v>1155</v>
      </c>
      <c r="AM1572">
        <v>1</v>
      </c>
      <c r="AV1572">
        <v>1</v>
      </c>
      <c r="AX1572">
        <v>0.25</v>
      </c>
      <c r="BE1572" t="s">
        <v>5849</v>
      </c>
      <c r="BK1572" t="s">
        <v>1012</v>
      </c>
      <c r="BL1572" t="s">
        <v>5848</v>
      </c>
      <c r="BN1572" t="s">
        <v>217</v>
      </c>
      <c r="BO1572" t="s">
        <v>218</v>
      </c>
      <c r="BP1572" t="s">
        <v>239</v>
      </c>
      <c r="BQ1572" t="s">
        <v>220</v>
      </c>
      <c r="BT1572">
        <v>1</v>
      </c>
    </row>
    <row r="1573" spans="1:72">
      <c r="A1573" t="s">
        <v>5851</v>
      </c>
      <c r="B1573" t="s">
        <v>213</v>
      </c>
      <c r="C1573">
        <v>1</v>
      </c>
      <c r="F1573" t="s">
        <v>5851</v>
      </c>
      <c r="G1573">
        <v>1</v>
      </c>
      <c r="K1573">
        <v>25000</v>
      </c>
      <c r="M1573">
        <v>1000</v>
      </c>
      <c r="O1573">
        <v>600</v>
      </c>
      <c r="Q1573">
        <v>20</v>
      </c>
      <c r="Y1573">
        <v>0.05</v>
      </c>
      <c r="Z1573">
        <v>5</v>
      </c>
      <c r="AA1573">
        <v>3</v>
      </c>
      <c r="AB1573">
        <v>0.6</v>
      </c>
      <c r="AG1573">
        <v>0</v>
      </c>
      <c r="AH1573">
        <v>1</v>
      </c>
      <c r="AI1573" t="s">
        <v>5852</v>
      </c>
      <c r="AJ1573" t="s">
        <v>216</v>
      </c>
      <c r="AK1573" t="s">
        <v>288</v>
      </c>
      <c r="AM1573">
        <v>1</v>
      </c>
      <c r="AV1573">
        <v>1</v>
      </c>
      <c r="AX1573">
        <v>0.25</v>
      </c>
      <c r="BE1573" t="s">
        <v>5851</v>
      </c>
      <c r="BK1573" t="s">
        <v>980</v>
      </c>
      <c r="BL1573" t="s">
        <v>5823</v>
      </c>
      <c r="BN1573" t="s">
        <v>217</v>
      </c>
      <c r="BO1573" t="s">
        <v>218</v>
      </c>
      <c r="BP1573" t="s">
        <v>239</v>
      </c>
      <c r="BQ1573" t="s">
        <v>220</v>
      </c>
      <c r="BT1573">
        <v>1</v>
      </c>
    </row>
    <row r="1574" spans="1:72">
      <c r="A1574" t="s">
        <v>5853</v>
      </c>
      <c r="B1574" t="s">
        <v>213</v>
      </c>
      <c r="C1574">
        <v>1</v>
      </c>
      <c r="F1574" t="s">
        <v>5853</v>
      </c>
      <c r="G1574">
        <v>1</v>
      </c>
      <c r="K1574">
        <v>30000</v>
      </c>
      <c r="M1574">
        <v>1200</v>
      </c>
      <c r="O1574">
        <v>600</v>
      </c>
      <c r="Q1574">
        <v>20</v>
      </c>
      <c r="Y1574">
        <v>0.05</v>
      </c>
      <c r="Z1574">
        <v>5</v>
      </c>
      <c r="AA1574">
        <v>3</v>
      </c>
      <c r="AB1574">
        <v>0.6</v>
      </c>
      <c r="AG1574">
        <v>0</v>
      </c>
      <c r="AH1574">
        <v>1</v>
      </c>
      <c r="AI1574" t="s">
        <v>5854</v>
      </c>
      <c r="AJ1574" t="s">
        <v>216</v>
      </c>
      <c r="AK1574" t="s">
        <v>288</v>
      </c>
      <c r="AM1574">
        <v>1</v>
      </c>
      <c r="AV1574">
        <v>1</v>
      </c>
      <c r="AX1574">
        <v>0.25</v>
      </c>
      <c r="BE1574" t="s">
        <v>5853</v>
      </c>
      <c r="BK1574" t="s">
        <v>980</v>
      </c>
      <c r="BL1574" t="s">
        <v>5823</v>
      </c>
      <c r="BN1574" t="s">
        <v>217</v>
      </c>
      <c r="BO1574" t="s">
        <v>218</v>
      </c>
      <c r="BP1574" t="s">
        <v>239</v>
      </c>
      <c r="BQ1574" t="s">
        <v>220</v>
      </c>
      <c r="BT1574">
        <v>1</v>
      </c>
    </row>
    <row r="1575" spans="1:72">
      <c r="A1575" t="s">
        <v>5855</v>
      </c>
      <c r="B1575" t="s">
        <v>213</v>
      </c>
      <c r="C1575">
        <v>1</v>
      </c>
      <c r="F1575" t="s">
        <v>5855</v>
      </c>
      <c r="G1575">
        <v>1</v>
      </c>
      <c r="K1575">
        <v>1000</v>
      </c>
      <c r="M1575">
        <v>100</v>
      </c>
      <c r="O1575">
        <v>0</v>
      </c>
      <c r="Q1575">
        <v>0</v>
      </c>
      <c r="Y1575">
        <v>0.05</v>
      </c>
      <c r="Z1575">
        <v>5</v>
      </c>
      <c r="AA1575">
        <v>1</v>
      </c>
      <c r="AB1575">
        <v>0.8</v>
      </c>
      <c r="AG1575">
        <v>0</v>
      </c>
      <c r="AH1575">
        <v>1</v>
      </c>
      <c r="AI1575" t="s">
        <v>5856</v>
      </c>
      <c r="AJ1575" t="s">
        <v>216</v>
      </c>
      <c r="AM1575">
        <v>1</v>
      </c>
      <c r="AV1575">
        <v>1</v>
      </c>
      <c r="AX1575">
        <v>0.25</v>
      </c>
      <c r="BE1575" t="s">
        <v>5855</v>
      </c>
      <c r="BK1575" t="s">
        <v>1040</v>
      </c>
      <c r="BL1575" t="s">
        <v>5833</v>
      </c>
      <c r="BN1575" t="s">
        <v>217</v>
      </c>
      <c r="BO1575" t="s">
        <v>218</v>
      </c>
      <c r="BP1575" t="s">
        <v>239</v>
      </c>
      <c r="BQ1575" t="s">
        <v>220</v>
      </c>
      <c r="BT1575">
        <v>1</v>
      </c>
    </row>
    <row r="1576" spans="1:72">
      <c r="A1576" t="s">
        <v>5857</v>
      </c>
      <c r="B1576" t="s">
        <v>213</v>
      </c>
      <c r="C1576">
        <v>1</v>
      </c>
      <c r="F1576" t="s">
        <v>5857</v>
      </c>
      <c r="G1576">
        <v>1</v>
      </c>
      <c r="K1576">
        <v>4500</v>
      </c>
      <c r="M1576">
        <v>400</v>
      </c>
      <c r="O1576">
        <v>800</v>
      </c>
      <c r="Q1576">
        <v>0</v>
      </c>
      <c r="Y1576">
        <v>0.05</v>
      </c>
      <c r="Z1576">
        <v>5</v>
      </c>
      <c r="AA1576">
        <v>3</v>
      </c>
      <c r="AB1576">
        <v>0.8</v>
      </c>
      <c r="AG1576">
        <v>0</v>
      </c>
      <c r="AH1576">
        <v>1</v>
      </c>
      <c r="AI1576" t="s">
        <v>5858</v>
      </c>
      <c r="AJ1576" t="s">
        <v>216</v>
      </c>
      <c r="AM1576">
        <v>1</v>
      </c>
      <c r="AV1576">
        <v>1</v>
      </c>
      <c r="AX1576">
        <v>0.25</v>
      </c>
      <c r="BE1576" t="s">
        <v>5857</v>
      </c>
      <c r="BK1576" t="s">
        <v>1762</v>
      </c>
      <c r="BL1576" t="s">
        <v>5833</v>
      </c>
      <c r="BN1576" t="s">
        <v>217</v>
      </c>
      <c r="BO1576" t="s">
        <v>218</v>
      </c>
      <c r="BP1576" t="s">
        <v>239</v>
      </c>
      <c r="BQ1576"/>
      <c r="BT1576">
        <v>1</v>
      </c>
    </row>
    <row r="1577" spans="1:72">
      <c r="A1577" t="s">
        <v>5859</v>
      </c>
      <c r="B1577" t="s">
        <v>213</v>
      </c>
      <c r="C1577">
        <v>1</v>
      </c>
      <c r="F1577" t="s">
        <v>5859</v>
      </c>
      <c r="G1577">
        <v>1</v>
      </c>
      <c r="K1577">
        <v>120000</v>
      </c>
      <c r="M1577">
        <v>800</v>
      </c>
      <c r="O1577">
        <v>0</v>
      </c>
      <c r="Q1577">
        <v>0</v>
      </c>
      <c r="Y1577">
        <v>0.05</v>
      </c>
      <c r="Z1577">
        <v>5</v>
      </c>
      <c r="AA1577">
        <v>5</v>
      </c>
      <c r="AB1577">
        <v>0.8</v>
      </c>
      <c r="AG1577">
        <v>0</v>
      </c>
      <c r="AH1577">
        <v>1</v>
      </c>
      <c r="AI1577" t="s">
        <v>5860</v>
      </c>
      <c r="AJ1577" t="s">
        <v>216</v>
      </c>
      <c r="AK1577" t="s">
        <v>288</v>
      </c>
      <c r="AM1577">
        <v>1</v>
      </c>
      <c r="AV1577">
        <v>1</v>
      </c>
      <c r="AX1577">
        <v>0.25</v>
      </c>
      <c r="BE1577" t="s">
        <v>5859</v>
      </c>
      <c r="BK1577" t="s">
        <v>1351</v>
      </c>
      <c r="BL1577" t="s">
        <v>5823</v>
      </c>
      <c r="BN1577" t="s">
        <v>3443</v>
      </c>
      <c r="BO1577" t="s">
        <v>2618</v>
      </c>
      <c r="BP1577" t="s">
        <v>2619</v>
      </c>
      <c r="BQ1577" t="s">
        <v>3157</v>
      </c>
      <c r="BT1577">
        <v>1</v>
      </c>
    </row>
    <row r="1578" spans="1:72">
      <c r="A1578"/>
      <c r="B1578"/>
      <c r="C1578"/>
      <c r="F1578"/>
      <c r="G1578"/>
      <c r="K1578"/>
      <c r="M1578"/>
      <c r="O1578"/>
      <c r="Q1578"/>
      <c r="Y1578"/>
      <c r="Z1578"/>
      <c r="AA1578"/>
      <c r="AB1578"/>
      <c r="AG1578"/>
      <c r="AH1578"/>
      <c r="AI1578"/>
      <c r="AJ1578"/>
      <c r="AK1578"/>
      <c r="AM1578"/>
      <c r="AV1578"/>
      <c r="AX1578"/>
      <c r="BE1578"/>
      <c r="BK1578"/>
      <c r="BL1578"/>
      <c r="BN1578"/>
      <c r="BO1578"/>
      <c r="BP1578"/>
      <c r="BQ1578"/>
      <c r="BT1578"/>
    </row>
    <row r="1579" spans="1:72">
      <c r="A1579"/>
      <c r="B1579"/>
      <c r="C1579"/>
      <c r="F1579"/>
      <c r="G1579"/>
      <c r="K1579"/>
      <c r="M1579"/>
      <c r="O1579"/>
      <c r="Q1579"/>
      <c r="Y1579"/>
      <c r="Z1579"/>
      <c r="AA1579"/>
      <c r="AB1579"/>
      <c r="AG1579"/>
      <c r="AH1579"/>
      <c r="AI1579"/>
      <c r="AJ1579"/>
      <c r="AK1579"/>
      <c r="AM1579"/>
      <c r="AV1579"/>
      <c r="AX1579"/>
      <c r="BE1579"/>
      <c r="BK1579"/>
      <c r="BL1579"/>
      <c r="BN1579"/>
      <c r="BO1579"/>
      <c r="BP1579"/>
      <c r="BQ1579"/>
      <c r="BT1579"/>
    </row>
    <row r="1580" spans="1:72">
      <c r="A1580" s="1" t="s">
        <v>5861</v>
      </c>
      <c r="B1580" s="1" t="s">
        <v>213</v>
      </c>
      <c r="C1580" s="1">
        <v>1</v>
      </c>
      <c r="D1580" s="1" t="s">
        <v>5862</v>
      </c>
      <c r="E1580" s="1">
        <v>2027</v>
      </c>
      <c r="F1580" s="1" t="s">
        <v>5861</v>
      </c>
      <c r="G1580" s="1">
        <v>1</v>
      </c>
      <c r="K1580" s="1">
        <v>70000</v>
      </c>
      <c r="M1580" s="1">
        <v>2200</v>
      </c>
      <c r="O1580" s="1">
        <v>400</v>
      </c>
      <c r="Q1580" s="1">
        <v>20</v>
      </c>
      <c r="Y1580" s="1">
        <v>0.05</v>
      </c>
      <c r="Z1580" s="1">
        <v>4</v>
      </c>
      <c r="AA1580" s="1">
        <v>4</v>
      </c>
      <c r="AB1580" s="1">
        <v>0.5</v>
      </c>
      <c r="AG1580" s="1">
        <v>0</v>
      </c>
      <c r="AH1580" s="1">
        <v>1</v>
      </c>
      <c r="AI1580" s="1" t="s">
        <v>5863</v>
      </c>
      <c r="AJ1580" s="1" t="s">
        <v>5864</v>
      </c>
      <c r="AK1580" s="1" t="s">
        <v>238</v>
      </c>
      <c r="AM1580" s="1">
        <v>4</v>
      </c>
      <c r="AV1580" s="1">
        <v>1</v>
      </c>
      <c r="AX1580" s="1">
        <v>0.1</v>
      </c>
      <c r="BE1580" s="1" t="s">
        <v>5861</v>
      </c>
      <c r="BK1580" s="1" t="s">
        <v>1351</v>
      </c>
      <c r="BN1580" s="1" t="s">
        <v>217</v>
      </c>
      <c r="BO1580" s="1" t="s">
        <v>218</v>
      </c>
      <c r="BP1580" s="1" t="s">
        <v>239</v>
      </c>
      <c r="BQ1580" s="1" t="s">
        <v>220</v>
      </c>
      <c r="BT1580" s="1">
        <v>1</v>
      </c>
    </row>
    <row r="1581" spans="1:72">
      <c r="A1581" s="1" t="s">
        <v>5865</v>
      </c>
      <c r="B1581" s="1" t="s">
        <v>213</v>
      </c>
      <c r="C1581" s="1">
        <v>1</v>
      </c>
      <c r="D1581" s="1" t="s">
        <v>5866</v>
      </c>
      <c r="E1581" s="1">
        <v>2028</v>
      </c>
      <c r="F1581" s="1" t="s">
        <v>5865</v>
      </c>
      <c r="G1581" s="1">
        <v>1</v>
      </c>
      <c r="K1581" s="1">
        <v>40000</v>
      </c>
      <c r="M1581" s="1">
        <v>600</v>
      </c>
      <c r="O1581" s="1">
        <v>300</v>
      </c>
      <c r="Q1581" s="1">
        <v>70</v>
      </c>
      <c r="Y1581" s="1">
        <v>0.05</v>
      </c>
      <c r="Z1581" s="1">
        <v>4.5</v>
      </c>
      <c r="AA1581" s="1">
        <v>3</v>
      </c>
      <c r="AB1581" s="1">
        <v>0.4</v>
      </c>
      <c r="AG1581" s="1">
        <v>0</v>
      </c>
      <c r="AH1581" s="1">
        <v>1</v>
      </c>
      <c r="AI1581" s="1" t="s">
        <v>5867</v>
      </c>
      <c r="AJ1581" s="1" t="s">
        <v>4624</v>
      </c>
      <c r="AK1581" s="1" t="s">
        <v>238</v>
      </c>
      <c r="AM1581" s="1">
        <v>1</v>
      </c>
      <c r="AV1581" s="1">
        <v>1</v>
      </c>
      <c r="AX1581" s="1">
        <v>0.1</v>
      </c>
      <c r="BE1581" s="1" t="s">
        <v>5865</v>
      </c>
      <c r="BK1581" s="1" t="s">
        <v>5868</v>
      </c>
      <c r="BN1581" s="1" t="s">
        <v>217</v>
      </c>
      <c r="BO1581" s="1" t="s">
        <v>218</v>
      </c>
      <c r="BP1581" s="1" t="s">
        <v>239</v>
      </c>
      <c r="BQ1581" s="1" t="s">
        <v>220</v>
      </c>
      <c r="BT1581" s="1">
        <v>1</v>
      </c>
    </row>
    <row r="1582" spans="1:72">
      <c r="A1582" s="1" t="s">
        <v>5869</v>
      </c>
      <c r="B1582" s="1" t="s">
        <v>213</v>
      </c>
      <c r="C1582" s="1">
        <v>1</v>
      </c>
      <c r="D1582" s="1" t="s">
        <v>5870</v>
      </c>
      <c r="E1582" s="1">
        <v>2029</v>
      </c>
      <c r="F1582" s="1" t="s">
        <v>5869</v>
      </c>
      <c r="G1582" s="1">
        <v>1</v>
      </c>
      <c r="K1582" s="1">
        <v>8000</v>
      </c>
      <c r="M1582" s="1">
        <v>600</v>
      </c>
      <c r="O1582" s="1">
        <v>800</v>
      </c>
      <c r="Q1582" s="1">
        <v>0</v>
      </c>
      <c r="Y1582" s="1">
        <v>0.05</v>
      </c>
      <c r="Z1582" s="1">
        <v>1.7</v>
      </c>
      <c r="AA1582" s="1">
        <v>1</v>
      </c>
      <c r="AB1582" s="1">
        <v>0.6</v>
      </c>
      <c r="AG1582" s="1">
        <v>0</v>
      </c>
      <c r="AH1582" s="1">
        <v>1</v>
      </c>
      <c r="AI1582" s="1" t="s">
        <v>5871</v>
      </c>
      <c r="AJ1582" s="1" t="s">
        <v>4624</v>
      </c>
      <c r="AK1582" s="1" t="s">
        <v>238</v>
      </c>
      <c r="AM1582" s="1">
        <v>1</v>
      </c>
      <c r="AV1582" s="1">
        <v>1</v>
      </c>
      <c r="AX1582" s="1">
        <v>0.1</v>
      </c>
      <c r="BE1582" s="1" t="s">
        <v>5869</v>
      </c>
      <c r="BK1582" s="1" t="s">
        <v>5872</v>
      </c>
      <c r="BN1582" s="1" t="s">
        <v>217</v>
      </c>
      <c r="BO1582" s="1" t="s">
        <v>218</v>
      </c>
      <c r="BP1582" s="1" t="s">
        <v>239</v>
      </c>
      <c r="BQ1582" s="1" t="s">
        <v>220</v>
      </c>
      <c r="BT1582" s="1">
        <v>1</v>
      </c>
    </row>
    <row r="1583" spans="1:72">
      <c r="A1583" s="1" t="s">
        <v>5873</v>
      </c>
      <c r="B1583" s="1" t="s">
        <v>213</v>
      </c>
      <c r="C1583" s="1">
        <v>1</v>
      </c>
      <c r="D1583" s="1" t="s">
        <v>5874</v>
      </c>
      <c r="E1583" s="1">
        <v>2030</v>
      </c>
      <c r="F1583" s="1" t="s">
        <v>5873</v>
      </c>
      <c r="G1583" s="1">
        <v>1</v>
      </c>
      <c r="K1583" s="1">
        <v>5000</v>
      </c>
      <c r="M1583" s="1">
        <v>500</v>
      </c>
      <c r="O1583" s="1">
        <v>800</v>
      </c>
      <c r="Q1583" s="1">
        <v>0</v>
      </c>
      <c r="Y1583" s="1">
        <v>0.05</v>
      </c>
      <c r="Z1583" s="1">
        <v>0.7</v>
      </c>
      <c r="AA1583" s="1">
        <v>1</v>
      </c>
      <c r="AB1583" s="1">
        <v>0.9</v>
      </c>
      <c r="AG1583" s="1">
        <v>0</v>
      </c>
      <c r="AH1583" s="1">
        <v>1</v>
      </c>
      <c r="AI1583" s="1" t="s">
        <v>5875</v>
      </c>
      <c r="AJ1583" s="1" t="s">
        <v>4624</v>
      </c>
      <c r="AK1583" s="1" t="s">
        <v>238</v>
      </c>
      <c r="AM1583" s="1">
        <v>1</v>
      </c>
      <c r="AV1583" s="1">
        <v>1</v>
      </c>
      <c r="AX1583" s="1">
        <v>0.1</v>
      </c>
      <c r="BE1583" s="1" t="s">
        <v>5873</v>
      </c>
      <c r="BK1583" s="1" t="s">
        <v>5872</v>
      </c>
      <c r="BN1583" s="1" t="s">
        <v>217</v>
      </c>
      <c r="BO1583" s="1" t="s">
        <v>218</v>
      </c>
      <c r="BP1583" s="1" t="s">
        <v>239</v>
      </c>
      <c r="BQ1583" s="1" t="s">
        <v>220</v>
      </c>
      <c r="BT1583" s="1">
        <v>1</v>
      </c>
    </row>
    <row r="1584" spans="1:72">
      <c r="A1584" s="1" t="s">
        <v>5876</v>
      </c>
      <c r="B1584" s="1" t="s">
        <v>213</v>
      </c>
      <c r="C1584" s="1">
        <v>1</v>
      </c>
      <c r="D1584" s="1" t="s">
        <v>5877</v>
      </c>
      <c r="E1584" s="1">
        <v>2031</v>
      </c>
      <c r="F1584" s="1" t="s">
        <v>5876</v>
      </c>
      <c r="G1584" s="1">
        <v>1</v>
      </c>
      <c r="K1584" s="1">
        <v>35000</v>
      </c>
      <c r="M1584" s="1">
        <v>800</v>
      </c>
      <c r="O1584" s="1">
        <v>800</v>
      </c>
      <c r="Q1584" s="1">
        <v>50</v>
      </c>
      <c r="Y1584" s="1">
        <v>0.05</v>
      </c>
      <c r="Z1584" s="1">
        <v>2.8</v>
      </c>
      <c r="AA1584" s="1">
        <v>4</v>
      </c>
      <c r="AB1584" s="1">
        <v>0.5</v>
      </c>
      <c r="AG1584" s="1">
        <v>1</v>
      </c>
      <c r="AH1584" s="1">
        <v>1</v>
      </c>
      <c r="AI1584" s="1" t="s">
        <v>5878</v>
      </c>
      <c r="AJ1584" s="1" t="s">
        <v>5864</v>
      </c>
      <c r="AK1584" s="1" t="s">
        <v>238</v>
      </c>
      <c r="AM1584" s="1">
        <v>1</v>
      </c>
      <c r="AV1584" s="1">
        <v>1</v>
      </c>
      <c r="AX1584" s="1">
        <v>0.1</v>
      </c>
      <c r="BE1584" s="1" t="s">
        <v>5876</v>
      </c>
      <c r="BK1584" s="1" t="s">
        <v>5879</v>
      </c>
      <c r="BN1584" s="1" t="s">
        <v>217</v>
      </c>
      <c r="BO1584" s="1" t="s">
        <v>218</v>
      </c>
      <c r="BP1584" s="1" t="s">
        <v>239</v>
      </c>
      <c r="BQ1584" s="1" t="s">
        <v>220</v>
      </c>
      <c r="BT1584" s="1">
        <v>1</v>
      </c>
    </row>
    <row r="1585" spans="1:72">
      <c r="A1585" s="1" t="s">
        <v>5880</v>
      </c>
      <c r="B1585" s="1" t="s">
        <v>213</v>
      </c>
      <c r="C1585" s="1">
        <v>1</v>
      </c>
      <c r="D1585" s="1" t="s">
        <v>5881</v>
      </c>
      <c r="E1585" s="1">
        <v>2032</v>
      </c>
      <c r="F1585" s="1" t="s">
        <v>5880</v>
      </c>
      <c r="G1585" s="1">
        <v>1</v>
      </c>
      <c r="K1585" s="1">
        <v>70000</v>
      </c>
      <c r="M1585" s="1">
        <v>1000</v>
      </c>
      <c r="O1585" s="1">
        <v>800</v>
      </c>
      <c r="Q1585" s="1">
        <v>50</v>
      </c>
      <c r="Y1585" s="1">
        <v>0.05</v>
      </c>
      <c r="Z1585" s="1">
        <v>5</v>
      </c>
      <c r="AA1585" s="1">
        <v>4</v>
      </c>
      <c r="AB1585" s="1">
        <v>0.5</v>
      </c>
      <c r="AG1585" s="1">
        <v>0</v>
      </c>
      <c r="AH1585" s="1">
        <v>1</v>
      </c>
      <c r="AI1585" s="1" t="s">
        <v>5882</v>
      </c>
      <c r="AJ1585" s="1" t="s">
        <v>5864</v>
      </c>
      <c r="AK1585" s="1" t="s">
        <v>238</v>
      </c>
      <c r="AM1585" s="1">
        <v>1</v>
      </c>
      <c r="AV1585" s="1">
        <v>1</v>
      </c>
      <c r="AX1585" s="1">
        <v>0.1</v>
      </c>
      <c r="BE1585" s="1" t="s">
        <v>5880</v>
      </c>
      <c r="BK1585" s="1" t="s">
        <v>5879</v>
      </c>
      <c r="BN1585" s="1" t="s">
        <v>217</v>
      </c>
      <c r="BO1585" s="1" t="s">
        <v>218</v>
      </c>
      <c r="BP1585" s="1" t="s">
        <v>239</v>
      </c>
      <c r="BQ1585" s="1" t="s">
        <v>220</v>
      </c>
      <c r="BT1585" s="1">
        <v>1</v>
      </c>
    </row>
    <row r="1586" spans="1:72">
      <c r="A1586" s="1" t="s">
        <v>5883</v>
      </c>
      <c r="B1586" s="1" t="s">
        <v>213</v>
      </c>
      <c r="C1586" s="1">
        <v>1</v>
      </c>
      <c r="D1586" s="1" t="s">
        <v>5884</v>
      </c>
      <c r="E1586" s="1">
        <v>2033</v>
      </c>
      <c r="F1586" s="1" t="s">
        <v>5883</v>
      </c>
      <c r="G1586" s="1">
        <v>0.5</v>
      </c>
      <c r="K1586" s="1">
        <v>20000</v>
      </c>
      <c r="M1586" s="1">
        <v>600</v>
      </c>
      <c r="O1586" s="1">
        <v>100</v>
      </c>
      <c r="Q1586" s="1">
        <v>10</v>
      </c>
      <c r="Y1586" s="1">
        <v>0.05</v>
      </c>
      <c r="Z1586" s="1">
        <v>3</v>
      </c>
      <c r="AA1586" s="1">
        <v>0</v>
      </c>
      <c r="AB1586" s="1">
        <v>0.4</v>
      </c>
      <c r="AG1586" s="1">
        <v>0</v>
      </c>
      <c r="AH1586" s="1">
        <v>1</v>
      </c>
      <c r="AI1586" s="1" t="s">
        <v>5885</v>
      </c>
      <c r="AJ1586" s="1" t="s">
        <v>5864</v>
      </c>
      <c r="AK1586" s="1" t="s">
        <v>238</v>
      </c>
      <c r="AM1586" s="1">
        <v>1</v>
      </c>
      <c r="AV1586" s="1">
        <v>1</v>
      </c>
      <c r="AX1586" s="1">
        <v>0.1</v>
      </c>
      <c r="BE1586" s="1" t="s">
        <v>5883</v>
      </c>
      <c r="BK1586" s="1" t="s">
        <v>5886</v>
      </c>
      <c r="BN1586" s="1" t="s">
        <v>217</v>
      </c>
      <c r="BO1586" s="1" t="s">
        <v>218</v>
      </c>
      <c r="BP1586" s="1" t="s">
        <v>239</v>
      </c>
      <c r="BQ1586" s="1" t="s">
        <v>220</v>
      </c>
      <c r="BT1586" s="1">
        <v>1</v>
      </c>
    </row>
    <row r="1587" spans="1:72">
      <c r="A1587" s="1" t="s">
        <v>5887</v>
      </c>
      <c r="B1587" s="1" t="s">
        <v>213</v>
      </c>
      <c r="C1587" s="1">
        <v>1</v>
      </c>
      <c r="D1587" s="1" t="s">
        <v>5888</v>
      </c>
      <c r="E1587" s="1">
        <v>2034</v>
      </c>
      <c r="F1587" s="1" t="s">
        <v>5887</v>
      </c>
      <c r="G1587" s="1">
        <v>1</v>
      </c>
      <c r="K1587" s="1">
        <v>8000</v>
      </c>
      <c r="M1587" s="1">
        <v>300</v>
      </c>
      <c r="O1587" s="1">
        <v>150</v>
      </c>
      <c r="Q1587" s="1">
        <v>20</v>
      </c>
      <c r="Y1587" s="1">
        <v>0.05</v>
      </c>
      <c r="Z1587" s="1">
        <v>2</v>
      </c>
      <c r="AA1587" s="1">
        <v>2</v>
      </c>
      <c r="AB1587" s="1">
        <v>0.8</v>
      </c>
      <c r="AG1587" s="1">
        <v>0</v>
      </c>
      <c r="AH1587" s="1">
        <v>1</v>
      </c>
      <c r="AI1587" s="1" t="s">
        <v>5889</v>
      </c>
      <c r="AJ1587" s="1" t="s">
        <v>5890</v>
      </c>
      <c r="AK1587" s="1" t="s">
        <v>238</v>
      </c>
      <c r="AM1587" s="1">
        <v>1</v>
      </c>
      <c r="AV1587" s="1">
        <v>1</v>
      </c>
      <c r="AX1587" s="1">
        <v>0.1</v>
      </c>
      <c r="BE1587" s="1" t="s">
        <v>5887</v>
      </c>
      <c r="BK1587" s="1" t="s">
        <v>1012</v>
      </c>
      <c r="BN1587" s="1" t="s">
        <v>217</v>
      </c>
      <c r="BO1587" s="1" t="s">
        <v>218</v>
      </c>
      <c r="BP1587" s="1" t="s">
        <v>239</v>
      </c>
      <c r="BQ1587" s="1" t="s">
        <v>220</v>
      </c>
      <c r="BT1587" s="1">
        <v>1</v>
      </c>
    </row>
    <row r="1588" spans="1:72">
      <c r="A1588" s="1" t="s">
        <v>5891</v>
      </c>
      <c r="B1588" s="1" t="s">
        <v>213</v>
      </c>
      <c r="C1588" s="1">
        <v>1</v>
      </c>
      <c r="D1588" s="1" t="s">
        <v>5892</v>
      </c>
      <c r="E1588" s="1">
        <v>2035</v>
      </c>
      <c r="F1588" s="1" t="s">
        <v>5891</v>
      </c>
      <c r="G1588" s="1">
        <v>1</v>
      </c>
      <c r="K1588" s="1">
        <v>10000</v>
      </c>
      <c r="M1588" s="1">
        <v>600</v>
      </c>
      <c r="O1588" s="1">
        <v>500</v>
      </c>
      <c r="Q1588" s="1">
        <v>30</v>
      </c>
      <c r="Y1588" s="1">
        <v>0.05</v>
      </c>
      <c r="Z1588" s="1">
        <v>1.2</v>
      </c>
      <c r="AA1588" s="1">
        <v>3</v>
      </c>
      <c r="AB1588" s="1">
        <v>0.7</v>
      </c>
      <c r="AG1588" s="1">
        <v>0</v>
      </c>
      <c r="AH1588" s="1">
        <v>1</v>
      </c>
      <c r="AI1588" s="1" t="s">
        <v>5893</v>
      </c>
      <c r="AJ1588" s="1" t="s">
        <v>275</v>
      </c>
      <c r="AK1588" s="1" t="s">
        <v>238</v>
      </c>
      <c r="AM1588" s="1">
        <v>1</v>
      </c>
      <c r="AV1588" s="1">
        <v>1</v>
      </c>
      <c r="AX1588" s="1">
        <v>0.1</v>
      </c>
      <c r="BE1588" s="1" t="s">
        <v>5891</v>
      </c>
      <c r="BK1588" s="1" t="s">
        <v>2313</v>
      </c>
      <c r="BN1588" s="1" t="s">
        <v>217</v>
      </c>
      <c r="BO1588" s="1" t="s">
        <v>218</v>
      </c>
      <c r="BP1588" s="1" t="s">
        <v>239</v>
      </c>
      <c r="BQ1588" s="1" t="s">
        <v>220</v>
      </c>
      <c r="BT1588" s="1">
        <v>1</v>
      </c>
    </row>
    <row r="1589" spans="1:72">
      <c r="A1589" s="1" t="s">
        <v>5894</v>
      </c>
      <c r="B1589" s="1" t="s">
        <v>213</v>
      </c>
      <c r="C1589" s="1">
        <v>1</v>
      </c>
      <c r="D1589" s="1" t="s">
        <v>5895</v>
      </c>
      <c r="E1589" s="1">
        <v>2036</v>
      </c>
      <c r="F1589" s="1" t="s">
        <v>5894</v>
      </c>
      <c r="G1589" s="1">
        <v>1</v>
      </c>
      <c r="K1589" s="1">
        <v>100000</v>
      </c>
      <c r="M1589" s="1">
        <v>0</v>
      </c>
      <c r="O1589" s="1">
        <v>4000</v>
      </c>
      <c r="Q1589" s="1">
        <v>80</v>
      </c>
      <c r="Y1589" s="1">
        <v>0.05</v>
      </c>
      <c r="Z1589" s="1">
        <v>1</v>
      </c>
      <c r="AA1589" s="1">
        <v>5</v>
      </c>
      <c r="AB1589" s="1">
        <v>0.4</v>
      </c>
      <c r="AG1589" s="1">
        <v>0</v>
      </c>
      <c r="AH1589" s="1">
        <v>1</v>
      </c>
      <c r="AI1589" s="1" t="s">
        <v>5896</v>
      </c>
      <c r="AJ1589" s="1" t="s">
        <v>275</v>
      </c>
      <c r="AK1589" s="1" t="s">
        <v>238</v>
      </c>
      <c r="AM1589" s="1">
        <v>1</v>
      </c>
      <c r="AV1589" s="1">
        <v>0</v>
      </c>
      <c r="AX1589" s="1">
        <v>0.1</v>
      </c>
      <c r="BE1589" s="1" t="s">
        <v>5894</v>
      </c>
      <c r="BK1589" s="1" t="s">
        <v>3365</v>
      </c>
      <c r="BN1589" s="1" t="s">
        <v>217</v>
      </c>
      <c r="BO1589" s="1" t="s">
        <v>218</v>
      </c>
      <c r="BP1589" s="1" t="s">
        <v>239</v>
      </c>
      <c r="BQ1589" s="1" t="s">
        <v>638</v>
      </c>
      <c r="BT1589" s="1">
        <v>1</v>
      </c>
    </row>
    <row r="1590" spans="1:72">
      <c r="A1590" s="1" t="s">
        <v>5897</v>
      </c>
      <c r="B1590" s="1" t="s">
        <v>213</v>
      </c>
      <c r="C1590" s="1">
        <v>1</v>
      </c>
      <c r="D1590" s="1" t="s">
        <v>5898</v>
      </c>
      <c r="E1590" s="1">
        <v>2037</v>
      </c>
      <c r="F1590" s="1" t="s">
        <v>5897</v>
      </c>
      <c r="G1590" s="1">
        <v>1</v>
      </c>
      <c r="K1590" s="1">
        <v>45000</v>
      </c>
      <c r="M1590" s="1">
        <v>500</v>
      </c>
      <c r="O1590" s="1">
        <v>700</v>
      </c>
      <c r="Q1590" s="1">
        <v>70</v>
      </c>
      <c r="Y1590" s="1">
        <v>0.05</v>
      </c>
      <c r="Z1590" s="1">
        <v>5</v>
      </c>
      <c r="AA1590" s="1">
        <v>6</v>
      </c>
      <c r="AB1590" s="1">
        <v>0.5</v>
      </c>
      <c r="AG1590" s="1">
        <v>0</v>
      </c>
      <c r="AH1590" s="1">
        <v>1</v>
      </c>
      <c r="AI1590" s="1" t="s">
        <v>5899</v>
      </c>
      <c r="AJ1590" s="1" t="s">
        <v>275</v>
      </c>
      <c r="AK1590" s="1" t="s">
        <v>238</v>
      </c>
      <c r="AM1590" s="1">
        <v>1</v>
      </c>
      <c r="AV1590" s="1">
        <v>1</v>
      </c>
      <c r="AX1590" s="1">
        <v>0.1</v>
      </c>
      <c r="BE1590" s="1" t="s">
        <v>5897</v>
      </c>
      <c r="BK1590" s="1" t="s">
        <v>2352</v>
      </c>
      <c r="BN1590" s="1" t="s">
        <v>217</v>
      </c>
      <c r="BO1590" s="1" t="s">
        <v>2035</v>
      </c>
      <c r="BP1590" s="1" t="s">
        <v>2036</v>
      </c>
      <c r="BQ1590" s="1" t="s">
        <v>2037</v>
      </c>
      <c r="BT1590" s="1">
        <v>1</v>
      </c>
    </row>
    <row r="1591" spans="1:72">
      <c r="A1591" s="1" t="s">
        <v>5900</v>
      </c>
      <c r="B1591" s="1" t="s">
        <v>213</v>
      </c>
      <c r="C1591" s="1">
        <v>1</v>
      </c>
      <c r="D1591" s="1" t="s">
        <v>5901</v>
      </c>
      <c r="E1591" s="1">
        <v>2038</v>
      </c>
      <c r="F1591" s="1" t="s">
        <v>5900</v>
      </c>
      <c r="G1591" s="1">
        <v>1</v>
      </c>
      <c r="K1591" s="1">
        <v>100000</v>
      </c>
      <c r="M1591" s="1">
        <v>2000</v>
      </c>
      <c r="O1591" s="1">
        <v>4000</v>
      </c>
      <c r="Q1591" s="1">
        <v>70</v>
      </c>
      <c r="Y1591" s="1">
        <v>0.05</v>
      </c>
      <c r="Z1591" s="1">
        <v>3.5</v>
      </c>
      <c r="AA1591" s="1">
        <v>5</v>
      </c>
      <c r="AB1591" s="1">
        <v>0.6</v>
      </c>
      <c r="AG1591" s="1">
        <v>0</v>
      </c>
      <c r="AH1591" s="1">
        <v>1</v>
      </c>
      <c r="AI1591" s="1" t="s">
        <v>5902</v>
      </c>
      <c r="AJ1591" s="1" t="s">
        <v>275</v>
      </c>
      <c r="AK1591" s="1" t="s">
        <v>238</v>
      </c>
      <c r="AM1591" s="1">
        <v>1</v>
      </c>
      <c r="AV1591" s="1">
        <v>1</v>
      </c>
      <c r="AX1591" s="1">
        <v>0.1</v>
      </c>
      <c r="BE1591" s="1" t="s">
        <v>5900</v>
      </c>
      <c r="BK1591" s="1" t="s">
        <v>1019</v>
      </c>
      <c r="BN1591" s="1" t="s">
        <v>217</v>
      </c>
      <c r="BO1591" s="1" t="s">
        <v>218</v>
      </c>
      <c r="BP1591" s="1" t="s">
        <v>239</v>
      </c>
      <c r="BQ1591" s="1" t="s">
        <v>220</v>
      </c>
      <c r="BT1591" s="1">
        <v>1</v>
      </c>
    </row>
    <row r="1592" spans="1:72">
      <c r="A1592" s="1" t="s">
        <v>5903</v>
      </c>
      <c r="B1592" s="1" t="s">
        <v>213</v>
      </c>
      <c r="C1592" s="1">
        <v>1</v>
      </c>
      <c r="D1592" s="1" t="s">
        <v>5904</v>
      </c>
      <c r="E1592" s="1">
        <v>2039</v>
      </c>
      <c r="F1592" s="1" t="s">
        <v>5903</v>
      </c>
      <c r="G1592" s="1">
        <v>1</v>
      </c>
      <c r="K1592" s="1">
        <v>90000</v>
      </c>
      <c r="M1592" s="1">
        <v>1600</v>
      </c>
      <c r="O1592" s="1">
        <v>1200</v>
      </c>
      <c r="Q1592" s="1">
        <v>70</v>
      </c>
      <c r="Y1592" s="1">
        <v>0.05</v>
      </c>
      <c r="Z1592" s="1">
        <v>6</v>
      </c>
      <c r="AA1592" s="1">
        <v>6</v>
      </c>
      <c r="AB1592" s="1">
        <v>0.6</v>
      </c>
      <c r="AG1592" s="1">
        <v>0</v>
      </c>
      <c r="AH1592" s="1">
        <v>1</v>
      </c>
      <c r="AI1592" s="1" t="s">
        <v>5905</v>
      </c>
      <c r="AJ1592" s="1" t="s">
        <v>216</v>
      </c>
      <c r="AK1592" s="1" t="s">
        <v>238</v>
      </c>
      <c r="AM1592" s="1">
        <v>1</v>
      </c>
      <c r="AV1592" s="1">
        <v>1</v>
      </c>
      <c r="AX1592" s="1">
        <v>0.1</v>
      </c>
      <c r="BE1592" s="1" t="s">
        <v>5903</v>
      </c>
      <c r="BK1592" s="1" t="s">
        <v>1012</v>
      </c>
      <c r="BN1592" s="1" t="s">
        <v>217</v>
      </c>
      <c r="BO1592" s="1" t="s">
        <v>218</v>
      </c>
      <c r="BP1592" s="1" t="s">
        <v>239</v>
      </c>
      <c r="BQ1592" s="1" t="s">
        <v>220</v>
      </c>
      <c r="BT1592" s="1">
        <v>1</v>
      </c>
    </row>
    <row r="1593" spans="1:72">
      <c r="A1593" s="1" t="s">
        <v>5906</v>
      </c>
      <c r="B1593" s="1" t="s">
        <v>213</v>
      </c>
      <c r="C1593" s="1">
        <v>1</v>
      </c>
      <c r="D1593" s="1" t="s">
        <v>5904</v>
      </c>
      <c r="E1593" s="1">
        <v>2039</v>
      </c>
      <c r="F1593" s="1" t="s">
        <v>5903</v>
      </c>
      <c r="G1593" s="1">
        <v>1</v>
      </c>
      <c r="K1593" s="1">
        <v>45000</v>
      </c>
      <c r="M1593" s="1">
        <v>1000</v>
      </c>
      <c r="O1593" s="1">
        <v>360</v>
      </c>
      <c r="Q1593" s="1">
        <v>35</v>
      </c>
      <c r="Y1593" s="1">
        <v>0.05</v>
      </c>
      <c r="Z1593" s="1">
        <v>3</v>
      </c>
      <c r="AA1593" s="1">
        <v>6</v>
      </c>
      <c r="AB1593" s="1">
        <v>0.48</v>
      </c>
      <c r="AG1593" s="1">
        <v>0</v>
      </c>
      <c r="AH1593" s="1">
        <v>1</v>
      </c>
      <c r="AI1593" s="1" t="s">
        <v>5907</v>
      </c>
      <c r="AJ1593" s="1" t="s">
        <v>216</v>
      </c>
      <c r="AK1593" s="1" t="s">
        <v>238</v>
      </c>
      <c r="AM1593" s="1">
        <v>1</v>
      </c>
      <c r="AV1593" s="1">
        <v>1</v>
      </c>
      <c r="AX1593" s="1">
        <v>0.1</v>
      </c>
      <c r="BE1593" s="1" t="s">
        <v>5903</v>
      </c>
      <c r="BK1593" s="1" t="s">
        <v>959</v>
      </c>
      <c r="BN1593" s="1" t="s">
        <v>5908</v>
      </c>
      <c r="BO1593" s="1" t="s">
        <v>5908</v>
      </c>
      <c r="BP1593" s="1" t="s">
        <v>5909</v>
      </c>
      <c r="BQ1593" s="1" t="s">
        <v>5910</v>
      </c>
      <c r="BT1593" s="1">
        <v>1</v>
      </c>
    </row>
    <row r="1594" spans="1:72">
      <c r="A1594" s="1" t="s">
        <v>5911</v>
      </c>
      <c r="B1594" s="1" t="s">
        <v>213</v>
      </c>
      <c r="C1594" s="1">
        <v>1</v>
      </c>
      <c r="D1594" s="1" t="s">
        <v>5904</v>
      </c>
      <c r="E1594" s="1">
        <v>2039</v>
      </c>
      <c r="F1594" s="1" t="s">
        <v>5903</v>
      </c>
      <c r="G1594" s="1">
        <v>1</v>
      </c>
      <c r="K1594" s="1">
        <v>45000</v>
      </c>
      <c r="M1594" s="1">
        <v>1000</v>
      </c>
      <c r="O1594" s="1">
        <v>360</v>
      </c>
      <c r="Q1594" s="1">
        <v>35</v>
      </c>
      <c r="Y1594" s="1">
        <v>0.05</v>
      </c>
      <c r="Z1594" s="1">
        <v>3</v>
      </c>
      <c r="AA1594" s="1">
        <v>6</v>
      </c>
      <c r="AB1594" s="1">
        <v>0.48</v>
      </c>
      <c r="AG1594" s="1">
        <v>0</v>
      </c>
      <c r="AH1594" s="1">
        <v>1</v>
      </c>
      <c r="AI1594" s="1" t="s">
        <v>5912</v>
      </c>
      <c r="AJ1594" s="1" t="s">
        <v>216</v>
      </c>
      <c r="AK1594" s="1" t="s">
        <v>238</v>
      </c>
      <c r="AM1594" s="1">
        <v>1</v>
      </c>
      <c r="AV1594" s="1">
        <v>1</v>
      </c>
      <c r="AX1594" s="1">
        <v>0.1</v>
      </c>
      <c r="BE1594" s="1" t="s">
        <v>5903</v>
      </c>
      <c r="BK1594" s="1" t="s">
        <v>959</v>
      </c>
      <c r="BN1594" s="1" t="s">
        <v>5908</v>
      </c>
      <c r="BO1594" s="1" t="s">
        <v>5908</v>
      </c>
      <c r="BP1594" s="1" t="s">
        <v>5909</v>
      </c>
      <c r="BQ1594" s="1" t="s">
        <v>5910</v>
      </c>
      <c r="BT1594" s="1">
        <v>1</v>
      </c>
    </row>
    <row r="1595" spans="1:72">
      <c r="A1595" s="1" t="s">
        <v>5913</v>
      </c>
      <c r="B1595" s="1" t="s">
        <v>213</v>
      </c>
      <c r="C1595" s="1">
        <v>1</v>
      </c>
      <c r="D1595" s="1" t="s">
        <v>5914</v>
      </c>
      <c r="E1595" s="1">
        <v>2041</v>
      </c>
      <c r="F1595" s="1" t="s">
        <v>5913</v>
      </c>
      <c r="G1595" s="1">
        <v>1</v>
      </c>
      <c r="K1595" s="1">
        <v>20000</v>
      </c>
      <c r="M1595" s="1">
        <v>800</v>
      </c>
      <c r="O1595" s="1">
        <v>2000</v>
      </c>
      <c r="Q1595" s="1">
        <v>70</v>
      </c>
      <c r="Y1595" s="1">
        <v>0.05</v>
      </c>
      <c r="Z1595" s="1">
        <v>3.5</v>
      </c>
      <c r="AA1595" s="1">
        <v>0</v>
      </c>
      <c r="AB1595" s="1">
        <v>0.4</v>
      </c>
      <c r="AG1595" s="1">
        <v>0</v>
      </c>
      <c r="AH1595" s="1">
        <v>1</v>
      </c>
      <c r="AI1595" s="1" t="s">
        <v>5915</v>
      </c>
      <c r="AJ1595" s="1" t="s">
        <v>275</v>
      </c>
      <c r="AK1595" s="1" t="s">
        <v>238</v>
      </c>
      <c r="AM1595" s="1">
        <v>1</v>
      </c>
      <c r="AV1595" s="1">
        <v>1</v>
      </c>
      <c r="AX1595" s="1">
        <v>0.1</v>
      </c>
      <c r="BE1595" s="1" t="s">
        <v>5913</v>
      </c>
      <c r="BK1595" s="1" t="s">
        <v>5916</v>
      </c>
      <c r="BN1595" s="1" t="s">
        <v>217</v>
      </c>
      <c r="BO1595" s="1" t="s">
        <v>218</v>
      </c>
      <c r="BP1595" s="1" t="s">
        <v>239</v>
      </c>
      <c r="BQ1595" s="1" t="s">
        <v>220</v>
      </c>
      <c r="BT1595" s="1">
        <v>1</v>
      </c>
    </row>
    <row r="1596" spans="1:72">
      <c r="A1596" s="1" t="s">
        <v>5917</v>
      </c>
      <c r="B1596" s="1" t="s">
        <v>213</v>
      </c>
      <c r="C1596" s="1">
        <v>1</v>
      </c>
      <c r="D1596" s="1" t="s">
        <v>5918</v>
      </c>
      <c r="E1596" s="1">
        <v>2042</v>
      </c>
      <c r="F1596" s="1" t="s">
        <v>5917</v>
      </c>
      <c r="G1596" s="1">
        <v>1</v>
      </c>
      <c r="K1596" s="1">
        <v>150000</v>
      </c>
      <c r="M1596" s="1">
        <v>1200</v>
      </c>
      <c r="O1596" s="1">
        <v>2000</v>
      </c>
      <c r="Q1596" s="1">
        <v>70</v>
      </c>
      <c r="Y1596" s="1">
        <v>0.05</v>
      </c>
      <c r="Z1596" s="1">
        <v>4</v>
      </c>
      <c r="AA1596" s="1">
        <v>6</v>
      </c>
      <c r="AB1596" s="1">
        <v>0.4</v>
      </c>
      <c r="AG1596" s="1">
        <v>0</v>
      </c>
      <c r="AH1596" s="1">
        <v>1</v>
      </c>
      <c r="AI1596" s="1" t="s">
        <v>5919</v>
      </c>
      <c r="AJ1596" s="1" t="s">
        <v>275</v>
      </c>
      <c r="AK1596" s="1" t="s">
        <v>238</v>
      </c>
      <c r="AM1596" s="1">
        <v>1</v>
      </c>
      <c r="AV1596" s="1">
        <v>30</v>
      </c>
      <c r="AX1596" s="1">
        <v>0.1</v>
      </c>
      <c r="BE1596" s="1" t="s">
        <v>5917</v>
      </c>
      <c r="BK1596" s="1" t="s">
        <v>1351</v>
      </c>
      <c r="BN1596" s="1" t="s">
        <v>217</v>
      </c>
      <c r="BO1596" s="1" t="s">
        <v>218</v>
      </c>
      <c r="BP1596" s="1" t="s">
        <v>239</v>
      </c>
      <c r="BQ1596" s="1" t="s">
        <v>220</v>
      </c>
      <c r="BT1596" s="1">
        <v>1</v>
      </c>
    </row>
    <row r="1597" spans="1:72">
      <c r="A1597" s="1" t="s">
        <v>5920</v>
      </c>
      <c r="B1597" s="1" t="s">
        <v>213</v>
      </c>
      <c r="C1597" s="1">
        <v>1</v>
      </c>
      <c r="D1597" s="1" t="s">
        <v>5921</v>
      </c>
      <c r="E1597" s="23" t="s">
        <v>5922</v>
      </c>
      <c r="F1597" s="1" t="s">
        <v>5920</v>
      </c>
      <c r="G1597" s="1">
        <v>1</v>
      </c>
      <c r="K1597" s="1">
        <v>5000</v>
      </c>
      <c r="M1597" s="1">
        <v>0</v>
      </c>
      <c r="O1597" s="1">
        <v>200</v>
      </c>
      <c r="Q1597" s="1">
        <v>0</v>
      </c>
      <c r="Y1597" s="1">
        <v>0.05</v>
      </c>
      <c r="AA1597" s="1">
        <v>5</v>
      </c>
      <c r="AB1597" s="1">
        <v>0</v>
      </c>
      <c r="AG1597" s="1">
        <v>0</v>
      </c>
      <c r="AH1597" s="1">
        <v>1</v>
      </c>
      <c r="AI1597" s="1" t="s">
        <v>5923</v>
      </c>
      <c r="AJ1597" s="1" t="s">
        <v>216</v>
      </c>
      <c r="AK1597" s="1" t="s">
        <v>238</v>
      </c>
      <c r="AM1597" s="1">
        <v>1</v>
      </c>
      <c r="AV1597" s="1">
        <v>0</v>
      </c>
      <c r="AX1597" s="1">
        <v>0.1</v>
      </c>
      <c r="BE1597" s="1" t="s">
        <v>5891</v>
      </c>
      <c r="BK1597" s="1" t="s">
        <v>3140</v>
      </c>
      <c r="BN1597" s="1" t="s">
        <v>217</v>
      </c>
      <c r="BO1597" s="1" t="s">
        <v>218</v>
      </c>
      <c r="BP1597" s="1" t="s">
        <v>218</v>
      </c>
      <c r="BQ1597" s="1" t="s">
        <v>220</v>
      </c>
      <c r="BT1597" s="1">
        <v>1</v>
      </c>
    </row>
    <row r="1598" spans="1:72">
      <c r="A1598" s="1" t="s">
        <v>5924</v>
      </c>
      <c r="B1598" s="1" t="s">
        <v>213</v>
      </c>
      <c r="C1598" s="1">
        <v>1</v>
      </c>
      <c r="D1598" s="1" t="s">
        <v>5925</v>
      </c>
      <c r="E1598" s="23" t="s">
        <v>5926</v>
      </c>
      <c r="F1598" s="1" t="s">
        <v>5924</v>
      </c>
      <c r="G1598" s="1">
        <v>1</v>
      </c>
      <c r="K1598" s="1">
        <v>5000</v>
      </c>
      <c r="M1598" s="1">
        <v>0</v>
      </c>
      <c r="O1598" s="1">
        <v>200</v>
      </c>
      <c r="Q1598" s="1">
        <v>0</v>
      </c>
      <c r="Y1598" s="1">
        <v>0.05</v>
      </c>
      <c r="AA1598" s="1">
        <v>5</v>
      </c>
      <c r="AB1598" s="1">
        <v>0</v>
      </c>
      <c r="AG1598" s="1">
        <v>0</v>
      </c>
      <c r="AH1598" s="1">
        <v>1</v>
      </c>
      <c r="AI1598" s="1" t="s">
        <v>5927</v>
      </c>
      <c r="AJ1598" s="1" t="s">
        <v>216</v>
      </c>
      <c r="AK1598" s="1" t="s">
        <v>238</v>
      </c>
      <c r="AM1598" s="1">
        <v>1</v>
      </c>
      <c r="AV1598" s="1">
        <v>0</v>
      </c>
      <c r="AX1598" s="1">
        <v>0.1</v>
      </c>
      <c r="BE1598" s="1" t="s">
        <v>5891</v>
      </c>
      <c r="BK1598" s="1" t="s">
        <v>3140</v>
      </c>
      <c r="BN1598" s="1" t="s">
        <v>217</v>
      </c>
      <c r="BO1598" s="1" t="s">
        <v>218</v>
      </c>
      <c r="BP1598" s="1" t="s">
        <v>218</v>
      </c>
      <c r="BQ1598" s="1" t="s">
        <v>218</v>
      </c>
      <c r="BT1598" s="1">
        <v>1</v>
      </c>
    </row>
    <row r="1599" spans="1:72">
      <c r="A1599" s="1" t="s">
        <v>5928</v>
      </c>
      <c r="B1599" s="1" t="s">
        <v>213</v>
      </c>
      <c r="C1599" s="1">
        <v>1</v>
      </c>
      <c r="D1599" s="1" t="s">
        <v>5929</v>
      </c>
      <c r="E1599" s="1">
        <v>2043</v>
      </c>
      <c r="F1599" s="1" t="s">
        <v>5928</v>
      </c>
      <c r="G1599" s="1">
        <v>1</v>
      </c>
      <c r="K1599" s="1">
        <v>4000</v>
      </c>
      <c r="M1599" s="1">
        <v>400</v>
      </c>
      <c r="O1599" s="1">
        <v>200</v>
      </c>
      <c r="Q1599" s="1">
        <v>0</v>
      </c>
      <c r="Y1599" s="1">
        <v>0.05</v>
      </c>
      <c r="Z1599" s="1">
        <v>1.5</v>
      </c>
      <c r="AA1599" s="1">
        <v>1</v>
      </c>
      <c r="AB1599" s="1">
        <v>1</v>
      </c>
      <c r="AG1599" s="1">
        <v>0</v>
      </c>
      <c r="AH1599" s="1">
        <v>1</v>
      </c>
      <c r="AI1599" s="1" t="s">
        <v>5930</v>
      </c>
      <c r="AJ1599" s="1" t="s">
        <v>275</v>
      </c>
      <c r="AK1599" s="1" t="s">
        <v>238</v>
      </c>
      <c r="AM1599" s="1">
        <v>1</v>
      </c>
      <c r="AV1599" s="1">
        <v>1</v>
      </c>
      <c r="AX1599" s="1">
        <v>0.1</v>
      </c>
      <c r="BE1599" s="1" t="s">
        <v>5928</v>
      </c>
      <c r="BK1599" s="1" t="s">
        <v>4654</v>
      </c>
      <c r="BN1599" s="1" t="s">
        <v>217</v>
      </c>
      <c r="BO1599" s="1" t="s">
        <v>218</v>
      </c>
      <c r="BP1599" s="1" t="s">
        <v>239</v>
      </c>
      <c r="BQ1599" s="1" t="s">
        <v>220</v>
      </c>
      <c r="BT1599" s="1">
        <v>1</v>
      </c>
    </row>
    <row r="1600" spans="1:72">
      <c r="A1600" s="1" t="s">
        <v>5931</v>
      </c>
      <c r="B1600" s="1" t="s">
        <v>213</v>
      </c>
      <c r="C1600" s="1">
        <v>1</v>
      </c>
      <c r="D1600" s="1" t="s">
        <v>5932</v>
      </c>
      <c r="E1600" s="1">
        <v>2043</v>
      </c>
      <c r="F1600" s="1" t="s">
        <v>5931</v>
      </c>
      <c r="G1600" s="1">
        <v>1</v>
      </c>
      <c r="K1600" s="1">
        <v>6400</v>
      </c>
      <c r="M1600" s="1">
        <v>480</v>
      </c>
      <c r="O1600" s="1">
        <v>300</v>
      </c>
      <c r="Q1600" s="1">
        <v>0</v>
      </c>
      <c r="Y1600" s="1">
        <v>0.05</v>
      </c>
      <c r="Z1600" s="1">
        <v>1.5</v>
      </c>
      <c r="AA1600" s="1">
        <v>1</v>
      </c>
      <c r="AB1600" s="1">
        <v>1</v>
      </c>
      <c r="AG1600" s="1">
        <v>0</v>
      </c>
      <c r="AH1600" s="1">
        <v>1</v>
      </c>
      <c r="AI1600" s="1" t="s">
        <v>5933</v>
      </c>
      <c r="AJ1600" s="1" t="s">
        <v>275</v>
      </c>
      <c r="AK1600" s="1" t="s">
        <v>238</v>
      </c>
      <c r="AM1600" s="1">
        <v>1</v>
      </c>
      <c r="AV1600" s="1">
        <v>1</v>
      </c>
      <c r="AX1600" s="1">
        <v>0.1</v>
      </c>
      <c r="BE1600" s="1" t="s">
        <v>5931</v>
      </c>
      <c r="BK1600" s="1" t="s">
        <v>4654</v>
      </c>
      <c r="BN1600" s="1" t="s">
        <v>217</v>
      </c>
      <c r="BO1600" s="1" t="s">
        <v>218</v>
      </c>
      <c r="BP1600" s="1" t="s">
        <v>239</v>
      </c>
      <c r="BQ1600" s="1" t="s">
        <v>220</v>
      </c>
      <c r="BT1600" s="1">
        <v>1</v>
      </c>
    </row>
    <row r="1601" spans="1:72">
      <c r="A1601" s="1" t="s">
        <v>5934</v>
      </c>
      <c r="B1601" s="1" t="s">
        <v>213</v>
      </c>
      <c r="C1601" s="1">
        <v>1</v>
      </c>
      <c r="D1601" s="1" t="s">
        <v>5935</v>
      </c>
      <c r="E1601" s="1">
        <v>2044</v>
      </c>
      <c r="F1601" s="1" t="s">
        <v>5934</v>
      </c>
      <c r="G1601" s="1">
        <v>1</v>
      </c>
      <c r="K1601" s="1">
        <v>8000</v>
      </c>
      <c r="M1601" s="1">
        <v>350</v>
      </c>
      <c r="O1601" s="1">
        <v>300</v>
      </c>
      <c r="Q1601" s="1">
        <v>50</v>
      </c>
      <c r="Y1601" s="1">
        <v>0.05</v>
      </c>
      <c r="Z1601" s="1">
        <v>2.5</v>
      </c>
      <c r="AA1601" s="1">
        <v>1</v>
      </c>
      <c r="AB1601" s="1">
        <v>0.6</v>
      </c>
      <c r="AG1601" s="1">
        <v>0</v>
      </c>
      <c r="AH1601" s="1">
        <v>1</v>
      </c>
      <c r="AI1601" s="1" t="s">
        <v>5936</v>
      </c>
      <c r="AJ1601" s="1" t="s">
        <v>275</v>
      </c>
      <c r="AK1601" s="1" t="s">
        <v>238</v>
      </c>
      <c r="AM1601" s="1">
        <v>1</v>
      </c>
      <c r="AV1601" s="1">
        <v>1</v>
      </c>
      <c r="AX1601" s="1">
        <v>0.1</v>
      </c>
      <c r="BE1601" s="1" t="s">
        <v>5934</v>
      </c>
      <c r="BK1601" s="1" t="s">
        <v>5937</v>
      </c>
      <c r="BN1601" s="1" t="s">
        <v>217</v>
      </c>
      <c r="BO1601" s="1" t="s">
        <v>218</v>
      </c>
      <c r="BP1601" s="1" t="s">
        <v>239</v>
      </c>
      <c r="BQ1601" s="1" t="s">
        <v>220</v>
      </c>
      <c r="BT1601" s="1">
        <v>1</v>
      </c>
    </row>
    <row r="1602" spans="1:72">
      <c r="A1602" s="1" t="s">
        <v>5938</v>
      </c>
      <c r="B1602" s="1" t="s">
        <v>213</v>
      </c>
      <c r="C1602" s="1">
        <v>1</v>
      </c>
      <c r="D1602" s="1" t="s">
        <v>5939</v>
      </c>
      <c r="E1602" s="1">
        <v>2044</v>
      </c>
      <c r="F1602" s="1" t="s">
        <v>5938</v>
      </c>
      <c r="G1602" s="1">
        <v>1</v>
      </c>
      <c r="K1602" s="1">
        <v>12000</v>
      </c>
      <c r="M1602" s="1">
        <v>520</v>
      </c>
      <c r="O1602" s="1">
        <v>480</v>
      </c>
      <c r="Q1602" s="1">
        <v>50</v>
      </c>
      <c r="Y1602" s="1">
        <v>0.05</v>
      </c>
      <c r="Z1602" s="1">
        <v>2.5</v>
      </c>
      <c r="AA1602" s="1">
        <v>1</v>
      </c>
      <c r="AB1602" s="1">
        <v>0.6</v>
      </c>
      <c r="AG1602" s="1">
        <v>0</v>
      </c>
      <c r="AH1602" s="1">
        <v>1</v>
      </c>
      <c r="AI1602" s="1" t="s">
        <v>5940</v>
      </c>
      <c r="AJ1602" s="1" t="s">
        <v>275</v>
      </c>
      <c r="AK1602" s="1" t="s">
        <v>238</v>
      </c>
      <c r="AM1602" s="1">
        <v>1</v>
      </c>
      <c r="AV1602" s="1">
        <v>1</v>
      </c>
      <c r="AX1602" s="1">
        <v>0.1</v>
      </c>
      <c r="BE1602" s="1" t="s">
        <v>5938</v>
      </c>
      <c r="BK1602" s="1" t="s">
        <v>5937</v>
      </c>
      <c r="BN1602" s="1" t="s">
        <v>217</v>
      </c>
      <c r="BO1602" s="1" t="s">
        <v>218</v>
      </c>
      <c r="BP1602" s="1" t="s">
        <v>239</v>
      </c>
      <c r="BQ1602" s="1" t="s">
        <v>220</v>
      </c>
      <c r="BT1602" s="1">
        <v>1</v>
      </c>
    </row>
    <row r="1603" spans="1:72">
      <c r="A1603" s="1" t="s">
        <v>5941</v>
      </c>
      <c r="B1603" s="1" t="s">
        <v>213</v>
      </c>
      <c r="C1603" s="1">
        <v>1</v>
      </c>
      <c r="D1603" s="1" t="s">
        <v>5942</v>
      </c>
      <c r="E1603" s="1">
        <v>2045</v>
      </c>
      <c r="F1603" s="1" t="s">
        <v>5941</v>
      </c>
      <c r="G1603" s="1">
        <v>1</v>
      </c>
      <c r="K1603" s="1">
        <v>3500</v>
      </c>
      <c r="M1603" s="1">
        <v>200</v>
      </c>
      <c r="O1603" s="1">
        <v>100</v>
      </c>
      <c r="Q1603" s="1">
        <v>65</v>
      </c>
      <c r="Y1603" s="1">
        <v>0.05</v>
      </c>
      <c r="Z1603" s="1">
        <v>2</v>
      </c>
      <c r="AA1603" s="1">
        <v>1</v>
      </c>
      <c r="AB1603" s="1">
        <v>2</v>
      </c>
      <c r="AG1603" s="1">
        <v>0</v>
      </c>
      <c r="AH1603" s="1">
        <v>1</v>
      </c>
      <c r="AI1603" s="1" t="s">
        <v>5943</v>
      </c>
      <c r="AJ1603" s="1" t="s">
        <v>275</v>
      </c>
      <c r="AK1603" s="1" t="s">
        <v>238</v>
      </c>
      <c r="AM1603" s="1">
        <v>1</v>
      </c>
      <c r="AN1603" s="1">
        <v>1</v>
      </c>
      <c r="AV1603" s="1">
        <v>1</v>
      </c>
      <c r="AX1603" s="1">
        <v>0.1</v>
      </c>
      <c r="BE1603" s="1" t="s">
        <v>5941</v>
      </c>
      <c r="BK1603" s="1" t="s">
        <v>5937</v>
      </c>
      <c r="BN1603" s="1" t="s">
        <v>217</v>
      </c>
      <c r="BO1603" s="1" t="s">
        <v>218</v>
      </c>
      <c r="BP1603" s="1" t="s">
        <v>239</v>
      </c>
      <c r="BQ1603" s="1" t="s">
        <v>220</v>
      </c>
      <c r="BT1603" s="1">
        <v>1</v>
      </c>
    </row>
    <row r="1604" spans="1:72">
      <c r="A1604" s="1" t="s">
        <v>5944</v>
      </c>
      <c r="B1604" s="1" t="s">
        <v>213</v>
      </c>
      <c r="C1604" s="1">
        <v>1</v>
      </c>
      <c r="D1604" s="1" t="s">
        <v>5945</v>
      </c>
      <c r="E1604" s="1">
        <v>2045</v>
      </c>
      <c r="F1604" s="1" t="s">
        <v>5944</v>
      </c>
      <c r="G1604" s="1">
        <v>1.5</v>
      </c>
      <c r="K1604" s="1">
        <v>7500</v>
      </c>
      <c r="M1604" s="1">
        <v>550</v>
      </c>
      <c r="O1604" s="1">
        <v>140</v>
      </c>
      <c r="Q1604" s="1">
        <v>65</v>
      </c>
      <c r="Y1604" s="1">
        <v>0.05</v>
      </c>
      <c r="Z1604" s="1">
        <v>3.3</v>
      </c>
      <c r="AA1604" s="1">
        <v>1</v>
      </c>
      <c r="AB1604" s="1">
        <v>1</v>
      </c>
      <c r="AG1604" s="1">
        <v>0</v>
      </c>
      <c r="AH1604" s="1">
        <v>1</v>
      </c>
      <c r="AI1604" s="1" t="s">
        <v>5946</v>
      </c>
      <c r="AJ1604" s="1" t="s">
        <v>275</v>
      </c>
      <c r="AK1604" s="1" t="s">
        <v>238</v>
      </c>
      <c r="AM1604" s="1">
        <v>1</v>
      </c>
      <c r="AN1604" s="1">
        <v>1</v>
      </c>
      <c r="AV1604" s="1">
        <v>1</v>
      </c>
      <c r="AX1604" s="1">
        <v>0.1</v>
      </c>
      <c r="BE1604" s="1" t="s">
        <v>5944</v>
      </c>
      <c r="BK1604" s="1" t="s">
        <v>5937</v>
      </c>
      <c r="BN1604" s="1" t="s">
        <v>217</v>
      </c>
      <c r="BO1604" s="1" t="s">
        <v>218</v>
      </c>
      <c r="BP1604" s="1" t="s">
        <v>239</v>
      </c>
      <c r="BQ1604" s="1" t="s">
        <v>220</v>
      </c>
      <c r="BT1604" s="1">
        <v>1</v>
      </c>
    </row>
    <row r="1605" spans="1:72">
      <c r="A1605" s="1" t="s">
        <v>5947</v>
      </c>
      <c r="B1605" s="1" t="s">
        <v>213</v>
      </c>
      <c r="C1605" s="1">
        <v>1</v>
      </c>
      <c r="D1605" s="1" t="s">
        <v>5948</v>
      </c>
      <c r="E1605" s="1">
        <v>2046</v>
      </c>
      <c r="F1605" s="1" t="s">
        <v>5947</v>
      </c>
      <c r="G1605" s="1">
        <v>1</v>
      </c>
      <c r="K1605" s="1">
        <v>20000</v>
      </c>
      <c r="M1605" s="1">
        <v>700</v>
      </c>
      <c r="O1605" s="1">
        <v>800</v>
      </c>
      <c r="Q1605" s="1">
        <v>20</v>
      </c>
      <c r="Y1605" s="1">
        <v>0.05</v>
      </c>
      <c r="Z1605" s="1">
        <v>1.2</v>
      </c>
      <c r="AA1605" s="1">
        <v>3</v>
      </c>
      <c r="AB1605" s="1">
        <v>2.5</v>
      </c>
      <c r="AG1605" s="1">
        <v>0</v>
      </c>
      <c r="AH1605" s="1">
        <v>1</v>
      </c>
      <c r="AI1605" s="1" t="s">
        <v>5949</v>
      </c>
      <c r="AJ1605" s="1" t="s">
        <v>275</v>
      </c>
      <c r="AK1605" s="1" t="s">
        <v>238</v>
      </c>
      <c r="AM1605" s="1">
        <v>1</v>
      </c>
      <c r="AV1605" s="1">
        <v>1</v>
      </c>
      <c r="AX1605" s="1">
        <v>0.1</v>
      </c>
      <c r="BE1605" s="1" t="s">
        <v>5947</v>
      </c>
      <c r="BK1605" s="1" t="s">
        <v>4662</v>
      </c>
      <c r="BN1605" s="1" t="s">
        <v>217</v>
      </c>
      <c r="BO1605" s="1" t="s">
        <v>218</v>
      </c>
      <c r="BP1605" s="1" t="s">
        <v>239</v>
      </c>
      <c r="BQ1605" s="1" t="s">
        <v>220</v>
      </c>
      <c r="BT1605" s="1">
        <v>1</v>
      </c>
    </row>
    <row r="1606" spans="1:72">
      <c r="A1606" s="1" t="s">
        <v>5950</v>
      </c>
      <c r="B1606" s="1" t="s">
        <v>213</v>
      </c>
      <c r="C1606" s="1">
        <v>1</v>
      </c>
      <c r="D1606" s="1" t="s">
        <v>5951</v>
      </c>
      <c r="E1606" s="1">
        <v>2046</v>
      </c>
      <c r="F1606" s="1" t="s">
        <v>5950</v>
      </c>
      <c r="G1606" s="1">
        <v>1</v>
      </c>
      <c r="K1606" s="1">
        <v>30000</v>
      </c>
      <c r="M1606" s="1">
        <v>1200</v>
      </c>
      <c r="O1606" s="1">
        <v>900</v>
      </c>
      <c r="Q1606" s="1">
        <v>20</v>
      </c>
      <c r="Y1606" s="1">
        <v>0.05</v>
      </c>
      <c r="Z1606" s="1">
        <v>1.2</v>
      </c>
      <c r="AA1606" s="1">
        <v>3</v>
      </c>
      <c r="AB1606" s="1">
        <v>3</v>
      </c>
      <c r="AG1606" s="1">
        <v>0</v>
      </c>
      <c r="AH1606" s="1">
        <v>1</v>
      </c>
      <c r="AI1606" s="1" t="s">
        <v>5952</v>
      </c>
      <c r="AJ1606" s="1" t="s">
        <v>275</v>
      </c>
      <c r="AK1606" s="1" t="s">
        <v>238</v>
      </c>
      <c r="AM1606" s="1">
        <v>1</v>
      </c>
      <c r="AV1606" s="1">
        <v>1</v>
      </c>
      <c r="AX1606" s="1">
        <v>0.1</v>
      </c>
      <c r="BE1606" s="1" t="s">
        <v>5950</v>
      </c>
      <c r="BK1606" s="1" t="s">
        <v>4662</v>
      </c>
      <c r="BN1606" s="1" t="s">
        <v>217</v>
      </c>
      <c r="BO1606" s="1" t="s">
        <v>218</v>
      </c>
      <c r="BP1606" s="1" t="s">
        <v>239</v>
      </c>
      <c r="BQ1606" s="1" t="s">
        <v>220</v>
      </c>
      <c r="BT1606" s="1">
        <v>1</v>
      </c>
    </row>
    <row r="1607" spans="1:72">
      <c r="A1607" s="1" t="s">
        <v>5953</v>
      </c>
      <c r="B1607" s="1" t="s">
        <v>213</v>
      </c>
      <c r="C1607" s="1">
        <v>1</v>
      </c>
      <c r="D1607" s="1" t="s">
        <v>5954</v>
      </c>
      <c r="E1607" s="1">
        <v>1134</v>
      </c>
      <c r="F1607" s="1" t="s">
        <v>5953</v>
      </c>
      <c r="G1607" s="1">
        <v>1</v>
      </c>
      <c r="K1607" s="1">
        <v>4000</v>
      </c>
      <c r="M1607" s="1">
        <v>1000</v>
      </c>
      <c r="O1607" s="1">
        <v>2000</v>
      </c>
      <c r="Q1607" s="1">
        <v>80</v>
      </c>
      <c r="Y1607" s="1">
        <v>0.05</v>
      </c>
      <c r="Z1607" s="1">
        <v>4</v>
      </c>
      <c r="AA1607" s="1">
        <v>4</v>
      </c>
      <c r="AB1607" s="1">
        <v>0.7</v>
      </c>
      <c r="AG1607" s="1">
        <v>0</v>
      </c>
      <c r="AH1607" s="1">
        <v>1</v>
      </c>
      <c r="AI1607" s="1" t="s">
        <v>5955</v>
      </c>
      <c r="AJ1607" s="1" t="s">
        <v>216</v>
      </c>
      <c r="AK1607" s="1" t="s">
        <v>238</v>
      </c>
      <c r="AM1607" s="1">
        <v>1</v>
      </c>
      <c r="AV1607" s="1">
        <v>1</v>
      </c>
      <c r="AX1607" s="1">
        <v>0.1</v>
      </c>
      <c r="BE1607" s="1" t="s">
        <v>5953</v>
      </c>
      <c r="BK1607" s="1" t="s">
        <v>2164</v>
      </c>
      <c r="BL1607" s="1" t="s">
        <v>2165</v>
      </c>
      <c r="BN1607" s="1" t="s">
        <v>217</v>
      </c>
      <c r="BO1607" s="1" t="s">
        <v>218</v>
      </c>
      <c r="BP1607" s="1" t="s">
        <v>239</v>
      </c>
      <c r="BQ1607" s="1" t="s">
        <v>220</v>
      </c>
      <c r="BT1607" s="1">
        <v>1</v>
      </c>
    </row>
    <row r="1608" spans="1:72">
      <c r="A1608" s="1" t="s">
        <v>5956</v>
      </c>
      <c r="B1608" s="1" t="s">
        <v>213</v>
      </c>
      <c r="C1608" s="1">
        <v>1</v>
      </c>
      <c r="D1608" s="1" t="s">
        <v>5957</v>
      </c>
      <c r="E1608" s="1">
        <v>1134</v>
      </c>
      <c r="F1608" s="1" t="s">
        <v>5956</v>
      </c>
      <c r="G1608" s="1">
        <v>1</v>
      </c>
      <c r="K1608" s="1">
        <v>7000</v>
      </c>
      <c r="M1608" s="1">
        <v>1500</v>
      </c>
      <c r="O1608" s="1">
        <v>2000</v>
      </c>
      <c r="Q1608" s="1">
        <v>80</v>
      </c>
      <c r="Y1608" s="1">
        <v>0.05</v>
      </c>
      <c r="Z1608" s="1">
        <v>4</v>
      </c>
      <c r="AA1608" s="1">
        <v>4</v>
      </c>
      <c r="AB1608" s="1">
        <v>0.7</v>
      </c>
      <c r="AG1608" s="1">
        <v>0</v>
      </c>
      <c r="AH1608" s="1">
        <v>1</v>
      </c>
      <c r="AI1608" s="1" t="s">
        <v>5958</v>
      </c>
      <c r="AJ1608" s="1" t="s">
        <v>216</v>
      </c>
      <c r="AK1608" s="1" t="s">
        <v>238</v>
      </c>
      <c r="AM1608" s="1">
        <v>1</v>
      </c>
      <c r="AV1608" s="1">
        <v>1</v>
      </c>
      <c r="AX1608" s="1">
        <v>0.1</v>
      </c>
      <c r="BE1608" s="1" t="s">
        <v>5956</v>
      </c>
      <c r="BK1608" s="1" t="s">
        <v>2164</v>
      </c>
      <c r="BL1608" s="1" t="s">
        <v>2169</v>
      </c>
      <c r="BN1608" s="1" t="s">
        <v>217</v>
      </c>
      <c r="BO1608" s="1" t="s">
        <v>218</v>
      </c>
      <c r="BP1608" s="1" t="s">
        <v>239</v>
      </c>
      <c r="BQ1608" s="1" t="s">
        <v>220</v>
      </c>
      <c r="BT1608" s="1">
        <v>1</v>
      </c>
    </row>
    <row r="1609" spans="1:72">
      <c r="A1609" s="1" t="s">
        <v>5959</v>
      </c>
      <c r="B1609" s="1" t="s">
        <v>213</v>
      </c>
      <c r="C1609" s="1">
        <v>1</v>
      </c>
      <c r="D1609" s="1" t="s">
        <v>5960</v>
      </c>
      <c r="E1609" s="1">
        <v>2048</v>
      </c>
      <c r="F1609" s="1" t="s">
        <v>5959</v>
      </c>
      <c r="G1609" s="1">
        <v>1</v>
      </c>
      <c r="K1609" s="1">
        <v>50000</v>
      </c>
      <c r="M1609" s="1">
        <v>800</v>
      </c>
      <c r="O1609" s="1">
        <v>300</v>
      </c>
      <c r="Q1609" s="1">
        <v>30</v>
      </c>
      <c r="Y1609" s="1">
        <v>0.05</v>
      </c>
      <c r="Z1609" s="1">
        <v>4</v>
      </c>
      <c r="AA1609" s="1">
        <v>4</v>
      </c>
      <c r="AB1609" s="1">
        <v>0.6</v>
      </c>
      <c r="AG1609" s="1">
        <v>0</v>
      </c>
      <c r="AH1609" s="1">
        <v>1</v>
      </c>
      <c r="AI1609" s="1" t="s">
        <v>5961</v>
      </c>
      <c r="AJ1609" s="1" t="s">
        <v>275</v>
      </c>
      <c r="AK1609" s="1" t="s">
        <v>238</v>
      </c>
      <c r="AM1609" s="1">
        <v>1</v>
      </c>
      <c r="AV1609" s="1">
        <v>5</v>
      </c>
      <c r="AX1609" s="1">
        <v>0.1</v>
      </c>
      <c r="BE1609" s="1" t="s">
        <v>5959</v>
      </c>
      <c r="BK1609" s="1" t="s">
        <v>5962</v>
      </c>
      <c r="BN1609" s="1" t="s">
        <v>217</v>
      </c>
      <c r="BO1609" s="1" t="s">
        <v>218</v>
      </c>
      <c r="BP1609" s="1" t="s">
        <v>239</v>
      </c>
      <c r="BQ1609" s="1" t="s">
        <v>220</v>
      </c>
      <c r="BT1609" s="1">
        <v>1</v>
      </c>
    </row>
    <row r="1610" spans="1:72">
      <c r="A1610" s="1" t="s">
        <v>5963</v>
      </c>
      <c r="B1610" s="1" t="s">
        <v>213</v>
      </c>
      <c r="C1610" s="1">
        <v>1</v>
      </c>
      <c r="D1610" s="1" t="s">
        <v>5964</v>
      </c>
      <c r="E1610" s="1">
        <v>2049</v>
      </c>
      <c r="F1610" s="1" t="s">
        <v>5963</v>
      </c>
      <c r="G1610" s="1">
        <v>1</v>
      </c>
      <c r="K1610" s="1">
        <v>60000</v>
      </c>
      <c r="M1610" s="1">
        <v>800</v>
      </c>
      <c r="O1610" s="1">
        <v>300</v>
      </c>
      <c r="Q1610" s="1">
        <v>30</v>
      </c>
      <c r="Y1610" s="1">
        <v>0.05</v>
      </c>
      <c r="Z1610" s="1">
        <v>4</v>
      </c>
      <c r="AA1610" s="1">
        <v>4</v>
      </c>
      <c r="AB1610" s="1">
        <v>0.4</v>
      </c>
      <c r="AG1610" s="1">
        <v>0</v>
      </c>
      <c r="AH1610" s="1">
        <v>1</v>
      </c>
      <c r="AI1610" s="1" t="s">
        <v>5965</v>
      </c>
      <c r="AJ1610" s="1" t="s">
        <v>275</v>
      </c>
      <c r="AK1610" s="1" t="s">
        <v>238</v>
      </c>
      <c r="AM1610" s="1">
        <v>1</v>
      </c>
      <c r="AV1610" s="1">
        <v>5</v>
      </c>
      <c r="AX1610" s="1">
        <v>0.1</v>
      </c>
      <c r="BE1610" s="1" t="s">
        <v>5963</v>
      </c>
      <c r="BK1610" s="1" t="s">
        <v>5962</v>
      </c>
      <c r="BN1610" s="1" t="s">
        <v>217</v>
      </c>
      <c r="BO1610" s="1" t="s">
        <v>218</v>
      </c>
      <c r="BP1610" s="1" t="s">
        <v>239</v>
      </c>
      <c r="BQ1610" s="1" t="s">
        <v>220</v>
      </c>
      <c r="BT1610" s="1">
        <v>1</v>
      </c>
    </row>
    <row r="1611" spans="1:72">
      <c r="A1611" s="1" t="s">
        <v>5966</v>
      </c>
      <c r="B1611" s="1" t="s">
        <v>213</v>
      </c>
      <c r="C1611" s="1">
        <v>1</v>
      </c>
      <c r="D1611" s="1" t="s">
        <v>5967</v>
      </c>
      <c r="E1611" s="1">
        <v>2050</v>
      </c>
      <c r="F1611" s="1" t="s">
        <v>5966</v>
      </c>
      <c r="G1611" s="1">
        <v>1</v>
      </c>
      <c r="K1611" s="1">
        <v>40000</v>
      </c>
      <c r="M1611" s="1">
        <v>600</v>
      </c>
      <c r="O1611" s="1">
        <v>300</v>
      </c>
      <c r="Q1611" s="1">
        <v>60</v>
      </c>
      <c r="Y1611" s="1">
        <v>0.05</v>
      </c>
      <c r="Z1611" s="1">
        <v>5</v>
      </c>
      <c r="AA1611" s="1">
        <v>3</v>
      </c>
      <c r="AB1611" s="1">
        <v>2.5</v>
      </c>
      <c r="AG1611" s="1">
        <v>0</v>
      </c>
      <c r="AH1611" s="1">
        <v>1</v>
      </c>
      <c r="AI1611" s="1" t="s">
        <v>5968</v>
      </c>
      <c r="AJ1611" s="1" t="s">
        <v>275</v>
      </c>
      <c r="AK1611" s="1" t="s">
        <v>238</v>
      </c>
      <c r="AM1611" s="1">
        <v>1</v>
      </c>
      <c r="AV1611" s="1">
        <v>5</v>
      </c>
      <c r="AX1611" s="1">
        <v>0.1</v>
      </c>
      <c r="BE1611" s="1" t="s">
        <v>5966</v>
      </c>
      <c r="BK1611" s="1" t="s">
        <v>5962</v>
      </c>
      <c r="BN1611" s="1" t="s">
        <v>217</v>
      </c>
      <c r="BO1611" s="1" t="s">
        <v>218</v>
      </c>
      <c r="BP1611" s="1" t="s">
        <v>239</v>
      </c>
      <c r="BQ1611" s="1" t="s">
        <v>220</v>
      </c>
      <c r="BT1611" s="1">
        <v>1</v>
      </c>
    </row>
    <row r="1612" spans="1:72">
      <c r="A1612" s="1" t="s">
        <v>5969</v>
      </c>
      <c r="B1612" s="1" t="s">
        <v>213</v>
      </c>
      <c r="C1612" s="1">
        <v>1</v>
      </c>
      <c r="D1612" s="1" t="s">
        <v>5970</v>
      </c>
      <c r="E1612" s="1">
        <v>2051</v>
      </c>
      <c r="F1612" s="1" t="s">
        <v>5969</v>
      </c>
      <c r="G1612" s="1">
        <v>1</v>
      </c>
      <c r="K1612" s="1">
        <v>45000</v>
      </c>
      <c r="M1612" s="1">
        <v>750</v>
      </c>
      <c r="O1612" s="1">
        <v>300</v>
      </c>
      <c r="Q1612" s="1">
        <v>60</v>
      </c>
      <c r="Y1612" s="1">
        <v>0.05</v>
      </c>
      <c r="Z1612" s="1">
        <v>5</v>
      </c>
      <c r="AA1612" s="1">
        <v>3</v>
      </c>
      <c r="AB1612" s="1">
        <v>2.5</v>
      </c>
      <c r="AG1612" s="1">
        <v>0</v>
      </c>
      <c r="AH1612" s="1">
        <v>1</v>
      </c>
      <c r="AI1612" s="1" t="s">
        <v>5971</v>
      </c>
      <c r="AJ1612" s="1" t="s">
        <v>275</v>
      </c>
      <c r="AK1612" s="1" t="s">
        <v>238</v>
      </c>
      <c r="AM1612" s="1">
        <v>1</v>
      </c>
      <c r="AV1612" s="1">
        <v>5</v>
      </c>
      <c r="AX1612" s="1">
        <v>0.1</v>
      </c>
      <c r="BE1612" s="1" t="s">
        <v>5969</v>
      </c>
      <c r="BK1612" s="1" t="s">
        <v>5962</v>
      </c>
      <c r="BN1612" s="1" t="s">
        <v>217</v>
      </c>
      <c r="BO1612" s="1" t="s">
        <v>218</v>
      </c>
      <c r="BP1612" s="1" t="s">
        <v>239</v>
      </c>
      <c r="BQ1612" s="1" t="s">
        <v>220</v>
      </c>
      <c r="BT1612" s="1">
        <v>1</v>
      </c>
    </row>
    <row r="1613" spans="1:72">
      <c r="A1613" s="1" t="s">
        <v>5972</v>
      </c>
      <c r="B1613" s="1" t="s">
        <v>213</v>
      </c>
      <c r="C1613" s="1">
        <v>1</v>
      </c>
      <c r="D1613" s="1" t="s">
        <v>5973</v>
      </c>
      <c r="E1613" s="1">
        <v>2052</v>
      </c>
      <c r="F1613" s="1" t="s">
        <v>5972</v>
      </c>
      <c r="G1613" s="1">
        <v>1</v>
      </c>
      <c r="K1613" s="1">
        <v>90000</v>
      </c>
      <c r="M1613" s="1">
        <v>1200</v>
      </c>
      <c r="O1613" s="1">
        <v>700</v>
      </c>
      <c r="Q1613" s="1">
        <v>30</v>
      </c>
      <c r="Y1613" s="1">
        <v>0.05</v>
      </c>
      <c r="Z1613" s="1">
        <v>3</v>
      </c>
      <c r="AA1613" s="1">
        <v>5</v>
      </c>
      <c r="AB1613" s="1">
        <v>0.5</v>
      </c>
      <c r="AG1613" s="1">
        <v>0</v>
      </c>
      <c r="AH1613" s="1">
        <v>1</v>
      </c>
      <c r="AI1613" s="1" t="s">
        <v>5974</v>
      </c>
      <c r="AJ1613" s="1" t="s">
        <v>275</v>
      </c>
      <c r="AK1613" s="1" t="s">
        <v>238</v>
      </c>
      <c r="AM1613" s="1">
        <v>1</v>
      </c>
      <c r="AV1613" s="1">
        <v>5</v>
      </c>
      <c r="AX1613" s="1">
        <v>0.1</v>
      </c>
      <c r="BE1613" s="1" t="s">
        <v>5972</v>
      </c>
      <c r="BK1613" s="1" t="s">
        <v>1771</v>
      </c>
      <c r="BN1613" s="1" t="s">
        <v>217</v>
      </c>
      <c r="BO1613" s="1" t="s">
        <v>218</v>
      </c>
      <c r="BP1613" s="1" t="s">
        <v>239</v>
      </c>
      <c r="BQ1613" s="1" t="s">
        <v>220</v>
      </c>
      <c r="BT1613" s="1">
        <v>1</v>
      </c>
    </row>
    <row r="1614" spans="1:72">
      <c r="A1614" s="1" t="s">
        <v>5975</v>
      </c>
      <c r="B1614" s="1" t="s">
        <v>213</v>
      </c>
      <c r="C1614" s="1">
        <v>1</v>
      </c>
      <c r="D1614" s="1" t="s">
        <v>5976</v>
      </c>
      <c r="E1614" s="1">
        <v>2053</v>
      </c>
      <c r="F1614" s="1" t="s">
        <v>5975</v>
      </c>
      <c r="G1614" s="1">
        <v>1</v>
      </c>
      <c r="K1614" s="1">
        <v>100000</v>
      </c>
      <c r="M1614" s="1">
        <v>1200</v>
      </c>
      <c r="O1614" s="1">
        <v>1200</v>
      </c>
      <c r="Q1614" s="1">
        <v>40</v>
      </c>
      <c r="Y1614" s="1">
        <v>0.05</v>
      </c>
      <c r="Z1614" s="1">
        <v>2.5</v>
      </c>
      <c r="AA1614" s="1">
        <v>5</v>
      </c>
      <c r="AB1614" s="1">
        <v>0.5</v>
      </c>
      <c r="AG1614" s="1">
        <v>0</v>
      </c>
      <c r="AH1614" s="1">
        <v>1</v>
      </c>
      <c r="AI1614" s="1" t="s">
        <v>5977</v>
      </c>
      <c r="AJ1614" s="1" t="s">
        <v>275</v>
      </c>
      <c r="AK1614" s="1" t="s">
        <v>238</v>
      </c>
      <c r="AM1614" s="1">
        <v>1</v>
      </c>
      <c r="AV1614" s="1">
        <v>5</v>
      </c>
      <c r="AX1614" s="1">
        <v>0.1</v>
      </c>
      <c r="BE1614" s="1" t="s">
        <v>5975</v>
      </c>
      <c r="BK1614" s="1" t="s">
        <v>1771</v>
      </c>
      <c r="BN1614" s="1" t="s">
        <v>217</v>
      </c>
      <c r="BO1614" s="1" t="s">
        <v>218</v>
      </c>
      <c r="BP1614" s="1" t="s">
        <v>239</v>
      </c>
      <c r="BQ1614" s="1" t="s">
        <v>220</v>
      </c>
      <c r="BT1614" s="1">
        <v>1</v>
      </c>
    </row>
    <row r="1615" spans="1:72">
      <c r="A1615" s="1" t="s">
        <v>5978</v>
      </c>
      <c r="B1615" s="1" t="s">
        <v>213</v>
      </c>
      <c r="C1615" s="1">
        <v>1</v>
      </c>
      <c r="D1615" s="1" t="s">
        <v>5979</v>
      </c>
      <c r="E1615" s="1">
        <v>2054</v>
      </c>
      <c r="F1615" s="1" t="s">
        <v>5978</v>
      </c>
      <c r="G1615" s="1">
        <v>1</v>
      </c>
      <c r="K1615" s="1">
        <v>240000</v>
      </c>
      <c r="M1615" s="1">
        <v>800</v>
      </c>
      <c r="O1615" s="1">
        <v>800</v>
      </c>
      <c r="Q1615" s="1">
        <v>40</v>
      </c>
      <c r="Y1615" s="1">
        <v>0.05</v>
      </c>
      <c r="Z1615" s="1">
        <v>6</v>
      </c>
      <c r="AA1615" s="1">
        <v>10</v>
      </c>
      <c r="AB1615" s="1">
        <v>0</v>
      </c>
      <c r="AG1615" s="1">
        <v>0</v>
      </c>
      <c r="AH1615" s="1">
        <v>1</v>
      </c>
      <c r="AI1615" s="1" t="s">
        <v>5980</v>
      </c>
      <c r="AJ1615" s="1" t="s">
        <v>275</v>
      </c>
      <c r="AK1615" s="1" t="s">
        <v>238</v>
      </c>
      <c r="AM1615" s="1">
        <v>1</v>
      </c>
      <c r="AV1615" s="1">
        <v>30</v>
      </c>
      <c r="AX1615" s="1">
        <v>0.1</v>
      </c>
      <c r="AY1615" s="1" t="s">
        <v>5981</v>
      </c>
      <c r="BE1615" s="1" t="s">
        <v>5978</v>
      </c>
      <c r="BK1615" s="1" t="s">
        <v>1351</v>
      </c>
      <c r="BN1615" s="1" t="s">
        <v>217</v>
      </c>
      <c r="BO1615" s="1" t="s">
        <v>218</v>
      </c>
      <c r="BP1615" s="1" t="s">
        <v>218</v>
      </c>
      <c r="BQ1615" s="1" t="s">
        <v>220</v>
      </c>
      <c r="BT1615" s="1">
        <v>1</v>
      </c>
    </row>
    <row r="1616" spans="1:72">
      <c r="A1616" s="1" t="s">
        <v>5982</v>
      </c>
      <c r="B1616" s="1" t="s">
        <v>213</v>
      </c>
      <c r="C1616" s="1">
        <v>1</v>
      </c>
      <c r="D1616" s="1" t="s">
        <v>5983</v>
      </c>
      <c r="E1616" s="1">
        <v>2055</v>
      </c>
      <c r="F1616" s="1" t="s">
        <v>5982</v>
      </c>
      <c r="G1616" s="1">
        <v>1</v>
      </c>
      <c r="K1616" s="1">
        <v>150000</v>
      </c>
      <c r="M1616" s="1">
        <v>1000</v>
      </c>
      <c r="O1616" s="1">
        <v>3000</v>
      </c>
      <c r="Q1616" s="1">
        <v>30</v>
      </c>
      <c r="Y1616" s="1">
        <v>0.05</v>
      </c>
      <c r="Z1616" s="1">
        <v>2</v>
      </c>
      <c r="AA1616" s="1">
        <v>7</v>
      </c>
      <c r="AB1616" s="1">
        <v>1.1</v>
      </c>
      <c r="AG1616" s="1">
        <v>0</v>
      </c>
      <c r="AH1616" s="1">
        <v>1</v>
      </c>
      <c r="AI1616" s="1" t="s">
        <v>5984</v>
      </c>
      <c r="AJ1616" s="1" t="s">
        <v>275</v>
      </c>
      <c r="AK1616" s="1" t="s">
        <v>238</v>
      </c>
      <c r="AM1616" s="1">
        <v>1</v>
      </c>
      <c r="AV1616" s="1">
        <v>30</v>
      </c>
      <c r="AX1616" s="1">
        <v>0.1</v>
      </c>
      <c r="BE1616" s="1" t="s">
        <v>5982</v>
      </c>
      <c r="BK1616" s="1" t="s">
        <v>5985</v>
      </c>
      <c r="BN1616" s="1" t="s">
        <v>217</v>
      </c>
      <c r="BO1616" s="1" t="s">
        <v>218</v>
      </c>
      <c r="BP1616" s="1" t="s">
        <v>1960</v>
      </c>
      <c r="BQ1616" s="1" t="s">
        <v>220</v>
      </c>
      <c r="BT1616" s="1">
        <v>1</v>
      </c>
    </row>
    <row r="1617" spans="1:72">
      <c r="A1617" s="1" t="s">
        <v>5986</v>
      </c>
      <c r="B1617" s="1" t="s">
        <v>213</v>
      </c>
      <c r="C1617" s="1">
        <v>1</v>
      </c>
      <c r="D1617" s="1" t="s">
        <v>5987</v>
      </c>
      <c r="E1617" s="1">
        <v>2056</v>
      </c>
      <c r="F1617" s="1" t="s">
        <v>5986</v>
      </c>
      <c r="G1617" s="1">
        <v>1</v>
      </c>
      <c r="K1617" s="1">
        <v>80000</v>
      </c>
      <c r="M1617" s="1">
        <v>1000</v>
      </c>
      <c r="O1617" s="1">
        <v>1500</v>
      </c>
      <c r="Q1617" s="1">
        <v>50</v>
      </c>
      <c r="Y1617" s="1">
        <v>0.05</v>
      </c>
      <c r="Z1617" s="1">
        <v>5</v>
      </c>
      <c r="AA1617" s="1">
        <v>0</v>
      </c>
      <c r="AB1617" s="1">
        <v>0</v>
      </c>
      <c r="AG1617" s="1">
        <v>0</v>
      </c>
      <c r="AH1617" s="1">
        <v>1</v>
      </c>
      <c r="AI1617" s="1" t="s">
        <v>5988</v>
      </c>
      <c r="AJ1617" s="1" t="s">
        <v>275</v>
      </c>
      <c r="AK1617" s="1" t="s">
        <v>238</v>
      </c>
      <c r="AM1617" s="1">
        <v>1</v>
      </c>
      <c r="AV1617" s="1">
        <v>30</v>
      </c>
      <c r="AX1617" s="1">
        <v>0.1</v>
      </c>
      <c r="BE1617" s="1" t="s">
        <v>5986</v>
      </c>
      <c r="BK1617" s="1" t="s">
        <v>5962</v>
      </c>
      <c r="BN1617" s="1" t="s">
        <v>217</v>
      </c>
      <c r="BO1617" s="1" t="s">
        <v>218</v>
      </c>
      <c r="BP1617" s="1" t="s">
        <v>218</v>
      </c>
      <c r="BQ1617" s="1" t="s">
        <v>220</v>
      </c>
      <c r="BT1617" s="1">
        <v>1</v>
      </c>
    </row>
    <row r="1618" spans="1:72">
      <c r="A1618" s="1" t="s">
        <v>5989</v>
      </c>
      <c r="B1618" s="1" t="s">
        <v>213</v>
      </c>
      <c r="C1618" s="1">
        <v>1</v>
      </c>
      <c r="D1618" s="1" t="s">
        <v>5990</v>
      </c>
      <c r="E1618" s="1" t="s">
        <v>5991</v>
      </c>
      <c r="F1618" s="1" t="s">
        <v>5989</v>
      </c>
      <c r="G1618" s="1">
        <v>1.05</v>
      </c>
      <c r="K1618" s="1">
        <v>180000</v>
      </c>
      <c r="M1618" s="1">
        <v>1000</v>
      </c>
      <c r="O1618" s="1">
        <v>5000</v>
      </c>
      <c r="Q1618" s="1">
        <v>50</v>
      </c>
      <c r="Y1618" s="1">
        <v>0.05</v>
      </c>
      <c r="Z1618" s="1">
        <v>5</v>
      </c>
      <c r="AA1618" s="1">
        <v>7</v>
      </c>
      <c r="AB1618" s="1">
        <v>0.6</v>
      </c>
      <c r="AG1618" s="1">
        <v>0</v>
      </c>
      <c r="AH1618" s="1">
        <v>1</v>
      </c>
      <c r="AI1618" s="1" t="s">
        <v>5992</v>
      </c>
      <c r="AJ1618" s="1" t="s">
        <v>275</v>
      </c>
      <c r="AK1618" s="1" t="s">
        <v>238</v>
      </c>
      <c r="AM1618" s="1">
        <v>1</v>
      </c>
      <c r="AV1618" s="1">
        <v>30</v>
      </c>
      <c r="AX1618" s="1">
        <v>0.1</v>
      </c>
      <c r="BE1618" s="1" t="s">
        <v>5989</v>
      </c>
      <c r="BK1618" s="1" t="s">
        <v>5993</v>
      </c>
      <c r="BN1618" s="1" t="s">
        <v>217</v>
      </c>
      <c r="BO1618" s="1" t="s">
        <v>218</v>
      </c>
      <c r="BP1618" s="1" t="s">
        <v>239</v>
      </c>
      <c r="BQ1618" s="1" t="s">
        <v>220</v>
      </c>
      <c r="BT1618" s="1">
        <v>1</v>
      </c>
    </row>
    <row r="1619" spans="1:72">
      <c r="A1619" s="1" t="s">
        <v>5994</v>
      </c>
      <c r="B1619" s="1" t="s">
        <v>213</v>
      </c>
      <c r="C1619" s="1">
        <v>1</v>
      </c>
      <c r="D1619" s="1" t="s">
        <v>5995</v>
      </c>
      <c r="E1619" s="1">
        <v>2058</v>
      </c>
      <c r="F1619" s="1" t="s">
        <v>5994</v>
      </c>
      <c r="G1619" s="1">
        <v>1</v>
      </c>
      <c r="K1619" s="1">
        <v>180000</v>
      </c>
      <c r="M1619" s="1">
        <v>1000</v>
      </c>
      <c r="O1619" s="1">
        <v>1000</v>
      </c>
      <c r="Q1619" s="1">
        <v>90</v>
      </c>
      <c r="Y1619" s="1">
        <v>0.05</v>
      </c>
      <c r="Z1619" s="1">
        <v>4</v>
      </c>
      <c r="AA1619" s="1">
        <v>7</v>
      </c>
      <c r="AB1619" s="1">
        <v>0.6</v>
      </c>
      <c r="AG1619" s="1">
        <v>0</v>
      </c>
      <c r="AH1619" s="1">
        <v>1</v>
      </c>
      <c r="AI1619" s="1" t="s">
        <v>5996</v>
      </c>
      <c r="AJ1619" s="1" t="s">
        <v>275</v>
      </c>
      <c r="AK1619" s="1" t="s">
        <v>238</v>
      </c>
      <c r="AM1619" s="1">
        <v>1</v>
      </c>
      <c r="AV1619" s="1">
        <v>30</v>
      </c>
      <c r="AX1619" s="1">
        <v>0.1</v>
      </c>
      <c r="BE1619" s="1" t="s">
        <v>5994</v>
      </c>
      <c r="BK1619" s="1" t="s">
        <v>5997</v>
      </c>
      <c r="BN1619" s="1" t="s">
        <v>217</v>
      </c>
      <c r="BO1619" s="1" t="s">
        <v>218</v>
      </c>
      <c r="BP1619" s="1" t="s">
        <v>239</v>
      </c>
      <c r="BQ1619" s="1" t="s">
        <v>220</v>
      </c>
      <c r="BT1619" s="1">
        <v>1</v>
      </c>
    </row>
    <row r="1620" spans="1:72">
      <c r="A1620" s="1" t="s">
        <v>5998</v>
      </c>
      <c r="B1620" s="1" t="s">
        <v>213</v>
      </c>
      <c r="C1620" s="1">
        <v>1</v>
      </c>
      <c r="D1620" s="1" t="s">
        <v>5999</v>
      </c>
      <c r="E1620" s="1">
        <v>2059</v>
      </c>
      <c r="F1620" s="1" t="s">
        <v>5998</v>
      </c>
      <c r="G1620" s="1">
        <v>1</v>
      </c>
      <c r="K1620" s="1">
        <v>10000</v>
      </c>
      <c r="M1620" s="1">
        <v>600</v>
      </c>
      <c r="O1620" s="1">
        <v>500</v>
      </c>
      <c r="Q1620" s="1">
        <v>30</v>
      </c>
      <c r="Y1620" s="1">
        <v>0.05</v>
      </c>
      <c r="Z1620" s="1">
        <v>1.2</v>
      </c>
      <c r="AA1620" s="1">
        <v>3</v>
      </c>
      <c r="AB1620" s="1">
        <v>0.7</v>
      </c>
      <c r="AG1620" s="1">
        <v>0</v>
      </c>
      <c r="AH1620" s="1">
        <v>1</v>
      </c>
      <c r="AI1620" s="1" t="s">
        <v>6000</v>
      </c>
      <c r="AJ1620" s="1" t="s">
        <v>275</v>
      </c>
      <c r="AK1620" s="1" t="s">
        <v>238</v>
      </c>
      <c r="AM1620" s="1">
        <v>1</v>
      </c>
      <c r="AV1620" s="1">
        <v>2</v>
      </c>
      <c r="AX1620" s="1">
        <v>0.1</v>
      </c>
      <c r="BE1620" s="1" t="s">
        <v>5998</v>
      </c>
      <c r="BK1620" s="1" t="s">
        <v>4662</v>
      </c>
      <c r="BN1620" s="1" t="s">
        <v>217</v>
      </c>
      <c r="BO1620" s="1" t="s">
        <v>218</v>
      </c>
      <c r="BP1620" s="1" t="s">
        <v>239</v>
      </c>
      <c r="BQ1620" s="1" t="s">
        <v>220</v>
      </c>
      <c r="BT1620" s="1">
        <v>1</v>
      </c>
    </row>
    <row r="1621" spans="1:72">
      <c r="A1621" s="1" t="s">
        <v>6001</v>
      </c>
      <c r="B1621" s="1" t="s">
        <v>213</v>
      </c>
      <c r="C1621" s="1">
        <v>1</v>
      </c>
      <c r="D1621" s="1" t="s">
        <v>6002</v>
      </c>
      <c r="E1621" s="1">
        <v>2060</v>
      </c>
      <c r="F1621" s="1" t="s">
        <v>6001</v>
      </c>
      <c r="G1621" s="1">
        <v>1</v>
      </c>
      <c r="K1621" s="1">
        <v>4000</v>
      </c>
      <c r="M1621" s="1">
        <v>700</v>
      </c>
      <c r="O1621" s="1">
        <v>500</v>
      </c>
      <c r="Q1621" s="1">
        <v>30</v>
      </c>
      <c r="Y1621" s="1">
        <v>0.05</v>
      </c>
      <c r="Z1621" s="1">
        <v>3</v>
      </c>
      <c r="AA1621" s="1">
        <v>2</v>
      </c>
      <c r="AB1621" s="1">
        <v>1.1</v>
      </c>
      <c r="AG1621" s="1">
        <v>0</v>
      </c>
      <c r="AH1621" s="1">
        <v>1</v>
      </c>
      <c r="AI1621" s="1" t="s">
        <v>6003</v>
      </c>
      <c r="AJ1621" s="1" t="s">
        <v>275</v>
      </c>
      <c r="AK1621" s="1" t="s">
        <v>238</v>
      </c>
      <c r="AM1621" s="1">
        <v>1</v>
      </c>
      <c r="AV1621" s="1">
        <v>1</v>
      </c>
      <c r="AX1621" s="1">
        <v>0.1</v>
      </c>
      <c r="BE1621" s="1" t="s">
        <v>6001</v>
      </c>
      <c r="BK1621" s="1" t="s">
        <v>953</v>
      </c>
      <c r="BN1621" s="1" t="s">
        <v>217</v>
      </c>
      <c r="BO1621" s="1" t="s">
        <v>218</v>
      </c>
      <c r="BP1621" s="1" t="s">
        <v>239</v>
      </c>
      <c r="BQ1621" s="1" t="s">
        <v>220</v>
      </c>
      <c r="BT1621" s="1">
        <v>1</v>
      </c>
    </row>
    <row r="1622" spans="1:72">
      <c r="A1622" s="1" t="s">
        <v>6004</v>
      </c>
      <c r="B1622" s="1" t="s">
        <v>213</v>
      </c>
      <c r="C1622" s="1">
        <v>1</v>
      </c>
      <c r="D1622" s="1" t="s">
        <v>6005</v>
      </c>
      <c r="E1622" s="1">
        <v>2061</v>
      </c>
      <c r="F1622" s="1" t="s">
        <v>6004</v>
      </c>
      <c r="G1622" s="1">
        <v>1</v>
      </c>
      <c r="K1622" s="1">
        <v>20000</v>
      </c>
      <c r="M1622" s="1">
        <v>1200</v>
      </c>
      <c r="O1622" s="1">
        <v>300</v>
      </c>
      <c r="Q1622" s="1">
        <v>50</v>
      </c>
      <c r="Y1622" s="1">
        <v>0.05</v>
      </c>
      <c r="Z1622" s="1">
        <v>3</v>
      </c>
      <c r="AA1622" s="1">
        <v>4</v>
      </c>
      <c r="AB1622" s="1">
        <v>1.8</v>
      </c>
      <c r="AG1622" s="1">
        <v>0</v>
      </c>
      <c r="AH1622" s="1">
        <v>1</v>
      </c>
      <c r="AI1622" s="1" t="s">
        <v>6006</v>
      </c>
      <c r="AJ1622" s="1" t="s">
        <v>275</v>
      </c>
      <c r="AK1622" s="1" t="s">
        <v>238</v>
      </c>
      <c r="AM1622" s="1">
        <v>1</v>
      </c>
      <c r="AV1622" s="1">
        <v>1</v>
      </c>
      <c r="AX1622" s="1">
        <v>0.1</v>
      </c>
      <c r="BE1622" s="1" t="s">
        <v>6004</v>
      </c>
      <c r="BK1622" s="1" t="s">
        <v>953</v>
      </c>
      <c r="BN1622" s="1" t="s">
        <v>217</v>
      </c>
      <c r="BO1622" s="1" t="s">
        <v>218</v>
      </c>
      <c r="BP1622" s="1" t="s">
        <v>239</v>
      </c>
      <c r="BQ1622" s="1" t="s">
        <v>220</v>
      </c>
      <c r="BT1622" s="1">
        <v>1</v>
      </c>
    </row>
    <row r="1623" spans="1:72">
      <c r="A1623" s="1" t="s">
        <v>6007</v>
      </c>
      <c r="B1623" s="1" t="s">
        <v>213</v>
      </c>
      <c r="C1623" s="1">
        <v>1</v>
      </c>
      <c r="D1623" s="1" t="s">
        <v>6008</v>
      </c>
      <c r="E1623" s="23" t="s">
        <v>6009</v>
      </c>
      <c r="F1623" s="1" t="s">
        <v>6007</v>
      </c>
      <c r="G1623" s="1">
        <v>1</v>
      </c>
      <c r="K1623" s="1">
        <v>12000</v>
      </c>
      <c r="M1623" s="1">
        <v>0</v>
      </c>
      <c r="O1623" s="1">
        <v>1200</v>
      </c>
      <c r="Q1623" s="1">
        <v>50</v>
      </c>
      <c r="Y1623" s="1">
        <v>0.05</v>
      </c>
      <c r="Z1623" s="1">
        <v>1</v>
      </c>
      <c r="AA1623" s="1">
        <v>0</v>
      </c>
      <c r="AB1623" s="1">
        <v>0</v>
      </c>
      <c r="AG1623" s="1">
        <v>1</v>
      </c>
      <c r="AH1623" s="1">
        <v>1</v>
      </c>
      <c r="AI1623" s="1" t="s">
        <v>6010</v>
      </c>
      <c r="AJ1623" s="1" t="s">
        <v>216</v>
      </c>
      <c r="AK1623" s="1" t="s">
        <v>238</v>
      </c>
      <c r="AM1623" s="1">
        <v>1</v>
      </c>
      <c r="AV1623" s="1">
        <v>1</v>
      </c>
      <c r="AX1623" s="1">
        <v>0.1</v>
      </c>
      <c r="BE1623" s="1" t="s">
        <v>6007</v>
      </c>
      <c r="BK1623" s="1" t="s">
        <v>3437</v>
      </c>
      <c r="BN1623" s="1" t="s">
        <v>217</v>
      </c>
      <c r="BO1623" s="1" t="s">
        <v>218</v>
      </c>
      <c r="BP1623" s="1" t="s">
        <v>218</v>
      </c>
      <c r="BQ1623" s="1" t="s">
        <v>220</v>
      </c>
      <c r="BT1623" s="1">
        <v>1</v>
      </c>
    </row>
    <row r="1624" spans="1:72">
      <c r="A1624" s="1" t="s">
        <v>6011</v>
      </c>
      <c r="B1624" s="1" t="s">
        <v>213</v>
      </c>
      <c r="C1624" s="1">
        <v>1</v>
      </c>
      <c r="D1624" s="1" t="s">
        <v>6012</v>
      </c>
      <c r="E1624" s="1">
        <v>2063</v>
      </c>
      <c r="F1624" s="1" t="s">
        <v>6011</v>
      </c>
      <c r="G1624" s="1">
        <v>1</v>
      </c>
      <c r="K1624" s="1">
        <v>5000</v>
      </c>
      <c r="M1624" s="1">
        <v>260</v>
      </c>
      <c r="O1624" s="1">
        <v>100</v>
      </c>
      <c r="Q1624" s="1">
        <v>50</v>
      </c>
      <c r="Y1624" s="1">
        <v>0.05</v>
      </c>
      <c r="Z1624" s="1">
        <v>3.2</v>
      </c>
      <c r="AA1624" s="1">
        <v>1</v>
      </c>
      <c r="AB1624" s="1">
        <v>0.7</v>
      </c>
      <c r="AG1624" s="1">
        <v>0</v>
      </c>
      <c r="AH1624" s="1">
        <v>1</v>
      </c>
      <c r="AI1624" s="1" t="s">
        <v>6013</v>
      </c>
      <c r="AJ1624" s="1" t="s">
        <v>275</v>
      </c>
      <c r="AK1624" s="1" t="s">
        <v>238</v>
      </c>
      <c r="AM1624" s="1">
        <v>1</v>
      </c>
      <c r="AV1624" s="1">
        <v>1</v>
      </c>
      <c r="AX1624" s="1">
        <v>0.1</v>
      </c>
      <c r="BE1624" s="1" t="s">
        <v>6011</v>
      </c>
      <c r="BK1624" s="1" t="s">
        <v>3298</v>
      </c>
      <c r="BN1624" s="1" t="s">
        <v>217</v>
      </c>
      <c r="BO1624" s="1" t="s">
        <v>218</v>
      </c>
      <c r="BP1624" s="1" t="s">
        <v>239</v>
      </c>
      <c r="BQ1624" s="1" t="s">
        <v>220</v>
      </c>
      <c r="BT1624" s="1">
        <v>1</v>
      </c>
    </row>
    <row r="1625" spans="1:72">
      <c r="A1625" s="1" t="s">
        <v>6014</v>
      </c>
      <c r="B1625" s="1" t="s">
        <v>213</v>
      </c>
      <c r="C1625" s="1">
        <v>1</v>
      </c>
      <c r="D1625" s="1" t="s">
        <v>6015</v>
      </c>
      <c r="E1625" s="1">
        <v>2064</v>
      </c>
      <c r="F1625" s="1" t="s">
        <v>6014</v>
      </c>
      <c r="G1625" s="1">
        <v>1</v>
      </c>
      <c r="K1625" s="1">
        <v>10000</v>
      </c>
      <c r="M1625" s="1">
        <v>800</v>
      </c>
      <c r="O1625" s="1">
        <v>700</v>
      </c>
      <c r="Q1625" s="1">
        <v>20</v>
      </c>
      <c r="Y1625" s="1">
        <v>0.05</v>
      </c>
      <c r="Z1625" s="1">
        <v>3.5</v>
      </c>
      <c r="AA1625" s="1">
        <v>3</v>
      </c>
      <c r="AB1625" s="1">
        <v>0.6</v>
      </c>
      <c r="AG1625" s="1">
        <v>0</v>
      </c>
      <c r="AH1625" s="1">
        <v>1</v>
      </c>
      <c r="AI1625" s="1" t="s">
        <v>6016</v>
      </c>
      <c r="AJ1625" s="1" t="s">
        <v>275</v>
      </c>
      <c r="AK1625" s="1" t="s">
        <v>238</v>
      </c>
      <c r="AM1625" s="1">
        <v>1</v>
      </c>
      <c r="AV1625" s="1">
        <v>1</v>
      </c>
      <c r="AX1625" s="1">
        <v>0.1</v>
      </c>
      <c r="BE1625" s="1" t="s">
        <v>6014</v>
      </c>
      <c r="BK1625" s="1" t="s">
        <v>1496</v>
      </c>
      <c r="BN1625" s="1" t="s">
        <v>217</v>
      </c>
      <c r="BO1625" s="1" t="s">
        <v>218</v>
      </c>
      <c r="BP1625" s="1" t="s">
        <v>239</v>
      </c>
      <c r="BQ1625" s="1" t="s">
        <v>220</v>
      </c>
      <c r="BT1625" s="1">
        <v>1</v>
      </c>
    </row>
    <row r="1626" spans="1:72">
      <c r="A1626" s="1" t="s">
        <v>6017</v>
      </c>
      <c r="B1626" s="1" t="s">
        <v>213</v>
      </c>
      <c r="C1626" s="1">
        <v>1</v>
      </c>
      <c r="D1626" s="1" t="s">
        <v>6018</v>
      </c>
      <c r="E1626" s="1">
        <v>2064</v>
      </c>
      <c r="F1626" s="1" t="s">
        <v>6017</v>
      </c>
      <c r="G1626" s="1">
        <v>1</v>
      </c>
      <c r="K1626" s="1">
        <v>12000</v>
      </c>
      <c r="M1626" s="1">
        <v>900</v>
      </c>
      <c r="O1626" s="1">
        <v>800</v>
      </c>
      <c r="Q1626" s="1">
        <v>20</v>
      </c>
      <c r="Y1626" s="1">
        <v>0.05</v>
      </c>
      <c r="Z1626" s="1">
        <v>3.5</v>
      </c>
      <c r="AA1626" s="1">
        <v>3</v>
      </c>
      <c r="AB1626" s="1">
        <v>0.6</v>
      </c>
      <c r="AG1626" s="1">
        <v>0</v>
      </c>
      <c r="AH1626" s="1">
        <v>1</v>
      </c>
      <c r="AI1626" s="1" t="s">
        <v>6019</v>
      </c>
      <c r="AJ1626" s="1" t="s">
        <v>275</v>
      </c>
      <c r="AK1626" s="1" t="s">
        <v>238</v>
      </c>
      <c r="AM1626" s="1">
        <v>1</v>
      </c>
      <c r="AV1626" s="1">
        <v>1</v>
      </c>
      <c r="AX1626" s="1">
        <v>0.1</v>
      </c>
      <c r="BE1626" s="1" t="s">
        <v>6014</v>
      </c>
      <c r="BK1626" s="1" t="s">
        <v>1496</v>
      </c>
      <c r="BN1626" s="1" t="s">
        <v>217</v>
      </c>
      <c r="BO1626" s="1" t="s">
        <v>218</v>
      </c>
      <c r="BP1626" s="1" t="s">
        <v>239</v>
      </c>
      <c r="BQ1626" s="1" t="s">
        <v>220</v>
      </c>
      <c r="BT1626" s="1">
        <v>1</v>
      </c>
    </row>
    <row r="1627" spans="1:72">
      <c r="A1627" s="1" t="s">
        <v>6020</v>
      </c>
      <c r="B1627" s="1" t="s">
        <v>213</v>
      </c>
      <c r="C1627" s="1">
        <v>1</v>
      </c>
      <c r="D1627" s="1" t="s">
        <v>6021</v>
      </c>
      <c r="E1627" s="1">
        <v>2065</v>
      </c>
      <c r="F1627" s="1" t="s">
        <v>6020</v>
      </c>
      <c r="G1627" s="1">
        <v>1</v>
      </c>
      <c r="K1627" s="1">
        <v>15000</v>
      </c>
      <c r="M1627" s="1">
        <v>800</v>
      </c>
      <c r="O1627" s="1">
        <v>350</v>
      </c>
      <c r="Q1627" s="1">
        <v>50</v>
      </c>
      <c r="Y1627" s="1">
        <v>0.05</v>
      </c>
      <c r="Z1627" s="1">
        <v>2.2</v>
      </c>
      <c r="AA1627" s="1">
        <v>2</v>
      </c>
      <c r="AB1627" s="1">
        <v>0.8</v>
      </c>
      <c r="AG1627" s="1">
        <v>0</v>
      </c>
      <c r="AH1627" s="1">
        <v>1</v>
      </c>
      <c r="AI1627" s="1" t="s">
        <v>6022</v>
      </c>
      <c r="AJ1627" s="1" t="s">
        <v>275</v>
      </c>
      <c r="AK1627" s="1" t="s">
        <v>238</v>
      </c>
      <c r="AM1627" s="1">
        <v>1</v>
      </c>
      <c r="AV1627" s="1">
        <v>1</v>
      </c>
      <c r="AX1627" s="1">
        <v>0.1</v>
      </c>
      <c r="BE1627" s="1" t="s">
        <v>6020</v>
      </c>
      <c r="BK1627" s="1" t="s">
        <v>953</v>
      </c>
      <c r="BN1627" s="1" t="s">
        <v>217</v>
      </c>
      <c r="BO1627" s="1" t="s">
        <v>218</v>
      </c>
      <c r="BP1627" s="1" t="s">
        <v>239</v>
      </c>
      <c r="BQ1627" s="1" t="s">
        <v>220</v>
      </c>
      <c r="BT1627" s="1">
        <v>1</v>
      </c>
    </row>
    <row r="1628" spans="1:72">
      <c r="A1628" s="1" t="s">
        <v>6023</v>
      </c>
      <c r="B1628" s="1" t="s">
        <v>213</v>
      </c>
      <c r="C1628" s="1">
        <v>1</v>
      </c>
      <c r="D1628" s="1" t="s">
        <v>6024</v>
      </c>
      <c r="E1628" s="1">
        <v>2066</v>
      </c>
      <c r="F1628" s="1" t="s">
        <v>6023</v>
      </c>
      <c r="G1628" s="1">
        <v>1</v>
      </c>
      <c r="K1628" s="1">
        <v>15000</v>
      </c>
      <c r="M1628" s="1">
        <v>600</v>
      </c>
      <c r="O1628" s="1">
        <v>350</v>
      </c>
      <c r="Q1628" s="1">
        <v>60</v>
      </c>
      <c r="Y1628" s="1">
        <v>0.05</v>
      </c>
      <c r="Z1628" s="1">
        <v>3.5</v>
      </c>
      <c r="AA1628" s="1">
        <v>3</v>
      </c>
      <c r="AB1628" s="1">
        <v>0.6</v>
      </c>
      <c r="AG1628" s="1">
        <v>0</v>
      </c>
      <c r="AH1628" s="1">
        <v>1</v>
      </c>
      <c r="AI1628" s="1" t="s">
        <v>6025</v>
      </c>
      <c r="AJ1628" s="1" t="s">
        <v>275</v>
      </c>
      <c r="AK1628" s="1" t="s">
        <v>238</v>
      </c>
      <c r="AM1628" s="1">
        <v>1</v>
      </c>
      <c r="AV1628" s="1">
        <v>1</v>
      </c>
      <c r="AX1628" s="1">
        <v>0.1</v>
      </c>
      <c r="BE1628" s="1" t="s">
        <v>6023</v>
      </c>
      <c r="BK1628" s="1" t="s">
        <v>1096</v>
      </c>
      <c r="BN1628" s="1" t="s">
        <v>217</v>
      </c>
      <c r="BO1628" s="1" t="s">
        <v>218</v>
      </c>
      <c r="BP1628" s="1" t="s">
        <v>239</v>
      </c>
      <c r="BQ1628" s="1" t="s">
        <v>220</v>
      </c>
      <c r="BT1628" s="1">
        <v>1</v>
      </c>
    </row>
    <row r="1629" spans="1:72">
      <c r="A1629" s="1" t="s">
        <v>6026</v>
      </c>
      <c r="B1629" s="1" t="s">
        <v>213</v>
      </c>
      <c r="C1629" s="1">
        <v>1</v>
      </c>
      <c r="D1629" s="1" t="s">
        <v>6027</v>
      </c>
      <c r="E1629" s="1">
        <v>2067</v>
      </c>
      <c r="F1629" s="1" t="s">
        <v>6026</v>
      </c>
      <c r="G1629" s="1">
        <v>1</v>
      </c>
      <c r="K1629" s="1">
        <v>50000</v>
      </c>
      <c r="M1629" s="1">
        <v>1000</v>
      </c>
      <c r="O1629" s="1">
        <v>300</v>
      </c>
      <c r="Q1629" s="1">
        <v>10</v>
      </c>
      <c r="Y1629" s="1">
        <v>0.05</v>
      </c>
      <c r="Z1629" s="1">
        <v>3.5</v>
      </c>
      <c r="AA1629" s="1">
        <v>5</v>
      </c>
      <c r="AB1629" s="1">
        <v>0.7</v>
      </c>
      <c r="AG1629" s="1">
        <v>0</v>
      </c>
      <c r="AH1629" s="1">
        <v>1</v>
      </c>
      <c r="AI1629" s="1" t="s">
        <v>6028</v>
      </c>
      <c r="AJ1629" s="1" t="s">
        <v>275</v>
      </c>
      <c r="AK1629" s="1" t="s">
        <v>238</v>
      </c>
      <c r="AM1629" s="1">
        <v>1</v>
      </c>
      <c r="AV1629" s="1">
        <v>1</v>
      </c>
      <c r="AX1629" s="1">
        <v>0.1</v>
      </c>
      <c r="BE1629" s="1" t="s">
        <v>6026</v>
      </c>
      <c r="BK1629" s="1" t="s">
        <v>1012</v>
      </c>
      <c r="BN1629" s="1" t="s">
        <v>217</v>
      </c>
      <c r="BO1629" s="1" t="s">
        <v>218</v>
      </c>
      <c r="BP1629" s="1" t="s">
        <v>239</v>
      </c>
      <c r="BQ1629" s="1" t="s">
        <v>220</v>
      </c>
      <c r="BT1629" s="1">
        <v>1</v>
      </c>
    </row>
    <row r="1630" spans="1:72">
      <c r="A1630" s="1" t="s">
        <v>6029</v>
      </c>
      <c r="B1630" s="1" t="s">
        <v>213</v>
      </c>
      <c r="C1630" s="1">
        <v>1</v>
      </c>
      <c r="D1630" s="1" t="s">
        <v>6030</v>
      </c>
      <c r="E1630" s="1">
        <v>2068</v>
      </c>
      <c r="F1630" s="1" t="s">
        <v>6029</v>
      </c>
      <c r="G1630" s="1">
        <v>1</v>
      </c>
      <c r="K1630" s="1">
        <v>10000</v>
      </c>
      <c r="M1630" s="1">
        <v>800</v>
      </c>
      <c r="O1630" s="1">
        <v>500</v>
      </c>
      <c r="Q1630" s="1">
        <v>0</v>
      </c>
      <c r="Y1630" s="1">
        <v>0.05</v>
      </c>
      <c r="Z1630" s="1">
        <v>5</v>
      </c>
      <c r="AA1630" s="1">
        <v>2</v>
      </c>
      <c r="AB1630" s="1">
        <v>0.2</v>
      </c>
      <c r="AG1630" s="1">
        <v>0</v>
      </c>
      <c r="AH1630" s="1">
        <v>1</v>
      </c>
      <c r="AI1630" s="1" t="s">
        <v>6031</v>
      </c>
      <c r="AJ1630" s="1" t="s">
        <v>275</v>
      </c>
      <c r="AK1630" s="1" t="s">
        <v>238</v>
      </c>
      <c r="AM1630" s="1">
        <v>1</v>
      </c>
      <c r="AV1630" s="1">
        <v>0</v>
      </c>
      <c r="AX1630" s="1">
        <v>0.1</v>
      </c>
      <c r="BE1630" s="1" t="s">
        <v>6029</v>
      </c>
      <c r="BK1630" s="1" t="s">
        <v>4153</v>
      </c>
      <c r="BN1630" s="1" t="s">
        <v>217</v>
      </c>
      <c r="BO1630" s="1" t="s">
        <v>218</v>
      </c>
      <c r="BP1630" s="1" t="s">
        <v>239</v>
      </c>
      <c r="BQ1630" s="1" t="s">
        <v>220</v>
      </c>
      <c r="BT1630" s="1">
        <v>1</v>
      </c>
    </row>
    <row r="1631" spans="1:72">
      <c r="A1631" s="1" t="s">
        <v>6032</v>
      </c>
      <c r="B1631" s="1" t="s">
        <v>213</v>
      </c>
      <c r="C1631" s="1">
        <v>1</v>
      </c>
      <c r="D1631" s="1" t="s">
        <v>6033</v>
      </c>
      <c r="E1631" s="1">
        <v>2069</v>
      </c>
      <c r="F1631" s="1" t="s">
        <v>6032</v>
      </c>
      <c r="G1631" s="1">
        <v>1</v>
      </c>
      <c r="K1631" s="1">
        <v>8000</v>
      </c>
      <c r="M1631" s="1">
        <v>700</v>
      </c>
      <c r="O1631" s="1">
        <v>550</v>
      </c>
      <c r="Q1631" s="1">
        <v>20</v>
      </c>
      <c r="Y1631" s="1">
        <v>0.05</v>
      </c>
      <c r="Z1631" s="1">
        <v>2</v>
      </c>
      <c r="AA1631" s="1">
        <v>2</v>
      </c>
      <c r="AB1631" s="1">
        <v>0.7</v>
      </c>
      <c r="AG1631" s="1">
        <v>0</v>
      </c>
      <c r="AH1631" s="1">
        <v>1</v>
      </c>
      <c r="AI1631" s="1" t="s">
        <v>6034</v>
      </c>
      <c r="AJ1631" s="1" t="s">
        <v>275</v>
      </c>
      <c r="AK1631" s="1" t="s">
        <v>238</v>
      </c>
      <c r="AM1631" s="1">
        <v>1</v>
      </c>
      <c r="AV1631" s="1">
        <v>1</v>
      </c>
      <c r="AX1631" s="1">
        <v>0.1</v>
      </c>
      <c r="BE1631" s="1" t="s">
        <v>6032</v>
      </c>
      <c r="BK1631" s="1" t="s">
        <v>2407</v>
      </c>
      <c r="BN1631" s="1" t="s">
        <v>217</v>
      </c>
      <c r="BO1631" s="1" t="s">
        <v>218</v>
      </c>
      <c r="BP1631" s="1" t="s">
        <v>239</v>
      </c>
      <c r="BQ1631" s="1" t="s">
        <v>220</v>
      </c>
      <c r="BT1631" s="1">
        <v>1</v>
      </c>
    </row>
    <row r="1632" spans="1:72">
      <c r="A1632" s="1" t="s">
        <v>6035</v>
      </c>
      <c r="B1632" s="1" t="s">
        <v>213</v>
      </c>
      <c r="C1632" s="1">
        <v>1</v>
      </c>
      <c r="D1632" s="1" t="s">
        <v>6036</v>
      </c>
      <c r="E1632" s="1">
        <v>2070</v>
      </c>
      <c r="F1632" s="1" t="s">
        <v>6035</v>
      </c>
      <c r="G1632" s="1">
        <v>1</v>
      </c>
      <c r="K1632" s="1">
        <v>8000</v>
      </c>
      <c r="M1632" s="1">
        <v>700</v>
      </c>
      <c r="O1632" s="1">
        <v>550</v>
      </c>
      <c r="Q1632" s="1">
        <v>20</v>
      </c>
      <c r="Y1632" s="1">
        <v>0.05</v>
      </c>
      <c r="Z1632" s="1">
        <v>2</v>
      </c>
      <c r="AA1632" s="1">
        <v>2</v>
      </c>
      <c r="AB1632" s="1">
        <v>0.35</v>
      </c>
      <c r="AG1632" s="1">
        <v>0</v>
      </c>
      <c r="AH1632" s="1">
        <v>1</v>
      </c>
      <c r="AI1632" s="1" t="s">
        <v>6037</v>
      </c>
      <c r="AJ1632" s="1" t="s">
        <v>275</v>
      </c>
      <c r="AK1632" s="1" t="s">
        <v>238</v>
      </c>
      <c r="AM1632" s="1">
        <v>1</v>
      </c>
      <c r="AV1632" s="1">
        <v>1</v>
      </c>
      <c r="AX1632" s="1">
        <v>0.1</v>
      </c>
      <c r="BE1632" s="1" t="s">
        <v>6035</v>
      </c>
      <c r="BK1632" s="1" t="s">
        <v>2407</v>
      </c>
      <c r="BN1632" s="1" t="s">
        <v>217</v>
      </c>
      <c r="BO1632" s="1" t="s">
        <v>2924</v>
      </c>
      <c r="BP1632" s="1" t="s">
        <v>2925</v>
      </c>
      <c r="BQ1632" s="1" t="s">
        <v>6038</v>
      </c>
      <c r="BT1632" s="1">
        <v>1</v>
      </c>
    </row>
    <row r="1633" spans="1:72">
      <c r="A1633" s="1" t="s">
        <v>6039</v>
      </c>
      <c r="B1633" s="1" t="s">
        <v>213</v>
      </c>
      <c r="C1633" s="1">
        <v>1</v>
      </c>
      <c r="D1633" s="1" t="s">
        <v>6040</v>
      </c>
      <c r="E1633" s="1">
        <v>2071</v>
      </c>
      <c r="F1633" s="1" t="s">
        <v>6039</v>
      </c>
      <c r="G1633" s="1">
        <v>1</v>
      </c>
      <c r="K1633" s="1">
        <v>55000</v>
      </c>
      <c r="M1633" s="1">
        <v>900</v>
      </c>
      <c r="O1633" s="1">
        <v>500</v>
      </c>
      <c r="Q1633" s="1">
        <v>70</v>
      </c>
      <c r="Y1633" s="1">
        <v>0.05</v>
      </c>
      <c r="Z1633" s="1">
        <v>3.9</v>
      </c>
      <c r="AA1633" s="1">
        <v>5</v>
      </c>
      <c r="AB1633" s="1">
        <v>0.5</v>
      </c>
      <c r="AG1633" s="1">
        <v>0</v>
      </c>
      <c r="AH1633" s="1">
        <v>1</v>
      </c>
      <c r="AI1633" s="1" t="s">
        <v>6041</v>
      </c>
      <c r="AJ1633" s="1" t="s">
        <v>275</v>
      </c>
      <c r="AK1633" s="1" t="s">
        <v>238</v>
      </c>
      <c r="AM1633" s="1">
        <v>1</v>
      </c>
      <c r="AV1633" s="1">
        <v>5</v>
      </c>
      <c r="AX1633" s="1">
        <v>0.1</v>
      </c>
      <c r="BE1633" s="1" t="s">
        <v>6039</v>
      </c>
      <c r="BK1633" s="1" t="s">
        <v>1114</v>
      </c>
      <c r="BN1633" s="1" t="s">
        <v>217</v>
      </c>
      <c r="BO1633" s="1" t="s">
        <v>218</v>
      </c>
      <c r="BP1633" s="1" t="s">
        <v>239</v>
      </c>
      <c r="BQ1633" s="1" t="s">
        <v>220</v>
      </c>
      <c r="BT1633" s="1">
        <v>1</v>
      </c>
    </row>
    <row r="1634" spans="1:72">
      <c r="A1634" s="1" t="s">
        <v>6042</v>
      </c>
      <c r="B1634" s="1" t="s">
        <v>213</v>
      </c>
      <c r="C1634" s="1">
        <v>1</v>
      </c>
      <c r="D1634" s="1" t="s">
        <v>6043</v>
      </c>
      <c r="E1634" s="1">
        <v>2072</v>
      </c>
      <c r="F1634" s="1" t="s">
        <v>6042</v>
      </c>
      <c r="G1634" s="1">
        <v>1</v>
      </c>
      <c r="K1634" s="1">
        <v>55000</v>
      </c>
      <c r="M1634" s="1">
        <v>350</v>
      </c>
      <c r="O1634" s="1">
        <v>500</v>
      </c>
      <c r="Q1634" s="1">
        <v>70</v>
      </c>
      <c r="Y1634" s="1">
        <v>0.05</v>
      </c>
      <c r="Z1634" s="1">
        <v>3.9</v>
      </c>
      <c r="AA1634" s="1">
        <v>5</v>
      </c>
      <c r="AB1634" s="1">
        <v>0.5</v>
      </c>
      <c r="AG1634" s="1">
        <v>0</v>
      </c>
      <c r="AH1634" s="1">
        <v>1</v>
      </c>
      <c r="AI1634" s="1" t="s">
        <v>6044</v>
      </c>
      <c r="AJ1634" s="1" t="s">
        <v>275</v>
      </c>
      <c r="AK1634" s="1" t="s">
        <v>238</v>
      </c>
      <c r="AM1634" s="1">
        <v>1</v>
      </c>
      <c r="AV1634" s="1">
        <v>5</v>
      </c>
      <c r="AX1634" s="1">
        <v>0.1</v>
      </c>
      <c r="BE1634" s="1" t="s">
        <v>6042</v>
      </c>
      <c r="BK1634" s="1" t="s">
        <v>1114</v>
      </c>
      <c r="BN1634" s="1" t="s">
        <v>217</v>
      </c>
      <c r="BO1634" s="1" t="s">
        <v>218</v>
      </c>
      <c r="BP1634" s="1" t="s">
        <v>239</v>
      </c>
      <c r="BQ1634" s="1" t="s">
        <v>220</v>
      </c>
      <c r="BT1634" s="1">
        <v>1</v>
      </c>
    </row>
    <row r="1635" spans="1:72">
      <c r="A1635" s="1" t="s">
        <v>6045</v>
      </c>
      <c r="B1635" s="1" t="s">
        <v>213</v>
      </c>
      <c r="C1635" s="1">
        <v>1</v>
      </c>
      <c r="D1635" s="1" t="s">
        <v>6046</v>
      </c>
      <c r="E1635" s="1">
        <v>2073</v>
      </c>
      <c r="F1635" s="1" t="s">
        <v>6045</v>
      </c>
      <c r="G1635" s="1">
        <v>1</v>
      </c>
      <c r="K1635" s="1">
        <v>50000</v>
      </c>
      <c r="M1635" s="1">
        <v>0</v>
      </c>
      <c r="O1635" s="1">
        <v>1000</v>
      </c>
      <c r="Q1635" s="1">
        <v>50</v>
      </c>
      <c r="Y1635" s="1">
        <v>0.05</v>
      </c>
      <c r="Z1635" s="1">
        <v>5</v>
      </c>
      <c r="AA1635" s="1">
        <v>3</v>
      </c>
      <c r="AB1635" s="1">
        <v>0</v>
      </c>
      <c r="AG1635" s="1">
        <v>1</v>
      </c>
      <c r="AH1635" s="1">
        <v>1</v>
      </c>
      <c r="AI1635" s="1" t="s">
        <v>6047</v>
      </c>
      <c r="AJ1635" s="1" t="s">
        <v>275</v>
      </c>
      <c r="AK1635" s="1" t="s">
        <v>238</v>
      </c>
      <c r="AM1635" s="1">
        <v>1</v>
      </c>
      <c r="AV1635" s="1">
        <v>5</v>
      </c>
      <c r="AX1635" s="1">
        <v>0.1</v>
      </c>
      <c r="BE1635" s="1" t="s">
        <v>6045</v>
      </c>
      <c r="BK1635" s="1" t="s">
        <v>3437</v>
      </c>
      <c r="BN1635" s="1" t="s">
        <v>217</v>
      </c>
      <c r="BO1635" s="1" t="s">
        <v>218</v>
      </c>
      <c r="BP1635" s="1" t="s">
        <v>239</v>
      </c>
      <c r="BQ1635" s="1" t="s">
        <v>220</v>
      </c>
      <c r="BT1635" s="1">
        <v>1</v>
      </c>
    </row>
    <row r="1636" spans="1:72">
      <c r="A1636" s="1" t="s">
        <v>6048</v>
      </c>
      <c r="B1636" s="1" t="s">
        <v>213</v>
      </c>
      <c r="C1636" s="1">
        <v>1</v>
      </c>
      <c r="D1636" s="1" t="s">
        <v>6049</v>
      </c>
      <c r="E1636" s="1">
        <v>2074</v>
      </c>
      <c r="F1636" s="1" t="s">
        <v>6048</v>
      </c>
      <c r="G1636" s="1">
        <v>1</v>
      </c>
      <c r="K1636" s="1">
        <v>80000</v>
      </c>
      <c r="M1636" s="1">
        <v>2350</v>
      </c>
      <c r="O1636" s="1">
        <v>1000</v>
      </c>
      <c r="Q1636" s="1">
        <v>25</v>
      </c>
      <c r="Y1636" s="1">
        <v>0.05</v>
      </c>
      <c r="Z1636" s="1">
        <v>6</v>
      </c>
      <c r="AA1636" s="1">
        <v>5</v>
      </c>
      <c r="AB1636" s="1">
        <v>0.5</v>
      </c>
      <c r="AG1636" s="1">
        <v>0</v>
      </c>
      <c r="AH1636" s="1">
        <v>1</v>
      </c>
      <c r="AI1636" s="1" t="s">
        <v>6050</v>
      </c>
      <c r="AJ1636" s="1" t="s">
        <v>275</v>
      </c>
      <c r="AK1636" s="1" t="s">
        <v>238</v>
      </c>
      <c r="AM1636" s="1">
        <v>1</v>
      </c>
      <c r="AV1636" s="1">
        <v>5</v>
      </c>
      <c r="AX1636" s="1">
        <v>0.1</v>
      </c>
      <c r="BE1636" s="1" t="s">
        <v>6048</v>
      </c>
      <c r="BK1636" s="1" t="s">
        <v>1697</v>
      </c>
      <c r="BN1636" s="1" t="s">
        <v>217</v>
      </c>
      <c r="BO1636" s="1" t="s">
        <v>218</v>
      </c>
      <c r="BP1636" s="1" t="s">
        <v>239</v>
      </c>
      <c r="BQ1636" s="1" t="s">
        <v>220</v>
      </c>
      <c r="BT1636" s="1">
        <v>1</v>
      </c>
    </row>
    <row r="1637" spans="1:72">
      <c r="A1637" s="1" t="s">
        <v>6051</v>
      </c>
      <c r="B1637" s="1" t="s">
        <v>213</v>
      </c>
      <c r="C1637" s="1">
        <v>1</v>
      </c>
      <c r="D1637" s="1" t="s">
        <v>6052</v>
      </c>
      <c r="E1637" s="1">
        <v>2075</v>
      </c>
      <c r="F1637" s="1" t="s">
        <v>6051</v>
      </c>
      <c r="G1637" s="1">
        <v>1</v>
      </c>
      <c r="K1637" s="1">
        <v>80000</v>
      </c>
      <c r="M1637" s="1">
        <v>1850</v>
      </c>
      <c r="O1637" s="1">
        <v>1000</v>
      </c>
      <c r="Q1637" s="1">
        <v>20</v>
      </c>
      <c r="Y1637" s="1">
        <v>0.05</v>
      </c>
      <c r="Z1637" s="1">
        <v>6</v>
      </c>
      <c r="AA1637" s="1">
        <v>5</v>
      </c>
      <c r="AB1637" s="1">
        <v>0.5</v>
      </c>
      <c r="AG1637" s="1">
        <v>0</v>
      </c>
      <c r="AH1637" s="1">
        <v>1</v>
      </c>
      <c r="AI1637" s="1" t="s">
        <v>6053</v>
      </c>
      <c r="AJ1637" s="1" t="s">
        <v>275</v>
      </c>
      <c r="AK1637" s="1" t="s">
        <v>238</v>
      </c>
      <c r="AM1637" s="1">
        <v>1</v>
      </c>
      <c r="AV1637" s="1">
        <v>5</v>
      </c>
      <c r="AX1637" s="1">
        <v>0.1</v>
      </c>
      <c r="BE1637" s="1" t="s">
        <v>6051</v>
      </c>
      <c r="BK1637" s="1" t="s">
        <v>1697</v>
      </c>
      <c r="BN1637" s="1" t="s">
        <v>217</v>
      </c>
      <c r="BO1637" s="1" t="s">
        <v>218</v>
      </c>
      <c r="BP1637" s="1" t="s">
        <v>239</v>
      </c>
      <c r="BQ1637" s="1" t="s">
        <v>220</v>
      </c>
      <c r="BT1637" s="1">
        <v>1</v>
      </c>
    </row>
    <row r="1638" spans="1:72">
      <c r="A1638" s="1" t="s">
        <v>6054</v>
      </c>
      <c r="B1638" s="1" t="s">
        <v>213</v>
      </c>
      <c r="C1638" s="1">
        <v>1</v>
      </c>
      <c r="D1638" s="1" t="s">
        <v>6055</v>
      </c>
      <c r="E1638" s="1">
        <v>2076</v>
      </c>
      <c r="F1638" s="1" t="s">
        <v>6054</v>
      </c>
      <c r="G1638" s="1">
        <v>1</v>
      </c>
      <c r="K1638" s="1">
        <v>50000</v>
      </c>
      <c r="M1638" s="1">
        <v>1000</v>
      </c>
      <c r="O1638" s="1">
        <v>500</v>
      </c>
      <c r="Q1638" s="1">
        <v>50</v>
      </c>
      <c r="Y1638" s="1">
        <v>0.05</v>
      </c>
      <c r="Z1638" s="1">
        <v>2</v>
      </c>
      <c r="AA1638" s="1">
        <v>10</v>
      </c>
      <c r="AB1638" s="1">
        <v>0.39</v>
      </c>
      <c r="AG1638" s="1">
        <v>0</v>
      </c>
      <c r="AH1638" s="1">
        <v>1</v>
      </c>
      <c r="AI1638" s="1" t="s">
        <v>76</v>
      </c>
      <c r="AJ1638" s="1" t="s">
        <v>275</v>
      </c>
      <c r="AK1638" s="1" t="s">
        <v>238</v>
      </c>
      <c r="AM1638" s="1">
        <v>1</v>
      </c>
      <c r="AV1638" s="1">
        <v>5</v>
      </c>
      <c r="AX1638" s="1">
        <v>0.1</v>
      </c>
      <c r="BE1638" s="1" t="s">
        <v>6054</v>
      </c>
      <c r="BK1638" s="1" t="s">
        <v>6056</v>
      </c>
      <c r="BN1638" s="1" t="s">
        <v>217</v>
      </c>
      <c r="BO1638" s="1" t="s">
        <v>218</v>
      </c>
      <c r="BP1638" s="1" t="s">
        <v>239</v>
      </c>
      <c r="BQ1638" s="1" t="s">
        <v>220</v>
      </c>
      <c r="BT1638" s="1">
        <v>1</v>
      </c>
    </row>
    <row r="1639" spans="1:72">
      <c r="A1639" s="1" t="s">
        <v>6057</v>
      </c>
      <c r="B1639" s="1" t="s">
        <v>213</v>
      </c>
      <c r="C1639" s="1">
        <v>1</v>
      </c>
      <c r="D1639" s="1" t="s">
        <v>6058</v>
      </c>
      <c r="E1639" s="1">
        <v>2077</v>
      </c>
      <c r="F1639" s="1" t="s">
        <v>6057</v>
      </c>
      <c r="G1639" s="1">
        <v>1</v>
      </c>
      <c r="K1639" s="1">
        <v>37500</v>
      </c>
      <c r="M1639" s="1">
        <v>1500</v>
      </c>
      <c r="O1639" s="1">
        <v>500</v>
      </c>
      <c r="Q1639" s="1">
        <v>50</v>
      </c>
      <c r="Y1639" s="1">
        <v>0.05</v>
      </c>
      <c r="Z1639" s="1">
        <v>2</v>
      </c>
      <c r="AA1639" s="1">
        <v>10</v>
      </c>
      <c r="AB1639" s="1">
        <v>0.39</v>
      </c>
      <c r="AG1639" s="1">
        <v>0</v>
      </c>
      <c r="AH1639" s="1">
        <v>1</v>
      </c>
      <c r="AI1639" s="1" t="s">
        <v>6059</v>
      </c>
      <c r="AJ1639" s="1" t="s">
        <v>275</v>
      </c>
      <c r="AK1639" s="1" t="s">
        <v>238</v>
      </c>
      <c r="AM1639" s="1">
        <v>1</v>
      </c>
      <c r="AV1639" s="1">
        <v>5</v>
      </c>
      <c r="AX1639" s="1">
        <v>0.1</v>
      </c>
      <c r="BE1639" s="1" t="s">
        <v>6057</v>
      </c>
      <c r="BK1639" s="1" t="s">
        <v>6056</v>
      </c>
      <c r="BN1639" s="1" t="s">
        <v>217</v>
      </c>
      <c r="BO1639" s="1" t="s">
        <v>218</v>
      </c>
      <c r="BP1639" s="1" t="s">
        <v>239</v>
      </c>
      <c r="BQ1639" s="1" t="s">
        <v>220</v>
      </c>
      <c r="BT1639" s="1">
        <v>1</v>
      </c>
    </row>
    <row r="1640" spans="1:72">
      <c r="A1640" s="1" t="s">
        <v>6060</v>
      </c>
      <c r="B1640" s="1" t="s">
        <v>213</v>
      </c>
      <c r="C1640" s="1">
        <v>1</v>
      </c>
      <c r="D1640" s="1" t="s">
        <v>6061</v>
      </c>
      <c r="E1640" s="1">
        <v>2078</v>
      </c>
      <c r="F1640" s="1" t="s">
        <v>6060</v>
      </c>
      <c r="G1640" s="1">
        <v>1</v>
      </c>
      <c r="K1640" s="1">
        <v>50000</v>
      </c>
      <c r="M1640" s="1">
        <v>800</v>
      </c>
      <c r="O1640" s="1">
        <v>1000</v>
      </c>
      <c r="Q1640" s="1">
        <v>0</v>
      </c>
      <c r="Y1640" s="1">
        <v>0.05</v>
      </c>
      <c r="Z1640" s="1">
        <v>5</v>
      </c>
      <c r="AA1640" s="1">
        <v>5</v>
      </c>
      <c r="AB1640" s="1">
        <v>0.39</v>
      </c>
      <c r="AG1640" s="1">
        <v>0</v>
      </c>
      <c r="AH1640" s="1">
        <v>1</v>
      </c>
      <c r="AI1640" s="1" t="s">
        <v>6062</v>
      </c>
      <c r="AJ1640" s="1" t="s">
        <v>275</v>
      </c>
      <c r="AK1640" s="1" t="s">
        <v>238</v>
      </c>
      <c r="AM1640" s="1">
        <v>1</v>
      </c>
      <c r="AV1640" s="1">
        <v>5</v>
      </c>
      <c r="AX1640" s="1">
        <v>0.1</v>
      </c>
      <c r="BE1640" s="1" t="s">
        <v>6060</v>
      </c>
      <c r="BK1640" s="1" t="s">
        <v>6063</v>
      </c>
      <c r="BN1640" s="1" t="s">
        <v>217</v>
      </c>
      <c r="BO1640" s="1" t="s">
        <v>218</v>
      </c>
      <c r="BP1640" s="1" t="s">
        <v>239</v>
      </c>
      <c r="BQ1640" s="1" t="s">
        <v>220</v>
      </c>
      <c r="BT1640" s="1">
        <v>1</v>
      </c>
    </row>
    <row r="1641" spans="1:72">
      <c r="A1641" s="1" t="s">
        <v>6064</v>
      </c>
      <c r="B1641" s="1" t="s">
        <v>213</v>
      </c>
      <c r="C1641" s="1">
        <v>1</v>
      </c>
      <c r="D1641" s="1" t="s">
        <v>6065</v>
      </c>
      <c r="E1641" s="1">
        <v>2078</v>
      </c>
      <c r="F1641" s="1" t="s">
        <v>6066</v>
      </c>
      <c r="G1641" s="1">
        <v>1</v>
      </c>
      <c r="K1641" s="1">
        <v>35000</v>
      </c>
      <c r="M1641" s="1">
        <v>1200</v>
      </c>
      <c r="O1641" s="1">
        <v>1000</v>
      </c>
      <c r="Q1641" s="1">
        <v>0</v>
      </c>
      <c r="Y1641" s="1">
        <v>0.05</v>
      </c>
      <c r="Z1641" s="1">
        <v>5</v>
      </c>
      <c r="AA1641" s="1">
        <v>5</v>
      </c>
      <c r="AB1641" s="1">
        <v>0.39</v>
      </c>
      <c r="AG1641" s="1">
        <v>0</v>
      </c>
      <c r="AH1641" s="1">
        <v>1</v>
      </c>
      <c r="AI1641" s="1" t="s">
        <v>6067</v>
      </c>
      <c r="AJ1641" s="1" t="s">
        <v>275</v>
      </c>
      <c r="AK1641" s="1" t="s">
        <v>238</v>
      </c>
      <c r="AM1641" s="1">
        <v>1</v>
      </c>
      <c r="AV1641" s="1">
        <v>5</v>
      </c>
      <c r="AX1641" s="1">
        <v>0.1</v>
      </c>
      <c r="BE1641" s="1" t="s">
        <v>6066</v>
      </c>
      <c r="BK1641" s="1" t="s">
        <v>6063</v>
      </c>
      <c r="BN1641" s="1" t="s">
        <v>217</v>
      </c>
      <c r="BO1641" s="1" t="s">
        <v>218</v>
      </c>
      <c r="BP1641" s="1" t="s">
        <v>239</v>
      </c>
      <c r="BQ1641" s="1" t="s">
        <v>220</v>
      </c>
      <c r="BT1641" s="1">
        <v>1</v>
      </c>
    </row>
    <row r="1642" spans="1:72">
      <c r="A1642" s="1" t="s">
        <v>6068</v>
      </c>
      <c r="B1642" s="1" t="s">
        <v>213</v>
      </c>
      <c r="C1642" s="1">
        <v>1</v>
      </c>
      <c r="D1642" s="1" t="s">
        <v>6069</v>
      </c>
      <c r="E1642" s="1">
        <v>2080</v>
      </c>
      <c r="F1642" s="1" t="s">
        <v>6068</v>
      </c>
      <c r="G1642" s="1">
        <v>1</v>
      </c>
      <c r="K1642" s="1">
        <v>100000</v>
      </c>
      <c r="M1642" s="1">
        <v>1250</v>
      </c>
      <c r="O1642" s="1">
        <v>1500</v>
      </c>
      <c r="Q1642" s="1">
        <v>80</v>
      </c>
      <c r="Y1642" s="1">
        <v>0.05</v>
      </c>
      <c r="Z1642" s="1">
        <v>3.5</v>
      </c>
      <c r="AA1642" s="1">
        <v>7</v>
      </c>
      <c r="AB1642" s="1">
        <v>0.5</v>
      </c>
      <c r="AG1642" s="1">
        <v>0</v>
      </c>
      <c r="AH1642" s="1">
        <v>1</v>
      </c>
      <c r="AI1642" s="1" t="s">
        <v>6070</v>
      </c>
      <c r="AJ1642" s="1" t="s">
        <v>275</v>
      </c>
      <c r="AK1642" s="1" t="s">
        <v>238</v>
      </c>
      <c r="AM1642" s="1">
        <v>1</v>
      </c>
      <c r="AV1642" s="1">
        <v>30</v>
      </c>
      <c r="AX1642" s="1">
        <v>0.1</v>
      </c>
      <c r="BE1642" s="1" t="s">
        <v>6068</v>
      </c>
      <c r="BK1642" s="1" t="s">
        <v>1114</v>
      </c>
      <c r="BN1642" s="1" t="s">
        <v>217</v>
      </c>
      <c r="BO1642" s="1" t="s">
        <v>218</v>
      </c>
      <c r="BP1642" s="1" t="s">
        <v>239</v>
      </c>
      <c r="BQ1642" s="1" t="s">
        <v>6071</v>
      </c>
      <c r="BT1642" s="1">
        <v>1</v>
      </c>
    </row>
    <row r="1643" spans="1:72">
      <c r="A1643" s="1" t="s">
        <v>6072</v>
      </c>
      <c r="B1643" s="1" t="s">
        <v>213</v>
      </c>
      <c r="C1643" s="1">
        <v>1</v>
      </c>
      <c r="D1643" s="1" t="s">
        <v>6073</v>
      </c>
      <c r="E1643" s="1">
        <v>2081</v>
      </c>
      <c r="F1643" s="1" t="s">
        <v>6072</v>
      </c>
      <c r="G1643" s="1">
        <v>1</v>
      </c>
      <c r="K1643" s="1">
        <v>120000</v>
      </c>
      <c r="M1643" s="1">
        <v>1800</v>
      </c>
      <c r="O1643" s="1">
        <v>2000</v>
      </c>
      <c r="Q1643" s="1">
        <v>60</v>
      </c>
      <c r="Y1643" s="1">
        <v>0.05</v>
      </c>
      <c r="Z1643" s="1">
        <v>3.8</v>
      </c>
      <c r="AA1643" s="1">
        <v>5</v>
      </c>
      <c r="AB1643" s="1">
        <v>0.35</v>
      </c>
      <c r="AG1643" s="1">
        <v>0</v>
      </c>
      <c r="AH1643" s="1">
        <v>1</v>
      </c>
      <c r="AI1643" s="1" t="s">
        <v>6074</v>
      </c>
      <c r="AJ1643" s="1" t="s">
        <v>275</v>
      </c>
      <c r="AK1643" s="1" t="s">
        <v>238</v>
      </c>
      <c r="AM1643" s="1">
        <v>1</v>
      </c>
      <c r="AV1643" s="1">
        <v>30</v>
      </c>
      <c r="AX1643" s="1">
        <v>0.1</v>
      </c>
      <c r="BE1643" s="1" t="s">
        <v>6072</v>
      </c>
      <c r="BK1643" s="1" t="s">
        <v>6075</v>
      </c>
      <c r="BN1643" s="1" t="s">
        <v>2034</v>
      </c>
      <c r="BO1643" s="1" t="s">
        <v>2035</v>
      </c>
      <c r="BP1643" s="1" t="s">
        <v>2036</v>
      </c>
      <c r="BQ1643" s="1" t="s">
        <v>6076</v>
      </c>
      <c r="BT1643" s="1">
        <v>1</v>
      </c>
    </row>
    <row r="1644" spans="1:72">
      <c r="A1644" s="1" t="s">
        <v>6077</v>
      </c>
      <c r="B1644" s="1" t="s">
        <v>213</v>
      </c>
      <c r="C1644" s="1">
        <v>1</v>
      </c>
      <c r="D1644" s="1" t="s">
        <v>6073</v>
      </c>
      <c r="E1644" s="1">
        <v>2081</v>
      </c>
      <c r="F1644" s="1" t="s">
        <v>6072</v>
      </c>
      <c r="G1644" s="1">
        <v>1</v>
      </c>
      <c r="K1644" s="1">
        <v>120000</v>
      </c>
      <c r="M1644" s="1">
        <v>1800</v>
      </c>
      <c r="O1644" s="1">
        <v>2000</v>
      </c>
      <c r="Q1644" s="1">
        <v>60</v>
      </c>
      <c r="Y1644" s="1">
        <v>0.05</v>
      </c>
      <c r="Z1644" s="1">
        <v>3.8</v>
      </c>
      <c r="AA1644" s="1">
        <v>5</v>
      </c>
      <c r="AB1644" s="1">
        <v>0</v>
      </c>
      <c r="AG1644" s="1">
        <v>0</v>
      </c>
      <c r="AH1644" s="1">
        <v>1</v>
      </c>
      <c r="AI1644" s="1" t="s">
        <v>6078</v>
      </c>
      <c r="AJ1644" s="1" t="s">
        <v>275</v>
      </c>
      <c r="AK1644" s="1" t="s">
        <v>238</v>
      </c>
      <c r="AM1644" s="1">
        <v>1</v>
      </c>
      <c r="AV1644" s="1">
        <v>30</v>
      </c>
      <c r="AX1644" s="1">
        <v>0.1</v>
      </c>
      <c r="BE1644" s="1" t="s">
        <v>6072</v>
      </c>
      <c r="BK1644" s="1" t="s">
        <v>6075</v>
      </c>
      <c r="BN1644" s="1" t="s">
        <v>6079</v>
      </c>
      <c r="BO1644" s="1" t="s">
        <v>6080</v>
      </c>
      <c r="BP1644" s="1" t="s">
        <v>6080</v>
      </c>
      <c r="BQ1644" s="1" t="s">
        <v>6081</v>
      </c>
      <c r="BT1644" s="1">
        <v>1</v>
      </c>
    </row>
    <row r="1645" spans="1:72">
      <c r="A1645" s="1" t="s">
        <v>6082</v>
      </c>
      <c r="B1645" s="1" t="s">
        <v>213</v>
      </c>
      <c r="C1645" s="1">
        <v>1</v>
      </c>
      <c r="D1645" s="1" t="s">
        <v>6083</v>
      </c>
      <c r="E1645" s="1">
        <v>762</v>
      </c>
      <c r="F1645" s="1" t="s">
        <v>6082</v>
      </c>
      <c r="G1645" s="1">
        <v>1</v>
      </c>
      <c r="K1645" s="1">
        <v>100000</v>
      </c>
      <c r="M1645" s="1">
        <v>1000</v>
      </c>
      <c r="O1645" s="1">
        <v>500</v>
      </c>
      <c r="Q1645" s="1">
        <v>10</v>
      </c>
      <c r="Y1645" s="1">
        <v>0.05</v>
      </c>
      <c r="Z1645" s="1">
        <v>5</v>
      </c>
      <c r="AA1645" s="1">
        <v>10</v>
      </c>
      <c r="AB1645" s="1">
        <v>0</v>
      </c>
      <c r="AG1645" s="1">
        <v>0</v>
      </c>
      <c r="AH1645" s="1">
        <v>1</v>
      </c>
      <c r="AI1645" s="1" t="s">
        <v>6084</v>
      </c>
      <c r="AJ1645" s="1" t="s">
        <v>275</v>
      </c>
      <c r="AK1645" s="1" t="s">
        <v>238</v>
      </c>
      <c r="AM1645" s="1">
        <v>1</v>
      </c>
      <c r="AV1645" s="1">
        <v>30</v>
      </c>
      <c r="AX1645" s="1">
        <v>0.1</v>
      </c>
      <c r="BA1645" s="1">
        <v>1</v>
      </c>
      <c r="BE1645" s="1" t="s">
        <v>6085</v>
      </c>
      <c r="BK1645" s="1" t="s">
        <v>6086</v>
      </c>
      <c r="BN1645" s="1" t="s">
        <v>2034</v>
      </c>
      <c r="BO1645" s="1" t="s">
        <v>2035</v>
      </c>
      <c r="BP1645" s="1" t="s">
        <v>2035</v>
      </c>
      <c r="BQ1645" s="1" t="s">
        <v>6081</v>
      </c>
      <c r="BT1645" s="1">
        <v>1</v>
      </c>
    </row>
    <row r="1646" spans="1:72">
      <c r="A1646" s="1" t="s">
        <v>6087</v>
      </c>
      <c r="B1646" s="1" t="s">
        <v>213</v>
      </c>
      <c r="C1646" s="1">
        <v>1</v>
      </c>
      <c r="D1646" s="1" t="s">
        <v>6088</v>
      </c>
      <c r="E1646" s="1">
        <v>761</v>
      </c>
      <c r="F1646" s="1" t="s">
        <v>6089</v>
      </c>
      <c r="G1646" s="1">
        <v>1</v>
      </c>
      <c r="K1646" s="1">
        <v>12000</v>
      </c>
      <c r="M1646" s="1">
        <v>1500</v>
      </c>
      <c r="O1646" s="1">
        <v>0</v>
      </c>
      <c r="Q1646" s="1">
        <v>0</v>
      </c>
      <c r="Y1646" s="1">
        <v>0.05</v>
      </c>
      <c r="Z1646" s="1">
        <v>5</v>
      </c>
      <c r="AA1646" s="1">
        <v>10</v>
      </c>
      <c r="AB1646" s="1">
        <v>0</v>
      </c>
      <c r="AG1646" s="1">
        <v>0</v>
      </c>
      <c r="AH1646" s="1">
        <v>1</v>
      </c>
      <c r="AI1646" s="1" t="s">
        <v>6090</v>
      </c>
      <c r="AJ1646" s="1" t="s">
        <v>275</v>
      </c>
      <c r="AK1646" s="1" t="s">
        <v>238</v>
      </c>
      <c r="AM1646" s="1">
        <v>1</v>
      </c>
      <c r="AV1646" s="1">
        <v>30</v>
      </c>
      <c r="AX1646" s="1">
        <v>0.1</v>
      </c>
      <c r="BE1646" s="1" t="s">
        <v>6085</v>
      </c>
      <c r="BK1646" s="1" t="s">
        <v>6091</v>
      </c>
      <c r="BN1646" s="1" t="s">
        <v>217</v>
      </c>
      <c r="BO1646" s="1" t="s">
        <v>218</v>
      </c>
      <c r="BP1646" s="1" t="s">
        <v>218</v>
      </c>
      <c r="BQ1646" s="1" t="s">
        <v>220</v>
      </c>
      <c r="BT1646" s="1">
        <v>1</v>
      </c>
    </row>
    <row r="1647" spans="1:72">
      <c r="A1647" s="1" t="s">
        <v>6092</v>
      </c>
      <c r="B1647" s="1" t="s">
        <v>213</v>
      </c>
      <c r="C1647" s="1">
        <v>1</v>
      </c>
      <c r="D1647" s="1" t="s">
        <v>6088</v>
      </c>
      <c r="E1647" s="1">
        <v>761</v>
      </c>
      <c r="F1647" s="1" t="s">
        <v>6089</v>
      </c>
      <c r="G1647" s="1">
        <v>1</v>
      </c>
      <c r="K1647" s="1">
        <v>12000</v>
      </c>
      <c r="M1647" s="1">
        <v>1500</v>
      </c>
      <c r="O1647" s="1">
        <v>0</v>
      </c>
      <c r="Q1647" s="1">
        <v>0</v>
      </c>
      <c r="Y1647" s="1">
        <v>0.05</v>
      </c>
      <c r="Z1647" s="1">
        <v>5</v>
      </c>
      <c r="AA1647" s="1">
        <v>10</v>
      </c>
      <c r="AB1647" s="1">
        <v>0</v>
      </c>
      <c r="AG1647" s="1">
        <v>0</v>
      </c>
      <c r="AH1647" s="1">
        <v>1</v>
      </c>
      <c r="AI1647" s="1" t="s">
        <v>6093</v>
      </c>
      <c r="AJ1647" s="1" t="s">
        <v>275</v>
      </c>
      <c r="AK1647" s="1" t="s">
        <v>238</v>
      </c>
      <c r="AM1647" s="1">
        <v>1</v>
      </c>
      <c r="AV1647" s="1">
        <v>30</v>
      </c>
      <c r="AX1647" s="1">
        <v>0.1</v>
      </c>
      <c r="BE1647" s="1" t="s">
        <v>6085</v>
      </c>
      <c r="BK1647" s="1" t="s">
        <v>6091</v>
      </c>
      <c r="BN1647" s="1" t="s">
        <v>217</v>
      </c>
      <c r="BO1647" s="1" t="s">
        <v>218</v>
      </c>
      <c r="BP1647" s="1" t="s">
        <v>218</v>
      </c>
      <c r="BQ1647" s="1" t="s">
        <v>220</v>
      </c>
      <c r="BT1647" s="1">
        <v>1</v>
      </c>
    </row>
    <row r="1648" spans="1:72">
      <c r="A1648" s="1" t="s">
        <v>6094</v>
      </c>
      <c r="B1648" s="1" t="s">
        <v>213</v>
      </c>
      <c r="C1648" s="1">
        <v>1</v>
      </c>
      <c r="D1648" s="1" t="s">
        <v>6088</v>
      </c>
      <c r="E1648" s="1">
        <v>761</v>
      </c>
      <c r="F1648" s="1" t="s">
        <v>6089</v>
      </c>
      <c r="G1648" s="1">
        <v>1</v>
      </c>
      <c r="K1648" s="1">
        <v>12000</v>
      </c>
      <c r="M1648" s="1">
        <v>1500</v>
      </c>
      <c r="O1648" s="1">
        <v>0</v>
      </c>
      <c r="Q1648" s="1">
        <v>0</v>
      </c>
      <c r="Y1648" s="1">
        <v>0.05</v>
      </c>
      <c r="Z1648" s="1">
        <v>5</v>
      </c>
      <c r="AA1648" s="1">
        <v>10</v>
      </c>
      <c r="AB1648" s="1">
        <v>0</v>
      </c>
      <c r="AG1648" s="1">
        <v>0</v>
      </c>
      <c r="AH1648" s="1">
        <v>1</v>
      </c>
      <c r="AI1648" s="1" t="s">
        <v>6095</v>
      </c>
      <c r="AJ1648" s="1" t="s">
        <v>275</v>
      </c>
      <c r="AK1648" s="1" t="s">
        <v>238</v>
      </c>
      <c r="AM1648" s="1">
        <v>1</v>
      </c>
      <c r="AV1648" s="1">
        <v>30</v>
      </c>
      <c r="AX1648" s="1">
        <v>0.1</v>
      </c>
      <c r="BE1648" s="1" t="s">
        <v>6085</v>
      </c>
      <c r="BK1648" s="1" t="s">
        <v>6091</v>
      </c>
      <c r="BN1648" s="1" t="s">
        <v>217</v>
      </c>
      <c r="BO1648" s="1" t="s">
        <v>6096</v>
      </c>
      <c r="BP1648" s="1" t="s">
        <v>6096</v>
      </c>
      <c r="BQ1648" s="1" t="s">
        <v>220</v>
      </c>
      <c r="BT1648" s="1">
        <v>1</v>
      </c>
    </row>
    <row r="1649" spans="1:72">
      <c r="A1649" s="1" t="s">
        <v>6097</v>
      </c>
      <c r="B1649" s="1" t="s">
        <v>213</v>
      </c>
      <c r="C1649" s="1">
        <v>1</v>
      </c>
      <c r="D1649" s="1" t="s">
        <v>6088</v>
      </c>
      <c r="E1649" s="1">
        <v>761</v>
      </c>
      <c r="F1649" s="1" t="s">
        <v>6089</v>
      </c>
      <c r="G1649" s="1">
        <v>1</v>
      </c>
      <c r="K1649" s="1">
        <v>12000</v>
      </c>
      <c r="M1649" s="1">
        <v>1500</v>
      </c>
      <c r="O1649" s="1">
        <v>0</v>
      </c>
      <c r="Q1649" s="1">
        <v>0</v>
      </c>
      <c r="Y1649" s="1">
        <v>0.05</v>
      </c>
      <c r="Z1649" s="1">
        <v>5</v>
      </c>
      <c r="AA1649" s="1">
        <v>10</v>
      </c>
      <c r="AB1649" s="1">
        <v>0</v>
      </c>
      <c r="AG1649" s="1">
        <v>0</v>
      </c>
      <c r="AH1649" s="1">
        <v>1</v>
      </c>
      <c r="AI1649" s="1" t="s">
        <v>6098</v>
      </c>
      <c r="AJ1649" s="1" t="s">
        <v>275</v>
      </c>
      <c r="AK1649" s="1" t="s">
        <v>238</v>
      </c>
      <c r="AM1649" s="1">
        <v>1</v>
      </c>
      <c r="AV1649" s="1">
        <v>30</v>
      </c>
      <c r="AX1649" s="1">
        <v>0.1</v>
      </c>
      <c r="BE1649" s="1" t="s">
        <v>6085</v>
      </c>
      <c r="BK1649" s="1" t="s">
        <v>6091</v>
      </c>
      <c r="BN1649" s="1" t="s">
        <v>217</v>
      </c>
      <c r="BO1649" s="1" t="s">
        <v>6099</v>
      </c>
      <c r="BP1649" s="1" t="s">
        <v>6099</v>
      </c>
      <c r="BQ1649" s="1" t="s">
        <v>220</v>
      </c>
      <c r="BT1649" s="1">
        <v>1</v>
      </c>
    </row>
    <row r="1650" spans="1:72">
      <c r="A1650" s="1" t="s">
        <v>6100</v>
      </c>
      <c r="B1650" s="1" t="s">
        <v>213</v>
      </c>
      <c r="C1650" s="1">
        <v>1</v>
      </c>
      <c r="D1650" s="1" t="s">
        <v>6101</v>
      </c>
      <c r="E1650" s="1">
        <v>2090</v>
      </c>
      <c r="F1650" s="1" t="s">
        <v>6100</v>
      </c>
      <c r="G1650" s="1">
        <v>1</v>
      </c>
      <c r="K1650" s="1">
        <v>50000</v>
      </c>
      <c r="M1650" s="1">
        <v>500</v>
      </c>
      <c r="O1650" s="1">
        <v>2000</v>
      </c>
      <c r="Q1650" s="1">
        <v>50</v>
      </c>
      <c r="Y1650" s="1">
        <v>0.05</v>
      </c>
      <c r="Z1650" s="1">
        <v>3</v>
      </c>
      <c r="AA1650" s="1">
        <v>5</v>
      </c>
      <c r="AB1650" s="1">
        <v>0.8</v>
      </c>
      <c r="AG1650" s="1">
        <v>0</v>
      </c>
      <c r="AH1650" s="1">
        <v>1</v>
      </c>
      <c r="AI1650" s="1" t="s">
        <v>6102</v>
      </c>
      <c r="AJ1650" s="1" t="s">
        <v>275</v>
      </c>
      <c r="AK1650" s="1" t="s">
        <v>238</v>
      </c>
      <c r="AM1650" s="1">
        <v>1</v>
      </c>
      <c r="AN1650" s="1">
        <v>1</v>
      </c>
      <c r="AV1650" s="1">
        <v>1</v>
      </c>
      <c r="AX1650" s="1">
        <v>0.1</v>
      </c>
      <c r="BE1650" s="1" t="s">
        <v>6100</v>
      </c>
      <c r="BK1650" s="1" t="s">
        <v>6103</v>
      </c>
      <c r="BN1650" s="1" t="s">
        <v>217</v>
      </c>
      <c r="BO1650" s="1" t="s">
        <v>218</v>
      </c>
      <c r="BP1650" s="1" t="s">
        <v>239</v>
      </c>
      <c r="BQ1650" s="1" t="s">
        <v>220</v>
      </c>
      <c r="BT1650" s="1">
        <v>1</v>
      </c>
    </row>
    <row r="1651" spans="1:72">
      <c r="A1651" s="1" t="s">
        <v>6104</v>
      </c>
      <c r="B1651" s="1" t="s">
        <v>213</v>
      </c>
      <c r="C1651" s="1">
        <v>1</v>
      </c>
      <c r="D1651" s="1" t="s">
        <v>6105</v>
      </c>
      <c r="E1651" s="1">
        <v>2089</v>
      </c>
      <c r="F1651" s="1" t="s">
        <v>6104</v>
      </c>
      <c r="G1651" s="1">
        <v>1</v>
      </c>
      <c r="K1651" s="1">
        <v>300000</v>
      </c>
      <c r="M1651" s="1">
        <v>1800</v>
      </c>
      <c r="O1651" s="1">
        <v>2000</v>
      </c>
      <c r="Q1651" s="1">
        <v>75</v>
      </c>
      <c r="Y1651" s="1">
        <v>0.05</v>
      </c>
      <c r="Z1651" s="1">
        <v>5</v>
      </c>
      <c r="AA1651" s="1">
        <v>9</v>
      </c>
      <c r="AB1651" s="1">
        <v>0.5</v>
      </c>
      <c r="AG1651" s="1">
        <v>0</v>
      </c>
      <c r="AH1651" s="1">
        <v>1</v>
      </c>
      <c r="AI1651" s="1" t="s">
        <v>6106</v>
      </c>
      <c r="AJ1651" s="1" t="s">
        <v>275</v>
      </c>
      <c r="AK1651" s="1" t="s">
        <v>238</v>
      </c>
      <c r="AM1651" s="1">
        <v>1</v>
      </c>
      <c r="AV1651" s="1">
        <v>1</v>
      </c>
      <c r="AX1651" s="1">
        <v>0.1</v>
      </c>
      <c r="BE1651" s="1" t="s">
        <v>6104</v>
      </c>
      <c r="BK1651" s="1" t="s">
        <v>1697</v>
      </c>
      <c r="BN1651" s="1" t="s">
        <v>217</v>
      </c>
      <c r="BO1651" s="1" t="s">
        <v>4048</v>
      </c>
      <c r="BP1651" s="1" t="s">
        <v>4049</v>
      </c>
      <c r="BQ1651" s="1" t="s">
        <v>6107</v>
      </c>
      <c r="BT1651" s="1">
        <v>1</v>
      </c>
    </row>
    <row r="1652" spans="1:72">
      <c r="A1652" s="1" t="s">
        <v>6108</v>
      </c>
      <c r="B1652" s="1" t="s">
        <v>213</v>
      </c>
      <c r="C1652" s="1">
        <v>1</v>
      </c>
      <c r="D1652" s="1" t="s">
        <v>6105</v>
      </c>
      <c r="E1652" s="1">
        <v>2089</v>
      </c>
      <c r="F1652" s="1" t="s">
        <v>6104</v>
      </c>
      <c r="G1652" s="1">
        <v>1</v>
      </c>
      <c r="K1652" s="1">
        <v>300000</v>
      </c>
      <c r="M1652" s="1">
        <v>1800</v>
      </c>
      <c r="O1652" s="1">
        <v>2000</v>
      </c>
      <c r="Q1652" s="1">
        <v>75</v>
      </c>
      <c r="Y1652" s="1">
        <v>0.05</v>
      </c>
      <c r="Z1652" s="1">
        <v>5</v>
      </c>
      <c r="AA1652" s="1">
        <v>9</v>
      </c>
      <c r="AB1652" s="1">
        <v>0.5</v>
      </c>
      <c r="AG1652" s="1">
        <v>0</v>
      </c>
      <c r="AH1652" s="1">
        <v>1</v>
      </c>
      <c r="AI1652" s="1" t="s">
        <v>6109</v>
      </c>
      <c r="AJ1652" s="1" t="s">
        <v>275</v>
      </c>
      <c r="AK1652" s="1" t="s">
        <v>238</v>
      </c>
      <c r="AM1652" s="1">
        <v>1</v>
      </c>
      <c r="AV1652" s="1">
        <v>1</v>
      </c>
      <c r="AX1652" s="1">
        <v>0.1</v>
      </c>
      <c r="BE1652" s="1" t="s">
        <v>6104</v>
      </c>
      <c r="BK1652" s="1" t="s">
        <v>1697</v>
      </c>
      <c r="BN1652" s="1" t="s">
        <v>217</v>
      </c>
      <c r="BO1652" s="1" t="s">
        <v>2174</v>
      </c>
      <c r="BP1652" s="1" t="s">
        <v>2175</v>
      </c>
      <c r="BQ1652" s="1" t="s">
        <v>2176</v>
      </c>
      <c r="BT1652" s="1">
        <v>1</v>
      </c>
    </row>
    <row r="1653" spans="1:72">
      <c r="A1653" s="1" t="s">
        <v>6110</v>
      </c>
      <c r="B1653" s="1" t="s">
        <v>213</v>
      </c>
      <c r="C1653" s="1">
        <v>1</v>
      </c>
      <c r="D1653" s="1" t="s">
        <v>6111</v>
      </c>
      <c r="E1653" s="1">
        <v>2082</v>
      </c>
      <c r="F1653" s="1" t="s">
        <v>6110</v>
      </c>
      <c r="G1653" s="1">
        <v>1</v>
      </c>
      <c r="K1653" s="1">
        <v>150000</v>
      </c>
      <c r="M1653" s="1">
        <v>3000</v>
      </c>
      <c r="O1653" s="1">
        <v>5000</v>
      </c>
      <c r="Q1653" s="1">
        <v>80</v>
      </c>
      <c r="Y1653" s="1">
        <v>0.05</v>
      </c>
      <c r="Z1653" s="1">
        <v>3.8</v>
      </c>
      <c r="AA1653" s="1">
        <v>10</v>
      </c>
      <c r="AB1653" s="1">
        <v>0.35</v>
      </c>
      <c r="AG1653" s="1">
        <v>1</v>
      </c>
      <c r="AH1653" s="1">
        <v>1</v>
      </c>
      <c r="AI1653" s="1" t="s">
        <v>6112</v>
      </c>
      <c r="AJ1653" s="1" t="s">
        <v>275</v>
      </c>
      <c r="AK1653" s="1" t="s">
        <v>238</v>
      </c>
      <c r="AM1653" s="1">
        <v>1</v>
      </c>
      <c r="AV1653" s="1">
        <v>1</v>
      </c>
      <c r="AX1653" s="1">
        <v>0.1</v>
      </c>
      <c r="BE1653" s="1" t="s">
        <v>6110</v>
      </c>
      <c r="BK1653" s="1" t="s">
        <v>6113</v>
      </c>
      <c r="BN1653" s="1" t="s">
        <v>2034</v>
      </c>
      <c r="BO1653" s="1" t="s">
        <v>2035</v>
      </c>
      <c r="BP1653" s="1" t="s">
        <v>2036</v>
      </c>
      <c r="BQ1653" s="1" t="s">
        <v>3576</v>
      </c>
      <c r="BT1653" s="1">
        <v>1</v>
      </c>
    </row>
    <row r="1654" spans="1:72">
      <c r="A1654" s="1" t="s">
        <v>6114</v>
      </c>
      <c r="B1654" s="1" t="s">
        <v>213</v>
      </c>
      <c r="C1654" s="1">
        <v>1</v>
      </c>
      <c r="D1654" s="1" t="s">
        <v>6115</v>
      </c>
      <c r="E1654" s="1" t="s">
        <v>6116</v>
      </c>
      <c r="F1654" s="1" t="s">
        <v>6114</v>
      </c>
      <c r="G1654" s="1">
        <v>1</v>
      </c>
      <c r="K1654" s="1">
        <v>80000</v>
      </c>
      <c r="M1654" s="1">
        <v>500</v>
      </c>
      <c r="O1654" s="1">
        <v>1000</v>
      </c>
      <c r="Q1654" s="1">
        <v>50</v>
      </c>
      <c r="Y1654" s="1">
        <v>0.05</v>
      </c>
      <c r="Z1654" s="1">
        <v>1</v>
      </c>
      <c r="AA1654" s="1">
        <v>7</v>
      </c>
      <c r="AB1654" s="1">
        <v>0.2</v>
      </c>
      <c r="AG1654" s="1">
        <v>0</v>
      </c>
      <c r="AH1654" s="1">
        <v>1</v>
      </c>
      <c r="AI1654" s="1" t="s">
        <v>6117</v>
      </c>
      <c r="AJ1654" s="1" t="s">
        <v>275</v>
      </c>
      <c r="AK1654" s="1" t="s">
        <v>238</v>
      </c>
      <c r="AM1654" s="1">
        <v>1</v>
      </c>
      <c r="AV1654" s="1">
        <v>5</v>
      </c>
      <c r="AX1654" s="1">
        <v>0.1</v>
      </c>
      <c r="BE1654" s="1" t="s">
        <v>6114</v>
      </c>
      <c r="BK1654" s="1" t="s">
        <v>3365</v>
      </c>
      <c r="BL1654" s="1" t="s">
        <v>2729</v>
      </c>
      <c r="BN1654" s="1" t="s">
        <v>217</v>
      </c>
      <c r="BO1654" s="1" t="s">
        <v>218</v>
      </c>
      <c r="BP1654" s="1" t="s">
        <v>2925</v>
      </c>
      <c r="BQ1654" s="1" t="s">
        <v>220</v>
      </c>
      <c r="BT1654" s="1">
        <v>1</v>
      </c>
    </row>
    <row r="1655" spans="1:72">
      <c r="A1655" s="1" t="s">
        <v>6118</v>
      </c>
      <c r="B1655" s="1" t="s">
        <v>213</v>
      </c>
      <c r="C1655" s="1">
        <v>1</v>
      </c>
      <c r="D1655" s="1" t="s">
        <v>6119</v>
      </c>
      <c r="E1655" s="1" t="s">
        <v>6120</v>
      </c>
      <c r="F1655" s="1" t="s">
        <v>6118</v>
      </c>
      <c r="G1655" s="1">
        <v>1.1</v>
      </c>
      <c r="K1655" s="1">
        <v>50000</v>
      </c>
      <c r="M1655" s="1">
        <v>500</v>
      </c>
      <c r="O1655" s="1">
        <v>0</v>
      </c>
      <c r="Q1655" s="1">
        <v>50</v>
      </c>
      <c r="Y1655" s="1">
        <v>0.05</v>
      </c>
      <c r="Z1655" s="1">
        <v>1</v>
      </c>
      <c r="AA1655" s="1">
        <v>5</v>
      </c>
      <c r="AB1655" s="1">
        <v>0.35</v>
      </c>
      <c r="AG1655" s="1">
        <v>0</v>
      </c>
      <c r="AH1655" s="1">
        <v>1</v>
      </c>
      <c r="AI1655" s="1" t="s">
        <v>6121</v>
      </c>
      <c r="AJ1655" s="1" t="s">
        <v>275</v>
      </c>
      <c r="AK1655" s="1" t="s">
        <v>238</v>
      </c>
      <c r="AM1655" s="1">
        <v>1</v>
      </c>
      <c r="AV1655" s="1">
        <v>1</v>
      </c>
      <c r="AX1655" s="1">
        <v>0.1</v>
      </c>
      <c r="BE1655" s="1" t="s">
        <v>6118</v>
      </c>
      <c r="BK1655" s="1" t="s">
        <v>3140</v>
      </c>
      <c r="BN1655" s="1" t="s">
        <v>217</v>
      </c>
      <c r="BO1655" s="1" t="s">
        <v>218</v>
      </c>
      <c r="BP1655" s="1" t="s">
        <v>239</v>
      </c>
      <c r="BQ1655" s="1" t="s">
        <v>220</v>
      </c>
      <c r="BT1655" s="1">
        <v>1</v>
      </c>
    </row>
    <row r="1656" spans="1:72">
      <c r="A1656" s="1" t="s">
        <v>6122</v>
      </c>
      <c r="B1656" s="1" t="s">
        <v>213</v>
      </c>
      <c r="C1656" s="1">
        <v>1</v>
      </c>
      <c r="D1656" s="1" t="s">
        <v>6123</v>
      </c>
      <c r="E1656" s="1" t="s">
        <v>6124</v>
      </c>
      <c r="F1656" s="1" t="s">
        <v>6122</v>
      </c>
      <c r="G1656" s="1">
        <v>1</v>
      </c>
      <c r="K1656" s="1">
        <v>50000</v>
      </c>
      <c r="M1656" s="1">
        <v>1000</v>
      </c>
      <c r="O1656" s="1">
        <v>300</v>
      </c>
      <c r="Q1656" s="1">
        <v>10</v>
      </c>
      <c r="Y1656" s="1">
        <v>0.05</v>
      </c>
      <c r="Z1656" s="1">
        <v>2.5</v>
      </c>
      <c r="AA1656" s="1">
        <v>5</v>
      </c>
      <c r="AB1656" s="1">
        <v>0.7</v>
      </c>
      <c r="AG1656" s="1">
        <v>0</v>
      </c>
      <c r="AH1656" s="1">
        <v>1</v>
      </c>
      <c r="AI1656" s="1" t="s">
        <v>6125</v>
      </c>
      <c r="AJ1656" s="1" t="s">
        <v>216</v>
      </c>
      <c r="AK1656" s="1" t="s">
        <v>238</v>
      </c>
      <c r="AM1656" s="1">
        <v>1</v>
      </c>
      <c r="AV1656" s="1">
        <v>1</v>
      </c>
      <c r="AX1656" s="1">
        <v>0.1</v>
      </c>
      <c r="BE1656" s="1" t="s">
        <v>6122</v>
      </c>
      <c r="BK1656" s="1" t="s">
        <v>980</v>
      </c>
      <c r="BN1656" s="1" t="s">
        <v>217</v>
      </c>
      <c r="BO1656" s="1" t="s">
        <v>218</v>
      </c>
      <c r="BP1656" s="1" t="s">
        <v>239</v>
      </c>
      <c r="BQ1656" s="1" t="s">
        <v>220</v>
      </c>
      <c r="BT1656" s="1">
        <v>1</v>
      </c>
    </row>
    <row r="1657" spans="1:72">
      <c r="A1657" s="1" t="s">
        <v>6126</v>
      </c>
      <c r="B1657" s="1" t="s">
        <v>213</v>
      </c>
      <c r="C1657" s="1">
        <v>1</v>
      </c>
      <c r="D1657" s="1" t="s">
        <v>6127</v>
      </c>
      <c r="E1657" s="1" t="s">
        <v>6128</v>
      </c>
      <c r="F1657" s="1" t="s">
        <v>6126</v>
      </c>
      <c r="G1657" s="1">
        <v>1</v>
      </c>
      <c r="K1657" s="1">
        <v>12</v>
      </c>
      <c r="M1657" s="1">
        <v>40</v>
      </c>
      <c r="O1657" s="1">
        <v>100</v>
      </c>
      <c r="Q1657" s="1">
        <v>30</v>
      </c>
      <c r="Y1657" s="1">
        <v>0.05</v>
      </c>
      <c r="Z1657" s="1">
        <v>1</v>
      </c>
      <c r="AA1657" s="1">
        <v>1</v>
      </c>
      <c r="AB1657" s="1">
        <v>1</v>
      </c>
      <c r="AG1657" s="1">
        <v>0</v>
      </c>
      <c r="AH1657" s="1">
        <v>1</v>
      </c>
      <c r="AI1657" s="1" t="s">
        <v>6129</v>
      </c>
      <c r="AJ1657" s="1" t="s">
        <v>216</v>
      </c>
      <c r="AK1657" s="1" t="s">
        <v>238</v>
      </c>
      <c r="AM1657" s="1">
        <v>1</v>
      </c>
      <c r="AN1657" s="1">
        <v>1</v>
      </c>
      <c r="AU1657" s="1">
        <v>1</v>
      </c>
      <c r="AX1657" s="1">
        <v>0.1</v>
      </c>
      <c r="BE1657" s="1" t="s">
        <v>6126</v>
      </c>
      <c r="BK1657" s="1" t="s">
        <v>4994</v>
      </c>
      <c r="BN1657" s="1" t="s">
        <v>217</v>
      </c>
      <c r="BO1657" s="1" t="s">
        <v>218</v>
      </c>
      <c r="BP1657" s="1" t="s">
        <v>239</v>
      </c>
      <c r="BQ1657" s="1" t="s">
        <v>220</v>
      </c>
      <c r="BT1657" s="1">
        <v>1</v>
      </c>
    </row>
    <row r="1658" spans="1:72">
      <c r="A1658" s="1" t="s">
        <v>6130</v>
      </c>
      <c r="B1658" s="1" t="s">
        <v>213</v>
      </c>
      <c r="C1658" s="1">
        <v>1</v>
      </c>
      <c r="D1658" s="1" t="s">
        <v>6131</v>
      </c>
      <c r="E1658" s="1" t="s">
        <v>6132</v>
      </c>
      <c r="F1658" s="1" t="s">
        <v>6130</v>
      </c>
      <c r="G1658" s="1">
        <v>1</v>
      </c>
      <c r="K1658" s="1">
        <v>13000</v>
      </c>
      <c r="M1658" s="1">
        <v>350</v>
      </c>
      <c r="O1658" s="1">
        <v>50</v>
      </c>
      <c r="Q1658" s="1">
        <v>10</v>
      </c>
      <c r="Y1658" s="1">
        <v>0.05</v>
      </c>
      <c r="Z1658" s="1">
        <v>2</v>
      </c>
      <c r="AA1658" s="1">
        <v>1</v>
      </c>
      <c r="AB1658" s="1">
        <v>0.9</v>
      </c>
      <c r="AG1658" s="1">
        <v>0</v>
      </c>
      <c r="AH1658" s="1">
        <v>1</v>
      </c>
      <c r="AI1658" s="1" t="s">
        <v>6133</v>
      </c>
      <c r="AJ1658" s="1" t="s">
        <v>216</v>
      </c>
      <c r="AK1658" s="1" t="s">
        <v>238</v>
      </c>
      <c r="AM1658" s="1">
        <v>1</v>
      </c>
      <c r="AV1658" s="1">
        <v>1</v>
      </c>
      <c r="AX1658" s="1">
        <v>0.1</v>
      </c>
      <c r="BE1658" s="1" t="s">
        <v>6130</v>
      </c>
      <c r="BK1658" s="1" t="s">
        <v>4994</v>
      </c>
      <c r="BN1658" s="1" t="s">
        <v>217</v>
      </c>
      <c r="BO1658" s="1" t="s">
        <v>218</v>
      </c>
      <c r="BP1658" s="1" t="s">
        <v>239</v>
      </c>
      <c r="BQ1658" s="1" t="s">
        <v>220</v>
      </c>
      <c r="BT1658" s="1">
        <v>1</v>
      </c>
    </row>
    <row r="1659" spans="1:72">
      <c r="A1659" s="1" t="s">
        <v>6134</v>
      </c>
      <c r="B1659" s="1" t="s">
        <v>213</v>
      </c>
      <c r="C1659" s="1">
        <v>1</v>
      </c>
      <c r="D1659" s="1" t="s">
        <v>6135</v>
      </c>
      <c r="E1659" s="1" t="s">
        <v>6136</v>
      </c>
      <c r="F1659" s="1" t="s">
        <v>6134</v>
      </c>
      <c r="G1659" s="1">
        <v>1</v>
      </c>
      <c r="K1659" s="1">
        <v>14000</v>
      </c>
      <c r="M1659" s="1">
        <v>500</v>
      </c>
      <c r="O1659" s="1">
        <v>400</v>
      </c>
      <c r="Q1659" s="1">
        <v>30</v>
      </c>
      <c r="Y1659" s="1">
        <v>0.05</v>
      </c>
      <c r="Z1659" s="1">
        <v>4</v>
      </c>
      <c r="AA1659" s="1">
        <v>3</v>
      </c>
      <c r="AB1659" s="1">
        <v>1</v>
      </c>
      <c r="AG1659" s="1">
        <v>0</v>
      </c>
      <c r="AH1659" s="1">
        <v>1</v>
      </c>
      <c r="AI1659" s="1" t="s">
        <v>6137</v>
      </c>
      <c r="AJ1659" s="1" t="s">
        <v>216</v>
      </c>
      <c r="AK1659" s="1" t="s">
        <v>238</v>
      </c>
      <c r="AM1659" s="1">
        <v>1</v>
      </c>
      <c r="AV1659" s="1">
        <v>1</v>
      </c>
      <c r="AX1659" s="1">
        <v>0.1</v>
      </c>
      <c r="BE1659" s="1" t="s">
        <v>6134</v>
      </c>
      <c r="BK1659" s="1" t="s">
        <v>4994</v>
      </c>
      <c r="BN1659" s="1" t="s">
        <v>217</v>
      </c>
      <c r="BO1659" s="1" t="s">
        <v>218</v>
      </c>
      <c r="BP1659" s="1" t="s">
        <v>239</v>
      </c>
      <c r="BQ1659" s="1" t="s">
        <v>220</v>
      </c>
      <c r="BT1659" s="1">
        <v>1</v>
      </c>
    </row>
    <row r="1660" spans="1:72">
      <c r="A1660" s="1" t="s">
        <v>6138</v>
      </c>
      <c r="B1660" s="1" t="s">
        <v>213</v>
      </c>
      <c r="C1660" s="1">
        <v>1</v>
      </c>
      <c r="D1660" s="1" t="s">
        <v>6139</v>
      </c>
      <c r="E1660" s="1" t="s">
        <v>6140</v>
      </c>
      <c r="F1660" s="1" t="s">
        <v>6138</v>
      </c>
      <c r="G1660" s="1">
        <v>1</v>
      </c>
      <c r="K1660" s="1">
        <v>16000</v>
      </c>
      <c r="M1660" s="1">
        <v>300</v>
      </c>
      <c r="O1660" s="1">
        <v>150</v>
      </c>
      <c r="Q1660" s="1">
        <v>30</v>
      </c>
      <c r="Y1660" s="1">
        <v>0.05</v>
      </c>
      <c r="Z1660" s="1">
        <v>5</v>
      </c>
      <c r="AA1660" s="1">
        <v>2</v>
      </c>
      <c r="AB1660" s="1">
        <v>0.4</v>
      </c>
      <c r="AG1660" s="1">
        <v>0</v>
      </c>
      <c r="AH1660" s="1">
        <v>1</v>
      </c>
      <c r="AI1660" s="1" t="s">
        <v>6141</v>
      </c>
      <c r="AJ1660" s="1" t="s">
        <v>216</v>
      </c>
      <c r="AK1660" s="1" t="s">
        <v>238</v>
      </c>
      <c r="AM1660" s="1">
        <v>1</v>
      </c>
      <c r="AV1660" s="1">
        <v>1</v>
      </c>
      <c r="AX1660" s="1">
        <v>0.1</v>
      </c>
      <c r="BE1660" s="1" t="s">
        <v>6138</v>
      </c>
      <c r="BK1660" s="1" t="s">
        <v>4994</v>
      </c>
      <c r="BN1660" s="1" t="s">
        <v>217</v>
      </c>
      <c r="BO1660" s="1" t="s">
        <v>218</v>
      </c>
      <c r="BP1660" s="1" t="s">
        <v>239</v>
      </c>
      <c r="BQ1660" s="1" t="s">
        <v>220</v>
      </c>
      <c r="BT1660" s="1">
        <v>1</v>
      </c>
    </row>
    <row r="1661" spans="1:72">
      <c r="A1661" s="1" t="s">
        <v>6142</v>
      </c>
      <c r="B1661" s="1" t="s">
        <v>213</v>
      </c>
      <c r="C1661" s="1">
        <v>1</v>
      </c>
      <c r="D1661" s="1" t="s">
        <v>6143</v>
      </c>
      <c r="E1661" s="1" t="s">
        <v>6144</v>
      </c>
      <c r="F1661" s="1" t="s">
        <v>6142</v>
      </c>
      <c r="G1661" s="1">
        <v>1</v>
      </c>
      <c r="K1661" s="1">
        <v>35000</v>
      </c>
      <c r="M1661" s="1">
        <v>450</v>
      </c>
      <c r="O1661" s="1">
        <v>1500</v>
      </c>
      <c r="Q1661" s="1">
        <v>40</v>
      </c>
      <c r="Y1661" s="1">
        <v>0.05</v>
      </c>
      <c r="Z1661" s="1">
        <v>4</v>
      </c>
      <c r="AA1661" s="1">
        <v>5</v>
      </c>
      <c r="AB1661" s="1">
        <v>0.6</v>
      </c>
      <c r="AG1661" s="1">
        <v>0</v>
      </c>
      <c r="AH1661" s="1">
        <v>1</v>
      </c>
      <c r="AI1661" s="1" t="s">
        <v>6145</v>
      </c>
      <c r="AJ1661" s="1" t="s">
        <v>216</v>
      </c>
      <c r="AK1661" s="1" t="s">
        <v>238</v>
      </c>
      <c r="AM1661" s="1">
        <v>1</v>
      </c>
      <c r="AV1661" s="1">
        <v>1</v>
      </c>
      <c r="AX1661" s="1">
        <v>0.1</v>
      </c>
      <c r="BE1661" s="1" t="s">
        <v>6142</v>
      </c>
      <c r="BK1661" s="1" t="s">
        <v>4994</v>
      </c>
      <c r="BN1661" s="1" t="s">
        <v>3443</v>
      </c>
      <c r="BO1661" s="1" t="s">
        <v>2618</v>
      </c>
      <c r="BP1661" s="1" t="s">
        <v>2619</v>
      </c>
      <c r="BQ1661" s="1" t="s">
        <v>3157</v>
      </c>
      <c r="BT1661" s="1">
        <v>1</v>
      </c>
    </row>
    <row r="1662" spans="1:72">
      <c r="A1662" s="1" t="s">
        <v>6146</v>
      </c>
      <c r="B1662" s="1" t="s">
        <v>213</v>
      </c>
      <c r="C1662" s="1">
        <v>1</v>
      </c>
      <c r="D1662" s="1" t="s">
        <v>6147</v>
      </c>
      <c r="E1662" s="1" t="s">
        <v>6148</v>
      </c>
      <c r="F1662" s="1" t="s">
        <v>6146</v>
      </c>
      <c r="G1662" s="1">
        <v>1</v>
      </c>
      <c r="K1662" s="1">
        <v>12000</v>
      </c>
      <c r="M1662" s="1">
        <v>600</v>
      </c>
      <c r="O1662" s="1">
        <v>500</v>
      </c>
      <c r="Q1662" s="1">
        <v>30</v>
      </c>
      <c r="Y1662" s="1">
        <v>0.05</v>
      </c>
      <c r="Z1662" s="1">
        <v>1.2</v>
      </c>
      <c r="AA1662" s="1">
        <v>4</v>
      </c>
      <c r="AB1662" s="1">
        <v>0.9</v>
      </c>
      <c r="AG1662" s="1">
        <v>0</v>
      </c>
      <c r="AH1662" s="1">
        <v>1</v>
      </c>
      <c r="AI1662" s="1" t="s">
        <v>6149</v>
      </c>
      <c r="AJ1662" s="1" t="s">
        <v>216</v>
      </c>
      <c r="AK1662" s="1" t="s">
        <v>238</v>
      </c>
      <c r="AM1662" s="1">
        <v>1</v>
      </c>
      <c r="AV1662" s="1">
        <v>1</v>
      </c>
      <c r="AX1662" s="1">
        <v>0.1</v>
      </c>
      <c r="BE1662" s="1" t="s">
        <v>6146</v>
      </c>
      <c r="BK1662" s="1" t="s">
        <v>4994</v>
      </c>
      <c r="BN1662" s="1" t="s">
        <v>217</v>
      </c>
      <c r="BO1662" s="1" t="s">
        <v>218</v>
      </c>
      <c r="BP1662" s="1" t="s">
        <v>239</v>
      </c>
      <c r="BQ1662" s="1" t="s">
        <v>220</v>
      </c>
      <c r="BT1662" s="1">
        <v>1</v>
      </c>
    </row>
    <row r="1663" spans="1:72">
      <c r="A1663" s="1" t="s">
        <v>6150</v>
      </c>
      <c r="B1663" s="1" t="s">
        <v>213</v>
      </c>
      <c r="C1663" s="1">
        <v>1</v>
      </c>
      <c r="D1663" s="1" t="s">
        <v>6151</v>
      </c>
      <c r="E1663" s="1" t="s">
        <v>6152</v>
      </c>
      <c r="F1663" s="1" t="s">
        <v>6150</v>
      </c>
      <c r="G1663" s="1">
        <v>1</v>
      </c>
      <c r="K1663" s="1">
        <v>36000</v>
      </c>
      <c r="M1663" s="1">
        <v>400</v>
      </c>
      <c r="O1663" s="1">
        <v>200</v>
      </c>
      <c r="Q1663" s="1">
        <v>60</v>
      </c>
      <c r="Y1663" s="1">
        <v>0.05</v>
      </c>
      <c r="Z1663" s="1">
        <v>4</v>
      </c>
      <c r="AA1663" s="1">
        <v>4</v>
      </c>
      <c r="AB1663" s="1">
        <v>0.7</v>
      </c>
      <c r="AG1663" s="1">
        <v>0</v>
      </c>
      <c r="AH1663" s="1">
        <v>1</v>
      </c>
      <c r="AI1663" s="1" t="s">
        <v>6153</v>
      </c>
      <c r="AJ1663" s="1" t="s">
        <v>216</v>
      </c>
      <c r="AK1663" s="1" t="s">
        <v>238</v>
      </c>
      <c r="AM1663" s="1">
        <v>1</v>
      </c>
      <c r="AN1663" s="1">
        <v>1</v>
      </c>
      <c r="AV1663" s="1">
        <v>1</v>
      </c>
      <c r="AX1663" s="1">
        <v>0.1</v>
      </c>
      <c r="BE1663" s="1" t="s">
        <v>6150</v>
      </c>
      <c r="BK1663" s="1" t="s">
        <v>4994</v>
      </c>
      <c r="BN1663" s="1" t="s">
        <v>217</v>
      </c>
      <c r="BO1663" s="1" t="s">
        <v>1959</v>
      </c>
      <c r="BP1663" s="1" t="s">
        <v>1960</v>
      </c>
      <c r="BQ1663" s="1" t="s">
        <v>3322</v>
      </c>
      <c r="BT1663" s="1">
        <v>1</v>
      </c>
    </row>
    <row r="1664" spans="1:72">
      <c r="A1664" s="1" t="s">
        <v>6154</v>
      </c>
      <c r="B1664" s="1" t="s">
        <v>213</v>
      </c>
      <c r="C1664" s="1">
        <v>1</v>
      </c>
      <c r="D1664" s="1" t="s">
        <v>6155</v>
      </c>
      <c r="E1664" s="1" t="s">
        <v>6156</v>
      </c>
      <c r="F1664" s="1" t="s">
        <v>6154</v>
      </c>
      <c r="G1664" s="1">
        <v>1</v>
      </c>
      <c r="K1664" s="1">
        <v>40000</v>
      </c>
      <c r="M1664" s="1">
        <v>600</v>
      </c>
      <c r="O1664" s="1">
        <v>300</v>
      </c>
      <c r="Q1664" s="1">
        <v>60</v>
      </c>
      <c r="Y1664" s="1">
        <v>0.05</v>
      </c>
      <c r="Z1664" s="1">
        <v>4</v>
      </c>
      <c r="AA1664" s="1">
        <v>4</v>
      </c>
      <c r="AB1664" s="1">
        <v>0.7</v>
      </c>
      <c r="AG1664" s="1">
        <v>0</v>
      </c>
      <c r="AH1664" s="1">
        <v>1</v>
      </c>
      <c r="AI1664" s="1" t="s">
        <v>6157</v>
      </c>
      <c r="AJ1664" s="1" t="s">
        <v>216</v>
      </c>
      <c r="AK1664" s="1" t="s">
        <v>238</v>
      </c>
      <c r="AM1664" s="1">
        <v>1</v>
      </c>
      <c r="AN1664" s="1">
        <v>1</v>
      </c>
      <c r="AV1664" s="1">
        <v>1</v>
      </c>
      <c r="AX1664" s="1">
        <v>0.1</v>
      </c>
      <c r="BE1664" s="1" t="s">
        <v>6154</v>
      </c>
      <c r="BK1664" s="1" t="s">
        <v>4994</v>
      </c>
      <c r="BN1664" s="1" t="s">
        <v>217</v>
      </c>
      <c r="BO1664" s="1" t="s">
        <v>1959</v>
      </c>
      <c r="BP1664" s="1" t="s">
        <v>1960</v>
      </c>
      <c r="BQ1664" s="1" t="s">
        <v>3322</v>
      </c>
      <c r="BT1664" s="1">
        <v>1</v>
      </c>
    </row>
    <row r="1665" spans="1:72">
      <c r="A1665" s="1" t="s">
        <v>6158</v>
      </c>
      <c r="B1665" s="1" t="s">
        <v>213</v>
      </c>
      <c r="C1665" s="1">
        <v>1</v>
      </c>
      <c r="D1665" s="1" t="s">
        <v>6159</v>
      </c>
      <c r="E1665" s="1" t="s">
        <v>6160</v>
      </c>
      <c r="F1665" s="1" t="s">
        <v>6158</v>
      </c>
      <c r="G1665" s="1">
        <v>1</v>
      </c>
      <c r="K1665" s="1">
        <v>16000</v>
      </c>
      <c r="M1665" s="1">
        <v>600</v>
      </c>
      <c r="O1665" s="1">
        <v>400</v>
      </c>
      <c r="Q1665" s="1">
        <v>35</v>
      </c>
      <c r="Y1665" s="1">
        <v>0.05</v>
      </c>
      <c r="Z1665" s="1">
        <v>4</v>
      </c>
      <c r="AA1665" s="1">
        <v>5</v>
      </c>
      <c r="AB1665" s="1">
        <v>0.7</v>
      </c>
      <c r="AG1665" s="1">
        <v>0</v>
      </c>
      <c r="AH1665" s="1">
        <v>1</v>
      </c>
      <c r="AI1665" s="1" t="s">
        <v>6161</v>
      </c>
      <c r="AJ1665" s="1" t="s">
        <v>216</v>
      </c>
      <c r="AK1665" s="1" t="s">
        <v>238</v>
      </c>
      <c r="AM1665" s="1">
        <v>1</v>
      </c>
      <c r="AV1665" s="1">
        <v>1</v>
      </c>
      <c r="AX1665" s="1">
        <v>0.1</v>
      </c>
      <c r="BE1665" s="1" t="s">
        <v>6158</v>
      </c>
      <c r="BK1665" s="1" t="s">
        <v>4994</v>
      </c>
      <c r="BN1665" s="1" t="s">
        <v>4137</v>
      </c>
      <c r="BO1665" s="1" t="s">
        <v>4048</v>
      </c>
      <c r="BP1665" s="1" t="s">
        <v>4049</v>
      </c>
      <c r="BQ1665" s="1" t="s">
        <v>2620</v>
      </c>
      <c r="BT1665" s="1">
        <v>1</v>
      </c>
    </row>
    <row r="1666" spans="1:72">
      <c r="A1666" s="1" t="s">
        <v>6162</v>
      </c>
      <c r="B1666" s="1" t="s">
        <v>213</v>
      </c>
      <c r="C1666" s="1">
        <v>1</v>
      </c>
      <c r="D1666" s="1" t="s">
        <v>6163</v>
      </c>
      <c r="E1666" s="1" t="s">
        <v>6164</v>
      </c>
      <c r="F1666" s="1" t="s">
        <v>6162</v>
      </c>
      <c r="G1666" s="1">
        <v>1</v>
      </c>
      <c r="K1666" s="1">
        <v>35000</v>
      </c>
      <c r="M1666" s="1">
        <v>800</v>
      </c>
      <c r="O1666" s="1">
        <v>800</v>
      </c>
      <c r="Q1666" s="1">
        <v>60</v>
      </c>
      <c r="Y1666" s="1">
        <v>0.05</v>
      </c>
      <c r="Z1666" s="1">
        <v>2.5</v>
      </c>
      <c r="AA1666" s="1">
        <v>4</v>
      </c>
      <c r="AB1666" s="1">
        <v>0.7</v>
      </c>
      <c r="AG1666" s="1">
        <v>0</v>
      </c>
      <c r="AH1666" s="1">
        <v>1</v>
      </c>
      <c r="AI1666" s="1" t="s">
        <v>6165</v>
      </c>
      <c r="AJ1666" s="1" t="s">
        <v>216</v>
      </c>
      <c r="AK1666" s="1" t="s">
        <v>238</v>
      </c>
      <c r="AM1666" s="1">
        <v>1</v>
      </c>
      <c r="AV1666" s="1">
        <v>1</v>
      </c>
      <c r="AX1666" s="1">
        <v>0.1</v>
      </c>
      <c r="BE1666" s="1" t="s">
        <v>6162</v>
      </c>
      <c r="BK1666" s="1" t="s">
        <v>4994</v>
      </c>
      <c r="BN1666" s="1" t="s">
        <v>4137</v>
      </c>
      <c r="BO1666" s="1" t="s">
        <v>4048</v>
      </c>
      <c r="BP1666" s="1" t="s">
        <v>4049</v>
      </c>
      <c r="BQ1666" s="1" t="s">
        <v>2620</v>
      </c>
      <c r="BT1666" s="1">
        <v>1</v>
      </c>
    </row>
    <row r="1667" spans="1:72">
      <c r="A1667" s="1" t="s">
        <v>6166</v>
      </c>
      <c r="B1667" s="1" t="s">
        <v>213</v>
      </c>
      <c r="C1667" s="1">
        <v>1</v>
      </c>
      <c r="D1667" s="1" t="s">
        <v>6167</v>
      </c>
      <c r="E1667" s="1" t="s">
        <v>6168</v>
      </c>
      <c r="F1667" s="1" t="s">
        <v>6166</v>
      </c>
      <c r="G1667" s="1">
        <v>1</v>
      </c>
      <c r="K1667" s="1">
        <v>100000</v>
      </c>
      <c r="M1667" s="1">
        <v>1200</v>
      </c>
      <c r="O1667" s="1">
        <v>400</v>
      </c>
      <c r="Q1667" s="1">
        <v>60</v>
      </c>
      <c r="Y1667" s="1">
        <v>0.05</v>
      </c>
      <c r="Z1667" s="1">
        <v>5</v>
      </c>
      <c r="AA1667" s="1">
        <v>4</v>
      </c>
      <c r="AB1667" s="1">
        <v>0.7</v>
      </c>
      <c r="AG1667" s="1">
        <v>0</v>
      </c>
      <c r="AH1667" s="1">
        <v>1</v>
      </c>
      <c r="AI1667" s="1" t="s">
        <v>6169</v>
      </c>
      <c r="AJ1667" s="1" t="s">
        <v>216</v>
      </c>
      <c r="AK1667" s="1" t="s">
        <v>238</v>
      </c>
      <c r="AM1667" s="1">
        <v>1</v>
      </c>
      <c r="AV1667" s="1">
        <v>1</v>
      </c>
      <c r="AX1667" s="1">
        <v>0.1</v>
      </c>
      <c r="BE1667" s="1" t="s">
        <v>6166</v>
      </c>
      <c r="BK1667" s="1" t="s">
        <v>4994</v>
      </c>
      <c r="BN1667" s="1" t="s">
        <v>4137</v>
      </c>
      <c r="BO1667" s="1" t="s">
        <v>4048</v>
      </c>
      <c r="BP1667" s="1" t="s">
        <v>4049</v>
      </c>
      <c r="BQ1667" s="1" t="s">
        <v>2620</v>
      </c>
      <c r="BT1667" s="1">
        <v>1</v>
      </c>
    </row>
    <row r="1668" spans="1:72">
      <c r="A1668" s="1" t="s">
        <v>6170</v>
      </c>
      <c r="B1668" s="1" t="s">
        <v>213</v>
      </c>
      <c r="C1668" s="1">
        <v>1</v>
      </c>
      <c r="D1668" s="1" t="s">
        <v>6171</v>
      </c>
      <c r="E1668" s="1" t="s">
        <v>6172</v>
      </c>
      <c r="F1668" s="1" t="s">
        <v>6173</v>
      </c>
      <c r="G1668" s="1">
        <v>1</v>
      </c>
      <c r="K1668" s="1">
        <v>42000</v>
      </c>
      <c r="M1668" s="1">
        <v>1100</v>
      </c>
      <c r="O1668" s="1">
        <v>700</v>
      </c>
      <c r="Q1668" s="1">
        <v>50</v>
      </c>
      <c r="Y1668" s="1">
        <v>0.05</v>
      </c>
      <c r="Z1668" s="1">
        <v>4</v>
      </c>
      <c r="AA1668" s="1">
        <v>5</v>
      </c>
      <c r="AB1668" s="1">
        <v>0.7</v>
      </c>
      <c r="AG1668" s="1">
        <v>0</v>
      </c>
      <c r="AH1668" s="1">
        <v>1</v>
      </c>
      <c r="AI1668" s="1" t="s">
        <v>6174</v>
      </c>
      <c r="AJ1668" s="1" t="s">
        <v>216</v>
      </c>
      <c r="AK1668" s="1" t="s">
        <v>238</v>
      </c>
      <c r="AM1668" s="1">
        <v>1</v>
      </c>
      <c r="AV1668" s="1">
        <v>1</v>
      </c>
      <c r="AX1668" s="1">
        <v>0.1</v>
      </c>
      <c r="BE1668" s="1" t="s">
        <v>6170</v>
      </c>
      <c r="BK1668" s="1" t="s">
        <v>4994</v>
      </c>
      <c r="BN1668" s="1" t="s">
        <v>4137</v>
      </c>
      <c r="BO1668" s="1" t="s">
        <v>4048</v>
      </c>
      <c r="BP1668" s="1" t="s">
        <v>4049</v>
      </c>
      <c r="BQ1668" s="1" t="s">
        <v>2620</v>
      </c>
      <c r="BT1668" s="1">
        <v>1</v>
      </c>
    </row>
    <row r="1669" spans="1:72">
      <c r="A1669" s="1" t="s">
        <v>6162</v>
      </c>
      <c r="B1669" s="1" t="s">
        <v>213</v>
      </c>
      <c r="C1669" s="1">
        <v>1</v>
      </c>
      <c r="D1669" s="1" t="s">
        <v>6163</v>
      </c>
      <c r="E1669" s="1" t="s">
        <v>6164</v>
      </c>
      <c r="F1669" s="1" t="s">
        <v>6162</v>
      </c>
      <c r="G1669" s="1">
        <v>1</v>
      </c>
      <c r="K1669" s="1">
        <v>24000</v>
      </c>
      <c r="M1669" s="1">
        <v>600</v>
      </c>
      <c r="O1669" s="1">
        <v>600</v>
      </c>
      <c r="Q1669" s="1">
        <v>60</v>
      </c>
      <c r="Y1669" s="1">
        <v>0.05</v>
      </c>
      <c r="Z1669" s="1">
        <v>2.5</v>
      </c>
      <c r="AA1669" s="1">
        <v>4</v>
      </c>
      <c r="AB1669" s="1">
        <v>0.7</v>
      </c>
      <c r="AG1669" s="1">
        <v>0</v>
      </c>
      <c r="AH1669" s="1">
        <v>1</v>
      </c>
      <c r="AI1669" s="1" t="s">
        <v>6175</v>
      </c>
      <c r="AJ1669" s="1" t="s">
        <v>216</v>
      </c>
      <c r="AK1669" s="1" t="s">
        <v>238</v>
      </c>
      <c r="AM1669" s="1">
        <v>1</v>
      </c>
      <c r="AV1669" s="1">
        <v>1</v>
      </c>
      <c r="AX1669" s="1">
        <v>0.1</v>
      </c>
      <c r="BE1669" s="1" t="s">
        <v>6162</v>
      </c>
      <c r="BK1669" s="1" t="s">
        <v>4994</v>
      </c>
      <c r="BN1669" s="1" t="s">
        <v>4137</v>
      </c>
      <c r="BO1669" s="1" t="s">
        <v>4048</v>
      </c>
      <c r="BP1669" s="1" t="s">
        <v>6176</v>
      </c>
      <c r="BQ1669" s="1" t="s">
        <v>2620</v>
      </c>
      <c r="BT1669" s="1">
        <v>1</v>
      </c>
    </row>
    <row r="1670" spans="1:72">
      <c r="A1670" s="1" t="s">
        <v>6177</v>
      </c>
      <c r="B1670" s="1" t="s">
        <v>213</v>
      </c>
      <c r="C1670" s="1">
        <v>1</v>
      </c>
      <c r="D1670" s="1" t="s">
        <v>6178</v>
      </c>
      <c r="E1670" s="1" t="s">
        <v>6179</v>
      </c>
      <c r="F1670" s="1" t="s">
        <v>6177</v>
      </c>
      <c r="G1670" s="1">
        <v>1</v>
      </c>
      <c r="K1670" s="1">
        <v>100000</v>
      </c>
      <c r="M1670" s="1">
        <v>1000</v>
      </c>
      <c r="O1670" s="1">
        <v>400</v>
      </c>
      <c r="Q1670" s="1">
        <v>60</v>
      </c>
      <c r="Y1670" s="1">
        <v>0.05</v>
      </c>
      <c r="Z1670" s="1">
        <v>5</v>
      </c>
      <c r="AA1670" s="1">
        <v>4</v>
      </c>
      <c r="AB1670" s="1">
        <v>0.7</v>
      </c>
      <c r="AG1670" s="1">
        <v>0</v>
      </c>
      <c r="AH1670" s="1">
        <v>1</v>
      </c>
      <c r="AI1670" s="1" t="s">
        <v>6180</v>
      </c>
      <c r="AJ1670" s="1" t="s">
        <v>216</v>
      </c>
      <c r="AK1670" s="1" t="s">
        <v>238</v>
      </c>
      <c r="AM1670" s="1">
        <v>1</v>
      </c>
      <c r="AV1670" s="1">
        <v>1</v>
      </c>
      <c r="AX1670" s="1">
        <v>0.1</v>
      </c>
      <c r="BE1670" s="1" t="s">
        <v>6177</v>
      </c>
      <c r="BK1670" s="1" t="s">
        <v>4994</v>
      </c>
      <c r="BN1670" s="1" t="s">
        <v>4137</v>
      </c>
      <c r="BO1670" s="1" t="s">
        <v>4048</v>
      </c>
      <c r="BP1670" s="1" t="s">
        <v>4049</v>
      </c>
      <c r="BQ1670" s="1" t="s">
        <v>2620</v>
      </c>
      <c r="BT1670" s="1">
        <v>1</v>
      </c>
    </row>
    <row r="1671" spans="1:72">
      <c r="A1671" s="1" t="s">
        <v>6181</v>
      </c>
      <c r="B1671" s="1" t="s">
        <v>213</v>
      </c>
      <c r="C1671" s="1">
        <v>1</v>
      </c>
      <c r="D1671" s="1" t="s">
        <v>6182</v>
      </c>
      <c r="E1671" s="1" t="s">
        <v>6183</v>
      </c>
      <c r="F1671" s="1" t="s">
        <v>6181</v>
      </c>
      <c r="G1671" s="1">
        <v>1</v>
      </c>
      <c r="K1671" s="1">
        <v>60000</v>
      </c>
      <c r="M1671" s="1">
        <v>400</v>
      </c>
      <c r="O1671" s="1">
        <v>300</v>
      </c>
      <c r="Q1671" s="1">
        <v>40</v>
      </c>
      <c r="Y1671" s="1">
        <v>0.05</v>
      </c>
      <c r="Z1671" s="1">
        <v>5</v>
      </c>
      <c r="AA1671" s="1">
        <v>5</v>
      </c>
      <c r="AB1671" s="1">
        <v>1</v>
      </c>
      <c r="AG1671" s="1">
        <v>0</v>
      </c>
      <c r="AH1671" s="1">
        <v>1</v>
      </c>
      <c r="AI1671" s="1" t="s">
        <v>6184</v>
      </c>
      <c r="AJ1671" s="1" t="s">
        <v>216</v>
      </c>
      <c r="AK1671" s="1" t="s">
        <v>238</v>
      </c>
      <c r="AM1671" s="1">
        <v>1</v>
      </c>
      <c r="AV1671" s="1">
        <v>1</v>
      </c>
      <c r="AX1671" s="1">
        <v>0.1</v>
      </c>
      <c r="BE1671" s="1" t="s">
        <v>6181</v>
      </c>
      <c r="BK1671" s="1" t="s">
        <v>4994</v>
      </c>
      <c r="BN1671" s="1" t="s">
        <v>217</v>
      </c>
      <c r="BO1671" s="1" t="s">
        <v>218</v>
      </c>
      <c r="BP1671" s="1" t="s">
        <v>239</v>
      </c>
      <c r="BQ1671" s="1" t="s">
        <v>220</v>
      </c>
      <c r="BT1671" s="1">
        <v>1</v>
      </c>
    </row>
    <row r="1672" spans="1:72">
      <c r="A1672" s="1" t="s">
        <v>6185</v>
      </c>
      <c r="B1672" s="1" t="s">
        <v>213</v>
      </c>
      <c r="C1672" s="1">
        <v>1</v>
      </c>
      <c r="D1672" s="1" t="s">
        <v>6186</v>
      </c>
      <c r="E1672" s="1" t="s">
        <v>6187</v>
      </c>
      <c r="F1672" s="1" t="s">
        <v>6185</v>
      </c>
      <c r="G1672" s="1">
        <v>1</v>
      </c>
      <c r="K1672" s="1">
        <v>60000</v>
      </c>
      <c r="M1672" s="1">
        <v>800</v>
      </c>
      <c r="O1672" s="1">
        <v>400</v>
      </c>
      <c r="Q1672" s="1">
        <v>60</v>
      </c>
      <c r="Y1672" s="1">
        <v>0.05</v>
      </c>
      <c r="Z1672" s="1">
        <v>4</v>
      </c>
      <c r="AA1672" s="1">
        <v>5</v>
      </c>
      <c r="AB1672" s="1">
        <v>1</v>
      </c>
      <c r="AG1672" s="1">
        <v>0</v>
      </c>
      <c r="AH1672" s="1">
        <v>1</v>
      </c>
      <c r="AI1672" s="1" t="s">
        <v>6188</v>
      </c>
      <c r="AJ1672" s="1" t="s">
        <v>216</v>
      </c>
      <c r="AK1672" s="1" t="s">
        <v>238</v>
      </c>
      <c r="AM1672" s="1">
        <v>1</v>
      </c>
      <c r="AV1672" s="1">
        <v>1</v>
      </c>
      <c r="AX1672" s="1">
        <v>0.1</v>
      </c>
      <c r="BE1672" s="1" t="s">
        <v>6185</v>
      </c>
      <c r="BK1672" s="1" t="s">
        <v>4994</v>
      </c>
      <c r="BN1672" s="1" t="s">
        <v>217</v>
      </c>
      <c r="BO1672" s="1" t="s">
        <v>218</v>
      </c>
      <c r="BP1672" s="1" t="s">
        <v>239</v>
      </c>
      <c r="BQ1672" s="1" t="s">
        <v>220</v>
      </c>
      <c r="BT1672" s="1">
        <v>1</v>
      </c>
    </row>
    <row r="1673" spans="1:72">
      <c r="A1673" s="1" t="s">
        <v>6189</v>
      </c>
      <c r="B1673" s="1" t="s">
        <v>213</v>
      </c>
      <c r="C1673" s="1">
        <v>1</v>
      </c>
      <c r="D1673" s="1" t="s">
        <v>6190</v>
      </c>
      <c r="E1673" s="1" t="s">
        <v>6191</v>
      </c>
      <c r="F1673" s="1" t="s">
        <v>6189</v>
      </c>
      <c r="G1673" s="1">
        <v>1</v>
      </c>
      <c r="K1673" s="1">
        <v>150000</v>
      </c>
      <c r="M1673" s="1">
        <v>1200</v>
      </c>
      <c r="O1673" s="1">
        <v>1500</v>
      </c>
      <c r="Q1673" s="1">
        <v>60</v>
      </c>
      <c r="Y1673" s="1">
        <v>0.05</v>
      </c>
      <c r="Z1673" s="1">
        <v>3.5</v>
      </c>
      <c r="AA1673" s="1">
        <v>7</v>
      </c>
      <c r="AB1673" s="1">
        <v>0.5</v>
      </c>
      <c r="AG1673" s="1">
        <v>0</v>
      </c>
      <c r="AH1673" s="1">
        <v>1</v>
      </c>
      <c r="AI1673" s="1" t="s">
        <v>6192</v>
      </c>
      <c r="AJ1673" s="1" t="s">
        <v>216</v>
      </c>
      <c r="AK1673" s="1" t="s">
        <v>238</v>
      </c>
      <c r="AM1673" s="1">
        <v>1</v>
      </c>
      <c r="AV1673" s="1">
        <v>1</v>
      </c>
      <c r="AX1673" s="1">
        <v>0.1</v>
      </c>
      <c r="BE1673" s="1" t="s">
        <v>6189</v>
      </c>
      <c r="BK1673" s="1" t="s">
        <v>4994</v>
      </c>
      <c r="BN1673" s="1" t="s">
        <v>217</v>
      </c>
      <c r="BO1673" s="1" t="s">
        <v>218</v>
      </c>
      <c r="BP1673" s="1" t="s">
        <v>239</v>
      </c>
      <c r="BQ1673" s="1" t="s">
        <v>220</v>
      </c>
      <c r="BT1673" s="1">
        <v>1</v>
      </c>
    </row>
    <row r="1674" spans="1:72">
      <c r="A1674" s="1" t="s">
        <v>6193</v>
      </c>
      <c r="B1674" s="1" t="s">
        <v>213</v>
      </c>
      <c r="C1674" s="1">
        <v>1</v>
      </c>
      <c r="D1674" s="1" t="s">
        <v>6194</v>
      </c>
      <c r="E1674" s="1" t="s">
        <v>6195</v>
      </c>
      <c r="F1674" s="1" t="s">
        <v>6193</v>
      </c>
      <c r="G1674" s="1">
        <v>1</v>
      </c>
      <c r="K1674" s="1">
        <v>560000</v>
      </c>
      <c r="M1674" s="1">
        <v>800</v>
      </c>
      <c r="O1674" s="1">
        <v>800</v>
      </c>
      <c r="Q1674" s="1">
        <v>50</v>
      </c>
      <c r="Y1674" s="1">
        <v>0.05</v>
      </c>
      <c r="Z1674" s="1">
        <v>4</v>
      </c>
      <c r="AA1674" s="1">
        <v>10</v>
      </c>
      <c r="AB1674" s="1">
        <v>1</v>
      </c>
      <c r="AG1674" s="1">
        <v>0</v>
      </c>
      <c r="AH1674" s="1">
        <v>1</v>
      </c>
      <c r="AI1674" s="1" t="s">
        <v>6196</v>
      </c>
      <c r="AJ1674" s="1" t="s">
        <v>216</v>
      </c>
      <c r="AK1674" s="1" t="s">
        <v>238</v>
      </c>
      <c r="AM1674" s="1">
        <v>1</v>
      </c>
      <c r="AV1674" s="1">
        <v>1</v>
      </c>
      <c r="AX1674" s="1">
        <v>0.1</v>
      </c>
      <c r="BE1674" s="1" t="s">
        <v>6193</v>
      </c>
      <c r="BK1674" s="1" t="s">
        <v>4994</v>
      </c>
      <c r="BN1674" s="1" t="s">
        <v>217</v>
      </c>
      <c r="BO1674" s="1" t="s">
        <v>218</v>
      </c>
      <c r="BP1674" s="1" t="s">
        <v>239</v>
      </c>
      <c r="BQ1674" s="1" t="s">
        <v>220</v>
      </c>
      <c r="BT1674" s="1">
        <v>1</v>
      </c>
    </row>
    <row r="1675" spans="1:72">
      <c r="A1675" s="1" t="s">
        <v>6197</v>
      </c>
      <c r="B1675" s="1" t="s">
        <v>213</v>
      </c>
      <c r="C1675" s="1">
        <v>1</v>
      </c>
      <c r="D1675" s="1" t="s">
        <v>6198</v>
      </c>
      <c r="E1675" s="1" t="s">
        <v>6199</v>
      </c>
      <c r="F1675" s="1" t="s">
        <v>6197</v>
      </c>
      <c r="G1675" s="1">
        <v>1</v>
      </c>
      <c r="K1675" s="1">
        <v>200000</v>
      </c>
      <c r="M1675" s="1">
        <v>800</v>
      </c>
      <c r="O1675" s="1">
        <v>1200</v>
      </c>
      <c r="Q1675" s="1">
        <v>60</v>
      </c>
      <c r="Y1675" s="1">
        <v>0.05</v>
      </c>
      <c r="Z1675" s="1">
        <v>4</v>
      </c>
      <c r="AA1675" s="1">
        <v>7</v>
      </c>
      <c r="AB1675" s="1">
        <v>0.6</v>
      </c>
      <c r="AG1675" s="1">
        <v>0</v>
      </c>
      <c r="AH1675" s="1">
        <v>1</v>
      </c>
      <c r="AI1675" s="1" t="s">
        <v>6200</v>
      </c>
      <c r="AJ1675" s="1" t="s">
        <v>216</v>
      </c>
      <c r="AK1675" s="1" t="s">
        <v>238</v>
      </c>
      <c r="AM1675" s="1">
        <v>1</v>
      </c>
      <c r="AV1675" s="1">
        <v>1</v>
      </c>
      <c r="AX1675" s="1">
        <v>0.1</v>
      </c>
      <c r="BE1675" s="1" t="s">
        <v>6197</v>
      </c>
      <c r="BK1675" s="1" t="s">
        <v>4994</v>
      </c>
      <c r="BN1675" s="1" t="s">
        <v>4137</v>
      </c>
      <c r="BO1675" s="1" t="s">
        <v>4048</v>
      </c>
      <c r="BP1675" s="1" t="s">
        <v>4049</v>
      </c>
      <c r="BQ1675" s="1" t="s">
        <v>2176</v>
      </c>
      <c r="BT1675" s="1">
        <v>1</v>
      </c>
    </row>
    <row r="1676" spans="1:72">
      <c r="A1676" s="1" t="s">
        <v>6201</v>
      </c>
      <c r="B1676" s="1" t="s">
        <v>213</v>
      </c>
      <c r="C1676" s="1">
        <v>1</v>
      </c>
      <c r="D1676" s="1" t="s">
        <v>6202</v>
      </c>
      <c r="E1676" s="1" t="s">
        <v>6203</v>
      </c>
      <c r="F1676" s="1" t="s">
        <v>6201</v>
      </c>
      <c r="G1676" s="1">
        <v>1</v>
      </c>
      <c r="K1676" s="1">
        <v>10</v>
      </c>
      <c r="M1676" s="1">
        <v>800</v>
      </c>
      <c r="O1676" s="1">
        <v>400</v>
      </c>
      <c r="Q1676" s="1">
        <v>20</v>
      </c>
      <c r="Y1676" s="1">
        <v>0.05</v>
      </c>
      <c r="Z1676" s="1">
        <v>2</v>
      </c>
      <c r="AA1676" s="1">
        <v>3</v>
      </c>
      <c r="AB1676" s="1">
        <v>1.2</v>
      </c>
      <c r="AG1676" s="1">
        <v>0</v>
      </c>
      <c r="AH1676" s="1">
        <v>1</v>
      </c>
      <c r="AI1676" s="1" t="s">
        <v>6204</v>
      </c>
      <c r="AJ1676" s="1" t="s">
        <v>216</v>
      </c>
      <c r="AK1676" s="1" t="s">
        <v>238</v>
      </c>
      <c r="AM1676" s="1">
        <v>1</v>
      </c>
      <c r="AN1676" s="1">
        <v>1</v>
      </c>
      <c r="AV1676" s="1">
        <v>1</v>
      </c>
      <c r="AX1676" s="1">
        <v>0.1</v>
      </c>
      <c r="BE1676" s="1" t="s">
        <v>6201</v>
      </c>
      <c r="BK1676" s="1" t="s">
        <v>4994</v>
      </c>
      <c r="BN1676" s="1" t="s">
        <v>217</v>
      </c>
      <c r="BO1676" s="1" t="s">
        <v>218</v>
      </c>
      <c r="BP1676" s="1" t="s">
        <v>239</v>
      </c>
      <c r="BQ1676" s="1" t="s">
        <v>220</v>
      </c>
      <c r="BT1676" s="1">
        <v>1</v>
      </c>
    </row>
    <row r="1677" spans="1:72">
      <c r="A1677" s="1" t="s">
        <v>6205</v>
      </c>
      <c r="B1677" s="1" t="s">
        <v>213</v>
      </c>
      <c r="C1677" s="1">
        <v>1</v>
      </c>
      <c r="D1677" s="1" t="s">
        <v>6206</v>
      </c>
      <c r="E1677" s="1" t="s">
        <v>6207</v>
      </c>
      <c r="F1677" s="1" t="s">
        <v>6205</v>
      </c>
      <c r="G1677" s="1">
        <v>1</v>
      </c>
      <c r="K1677" s="1">
        <v>1000000</v>
      </c>
      <c r="M1677" s="1">
        <v>800</v>
      </c>
      <c r="O1677" s="1">
        <v>100</v>
      </c>
      <c r="Q1677" s="1">
        <v>10</v>
      </c>
      <c r="Y1677" s="1">
        <v>0.05</v>
      </c>
      <c r="Z1677" s="1">
        <v>6</v>
      </c>
      <c r="AA1677" s="1">
        <v>10</v>
      </c>
      <c r="AB1677" s="1">
        <v>10</v>
      </c>
      <c r="AG1677" s="1">
        <v>0</v>
      </c>
      <c r="AH1677" s="1">
        <v>1</v>
      </c>
      <c r="AI1677" s="1" t="s">
        <v>6208</v>
      </c>
      <c r="AJ1677" s="1" t="s">
        <v>216</v>
      </c>
      <c r="AK1677" s="1" t="s">
        <v>238</v>
      </c>
      <c r="AM1677" s="1">
        <v>1</v>
      </c>
      <c r="AV1677" s="1">
        <v>1</v>
      </c>
      <c r="AX1677" s="1">
        <v>0.1</v>
      </c>
      <c r="BE1677" s="1" t="s">
        <v>6205</v>
      </c>
      <c r="BK1677" s="1" t="s">
        <v>4994</v>
      </c>
      <c r="BN1677" s="1" t="s">
        <v>6209</v>
      </c>
      <c r="BO1677" s="1" t="s">
        <v>1959</v>
      </c>
      <c r="BP1677" s="1" t="s">
        <v>219</v>
      </c>
      <c r="BQ1677" s="1" t="s">
        <v>3322</v>
      </c>
      <c r="BT1677" s="1">
        <v>1</v>
      </c>
    </row>
    <row r="1678" spans="1:72">
      <c r="A1678" s="1" t="s">
        <v>6210</v>
      </c>
      <c r="B1678" s="1" t="s">
        <v>213</v>
      </c>
      <c r="C1678" s="1">
        <v>1</v>
      </c>
      <c r="D1678" s="1" t="s">
        <v>6211</v>
      </c>
      <c r="E1678" s="1" t="s">
        <v>6212</v>
      </c>
      <c r="F1678" s="1" t="s">
        <v>6210</v>
      </c>
      <c r="G1678" s="1">
        <v>1</v>
      </c>
      <c r="K1678" s="1">
        <v>350000</v>
      </c>
      <c r="M1678" s="1">
        <v>1500</v>
      </c>
      <c r="O1678" s="1">
        <v>1000</v>
      </c>
      <c r="Q1678" s="1">
        <v>10</v>
      </c>
      <c r="Y1678" s="1">
        <v>0.05</v>
      </c>
      <c r="Z1678" s="1">
        <v>6</v>
      </c>
      <c r="AA1678" s="1">
        <v>10</v>
      </c>
      <c r="AB1678" s="1">
        <v>0.3</v>
      </c>
      <c r="AG1678" s="1">
        <v>0</v>
      </c>
      <c r="AH1678" s="1">
        <v>1</v>
      </c>
      <c r="AI1678" s="1" t="s">
        <v>6213</v>
      </c>
      <c r="AJ1678" s="1" t="s">
        <v>216</v>
      </c>
      <c r="AK1678" s="1" t="s">
        <v>238</v>
      </c>
      <c r="AM1678" s="1">
        <v>1</v>
      </c>
      <c r="AV1678" s="1">
        <v>1</v>
      </c>
      <c r="AX1678" s="1">
        <v>0.1</v>
      </c>
      <c r="BE1678" s="1" t="s">
        <v>6210</v>
      </c>
      <c r="BK1678" s="1" t="s">
        <v>4994</v>
      </c>
      <c r="BN1678" s="1" t="s">
        <v>217</v>
      </c>
      <c r="BO1678" s="1" t="s">
        <v>218</v>
      </c>
      <c r="BP1678" s="1" t="s">
        <v>239</v>
      </c>
      <c r="BQ1678" s="1" t="s">
        <v>220</v>
      </c>
      <c r="BT1678" s="1">
        <v>1</v>
      </c>
    </row>
    <row r="1679" spans="1:72">
      <c r="A1679" s="1" t="s">
        <v>6214</v>
      </c>
      <c r="B1679" s="1" t="s">
        <v>213</v>
      </c>
      <c r="C1679" s="1">
        <v>1</v>
      </c>
      <c r="D1679" s="1" t="s">
        <v>6215</v>
      </c>
      <c r="E1679" s="1" t="s">
        <v>6216</v>
      </c>
      <c r="F1679" s="1" t="s">
        <v>6214</v>
      </c>
      <c r="G1679" s="1">
        <v>1</v>
      </c>
      <c r="K1679" s="1">
        <v>25000</v>
      </c>
      <c r="M1679" s="1">
        <v>500</v>
      </c>
      <c r="O1679" s="1">
        <v>200</v>
      </c>
      <c r="Q1679" s="1">
        <v>30</v>
      </c>
      <c r="Y1679" s="1">
        <v>0.05</v>
      </c>
      <c r="Z1679" s="1">
        <v>1</v>
      </c>
      <c r="AA1679" s="1">
        <v>3</v>
      </c>
      <c r="AB1679" s="1">
        <v>0.6</v>
      </c>
      <c r="AG1679" s="1">
        <v>0</v>
      </c>
      <c r="AH1679" s="1">
        <v>1</v>
      </c>
      <c r="AI1679" s="1" t="s">
        <v>6217</v>
      </c>
      <c r="AJ1679" s="1" t="s">
        <v>216</v>
      </c>
      <c r="AK1679" s="1" t="s">
        <v>238</v>
      </c>
      <c r="AM1679" s="1">
        <v>1</v>
      </c>
      <c r="AN1679" s="1">
        <v>1</v>
      </c>
      <c r="AV1679" s="1">
        <v>1</v>
      </c>
      <c r="AX1679" s="1">
        <v>0.1</v>
      </c>
      <c r="BE1679" s="1" t="s">
        <v>6214</v>
      </c>
      <c r="BK1679" s="1" t="s">
        <v>4994</v>
      </c>
      <c r="BN1679" s="1" t="s">
        <v>217</v>
      </c>
      <c r="BO1679" s="1" t="s">
        <v>281</v>
      </c>
      <c r="BP1679" s="1" t="s">
        <v>1635</v>
      </c>
      <c r="BQ1679" s="1" t="s">
        <v>3222</v>
      </c>
      <c r="BT1679" s="1">
        <v>1</v>
      </c>
    </row>
    <row r="1680" spans="1:72">
      <c r="A1680" s="1" t="s">
        <v>6218</v>
      </c>
      <c r="B1680" s="1" t="s">
        <v>213</v>
      </c>
      <c r="C1680" s="1">
        <v>1</v>
      </c>
      <c r="D1680" s="1" t="s">
        <v>6219</v>
      </c>
      <c r="E1680" s="1" t="s">
        <v>6220</v>
      </c>
      <c r="F1680" s="1" t="s">
        <v>6218</v>
      </c>
      <c r="G1680" s="1">
        <v>1</v>
      </c>
      <c r="K1680" s="1">
        <v>500000</v>
      </c>
      <c r="M1680" s="1">
        <v>1800</v>
      </c>
      <c r="O1680" s="1">
        <v>2500</v>
      </c>
      <c r="Q1680" s="1">
        <v>60</v>
      </c>
      <c r="Y1680" s="1">
        <v>0.05</v>
      </c>
      <c r="Z1680" s="1">
        <v>4.5</v>
      </c>
      <c r="AA1680" s="1">
        <v>9</v>
      </c>
      <c r="AB1680" s="1">
        <v>0.6</v>
      </c>
      <c r="AG1680" s="1">
        <v>0</v>
      </c>
      <c r="AH1680" s="1">
        <v>1</v>
      </c>
      <c r="AI1680" s="1" t="s">
        <v>6221</v>
      </c>
      <c r="AJ1680" s="1" t="s">
        <v>216</v>
      </c>
      <c r="AK1680" s="1" t="s">
        <v>238</v>
      </c>
      <c r="AM1680" s="1">
        <v>1</v>
      </c>
      <c r="AV1680" s="1">
        <v>1</v>
      </c>
      <c r="AX1680" s="1">
        <v>0.1</v>
      </c>
      <c r="BE1680" s="1" t="s">
        <v>6218</v>
      </c>
      <c r="BK1680" s="1" t="s">
        <v>4994</v>
      </c>
      <c r="BN1680" s="1" t="s">
        <v>217</v>
      </c>
      <c r="BO1680" s="1" t="s">
        <v>218</v>
      </c>
      <c r="BP1680" s="1" t="s">
        <v>239</v>
      </c>
      <c r="BQ1680" s="1" t="s">
        <v>220</v>
      </c>
      <c r="BT1680" s="1">
        <v>1</v>
      </c>
    </row>
    <row r="1681" spans="1:72">
      <c r="A1681" s="1" t="s">
        <v>6222</v>
      </c>
      <c r="B1681" s="1" t="s">
        <v>213</v>
      </c>
      <c r="C1681" s="1">
        <v>1</v>
      </c>
      <c r="D1681" s="1" t="s">
        <v>6223</v>
      </c>
      <c r="E1681" s="1" t="s">
        <v>6224</v>
      </c>
      <c r="F1681" s="1" t="s">
        <v>6222</v>
      </c>
      <c r="G1681" s="1">
        <v>1</v>
      </c>
      <c r="K1681" s="1">
        <v>500000</v>
      </c>
      <c r="M1681" s="1">
        <v>2400</v>
      </c>
      <c r="O1681" s="1">
        <v>3000</v>
      </c>
      <c r="Q1681" s="1">
        <v>60</v>
      </c>
      <c r="Y1681" s="1">
        <v>0.05</v>
      </c>
      <c r="Z1681" s="1">
        <v>5</v>
      </c>
      <c r="AA1681" s="1">
        <v>13</v>
      </c>
      <c r="AB1681" s="1">
        <v>0.75</v>
      </c>
      <c r="AG1681" s="1">
        <v>0</v>
      </c>
      <c r="AH1681" s="1">
        <v>1</v>
      </c>
      <c r="AI1681" s="1" t="s">
        <v>6225</v>
      </c>
      <c r="AJ1681" s="1" t="s">
        <v>216</v>
      </c>
      <c r="AK1681" s="1" t="s">
        <v>238</v>
      </c>
      <c r="AM1681" s="1">
        <v>1</v>
      </c>
      <c r="AV1681" s="1">
        <v>1</v>
      </c>
      <c r="AX1681" s="1">
        <v>0.1</v>
      </c>
      <c r="BE1681" s="1" t="s">
        <v>6222</v>
      </c>
      <c r="BK1681" s="1" t="s">
        <v>4994</v>
      </c>
      <c r="BN1681" s="1" t="s">
        <v>217</v>
      </c>
      <c r="BO1681" s="1" t="s">
        <v>218</v>
      </c>
      <c r="BP1681" s="1" t="s">
        <v>239</v>
      </c>
      <c r="BQ1681" s="1" t="s">
        <v>220</v>
      </c>
      <c r="BT1681" s="1">
        <v>1</v>
      </c>
    </row>
    <row r="1682" spans="1:72">
      <c r="A1682" s="1" t="s">
        <v>6226</v>
      </c>
      <c r="B1682" s="1" t="s">
        <v>213</v>
      </c>
      <c r="C1682" s="1">
        <v>1</v>
      </c>
      <c r="D1682" s="1" t="s">
        <v>6227</v>
      </c>
      <c r="E1682" s="1" t="s">
        <v>6228</v>
      </c>
      <c r="F1682" s="1" t="s">
        <v>6226</v>
      </c>
      <c r="G1682" s="1">
        <v>1</v>
      </c>
      <c r="K1682" s="1">
        <v>80000</v>
      </c>
      <c r="M1682" s="1">
        <v>200</v>
      </c>
      <c r="O1682" s="1">
        <v>1000</v>
      </c>
      <c r="Q1682" s="1">
        <v>30</v>
      </c>
      <c r="Y1682" s="1">
        <v>0.05</v>
      </c>
      <c r="Z1682" s="1">
        <v>5</v>
      </c>
      <c r="AA1682" s="1">
        <v>13</v>
      </c>
      <c r="AB1682" s="1">
        <v>0.6</v>
      </c>
      <c r="AG1682" s="1">
        <v>0</v>
      </c>
      <c r="AH1682" s="1">
        <v>1</v>
      </c>
      <c r="AI1682" s="1" t="s">
        <v>6229</v>
      </c>
      <c r="AJ1682" s="1" t="s">
        <v>216</v>
      </c>
      <c r="AK1682" s="1" t="s">
        <v>238</v>
      </c>
      <c r="AM1682" s="1">
        <v>1</v>
      </c>
      <c r="AV1682" s="1">
        <v>1</v>
      </c>
      <c r="AX1682" s="1">
        <v>0.1</v>
      </c>
      <c r="BE1682" s="1" t="s">
        <v>6226</v>
      </c>
      <c r="BK1682" s="1" t="s">
        <v>4994</v>
      </c>
      <c r="BN1682" s="1" t="s">
        <v>217</v>
      </c>
      <c r="BO1682" s="1" t="s">
        <v>218</v>
      </c>
      <c r="BQ1682" s="1" t="s">
        <v>220</v>
      </c>
      <c r="BT1682" s="1">
        <v>1</v>
      </c>
    </row>
    <row r="1683" spans="1:72">
      <c r="A1683" s="1" t="s">
        <v>6230</v>
      </c>
      <c r="B1683" s="1" t="s">
        <v>213</v>
      </c>
      <c r="C1683" s="1">
        <v>1</v>
      </c>
      <c r="D1683" s="1" t="s">
        <v>6231</v>
      </c>
      <c r="E1683" s="1" t="s">
        <v>6232</v>
      </c>
      <c r="F1683" s="1" t="s">
        <v>6230</v>
      </c>
      <c r="G1683" s="1">
        <v>1</v>
      </c>
      <c r="K1683" s="1">
        <v>40000</v>
      </c>
      <c r="M1683" s="1">
        <v>600</v>
      </c>
      <c r="O1683" s="1">
        <v>500</v>
      </c>
      <c r="Q1683" s="1">
        <v>20</v>
      </c>
      <c r="Y1683" s="1">
        <v>0.05</v>
      </c>
      <c r="Z1683" s="1">
        <v>5</v>
      </c>
      <c r="AA1683" s="1">
        <v>13</v>
      </c>
      <c r="AB1683" s="1">
        <v>0.75</v>
      </c>
      <c r="AG1683" s="1">
        <v>0</v>
      </c>
      <c r="AH1683" s="1">
        <v>1</v>
      </c>
      <c r="AI1683" s="1" t="s">
        <v>6233</v>
      </c>
      <c r="AJ1683" s="1" t="s">
        <v>216</v>
      </c>
      <c r="AK1683" s="1" t="s">
        <v>238</v>
      </c>
      <c r="AM1683" s="1">
        <v>1</v>
      </c>
      <c r="AV1683" s="1">
        <v>1</v>
      </c>
      <c r="AX1683" s="1">
        <v>0.1</v>
      </c>
      <c r="BE1683" s="1" t="s">
        <v>6230</v>
      </c>
      <c r="BK1683" s="1" t="s">
        <v>4994</v>
      </c>
      <c r="BN1683" s="1" t="s">
        <v>217</v>
      </c>
      <c r="BO1683" s="1" t="s">
        <v>218</v>
      </c>
      <c r="BP1683" s="1" t="s">
        <v>239</v>
      </c>
      <c r="BQ1683" s="1" t="s">
        <v>220</v>
      </c>
      <c r="BT1683" s="1">
        <v>1</v>
      </c>
    </row>
    <row r="1684" spans="1:72">
      <c r="A1684" s="1" t="s">
        <v>6234</v>
      </c>
      <c r="B1684" s="1" t="s">
        <v>213</v>
      </c>
      <c r="C1684" s="1">
        <v>1</v>
      </c>
      <c r="D1684" s="1" t="s">
        <v>6235</v>
      </c>
      <c r="E1684" s="1" t="s">
        <v>6236</v>
      </c>
      <c r="F1684" s="1" t="s">
        <v>6234</v>
      </c>
      <c r="G1684" s="1">
        <v>1</v>
      </c>
      <c r="K1684" s="1">
        <v>20000</v>
      </c>
      <c r="M1684" s="1">
        <v>1800</v>
      </c>
      <c r="O1684" s="1">
        <v>500</v>
      </c>
      <c r="Q1684" s="1">
        <v>20</v>
      </c>
      <c r="Y1684" s="1">
        <v>0.05</v>
      </c>
      <c r="Z1684" s="1">
        <v>5</v>
      </c>
      <c r="AA1684" s="1">
        <v>3</v>
      </c>
      <c r="AB1684" s="1">
        <v>1</v>
      </c>
      <c r="AG1684" s="1">
        <v>0</v>
      </c>
      <c r="AH1684" s="1">
        <v>1</v>
      </c>
      <c r="AI1684" s="1" t="s">
        <v>6237</v>
      </c>
      <c r="AJ1684" s="1" t="s">
        <v>216</v>
      </c>
      <c r="AK1684" s="1" t="s">
        <v>238</v>
      </c>
      <c r="AM1684" s="1">
        <v>1</v>
      </c>
      <c r="AN1684" s="1">
        <v>1</v>
      </c>
      <c r="AV1684" s="1">
        <v>1</v>
      </c>
      <c r="AX1684" s="1">
        <v>0.1</v>
      </c>
      <c r="BE1684" s="1" t="s">
        <v>6234</v>
      </c>
      <c r="BK1684" s="1" t="s">
        <v>4994</v>
      </c>
      <c r="BN1684" s="1" t="s">
        <v>217</v>
      </c>
      <c r="BO1684" s="1" t="s">
        <v>218</v>
      </c>
      <c r="BP1684" s="1" t="s">
        <v>239</v>
      </c>
      <c r="BQ1684" s="1" t="s">
        <v>220</v>
      </c>
      <c r="BT1684" s="1">
        <v>1</v>
      </c>
    </row>
    <row r="1685" spans="1:72">
      <c r="A1685" s="1" t="s">
        <v>6238</v>
      </c>
      <c r="B1685" s="1" t="s">
        <v>213</v>
      </c>
      <c r="C1685" s="1">
        <v>1</v>
      </c>
      <c r="D1685" s="1" t="s">
        <v>6239</v>
      </c>
      <c r="E1685" s="1" t="s">
        <v>6240</v>
      </c>
      <c r="F1685" s="1" t="s">
        <v>6238</v>
      </c>
      <c r="G1685" s="1">
        <v>1</v>
      </c>
      <c r="K1685" s="1">
        <v>20000</v>
      </c>
      <c r="M1685" s="1">
        <v>1800</v>
      </c>
      <c r="O1685" s="1">
        <v>500</v>
      </c>
      <c r="Q1685" s="1">
        <v>20</v>
      </c>
      <c r="Y1685" s="1">
        <v>0.05</v>
      </c>
      <c r="Z1685" s="1">
        <v>5</v>
      </c>
      <c r="AA1685" s="1">
        <v>3</v>
      </c>
      <c r="AB1685" s="1">
        <v>1</v>
      </c>
      <c r="AG1685" s="1">
        <v>0</v>
      </c>
      <c r="AH1685" s="1">
        <v>1</v>
      </c>
      <c r="AI1685" s="1" t="s">
        <v>6241</v>
      </c>
      <c r="AJ1685" s="1" t="s">
        <v>216</v>
      </c>
      <c r="AK1685" s="1" t="s">
        <v>238</v>
      </c>
      <c r="AM1685" s="1">
        <v>1</v>
      </c>
      <c r="AN1685" s="1">
        <v>1</v>
      </c>
      <c r="AV1685" s="1">
        <v>1</v>
      </c>
      <c r="AX1685" s="1">
        <v>0.1</v>
      </c>
      <c r="BE1685" s="1" t="s">
        <v>6238</v>
      </c>
      <c r="BK1685" s="1" t="s">
        <v>4994</v>
      </c>
      <c r="BN1685" s="1" t="s">
        <v>217</v>
      </c>
      <c r="BO1685" s="1" t="s">
        <v>218</v>
      </c>
      <c r="BP1685" s="1" t="s">
        <v>239</v>
      </c>
      <c r="BQ1685" s="1" t="s">
        <v>220</v>
      </c>
      <c r="BT1685" s="1">
        <v>1</v>
      </c>
    </row>
    <row r="1687" spans="1:72">
      <c r="A1687" s="1" t="s">
        <v>6242</v>
      </c>
      <c r="B1687" s="1" t="s">
        <v>213</v>
      </c>
      <c r="C1687" s="1">
        <v>1</v>
      </c>
      <c r="D1687" s="1" t="s">
        <v>6243</v>
      </c>
      <c r="E1687" s="1" t="s">
        <v>6244</v>
      </c>
      <c r="F1687" s="1" t="s">
        <v>6242</v>
      </c>
      <c r="G1687" s="1">
        <v>1</v>
      </c>
      <c r="K1687" s="1">
        <v>5000</v>
      </c>
      <c r="M1687" s="1">
        <v>320</v>
      </c>
      <c r="O1687" s="1">
        <v>100</v>
      </c>
      <c r="Q1687" s="1">
        <v>20</v>
      </c>
      <c r="Y1687" s="1">
        <v>0.05</v>
      </c>
      <c r="Z1687" s="1">
        <v>1.4</v>
      </c>
      <c r="AA1687" s="1">
        <v>0</v>
      </c>
      <c r="AB1687" s="1">
        <v>1.5</v>
      </c>
      <c r="AG1687" s="1">
        <v>0</v>
      </c>
      <c r="AH1687" s="1">
        <v>1</v>
      </c>
      <c r="AI1687" s="1" t="s">
        <v>6245</v>
      </c>
      <c r="AJ1687" s="1" t="s">
        <v>216</v>
      </c>
      <c r="AK1687" s="1" t="s">
        <v>238</v>
      </c>
      <c r="AM1687" s="1">
        <v>1</v>
      </c>
      <c r="AV1687" s="1">
        <v>1</v>
      </c>
      <c r="AX1687" s="1">
        <v>0.1</v>
      </c>
      <c r="BE1687" s="1" t="s">
        <v>6242</v>
      </c>
      <c r="BK1687" s="1" t="s">
        <v>4994</v>
      </c>
      <c r="BN1687" s="1" t="s">
        <v>217</v>
      </c>
      <c r="BO1687" s="1" t="s">
        <v>218</v>
      </c>
      <c r="BP1687" s="1" t="s">
        <v>239</v>
      </c>
      <c r="BQ1687" s="1" t="s">
        <v>220</v>
      </c>
      <c r="BT1687" s="1">
        <v>1</v>
      </c>
    </row>
    <row r="1688" spans="1:72">
      <c r="A1688" s="1" t="s">
        <v>6246</v>
      </c>
      <c r="B1688" s="1" t="s">
        <v>213</v>
      </c>
      <c r="C1688" s="1">
        <v>1</v>
      </c>
      <c r="D1688" s="1" t="s">
        <v>6247</v>
      </c>
      <c r="E1688" s="1" t="s">
        <v>6248</v>
      </c>
      <c r="F1688" s="1" t="s">
        <v>6246</v>
      </c>
      <c r="G1688" s="1">
        <v>1</v>
      </c>
      <c r="K1688" s="1">
        <v>8000</v>
      </c>
      <c r="M1688" s="1">
        <v>400</v>
      </c>
      <c r="O1688" s="1">
        <v>200</v>
      </c>
      <c r="Q1688" s="1">
        <v>50</v>
      </c>
      <c r="Y1688" s="1">
        <v>0.05</v>
      </c>
      <c r="Z1688" s="1">
        <v>3</v>
      </c>
      <c r="AA1688" s="1">
        <v>1</v>
      </c>
      <c r="AB1688" s="1">
        <v>0.8</v>
      </c>
      <c r="AG1688" s="1">
        <v>0</v>
      </c>
      <c r="AH1688" s="1">
        <v>1</v>
      </c>
      <c r="AI1688" s="1" t="s">
        <v>6249</v>
      </c>
      <c r="AJ1688" s="1" t="s">
        <v>216</v>
      </c>
      <c r="AK1688" s="1" t="s">
        <v>238</v>
      </c>
      <c r="AM1688" s="1">
        <v>1</v>
      </c>
      <c r="AV1688" s="1">
        <v>1</v>
      </c>
      <c r="AX1688" s="1">
        <v>0.1</v>
      </c>
      <c r="BE1688" s="1" t="s">
        <v>6246</v>
      </c>
      <c r="BK1688" s="1" t="s">
        <v>4994</v>
      </c>
      <c r="BN1688" s="1" t="s">
        <v>217</v>
      </c>
      <c r="BO1688" s="1" t="s">
        <v>218</v>
      </c>
      <c r="BP1688" s="1" t="s">
        <v>239</v>
      </c>
      <c r="BQ1688" s="1" t="s">
        <v>220</v>
      </c>
      <c r="BT1688" s="1">
        <v>1</v>
      </c>
    </row>
    <row r="1689" spans="1:72">
      <c r="A1689" s="1" t="s">
        <v>6250</v>
      </c>
      <c r="B1689" s="1" t="s">
        <v>213</v>
      </c>
      <c r="C1689" s="1">
        <v>1</v>
      </c>
      <c r="D1689" s="1" t="s">
        <v>6251</v>
      </c>
      <c r="E1689" s="1" t="s">
        <v>6252</v>
      </c>
      <c r="F1689" s="1" t="s">
        <v>6250</v>
      </c>
      <c r="G1689" s="1">
        <v>1</v>
      </c>
      <c r="K1689" s="1">
        <v>15000</v>
      </c>
      <c r="M1689" s="1">
        <v>600</v>
      </c>
      <c r="O1689" s="1">
        <v>300</v>
      </c>
      <c r="Q1689" s="1">
        <v>20</v>
      </c>
      <c r="Y1689" s="1">
        <v>0.05</v>
      </c>
      <c r="Z1689" s="1">
        <v>1.2</v>
      </c>
      <c r="AA1689" s="1">
        <v>2</v>
      </c>
      <c r="AB1689" s="1">
        <v>0.7</v>
      </c>
      <c r="AG1689" s="1">
        <v>0</v>
      </c>
      <c r="AH1689" s="1">
        <v>1</v>
      </c>
      <c r="AI1689" s="1" t="s">
        <v>6253</v>
      </c>
      <c r="AJ1689" s="1" t="s">
        <v>216</v>
      </c>
      <c r="AK1689" s="1" t="s">
        <v>238</v>
      </c>
      <c r="AM1689" s="1">
        <v>1</v>
      </c>
      <c r="AV1689" s="1">
        <v>1</v>
      </c>
      <c r="AX1689" s="1">
        <v>0.1</v>
      </c>
      <c r="BE1689" s="1" t="s">
        <v>6250</v>
      </c>
      <c r="BK1689" s="1" t="s">
        <v>4994</v>
      </c>
      <c r="BN1689" s="1" t="s">
        <v>217</v>
      </c>
      <c r="BO1689" s="1" t="s">
        <v>218</v>
      </c>
      <c r="BP1689" s="1" t="s">
        <v>239</v>
      </c>
      <c r="BQ1689" s="1" t="s">
        <v>220</v>
      </c>
      <c r="BT1689" s="1">
        <v>1</v>
      </c>
    </row>
    <row r="1690" spans="1:72">
      <c r="A1690" s="1" t="s">
        <v>6254</v>
      </c>
      <c r="B1690" s="1" t="s">
        <v>213</v>
      </c>
      <c r="C1690" s="1">
        <v>1</v>
      </c>
      <c r="D1690" s="1" t="s">
        <v>6255</v>
      </c>
      <c r="E1690" s="1" t="s">
        <v>6256</v>
      </c>
      <c r="F1690" s="1" t="s">
        <v>6254</v>
      </c>
      <c r="G1690" s="1">
        <v>1</v>
      </c>
      <c r="K1690" s="1">
        <v>120000</v>
      </c>
      <c r="M1690" s="1">
        <v>2000</v>
      </c>
      <c r="O1690" s="1">
        <v>2000</v>
      </c>
      <c r="Q1690" s="1">
        <v>70</v>
      </c>
      <c r="Y1690" s="1">
        <v>0.05</v>
      </c>
      <c r="Z1690" s="1">
        <v>7</v>
      </c>
      <c r="AA1690" s="1">
        <v>4</v>
      </c>
      <c r="AB1690" s="1">
        <v>0.4</v>
      </c>
      <c r="AG1690" s="1">
        <v>0</v>
      </c>
      <c r="AH1690" s="1">
        <v>1</v>
      </c>
      <c r="AI1690" s="1" t="s">
        <v>6257</v>
      </c>
      <c r="AJ1690" s="1" t="s">
        <v>216</v>
      </c>
      <c r="AK1690" s="1" t="s">
        <v>238</v>
      </c>
      <c r="AM1690" s="1">
        <v>1</v>
      </c>
      <c r="AV1690" s="1">
        <v>1</v>
      </c>
      <c r="AX1690" s="1">
        <v>0.1</v>
      </c>
      <c r="BE1690" s="1" t="s">
        <v>6254</v>
      </c>
      <c r="BK1690" s="1" t="s">
        <v>4994</v>
      </c>
      <c r="BN1690" s="1" t="s">
        <v>217</v>
      </c>
      <c r="BO1690" s="1" t="s">
        <v>218</v>
      </c>
      <c r="BP1690" s="1" t="s">
        <v>239</v>
      </c>
      <c r="BQ1690" s="1" t="s">
        <v>220</v>
      </c>
      <c r="BT1690" s="1">
        <v>1</v>
      </c>
    </row>
    <row r="1691" spans="1:72">
      <c r="A1691" s="1" t="s">
        <v>6258</v>
      </c>
      <c r="B1691" s="1" t="s">
        <v>213</v>
      </c>
      <c r="C1691" s="1">
        <v>1</v>
      </c>
      <c r="D1691" s="1" t="s">
        <v>6259</v>
      </c>
      <c r="E1691" s="1" t="s">
        <v>6260</v>
      </c>
      <c r="F1691" s="1" t="s">
        <v>6258</v>
      </c>
      <c r="G1691" s="1">
        <v>1</v>
      </c>
      <c r="K1691" s="1">
        <v>18000</v>
      </c>
      <c r="M1691" s="1">
        <v>280</v>
      </c>
      <c r="O1691" s="1">
        <v>300</v>
      </c>
      <c r="Q1691" s="1">
        <v>20</v>
      </c>
      <c r="Y1691" s="1">
        <v>0.05</v>
      </c>
      <c r="Z1691" s="1">
        <v>1.8</v>
      </c>
      <c r="AA1691" s="1">
        <v>3</v>
      </c>
      <c r="AB1691" s="1">
        <v>1.3</v>
      </c>
      <c r="AG1691" s="1">
        <v>0</v>
      </c>
      <c r="AH1691" s="1">
        <v>1</v>
      </c>
      <c r="AI1691" s="1" t="s">
        <v>6261</v>
      </c>
      <c r="AJ1691" s="1" t="s">
        <v>216</v>
      </c>
      <c r="AK1691" s="1" t="s">
        <v>238</v>
      </c>
      <c r="AM1691" s="1">
        <v>1</v>
      </c>
      <c r="AV1691" s="1">
        <v>1</v>
      </c>
      <c r="AX1691" s="1">
        <v>0.1</v>
      </c>
      <c r="BE1691" s="1" t="s">
        <v>6258</v>
      </c>
      <c r="BK1691" s="1" t="s">
        <v>4994</v>
      </c>
      <c r="BN1691" s="1" t="s">
        <v>217</v>
      </c>
      <c r="BO1691" s="1" t="s">
        <v>218</v>
      </c>
      <c r="BP1691" s="1" t="s">
        <v>239</v>
      </c>
      <c r="BQ1691" s="1" t="s">
        <v>220</v>
      </c>
      <c r="BT1691" s="1">
        <v>1</v>
      </c>
    </row>
    <row r="1692" spans="1:72">
      <c r="A1692" s="1" t="s">
        <v>6262</v>
      </c>
      <c r="B1692" s="1" t="s">
        <v>213</v>
      </c>
      <c r="C1692" s="1">
        <v>1</v>
      </c>
      <c r="D1692" s="1" t="s">
        <v>6263</v>
      </c>
      <c r="E1692" s="1" t="s">
        <v>6264</v>
      </c>
      <c r="F1692" s="1" t="s">
        <v>6262</v>
      </c>
      <c r="G1692" s="1">
        <v>1</v>
      </c>
      <c r="K1692" s="1">
        <v>100000</v>
      </c>
      <c r="M1692" s="1">
        <v>100</v>
      </c>
      <c r="O1692" s="1">
        <v>0</v>
      </c>
      <c r="Q1692" s="1">
        <v>0</v>
      </c>
      <c r="Y1692" s="1">
        <v>0.05</v>
      </c>
      <c r="Z1692" s="1">
        <v>1</v>
      </c>
      <c r="AA1692" s="1">
        <v>1</v>
      </c>
      <c r="AB1692" s="1">
        <v>1</v>
      </c>
      <c r="AG1692" s="1">
        <v>0</v>
      </c>
      <c r="AH1692" s="1">
        <v>1</v>
      </c>
      <c r="AI1692" s="1" t="s">
        <v>6265</v>
      </c>
      <c r="AJ1692" s="1" t="s">
        <v>216</v>
      </c>
      <c r="AK1692" s="1" t="s">
        <v>238</v>
      </c>
      <c r="AM1692" s="1">
        <v>1</v>
      </c>
      <c r="AV1692" s="1">
        <v>1</v>
      </c>
      <c r="AX1692" s="1">
        <v>0.1</v>
      </c>
      <c r="BE1692" s="1" t="s">
        <v>6262</v>
      </c>
      <c r="BK1692" s="1" t="s">
        <v>4994</v>
      </c>
      <c r="BN1692" s="1" t="s">
        <v>217</v>
      </c>
      <c r="BO1692" s="1" t="s">
        <v>218</v>
      </c>
      <c r="BQ1692" s="1" t="s">
        <v>220</v>
      </c>
      <c r="BT1692" s="1">
        <v>1</v>
      </c>
    </row>
    <row r="1693" spans="1:72">
      <c r="A1693" s="1" t="s">
        <v>6266</v>
      </c>
      <c r="B1693" s="1" t="s">
        <v>213</v>
      </c>
      <c r="C1693" s="1">
        <v>1</v>
      </c>
      <c r="D1693" s="1" t="s">
        <v>6267</v>
      </c>
      <c r="E1693" s="1" t="s">
        <v>6268</v>
      </c>
      <c r="F1693" s="1" t="s">
        <v>6266</v>
      </c>
      <c r="G1693" s="1">
        <v>1</v>
      </c>
      <c r="K1693" s="1">
        <v>2500</v>
      </c>
      <c r="M1693" s="1">
        <v>300</v>
      </c>
      <c r="O1693" s="1">
        <v>50</v>
      </c>
      <c r="Q1693" s="1">
        <v>80</v>
      </c>
      <c r="Y1693" s="1">
        <v>0.05</v>
      </c>
      <c r="Z1693" s="1">
        <v>2</v>
      </c>
      <c r="AA1693" s="1">
        <v>0</v>
      </c>
      <c r="AB1693" s="1">
        <v>0.7</v>
      </c>
      <c r="AG1693" s="1">
        <v>0</v>
      </c>
      <c r="AH1693" s="1">
        <v>1</v>
      </c>
      <c r="AI1693" s="1" t="s">
        <v>6269</v>
      </c>
      <c r="AJ1693" s="1" t="s">
        <v>216</v>
      </c>
      <c r="AK1693" s="1" t="s">
        <v>238</v>
      </c>
      <c r="AM1693" s="1">
        <v>1</v>
      </c>
      <c r="AV1693" s="1">
        <v>1</v>
      </c>
      <c r="AX1693" s="1">
        <v>0.1</v>
      </c>
      <c r="BE1693" s="1" t="s">
        <v>6266</v>
      </c>
      <c r="BK1693" s="1" t="s">
        <v>4994</v>
      </c>
      <c r="BN1693" s="1" t="s">
        <v>217</v>
      </c>
      <c r="BO1693" s="1" t="s">
        <v>218</v>
      </c>
      <c r="BP1693" s="1" t="s">
        <v>239</v>
      </c>
      <c r="BQ1693" s="1" t="s">
        <v>220</v>
      </c>
      <c r="BT1693" s="1">
        <v>1</v>
      </c>
    </row>
    <row r="1694" spans="1:72">
      <c r="A1694" s="1" t="s">
        <v>6270</v>
      </c>
      <c r="B1694" s="1" t="s">
        <v>213</v>
      </c>
      <c r="C1694" s="1">
        <v>1</v>
      </c>
      <c r="D1694" s="1" t="s">
        <v>6271</v>
      </c>
      <c r="E1694" s="1" t="s">
        <v>6272</v>
      </c>
      <c r="F1694" s="1" t="s">
        <v>6270</v>
      </c>
      <c r="G1694" s="1">
        <v>1</v>
      </c>
      <c r="K1694" s="1">
        <v>10000</v>
      </c>
      <c r="M1694" s="1">
        <v>600</v>
      </c>
      <c r="O1694" s="1">
        <v>500</v>
      </c>
      <c r="Q1694" s="1">
        <v>30</v>
      </c>
      <c r="Y1694" s="1">
        <v>0.05</v>
      </c>
      <c r="Z1694" s="1">
        <v>1</v>
      </c>
      <c r="AA1694" s="1">
        <v>4</v>
      </c>
      <c r="AB1694" s="1">
        <v>0.7</v>
      </c>
      <c r="AG1694" s="1">
        <v>0</v>
      </c>
      <c r="AH1694" s="1">
        <v>1</v>
      </c>
      <c r="AI1694" s="1" t="s">
        <v>6273</v>
      </c>
      <c r="AJ1694" s="1" t="s">
        <v>216</v>
      </c>
      <c r="AK1694" s="1" t="s">
        <v>238</v>
      </c>
      <c r="AM1694" s="1">
        <v>1</v>
      </c>
      <c r="AV1694" s="1">
        <v>1</v>
      </c>
      <c r="AX1694" s="1">
        <v>0.1</v>
      </c>
      <c r="BE1694" s="1" t="s">
        <v>6270</v>
      </c>
      <c r="BK1694" s="1" t="s">
        <v>4994</v>
      </c>
      <c r="BN1694" s="1" t="s">
        <v>217</v>
      </c>
      <c r="BO1694" s="1" t="s">
        <v>218</v>
      </c>
      <c r="BP1694" s="1" t="s">
        <v>239</v>
      </c>
      <c r="BQ1694" s="1" t="s">
        <v>220</v>
      </c>
      <c r="BT1694" s="1">
        <v>1</v>
      </c>
    </row>
    <row r="1695" spans="1:72">
      <c r="A1695" s="1" t="s">
        <v>6274</v>
      </c>
      <c r="B1695" s="1" t="s">
        <v>213</v>
      </c>
      <c r="C1695" s="1">
        <v>1</v>
      </c>
      <c r="D1695" s="1" t="s">
        <v>6275</v>
      </c>
      <c r="E1695" s="1" t="s">
        <v>6276</v>
      </c>
      <c r="F1695" s="1" t="s">
        <v>6274</v>
      </c>
      <c r="G1695" s="1">
        <v>1.06</v>
      </c>
      <c r="K1695" s="1">
        <v>60000</v>
      </c>
      <c r="M1695" s="1">
        <v>550</v>
      </c>
      <c r="O1695" s="1">
        <v>500</v>
      </c>
      <c r="Q1695" s="1">
        <v>30</v>
      </c>
      <c r="Y1695" s="1">
        <v>0.05</v>
      </c>
      <c r="Z1695" s="1">
        <v>4</v>
      </c>
      <c r="AA1695" s="1">
        <v>3</v>
      </c>
      <c r="AB1695" s="1">
        <v>0.8</v>
      </c>
      <c r="AG1695" s="1">
        <v>0</v>
      </c>
      <c r="AH1695" s="1">
        <v>1</v>
      </c>
      <c r="AI1695" s="1" t="s">
        <v>6277</v>
      </c>
      <c r="AJ1695" s="1" t="s">
        <v>216</v>
      </c>
      <c r="AK1695" s="1" t="s">
        <v>238</v>
      </c>
      <c r="AM1695" s="1">
        <v>1</v>
      </c>
      <c r="AV1695" s="1">
        <v>1</v>
      </c>
      <c r="AX1695" s="1">
        <v>0.1</v>
      </c>
      <c r="BE1695" s="1" t="s">
        <v>6274</v>
      </c>
      <c r="BK1695" s="1" t="s">
        <v>4994</v>
      </c>
      <c r="BN1695" s="1" t="s">
        <v>217</v>
      </c>
      <c r="BO1695" s="1" t="s">
        <v>218</v>
      </c>
      <c r="BP1695" s="1" t="s">
        <v>239</v>
      </c>
      <c r="BQ1695" s="1" t="s">
        <v>220</v>
      </c>
      <c r="BT1695" s="1">
        <v>1</v>
      </c>
    </row>
    <row r="1696" spans="1:72">
      <c r="A1696" s="1" t="s">
        <v>6278</v>
      </c>
      <c r="B1696" s="1" t="s">
        <v>213</v>
      </c>
      <c r="C1696" s="1">
        <v>1</v>
      </c>
      <c r="D1696" s="1" t="s">
        <v>6279</v>
      </c>
      <c r="E1696" s="1" t="s">
        <v>6280</v>
      </c>
      <c r="F1696" s="1" t="s">
        <v>6278</v>
      </c>
      <c r="G1696" s="1">
        <v>1.06</v>
      </c>
      <c r="K1696" s="1">
        <v>80000</v>
      </c>
      <c r="M1696" s="1">
        <v>550</v>
      </c>
      <c r="O1696" s="1">
        <v>500</v>
      </c>
      <c r="Q1696" s="1">
        <v>30</v>
      </c>
      <c r="Y1696" s="1">
        <v>0.05</v>
      </c>
      <c r="Z1696" s="1">
        <v>4</v>
      </c>
      <c r="AA1696" s="1">
        <v>3</v>
      </c>
      <c r="AB1696" s="1">
        <v>0.8</v>
      </c>
      <c r="AG1696" s="1">
        <v>0</v>
      </c>
      <c r="AH1696" s="1">
        <v>1</v>
      </c>
      <c r="AI1696" s="1" t="s">
        <v>6281</v>
      </c>
      <c r="AJ1696" s="1" t="s">
        <v>216</v>
      </c>
      <c r="AK1696" s="1" t="s">
        <v>238</v>
      </c>
      <c r="AM1696" s="1">
        <v>1</v>
      </c>
      <c r="AV1696" s="1">
        <v>1</v>
      </c>
      <c r="AX1696" s="1">
        <v>0.1</v>
      </c>
      <c r="BE1696" s="1" t="s">
        <v>6278</v>
      </c>
      <c r="BK1696" s="1" t="s">
        <v>4994</v>
      </c>
      <c r="BN1696" s="1" t="s">
        <v>217</v>
      </c>
      <c r="BO1696" s="1" t="s">
        <v>218</v>
      </c>
      <c r="BP1696" s="1" t="s">
        <v>239</v>
      </c>
      <c r="BQ1696" s="1" t="s">
        <v>220</v>
      </c>
      <c r="BT1696" s="1">
        <v>1</v>
      </c>
    </row>
    <row r="1697" spans="1:72">
      <c r="A1697" s="1" t="s">
        <v>6282</v>
      </c>
      <c r="B1697" s="1" t="s">
        <v>213</v>
      </c>
      <c r="C1697" s="1">
        <v>1</v>
      </c>
      <c r="D1697" s="1" t="s">
        <v>6283</v>
      </c>
      <c r="E1697" s="1" t="s">
        <v>6284</v>
      </c>
      <c r="F1697" s="1" t="s">
        <v>6282</v>
      </c>
      <c r="G1697" s="1">
        <v>1</v>
      </c>
      <c r="K1697" s="1">
        <v>60000</v>
      </c>
      <c r="M1697" s="1">
        <v>500</v>
      </c>
      <c r="O1697" s="1">
        <v>250</v>
      </c>
      <c r="Q1697" s="1">
        <v>40</v>
      </c>
      <c r="Y1697" s="1">
        <v>0.05</v>
      </c>
      <c r="Z1697" s="1">
        <v>2</v>
      </c>
      <c r="AA1697" s="1">
        <v>4</v>
      </c>
      <c r="AB1697" s="1">
        <v>0.7</v>
      </c>
      <c r="AG1697" s="1">
        <v>0</v>
      </c>
      <c r="AH1697" s="1">
        <v>1</v>
      </c>
      <c r="AI1697" s="1" t="s">
        <v>6285</v>
      </c>
      <c r="AJ1697" s="1" t="s">
        <v>216</v>
      </c>
      <c r="AK1697" s="1" t="s">
        <v>238</v>
      </c>
      <c r="AM1697" s="1">
        <v>1</v>
      </c>
      <c r="AV1697" s="1">
        <v>1</v>
      </c>
      <c r="AX1697" s="1">
        <v>0.1</v>
      </c>
      <c r="BE1697" s="1" t="s">
        <v>6282</v>
      </c>
      <c r="BK1697" s="1" t="s">
        <v>4994</v>
      </c>
      <c r="BN1697" s="1" t="s">
        <v>4960</v>
      </c>
      <c r="BO1697" s="1" t="s">
        <v>3508</v>
      </c>
      <c r="BP1697" s="1" t="s">
        <v>3509</v>
      </c>
      <c r="BQ1697" s="1" t="s">
        <v>4961</v>
      </c>
      <c r="BT1697" s="1">
        <v>1</v>
      </c>
    </row>
    <row r="1698" spans="1:72">
      <c r="A1698" s="1" t="s">
        <v>6286</v>
      </c>
      <c r="B1698" s="1" t="s">
        <v>213</v>
      </c>
      <c r="C1698" s="1">
        <v>1</v>
      </c>
      <c r="D1698" s="1" t="s">
        <v>6287</v>
      </c>
      <c r="E1698" s="1" t="s">
        <v>6288</v>
      </c>
      <c r="F1698" s="1" t="s">
        <v>6286</v>
      </c>
      <c r="G1698" s="1">
        <v>1</v>
      </c>
      <c r="K1698" s="1">
        <v>150000</v>
      </c>
      <c r="M1698" s="1">
        <v>500</v>
      </c>
      <c r="O1698" s="1">
        <v>250</v>
      </c>
      <c r="Q1698" s="1">
        <v>40</v>
      </c>
      <c r="Y1698" s="1">
        <v>0.05</v>
      </c>
      <c r="Z1698" s="1">
        <v>2</v>
      </c>
      <c r="AA1698" s="1">
        <v>4</v>
      </c>
      <c r="AB1698" s="1">
        <v>0.7</v>
      </c>
      <c r="AG1698" s="1">
        <v>0</v>
      </c>
      <c r="AH1698" s="1">
        <v>1</v>
      </c>
      <c r="AI1698" s="1" t="s">
        <v>6289</v>
      </c>
      <c r="AJ1698" s="1" t="s">
        <v>216</v>
      </c>
      <c r="AK1698" s="1" t="s">
        <v>238</v>
      </c>
      <c r="AM1698" s="1">
        <v>1</v>
      </c>
      <c r="AV1698" s="1">
        <v>1</v>
      </c>
      <c r="AX1698" s="1">
        <v>0.1</v>
      </c>
      <c r="BE1698" s="1" t="s">
        <v>6286</v>
      </c>
      <c r="BK1698" s="1" t="s">
        <v>4994</v>
      </c>
      <c r="BN1698" s="1" t="s">
        <v>4960</v>
      </c>
      <c r="BO1698" s="1" t="s">
        <v>3508</v>
      </c>
      <c r="BP1698" s="1" t="s">
        <v>3509</v>
      </c>
      <c r="BQ1698" s="1" t="s">
        <v>4961</v>
      </c>
      <c r="BT1698" s="1">
        <v>1</v>
      </c>
    </row>
    <row r="1699" spans="1:72">
      <c r="A1699" s="1" t="s">
        <v>6290</v>
      </c>
      <c r="B1699" s="1" t="s">
        <v>213</v>
      </c>
      <c r="C1699" s="1">
        <v>1</v>
      </c>
      <c r="D1699" s="1" t="s">
        <v>6291</v>
      </c>
      <c r="E1699" s="1" t="s">
        <v>6292</v>
      </c>
      <c r="F1699" s="1" t="s">
        <v>6290</v>
      </c>
      <c r="G1699" s="1">
        <v>1</v>
      </c>
      <c r="K1699" s="1">
        <v>80000</v>
      </c>
      <c r="M1699" s="1">
        <v>800</v>
      </c>
      <c r="O1699" s="1">
        <v>500</v>
      </c>
      <c r="Q1699" s="1">
        <v>20</v>
      </c>
      <c r="Y1699" s="1">
        <v>0.05</v>
      </c>
      <c r="Z1699" s="1">
        <v>5</v>
      </c>
      <c r="AA1699" s="1">
        <v>5</v>
      </c>
      <c r="AB1699" s="1">
        <v>0.3</v>
      </c>
      <c r="AG1699" s="1">
        <v>0</v>
      </c>
      <c r="AH1699" s="1">
        <v>1</v>
      </c>
      <c r="AI1699" s="1" t="s">
        <v>6293</v>
      </c>
      <c r="AJ1699" s="1" t="s">
        <v>216</v>
      </c>
      <c r="AK1699" s="1" t="s">
        <v>238</v>
      </c>
      <c r="AM1699" s="1">
        <v>1</v>
      </c>
      <c r="AV1699" s="1">
        <v>1</v>
      </c>
      <c r="AX1699" s="1">
        <v>0.1</v>
      </c>
      <c r="BE1699" s="1" t="s">
        <v>6290</v>
      </c>
      <c r="BK1699" s="1" t="s">
        <v>4994</v>
      </c>
      <c r="BN1699" s="1" t="s">
        <v>217</v>
      </c>
      <c r="BO1699" s="1" t="s">
        <v>218</v>
      </c>
      <c r="BP1699" s="1" t="s">
        <v>239</v>
      </c>
      <c r="BQ1699" s="1" t="s">
        <v>220</v>
      </c>
      <c r="BT1699" s="1">
        <v>1</v>
      </c>
    </row>
    <row r="1700" spans="1:72">
      <c r="A1700" s="1" t="s">
        <v>6294</v>
      </c>
      <c r="B1700" s="1" t="s">
        <v>213</v>
      </c>
      <c r="C1700" s="1">
        <v>1</v>
      </c>
      <c r="D1700" s="1" t="s">
        <v>6295</v>
      </c>
      <c r="E1700" s="1" t="s">
        <v>6296</v>
      </c>
      <c r="F1700" s="1" t="s">
        <v>6294</v>
      </c>
      <c r="G1700" s="1">
        <v>1</v>
      </c>
      <c r="K1700" s="1">
        <v>100000</v>
      </c>
      <c r="M1700" s="1">
        <v>1200</v>
      </c>
      <c r="O1700" s="1">
        <v>600</v>
      </c>
      <c r="Q1700" s="1">
        <v>50</v>
      </c>
      <c r="Y1700" s="1">
        <v>0.05</v>
      </c>
      <c r="Z1700" s="1">
        <v>5</v>
      </c>
      <c r="AA1700" s="1">
        <v>5</v>
      </c>
      <c r="AB1700" s="1">
        <v>0.3</v>
      </c>
      <c r="AG1700" s="1">
        <v>0</v>
      </c>
      <c r="AH1700" s="1">
        <v>1</v>
      </c>
      <c r="AI1700" s="1" t="s">
        <v>6297</v>
      </c>
      <c r="AJ1700" s="1" t="s">
        <v>216</v>
      </c>
      <c r="AK1700" s="1" t="s">
        <v>238</v>
      </c>
      <c r="AM1700" s="1">
        <v>1</v>
      </c>
      <c r="AV1700" s="1">
        <v>1</v>
      </c>
      <c r="AX1700" s="1">
        <v>0.1</v>
      </c>
      <c r="BE1700" s="1" t="s">
        <v>6294</v>
      </c>
      <c r="BK1700" s="1" t="s">
        <v>4994</v>
      </c>
      <c r="BN1700" s="1" t="s">
        <v>217</v>
      </c>
      <c r="BO1700" s="1" t="s">
        <v>218</v>
      </c>
      <c r="BP1700" s="1" t="s">
        <v>239</v>
      </c>
      <c r="BQ1700" s="1" t="s">
        <v>220</v>
      </c>
      <c r="BT1700" s="1">
        <v>1</v>
      </c>
    </row>
    <row r="1701" spans="1:72">
      <c r="A1701" s="1" t="s">
        <v>6298</v>
      </c>
      <c r="B1701" s="1" t="s">
        <v>213</v>
      </c>
      <c r="C1701" s="1">
        <v>1</v>
      </c>
      <c r="D1701" s="1" t="s">
        <v>6299</v>
      </c>
      <c r="E1701" s="1" t="s">
        <v>6300</v>
      </c>
      <c r="F1701" s="1" t="s">
        <v>6298</v>
      </c>
      <c r="G1701" s="1">
        <v>1</v>
      </c>
      <c r="K1701" s="1">
        <v>150000</v>
      </c>
      <c r="M1701" s="1">
        <v>900</v>
      </c>
      <c r="O1701" s="1">
        <v>1000</v>
      </c>
      <c r="Q1701" s="1">
        <v>50</v>
      </c>
      <c r="Y1701" s="1">
        <v>0.05</v>
      </c>
      <c r="Z1701" s="1">
        <v>3</v>
      </c>
      <c r="AA1701" s="1">
        <v>10</v>
      </c>
      <c r="AB1701" s="1">
        <v>15</v>
      </c>
      <c r="AG1701" s="1">
        <v>0</v>
      </c>
      <c r="AH1701" s="1">
        <v>1</v>
      </c>
      <c r="AI1701" s="1" t="s">
        <v>6301</v>
      </c>
      <c r="AJ1701" s="1" t="s">
        <v>216</v>
      </c>
      <c r="AK1701" s="1" t="s">
        <v>238</v>
      </c>
      <c r="AM1701" s="1">
        <v>1</v>
      </c>
      <c r="AV1701" s="1">
        <v>1</v>
      </c>
      <c r="AX1701" s="1">
        <v>0.1</v>
      </c>
      <c r="BE1701" s="1" t="s">
        <v>6298</v>
      </c>
      <c r="BK1701" s="1" t="s">
        <v>4994</v>
      </c>
      <c r="BN1701" s="1" t="s">
        <v>217</v>
      </c>
      <c r="BO1701" s="1" t="s">
        <v>218</v>
      </c>
      <c r="BP1701" s="1" t="s">
        <v>6302</v>
      </c>
      <c r="BQ1701" s="1" t="s">
        <v>220</v>
      </c>
      <c r="BT1701" s="1">
        <v>1</v>
      </c>
    </row>
    <row r="1702" spans="1:72">
      <c r="A1702" s="1" t="s">
        <v>6303</v>
      </c>
      <c r="B1702" s="1" t="s">
        <v>213</v>
      </c>
      <c r="C1702" s="1">
        <v>1</v>
      </c>
      <c r="D1702" s="1" t="s">
        <v>6304</v>
      </c>
      <c r="E1702" s="1" t="s">
        <v>6305</v>
      </c>
      <c r="F1702" s="1" t="s">
        <v>6303</v>
      </c>
      <c r="G1702" s="1">
        <v>1</v>
      </c>
      <c r="K1702" s="1">
        <v>100000</v>
      </c>
      <c r="M1702" s="1">
        <v>650</v>
      </c>
      <c r="O1702" s="1">
        <v>700</v>
      </c>
      <c r="Q1702" s="1">
        <v>30</v>
      </c>
      <c r="Y1702" s="1">
        <v>0.05</v>
      </c>
      <c r="Z1702" s="1">
        <v>3</v>
      </c>
      <c r="AA1702" s="1">
        <v>10</v>
      </c>
      <c r="AB1702" s="1">
        <v>15</v>
      </c>
      <c r="AG1702" s="1">
        <v>0</v>
      </c>
      <c r="AH1702" s="1">
        <v>1</v>
      </c>
      <c r="AI1702" s="1" t="s">
        <v>6306</v>
      </c>
      <c r="AJ1702" s="1" t="s">
        <v>216</v>
      </c>
      <c r="AK1702" s="1" t="s">
        <v>238</v>
      </c>
      <c r="AM1702" s="1">
        <v>1</v>
      </c>
      <c r="AV1702" s="1">
        <v>1</v>
      </c>
      <c r="AX1702" s="1">
        <v>0.1</v>
      </c>
      <c r="BE1702" s="1" t="s">
        <v>6303</v>
      </c>
      <c r="BK1702" s="1" t="s">
        <v>4994</v>
      </c>
      <c r="BN1702" s="1" t="s">
        <v>217</v>
      </c>
      <c r="BO1702" s="1" t="s">
        <v>218</v>
      </c>
      <c r="BP1702" s="1" t="s">
        <v>6302</v>
      </c>
      <c r="BQ1702" s="1" t="s">
        <v>220</v>
      </c>
      <c r="BT1702" s="1">
        <v>1</v>
      </c>
    </row>
    <row r="1703" spans="1:72">
      <c r="A1703" s="1" t="s">
        <v>6307</v>
      </c>
      <c r="B1703" s="1" t="s">
        <v>213</v>
      </c>
      <c r="C1703" s="1">
        <v>1</v>
      </c>
      <c r="D1703" s="1" t="s">
        <v>6308</v>
      </c>
      <c r="E1703" s="1" t="s">
        <v>6309</v>
      </c>
      <c r="F1703" s="1" t="s">
        <v>6307</v>
      </c>
      <c r="G1703" s="1">
        <v>1</v>
      </c>
      <c r="K1703" s="1">
        <v>100000</v>
      </c>
      <c r="M1703" s="1">
        <v>550</v>
      </c>
      <c r="O1703" s="1">
        <v>700</v>
      </c>
      <c r="Q1703" s="1">
        <v>50</v>
      </c>
      <c r="Y1703" s="1">
        <v>0.05</v>
      </c>
      <c r="Z1703" s="1">
        <v>4</v>
      </c>
      <c r="AA1703" s="1">
        <v>3</v>
      </c>
      <c r="AB1703" s="1">
        <v>0.4</v>
      </c>
      <c r="AG1703" s="1">
        <v>0</v>
      </c>
      <c r="AH1703" s="1">
        <v>1</v>
      </c>
      <c r="AI1703" s="1" t="s">
        <v>6310</v>
      </c>
      <c r="AJ1703" s="1" t="s">
        <v>216</v>
      </c>
      <c r="AK1703" s="1" t="s">
        <v>238</v>
      </c>
      <c r="AM1703" s="1">
        <v>1</v>
      </c>
      <c r="AV1703" s="1">
        <v>1</v>
      </c>
      <c r="AX1703" s="1">
        <v>0.1</v>
      </c>
      <c r="BE1703" s="1" t="s">
        <v>6307</v>
      </c>
      <c r="BK1703" s="1" t="s">
        <v>4994</v>
      </c>
      <c r="BN1703" s="1" t="s">
        <v>217</v>
      </c>
      <c r="BO1703" s="1" t="s">
        <v>218</v>
      </c>
      <c r="BP1703" s="1" t="s">
        <v>239</v>
      </c>
      <c r="BQ1703" s="1" t="s">
        <v>220</v>
      </c>
      <c r="BT1703" s="1">
        <v>1</v>
      </c>
    </row>
    <row r="1704" spans="1:72">
      <c r="A1704" s="1" t="s">
        <v>6311</v>
      </c>
      <c r="B1704" s="1" t="s">
        <v>213</v>
      </c>
      <c r="C1704" s="1">
        <v>1</v>
      </c>
      <c r="D1704" s="1" t="s">
        <v>6312</v>
      </c>
      <c r="E1704" s="1" t="s">
        <v>6313</v>
      </c>
      <c r="F1704" s="1" t="s">
        <v>6311</v>
      </c>
      <c r="G1704" s="1">
        <v>1</v>
      </c>
      <c r="K1704" s="1">
        <v>750000</v>
      </c>
      <c r="M1704" s="1">
        <v>1500</v>
      </c>
      <c r="O1704" s="1">
        <v>1500</v>
      </c>
      <c r="Q1704" s="1">
        <v>50</v>
      </c>
      <c r="Y1704" s="1">
        <v>0.05</v>
      </c>
      <c r="Z1704" s="1">
        <v>1</v>
      </c>
      <c r="AA1704" s="1">
        <v>10</v>
      </c>
      <c r="AB1704" s="1">
        <v>1</v>
      </c>
      <c r="AG1704" s="1">
        <v>0</v>
      </c>
      <c r="AH1704" s="1">
        <v>1</v>
      </c>
      <c r="AI1704" s="1" t="s">
        <v>6314</v>
      </c>
      <c r="AJ1704" s="1" t="s">
        <v>216</v>
      </c>
      <c r="AK1704" s="1" t="s">
        <v>238</v>
      </c>
      <c r="AM1704" s="1">
        <v>1</v>
      </c>
      <c r="AV1704" s="1">
        <v>1</v>
      </c>
      <c r="AX1704" s="1">
        <v>0.1</v>
      </c>
      <c r="BE1704" s="1" t="s">
        <v>6311</v>
      </c>
      <c r="BK1704" s="1" t="s">
        <v>4994</v>
      </c>
      <c r="BN1704" s="1" t="s">
        <v>3443</v>
      </c>
      <c r="BO1704" s="1" t="s">
        <v>2618</v>
      </c>
      <c r="BP1704" s="1" t="s">
        <v>239</v>
      </c>
      <c r="BQ1704" s="1" t="s">
        <v>220</v>
      </c>
      <c r="BT1704" s="1">
        <v>1</v>
      </c>
    </row>
    <row r="1705" spans="1:72">
      <c r="A1705" s="1" t="s">
        <v>6315</v>
      </c>
      <c r="B1705" s="1" t="s">
        <v>213</v>
      </c>
      <c r="C1705" s="1">
        <v>1</v>
      </c>
      <c r="D1705" s="1" t="s">
        <v>6316</v>
      </c>
      <c r="E1705" s="1" t="s">
        <v>6317</v>
      </c>
      <c r="F1705" s="1" t="s">
        <v>6315</v>
      </c>
      <c r="G1705" s="1">
        <v>1</v>
      </c>
      <c r="K1705" s="1">
        <v>100000</v>
      </c>
      <c r="M1705" s="1">
        <v>800</v>
      </c>
      <c r="O1705" s="1">
        <v>600</v>
      </c>
      <c r="Q1705" s="1">
        <v>40</v>
      </c>
      <c r="Y1705" s="1">
        <v>0.05</v>
      </c>
      <c r="Z1705" s="1">
        <v>1.6</v>
      </c>
      <c r="AA1705" s="1">
        <v>6</v>
      </c>
      <c r="AB1705" s="1">
        <v>0.6</v>
      </c>
      <c r="AG1705" s="1">
        <v>0</v>
      </c>
      <c r="AH1705" s="1">
        <v>1</v>
      </c>
      <c r="AI1705" s="1" t="s">
        <v>6318</v>
      </c>
      <c r="AJ1705" s="1" t="s">
        <v>216</v>
      </c>
      <c r="AK1705" s="1" t="s">
        <v>238</v>
      </c>
      <c r="AM1705" s="1">
        <v>1</v>
      </c>
      <c r="AV1705" s="1">
        <v>1</v>
      </c>
      <c r="AX1705" s="1">
        <v>0.1</v>
      </c>
      <c r="BE1705" s="1" t="s">
        <v>6315</v>
      </c>
      <c r="BK1705" s="1" t="s">
        <v>4994</v>
      </c>
      <c r="BN1705" s="1" t="s">
        <v>217</v>
      </c>
      <c r="BO1705" s="1" t="s">
        <v>218</v>
      </c>
      <c r="BP1705" s="1" t="s">
        <v>239</v>
      </c>
      <c r="BQ1705" s="1" t="s">
        <v>220</v>
      </c>
      <c r="BT1705" s="1">
        <v>1</v>
      </c>
    </row>
    <row r="1706" spans="1:72">
      <c r="A1706" s="1" t="s">
        <v>6319</v>
      </c>
      <c r="B1706" s="1" t="s">
        <v>213</v>
      </c>
      <c r="C1706" s="1">
        <v>1</v>
      </c>
      <c r="D1706" s="1" t="s">
        <v>6320</v>
      </c>
      <c r="E1706" s="1" t="s">
        <v>6321</v>
      </c>
      <c r="F1706" s="1" t="s">
        <v>6319</v>
      </c>
      <c r="G1706" s="1">
        <v>1</v>
      </c>
      <c r="K1706" s="1">
        <v>300000</v>
      </c>
      <c r="M1706" s="1">
        <v>1600</v>
      </c>
      <c r="O1706" s="1">
        <v>4000</v>
      </c>
      <c r="Q1706" s="1">
        <v>50</v>
      </c>
      <c r="Y1706" s="1">
        <v>0.05</v>
      </c>
      <c r="Z1706" s="1">
        <v>2.5</v>
      </c>
      <c r="AA1706" s="1">
        <v>10</v>
      </c>
      <c r="AB1706" s="1">
        <v>0.6</v>
      </c>
      <c r="AG1706" s="1">
        <v>0</v>
      </c>
      <c r="AH1706" s="1">
        <v>1</v>
      </c>
      <c r="AI1706" s="1" t="s">
        <v>6322</v>
      </c>
      <c r="AJ1706" s="1" t="s">
        <v>216</v>
      </c>
      <c r="AK1706" s="1" t="s">
        <v>6323</v>
      </c>
      <c r="AM1706" s="1">
        <v>1</v>
      </c>
      <c r="AV1706" s="1">
        <v>1</v>
      </c>
      <c r="AX1706" s="1">
        <v>0.1</v>
      </c>
      <c r="BE1706" s="1" t="s">
        <v>6319</v>
      </c>
      <c r="BK1706" s="1" t="s">
        <v>4994</v>
      </c>
      <c r="BN1706" s="1" t="s">
        <v>217</v>
      </c>
      <c r="BO1706" s="1" t="s">
        <v>2618</v>
      </c>
      <c r="BP1706" s="1" t="s">
        <v>2619</v>
      </c>
      <c r="BQ1706" s="1" t="s">
        <v>6324</v>
      </c>
      <c r="BT1706" s="1">
        <v>1</v>
      </c>
    </row>
    <row r="1707" spans="1:72">
      <c r="A1707" s="1" t="s">
        <v>2107</v>
      </c>
      <c r="B1707" s="1" t="s">
        <v>213</v>
      </c>
      <c r="C1707" s="1">
        <v>1</v>
      </c>
      <c r="D1707" s="1" t="s">
        <v>2108</v>
      </c>
      <c r="E1707" s="1">
        <v>4001</v>
      </c>
      <c r="F1707" s="1" t="s">
        <v>2107</v>
      </c>
      <c r="G1707" s="1">
        <v>1</v>
      </c>
      <c r="K1707" s="1">
        <v>12000</v>
      </c>
      <c r="M1707" s="1">
        <v>500</v>
      </c>
      <c r="O1707" s="1">
        <v>400</v>
      </c>
      <c r="Q1707" s="1">
        <v>30</v>
      </c>
      <c r="Y1707" s="1">
        <v>0.05</v>
      </c>
      <c r="Z1707" s="1">
        <v>3.5</v>
      </c>
      <c r="AA1707" s="1">
        <v>5</v>
      </c>
      <c r="AB1707" s="1">
        <v>0.7</v>
      </c>
      <c r="AG1707" s="1">
        <v>0</v>
      </c>
      <c r="AH1707" s="1">
        <v>1</v>
      </c>
      <c r="AI1707" s="1" t="s">
        <v>2109</v>
      </c>
      <c r="AJ1707" s="1" t="s">
        <v>275</v>
      </c>
      <c r="AK1707" s="1" t="s">
        <v>238</v>
      </c>
      <c r="AM1707" s="1">
        <v>1</v>
      </c>
      <c r="AV1707" s="1">
        <v>1</v>
      </c>
      <c r="AX1707" s="1">
        <v>0.1</v>
      </c>
      <c r="BE1707" s="1" t="s">
        <v>2107</v>
      </c>
      <c r="BK1707" s="1" t="s">
        <v>2407</v>
      </c>
      <c r="BL1707" s="1" t="s">
        <v>2111</v>
      </c>
      <c r="BN1707" s="1" t="s">
        <v>217</v>
      </c>
      <c r="BO1707" s="1" t="s">
        <v>218</v>
      </c>
      <c r="BP1707" s="1" t="s">
        <v>239</v>
      </c>
      <c r="BQ1707" s="1" t="s">
        <v>220</v>
      </c>
      <c r="BT1707" s="1">
        <v>1</v>
      </c>
    </row>
    <row r="1708" spans="1:72">
      <c r="A1708" s="1" t="s">
        <v>2112</v>
      </c>
      <c r="B1708" s="1" t="s">
        <v>213</v>
      </c>
      <c r="C1708" s="1">
        <v>1</v>
      </c>
      <c r="D1708" s="1" t="s">
        <v>2113</v>
      </c>
      <c r="E1708" s="1">
        <v>4001</v>
      </c>
      <c r="F1708" s="1" t="s">
        <v>2112</v>
      </c>
      <c r="G1708" s="1">
        <v>1</v>
      </c>
      <c r="K1708" s="1">
        <v>15000</v>
      </c>
      <c r="M1708" s="1">
        <v>550</v>
      </c>
      <c r="O1708" s="1">
        <v>500</v>
      </c>
      <c r="Q1708" s="1">
        <v>30</v>
      </c>
      <c r="Y1708" s="1">
        <v>0.05</v>
      </c>
      <c r="Z1708" s="1">
        <v>3.5</v>
      </c>
      <c r="AA1708" s="1">
        <v>5</v>
      </c>
      <c r="AB1708" s="1">
        <v>0.7</v>
      </c>
      <c r="AG1708" s="1">
        <v>0</v>
      </c>
      <c r="AH1708" s="1">
        <v>1</v>
      </c>
      <c r="AI1708" s="1" t="s">
        <v>2114</v>
      </c>
      <c r="AJ1708" s="1" t="s">
        <v>275</v>
      </c>
      <c r="AK1708" s="1" t="s">
        <v>238</v>
      </c>
      <c r="AM1708" s="1">
        <v>1</v>
      </c>
      <c r="AV1708" s="1">
        <v>1</v>
      </c>
      <c r="AX1708" s="1">
        <v>0.1</v>
      </c>
      <c r="BE1708" s="1" t="s">
        <v>2112</v>
      </c>
      <c r="BK1708" s="1" t="s">
        <v>2407</v>
      </c>
      <c r="BL1708" s="1" t="s">
        <v>2111</v>
      </c>
      <c r="BN1708" s="1" t="s">
        <v>217</v>
      </c>
      <c r="BO1708" s="1" t="s">
        <v>218</v>
      </c>
      <c r="BP1708" s="1" t="s">
        <v>239</v>
      </c>
      <c r="BQ1708" s="1" t="s">
        <v>220</v>
      </c>
      <c r="BT1708" s="1">
        <v>1</v>
      </c>
    </row>
    <row r="1709" spans="1:72">
      <c r="A1709" s="1" t="s">
        <v>6325</v>
      </c>
      <c r="B1709" s="1" t="s">
        <v>213</v>
      </c>
      <c r="C1709" s="1">
        <v>1</v>
      </c>
      <c r="D1709" s="1" t="s">
        <v>2108</v>
      </c>
      <c r="E1709" s="1">
        <v>4001</v>
      </c>
      <c r="F1709" s="1" t="s">
        <v>2107</v>
      </c>
      <c r="G1709" s="1">
        <v>0.8</v>
      </c>
      <c r="K1709" s="1">
        <v>12000</v>
      </c>
      <c r="M1709" s="1">
        <v>500</v>
      </c>
      <c r="O1709" s="1">
        <v>400</v>
      </c>
      <c r="Q1709" s="1">
        <v>30</v>
      </c>
      <c r="Y1709" s="1">
        <v>0.05</v>
      </c>
      <c r="Z1709" s="1">
        <v>3.5</v>
      </c>
      <c r="AA1709" s="1">
        <v>5</v>
      </c>
      <c r="AB1709" s="1">
        <v>0.7</v>
      </c>
      <c r="AG1709" s="1">
        <v>0</v>
      </c>
      <c r="AH1709" s="1">
        <v>1</v>
      </c>
      <c r="AI1709" s="1" t="s">
        <v>6326</v>
      </c>
      <c r="AJ1709" s="1" t="s">
        <v>275</v>
      </c>
      <c r="AK1709" s="1" t="s">
        <v>238</v>
      </c>
      <c r="AM1709" s="1">
        <v>1</v>
      </c>
      <c r="AV1709" s="1">
        <v>1</v>
      </c>
      <c r="AX1709" s="1">
        <v>0.1</v>
      </c>
      <c r="BE1709" s="1" t="s">
        <v>2107</v>
      </c>
      <c r="BK1709" s="1" t="s">
        <v>2407</v>
      </c>
      <c r="BL1709" s="1" t="s">
        <v>2111</v>
      </c>
      <c r="BN1709" s="1" t="s">
        <v>217</v>
      </c>
      <c r="BO1709" s="1" t="s">
        <v>218</v>
      </c>
      <c r="BP1709" s="1" t="s">
        <v>239</v>
      </c>
      <c r="BQ1709" s="1" t="s">
        <v>220</v>
      </c>
      <c r="BT1709" s="1">
        <v>1</v>
      </c>
    </row>
    <row r="1710" spans="1:72">
      <c r="A1710" s="1" t="s">
        <v>6327</v>
      </c>
      <c r="B1710" s="1" t="s">
        <v>213</v>
      </c>
      <c r="C1710" s="1">
        <v>1</v>
      </c>
      <c r="D1710" s="1" t="s">
        <v>2113</v>
      </c>
      <c r="E1710" s="1">
        <v>4001</v>
      </c>
      <c r="F1710" s="1" t="s">
        <v>2112</v>
      </c>
      <c r="G1710" s="1">
        <v>0.8</v>
      </c>
      <c r="K1710" s="1">
        <v>15000</v>
      </c>
      <c r="M1710" s="1">
        <v>550</v>
      </c>
      <c r="O1710" s="1">
        <v>500</v>
      </c>
      <c r="Q1710" s="1">
        <v>30</v>
      </c>
      <c r="Y1710" s="1">
        <v>0.05</v>
      </c>
      <c r="Z1710" s="1">
        <v>3.5</v>
      </c>
      <c r="AA1710" s="1">
        <v>5</v>
      </c>
      <c r="AB1710" s="1">
        <v>0.7</v>
      </c>
      <c r="AG1710" s="1">
        <v>0</v>
      </c>
      <c r="AH1710" s="1">
        <v>1</v>
      </c>
      <c r="AI1710" s="1" t="s">
        <v>6328</v>
      </c>
      <c r="AJ1710" s="1" t="s">
        <v>275</v>
      </c>
      <c r="AK1710" s="1" t="s">
        <v>238</v>
      </c>
      <c r="AM1710" s="1">
        <v>1</v>
      </c>
      <c r="AV1710" s="1">
        <v>1</v>
      </c>
      <c r="AX1710" s="1">
        <v>0.1</v>
      </c>
      <c r="BE1710" s="1" t="s">
        <v>2112</v>
      </c>
      <c r="BK1710" s="1" t="s">
        <v>2407</v>
      </c>
      <c r="BL1710" s="1" t="s">
        <v>2111</v>
      </c>
      <c r="BN1710" s="1" t="s">
        <v>217</v>
      </c>
      <c r="BO1710" s="1" t="s">
        <v>218</v>
      </c>
      <c r="BP1710" s="1" t="s">
        <v>239</v>
      </c>
      <c r="BQ1710" s="1" t="s">
        <v>220</v>
      </c>
      <c r="BT1710" s="1">
        <v>1</v>
      </c>
    </row>
    <row r="1711" spans="1:72">
      <c r="A1711" s="1" t="s">
        <v>2115</v>
      </c>
      <c r="B1711" s="1" t="s">
        <v>213</v>
      </c>
      <c r="C1711" s="1">
        <v>1</v>
      </c>
      <c r="D1711" s="1" t="s">
        <v>2116</v>
      </c>
      <c r="E1711" s="1">
        <v>4002</v>
      </c>
      <c r="F1711" s="1" t="s">
        <v>2115</v>
      </c>
      <c r="G1711" s="1">
        <v>1</v>
      </c>
      <c r="K1711" s="1">
        <v>5000</v>
      </c>
      <c r="M1711" s="1">
        <v>0</v>
      </c>
      <c r="O1711" s="1">
        <v>100</v>
      </c>
      <c r="Q1711" s="1">
        <v>20</v>
      </c>
      <c r="Y1711" s="1">
        <v>0.05</v>
      </c>
      <c r="Z1711" s="1">
        <v>1</v>
      </c>
      <c r="AA1711" s="1">
        <v>0</v>
      </c>
      <c r="AB1711" s="1">
        <v>0.7</v>
      </c>
      <c r="AG1711" s="1">
        <v>0</v>
      </c>
      <c r="AH1711" s="1">
        <v>1</v>
      </c>
      <c r="AI1711" s="1" t="s">
        <v>2117</v>
      </c>
      <c r="AJ1711" s="1" t="s">
        <v>275</v>
      </c>
      <c r="AK1711" s="1" t="s">
        <v>238</v>
      </c>
      <c r="AM1711" s="1">
        <v>1</v>
      </c>
      <c r="AV1711" s="1">
        <v>1</v>
      </c>
      <c r="AX1711" s="1">
        <v>0.1</v>
      </c>
      <c r="BE1711" s="1" t="s">
        <v>2115</v>
      </c>
      <c r="BK1711" s="1" t="s">
        <v>3950</v>
      </c>
      <c r="BL1711" s="1" t="s">
        <v>2118</v>
      </c>
      <c r="BN1711" s="1" t="s">
        <v>217</v>
      </c>
      <c r="BO1711" s="1" t="s">
        <v>218</v>
      </c>
      <c r="BP1711" s="1" t="s">
        <v>239</v>
      </c>
      <c r="BQ1711" s="1" t="s">
        <v>220</v>
      </c>
      <c r="BT1711" s="1">
        <v>1</v>
      </c>
    </row>
    <row r="1712" spans="1:72">
      <c r="A1712" s="1" t="s">
        <v>2119</v>
      </c>
      <c r="B1712" s="1" t="s">
        <v>213</v>
      </c>
      <c r="C1712" s="1">
        <v>1</v>
      </c>
      <c r="D1712" s="1" t="s">
        <v>2120</v>
      </c>
      <c r="E1712" s="1">
        <v>4002</v>
      </c>
      <c r="F1712" s="1" t="s">
        <v>2119</v>
      </c>
      <c r="G1712" s="1">
        <v>1</v>
      </c>
      <c r="K1712" s="1">
        <v>10000</v>
      </c>
      <c r="M1712" s="1">
        <v>0</v>
      </c>
      <c r="O1712" s="1">
        <v>200</v>
      </c>
      <c r="Q1712" s="1">
        <v>30</v>
      </c>
      <c r="Y1712" s="1">
        <v>0.05</v>
      </c>
      <c r="Z1712" s="1">
        <v>1</v>
      </c>
      <c r="AA1712" s="1">
        <v>0</v>
      </c>
      <c r="AB1712" s="1">
        <v>0.7</v>
      </c>
      <c r="AG1712" s="1">
        <v>0</v>
      </c>
      <c r="AH1712" s="1">
        <v>1</v>
      </c>
      <c r="AI1712" s="1" t="s">
        <v>2121</v>
      </c>
      <c r="AJ1712" s="1" t="s">
        <v>275</v>
      </c>
      <c r="AK1712" s="1" t="s">
        <v>238</v>
      </c>
      <c r="AM1712" s="1">
        <v>1</v>
      </c>
      <c r="AV1712" s="1">
        <v>1</v>
      </c>
      <c r="AX1712" s="1">
        <v>0.1</v>
      </c>
      <c r="BE1712" s="1" t="s">
        <v>2119</v>
      </c>
      <c r="BK1712" s="1" t="s">
        <v>3950</v>
      </c>
      <c r="BL1712" s="1" t="s">
        <v>2118</v>
      </c>
      <c r="BN1712" s="1" t="s">
        <v>217</v>
      </c>
      <c r="BO1712" s="1" t="s">
        <v>218</v>
      </c>
      <c r="BP1712" s="1" t="s">
        <v>239</v>
      </c>
      <c r="BQ1712" s="1" t="s">
        <v>220</v>
      </c>
      <c r="BT1712" s="1">
        <v>1</v>
      </c>
    </row>
    <row r="1713" spans="1:72">
      <c r="A1713" s="1" t="s">
        <v>2122</v>
      </c>
      <c r="B1713" s="1" t="s">
        <v>213</v>
      </c>
      <c r="C1713" s="1">
        <v>1</v>
      </c>
      <c r="D1713" s="1" t="s">
        <v>2123</v>
      </c>
      <c r="E1713" s="1">
        <v>4003</v>
      </c>
      <c r="F1713" s="1" t="s">
        <v>2122</v>
      </c>
      <c r="G1713" s="1">
        <v>1.1</v>
      </c>
      <c r="K1713" s="1">
        <v>7500</v>
      </c>
      <c r="M1713" s="1">
        <v>0</v>
      </c>
      <c r="O1713" s="1">
        <v>250</v>
      </c>
      <c r="Q1713" s="1">
        <v>30</v>
      </c>
      <c r="Y1713" s="1">
        <v>0.05</v>
      </c>
      <c r="Z1713" s="1">
        <v>3</v>
      </c>
      <c r="AA1713" s="1">
        <v>0</v>
      </c>
      <c r="AB1713" s="1">
        <v>1.9</v>
      </c>
      <c r="AG1713" s="1">
        <v>0</v>
      </c>
      <c r="AH1713" s="1">
        <v>1</v>
      </c>
      <c r="AI1713" s="1" t="s">
        <v>2124</v>
      </c>
      <c r="AJ1713" s="1" t="s">
        <v>275</v>
      </c>
      <c r="AK1713" s="1" t="s">
        <v>238</v>
      </c>
      <c r="AM1713" s="1">
        <v>1</v>
      </c>
      <c r="AV1713" s="1">
        <v>0</v>
      </c>
      <c r="AX1713" s="1">
        <v>0.1</v>
      </c>
      <c r="BE1713" s="1" t="s">
        <v>2122</v>
      </c>
      <c r="BK1713" s="1" t="s">
        <v>6329</v>
      </c>
      <c r="BL1713" s="1" t="s">
        <v>2126</v>
      </c>
      <c r="BN1713" s="1" t="s">
        <v>217</v>
      </c>
      <c r="BO1713" s="1" t="s">
        <v>218</v>
      </c>
      <c r="BP1713" s="1" t="s">
        <v>239</v>
      </c>
      <c r="BQ1713" s="1" t="s">
        <v>220</v>
      </c>
      <c r="BT1713" s="1">
        <v>1</v>
      </c>
    </row>
    <row r="1714" spans="1:72">
      <c r="A1714" s="1" t="s">
        <v>6330</v>
      </c>
      <c r="B1714" s="1" t="s">
        <v>213</v>
      </c>
      <c r="C1714" s="1">
        <v>1</v>
      </c>
      <c r="D1714" s="1" t="s">
        <v>6331</v>
      </c>
      <c r="E1714" s="1">
        <v>4004</v>
      </c>
      <c r="F1714" s="1" t="s">
        <v>6330</v>
      </c>
      <c r="G1714" s="1">
        <v>1</v>
      </c>
      <c r="K1714" s="1">
        <v>25000</v>
      </c>
      <c r="M1714" s="1">
        <v>800</v>
      </c>
      <c r="O1714" s="1">
        <v>600</v>
      </c>
      <c r="Q1714" s="1">
        <v>50</v>
      </c>
      <c r="Y1714" s="1">
        <v>0.05</v>
      </c>
      <c r="Z1714" s="1">
        <v>1</v>
      </c>
      <c r="AA1714" s="1">
        <v>2</v>
      </c>
      <c r="AB1714" s="1">
        <v>2.5</v>
      </c>
      <c r="AG1714" s="1">
        <v>0</v>
      </c>
      <c r="AH1714" s="1">
        <v>1</v>
      </c>
      <c r="AI1714" s="1" t="s">
        <v>6332</v>
      </c>
      <c r="AJ1714" s="1" t="s">
        <v>275</v>
      </c>
      <c r="AK1714" s="1" t="s">
        <v>238</v>
      </c>
      <c r="AM1714" s="1">
        <v>1</v>
      </c>
      <c r="AV1714" s="1">
        <v>1</v>
      </c>
      <c r="AX1714" s="1">
        <v>0.1</v>
      </c>
      <c r="BE1714" s="1" t="s">
        <v>6330</v>
      </c>
      <c r="BK1714" s="1" t="s">
        <v>6329</v>
      </c>
      <c r="BN1714" s="1" t="s">
        <v>217</v>
      </c>
      <c r="BO1714" s="1" t="s">
        <v>218</v>
      </c>
      <c r="BP1714" s="1" t="s">
        <v>239</v>
      </c>
      <c r="BQ1714" s="1" t="s">
        <v>220</v>
      </c>
      <c r="BT1714" s="1">
        <v>1</v>
      </c>
    </row>
    <row r="1715" spans="1:72">
      <c r="A1715" s="1" t="s">
        <v>6333</v>
      </c>
      <c r="B1715" s="1" t="s">
        <v>213</v>
      </c>
      <c r="C1715" s="1">
        <v>1</v>
      </c>
      <c r="D1715" s="1" t="s">
        <v>6334</v>
      </c>
      <c r="E1715" s="1">
        <v>4004</v>
      </c>
      <c r="F1715" s="1" t="s">
        <v>6333</v>
      </c>
      <c r="G1715" s="1">
        <v>1</v>
      </c>
      <c r="K1715" s="1">
        <v>40000</v>
      </c>
      <c r="M1715" s="1">
        <v>1000</v>
      </c>
      <c r="O1715" s="1">
        <v>600</v>
      </c>
      <c r="Q1715" s="1">
        <v>50</v>
      </c>
      <c r="Y1715" s="1">
        <v>0.05</v>
      </c>
      <c r="Z1715" s="1">
        <v>1</v>
      </c>
      <c r="AA1715" s="1">
        <v>2</v>
      </c>
      <c r="AB1715" s="1">
        <v>3</v>
      </c>
      <c r="AG1715" s="1">
        <v>0</v>
      </c>
      <c r="AH1715" s="1">
        <v>1</v>
      </c>
      <c r="AI1715" s="1" t="s">
        <v>6335</v>
      </c>
      <c r="AJ1715" s="1" t="s">
        <v>275</v>
      </c>
      <c r="AK1715" s="1" t="s">
        <v>238</v>
      </c>
      <c r="AM1715" s="1">
        <v>1</v>
      </c>
      <c r="AV1715" s="1">
        <v>1</v>
      </c>
      <c r="AX1715" s="1">
        <v>0.1</v>
      </c>
      <c r="BE1715" s="1" t="s">
        <v>6333</v>
      </c>
      <c r="BK1715" s="1" t="s">
        <v>6329</v>
      </c>
      <c r="BN1715" s="1" t="s">
        <v>217</v>
      </c>
      <c r="BO1715" s="1" t="s">
        <v>218</v>
      </c>
      <c r="BP1715" s="1" t="s">
        <v>239</v>
      </c>
      <c r="BQ1715" s="1" t="s">
        <v>220</v>
      </c>
      <c r="BT1715" s="1">
        <v>1</v>
      </c>
    </row>
    <row r="1716" spans="1:72">
      <c r="A1716" s="1" t="s">
        <v>6336</v>
      </c>
      <c r="B1716" s="1" t="s">
        <v>213</v>
      </c>
      <c r="C1716" s="1">
        <v>1</v>
      </c>
      <c r="D1716" s="1" t="s">
        <v>6337</v>
      </c>
      <c r="E1716" s="1" t="s">
        <v>6338</v>
      </c>
      <c r="F1716" s="1" t="s">
        <v>6339</v>
      </c>
      <c r="G1716" s="1">
        <v>1</v>
      </c>
      <c r="K1716" s="1">
        <v>100</v>
      </c>
      <c r="M1716" s="1">
        <v>800</v>
      </c>
      <c r="O1716" s="1">
        <v>0</v>
      </c>
      <c r="Q1716" s="1">
        <v>0</v>
      </c>
      <c r="Y1716" s="1">
        <v>0.05</v>
      </c>
      <c r="Z1716" s="1">
        <v>3</v>
      </c>
      <c r="AA1716" s="1">
        <v>10</v>
      </c>
      <c r="AB1716" s="1">
        <v>0</v>
      </c>
      <c r="AG1716" s="1">
        <v>0</v>
      </c>
      <c r="AH1716" s="1">
        <v>1</v>
      </c>
      <c r="AI1716" s="1" t="s">
        <v>6340</v>
      </c>
      <c r="AJ1716" s="1" t="s">
        <v>275</v>
      </c>
      <c r="AK1716" s="1" t="s">
        <v>238</v>
      </c>
      <c r="AM1716" s="1">
        <v>1</v>
      </c>
      <c r="AV1716" s="1">
        <v>0</v>
      </c>
      <c r="AX1716" s="1">
        <v>0.1</v>
      </c>
      <c r="BA1716" s="1">
        <v>1</v>
      </c>
      <c r="BE1716" s="1" t="s">
        <v>6330</v>
      </c>
      <c r="BN1716" s="1" t="s">
        <v>217</v>
      </c>
      <c r="BO1716" s="1" t="s">
        <v>218</v>
      </c>
      <c r="BP1716" s="1" t="s">
        <v>218</v>
      </c>
      <c r="BQ1716" s="1" t="s">
        <v>220</v>
      </c>
      <c r="BT1716" s="1">
        <v>1</v>
      </c>
    </row>
    <row r="1717" spans="1:72">
      <c r="A1717" s="1" t="s">
        <v>6341</v>
      </c>
      <c r="B1717" s="1" t="s">
        <v>213</v>
      </c>
      <c r="C1717" s="1">
        <v>1</v>
      </c>
      <c r="D1717" s="1" t="s">
        <v>6342</v>
      </c>
      <c r="E1717" s="1">
        <v>4005</v>
      </c>
      <c r="F1717" s="1" t="s">
        <v>6341</v>
      </c>
      <c r="G1717" s="1">
        <v>1</v>
      </c>
      <c r="K1717" s="1">
        <v>25000</v>
      </c>
      <c r="M1717" s="1">
        <v>1000</v>
      </c>
      <c r="O1717" s="1">
        <v>1000</v>
      </c>
      <c r="Q1717" s="1">
        <v>20</v>
      </c>
      <c r="Y1717" s="1">
        <v>0.05</v>
      </c>
      <c r="Z1717" s="1">
        <v>0.8</v>
      </c>
      <c r="AA1717" s="1">
        <v>1</v>
      </c>
      <c r="AB1717" s="1">
        <v>1.3</v>
      </c>
      <c r="AG1717" s="1">
        <v>0</v>
      </c>
      <c r="AH1717" s="1">
        <v>1</v>
      </c>
      <c r="AI1717" s="1" t="s">
        <v>6343</v>
      </c>
      <c r="AJ1717" s="1" t="s">
        <v>275</v>
      </c>
      <c r="AK1717" s="1" t="s">
        <v>238</v>
      </c>
      <c r="AM1717" s="1">
        <v>1</v>
      </c>
      <c r="AV1717" s="1">
        <v>1</v>
      </c>
      <c r="AX1717" s="1">
        <v>0.1</v>
      </c>
      <c r="BE1717" s="1" t="s">
        <v>6341</v>
      </c>
      <c r="BK1717" s="1" t="s">
        <v>6344</v>
      </c>
      <c r="BN1717" s="1" t="s">
        <v>217</v>
      </c>
      <c r="BO1717" s="1" t="s">
        <v>1959</v>
      </c>
      <c r="BP1717" s="1" t="s">
        <v>1960</v>
      </c>
      <c r="BQ1717" s="1" t="s">
        <v>3322</v>
      </c>
      <c r="BT1717" s="1">
        <v>1</v>
      </c>
    </row>
    <row r="1718" spans="1:72">
      <c r="A1718" s="1" t="s">
        <v>6345</v>
      </c>
      <c r="B1718" s="1" t="s">
        <v>213</v>
      </c>
      <c r="C1718" s="1">
        <v>1</v>
      </c>
      <c r="D1718" s="1" t="s">
        <v>6346</v>
      </c>
      <c r="E1718" s="1">
        <v>4005</v>
      </c>
      <c r="F1718" s="1" t="s">
        <v>6345</v>
      </c>
      <c r="G1718" s="1">
        <v>1</v>
      </c>
      <c r="K1718" s="1">
        <v>40000</v>
      </c>
      <c r="M1718" s="1">
        <v>1200</v>
      </c>
      <c r="O1718" s="1">
        <v>800</v>
      </c>
      <c r="Q1718" s="1">
        <v>20</v>
      </c>
      <c r="Y1718" s="1">
        <v>0.05</v>
      </c>
      <c r="Z1718" s="1">
        <v>0.8</v>
      </c>
      <c r="AA1718" s="1">
        <v>1</v>
      </c>
      <c r="AB1718" s="1">
        <v>1.3</v>
      </c>
      <c r="AG1718" s="1">
        <v>0</v>
      </c>
      <c r="AH1718" s="1">
        <v>1</v>
      </c>
      <c r="AI1718" s="1" t="s">
        <v>6347</v>
      </c>
      <c r="AJ1718" s="1" t="s">
        <v>275</v>
      </c>
      <c r="AK1718" s="1" t="s">
        <v>238</v>
      </c>
      <c r="AM1718" s="1">
        <v>1</v>
      </c>
      <c r="AV1718" s="1">
        <v>1</v>
      </c>
      <c r="AX1718" s="1">
        <v>0.1</v>
      </c>
      <c r="BE1718" s="1" t="s">
        <v>6345</v>
      </c>
      <c r="BK1718" s="1" t="s">
        <v>6344</v>
      </c>
      <c r="BN1718" s="1" t="s">
        <v>217</v>
      </c>
      <c r="BO1718" s="1" t="s">
        <v>1959</v>
      </c>
      <c r="BP1718" s="1" t="s">
        <v>1960</v>
      </c>
      <c r="BQ1718" s="1" t="s">
        <v>3322</v>
      </c>
      <c r="BT1718" s="1">
        <v>1</v>
      </c>
    </row>
    <row r="1719" spans="1:72">
      <c r="A1719" s="1" t="s">
        <v>6348</v>
      </c>
      <c r="B1719" s="1" t="s">
        <v>213</v>
      </c>
      <c r="C1719" s="1">
        <v>1</v>
      </c>
      <c r="D1719" s="1" t="s">
        <v>6349</v>
      </c>
      <c r="E1719" s="1">
        <v>4006</v>
      </c>
      <c r="F1719" s="1" t="s">
        <v>6348</v>
      </c>
      <c r="G1719" s="1">
        <v>1</v>
      </c>
      <c r="K1719" s="1">
        <v>15000</v>
      </c>
      <c r="M1719" s="1">
        <v>0</v>
      </c>
      <c r="O1719" s="1">
        <v>0</v>
      </c>
      <c r="Q1719" s="1">
        <v>0</v>
      </c>
      <c r="Y1719" s="1">
        <v>0.05</v>
      </c>
      <c r="Z1719" s="1">
        <v>1</v>
      </c>
      <c r="AA1719" s="1">
        <v>1</v>
      </c>
      <c r="AB1719" s="1">
        <v>0.5</v>
      </c>
      <c r="AG1719" s="1">
        <v>0</v>
      </c>
      <c r="AH1719" s="1">
        <v>1</v>
      </c>
      <c r="AI1719" s="1" t="s">
        <v>6350</v>
      </c>
      <c r="AJ1719" s="1" t="s">
        <v>275</v>
      </c>
      <c r="AK1719" s="1" t="s">
        <v>238</v>
      </c>
      <c r="AM1719" s="1">
        <v>1</v>
      </c>
      <c r="AP1719" s="1">
        <v>3</v>
      </c>
      <c r="AV1719" s="1">
        <v>1</v>
      </c>
      <c r="AX1719" s="1">
        <v>0.1</v>
      </c>
      <c r="BE1719" s="1" t="s">
        <v>6348</v>
      </c>
      <c r="BK1719" s="1" t="s">
        <v>4851</v>
      </c>
      <c r="BN1719" s="1" t="s">
        <v>217</v>
      </c>
      <c r="BO1719" s="1" t="s">
        <v>218</v>
      </c>
      <c r="BP1719" s="1" t="s">
        <v>239</v>
      </c>
      <c r="BQ1719" s="1" t="s">
        <v>220</v>
      </c>
      <c r="BT1719" s="1">
        <v>1</v>
      </c>
    </row>
    <row r="1720" spans="1:72">
      <c r="A1720" s="1" t="s">
        <v>6351</v>
      </c>
      <c r="B1720" s="1" t="s">
        <v>213</v>
      </c>
      <c r="C1720" s="1">
        <v>1</v>
      </c>
      <c r="D1720" s="1" t="s">
        <v>6352</v>
      </c>
      <c r="E1720" s="1">
        <v>4006</v>
      </c>
      <c r="F1720" s="1" t="s">
        <v>6351</v>
      </c>
      <c r="G1720" s="1">
        <v>1</v>
      </c>
      <c r="K1720" s="1">
        <v>30000</v>
      </c>
      <c r="M1720" s="1">
        <v>0</v>
      </c>
      <c r="O1720" s="1">
        <v>0</v>
      </c>
      <c r="Q1720" s="1">
        <v>0</v>
      </c>
      <c r="Y1720" s="1">
        <v>0.05</v>
      </c>
      <c r="Z1720" s="1">
        <v>1</v>
      </c>
      <c r="AA1720" s="1">
        <v>1</v>
      </c>
      <c r="AB1720" s="1">
        <v>0.5</v>
      </c>
      <c r="AG1720" s="1">
        <v>0</v>
      </c>
      <c r="AH1720" s="1">
        <v>1</v>
      </c>
      <c r="AI1720" s="1" t="s">
        <v>6353</v>
      </c>
      <c r="AJ1720" s="1" t="s">
        <v>275</v>
      </c>
      <c r="AK1720" s="1" t="s">
        <v>238</v>
      </c>
      <c r="AM1720" s="1">
        <v>1</v>
      </c>
      <c r="AP1720" s="1">
        <v>3</v>
      </c>
      <c r="AV1720" s="1">
        <v>1</v>
      </c>
      <c r="AX1720" s="1">
        <v>0.1</v>
      </c>
      <c r="BE1720" s="1" t="s">
        <v>6351</v>
      </c>
      <c r="BK1720" s="1" t="s">
        <v>4851</v>
      </c>
      <c r="BN1720" s="1" t="s">
        <v>217</v>
      </c>
      <c r="BO1720" s="1" t="s">
        <v>218</v>
      </c>
      <c r="BP1720" s="1" t="s">
        <v>239</v>
      </c>
      <c r="BQ1720" s="1" t="s">
        <v>220</v>
      </c>
      <c r="BT1720" s="1">
        <v>1</v>
      </c>
    </row>
    <row r="1721" spans="1:72">
      <c r="A1721" s="1" t="s">
        <v>6354</v>
      </c>
      <c r="B1721" s="1" t="s">
        <v>213</v>
      </c>
      <c r="C1721" s="1">
        <v>1</v>
      </c>
      <c r="D1721" s="1" t="s">
        <v>6355</v>
      </c>
      <c r="E1721" s="1">
        <v>4007</v>
      </c>
      <c r="F1721" s="1" t="s">
        <v>6354</v>
      </c>
      <c r="G1721" s="1">
        <v>1</v>
      </c>
      <c r="K1721" s="1">
        <v>45000</v>
      </c>
      <c r="M1721" s="1">
        <v>1800</v>
      </c>
      <c r="O1721" s="1">
        <v>0</v>
      </c>
      <c r="Q1721" s="1">
        <v>0</v>
      </c>
      <c r="Y1721" s="1">
        <v>0.05</v>
      </c>
      <c r="Z1721" s="1">
        <v>3.5</v>
      </c>
      <c r="AA1721" s="1">
        <v>2</v>
      </c>
      <c r="AB1721" s="1">
        <v>0.8</v>
      </c>
      <c r="AG1721" s="1">
        <v>0</v>
      </c>
      <c r="AH1721" s="1">
        <v>1</v>
      </c>
      <c r="AI1721" s="1" t="s">
        <v>6356</v>
      </c>
      <c r="AJ1721" s="1" t="s">
        <v>275</v>
      </c>
      <c r="AK1721" s="1" t="s">
        <v>238</v>
      </c>
      <c r="AM1721" s="1">
        <v>1</v>
      </c>
      <c r="AV1721" s="1">
        <v>1</v>
      </c>
      <c r="AX1721" s="1">
        <v>0.1</v>
      </c>
      <c r="BE1721" s="1" t="s">
        <v>6354</v>
      </c>
      <c r="BK1721" s="1" t="s">
        <v>6344</v>
      </c>
      <c r="BN1721" s="1" t="s">
        <v>217</v>
      </c>
      <c r="BO1721" s="1" t="s">
        <v>218</v>
      </c>
      <c r="BP1721" s="1" t="s">
        <v>239</v>
      </c>
      <c r="BQ1721" s="1" t="s">
        <v>220</v>
      </c>
      <c r="BT1721" s="1">
        <v>1</v>
      </c>
    </row>
    <row r="1722" spans="1:72">
      <c r="A1722" s="1" t="s">
        <v>6357</v>
      </c>
      <c r="B1722" s="1" t="s">
        <v>213</v>
      </c>
      <c r="C1722" s="1">
        <v>1</v>
      </c>
      <c r="D1722" s="1" t="s">
        <v>6358</v>
      </c>
      <c r="E1722" s="1">
        <v>4007</v>
      </c>
      <c r="F1722" s="1" t="s">
        <v>6357</v>
      </c>
      <c r="G1722" s="1">
        <v>1</v>
      </c>
      <c r="K1722" s="1">
        <v>70000</v>
      </c>
      <c r="M1722" s="1">
        <v>1800</v>
      </c>
      <c r="O1722" s="1">
        <v>0</v>
      </c>
      <c r="Q1722" s="1">
        <v>0</v>
      </c>
      <c r="Y1722" s="1">
        <v>0.05</v>
      </c>
      <c r="Z1722" s="1">
        <v>3.5</v>
      </c>
      <c r="AA1722" s="1">
        <v>2</v>
      </c>
      <c r="AB1722" s="1">
        <v>0.8</v>
      </c>
      <c r="AG1722" s="1">
        <v>0</v>
      </c>
      <c r="AH1722" s="1">
        <v>1</v>
      </c>
      <c r="AI1722" s="1" t="s">
        <v>6359</v>
      </c>
      <c r="AJ1722" s="1" t="s">
        <v>275</v>
      </c>
      <c r="AK1722" s="1" t="s">
        <v>238</v>
      </c>
      <c r="AM1722" s="1">
        <v>1</v>
      </c>
      <c r="AV1722" s="1">
        <v>1</v>
      </c>
      <c r="AX1722" s="1">
        <v>0.1</v>
      </c>
      <c r="BE1722" s="1" t="s">
        <v>6357</v>
      </c>
      <c r="BK1722" s="1" t="s">
        <v>6344</v>
      </c>
      <c r="BN1722" s="1" t="s">
        <v>217</v>
      </c>
      <c r="BO1722" s="1" t="s">
        <v>218</v>
      </c>
      <c r="BP1722" s="1" t="s">
        <v>239</v>
      </c>
      <c r="BQ1722" s="1" t="s">
        <v>220</v>
      </c>
      <c r="BT1722" s="1">
        <v>1</v>
      </c>
    </row>
    <row r="1723" spans="1:72">
      <c r="A1723" s="1" t="s">
        <v>6360</v>
      </c>
      <c r="B1723" s="1" t="s">
        <v>213</v>
      </c>
      <c r="C1723" s="1">
        <v>1</v>
      </c>
      <c r="D1723" s="1" t="s">
        <v>6361</v>
      </c>
      <c r="E1723" s="1">
        <v>4008</v>
      </c>
      <c r="F1723" s="1" t="s">
        <v>6360</v>
      </c>
      <c r="G1723" s="1">
        <v>1</v>
      </c>
      <c r="K1723" s="1">
        <v>30000</v>
      </c>
      <c r="M1723" s="1">
        <v>480</v>
      </c>
      <c r="O1723" s="1">
        <v>2000</v>
      </c>
      <c r="Q1723" s="1">
        <v>70</v>
      </c>
      <c r="Y1723" s="1">
        <v>0.05</v>
      </c>
      <c r="Z1723" s="1">
        <v>1.7</v>
      </c>
      <c r="AA1723" s="1">
        <v>2</v>
      </c>
      <c r="AB1723" s="1">
        <v>1.4</v>
      </c>
      <c r="AG1723" s="1">
        <v>0</v>
      </c>
      <c r="AH1723" s="1">
        <v>1</v>
      </c>
      <c r="AI1723" s="1" t="s">
        <v>6362</v>
      </c>
      <c r="AJ1723" s="1" t="s">
        <v>275</v>
      </c>
      <c r="AK1723" s="1" t="s">
        <v>238</v>
      </c>
      <c r="AM1723" s="1">
        <v>1</v>
      </c>
      <c r="AV1723" s="1">
        <v>1</v>
      </c>
      <c r="AX1723" s="1">
        <v>0.1</v>
      </c>
      <c r="BE1723" s="1" t="s">
        <v>6360</v>
      </c>
      <c r="BK1723" s="1" t="s">
        <v>6344</v>
      </c>
      <c r="BN1723" s="1" t="s">
        <v>217</v>
      </c>
      <c r="BO1723" s="1" t="s">
        <v>281</v>
      </c>
      <c r="BP1723" s="1" t="s">
        <v>239</v>
      </c>
      <c r="BQ1723" s="1" t="s">
        <v>220</v>
      </c>
      <c r="BT1723" s="1">
        <v>1</v>
      </c>
    </row>
    <row r="1724" spans="1:72">
      <c r="A1724" s="1" t="s">
        <v>6363</v>
      </c>
      <c r="B1724" s="1" t="s">
        <v>213</v>
      </c>
      <c r="C1724" s="1">
        <v>1</v>
      </c>
      <c r="D1724" s="1" t="s">
        <v>6364</v>
      </c>
      <c r="E1724" s="1">
        <v>4008</v>
      </c>
      <c r="F1724" s="1" t="s">
        <v>6363</v>
      </c>
      <c r="G1724" s="1">
        <v>1</v>
      </c>
      <c r="K1724" s="1">
        <v>40000</v>
      </c>
      <c r="M1724" s="1">
        <v>550</v>
      </c>
      <c r="O1724" s="1">
        <v>2000</v>
      </c>
      <c r="Q1724" s="1">
        <v>70</v>
      </c>
      <c r="Y1724" s="1">
        <v>0.05</v>
      </c>
      <c r="Z1724" s="1">
        <v>1.7</v>
      </c>
      <c r="AA1724" s="1">
        <v>2</v>
      </c>
      <c r="AB1724" s="1">
        <v>1.4</v>
      </c>
      <c r="AG1724" s="1">
        <v>0</v>
      </c>
      <c r="AH1724" s="1">
        <v>1</v>
      </c>
      <c r="AI1724" s="1" t="s">
        <v>6365</v>
      </c>
      <c r="AJ1724" s="1" t="s">
        <v>275</v>
      </c>
      <c r="AK1724" s="1" t="s">
        <v>238</v>
      </c>
      <c r="AM1724" s="1">
        <v>1</v>
      </c>
      <c r="AV1724" s="1">
        <v>1</v>
      </c>
      <c r="AX1724" s="1">
        <v>0.1</v>
      </c>
      <c r="BE1724" s="1" t="s">
        <v>6363</v>
      </c>
      <c r="BK1724" s="1" t="s">
        <v>6344</v>
      </c>
      <c r="BN1724" s="1" t="s">
        <v>217</v>
      </c>
      <c r="BO1724" s="1" t="s">
        <v>281</v>
      </c>
      <c r="BP1724" s="1" t="s">
        <v>239</v>
      </c>
      <c r="BQ1724" s="1" t="s">
        <v>220</v>
      </c>
      <c r="BT1724" s="1">
        <v>1</v>
      </c>
    </row>
    <row r="1725" spans="1:72">
      <c r="A1725" s="1" t="s">
        <v>6366</v>
      </c>
      <c r="B1725" s="1" t="s">
        <v>213</v>
      </c>
      <c r="C1725" s="1">
        <v>1</v>
      </c>
      <c r="D1725" s="1" t="s">
        <v>6367</v>
      </c>
      <c r="E1725" s="1">
        <v>4009</v>
      </c>
      <c r="F1725" s="1" t="s">
        <v>6366</v>
      </c>
      <c r="G1725" s="1">
        <v>1</v>
      </c>
      <c r="K1725" s="1">
        <v>30000</v>
      </c>
      <c r="M1725" s="1">
        <v>1600</v>
      </c>
      <c r="O1725" s="1">
        <v>200</v>
      </c>
      <c r="Q1725" s="1">
        <v>0</v>
      </c>
      <c r="Y1725" s="1">
        <v>0.05</v>
      </c>
      <c r="Z1725" s="1">
        <v>3</v>
      </c>
      <c r="AA1725" s="1">
        <v>3</v>
      </c>
      <c r="AB1725" s="1">
        <v>0.75</v>
      </c>
      <c r="AG1725" s="1">
        <v>0</v>
      </c>
      <c r="AH1725" s="1">
        <v>1</v>
      </c>
      <c r="AI1725" s="1" t="s">
        <v>6368</v>
      </c>
      <c r="AJ1725" s="1" t="s">
        <v>275</v>
      </c>
      <c r="AK1725" s="1" t="s">
        <v>238</v>
      </c>
      <c r="AM1725" s="1">
        <v>1</v>
      </c>
      <c r="AV1725" s="1">
        <v>1</v>
      </c>
      <c r="AX1725" s="1">
        <v>0.1</v>
      </c>
      <c r="BE1725" s="1" t="s">
        <v>6366</v>
      </c>
      <c r="BK1725" s="1" t="s">
        <v>953</v>
      </c>
      <c r="BN1725" s="1" t="s">
        <v>217</v>
      </c>
      <c r="BO1725" s="1" t="s">
        <v>218</v>
      </c>
      <c r="BP1725" s="1" t="s">
        <v>239</v>
      </c>
      <c r="BQ1725" s="1" t="s">
        <v>220</v>
      </c>
      <c r="BT1725" s="1">
        <v>1</v>
      </c>
    </row>
    <row r="1726" spans="1:72">
      <c r="A1726" s="1" t="s">
        <v>6369</v>
      </c>
      <c r="B1726" s="1" t="s">
        <v>213</v>
      </c>
      <c r="C1726" s="1">
        <v>1</v>
      </c>
      <c r="D1726" s="1" t="s">
        <v>6370</v>
      </c>
      <c r="E1726" s="1">
        <v>4009</v>
      </c>
      <c r="F1726" s="1" t="s">
        <v>6369</v>
      </c>
      <c r="G1726" s="1">
        <v>1</v>
      </c>
      <c r="K1726" s="1">
        <v>40000</v>
      </c>
      <c r="M1726" s="1">
        <v>1750</v>
      </c>
      <c r="O1726" s="1">
        <v>200</v>
      </c>
      <c r="Q1726" s="1">
        <v>50</v>
      </c>
      <c r="Y1726" s="1">
        <v>0.05</v>
      </c>
      <c r="Z1726" s="1">
        <v>3</v>
      </c>
      <c r="AA1726" s="1">
        <v>3</v>
      </c>
      <c r="AB1726" s="1">
        <v>0.75</v>
      </c>
      <c r="AG1726" s="1">
        <v>0</v>
      </c>
      <c r="AH1726" s="1">
        <v>1</v>
      </c>
      <c r="AI1726" s="1" t="s">
        <v>6371</v>
      </c>
      <c r="AJ1726" s="1" t="s">
        <v>275</v>
      </c>
      <c r="AK1726" s="1" t="s">
        <v>238</v>
      </c>
      <c r="AM1726" s="1">
        <v>1</v>
      </c>
      <c r="AV1726" s="1">
        <v>1</v>
      </c>
      <c r="AX1726" s="1">
        <v>0.1</v>
      </c>
      <c r="BE1726" s="1" t="s">
        <v>6369</v>
      </c>
      <c r="BK1726" s="1" t="s">
        <v>953</v>
      </c>
      <c r="BN1726" s="1" t="s">
        <v>217</v>
      </c>
      <c r="BO1726" s="1" t="s">
        <v>218</v>
      </c>
      <c r="BP1726" s="1" t="s">
        <v>239</v>
      </c>
      <c r="BQ1726" s="1" t="s">
        <v>220</v>
      </c>
      <c r="BT1726" s="1">
        <v>1</v>
      </c>
    </row>
    <row r="1727" spans="1:72">
      <c r="A1727" s="1" t="s">
        <v>6372</v>
      </c>
      <c r="B1727" s="1" t="s">
        <v>213</v>
      </c>
      <c r="C1727" s="1">
        <v>1</v>
      </c>
      <c r="D1727" s="1" t="s">
        <v>6373</v>
      </c>
      <c r="E1727" s="1">
        <v>4010</v>
      </c>
      <c r="F1727" s="1" t="s">
        <v>6372</v>
      </c>
      <c r="G1727" s="1">
        <v>1</v>
      </c>
      <c r="K1727" s="1">
        <v>20000</v>
      </c>
      <c r="M1727" s="1">
        <v>700</v>
      </c>
      <c r="O1727" s="1">
        <v>300</v>
      </c>
      <c r="Q1727" s="1">
        <v>20</v>
      </c>
      <c r="Y1727" s="1">
        <v>0.05</v>
      </c>
      <c r="Z1727" s="1">
        <v>3.5</v>
      </c>
      <c r="AA1727" s="1">
        <v>3</v>
      </c>
      <c r="AB1727" s="1">
        <v>0.75</v>
      </c>
      <c r="AG1727" s="1">
        <v>0</v>
      </c>
      <c r="AH1727" s="1">
        <v>1</v>
      </c>
      <c r="AI1727" s="1" t="s">
        <v>6374</v>
      </c>
      <c r="AJ1727" s="1" t="s">
        <v>275</v>
      </c>
      <c r="AK1727" s="1" t="s">
        <v>238</v>
      </c>
      <c r="AM1727" s="1">
        <v>1</v>
      </c>
      <c r="AV1727" s="1">
        <v>1</v>
      </c>
      <c r="AX1727" s="1">
        <v>0.1</v>
      </c>
      <c r="BE1727" s="1" t="s">
        <v>6372</v>
      </c>
      <c r="BK1727" s="1" t="s">
        <v>959</v>
      </c>
      <c r="BN1727" s="1" t="s">
        <v>217</v>
      </c>
      <c r="BO1727" s="1" t="s">
        <v>218</v>
      </c>
      <c r="BP1727" s="1" t="s">
        <v>239</v>
      </c>
      <c r="BQ1727" s="1" t="s">
        <v>220</v>
      </c>
      <c r="BT1727" s="1">
        <v>1</v>
      </c>
    </row>
    <row r="1728" spans="1:72">
      <c r="A1728" s="1" t="s">
        <v>6375</v>
      </c>
      <c r="B1728" s="1" t="s">
        <v>213</v>
      </c>
      <c r="C1728" s="1">
        <v>1</v>
      </c>
      <c r="D1728" s="1" t="s">
        <v>6376</v>
      </c>
      <c r="E1728" s="1">
        <v>4010</v>
      </c>
      <c r="F1728" s="1" t="s">
        <v>6375</v>
      </c>
      <c r="G1728" s="1">
        <v>1</v>
      </c>
      <c r="K1728" s="1">
        <v>26000</v>
      </c>
      <c r="M1728" s="1">
        <v>800</v>
      </c>
      <c r="O1728" s="1">
        <v>300</v>
      </c>
      <c r="Q1728" s="1">
        <v>20</v>
      </c>
      <c r="Y1728" s="1">
        <v>0.05</v>
      </c>
      <c r="Z1728" s="1">
        <v>3.5</v>
      </c>
      <c r="AA1728" s="1">
        <v>3</v>
      </c>
      <c r="AB1728" s="1">
        <v>0.75</v>
      </c>
      <c r="AG1728" s="1">
        <v>0</v>
      </c>
      <c r="AH1728" s="1">
        <v>1</v>
      </c>
      <c r="AI1728" s="1" t="s">
        <v>6377</v>
      </c>
      <c r="AJ1728" s="1" t="s">
        <v>275</v>
      </c>
      <c r="AK1728" s="1" t="s">
        <v>238</v>
      </c>
      <c r="AM1728" s="1">
        <v>1</v>
      </c>
      <c r="AV1728" s="1">
        <v>1</v>
      </c>
      <c r="AX1728" s="1">
        <v>0.1</v>
      </c>
      <c r="BE1728" s="1" t="s">
        <v>6375</v>
      </c>
      <c r="BK1728" s="1" t="s">
        <v>959</v>
      </c>
      <c r="BN1728" s="1" t="s">
        <v>217</v>
      </c>
      <c r="BO1728" s="1" t="s">
        <v>218</v>
      </c>
      <c r="BP1728" s="1" t="s">
        <v>239</v>
      </c>
      <c r="BQ1728" s="1" t="s">
        <v>220</v>
      </c>
      <c r="BT1728" s="1">
        <v>1</v>
      </c>
    </row>
    <row r="1729" spans="1:72">
      <c r="A1729" s="1" t="s">
        <v>6378</v>
      </c>
      <c r="B1729" s="1" t="s">
        <v>213</v>
      </c>
      <c r="C1729" s="1">
        <v>1</v>
      </c>
      <c r="D1729" s="1" t="s">
        <v>6379</v>
      </c>
      <c r="E1729" s="1">
        <v>4012</v>
      </c>
      <c r="F1729" s="1" t="s">
        <v>6378</v>
      </c>
      <c r="G1729" s="1">
        <v>1</v>
      </c>
      <c r="K1729" s="1">
        <v>30000</v>
      </c>
      <c r="M1729" s="1">
        <v>1100</v>
      </c>
      <c r="O1729" s="1">
        <v>300</v>
      </c>
      <c r="Q1729" s="1">
        <v>20</v>
      </c>
      <c r="Y1729" s="1">
        <v>0.05</v>
      </c>
      <c r="Z1729" s="1">
        <v>3</v>
      </c>
      <c r="AA1729" s="1">
        <v>0</v>
      </c>
      <c r="AB1729" s="1">
        <v>2</v>
      </c>
      <c r="AG1729" s="1">
        <v>0</v>
      </c>
      <c r="AH1729" s="1">
        <v>1</v>
      </c>
      <c r="AI1729" s="1" t="s">
        <v>6380</v>
      </c>
      <c r="AJ1729" s="1" t="s">
        <v>275</v>
      </c>
      <c r="AK1729" s="1" t="s">
        <v>238</v>
      </c>
      <c r="AM1729" s="1">
        <v>1</v>
      </c>
      <c r="AV1729" s="1">
        <v>1</v>
      </c>
      <c r="AX1729" s="1">
        <v>0.1</v>
      </c>
      <c r="BE1729" s="1" t="s">
        <v>6378</v>
      </c>
      <c r="BK1729" s="1" t="s">
        <v>6381</v>
      </c>
      <c r="BN1729" s="1" t="s">
        <v>217</v>
      </c>
      <c r="BO1729" s="1" t="s">
        <v>2924</v>
      </c>
      <c r="BP1729" s="1" t="s">
        <v>239</v>
      </c>
      <c r="BQ1729" s="1" t="s">
        <v>220</v>
      </c>
      <c r="BT1729" s="1">
        <v>1</v>
      </c>
    </row>
    <row r="1730" spans="1:72">
      <c r="A1730" s="1" t="s">
        <v>6382</v>
      </c>
      <c r="B1730" s="1" t="s">
        <v>213</v>
      </c>
      <c r="C1730" s="1">
        <v>1</v>
      </c>
      <c r="D1730" s="1" t="s">
        <v>6383</v>
      </c>
      <c r="E1730" s="1">
        <v>4012</v>
      </c>
      <c r="F1730" s="1" t="s">
        <v>6382</v>
      </c>
      <c r="G1730" s="1">
        <v>1</v>
      </c>
      <c r="K1730" s="1">
        <v>40000</v>
      </c>
      <c r="M1730" s="1">
        <v>1350</v>
      </c>
      <c r="O1730" s="1">
        <v>300</v>
      </c>
      <c r="Q1730" s="1">
        <v>20</v>
      </c>
      <c r="Y1730" s="1">
        <v>0.05</v>
      </c>
      <c r="Z1730" s="1">
        <v>3</v>
      </c>
      <c r="AA1730" s="1">
        <v>0</v>
      </c>
      <c r="AB1730" s="1">
        <v>2</v>
      </c>
      <c r="AG1730" s="1">
        <v>0</v>
      </c>
      <c r="AH1730" s="1">
        <v>1</v>
      </c>
      <c r="AI1730" s="1" t="s">
        <v>6384</v>
      </c>
      <c r="AJ1730" s="1" t="s">
        <v>275</v>
      </c>
      <c r="AK1730" s="1" t="s">
        <v>238</v>
      </c>
      <c r="AM1730" s="1">
        <v>1</v>
      </c>
      <c r="AV1730" s="1">
        <v>1</v>
      </c>
      <c r="AX1730" s="1">
        <v>0.1</v>
      </c>
      <c r="BE1730" s="1" t="s">
        <v>6382</v>
      </c>
      <c r="BK1730" s="1" t="s">
        <v>6381</v>
      </c>
      <c r="BN1730" s="1" t="s">
        <v>217</v>
      </c>
      <c r="BO1730" s="1" t="s">
        <v>2924</v>
      </c>
      <c r="BP1730" s="1" t="s">
        <v>239</v>
      </c>
      <c r="BQ1730" s="1" t="s">
        <v>220</v>
      </c>
      <c r="BT1730" s="1">
        <v>1</v>
      </c>
    </row>
    <row r="1731" spans="1:72">
      <c r="A1731" s="1" t="s">
        <v>6385</v>
      </c>
      <c r="B1731" s="1" t="s">
        <v>213</v>
      </c>
      <c r="C1731" s="1">
        <v>1</v>
      </c>
      <c r="D1731" s="1" t="s">
        <v>6386</v>
      </c>
      <c r="E1731" s="1">
        <v>4013</v>
      </c>
      <c r="F1731" s="1" t="s">
        <v>6385</v>
      </c>
      <c r="G1731" s="1">
        <v>1</v>
      </c>
      <c r="K1731" s="1">
        <v>35000</v>
      </c>
      <c r="M1731" s="1">
        <v>2000</v>
      </c>
      <c r="O1731" s="1">
        <v>400</v>
      </c>
      <c r="Q1731" s="1">
        <v>20</v>
      </c>
      <c r="Y1731" s="1">
        <v>0.05</v>
      </c>
      <c r="Z1731" s="1">
        <v>2</v>
      </c>
      <c r="AA1731" s="1">
        <v>0</v>
      </c>
      <c r="AB1731" s="1">
        <v>2</v>
      </c>
      <c r="AG1731" s="1">
        <v>0</v>
      </c>
      <c r="AH1731" s="1">
        <v>1</v>
      </c>
      <c r="AI1731" s="1" t="s">
        <v>6387</v>
      </c>
      <c r="AJ1731" s="1" t="s">
        <v>275</v>
      </c>
      <c r="AK1731" s="1" t="s">
        <v>238</v>
      </c>
      <c r="AM1731" s="1">
        <v>1</v>
      </c>
      <c r="AV1731" s="1">
        <v>1</v>
      </c>
      <c r="AX1731" s="1">
        <v>0.1</v>
      </c>
      <c r="BE1731" s="1" t="s">
        <v>6385</v>
      </c>
      <c r="BK1731" s="1" t="s">
        <v>6381</v>
      </c>
      <c r="BN1731" s="1" t="s">
        <v>217</v>
      </c>
      <c r="BO1731" s="1" t="s">
        <v>2924</v>
      </c>
      <c r="BP1731" s="1" t="s">
        <v>239</v>
      </c>
      <c r="BQ1731" s="1" t="s">
        <v>220</v>
      </c>
      <c r="BT1731" s="1">
        <v>1</v>
      </c>
    </row>
    <row r="1732" spans="1:72">
      <c r="A1732" s="1" t="s">
        <v>6388</v>
      </c>
      <c r="B1732" s="1" t="s">
        <v>213</v>
      </c>
      <c r="C1732" s="1">
        <v>1</v>
      </c>
      <c r="D1732" s="1" t="s">
        <v>6389</v>
      </c>
      <c r="E1732" s="1">
        <v>4013</v>
      </c>
      <c r="F1732" s="1" t="s">
        <v>6388</v>
      </c>
      <c r="G1732" s="1">
        <v>1</v>
      </c>
      <c r="K1732" s="1">
        <v>45000</v>
      </c>
      <c r="M1732" s="1">
        <v>2350</v>
      </c>
      <c r="O1732" s="1">
        <v>400</v>
      </c>
      <c r="Q1732" s="1">
        <v>20</v>
      </c>
      <c r="Y1732" s="1">
        <v>0.05</v>
      </c>
      <c r="Z1732" s="1">
        <v>2</v>
      </c>
      <c r="AA1732" s="1">
        <v>0</v>
      </c>
      <c r="AB1732" s="1">
        <v>2</v>
      </c>
      <c r="AG1732" s="1">
        <v>0</v>
      </c>
      <c r="AH1732" s="1">
        <v>1</v>
      </c>
      <c r="AI1732" s="1" t="s">
        <v>6390</v>
      </c>
      <c r="AJ1732" s="1" t="s">
        <v>275</v>
      </c>
      <c r="AK1732" s="1" t="s">
        <v>238</v>
      </c>
      <c r="AM1732" s="1">
        <v>1</v>
      </c>
      <c r="AV1732" s="1">
        <v>1</v>
      </c>
      <c r="AX1732" s="1">
        <v>0.1</v>
      </c>
      <c r="BE1732" s="1" t="s">
        <v>6388</v>
      </c>
      <c r="BK1732" s="1" t="s">
        <v>6381</v>
      </c>
      <c r="BN1732" s="1" t="s">
        <v>217</v>
      </c>
      <c r="BO1732" s="1" t="s">
        <v>2924</v>
      </c>
      <c r="BP1732" s="1" t="s">
        <v>239</v>
      </c>
      <c r="BQ1732" s="1" t="s">
        <v>220</v>
      </c>
      <c r="BT1732" s="1">
        <v>1</v>
      </c>
    </row>
    <row r="1733" spans="1:72">
      <c r="A1733" s="1" t="s">
        <v>6391</v>
      </c>
      <c r="B1733" s="1" t="s">
        <v>213</v>
      </c>
      <c r="C1733" s="1">
        <v>1</v>
      </c>
      <c r="D1733" s="1" t="s">
        <v>6392</v>
      </c>
      <c r="E1733" s="1">
        <v>4014</v>
      </c>
      <c r="F1733" s="1" t="s">
        <v>6391</v>
      </c>
      <c r="G1733" s="1">
        <v>1</v>
      </c>
      <c r="K1733" s="1">
        <v>40000</v>
      </c>
      <c r="M1733" s="1">
        <v>1500</v>
      </c>
      <c r="O1733" s="1">
        <v>500</v>
      </c>
      <c r="Q1733" s="1">
        <v>20</v>
      </c>
      <c r="Y1733" s="1">
        <v>0.05</v>
      </c>
      <c r="Z1733" s="1">
        <v>2</v>
      </c>
      <c r="AA1733" s="1">
        <v>0</v>
      </c>
      <c r="AB1733" s="1">
        <v>1</v>
      </c>
      <c r="AG1733" s="1">
        <v>0</v>
      </c>
      <c r="AH1733" s="1">
        <v>1</v>
      </c>
      <c r="AI1733" s="1" t="s">
        <v>6393</v>
      </c>
      <c r="AJ1733" s="1" t="s">
        <v>275</v>
      </c>
      <c r="AK1733" s="1" t="s">
        <v>238</v>
      </c>
      <c r="AM1733" s="1">
        <v>1</v>
      </c>
      <c r="AV1733" s="1">
        <v>1</v>
      </c>
      <c r="AX1733" s="1">
        <v>0.1</v>
      </c>
      <c r="BE1733" s="1" t="s">
        <v>6391</v>
      </c>
      <c r="BK1733" s="1" t="s">
        <v>6381</v>
      </c>
      <c r="BN1733" s="1" t="s">
        <v>217</v>
      </c>
      <c r="BO1733" s="1" t="s">
        <v>218</v>
      </c>
      <c r="BP1733" s="1" t="s">
        <v>239</v>
      </c>
      <c r="BQ1733" s="1" t="s">
        <v>220</v>
      </c>
      <c r="BT1733" s="1">
        <v>1</v>
      </c>
    </row>
    <row r="1734" spans="1:72">
      <c r="A1734" s="1" t="s">
        <v>6394</v>
      </c>
      <c r="B1734" s="1" t="s">
        <v>213</v>
      </c>
      <c r="C1734" s="1">
        <v>1</v>
      </c>
      <c r="D1734" s="1" t="s">
        <v>6395</v>
      </c>
      <c r="E1734" s="1">
        <v>4014</v>
      </c>
      <c r="F1734" s="1" t="s">
        <v>6394</v>
      </c>
      <c r="G1734" s="1">
        <v>1</v>
      </c>
      <c r="K1734" s="1">
        <v>60000</v>
      </c>
      <c r="M1734" s="1">
        <v>2000</v>
      </c>
      <c r="O1734" s="1">
        <v>0</v>
      </c>
      <c r="Q1734" s="1">
        <v>0</v>
      </c>
      <c r="Y1734" s="1">
        <v>0.05</v>
      </c>
      <c r="Z1734" s="1">
        <v>2</v>
      </c>
      <c r="AA1734" s="1">
        <v>0</v>
      </c>
      <c r="AB1734" s="1">
        <v>1</v>
      </c>
      <c r="AG1734" s="1">
        <v>0</v>
      </c>
      <c r="AH1734" s="1">
        <v>1</v>
      </c>
      <c r="AI1734" s="1" t="s">
        <v>6396</v>
      </c>
      <c r="AJ1734" s="1" t="s">
        <v>275</v>
      </c>
      <c r="AK1734" s="1" t="s">
        <v>238</v>
      </c>
      <c r="AM1734" s="1">
        <v>1</v>
      </c>
      <c r="AV1734" s="1">
        <v>1</v>
      </c>
      <c r="AX1734" s="1">
        <v>0.1</v>
      </c>
      <c r="BE1734" s="1" t="s">
        <v>6394</v>
      </c>
      <c r="BK1734" s="1" t="s">
        <v>6381</v>
      </c>
      <c r="BN1734" s="1" t="s">
        <v>217</v>
      </c>
      <c r="BO1734" s="1" t="s">
        <v>218</v>
      </c>
      <c r="BP1734" s="1" t="s">
        <v>239</v>
      </c>
      <c r="BQ1734" s="1" t="s">
        <v>220</v>
      </c>
      <c r="BT1734" s="1">
        <v>1</v>
      </c>
    </row>
    <row r="1735" spans="1:72">
      <c r="A1735" s="1" t="s">
        <v>6397</v>
      </c>
      <c r="B1735" s="1" t="s">
        <v>213</v>
      </c>
      <c r="C1735" s="1">
        <v>1</v>
      </c>
      <c r="D1735" s="1" t="s">
        <v>6398</v>
      </c>
      <c r="E1735" s="1" t="s">
        <v>6399</v>
      </c>
      <c r="F1735" s="1" t="s">
        <v>6397</v>
      </c>
      <c r="G1735" s="1">
        <v>1</v>
      </c>
      <c r="K1735" s="1">
        <v>25000</v>
      </c>
      <c r="M1735" s="1">
        <v>1400</v>
      </c>
      <c r="O1735" s="1">
        <v>1500</v>
      </c>
      <c r="Q1735" s="1">
        <v>60</v>
      </c>
      <c r="Y1735" s="1">
        <v>0.05</v>
      </c>
      <c r="Z1735" s="1">
        <v>5</v>
      </c>
      <c r="AA1735" s="1">
        <v>5</v>
      </c>
      <c r="AB1735" s="1">
        <v>0.4</v>
      </c>
      <c r="AG1735" s="1">
        <v>0</v>
      </c>
      <c r="AH1735" s="1">
        <v>1</v>
      </c>
      <c r="AI1735" s="1" t="s">
        <v>6400</v>
      </c>
      <c r="AJ1735" s="1" t="s">
        <v>216</v>
      </c>
      <c r="AK1735" s="1" t="s">
        <v>238</v>
      </c>
      <c r="AM1735" s="1">
        <v>1</v>
      </c>
      <c r="AV1735" s="1">
        <v>1</v>
      </c>
      <c r="AX1735" s="1">
        <v>0.1</v>
      </c>
      <c r="BE1735" s="1" t="s">
        <v>6397</v>
      </c>
      <c r="BK1735" s="1" t="s">
        <v>1012</v>
      </c>
      <c r="BN1735" s="1" t="s">
        <v>217</v>
      </c>
      <c r="BO1735" s="1" t="s">
        <v>218</v>
      </c>
      <c r="BP1735" s="1" t="s">
        <v>239</v>
      </c>
      <c r="BQ1735" s="1" t="s">
        <v>220</v>
      </c>
      <c r="BT1735" s="1">
        <v>1</v>
      </c>
    </row>
    <row r="1736" spans="1:72">
      <c r="A1736" s="1" t="s">
        <v>6401</v>
      </c>
      <c r="B1736" s="1" t="s">
        <v>213</v>
      </c>
      <c r="C1736" s="1">
        <v>1</v>
      </c>
      <c r="D1736" s="1" t="s">
        <v>6402</v>
      </c>
      <c r="E1736" s="1" t="s">
        <v>6403</v>
      </c>
      <c r="F1736" s="1" t="s">
        <v>6401</v>
      </c>
      <c r="G1736" s="1">
        <v>1</v>
      </c>
      <c r="K1736" s="1">
        <v>18000</v>
      </c>
      <c r="M1736" s="1">
        <v>0</v>
      </c>
      <c r="O1736" s="1">
        <v>50</v>
      </c>
      <c r="Q1736" s="1">
        <v>0</v>
      </c>
      <c r="Y1736" s="1">
        <v>0.05</v>
      </c>
      <c r="Z1736" s="1">
        <v>10</v>
      </c>
      <c r="AA1736" s="1">
        <v>3</v>
      </c>
      <c r="AB1736" s="1">
        <v>1</v>
      </c>
      <c r="AG1736" s="1">
        <v>0</v>
      </c>
      <c r="AH1736" s="1">
        <v>1</v>
      </c>
      <c r="AI1736" s="1" t="s">
        <v>6404</v>
      </c>
      <c r="AJ1736" s="1" t="s">
        <v>216</v>
      </c>
      <c r="AK1736" s="1" t="s">
        <v>238</v>
      </c>
      <c r="AM1736" s="1">
        <v>1</v>
      </c>
      <c r="AV1736" s="1">
        <v>1</v>
      </c>
      <c r="AX1736" s="1">
        <v>0.1</v>
      </c>
      <c r="BE1736" s="1" t="s">
        <v>6401</v>
      </c>
      <c r="BK1736" s="1" t="s">
        <v>3140</v>
      </c>
      <c r="BN1736" s="1" t="s">
        <v>217</v>
      </c>
      <c r="BO1736" s="1" t="s">
        <v>218</v>
      </c>
      <c r="BP1736" s="1" t="s">
        <v>239</v>
      </c>
      <c r="BQ1736" s="1" t="s">
        <v>220</v>
      </c>
      <c r="BT1736" s="1">
        <v>1</v>
      </c>
    </row>
    <row r="1737" spans="1:72">
      <c r="A1737" s="1" t="s">
        <v>6405</v>
      </c>
      <c r="B1737" s="1" t="s">
        <v>213</v>
      </c>
      <c r="C1737" s="1">
        <v>1</v>
      </c>
      <c r="D1737" s="1" t="s">
        <v>6406</v>
      </c>
      <c r="E1737" s="1" t="s">
        <v>6407</v>
      </c>
      <c r="F1737" s="1" t="s">
        <v>6405</v>
      </c>
      <c r="G1737" s="1">
        <v>1</v>
      </c>
      <c r="K1737" s="1">
        <v>18000</v>
      </c>
      <c r="M1737" s="1">
        <v>1100</v>
      </c>
      <c r="O1737" s="1">
        <v>0</v>
      </c>
      <c r="Q1737" s="1">
        <v>0</v>
      </c>
      <c r="Y1737" s="1">
        <v>0.05</v>
      </c>
      <c r="Z1737" s="1">
        <v>4</v>
      </c>
      <c r="AA1737" s="1">
        <v>0</v>
      </c>
      <c r="AB1737" s="1">
        <v>0.2</v>
      </c>
      <c r="AG1737" s="1">
        <v>0</v>
      </c>
      <c r="AH1737" s="1">
        <v>1</v>
      </c>
      <c r="AI1737" s="1" t="s">
        <v>6408</v>
      </c>
      <c r="AJ1737" s="1" t="s">
        <v>216</v>
      </c>
      <c r="AK1737" s="1" t="s">
        <v>238</v>
      </c>
      <c r="AM1737" s="1">
        <v>1</v>
      </c>
      <c r="AV1737" s="1">
        <v>1</v>
      </c>
      <c r="AX1737" s="1">
        <v>0.1</v>
      </c>
      <c r="BE1737" s="1" t="s">
        <v>6405</v>
      </c>
      <c r="BK1737" s="1" t="s">
        <v>1012</v>
      </c>
      <c r="BN1737" s="1" t="s">
        <v>6409</v>
      </c>
      <c r="BO1737" s="1" t="s">
        <v>218</v>
      </c>
      <c r="BP1737" s="1" t="s">
        <v>239</v>
      </c>
      <c r="BQ1737" s="1" t="s">
        <v>220</v>
      </c>
      <c r="BT1737" s="1">
        <v>1</v>
      </c>
    </row>
    <row r="1738" spans="1:72">
      <c r="A1738" s="1" t="s">
        <v>6410</v>
      </c>
      <c r="B1738" s="1" t="s">
        <v>213</v>
      </c>
      <c r="C1738" s="1">
        <v>1</v>
      </c>
      <c r="D1738" s="1" t="s">
        <v>6411</v>
      </c>
      <c r="E1738" s="1" t="s">
        <v>6412</v>
      </c>
      <c r="F1738" s="1" t="s">
        <v>6410</v>
      </c>
      <c r="G1738" s="1">
        <v>1</v>
      </c>
      <c r="K1738" s="1">
        <v>2500</v>
      </c>
      <c r="M1738" s="1">
        <v>290</v>
      </c>
      <c r="O1738" s="1">
        <v>100</v>
      </c>
      <c r="Q1738" s="1">
        <v>20</v>
      </c>
      <c r="Y1738" s="1">
        <v>0.05</v>
      </c>
      <c r="Z1738" s="1">
        <v>1.5</v>
      </c>
      <c r="AA1738" s="1">
        <v>0</v>
      </c>
      <c r="AB1738" s="1">
        <v>1.9</v>
      </c>
      <c r="AG1738" s="1">
        <v>0</v>
      </c>
      <c r="AH1738" s="1">
        <v>1</v>
      </c>
      <c r="AI1738" s="1" t="s">
        <v>6413</v>
      </c>
      <c r="AJ1738" s="1" t="s">
        <v>216</v>
      </c>
      <c r="AK1738" s="1" t="s">
        <v>238</v>
      </c>
      <c r="AM1738" s="1">
        <v>1</v>
      </c>
      <c r="AV1738" s="1">
        <v>1</v>
      </c>
      <c r="AX1738" s="1">
        <v>0.1</v>
      </c>
      <c r="BE1738" s="1" t="s">
        <v>6410</v>
      </c>
      <c r="BK1738" s="1" t="s">
        <v>953</v>
      </c>
      <c r="BN1738" s="1" t="s">
        <v>217</v>
      </c>
      <c r="BO1738" s="1" t="s">
        <v>218</v>
      </c>
      <c r="BP1738" s="1" t="s">
        <v>239</v>
      </c>
      <c r="BQ1738" s="1" t="s">
        <v>220</v>
      </c>
      <c r="BT1738" s="1">
        <v>1</v>
      </c>
    </row>
    <row r="1739" spans="1:72">
      <c r="A1739" s="1" t="s">
        <v>6414</v>
      </c>
      <c r="B1739" s="1" t="s">
        <v>213</v>
      </c>
      <c r="C1739" s="1">
        <v>1</v>
      </c>
      <c r="D1739" s="1" t="s">
        <v>6415</v>
      </c>
      <c r="E1739" s="1">
        <v>5506</v>
      </c>
      <c r="F1739" s="1" t="s">
        <v>6416</v>
      </c>
      <c r="G1739" s="1">
        <v>1</v>
      </c>
      <c r="K1739" s="1">
        <v>100</v>
      </c>
      <c r="M1739" s="1">
        <v>100</v>
      </c>
      <c r="O1739" s="1">
        <v>0</v>
      </c>
      <c r="Q1739" s="1">
        <v>0</v>
      </c>
      <c r="Y1739" s="1">
        <v>0.05</v>
      </c>
      <c r="Z1739" s="1">
        <v>1</v>
      </c>
      <c r="AA1739" s="1">
        <v>0</v>
      </c>
      <c r="AB1739" s="1">
        <v>0</v>
      </c>
      <c r="AG1739" s="1">
        <v>0</v>
      </c>
      <c r="AH1739" s="1">
        <v>1</v>
      </c>
      <c r="AI1739" s="1" t="s">
        <v>6417</v>
      </c>
      <c r="AJ1739" s="1" t="s">
        <v>275</v>
      </c>
      <c r="AK1739" s="1" t="s">
        <v>238</v>
      </c>
      <c r="AM1739" s="1">
        <v>1</v>
      </c>
      <c r="AV1739" s="1">
        <v>0</v>
      </c>
      <c r="AX1739" s="1">
        <v>0.1</v>
      </c>
      <c r="BA1739" s="1">
        <v>1</v>
      </c>
      <c r="BE1739" s="1" t="s">
        <v>6416</v>
      </c>
      <c r="BK1739" s="1" t="s">
        <v>6418</v>
      </c>
      <c r="BN1739" s="1" t="s">
        <v>217</v>
      </c>
      <c r="BO1739" s="1" t="s">
        <v>218</v>
      </c>
      <c r="BP1739" s="1" t="s">
        <v>218</v>
      </c>
      <c r="BQ1739" s="1" t="s">
        <v>217</v>
      </c>
      <c r="BT1739" s="1">
        <v>1</v>
      </c>
    </row>
    <row r="1740" spans="1:72">
      <c r="A1740" s="1" t="s">
        <v>6419</v>
      </c>
      <c r="B1740" s="1" t="s">
        <v>213</v>
      </c>
      <c r="C1740" s="1">
        <v>1</v>
      </c>
      <c r="D1740" s="1" t="s">
        <v>6415</v>
      </c>
      <c r="E1740" s="1">
        <v>5506</v>
      </c>
      <c r="F1740" s="1" t="s">
        <v>6416</v>
      </c>
      <c r="G1740" s="1">
        <v>1</v>
      </c>
      <c r="K1740" s="1">
        <v>100</v>
      </c>
      <c r="M1740" s="1">
        <v>100</v>
      </c>
      <c r="O1740" s="1">
        <v>0</v>
      </c>
      <c r="Q1740" s="1">
        <v>0</v>
      </c>
      <c r="Y1740" s="1">
        <v>0.05</v>
      </c>
      <c r="Z1740" s="1">
        <v>1</v>
      </c>
      <c r="AA1740" s="1">
        <v>0</v>
      </c>
      <c r="AB1740" s="1">
        <v>0</v>
      </c>
      <c r="AG1740" s="1">
        <v>0</v>
      </c>
      <c r="AH1740" s="1">
        <v>1</v>
      </c>
      <c r="AI1740" s="1" t="s">
        <v>6420</v>
      </c>
      <c r="AJ1740" s="1" t="s">
        <v>275</v>
      </c>
      <c r="AK1740" s="1" t="s">
        <v>238</v>
      </c>
      <c r="AM1740" s="1">
        <v>1</v>
      </c>
      <c r="AV1740" s="1">
        <v>0</v>
      </c>
      <c r="AX1740" s="1">
        <v>0.1</v>
      </c>
      <c r="BA1740" s="1">
        <v>1</v>
      </c>
      <c r="BE1740" s="1" t="s">
        <v>6416</v>
      </c>
      <c r="BK1740" s="1" t="s">
        <v>6418</v>
      </c>
      <c r="BN1740" s="1" t="s">
        <v>4450</v>
      </c>
      <c r="BO1740" s="1" t="s">
        <v>4451</v>
      </c>
      <c r="BP1740" s="1" t="s">
        <v>4451</v>
      </c>
      <c r="BQ1740" s="1" t="s">
        <v>4450</v>
      </c>
      <c r="BT1740" s="1">
        <v>1</v>
      </c>
    </row>
    <row r="1741" spans="1:72">
      <c r="A1741" s="1" t="s">
        <v>6421</v>
      </c>
      <c r="B1741" s="1" t="s">
        <v>213</v>
      </c>
      <c r="C1741" s="1">
        <v>1</v>
      </c>
      <c r="D1741" s="1" t="s">
        <v>6415</v>
      </c>
      <c r="E1741" s="1">
        <v>5506</v>
      </c>
      <c r="F1741" s="1" t="s">
        <v>6416</v>
      </c>
      <c r="G1741" s="1">
        <v>1</v>
      </c>
      <c r="K1741" s="1">
        <v>100</v>
      </c>
      <c r="M1741" s="1">
        <v>100</v>
      </c>
      <c r="O1741" s="1">
        <v>0</v>
      </c>
      <c r="Q1741" s="1">
        <v>0</v>
      </c>
      <c r="Y1741" s="1">
        <v>0.05</v>
      </c>
      <c r="Z1741" s="1">
        <v>1</v>
      </c>
      <c r="AA1741" s="1">
        <v>0</v>
      </c>
      <c r="AB1741" s="1">
        <v>0</v>
      </c>
      <c r="AG1741" s="1">
        <v>0</v>
      </c>
      <c r="AH1741" s="1">
        <v>1</v>
      </c>
      <c r="AI1741" s="1" t="s">
        <v>6422</v>
      </c>
      <c r="AJ1741" s="1" t="s">
        <v>275</v>
      </c>
      <c r="AK1741" s="1" t="s">
        <v>238</v>
      </c>
      <c r="AM1741" s="1">
        <v>1</v>
      </c>
      <c r="AV1741" s="1">
        <v>0</v>
      </c>
      <c r="AX1741" s="1">
        <v>0.1</v>
      </c>
      <c r="BA1741" s="1">
        <v>1</v>
      </c>
      <c r="BE1741" s="1" t="s">
        <v>6416</v>
      </c>
      <c r="BK1741" s="1" t="s">
        <v>6418</v>
      </c>
      <c r="BN1741" s="1" t="s">
        <v>6423</v>
      </c>
      <c r="BO1741" s="1" t="s">
        <v>6424</v>
      </c>
      <c r="BP1741" s="1" t="s">
        <v>6424</v>
      </c>
      <c r="BQ1741" s="1" t="s">
        <v>6423</v>
      </c>
      <c r="BT1741" s="1">
        <v>1</v>
      </c>
    </row>
    <row r="1742" spans="1:72">
      <c r="A1742" s="1" t="s">
        <v>6425</v>
      </c>
      <c r="B1742" s="1" t="s">
        <v>213</v>
      </c>
      <c r="C1742" s="1">
        <v>1</v>
      </c>
      <c r="D1742" s="1" t="s">
        <v>6426</v>
      </c>
      <c r="E1742" s="1" t="s">
        <v>6427</v>
      </c>
      <c r="F1742" s="1" t="s">
        <v>6425</v>
      </c>
      <c r="G1742" s="1">
        <v>1</v>
      </c>
      <c r="K1742" s="1">
        <v>100</v>
      </c>
      <c r="M1742" s="1">
        <v>0</v>
      </c>
      <c r="O1742" s="1">
        <v>150</v>
      </c>
      <c r="Q1742" s="1">
        <v>0</v>
      </c>
      <c r="Y1742" s="1">
        <v>0.05</v>
      </c>
      <c r="Z1742" s="1">
        <v>10</v>
      </c>
      <c r="AA1742" s="1">
        <v>0</v>
      </c>
      <c r="AB1742" s="1">
        <v>1</v>
      </c>
      <c r="AG1742" s="1">
        <v>0</v>
      </c>
      <c r="AH1742" s="1">
        <v>0</v>
      </c>
      <c r="AI1742" s="1" t="s">
        <v>6428</v>
      </c>
      <c r="AJ1742" s="1" t="s">
        <v>216</v>
      </c>
      <c r="AK1742" s="1" t="s">
        <v>238</v>
      </c>
      <c r="AM1742" s="1">
        <v>1</v>
      </c>
      <c r="AV1742" s="1">
        <v>0</v>
      </c>
      <c r="AX1742" s="1">
        <v>0.1</v>
      </c>
      <c r="BA1742" s="1">
        <v>1</v>
      </c>
      <c r="BE1742" s="1" t="s">
        <v>6425</v>
      </c>
      <c r="BK1742" s="1" t="s">
        <v>4712</v>
      </c>
      <c r="BN1742" s="1" t="s">
        <v>217</v>
      </c>
      <c r="BO1742" s="1" t="s">
        <v>218</v>
      </c>
      <c r="BP1742" s="1" t="s">
        <v>239</v>
      </c>
      <c r="BQ1742" s="1" t="s">
        <v>638</v>
      </c>
      <c r="BT1742" s="1">
        <v>1</v>
      </c>
    </row>
    <row r="1743" spans="1:72">
      <c r="A1743" s="1" t="s">
        <v>6429</v>
      </c>
      <c r="B1743" s="1" t="s">
        <v>213</v>
      </c>
      <c r="C1743" s="1">
        <v>1</v>
      </c>
      <c r="D1743" s="1" t="s">
        <v>6430</v>
      </c>
      <c r="E1743" s="1">
        <v>6001</v>
      </c>
      <c r="F1743" s="1" t="s">
        <v>6429</v>
      </c>
      <c r="G1743" s="1">
        <v>1</v>
      </c>
      <c r="K1743" s="1">
        <v>22000</v>
      </c>
      <c r="M1743" s="1">
        <v>0</v>
      </c>
      <c r="O1743" s="1">
        <v>700</v>
      </c>
      <c r="Q1743" s="1">
        <v>50</v>
      </c>
      <c r="Y1743" s="1">
        <v>0.05</v>
      </c>
      <c r="Z1743" s="1">
        <v>1</v>
      </c>
      <c r="AA1743" s="1">
        <v>1</v>
      </c>
      <c r="AB1743" s="1">
        <v>1</v>
      </c>
      <c r="AG1743" s="1">
        <v>0</v>
      </c>
      <c r="AH1743" s="1">
        <v>1</v>
      </c>
      <c r="AI1743" s="1" t="s">
        <v>6431</v>
      </c>
      <c r="AJ1743" s="1" t="s">
        <v>275</v>
      </c>
      <c r="AK1743" s="1" t="s">
        <v>238</v>
      </c>
      <c r="AM1743" s="1">
        <v>1</v>
      </c>
      <c r="AV1743" s="1">
        <v>1</v>
      </c>
      <c r="AX1743" s="1">
        <v>0.1</v>
      </c>
      <c r="BE1743" s="1" t="s">
        <v>6429</v>
      </c>
      <c r="BK1743" s="1" t="s">
        <v>3437</v>
      </c>
      <c r="BN1743" s="1" t="s">
        <v>217</v>
      </c>
      <c r="BO1743" s="1" t="s">
        <v>218</v>
      </c>
      <c r="BP1743" s="1" t="s">
        <v>239</v>
      </c>
      <c r="BQ1743" s="1" t="s">
        <v>220</v>
      </c>
      <c r="BT1743" s="1">
        <v>1</v>
      </c>
    </row>
    <row r="1744" spans="1:72">
      <c r="A1744" s="1" t="s">
        <v>6432</v>
      </c>
      <c r="B1744" s="1" t="s">
        <v>213</v>
      </c>
      <c r="C1744" s="1">
        <v>1</v>
      </c>
      <c r="D1744" s="1" t="s">
        <v>6433</v>
      </c>
      <c r="E1744" s="1">
        <v>6002</v>
      </c>
      <c r="F1744" s="1" t="s">
        <v>6432</v>
      </c>
      <c r="G1744" s="1">
        <v>1</v>
      </c>
      <c r="K1744" s="1">
        <v>10000</v>
      </c>
      <c r="Y1744" s="1">
        <v>0.05</v>
      </c>
      <c r="Z1744" s="1">
        <v>1</v>
      </c>
      <c r="AB1744" s="1">
        <v>0.9</v>
      </c>
      <c r="AG1744" s="1">
        <v>0</v>
      </c>
      <c r="AH1744" s="1">
        <v>1</v>
      </c>
      <c r="AI1744" s="1" t="s">
        <v>6434</v>
      </c>
      <c r="AJ1744" s="1" t="s">
        <v>275</v>
      </c>
      <c r="AK1744" s="1" t="s">
        <v>238</v>
      </c>
      <c r="AM1744" s="1">
        <v>1</v>
      </c>
      <c r="AV1744" s="1">
        <v>1</v>
      </c>
      <c r="AX1744" s="1">
        <v>0.1</v>
      </c>
      <c r="BE1744" s="1" t="s">
        <v>6432</v>
      </c>
      <c r="BK1744" s="1" t="s">
        <v>911</v>
      </c>
      <c r="BN1744" s="1" t="s">
        <v>217</v>
      </c>
      <c r="BO1744" s="1" t="s">
        <v>218</v>
      </c>
      <c r="BP1744" s="1" t="s">
        <v>239</v>
      </c>
      <c r="BQ1744" s="1" t="s">
        <v>220</v>
      </c>
      <c r="BT1744" s="1">
        <v>1</v>
      </c>
    </row>
    <row r="1745" spans="1:72">
      <c r="A1745" s="1" t="s">
        <v>6435</v>
      </c>
      <c r="B1745" s="1" t="s">
        <v>213</v>
      </c>
      <c r="C1745" s="1">
        <v>1</v>
      </c>
      <c r="D1745" s="1" t="s">
        <v>6436</v>
      </c>
      <c r="E1745" s="1">
        <v>6003</v>
      </c>
      <c r="F1745" s="1" t="s">
        <v>6435</v>
      </c>
      <c r="G1745" s="1">
        <v>1</v>
      </c>
      <c r="K1745" s="1">
        <v>10000</v>
      </c>
      <c r="Y1745" s="1">
        <v>0.05</v>
      </c>
      <c r="Z1745" s="1">
        <v>1</v>
      </c>
      <c r="AB1745" s="1">
        <v>0.85</v>
      </c>
      <c r="AG1745" s="1">
        <v>0</v>
      </c>
      <c r="AH1745" s="1">
        <v>1</v>
      </c>
      <c r="AI1745" s="1" t="s">
        <v>6437</v>
      </c>
      <c r="AJ1745" s="1" t="s">
        <v>275</v>
      </c>
      <c r="AK1745" s="1" t="s">
        <v>238</v>
      </c>
      <c r="AM1745" s="1">
        <v>1</v>
      </c>
      <c r="AV1745" s="1">
        <v>1</v>
      </c>
      <c r="AX1745" s="1">
        <v>0.1</v>
      </c>
      <c r="BE1745" s="1" t="s">
        <v>6435</v>
      </c>
      <c r="BK1745" s="1" t="s">
        <v>911</v>
      </c>
      <c r="BN1745" s="1" t="s">
        <v>217</v>
      </c>
      <c r="BO1745" s="1" t="s">
        <v>218</v>
      </c>
      <c r="BP1745" s="1" t="s">
        <v>239</v>
      </c>
      <c r="BQ1745" s="1" t="s">
        <v>220</v>
      </c>
      <c r="BT1745" s="1">
        <v>1</v>
      </c>
    </row>
    <row r="1746" spans="1:72">
      <c r="A1746" s="1" t="s">
        <v>6438</v>
      </c>
      <c r="B1746" s="1" t="s">
        <v>213</v>
      </c>
      <c r="C1746" s="1">
        <v>1</v>
      </c>
      <c r="D1746" s="1" t="s">
        <v>6439</v>
      </c>
      <c r="E1746" s="1">
        <v>6004</v>
      </c>
      <c r="F1746" s="1" t="s">
        <v>6438</v>
      </c>
      <c r="G1746" s="1">
        <v>1</v>
      </c>
      <c r="K1746" s="1">
        <v>60000</v>
      </c>
      <c r="M1746" s="1">
        <v>1000</v>
      </c>
      <c r="O1746" s="1">
        <v>800</v>
      </c>
      <c r="Q1746" s="1">
        <v>50</v>
      </c>
      <c r="Y1746" s="1">
        <v>0.05</v>
      </c>
      <c r="Z1746" s="1">
        <v>5</v>
      </c>
      <c r="AA1746" s="1">
        <v>6</v>
      </c>
      <c r="AB1746" s="1">
        <v>0.5</v>
      </c>
      <c r="AG1746" s="1">
        <v>0</v>
      </c>
      <c r="AH1746" s="1">
        <v>1</v>
      </c>
      <c r="AI1746" s="1" t="s">
        <v>6440</v>
      </c>
      <c r="AJ1746" s="1" t="s">
        <v>6441</v>
      </c>
      <c r="AK1746" s="1" t="s">
        <v>238</v>
      </c>
      <c r="AM1746" s="1">
        <v>1</v>
      </c>
      <c r="AV1746" s="1">
        <v>3</v>
      </c>
      <c r="AX1746" s="1">
        <v>0.1</v>
      </c>
      <c r="BE1746" s="1" t="s">
        <v>6438</v>
      </c>
      <c r="BK1746" s="1" t="s">
        <v>6442</v>
      </c>
      <c r="BN1746" s="1" t="s">
        <v>217</v>
      </c>
      <c r="BO1746" s="1" t="s">
        <v>218</v>
      </c>
      <c r="BP1746" s="1" t="s">
        <v>239</v>
      </c>
      <c r="BQ1746" s="1" t="s">
        <v>220</v>
      </c>
      <c r="BT1746" s="1">
        <v>1</v>
      </c>
    </row>
    <row r="1747" spans="1:72">
      <c r="A1747" s="1" t="s">
        <v>6443</v>
      </c>
      <c r="B1747" s="1" t="s">
        <v>213</v>
      </c>
      <c r="C1747" s="1">
        <v>1</v>
      </c>
      <c r="D1747" s="1" t="s">
        <v>6444</v>
      </c>
      <c r="E1747" s="1">
        <v>6005</v>
      </c>
      <c r="F1747" s="1" t="s">
        <v>6443</v>
      </c>
      <c r="G1747" s="1">
        <v>1</v>
      </c>
      <c r="K1747" s="1">
        <v>58000</v>
      </c>
      <c r="M1747" s="1">
        <v>1800</v>
      </c>
      <c r="O1747" s="1">
        <v>1200</v>
      </c>
      <c r="Q1747" s="1">
        <v>50</v>
      </c>
      <c r="Y1747" s="1">
        <v>0.05</v>
      </c>
      <c r="Z1747" s="1">
        <v>7</v>
      </c>
      <c r="AA1747" s="1">
        <v>6</v>
      </c>
      <c r="AB1747" s="1">
        <v>0.4</v>
      </c>
      <c r="AG1747" s="1">
        <v>0</v>
      </c>
      <c r="AH1747" s="1">
        <v>1</v>
      </c>
      <c r="AI1747" s="1" t="s">
        <v>6445</v>
      </c>
      <c r="AJ1747" s="1" t="s">
        <v>275</v>
      </c>
      <c r="AK1747" s="1" t="s">
        <v>238</v>
      </c>
      <c r="AM1747" s="1">
        <v>1</v>
      </c>
      <c r="AV1747" s="1">
        <v>3</v>
      </c>
      <c r="AX1747" s="1">
        <v>0.1</v>
      </c>
      <c r="BE1747" s="1" t="s">
        <v>6443</v>
      </c>
      <c r="BK1747" s="1" t="s">
        <v>1771</v>
      </c>
      <c r="BN1747" s="1" t="s">
        <v>217</v>
      </c>
      <c r="BO1747" s="1" t="s">
        <v>218</v>
      </c>
      <c r="BP1747" s="1" t="s">
        <v>239</v>
      </c>
      <c r="BQ1747" s="1" t="s">
        <v>220</v>
      </c>
      <c r="BT1747" s="1">
        <v>1</v>
      </c>
    </row>
    <row r="1748" spans="1:72">
      <c r="A1748" s="1" t="s">
        <v>6446</v>
      </c>
      <c r="B1748" s="1" t="s">
        <v>213</v>
      </c>
      <c r="C1748" s="1">
        <v>1</v>
      </c>
      <c r="D1748" s="1" t="s">
        <v>6444</v>
      </c>
      <c r="E1748" s="1">
        <v>6005</v>
      </c>
      <c r="F1748" s="1" t="s">
        <v>6443</v>
      </c>
      <c r="G1748" s="1">
        <v>0.01</v>
      </c>
      <c r="K1748" s="1">
        <v>2000</v>
      </c>
      <c r="M1748" s="1">
        <v>0</v>
      </c>
      <c r="O1748" s="1">
        <v>1000</v>
      </c>
      <c r="Q1748" s="1">
        <v>5</v>
      </c>
      <c r="Y1748" s="1">
        <v>0.05</v>
      </c>
      <c r="Z1748" s="1">
        <v>1</v>
      </c>
      <c r="AA1748" s="1">
        <v>6</v>
      </c>
      <c r="AB1748" s="1">
        <v>0</v>
      </c>
      <c r="AG1748" s="1">
        <v>0</v>
      </c>
      <c r="AH1748" s="1">
        <v>1</v>
      </c>
      <c r="AI1748" s="1" t="s">
        <v>6447</v>
      </c>
      <c r="AJ1748" s="1" t="s">
        <v>275</v>
      </c>
      <c r="AK1748" s="1" t="s">
        <v>238</v>
      </c>
      <c r="AM1748" s="1">
        <v>1</v>
      </c>
      <c r="AV1748" s="1">
        <v>1</v>
      </c>
      <c r="AX1748" s="1">
        <v>0.1</v>
      </c>
      <c r="BE1748" s="1" t="s">
        <v>6446</v>
      </c>
      <c r="BK1748" s="1" t="s">
        <v>6448</v>
      </c>
      <c r="BN1748" s="1" t="s">
        <v>217</v>
      </c>
      <c r="BO1748" s="1" t="s">
        <v>218</v>
      </c>
      <c r="BP1748" s="1" t="s">
        <v>239</v>
      </c>
      <c r="BQ1748" s="1" t="s">
        <v>220</v>
      </c>
      <c r="BT1748" s="1">
        <v>1</v>
      </c>
    </row>
    <row r="1749" spans="1:72">
      <c r="A1749" s="1" t="s">
        <v>6449</v>
      </c>
      <c r="B1749" s="1" t="s">
        <v>213</v>
      </c>
      <c r="C1749" s="1">
        <v>1</v>
      </c>
      <c r="D1749" s="1" t="s">
        <v>6450</v>
      </c>
      <c r="E1749" s="1">
        <v>6007</v>
      </c>
      <c r="F1749" s="1" t="s">
        <v>6449</v>
      </c>
      <c r="G1749" s="1">
        <v>1</v>
      </c>
      <c r="K1749" s="1">
        <v>50000</v>
      </c>
      <c r="M1749" s="1">
        <v>1000</v>
      </c>
      <c r="O1749" s="1">
        <v>1500</v>
      </c>
      <c r="Q1749" s="1">
        <v>40</v>
      </c>
      <c r="Y1749" s="1">
        <v>0.05</v>
      </c>
      <c r="Z1749" s="1">
        <v>2</v>
      </c>
      <c r="AA1749" s="1">
        <v>6</v>
      </c>
      <c r="AB1749" s="1">
        <v>0.5</v>
      </c>
      <c r="AG1749" s="1">
        <v>0</v>
      </c>
      <c r="AH1749" s="1">
        <v>1</v>
      </c>
      <c r="AI1749" s="1" t="s">
        <v>6451</v>
      </c>
      <c r="AJ1749" s="1" t="s">
        <v>275</v>
      </c>
      <c r="AK1749" s="1" t="s">
        <v>238</v>
      </c>
      <c r="AM1749" s="1">
        <v>1</v>
      </c>
      <c r="AV1749" s="1">
        <v>3</v>
      </c>
      <c r="AX1749" s="1">
        <v>0.1</v>
      </c>
      <c r="BE1749" s="1" t="s">
        <v>6449</v>
      </c>
      <c r="BK1749" s="1" t="s">
        <v>6442</v>
      </c>
      <c r="BN1749" s="1" t="s">
        <v>217</v>
      </c>
      <c r="BO1749" s="1" t="s">
        <v>218</v>
      </c>
      <c r="BP1749" s="1" t="s">
        <v>239</v>
      </c>
      <c r="BQ1749" s="1" t="s">
        <v>220</v>
      </c>
      <c r="BT1749" s="1">
        <v>1</v>
      </c>
    </row>
    <row r="1750" spans="1:72">
      <c r="A1750" s="1" t="s">
        <v>6452</v>
      </c>
      <c r="B1750" s="1" t="s">
        <v>213</v>
      </c>
      <c r="C1750" s="1">
        <v>1</v>
      </c>
      <c r="D1750" s="1" t="s">
        <v>6453</v>
      </c>
      <c r="E1750" s="1">
        <v>6008</v>
      </c>
      <c r="F1750" s="1" t="s">
        <v>6452</v>
      </c>
      <c r="G1750" s="1">
        <v>1.2</v>
      </c>
      <c r="K1750" s="1">
        <v>3200</v>
      </c>
      <c r="M1750" s="1">
        <v>260</v>
      </c>
      <c r="O1750" s="1">
        <v>1200</v>
      </c>
      <c r="Q1750" s="1">
        <v>0</v>
      </c>
      <c r="Y1750" s="1">
        <v>0.05</v>
      </c>
      <c r="Z1750" s="1">
        <v>2</v>
      </c>
      <c r="AA1750" s="1">
        <v>1</v>
      </c>
      <c r="AB1750" s="1">
        <v>1.2</v>
      </c>
      <c r="AG1750" s="1">
        <v>0</v>
      </c>
      <c r="AH1750" s="1">
        <v>1</v>
      </c>
      <c r="AI1750" s="1" t="s">
        <v>6454</v>
      </c>
      <c r="AJ1750" s="1" t="s">
        <v>275</v>
      </c>
      <c r="AK1750" s="1" t="s">
        <v>238</v>
      </c>
      <c r="AM1750" s="1">
        <v>1</v>
      </c>
      <c r="AV1750" s="1">
        <v>1</v>
      </c>
      <c r="AX1750" s="1">
        <v>0.1</v>
      </c>
      <c r="BE1750" s="1" t="s">
        <v>6452</v>
      </c>
      <c r="BK1750" s="1" t="s">
        <v>6455</v>
      </c>
      <c r="BN1750" s="1" t="s">
        <v>217</v>
      </c>
      <c r="BO1750" s="1" t="s">
        <v>218</v>
      </c>
      <c r="BP1750" s="1" t="s">
        <v>239</v>
      </c>
      <c r="BQ1750" s="1" t="s">
        <v>220</v>
      </c>
      <c r="BT1750" s="1">
        <v>1</v>
      </c>
    </row>
    <row r="1751" spans="1:72">
      <c r="A1751" s="1" t="s">
        <v>6456</v>
      </c>
      <c r="B1751" s="1" t="s">
        <v>213</v>
      </c>
      <c r="C1751" s="1">
        <v>1</v>
      </c>
      <c r="D1751" s="1" t="s">
        <v>6457</v>
      </c>
      <c r="E1751" s="1">
        <v>6009</v>
      </c>
      <c r="F1751" s="1" t="s">
        <v>6456</v>
      </c>
      <c r="G1751" s="1">
        <v>1</v>
      </c>
      <c r="K1751" s="1">
        <v>50000</v>
      </c>
      <c r="M1751" s="1">
        <v>1050</v>
      </c>
      <c r="O1751" s="1">
        <v>1050</v>
      </c>
      <c r="Q1751" s="1">
        <v>60</v>
      </c>
      <c r="Y1751" s="1">
        <v>0.05</v>
      </c>
      <c r="Z1751" s="1">
        <v>3.7</v>
      </c>
      <c r="AA1751" s="1">
        <v>8</v>
      </c>
      <c r="AB1751" s="1">
        <v>0.5</v>
      </c>
      <c r="AG1751" s="1">
        <v>0</v>
      </c>
      <c r="AH1751" s="1">
        <v>1</v>
      </c>
      <c r="AI1751" s="1" t="s">
        <v>6458</v>
      </c>
      <c r="AJ1751" s="1" t="s">
        <v>275</v>
      </c>
      <c r="AK1751" s="1" t="s">
        <v>238</v>
      </c>
      <c r="AM1751" s="1">
        <v>1</v>
      </c>
      <c r="AV1751" s="1">
        <v>3</v>
      </c>
      <c r="AX1751" s="1">
        <v>0.1</v>
      </c>
      <c r="BE1751" s="1" t="s">
        <v>6456</v>
      </c>
      <c r="BK1751" s="1" t="s">
        <v>6459</v>
      </c>
      <c r="BN1751" s="1" t="s">
        <v>217</v>
      </c>
      <c r="BO1751" s="1" t="s">
        <v>218</v>
      </c>
      <c r="BP1751" s="1" t="s">
        <v>239</v>
      </c>
      <c r="BQ1751" s="1" t="s">
        <v>220</v>
      </c>
      <c r="BT1751" s="1">
        <v>5.133</v>
      </c>
    </row>
    <row r="1752" spans="1:72">
      <c r="A1752" s="1" t="s">
        <v>6460</v>
      </c>
      <c r="B1752" s="1" t="s">
        <v>213</v>
      </c>
      <c r="C1752" s="1">
        <v>1</v>
      </c>
      <c r="D1752" s="1" t="s">
        <v>6461</v>
      </c>
      <c r="E1752" s="1">
        <v>6010</v>
      </c>
      <c r="F1752" s="1" t="s">
        <v>6460</v>
      </c>
      <c r="G1752" s="1">
        <v>1</v>
      </c>
      <c r="K1752" s="1">
        <v>60000</v>
      </c>
      <c r="M1752" s="1">
        <v>1200</v>
      </c>
      <c r="O1752" s="1">
        <v>1000</v>
      </c>
      <c r="Q1752" s="1">
        <v>30</v>
      </c>
      <c r="Y1752" s="1">
        <v>0.05</v>
      </c>
      <c r="Z1752" s="1">
        <v>4</v>
      </c>
      <c r="AA1752" s="1">
        <v>8</v>
      </c>
      <c r="AB1752" s="1">
        <v>0.6</v>
      </c>
      <c r="AG1752" s="1">
        <v>0</v>
      </c>
      <c r="AH1752" s="1">
        <v>1</v>
      </c>
      <c r="AI1752" s="1" t="s">
        <v>6462</v>
      </c>
      <c r="AJ1752" s="1" t="s">
        <v>275</v>
      </c>
      <c r="AK1752" s="1" t="s">
        <v>238</v>
      </c>
      <c r="AM1752" s="1">
        <v>1</v>
      </c>
      <c r="AV1752" s="1">
        <v>3</v>
      </c>
      <c r="AX1752" s="1">
        <v>0.1</v>
      </c>
      <c r="BE1752" s="1" t="s">
        <v>6460</v>
      </c>
      <c r="BK1752" s="1" t="s">
        <v>1019</v>
      </c>
      <c r="BN1752" s="1" t="s">
        <v>217</v>
      </c>
      <c r="BO1752" s="1" t="s">
        <v>218</v>
      </c>
      <c r="BP1752" s="1" t="s">
        <v>239</v>
      </c>
      <c r="BQ1752" s="1" t="s">
        <v>3222</v>
      </c>
      <c r="BT1752" s="1">
        <v>1</v>
      </c>
    </row>
    <row r="1753" spans="1:72">
      <c r="A1753" s="1" t="s">
        <v>6463</v>
      </c>
      <c r="B1753" s="1" t="s">
        <v>213</v>
      </c>
      <c r="C1753" s="1">
        <v>1</v>
      </c>
      <c r="D1753" s="1" t="s">
        <v>6464</v>
      </c>
      <c r="E1753" s="1">
        <v>6011</v>
      </c>
      <c r="F1753" s="1" t="s">
        <v>6463</v>
      </c>
      <c r="G1753" s="1">
        <v>1</v>
      </c>
      <c r="K1753" s="1">
        <v>100000</v>
      </c>
      <c r="M1753" s="1">
        <v>1000</v>
      </c>
      <c r="O1753" s="1">
        <v>400</v>
      </c>
      <c r="Q1753" s="1">
        <v>30</v>
      </c>
      <c r="Y1753" s="1">
        <v>0.05</v>
      </c>
      <c r="Z1753" s="1">
        <v>4</v>
      </c>
      <c r="AA1753" s="1">
        <v>4</v>
      </c>
      <c r="AB1753" s="1">
        <v>0.4</v>
      </c>
      <c r="AG1753" s="1">
        <v>0</v>
      </c>
      <c r="AH1753" s="1">
        <v>1</v>
      </c>
      <c r="AI1753" s="1" t="s">
        <v>6465</v>
      </c>
      <c r="AJ1753" s="1" t="s">
        <v>275</v>
      </c>
      <c r="AK1753" s="1" t="s">
        <v>238</v>
      </c>
      <c r="AM1753" s="1">
        <v>1</v>
      </c>
      <c r="AV1753" s="1">
        <v>3</v>
      </c>
      <c r="AX1753" s="1">
        <v>0.1</v>
      </c>
      <c r="BE1753" s="1" t="s">
        <v>6463</v>
      </c>
      <c r="BK1753" s="1" t="s">
        <v>1305</v>
      </c>
      <c r="BN1753" s="1" t="s">
        <v>3354</v>
      </c>
      <c r="BO1753" s="1" t="s">
        <v>1959</v>
      </c>
      <c r="BP1753" s="1" t="s">
        <v>1960</v>
      </c>
      <c r="BQ1753" s="1" t="s">
        <v>3355</v>
      </c>
      <c r="BT1753" s="1">
        <v>1</v>
      </c>
    </row>
    <row r="1754" spans="1:72">
      <c r="A1754" s="1" t="s">
        <v>6466</v>
      </c>
      <c r="B1754" s="1" t="s">
        <v>213</v>
      </c>
      <c r="C1754" s="1">
        <v>1</v>
      </c>
      <c r="D1754" s="1" t="s">
        <v>6467</v>
      </c>
      <c r="E1754" s="1">
        <v>6012</v>
      </c>
      <c r="F1754" s="1" t="s">
        <v>6466</v>
      </c>
      <c r="G1754" s="1">
        <v>1.5</v>
      </c>
      <c r="K1754" s="1">
        <v>3000</v>
      </c>
      <c r="M1754" s="1">
        <v>350</v>
      </c>
      <c r="O1754" s="1">
        <v>200</v>
      </c>
      <c r="Q1754" s="1">
        <v>10</v>
      </c>
      <c r="Y1754" s="1">
        <v>0.05</v>
      </c>
      <c r="Z1754" s="1">
        <v>1.7</v>
      </c>
      <c r="AA1754" s="1">
        <v>0</v>
      </c>
      <c r="AB1754" s="1">
        <v>0.8</v>
      </c>
      <c r="AG1754" s="1">
        <v>0</v>
      </c>
      <c r="AH1754" s="1">
        <v>1</v>
      </c>
      <c r="AI1754" s="1" t="s">
        <v>6468</v>
      </c>
      <c r="AJ1754" s="1" t="s">
        <v>275</v>
      </c>
      <c r="AK1754" s="1" t="s">
        <v>238</v>
      </c>
      <c r="AM1754" s="1">
        <v>1</v>
      </c>
      <c r="AV1754" s="1">
        <v>1</v>
      </c>
      <c r="AX1754" s="1">
        <v>0.1</v>
      </c>
      <c r="BE1754" s="1" t="s">
        <v>6466</v>
      </c>
      <c r="BK1754" s="1" t="s">
        <v>911</v>
      </c>
      <c r="BN1754" s="1" t="s">
        <v>217</v>
      </c>
      <c r="BO1754" s="1" t="s">
        <v>218</v>
      </c>
      <c r="BP1754" s="1" t="s">
        <v>239</v>
      </c>
      <c r="BQ1754" s="1" t="s">
        <v>220</v>
      </c>
      <c r="BT1754" s="1">
        <v>1</v>
      </c>
    </row>
    <row r="1755" spans="1:72">
      <c r="A1755" s="1" t="s">
        <v>6469</v>
      </c>
      <c r="B1755" s="1" t="s">
        <v>213</v>
      </c>
      <c r="C1755" s="1">
        <v>1</v>
      </c>
      <c r="D1755" s="1" t="s">
        <v>6470</v>
      </c>
      <c r="E1755" s="1">
        <v>6013</v>
      </c>
      <c r="F1755" s="1" t="s">
        <v>6469</v>
      </c>
      <c r="G1755" s="1">
        <v>1</v>
      </c>
      <c r="K1755" s="1">
        <v>48000</v>
      </c>
      <c r="M1755" s="1">
        <v>1000</v>
      </c>
      <c r="O1755" s="1">
        <v>1000</v>
      </c>
      <c r="Q1755" s="1">
        <v>30</v>
      </c>
      <c r="Y1755" s="1">
        <v>0.05</v>
      </c>
      <c r="Z1755" s="1">
        <v>4.5</v>
      </c>
      <c r="AA1755" s="1">
        <v>4</v>
      </c>
      <c r="AB1755" s="1">
        <v>0.5</v>
      </c>
      <c r="AG1755" s="1">
        <v>0</v>
      </c>
      <c r="AH1755" s="1">
        <v>1</v>
      </c>
      <c r="AI1755" s="1" t="s">
        <v>6471</v>
      </c>
      <c r="AJ1755" s="1" t="s">
        <v>275</v>
      </c>
      <c r="AK1755" s="1" t="s">
        <v>238</v>
      </c>
      <c r="AM1755" s="1">
        <v>1</v>
      </c>
      <c r="AV1755" s="1">
        <v>1</v>
      </c>
      <c r="AX1755" s="1">
        <v>0.1</v>
      </c>
      <c r="BE1755" s="1" t="s">
        <v>6469</v>
      </c>
      <c r="BK1755" s="1" t="s">
        <v>1019</v>
      </c>
      <c r="BN1755" s="1" t="s">
        <v>217</v>
      </c>
      <c r="BO1755" s="1" t="s">
        <v>218</v>
      </c>
      <c r="BP1755" s="1" t="s">
        <v>239</v>
      </c>
      <c r="BQ1755" s="1" t="s">
        <v>220</v>
      </c>
      <c r="BT1755" s="1">
        <v>1</v>
      </c>
    </row>
    <row r="1756" spans="1:72">
      <c r="A1756" s="1" t="s">
        <v>6472</v>
      </c>
      <c r="B1756" s="1" t="s">
        <v>213</v>
      </c>
      <c r="D1756" s="1" t="s">
        <v>6473</v>
      </c>
      <c r="E1756" s="1">
        <v>113</v>
      </c>
      <c r="F1756" s="1" t="s">
        <v>6472</v>
      </c>
      <c r="G1756" s="1">
        <v>1</v>
      </c>
      <c r="K1756" s="1">
        <v>8000</v>
      </c>
      <c r="M1756" s="1">
        <v>0</v>
      </c>
      <c r="O1756" s="1">
        <v>1000</v>
      </c>
      <c r="Q1756" s="1">
        <v>0</v>
      </c>
      <c r="Y1756" s="1">
        <v>0.05</v>
      </c>
      <c r="Z1756" s="1">
        <v>5</v>
      </c>
      <c r="AA1756" s="1">
        <v>10</v>
      </c>
      <c r="AB1756" s="1">
        <v>0</v>
      </c>
      <c r="AG1756" s="1">
        <v>-1</v>
      </c>
      <c r="AH1756" s="1">
        <v>1</v>
      </c>
      <c r="AI1756" s="1" t="s">
        <v>6474</v>
      </c>
      <c r="AJ1756" s="1" t="s">
        <v>275</v>
      </c>
      <c r="AK1756" s="1" t="s">
        <v>238</v>
      </c>
      <c r="AM1756" s="1">
        <v>1</v>
      </c>
      <c r="AV1756" s="1">
        <v>0</v>
      </c>
      <c r="AX1756" s="1">
        <v>0.1</v>
      </c>
      <c r="BE1756" s="1" t="s">
        <v>6469</v>
      </c>
      <c r="BK1756" s="1" t="s">
        <v>6329</v>
      </c>
      <c r="BN1756" s="1" t="s">
        <v>217</v>
      </c>
      <c r="BO1756" s="1" t="s">
        <v>218</v>
      </c>
      <c r="BP1756" s="1" t="s">
        <v>218</v>
      </c>
      <c r="BQ1756" s="1" t="s">
        <v>220</v>
      </c>
      <c r="BT1756" s="1">
        <v>1</v>
      </c>
    </row>
    <row r="1757" spans="1:72">
      <c r="A1757" s="1" t="s">
        <v>6475</v>
      </c>
      <c r="B1757" s="1" t="s">
        <v>213</v>
      </c>
      <c r="D1757" s="1" t="s">
        <v>6476</v>
      </c>
      <c r="E1757" s="1">
        <v>6014</v>
      </c>
      <c r="F1757" s="1" t="s">
        <v>6475</v>
      </c>
      <c r="G1757" s="1">
        <v>1</v>
      </c>
      <c r="K1757" s="1">
        <v>50000</v>
      </c>
      <c r="M1757" s="1">
        <v>0</v>
      </c>
      <c r="O1757" s="1">
        <v>600</v>
      </c>
      <c r="Q1757" s="1">
        <v>30</v>
      </c>
      <c r="Y1757" s="1">
        <v>0.05</v>
      </c>
      <c r="Z1757" s="1">
        <v>1</v>
      </c>
      <c r="AA1757" s="1">
        <v>2</v>
      </c>
      <c r="AB1757" s="1">
        <v>0.3</v>
      </c>
      <c r="AG1757" s="1">
        <v>0</v>
      </c>
      <c r="AH1757" s="1">
        <v>1</v>
      </c>
      <c r="AI1757" s="1" t="s">
        <v>6477</v>
      </c>
      <c r="AJ1757" s="1" t="s">
        <v>275</v>
      </c>
      <c r="AK1757" s="1" t="s">
        <v>238</v>
      </c>
      <c r="AM1757" s="1">
        <v>1</v>
      </c>
      <c r="AN1757" s="1">
        <v>1</v>
      </c>
      <c r="AV1757" s="1">
        <v>1</v>
      </c>
      <c r="AX1757" s="1">
        <v>0.1</v>
      </c>
      <c r="BE1757" s="1" t="s">
        <v>6475</v>
      </c>
      <c r="BK1757" s="1" t="s">
        <v>3365</v>
      </c>
      <c r="BN1757" s="1" t="s">
        <v>217</v>
      </c>
      <c r="BO1757" s="1" t="s">
        <v>218</v>
      </c>
      <c r="BP1757" s="1" t="s">
        <v>239</v>
      </c>
      <c r="BQ1757" s="1" t="s">
        <v>220</v>
      </c>
      <c r="BT1757" s="1">
        <v>1</v>
      </c>
    </row>
    <row r="1758" spans="1:72">
      <c r="A1758" s="1" t="s">
        <v>6478</v>
      </c>
      <c r="B1758" s="1" t="s">
        <v>827</v>
      </c>
      <c r="F1758" s="1" t="s">
        <v>6479</v>
      </c>
      <c r="G1758" s="1">
        <v>1</v>
      </c>
      <c r="K1758" s="1">
        <v>100</v>
      </c>
      <c r="M1758" s="1">
        <v>0</v>
      </c>
      <c r="Y1758" s="1">
        <v>0.05</v>
      </c>
      <c r="Z1758" s="1">
        <v>1</v>
      </c>
      <c r="AA1758" s="1">
        <v>0</v>
      </c>
      <c r="AG1758" s="1">
        <v>0</v>
      </c>
      <c r="AH1758" s="1">
        <v>2</v>
      </c>
      <c r="AI1758" s="1" t="s">
        <v>6480</v>
      </c>
      <c r="AK1758" s="1" t="s">
        <v>238</v>
      </c>
      <c r="AM1758" s="1">
        <v>1</v>
      </c>
      <c r="AX1758" s="1">
        <v>0.1</v>
      </c>
      <c r="BK1758" s="1" t="s">
        <v>6481</v>
      </c>
      <c r="BL1758" s="1" t="s">
        <v>6482</v>
      </c>
      <c r="BN1758" s="1" t="s">
        <v>217</v>
      </c>
      <c r="BO1758" s="1" t="s">
        <v>218</v>
      </c>
      <c r="BT1758" s="1">
        <v>1</v>
      </c>
    </row>
    <row r="1759" spans="1:72">
      <c r="A1759" s="1" t="s">
        <v>6483</v>
      </c>
      <c r="B1759" s="1" t="s">
        <v>213</v>
      </c>
      <c r="C1759" s="1">
        <v>1</v>
      </c>
      <c r="D1759" s="1" t="s">
        <v>6484</v>
      </c>
      <c r="E1759" s="1">
        <v>6015</v>
      </c>
      <c r="F1759" s="1" t="s">
        <v>6483</v>
      </c>
      <c r="G1759" s="1">
        <v>1</v>
      </c>
      <c r="K1759" s="1">
        <v>80000</v>
      </c>
      <c r="M1759" s="1">
        <v>1100</v>
      </c>
      <c r="O1759" s="1">
        <v>1400</v>
      </c>
      <c r="Q1759" s="1">
        <v>60</v>
      </c>
      <c r="Y1759" s="1">
        <v>0.05</v>
      </c>
      <c r="Z1759" s="1">
        <v>5</v>
      </c>
      <c r="AA1759" s="1">
        <v>5</v>
      </c>
      <c r="AB1759" s="1">
        <v>1.3</v>
      </c>
      <c r="AG1759" s="1">
        <v>0</v>
      </c>
      <c r="AH1759" s="1">
        <v>1</v>
      </c>
      <c r="AI1759" s="1" t="s">
        <v>6485</v>
      </c>
      <c r="AJ1759" s="1" t="s">
        <v>275</v>
      </c>
      <c r="AK1759" s="1" t="s">
        <v>238</v>
      </c>
      <c r="AM1759" s="1">
        <v>1</v>
      </c>
      <c r="AV1759" s="1">
        <v>2</v>
      </c>
      <c r="AX1759" s="1">
        <v>0.1</v>
      </c>
      <c r="BE1759" s="1" t="s">
        <v>6483</v>
      </c>
      <c r="BK1759" s="1" t="s">
        <v>6486</v>
      </c>
      <c r="BN1759" s="1" t="s">
        <v>217</v>
      </c>
      <c r="BO1759" s="1" t="s">
        <v>218</v>
      </c>
      <c r="BP1759" s="1" t="s">
        <v>239</v>
      </c>
      <c r="BQ1759" s="1" t="s">
        <v>220</v>
      </c>
      <c r="BT1759" s="1">
        <v>1</v>
      </c>
    </row>
    <row r="1760" spans="1:72">
      <c r="A1760" s="1" t="s">
        <v>6487</v>
      </c>
      <c r="B1760" s="1" t="s">
        <v>213</v>
      </c>
      <c r="C1760" s="1">
        <v>1</v>
      </c>
      <c r="D1760" s="1" t="s">
        <v>6488</v>
      </c>
      <c r="E1760" s="1">
        <v>6016</v>
      </c>
      <c r="F1760" s="1" t="s">
        <v>6487</v>
      </c>
      <c r="G1760" s="1">
        <v>1</v>
      </c>
      <c r="K1760" s="1">
        <v>85000</v>
      </c>
      <c r="M1760" s="1">
        <v>500</v>
      </c>
      <c r="O1760" s="1">
        <v>1950</v>
      </c>
      <c r="Q1760" s="1">
        <v>95</v>
      </c>
      <c r="Y1760" s="1">
        <v>0.05</v>
      </c>
      <c r="Z1760" s="1">
        <v>2.7</v>
      </c>
      <c r="AA1760" s="1">
        <v>5</v>
      </c>
      <c r="AB1760" s="1">
        <v>0.2</v>
      </c>
      <c r="AG1760" s="1">
        <v>0</v>
      </c>
      <c r="AH1760" s="1">
        <v>1</v>
      </c>
      <c r="AI1760" s="1" t="s">
        <v>6489</v>
      </c>
      <c r="AJ1760" s="1" t="s">
        <v>275</v>
      </c>
      <c r="AK1760" s="1" t="s">
        <v>238</v>
      </c>
      <c r="AM1760" s="1">
        <v>1</v>
      </c>
      <c r="AV1760" s="1">
        <v>2</v>
      </c>
      <c r="AX1760" s="1">
        <v>0.1</v>
      </c>
      <c r="BE1760" s="1" t="s">
        <v>6487</v>
      </c>
      <c r="BK1760" s="1" t="s">
        <v>5879</v>
      </c>
      <c r="BN1760" s="1" t="s">
        <v>217</v>
      </c>
      <c r="BO1760" s="1" t="s">
        <v>218</v>
      </c>
      <c r="BP1760" s="1" t="s">
        <v>239</v>
      </c>
      <c r="BQ1760" s="1" t="s">
        <v>220</v>
      </c>
      <c r="BT1760" s="1">
        <v>1</v>
      </c>
    </row>
    <row r="1761" spans="1:72">
      <c r="A1761" s="1" t="s">
        <v>6490</v>
      </c>
      <c r="B1761" s="1" t="s">
        <v>213</v>
      </c>
      <c r="C1761" s="1">
        <v>1</v>
      </c>
      <c r="D1761" s="1" t="s">
        <v>6491</v>
      </c>
      <c r="E1761" s="1">
        <v>6017</v>
      </c>
      <c r="F1761" s="1" t="s">
        <v>6490</v>
      </c>
      <c r="G1761" s="1">
        <v>1.5</v>
      </c>
      <c r="K1761" s="1">
        <v>12000</v>
      </c>
      <c r="M1761" s="1">
        <v>0</v>
      </c>
      <c r="O1761" s="1">
        <v>500</v>
      </c>
      <c r="Q1761" s="1">
        <v>40</v>
      </c>
      <c r="Y1761" s="1">
        <v>0.05</v>
      </c>
      <c r="Z1761" s="1">
        <v>1</v>
      </c>
      <c r="AA1761" s="1">
        <v>1</v>
      </c>
      <c r="AB1761" s="1">
        <v>0</v>
      </c>
      <c r="AG1761" s="1">
        <v>0</v>
      </c>
      <c r="AH1761" s="1">
        <v>1</v>
      </c>
      <c r="AI1761" s="1" t="s">
        <v>6492</v>
      </c>
      <c r="AJ1761" s="1" t="s">
        <v>275</v>
      </c>
      <c r="AK1761" s="1" t="s">
        <v>238</v>
      </c>
      <c r="AM1761" s="1">
        <v>1</v>
      </c>
      <c r="AN1761" s="1">
        <v>0.8</v>
      </c>
      <c r="AV1761" s="1">
        <v>0</v>
      </c>
      <c r="AX1761" s="1">
        <v>0.1</v>
      </c>
      <c r="BE1761" s="1" t="s">
        <v>6490</v>
      </c>
      <c r="BK1761" s="1" t="s">
        <v>3950</v>
      </c>
      <c r="BN1761" s="1" t="s">
        <v>217</v>
      </c>
      <c r="BO1761" s="1" t="s">
        <v>218</v>
      </c>
      <c r="BP1761" s="1" t="s">
        <v>218</v>
      </c>
      <c r="BQ1761" s="1" t="s">
        <v>220</v>
      </c>
      <c r="BT1761" s="1">
        <v>1</v>
      </c>
    </row>
    <row r="1762" spans="1:72">
      <c r="A1762" s="1" t="s">
        <v>6493</v>
      </c>
      <c r="B1762" s="1" t="s">
        <v>213</v>
      </c>
      <c r="D1762" s="1" t="s">
        <v>6494</v>
      </c>
      <c r="E1762" s="1">
        <v>6018</v>
      </c>
      <c r="F1762" s="1" t="s">
        <v>6493</v>
      </c>
      <c r="G1762" s="1">
        <v>1</v>
      </c>
      <c r="K1762" s="1">
        <v>96000</v>
      </c>
      <c r="M1762" s="1">
        <v>300</v>
      </c>
      <c r="O1762" s="1">
        <v>605</v>
      </c>
      <c r="Q1762" s="1">
        <v>65</v>
      </c>
      <c r="Y1762" s="1">
        <v>0.05</v>
      </c>
      <c r="Z1762" s="1">
        <v>5</v>
      </c>
      <c r="AA1762" s="1">
        <v>5</v>
      </c>
      <c r="AB1762" s="1">
        <v>0.4</v>
      </c>
      <c r="AG1762" s="1">
        <v>0</v>
      </c>
      <c r="AH1762" s="1">
        <v>1</v>
      </c>
      <c r="AI1762" s="1" t="s">
        <v>6495</v>
      </c>
      <c r="AJ1762" s="1" t="s">
        <v>6496</v>
      </c>
      <c r="AK1762" s="1" t="s">
        <v>238</v>
      </c>
      <c r="AM1762" s="1">
        <v>1</v>
      </c>
      <c r="AN1762" s="1">
        <v>1</v>
      </c>
      <c r="AV1762" s="1">
        <v>3</v>
      </c>
      <c r="AX1762" s="1">
        <v>0.1</v>
      </c>
      <c r="BE1762" s="1" t="s">
        <v>6493</v>
      </c>
      <c r="BK1762" s="1" t="s">
        <v>6497</v>
      </c>
      <c r="BN1762" s="1" t="s">
        <v>217</v>
      </c>
      <c r="BO1762" s="1" t="s">
        <v>218</v>
      </c>
      <c r="BP1762" s="1" t="s">
        <v>239</v>
      </c>
      <c r="BQ1762" s="1" t="s">
        <v>220</v>
      </c>
      <c r="BT1762" s="1">
        <v>1</v>
      </c>
    </row>
    <row r="1763" spans="1:72">
      <c r="A1763" s="1" t="s">
        <v>6498</v>
      </c>
      <c r="B1763" s="1" t="s">
        <v>213</v>
      </c>
      <c r="D1763" s="1" t="s">
        <v>6499</v>
      </c>
      <c r="E1763" s="1">
        <v>6019</v>
      </c>
      <c r="F1763" s="1" t="s">
        <v>6498</v>
      </c>
      <c r="G1763" s="1">
        <v>1</v>
      </c>
      <c r="K1763" s="1">
        <v>6500</v>
      </c>
      <c r="M1763" s="1">
        <v>340</v>
      </c>
      <c r="O1763" s="1">
        <v>250</v>
      </c>
      <c r="Q1763" s="1">
        <v>50</v>
      </c>
      <c r="Y1763" s="1">
        <v>0.05</v>
      </c>
      <c r="Z1763" s="1">
        <v>4.5</v>
      </c>
      <c r="AA1763" s="1">
        <v>2</v>
      </c>
      <c r="AB1763" s="1">
        <v>0.5</v>
      </c>
      <c r="AG1763" s="1">
        <v>0</v>
      </c>
      <c r="AH1763" s="1">
        <v>1</v>
      </c>
      <c r="AI1763" s="1" t="s">
        <v>6500</v>
      </c>
      <c r="AJ1763" s="1" t="s">
        <v>3521</v>
      </c>
      <c r="AK1763" s="1" t="s">
        <v>238</v>
      </c>
      <c r="AM1763" s="1">
        <v>1</v>
      </c>
      <c r="AN1763" s="1">
        <v>1</v>
      </c>
      <c r="AV1763" s="1">
        <v>1</v>
      </c>
      <c r="AX1763" s="1">
        <v>0.1</v>
      </c>
      <c r="BE1763" s="1" t="s">
        <v>6498</v>
      </c>
      <c r="BK1763" s="1" t="s">
        <v>6501</v>
      </c>
      <c r="BN1763" s="1" t="s">
        <v>217</v>
      </c>
      <c r="BO1763" s="1" t="s">
        <v>218</v>
      </c>
      <c r="BP1763" s="1" t="s">
        <v>239</v>
      </c>
      <c r="BQ1763" s="1" t="s">
        <v>220</v>
      </c>
      <c r="BT1763" s="1">
        <v>1</v>
      </c>
    </row>
    <row r="1764" spans="1:72">
      <c r="A1764" s="1" t="s">
        <v>6502</v>
      </c>
      <c r="B1764" s="1" t="s">
        <v>213</v>
      </c>
      <c r="D1764" s="1" t="s">
        <v>6503</v>
      </c>
      <c r="E1764" s="1">
        <v>6020</v>
      </c>
      <c r="F1764" s="1" t="s">
        <v>6502</v>
      </c>
      <c r="G1764" s="1">
        <v>1</v>
      </c>
      <c r="K1764" s="1">
        <v>99000</v>
      </c>
      <c r="M1764" s="1">
        <v>700</v>
      </c>
      <c r="O1764" s="1">
        <v>1700</v>
      </c>
      <c r="Q1764" s="1">
        <v>50</v>
      </c>
      <c r="Y1764" s="1">
        <v>0.05</v>
      </c>
      <c r="Z1764" s="1">
        <v>4</v>
      </c>
      <c r="AA1764" s="1">
        <v>6</v>
      </c>
      <c r="AB1764" s="1">
        <v>0.7</v>
      </c>
      <c r="AG1764" s="1">
        <v>0</v>
      </c>
      <c r="AH1764" s="1">
        <v>1</v>
      </c>
      <c r="AI1764" s="1" t="s">
        <v>6504</v>
      </c>
      <c r="AJ1764" s="1" t="s">
        <v>6505</v>
      </c>
      <c r="AK1764" s="1" t="s">
        <v>238</v>
      </c>
      <c r="AM1764" s="1">
        <v>1</v>
      </c>
      <c r="AV1764" s="1">
        <v>3</v>
      </c>
      <c r="AX1764" s="1">
        <v>0.1</v>
      </c>
      <c r="BE1764" s="1" t="s">
        <v>6502</v>
      </c>
      <c r="BK1764" s="1" t="s">
        <v>6506</v>
      </c>
      <c r="BN1764" s="1" t="s">
        <v>217</v>
      </c>
      <c r="BO1764" s="1" t="s">
        <v>218</v>
      </c>
      <c r="BP1764" s="1" t="s">
        <v>239</v>
      </c>
      <c r="BQ1764" s="1" t="s">
        <v>220</v>
      </c>
      <c r="BT1764" s="1">
        <v>1</v>
      </c>
    </row>
    <row r="1765" spans="1:72">
      <c r="A1765" s="1" t="s">
        <v>6507</v>
      </c>
      <c r="B1765" s="1" t="s">
        <v>213</v>
      </c>
      <c r="D1765" s="1" t="s">
        <v>6503</v>
      </c>
      <c r="E1765" s="1">
        <v>6020</v>
      </c>
      <c r="F1765" s="1" t="s">
        <v>6502</v>
      </c>
      <c r="G1765" s="1">
        <v>0.01</v>
      </c>
      <c r="K1765" s="1">
        <v>6000</v>
      </c>
      <c r="M1765" s="1">
        <v>50</v>
      </c>
      <c r="O1765" s="1">
        <v>100</v>
      </c>
      <c r="Q1765" s="1">
        <v>10</v>
      </c>
      <c r="Y1765" s="1">
        <v>0.05</v>
      </c>
      <c r="Z1765" s="1">
        <v>2.5</v>
      </c>
      <c r="AA1765" s="1">
        <v>5</v>
      </c>
      <c r="AB1765" s="1">
        <v>0</v>
      </c>
      <c r="AG1765" s="1">
        <v>1</v>
      </c>
      <c r="AH1765" s="1">
        <v>1</v>
      </c>
      <c r="AI1765" s="1" t="s">
        <v>6508</v>
      </c>
      <c r="AJ1765" s="1" t="s">
        <v>275</v>
      </c>
      <c r="AK1765" s="1" t="s">
        <v>238</v>
      </c>
      <c r="AM1765" s="1">
        <v>1</v>
      </c>
      <c r="AV1765" s="1">
        <v>1</v>
      </c>
      <c r="AX1765" s="1">
        <v>0.1</v>
      </c>
      <c r="BE1765" s="1" t="s">
        <v>6507</v>
      </c>
      <c r="BK1765" s="1" t="s">
        <v>3437</v>
      </c>
      <c r="BN1765" s="1" t="s">
        <v>217</v>
      </c>
      <c r="BO1765" s="1" t="s">
        <v>218</v>
      </c>
      <c r="BP1765" s="1" t="s">
        <v>239</v>
      </c>
      <c r="BQ1765" s="1" t="s">
        <v>220</v>
      </c>
      <c r="BT1765" s="1">
        <v>1</v>
      </c>
    </row>
    <row r="1766" spans="1:72">
      <c r="A1766" s="1" t="s">
        <v>6509</v>
      </c>
      <c r="B1766" s="1" t="s">
        <v>213</v>
      </c>
      <c r="D1766" s="1" t="s">
        <v>6510</v>
      </c>
      <c r="E1766" s="1">
        <v>6025</v>
      </c>
      <c r="F1766" s="1" t="s">
        <v>6509</v>
      </c>
      <c r="G1766" s="1">
        <v>1</v>
      </c>
      <c r="K1766" s="1">
        <v>45000</v>
      </c>
      <c r="M1766" s="1">
        <v>150</v>
      </c>
      <c r="O1766" s="1">
        <v>1200</v>
      </c>
      <c r="Q1766" s="1">
        <v>40</v>
      </c>
      <c r="Y1766" s="1">
        <v>0.05</v>
      </c>
      <c r="Z1766" s="1">
        <v>4</v>
      </c>
      <c r="AA1766" s="1">
        <v>10</v>
      </c>
      <c r="AB1766" s="1">
        <v>0</v>
      </c>
      <c r="AG1766" s="1">
        <v>0</v>
      </c>
      <c r="AH1766" s="1">
        <v>1</v>
      </c>
      <c r="AI1766" s="1" t="s">
        <v>6511</v>
      </c>
      <c r="AJ1766" s="1" t="s">
        <v>275</v>
      </c>
      <c r="AK1766" s="1" t="s">
        <v>238</v>
      </c>
      <c r="AM1766" s="1">
        <v>1</v>
      </c>
      <c r="AV1766" s="1">
        <v>1</v>
      </c>
      <c r="AX1766" s="1">
        <v>0.1</v>
      </c>
      <c r="BE1766" s="1" t="s">
        <v>6509</v>
      </c>
      <c r="BK1766" s="1" t="s">
        <v>3156</v>
      </c>
      <c r="BN1766" s="1" t="s">
        <v>217</v>
      </c>
      <c r="BO1766" s="1" t="s">
        <v>218</v>
      </c>
      <c r="BP1766" s="1" t="s">
        <v>239</v>
      </c>
      <c r="BQ1766" s="1" t="s">
        <v>220</v>
      </c>
      <c r="BT1766" s="1">
        <v>1</v>
      </c>
    </row>
    <row r="1767" spans="1:72">
      <c r="A1767" s="1" t="s">
        <v>6512</v>
      </c>
      <c r="B1767" s="1" t="s">
        <v>213</v>
      </c>
      <c r="D1767" s="1" t="s">
        <v>6513</v>
      </c>
      <c r="E1767" s="1">
        <v>6026</v>
      </c>
      <c r="F1767" s="1" t="s">
        <v>6512</v>
      </c>
      <c r="G1767" s="1">
        <v>1.1</v>
      </c>
      <c r="K1767" s="1">
        <v>3000</v>
      </c>
      <c r="M1767" s="1">
        <v>200</v>
      </c>
      <c r="O1767" s="1">
        <v>200</v>
      </c>
      <c r="Q1767" s="1">
        <v>20</v>
      </c>
      <c r="Y1767" s="1">
        <v>0.05</v>
      </c>
      <c r="Z1767" s="1">
        <v>2</v>
      </c>
      <c r="AA1767" s="1">
        <v>1</v>
      </c>
      <c r="AB1767" s="1">
        <v>0.6</v>
      </c>
      <c r="AG1767" s="1">
        <v>0</v>
      </c>
      <c r="AH1767" s="1">
        <v>1</v>
      </c>
      <c r="AI1767" s="1" t="s">
        <v>6514</v>
      </c>
      <c r="AJ1767" s="1" t="s">
        <v>275</v>
      </c>
      <c r="AK1767" s="1" t="s">
        <v>238</v>
      </c>
      <c r="AM1767" s="1">
        <v>1</v>
      </c>
      <c r="AV1767" s="1">
        <v>1</v>
      </c>
      <c r="AX1767" s="1">
        <v>0.1</v>
      </c>
      <c r="BE1767" s="1" t="s">
        <v>6512</v>
      </c>
      <c r="BK1767" s="1" t="s">
        <v>6515</v>
      </c>
      <c r="BN1767" s="1" t="s">
        <v>217</v>
      </c>
      <c r="BO1767" s="1" t="s">
        <v>218</v>
      </c>
      <c r="BP1767" s="1" t="s">
        <v>239</v>
      </c>
      <c r="BQ1767" s="1" t="s">
        <v>220</v>
      </c>
      <c r="BT1767" s="1">
        <v>1</v>
      </c>
    </row>
    <row r="1768" spans="1:72">
      <c r="A1768" s="1" t="s">
        <v>6516</v>
      </c>
      <c r="B1768" s="1" t="s">
        <v>213</v>
      </c>
      <c r="D1768" s="1" t="s">
        <v>6517</v>
      </c>
      <c r="E1768" s="1">
        <v>7001</v>
      </c>
      <c r="F1768" s="1" t="s">
        <v>6516</v>
      </c>
      <c r="G1768" s="1">
        <v>1</v>
      </c>
      <c r="K1768" s="1">
        <v>5000</v>
      </c>
      <c r="M1768" s="1">
        <v>100</v>
      </c>
      <c r="O1768" s="1">
        <v>200</v>
      </c>
      <c r="Q1768" s="1">
        <v>50</v>
      </c>
      <c r="Y1768" s="1">
        <v>0.05</v>
      </c>
      <c r="Z1768" s="1">
        <v>4</v>
      </c>
      <c r="AA1768" s="1">
        <v>2</v>
      </c>
      <c r="AB1768" s="1">
        <v>0.8</v>
      </c>
      <c r="AG1768" s="1">
        <v>0</v>
      </c>
      <c r="AH1768" s="1">
        <v>1</v>
      </c>
      <c r="AI1768" s="1" t="s">
        <v>6518</v>
      </c>
      <c r="AJ1768" s="1" t="s">
        <v>275</v>
      </c>
      <c r="AK1768" s="1" t="s">
        <v>238</v>
      </c>
      <c r="AM1768" s="1">
        <v>1</v>
      </c>
      <c r="AV1768" s="1">
        <v>1</v>
      </c>
      <c r="AX1768" s="1">
        <v>0.1</v>
      </c>
      <c r="BE1768" s="1" t="s">
        <v>6516</v>
      </c>
      <c r="BK1768" s="1" t="s">
        <v>959</v>
      </c>
      <c r="BN1768" s="1" t="s">
        <v>217</v>
      </c>
      <c r="BO1768" s="1" t="s">
        <v>218</v>
      </c>
      <c r="BP1768" s="1" t="s">
        <v>239</v>
      </c>
      <c r="BQ1768" s="1" t="s">
        <v>220</v>
      </c>
      <c r="BT1768" s="1">
        <v>1</v>
      </c>
    </row>
    <row r="1769" spans="1:72">
      <c r="A1769" s="1" t="s">
        <v>6519</v>
      </c>
      <c r="B1769" s="1" t="s">
        <v>213</v>
      </c>
      <c r="D1769" s="1" t="s">
        <v>6520</v>
      </c>
      <c r="E1769" s="1">
        <v>7001</v>
      </c>
      <c r="F1769" s="1" t="s">
        <v>6519</v>
      </c>
      <c r="G1769" s="1">
        <v>1</v>
      </c>
      <c r="K1769" s="1">
        <v>6000</v>
      </c>
      <c r="M1769" s="1">
        <v>150</v>
      </c>
      <c r="O1769" s="1">
        <v>200</v>
      </c>
      <c r="Q1769" s="1">
        <v>50</v>
      </c>
      <c r="Y1769" s="1">
        <v>0.05</v>
      </c>
      <c r="Z1769" s="1">
        <v>4</v>
      </c>
      <c r="AA1769" s="1">
        <v>2</v>
      </c>
      <c r="AB1769" s="1">
        <v>0.8</v>
      </c>
      <c r="AG1769" s="1">
        <v>0</v>
      </c>
      <c r="AH1769" s="1">
        <v>1</v>
      </c>
      <c r="AI1769" s="1" t="s">
        <v>6521</v>
      </c>
      <c r="AJ1769" s="1" t="s">
        <v>275</v>
      </c>
      <c r="AK1769" s="1" t="s">
        <v>238</v>
      </c>
      <c r="AM1769" s="1">
        <v>1</v>
      </c>
      <c r="AV1769" s="1">
        <v>1</v>
      </c>
      <c r="AX1769" s="1">
        <v>0.1</v>
      </c>
      <c r="BE1769" s="1" t="s">
        <v>6519</v>
      </c>
      <c r="BK1769" s="1" t="s">
        <v>959</v>
      </c>
      <c r="BN1769" s="1" t="s">
        <v>217</v>
      </c>
      <c r="BO1769" s="1" t="s">
        <v>218</v>
      </c>
      <c r="BP1769" s="1" t="s">
        <v>239</v>
      </c>
      <c r="BQ1769" s="1" t="s">
        <v>220</v>
      </c>
      <c r="BT1769" s="1">
        <v>1</v>
      </c>
    </row>
    <row r="1770" spans="1:72">
      <c r="A1770" s="1" t="s">
        <v>6522</v>
      </c>
      <c r="B1770" s="1" t="s">
        <v>213</v>
      </c>
      <c r="D1770" s="1" t="s">
        <v>6523</v>
      </c>
      <c r="E1770" s="1">
        <v>7002</v>
      </c>
      <c r="F1770" s="1" t="s">
        <v>6522</v>
      </c>
      <c r="G1770" s="1">
        <v>1</v>
      </c>
      <c r="K1770" s="1">
        <v>25000</v>
      </c>
      <c r="M1770" s="1">
        <v>400</v>
      </c>
      <c r="O1770" s="1">
        <v>300</v>
      </c>
      <c r="Q1770" s="1">
        <v>10</v>
      </c>
      <c r="Y1770" s="1">
        <v>0.05</v>
      </c>
      <c r="Z1770" s="1">
        <v>4</v>
      </c>
      <c r="AA1770" s="1">
        <v>4</v>
      </c>
      <c r="AB1770" s="1">
        <v>0.6</v>
      </c>
      <c r="AG1770" s="1">
        <v>1</v>
      </c>
      <c r="AH1770" s="1">
        <v>1</v>
      </c>
      <c r="AI1770" s="1" t="s">
        <v>6524</v>
      </c>
      <c r="AJ1770" s="1" t="s">
        <v>275</v>
      </c>
      <c r="AK1770" s="1" t="s">
        <v>238</v>
      </c>
      <c r="AM1770" s="1">
        <v>1</v>
      </c>
      <c r="AV1770" s="1">
        <v>1</v>
      </c>
      <c r="AX1770" s="1">
        <v>0.1</v>
      </c>
      <c r="BE1770" s="1" t="s">
        <v>6522</v>
      </c>
      <c r="BK1770" s="1" t="s">
        <v>3315</v>
      </c>
      <c r="BN1770" s="1" t="s">
        <v>217</v>
      </c>
      <c r="BO1770" s="1" t="s">
        <v>218</v>
      </c>
      <c r="BP1770" s="1" t="s">
        <v>239</v>
      </c>
      <c r="BQ1770" s="1" t="s">
        <v>220</v>
      </c>
      <c r="BT1770" s="1">
        <v>1</v>
      </c>
    </row>
    <row r="1771" spans="1:72">
      <c r="A1771" s="1" t="s">
        <v>6525</v>
      </c>
      <c r="B1771" s="1" t="s">
        <v>213</v>
      </c>
      <c r="D1771" s="1" t="s">
        <v>6526</v>
      </c>
      <c r="E1771" s="1">
        <v>7002</v>
      </c>
      <c r="F1771" s="1" t="s">
        <v>6525</v>
      </c>
      <c r="G1771" s="1">
        <v>1</v>
      </c>
      <c r="K1771" s="1">
        <v>40000</v>
      </c>
      <c r="M1771" s="1">
        <v>500</v>
      </c>
      <c r="O1771" s="1">
        <v>300</v>
      </c>
      <c r="Q1771" s="1">
        <v>10</v>
      </c>
      <c r="Y1771" s="1">
        <v>0.05</v>
      </c>
      <c r="Z1771" s="1">
        <v>4</v>
      </c>
      <c r="AA1771" s="1">
        <v>4</v>
      </c>
      <c r="AB1771" s="1">
        <v>0.6</v>
      </c>
      <c r="AG1771" s="1">
        <v>1</v>
      </c>
      <c r="AH1771" s="1">
        <v>1</v>
      </c>
      <c r="AI1771" s="1" t="s">
        <v>6527</v>
      </c>
      <c r="AJ1771" s="1" t="s">
        <v>275</v>
      </c>
      <c r="AK1771" s="1" t="s">
        <v>238</v>
      </c>
      <c r="AM1771" s="1">
        <v>1</v>
      </c>
      <c r="AV1771" s="1">
        <v>1</v>
      </c>
      <c r="AX1771" s="1">
        <v>0.1</v>
      </c>
      <c r="BE1771" s="1" t="s">
        <v>6525</v>
      </c>
      <c r="BK1771" s="1" t="s">
        <v>3315</v>
      </c>
      <c r="BN1771" s="1" t="s">
        <v>217</v>
      </c>
      <c r="BO1771" s="1" t="s">
        <v>218</v>
      </c>
      <c r="BP1771" s="1" t="s">
        <v>239</v>
      </c>
      <c r="BQ1771" s="1" t="s">
        <v>220</v>
      </c>
      <c r="BT1771" s="1">
        <v>1</v>
      </c>
    </row>
    <row r="1772" spans="1:72">
      <c r="A1772" s="1" t="s">
        <v>6528</v>
      </c>
      <c r="B1772" s="1" t="s">
        <v>213</v>
      </c>
      <c r="D1772" s="1" t="s">
        <v>6529</v>
      </c>
      <c r="E1772" s="1">
        <v>7003</v>
      </c>
      <c r="F1772" s="1" t="s">
        <v>6528</v>
      </c>
      <c r="G1772" s="1">
        <v>1</v>
      </c>
      <c r="K1772" s="1">
        <v>10000</v>
      </c>
      <c r="M1772" s="1">
        <v>500</v>
      </c>
      <c r="O1772" s="1">
        <v>400</v>
      </c>
      <c r="Q1772" s="1">
        <v>0</v>
      </c>
      <c r="Y1772" s="1">
        <v>0.05</v>
      </c>
      <c r="Z1772" s="1">
        <v>5</v>
      </c>
      <c r="AA1772" s="1">
        <v>3</v>
      </c>
      <c r="AB1772" s="1">
        <v>0.7</v>
      </c>
      <c r="AG1772" s="1">
        <v>0</v>
      </c>
      <c r="AH1772" s="1">
        <v>1</v>
      </c>
      <c r="AI1772" s="1" t="s">
        <v>6530</v>
      </c>
      <c r="AJ1772" s="1" t="s">
        <v>275</v>
      </c>
      <c r="AK1772" s="1" t="s">
        <v>238</v>
      </c>
      <c r="AM1772" s="1">
        <v>1</v>
      </c>
      <c r="AV1772" s="1">
        <v>1</v>
      </c>
      <c r="AX1772" s="1">
        <v>0.1</v>
      </c>
      <c r="BE1772" s="1" t="s">
        <v>6528</v>
      </c>
      <c r="BK1772" s="1" t="s">
        <v>3258</v>
      </c>
      <c r="BN1772" s="1" t="s">
        <v>217</v>
      </c>
      <c r="BO1772" s="1" t="s">
        <v>218</v>
      </c>
      <c r="BP1772" s="1" t="s">
        <v>239</v>
      </c>
      <c r="BQ1772" s="1" t="s">
        <v>220</v>
      </c>
      <c r="BT1772" s="1">
        <v>1</v>
      </c>
    </row>
    <row r="1773" spans="1:72">
      <c r="A1773" s="1" t="s">
        <v>6531</v>
      </c>
      <c r="B1773" s="1" t="s">
        <v>213</v>
      </c>
      <c r="D1773" s="1" t="s">
        <v>6532</v>
      </c>
      <c r="E1773" s="1">
        <v>7003</v>
      </c>
      <c r="F1773" s="1" t="s">
        <v>6531</v>
      </c>
      <c r="G1773" s="1">
        <v>1</v>
      </c>
      <c r="K1773" s="1">
        <v>20000</v>
      </c>
      <c r="M1773" s="1">
        <v>550</v>
      </c>
      <c r="O1773" s="1">
        <v>400</v>
      </c>
      <c r="Q1773" s="1">
        <v>0</v>
      </c>
      <c r="Y1773" s="1">
        <v>0.05</v>
      </c>
      <c r="Z1773" s="1">
        <v>5</v>
      </c>
      <c r="AA1773" s="1">
        <v>3</v>
      </c>
      <c r="AB1773" s="1">
        <v>0.7</v>
      </c>
      <c r="AG1773" s="1">
        <v>0</v>
      </c>
      <c r="AH1773" s="1">
        <v>1</v>
      </c>
      <c r="AI1773" s="1" t="s">
        <v>6533</v>
      </c>
      <c r="AJ1773" s="1" t="s">
        <v>275</v>
      </c>
      <c r="AK1773" s="1" t="s">
        <v>238</v>
      </c>
      <c r="AM1773" s="1">
        <v>1</v>
      </c>
      <c r="AV1773" s="1">
        <v>1</v>
      </c>
      <c r="AX1773" s="1">
        <v>0.1</v>
      </c>
      <c r="BE1773" s="1" t="s">
        <v>6531</v>
      </c>
      <c r="BK1773" s="1" t="s">
        <v>3258</v>
      </c>
      <c r="BN1773" s="1" t="s">
        <v>217</v>
      </c>
      <c r="BO1773" s="1" t="s">
        <v>218</v>
      </c>
      <c r="BP1773" s="1" t="s">
        <v>239</v>
      </c>
      <c r="BQ1773" s="1" t="s">
        <v>220</v>
      </c>
      <c r="BT1773" s="1">
        <v>1</v>
      </c>
    </row>
    <row r="1774" spans="1:72">
      <c r="A1774" s="1" t="s">
        <v>6534</v>
      </c>
      <c r="B1774" s="1" t="s">
        <v>213</v>
      </c>
      <c r="D1774" s="1" t="s">
        <v>6535</v>
      </c>
      <c r="E1774" s="1">
        <v>7004</v>
      </c>
      <c r="F1774" s="1" t="s">
        <v>6534</v>
      </c>
      <c r="G1774" s="1">
        <v>1</v>
      </c>
      <c r="K1774" s="1">
        <v>5000</v>
      </c>
      <c r="M1774" s="1">
        <v>0</v>
      </c>
      <c r="O1774" s="1">
        <v>200</v>
      </c>
      <c r="Q1774" s="1">
        <v>0</v>
      </c>
      <c r="Y1774" s="1">
        <v>0.05</v>
      </c>
      <c r="Z1774" s="1">
        <v>1</v>
      </c>
      <c r="AA1774" s="1">
        <v>1</v>
      </c>
      <c r="AB1774" s="1">
        <v>0.7</v>
      </c>
      <c r="AG1774" s="1">
        <v>0</v>
      </c>
      <c r="AH1774" s="1">
        <v>1</v>
      </c>
      <c r="AI1774" s="1" t="s">
        <v>6536</v>
      </c>
      <c r="AJ1774" s="1" t="s">
        <v>275</v>
      </c>
      <c r="AK1774" s="1" t="s">
        <v>238</v>
      </c>
      <c r="AM1774" s="1">
        <v>1</v>
      </c>
      <c r="AV1774" s="1">
        <v>1</v>
      </c>
      <c r="AX1774" s="1">
        <v>0.1</v>
      </c>
      <c r="BE1774" s="1" t="s">
        <v>6534</v>
      </c>
      <c r="BK1774" s="1" t="s">
        <v>6537</v>
      </c>
      <c r="BN1774" s="1" t="s">
        <v>217</v>
      </c>
      <c r="BO1774" s="1" t="s">
        <v>218</v>
      </c>
      <c r="BP1774" s="1" t="s">
        <v>239</v>
      </c>
      <c r="BQ1774" s="1" t="s">
        <v>220</v>
      </c>
      <c r="BT1774" s="1">
        <v>1</v>
      </c>
    </row>
    <row r="1775" spans="1:72">
      <c r="A1775" s="1" t="s">
        <v>6538</v>
      </c>
      <c r="B1775" s="1" t="s">
        <v>213</v>
      </c>
      <c r="D1775" s="1" t="s">
        <v>6539</v>
      </c>
      <c r="E1775" s="1">
        <v>7004</v>
      </c>
      <c r="F1775" s="1" t="s">
        <v>6538</v>
      </c>
      <c r="G1775" s="1">
        <v>1</v>
      </c>
      <c r="K1775" s="1">
        <v>10000</v>
      </c>
      <c r="M1775" s="1">
        <v>0</v>
      </c>
      <c r="O1775" s="1">
        <v>200</v>
      </c>
      <c r="Q1775" s="1">
        <v>0</v>
      </c>
      <c r="Y1775" s="1">
        <v>0.05</v>
      </c>
      <c r="Z1775" s="1">
        <v>1</v>
      </c>
      <c r="AA1775" s="1">
        <v>1</v>
      </c>
      <c r="AB1775" s="1">
        <v>0.7</v>
      </c>
      <c r="AG1775" s="1">
        <v>0</v>
      </c>
      <c r="AH1775" s="1">
        <v>1</v>
      </c>
      <c r="AI1775" s="1" t="s">
        <v>6540</v>
      </c>
      <c r="AJ1775" s="1" t="s">
        <v>275</v>
      </c>
      <c r="AK1775" s="1" t="s">
        <v>238</v>
      </c>
      <c r="AM1775" s="1">
        <v>1</v>
      </c>
      <c r="AV1775" s="1">
        <v>1</v>
      </c>
      <c r="AX1775" s="1">
        <v>0.1</v>
      </c>
      <c r="BE1775" s="1" t="s">
        <v>6538</v>
      </c>
      <c r="BK1775" s="1" t="s">
        <v>6537</v>
      </c>
      <c r="BN1775" s="1" t="s">
        <v>217</v>
      </c>
      <c r="BO1775" s="1" t="s">
        <v>218</v>
      </c>
      <c r="BP1775" s="1" t="s">
        <v>239</v>
      </c>
      <c r="BQ1775" s="1" t="s">
        <v>220</v>
      </c>
      <c r="BT1775" s="1">
        <v>1</v>
      </c>
    </row>
    <row r="1776" spans="1:72">
      <c r="A1776" s="1" t="s">
        <v>6541</v>
      </c>
      <c r="B1776" s="1" t="s">
        <v>213</v>
      </c>
      <c r="D1776" s="1" t="s">
        <v>6542</v>
      </c>
      <c r="E1776" s="1">
        <v>7005</v>
      </c>
      <c r="F1776" s="1" t="s">
        <v>6541</v>
      </c>
      <c r="G1776" s="1">
        <v>1</v>
      </c>
      <c r="K1776" s="1">
        <v>15000</v>
      </c>
      <c r="M1776" s="1">
        <v>800</v>
      </c>
      <c r="O1776" s="1">
        <v>200</v>
      </c>
      <c r="Q1776" s="1">
        <v>0</v>
      </c>
      <c r="Y1776" s="1">
        <v>0.05</v>
      </c>
      <c r="Z1776" s="1">
        <v>3</v>
      </c>
      <c r="AA1776" s="1">
        <v>3</v>
      </c>
      <c r="AB1776" s="1">
        <v>1.1</v>
      </c>
      <c r="AG1776" s="1">
        <v>0</v>
      </c>
      <c r="AH1776" s="1">
        <v>1</v>
      </c>
      <c r="AI1776" s="1" t="s">
        <v>6543</v>
      </c>
      <c r="AJ1776" s="1" t="s">
        <v>275</v>
      </c>
      <c r="AK1776" s="1" t="s">
        <v>238</v>
      </c>
      <c r="AM1776" s="1">
        <v>1</v>
      </c>
      <c r="AT1776" s="1">
        <v>250</v>
      </c>
      <c r="AV1776" s="1">
        <v>1</v>
      </c>
      <c r="AX1776" s="1">
        <v>0.1</v>
      </c>
      <c r="BE1776" s="1" t="s">
        <v>6541</v>
      </c>
      <c r="BK1776" s="1" t="s">
        <v>6344</v>
      </c>
      <c r="BN1776" s="1" t="s">
        <v>217</v>
      </c>
      <c r="BO1776" s="1" t="s">
        <v>218</v>
      </c>
      <c r="BP1776" s="1" t="s">
        <v>239</v>
      </c>
      <c r="BQ1776" s="1" t="s">
        <v>220</v>
      </c>
      <c r="BT1776" s="1">
        <v>1</v>
      </c>
    </row>
    <row r="1777" spans="1:72">
      <c r="A1777" s="1" t="s">
        <v>6544</v>
      </c>
      <c r="B1777" s="1" t="s">
        <v>213</v>
      </c>
      <c r="D1777" s="1" t="s">
        <v>6545</v>
      </c>
      <c r="E1777" s="1">
        <v>7005</v>
      </c>
      <c r="F1777" s="1" t="s">
        <v>6544</v>
      </c>
      <c r="G1777" s="1">
        <v>1</v>
      </c>
      <c r="K1777" s="1">
        <v>24000</v>
      </c>
      <c r="M1777" s="1">
        <v>800</v>
      </c>
      <c r="O1777" s="1">
        <v>200</v>
      </c>
      <c r="Q1777" s="1">
        <v>0</v>
      </c>
      <c r="Y1777" s="1">
        <v>0.05</v>
      </c>
      <c r="Z1777" s="1">
        <v>3</v>
      </c>
      <c r="AA1777" s="1">
        <v>3</v>
      </c>
      <c r="AB1777" s="1">
        <v>1.1</v>
      </c>
      <c r="AG1777" s="1">
        <v>0</v>
      </c>
      <c r="AH1777" s="1">
        <v>1</v>
      </c>
      <c r="AI1777" s="1" t="s">
        <v>6546</v>
      </c>
      <c r="AJ1777" s="1" t="s">
        <v>275</v>
      </c>
      <c r="AK1777" s="1" t="s">
        <v>238</v>
      </c>
      <c r="AM1777" s="1">
        <v>1</v>
      </c>
      <c r="AT1777" s="1">
        <v>250</v>
      </c>
      <c r="AV1777" s="1">
        <v>1</v>
      </c>
      <c r="AX1777" s="1">
        <v>0.1</v>
      </c>
      <c r="BE1777" s="1" t="s">
        <v>6544</v>
      </c>
      <c r="BK1777" s="1" t="s">
        <v>6344</v>
      </c>
      <c r="BN1777" s="1" t="s">
        <v>217</v>
      </c>
      <c r="BO1777" s="1" t="s">
        <v>218</v>
      </c>
      <c r="BP1777" s="1" t="s">
        <v>239</v>
      </c>
      <c r="BQ1777" s="1" t="s">
        <v>220</v>
      </c>
      <c r="BT1777" s="1">
        <v>1</v>
      </c>
    </row>
    <row r="1778" spans="1:72">
      <c r="A1778" s="1" t="s">
        <v>6547</v>
      </c>
      <c r="B1778" s="1" t="s">
        <v>213</v>
      </c>
      <c r="D1778" s="1" t="s">
        <v>6548</v>
      </c>
      <c r="E1778" s="1">
        <v>7006</v>
      </c>
      <c r="F1778" s="1" t="s">
        <v>6547</v>
      </c>
      <c r="G1778" s="1">
        <v>1</v>
      </c>
      <c r="K1778" s="1">
        <v>3000</v>
      </c>
      <c r="M1778" s="1">
        <v>400</v>
      </c>
      <c r="O1778" s="1">
        <v>800</v>
      </c>
      <c r="Q1778" s="1">
        <v>70</v>
      </c>
      <c r="Y1778" s="1">
        <v>0.05</v>
      </c>
      <c r="Z1778" s="1">
        <v>2.5</v>
      </c>
      <c r="AA1778" s="1">
        <v>0</v>
      </c>
      <c r="AB1778" s="1">
        <v>0.9</v>
      </c>
      <c r="AG1778" s="1">
        <v>0</v>
      </c>
      <c r="AH1778" s="1">
        <v>1</v>
      </c>
      <c r="AI1778" s="1" t="s">
        <v>6549</v>
      </c>
      <c r="AJ1778" s="1" t="s">
        <v>275</v>
      </c>
      <c r="AK1778" s="1" t="s">
        <v>238</v>
      </c>
      <c r="AM1778" s="1">
        <v>1</v>
      </c>
      <c r="AV1778" s="1">
        <v>1</v>
      </c>
      <c r="AX1778" s="1">
        <v>0.1</v>
      </c>
      <c r="BE1778" s="1" t="s">
        <v>6547</v>
      </c>
      <c r="BK1778" s="1" t="s">
        <v>6344</v>
      </c>
      <c r="BN1778" s="1" t="s">
        <v>217</v>
      </c>
      <c r="BO1778" s="1" t="s">
        <v>218</v>
      </c>
      <c r="BP1778" s="1" t="s">
        <v>239</v>
      </c>
      <c r="BQ1778" s="1" t="s">
        <v>220</v>
      </c>
      <c r="BT1778" s="1">
        <v>1</v>
      </c>
    </row>
    <row r="1779" spans="1:72">
      <c r="A1779" s="1" t="s">
        <v>6550</v>
      </c>
      <c r="B1779" s="1" t="s">
        <v>213</v>
      </c>
      <c r="D1779" s="1" t="s">
        <v>6551</v>
      </c>
      <c r="E1779" s="1">
        <v>7006</v>
      </c>
      <c r="F1779" s="1" t="s">
        <v>6550</v>
      </c>
      <c r="G1779" s="1">
        <v>1</v>
      </c>
      <c r="K1779" s="1">
        <v>5000</v>
      </c>
      <c r="M1779" s="1">
        <v>450</v>
      </c>
      <c r="O1779" s="1">
        <v>1000</v>
      </c>
      <c r="Q1779" s="1">
        <v>80</v>
      </c>
      <c r="Y1779" s="1">
        <v>0.05</v>
      </c>
      <c r="Z1779" s="1">
        <v>2.5</v>
      </c>
      <c r="AA1779" s="1">
        <v>0</v>
      </c>
      <c r="AB1779" s="1">
        <v>0.9</v>
      </c>
      <c r="AG1779" s="1">
        <v>0</v>
      </c>
      <c r="AH1779" s="1">
        <v>1</v>
      </c>
      <c r="AI1779" s="1" t="s">
        <v>6552</v>
      </c>
      <c r="AJ1779" s="1" t="s">
        <v>275</v>
      </c>
      <c r="AK1779" s="1" t="s">
        <v>238</v>
      </c>
      <c r="AM1779" s="1">
        <v>1</v>
      </c>
      <c r="AV1779" s="1">
        <v>1</v>
      </c>
      <c r="AX1779" s="1">
        <v>0.1</v>
      </c>
      <c r="BE1779" s="1" t="s">
        <v>6550</v>
      </c>
      <c r="BK1779" s="1" t="s">
        <v>6344</v>
      </c>
      <c r="BN1779" s="1" t="s">
        <v>217</v>
      </c>
      <c r="BO1779" s="1" t="s">
        <v>218</v>
      </c>
      <c r="BP1779" s="1" t="s">
        <v>239</v>
      </c>
      <c r="BQ1779" s="1" t="s">
        <v>220</v>
      </c>
      <c r="BT1779" s="1">
        <v>1</v>
      </c>
    </row>
    <row r="1780" spans="1:72">
      <c r="A1780" s="1" t="s">
        <v>6553</v>
      </c>
      <c r="B1780" s="1" t="s">
        <v>213</v>
      </c>
      <c r="D1780" s="1" t="s">
        <v>6554</v>
      </c>
      <c r="E1780" s="1">
        <v>7007</v>
      </c>
      <c r="F1780" s="1" t="s">
        <v>6553</v>
      </c>
      <c r="G1780" s="1">
        <v>1</v>
      </c>
      <c r="K1780" s="1">
        <v>50000</v>
      </c>
      <c r="M1780" s="1">
        <v>0</v>
      </c>
      <c r="O1780" s="1">
        <v>400</v>
      </c>
      <c r="Q1780" s="1">
        <v>20</v>
      </c>
      <c r="Y1780" s="1">
        <v>0.05</v>
      </c>
      <c r="Z1780" s="1">
        <v>4.5</v>
      </c>
      <c r="AA1780" s="1">
        <v>4</v>
      </c>
      <c r="AB1780" s="1">
        <v>0.8</v>
      </c>
      <c r="AG1780" s="1">
        <v>0</v>
      </c>
      <c r="AH1780" s="1">
        <v>1</v>
      </c>
      <c r="AI1780" s="1" t="s">
        <v>6555</v>
      </c>
      <c r="AJ1780" s="1" t="s">
        <v>275</v>
      </c>
      <c r="AK1780" s="1" t="s">
        <v>238</v>
      </c>
      <c r="AM1780" s="1">
        <v>1</v>
      </c>
      <c r="AV1780" s="1">
        <v>1</v>
      </c>
      <c r="AX1780" s="1">
        <v>0.1</v>
      </c>
      <c r="BE1780" s="1" t="s">
        <v>6553</v>
      </c>
      <c r="BK1780" s="1" t="s">
        <v>6344</v>
      </c>
      <c r="BN1780" s="1" t="s">
        <v>217</v>
      </c>
      <c r="BO1780" s="1" t="s">
        <v>218</v>
      </c>
      <c r="BP1780" s="1" t="s">
        <v>239</v>
      </c>
      <c r="BQ1780" s="1" t="s">
        <v>220</v>
      </c>
      <c r="BT1780" s="1">
        <v>1</v>
      </c>
    </row>
    <row r="1781" spans="1:72">
      <c r="A1781" s="1" t="s">
        <v>6556</v>
      </c>
      <c r="B1781" s="1" t="s">
        <v>213</v>
      </c>
      <c r="D1781" s="1" t="s">
        <v>6557</v>
      </c>
      <c r="E1781" s="1">
        <v>7008</v>
      </c>
      <c r="F1781" s="1" t="s">
        <v>6556</v>
      </c>
      <c r="G1781" s="1">
        <v>1</v>
      </c>
      <c r="K1781" s="1">
        <v>5000</v>
      </c>
      <c r="M1781" s="1">
        <v>0</v>
      </c>
      <c r="O1781" s="1">
        <v>200</v>
      </c>
      <c r="Q1781" s="1">
        <v>0</v>
      </c>
      <c r="Y1781" s="1">
        <v>0.05</v>
      </c>
      <c r="Z1781" s="1">
        <v>1.3</v>
      </c>
      <c r="AA1781" s="1">
        <v>0</v>
      </c>
      <c r="AB1781" s="1">
        <v>1.5</v>
      </c>
      <c r="AG1781" s="1">
        <v>0</v>
      </c>
      <c r="AH1781" s="1">
        <v>1</v>
      </c>
      <c r="AI1781" s="1" t="s">
        <v>6558</v>
      </c>
      <c r="AJ1781" s="1" t="s">
        <v>275</v>
      </c>
      <c r="AK1781" s="1" t="s">
        <v>238</v>
      </c>
      <c r="AM1781" s="1">
        <v>1</v>
      </c>
      <c r="AV1781" s="1">
        <v>1</v>
      </c>
      <c r="AX1781" s="1">
        <v>0.1</v>
      </c>
      <c r="BE1781" s="1" t="s">
        <v>6556</v>
      </c>
      <c r="BK1781" s="1" t="s">
        <v>4153</v>
      </c>
      <c r="BN1781" s="1" t="s">
        <v>217</v>
      </c>
      <c r="BO1781" s="1" t="s">
        <v>218</v>
      </c>
      <c r="BP1781" s="1" t="s">
        <v>239</v>
      </c>
      <c r="BQ1781" s="1" t="s">
        <v>220</v>
      </c>
      <c r="BT1781" s="1">
        <v>1</v>
      </c>
    </row>
    <row r="1782" spans="1:72">
      <c r="A1782" s="1" t="s">
        <v>6559</v>
      </c>
      <c r="B1782" s="1" t="s">
        <v>213</v>
      </c>
      <c r="D1782" s="1" t="s">
        <v>6560</v>
      </c>
      <c r="E1782" s="1">
        <v>7009</v>
      </c>
      <c r="F1782" s="1" t="s">
        <v>6559</v>
      </c>
      <c r="G1782" s="1">
        <v>1.2</v>
      </c>
      <c r="K1782" s="1">
        <v>600000</v>
      </c>
      <c r="M1782" s="1">
        <v>4500</v>
      </c>
      <c r="O1782" s="1">
        <v>1000</v>
      </c>
      <c r="Q1782" s="1">
        <v>0</v>
      </c>
      <c r="Y1782" s="1">
        <v>0.05</v>
      </c>
      <c r="Z1782" s="1">
        <v>7</v>
      </c>
      <c r="AA1782" s="1">
        <v>6</v>
      </c>
      <c r="AB1782" s="1">
        <v>0.5</v>
      </c>
      <c r="AG1782" s="1">
        <v>0</v>
      </c>
      <c r="AH1782" s="1">
        <v>1</v>
      </c>
      <c r="AI1782" s="1" t="s">
        <v>6561</v>
      </c>
      <c r="AJ1782" s="1" t="s">
        <v>275</v>
      </c>
      <c r="AK1782" s="1" t="s">
        <v>238</v>
      </c>
      <c r="AM1782" s="1">
        <v>1</v>
      </c>
      <c r="AV1782" s="1">
        <v>1</v>
      </c>
      <c r="AX1782" s="1">
        <v>0.1</v>
      </c>
      <c r="BE1782" s="1" t="s">
        <v>6559</v>
      </c>
      <c r="BK1782" s="1" t="s">
        <v>1019</v>
      </c>
      <c r="BN1782" s="1" t="s">
        <v>217</v>
      </c>
      <c r="BO1782" s="1" t="s">
        <v>218</v>
      </c>
      <c r="BP1782" s="1" t="s">
        <v>239</v>
      </c>
      <c r="BQ1782" s="1" t="s">
        <v>220</v>
      </c>
      <c r="BT1782" s="1">
        <v>1</v>
      </c>
    </row>
    <row r="1783" spans="1:72">
      <c r="A1783" s="1" t="s">
        <v>6562</v>
      </c>
      <c r="B1783" s="1" t="s">
        <v>213</v>
      </c>
      <c r="D1783" s="1" t="s">
        <v>6563</v>
      </c>
      <c r="E1783" s="1">
        <v>7010</v>
      </c>
      <c r="F1783" s="1" t="s">
        <v>6562</v>
      </c>
      <c r="G1783" s="1">
        <v>1</v>
      </c>
      <c r="K1783" s="1">
        <v>450000</v>
      </c>
      <c r="M1783" s="1">
        <v>2000</v>
      </c>
      <c r="O1783" s="1">
        <v>700</v>
      </c>
      <c r="Q1783" s="1">
        <v>50</v>
      </c>
      <c r="Y1783" s="1">
        <v>0.05</v>
      </c>
      <c r="Z1783" s="1">
        <v>3.5</v>
      </c>
      <c r="AA1783" s="1">
        <v>6</v>
      </c>
      <c r="AB1783" s="1">
        <v>0.7</v>
      </c>
      <c r="AG1783" s="1">
        <v>0</v>
      </c>
      <c r="AH1783" s="1">
        <v>1</v>
      </c>
      <c r="AI1783" s="1" t="s">
        <v>6564</v>
      </c>
      <c r="AJ1783" s="1" t="s">
        <v>6565</v>
      </c>
      <c r="AK1783" s="1" t="s">
        <v>238</v>
      </c>
      <c r="AM1783" s="1">
        <v>1</v>
      </c>
      <c r="AV1783" s="1">
        <v>1</v>
      </c>
      <c r="AX1783" s="1">
        <v>0.1</v>
      </c>
      <c r="BE1783" s="1" t="s">
        <v>6562</v>
      </c>
      <c r="BK1783" s="1" t="s">
        <v>1351</v>
      </c>
      <c r="BN1783" s="1" t="s">
        <v>217</v>
      </c>
      <c r="BO1783" s="1" t="s">
        <v>218</v>
      </c>
      <c r="BP1783" s="1" t="s">
        <v>239</v>
      </c>
      <c r="BQ1783" s="1" t="s">
        <v>220</v>
      </c>
      <c r="BT1783" s="1">
        <v>1</v>
      </c>
    </row>
    <row r="1784" spans="1:72">
      <c r="A1784" s="1" t="s">
        <v>6566</v>
      </c>
      <c r="B1784" s="1" t="s">
        <v>213</v>
      </c>
      <c r="D1784" s="1" t="s">
        <v>6567</v>
      </c>
      <c r="E1784" s="1">
        <v>7011</v>
      </c>
      <c r="F1784" s="1" t="s">
        <v>6566</v>
      </c>
      <c r="G1784" s="1">
        <v>1</v>
      </c>
      <c r="K1784" s="1">
        <v>50000</v>
      </c>
      <c r="M1784" s="1">
        <v>400</v>
      </c>
      <c r="O1784" s="1">
        <v>120</v>
      </c>
      <c r="Q1784" s="1">
        <v>50</v>
      </c>
      <c r="Y1784" s="1">
        <v>0.05</v>
      </c>
      <c r="Z1784" s="1">
        <v>0.5</v>
      </c>
      <c r="AA1784" s="1">
        <v>1</v>
      </c>
      <c r="AB1784" s="1">
        <v>1.3</v>
      </c>
      <c r="AG1784" s="1">
        <v>0</v>
      </c>
      <c r="AH1784" s="1">
        <v>1</v>
      </c>
      <c r="AI1784" s="1" t="s">
        <v>6568</v>
      </c>
      <c r="AJ1784" s="1" t="s">
        <v>275</v>
      </c>
      <c r="AK1784" s="1" t="s">
        <v>238</v>
      </c>
      <c r="AM1784" s="1">
        <v>1</v>
      </c>
      <c r="AV1784" s="1">
        <v>1</v>
      </c>
      <c r="AX1784" s="1">
        <v>0.1</v>
      </c>
      <c r="BE1784" s="1" t="s">
        <v>6566</v>
      </c>
      <c r="BK1784" s="1" t="s">
        <v>980</v>
      </c>
      <c r="BN1784" s="1" t="s">
        <v>217</v>
      </c>
      <c r="BO1784" s="1" t="s">
        <v>218</v>
      </c>
      <c r="BP1784" s="1" t="s">
        <v>239</v>
      </c>
      <c r="BQ1784" s="1" t="s">
        <v>220</v>
      </c>
      <c r="BT1784" s="1">
        <v>1</v>
      </c>
    </row>
    <row r="1785" spans="1:72">
      <c r="A1785" s="1" t="s">
        <v>6569</v>
      </c>
      <c r="B1785" s="1" t="s">
        <v>213</v>
      </c>
      <c r="D1785" s="1" t="s">
        <v>6570</v>
      </c>
      <c r="E1785" s="1">
        <v>7012</v>
      </c>
      <c r="F1785" s="1" t="s">
        <v>6569</v>
      </c>
      <c r="G1785" s="1">
        <v>1</v>
      </c>
      <c r="K1785" s="1">
        <v>700000</v>
      </c>
      <c r="M1785" s="1">
        <v>1100</v>
      </c>
      <c r="O1785" s="1">
        <v>400</v>
      </c>
      <c r="Q1785" s="1">
        <v>10</v>
      </c>
      <c r="Y1785" s="1">
        <v>0.05</v>
      </c>
      <c r="Z1785" s="1">
        <v>2.5</v>
      </c>
      <c r="AA1785" s="1">
        <v>6</v>
      </c>
      <c r="AB1785" s="1">
        <v>0.8</v>
      </c>
      <c r="AG1785" s="1">
        <v>0</v>
      </c>
      <c r="AH1785" s="1">
        <v>1</v>
      </c>
      <c r="AI1785" s="1" t="s">
        <v>6571</v>
      </c>
      <c r="AJ1785" s="1" t="s">
        <v>275</v>
      </c>
      <c r="AK1785" s="1" t="s">
        <v>238</v>
      </c>
      <c r="AM1785" s="1">
        <v>1</v>
      </c>
      <c r="AV1785" s="1">
        <v>1</v>
      </c>
      <c r="AX1785" s="1">
        <v>0.1</v>
      </c>
      <c r="BE1785" s="1" t="s">
        <v>6569</v>
      </c>
      <c r="BK1785" s="1" t="s">
        <v>1019</v>
      </c>
      <c r="BN1785" s="1" t="s">
        <v>217</v>
      </c>
      <c r="BO1785" s="1" t="s">
        <v>218</v>
      </c>
      <c r="BP1785" s="1" t="s">
        <v>239</v>
      </c>
      <c r="BQ1785" s="1" t="s">
        <v>3209</v>
      </c>
      <c r="BT1785" s="1">
        <v>1</v>
      </c>
    </row>
    <row r="1786" spans="1:72">
      <c r="A1786" s="1" t="s">
        <v>6572</v>
      </c>
      <c r="B1786" s="1" t="s">
        <v>213</v>
      </c>
      <c r="D1786" s="1" t="s">
        <v>6573</v>
      </c>
      <c r="E1786" s="1">
        <v>7013</v>
      </c>
      <c r="F1786" s="1" t="s">
        <v>6572</v>
      </c>
      <c r="G1786" s="1">
        <v>1</v>
      </c>
      <c r="K1786" s="1">
        <v>400000</v>
      </c>
      <c r="M1786" s="1">
        <v>600</v>
      </c>
      <c r="O1786" s="1">
        <v>500</v>
      </c>
      <c r="Q1786" s="1">
        <v>70</v>
      </c>
      <c r="Y1786" s="1">
        <v>0.05</v>
      </c>
      <c r="Z1786" s="1">
        <v>3.5</v>
      </c>
      <c r="AA1786" s="1">
        <v>6</v>
      </c>
      <c r="AB1786" s="1">
        <v>0.8</v>
      </c>
      <c r="AG1786" s="1">
        <v>-1</v>
      </c>
      <c r="AH1786" s="1">
        <v>1</v>
      </c>
      <c r="AI1786" s="1" t="s">
        <v>6574</v>
      </c>
      <c r="AJ1786" s="1" t="s">
        <v>275</v>
      </c>
      <c r="AK1786" s="1" t="s">
        <v>238</v>
      </c>
      <c r="AM1786" s="1">
        <v>1</v>
      </c>
      <c r="AV1786" s="1">
        <v>1</v>
      </c>
      <c r="AX1786" s="1">
        <v>0.1</v>
      </c>
      <c r="BE1786" s="1" t="s">
        <v>6572</v>
      </c>
      <c r="BK1786" s="1" t="s">
        <v>1351</v>
      </c>
      <c r="BN1786" s="1" t="s">
        <v>217</v>
      </c>
      <c r="BO1786" s="1" t="s">
        <v>218</v>
      </c>
      <c r="BP1786" s="1" t="s">
        <v>239</v>
      </c>
      <c r="BQ1786" s="1" t="s">
        <v>220</v>
      </c>
      <c r="BT1786" s="1">
        <v>1</v>
      </c>
    </row>
    <row r="1787" spans="1:72">
      <c r="A1787" s="1" t="s">
        <v>6575</v>
      </c>
      <c r="B1787" s="1" t="s">
        <v>213</v>
      </c>
      <c r="D1787" s="1" t="s">
        <v>6576</v>
      </c>
      <c r="E1787" s="1">
        <v>7014</v>
      </c>
      <c r="F1787" s="1" t="s">
        <v>6575</v>
      </c>
      <c r="G1787" s="1">
        <v>1</v>
      </c>
      <c r="K1787" s="1">
        <v>500000</v>
      </c>
      <c r="M1787" s="1">
        <v>1000</v>
      </c>
      <c r="O1787" s="1">
        <v>1200</v>
      </c>
      <c r="Q1787" s="1">
        <v>30</v>
      </c>
      <c r="Y1787" s="1">
        <v>0.05</v>
      </c>
      <c r="Z1787" s="1">
        <v>4</v>
      </c>
      <c r="AA1787" s="1">
        <v>6</v>
      </c>
      <c r="AB1787" s="1">
        <v>0.9</v>
      </c>
      <c r="AG1787" s="1">
        <v>0</v>
      </c>
      <c r="AH1787" s="1">
        <v>1</v>
      </c>
      <c r="AI1787" s="1" t="s">
        <v>6577</v>
      </c>
      <c r="AJ1787" s="1" t="s">
        <v>275</v>
      </c>
      <c r="AK1787" s="1" t="s">
        <v>238</v>
      </c>
      <c r="AM1787" s="1">
        <v>1</v>
      </c>
      <c r="AP1787" s="1">
        <v>2</v>
      </c>
      <c r="AV1787" s="1">
        <v>1</v>
      </c>
      <c r="AX1787" s="1">
        <v>0.1</v>
      </c>
      <c r="BE1787" s="1" t="s">
        <v>6575</v>
      </c>
      <c r="BK1787" s="1" t="s">
        <v>1019</v>
      </c>
      <c r="BN1787" s="1" t="s">
        <v>3354</v>
      </c>
      <c r="BO1787" s="1" t="s">
        <v>218</v>
      </c>
      <c r="BP1787" s="1" t="s">
        <v>239</v>
      </c>
      <c r="BQ1787" s="1" t="s">
        <v>3355</v>
      </c>
      <c r="BT1787" s="1">
        <v>1</v>
      </c>
    </row>
    <row r="1788" spans="1:72">
      <c r="A1788" s="1" t="s">
        <v>6578</v>
      </c>
      <c r="B1788" s="1" t="s">
        <v>213</v>
      </c>
      <c r="D1788" s="1" t="s">
        <v>6579</v>
      </c>
      <c r="E1788" s="1">
        <v>7015</v>
      </c>
      <c r="F1788" s="1" t="s">
        <v>6578</v>
      </c>
      <c r="G1788" s="1">
        <v>1</v>
      </c>
      <c r="K1788" s="1">
        <v>17000</v>
      </c>
      <c r="M1788" s="1">
        <v>1300</v>
      </c>
      <c r="O1788" s="1">
        <v>2500</v>
      </c>
      <c r="Q1788" s="1">
        <v>90</v>
      </c>
      <c r="Y1788" s="1">
        <v>0.05</v>
      </c>
      <c r="Z1788" s="1">
        <v>3</v>
      </c>
      <c r="AA1788" s="1">
        <v>3</v>
      </c>
      <c r="AB1788" s="1">
        <v>0.9</v>
      </c>
      <c r="AG1788" s="1">
        <v>0</v>
      </c>
      <c r="AH1788" s="1">
        <v>1</v>
      </c>
      <c r="AI1788" s="1" t="s">
        <v>6580</v>
      </c>
      <c r="AJ1788" s="1" t="s">
        <v>275</v>
      </c>
      <c r="AK1788" s="1" t="s">
        <v>238</v>
      </c>
      <c r="AM1788" s="1">
        <v>1</v>
      </c>
      <c r="AV1788" s="1">
        <v>1</v>
      </c>
      <c r="AX1788" s="1">
        <v>0.1</v>
      </c>
      <c r="BE1788" s="1" t="s">
        <v>6578</v>
      </c>
      <c r="BK1788" s="1" t="s">
        <v>4160</v>
      </c>
      <c r="BN1788" s="1" t="s">
        <v>217</v>
      </c>
      <c r="BO1788" s="1" t="s">
        <v>218</v>
      </c>
      <c r="BP1788" s="1" t="s">
        <v>239</v>
      </c>
      <c r="BQ1788" s="1" t="s">
        <v>220</v>
      </c>
      <c r="BT1788" s="1">
        <v>1</v>
      </c>
    </row>
    <row r="1789" spans="1:72">
      <c r="A1789" s="1" t="s">
        <v>6581</v>
      </c>
      <c r="B1789" s="1" t="s">
        <v>213</v>
      </c>
      <c r="D1789" s="1" t="s">
        <v>6582</v>
      </c>
      <c r="E1789" s="1" t="s">
        <v>6583</v>
      </c>
      <c r="F1789" s="1" t="s">
        <v>6581</v>
      </c>
      <c r="G1789" s="1">
        <v>1</v>
      </c>
      <c r="K1789" s="1">
        <v>3000</v>
      </c>
      <c r="M1789" s="1">
        <v>400</v>
      </c>
      <c r="O1789" s="1">
        <v>120</v>
      </c>
      <c r="Q1789" s="1">
        <v>10</v>
      </c>
      <c r="Y1789" s="1">
        <v>0.05</v>
      </c>
      <c r="Z1789" s="1">
        <v>2</v>
      </c>
      <c r="AA1789" s="1">
        <v>0</v>
      </c>
      <c r="AB1789" s="1">
        <v>1.5</v>
      </c>
      <c r="AG1789" s="1">
        <v>0</v>
      </c>
      <c r="AH1789" s="1">
        <v>1</v>
      </c>
      <c r="AI1789" s="1" t="s">
        <v>6584</v>
      </c>
      <c r="AJ1789" s="1" t="s">
        <v>275</v>
      </c>
      <c r="AK1789" s="1" t="s">
        <v>238</v>
      </c>
      <c r="AM1789" s="1">
        <v>1</v>
      </c>
      <c r="AV1789" s="1">
        <v>1</v>
      </c>
      <c r="AX1789" s="1">
        <v>0.1</v>
      </c>
      <c r="BE1789" s="1" t="s">
        <v>6581</v>
      </c>
      <c r="BK1789" s="1" t="s">
        <v>6585</v>
      </c>
      <c r="BL1789" s="1" t="s">
        <v>1772</v>
      </c>
      <c r="BN1789" s="1" t="s">
        <v>217</v>
      </c>
      <c r="BO1789" s="1" t="s">
        <v>218</v>
      </c>
      <c r="BP1789" s="1" t="s">
        <v>239</v>
      </c>
      <c r="BQ1789" s="1" t="s">
        <v>220</v>
      </c>
      <c r="BT1789" s="1">
        <v>1</v>
      </c>
    </row>
    <row r="1790" spans="1:72">
      <c r="A1790" s="1" t="s">
        <v>6586</v>
      </c>
      <c r="B1790" s="1" t="s">
        <v>213</v>
      </c>
      <c r="D1790" s="1" t="s">
        <v>6587</v>
      </c>
      <c r="E1790" s="1" t="s">
        <v>6588</v>
      </c>
      <c r="F1790" s="1" t="s">
        <v>6586</v>
      </c>
      <c r="G1790" s="1">
        <v>1</v>
      </c>
      <c r="K1790" s="1">
        <v>11500</v>
      </c>
      <c r="M1790" s="1">
        <v>1000</v>
      </c>
      <c r="O1790" s="1">
        <v>400</v>
      </c>
      <c r="Q1790" s="1">
        <v>20</v>
      </c>
      <c r="Y1790" s="1">
        <v>0.05</v>
      </c>
      <c r="Z1790" s="1">
        <v>4</v>
      </c>
      <c r="AA1790" s="1">
        <v>1</v>
      </c>
      <c r="AB1790" s="1">
        <v>0.7</v>
      </c>
      <c r="AG1790" s="1">
        <v>0</v>
      </c>
      <c r="AH1790" s="1">
        <v>1</v>
      </c>
      <c r="AI1790" s="1" t="s">
        <v>6589</v>
      </c>
      <c r="AJ1790" s="1" t="s">
        <v>275</v>
      </c>
      <c r="AK1790" s="1" t="s">
        <v>238</v>
      </c>
      <c r="AM1790" s="1">
        <v>1</v>
      </c>
      <c r="AV1790" s="1">
        <v>1</v>
      </c>
      <c r="AX1790" s="1">
        <v>0.1</v>
      </c>
      <c r="BE1790" s="1" t="s">
        <v>6586</v>
      </c>
      <c r="BK1790" s="1" t="s">
        <v>953</v>
      </c>
      <c r="BL1790" s="1" t="s">
        <v>1772</v>
      </c>
      <c r="BN1790" s="1" t="s">
        <v>217</v>
      </c>
      <c r="BO1790" s="1" t="s">
        <v>218</v>
      </c>
      <c r="BP1790" s="1" t="s">
        <v>239</v>
      </c>
      <c r="BQ1790" s="1" t="s">
        <v>220</v>
      </c>
      <c r="BT1790" s="1">
        <v>1</v>
      </c>
    </row>
    <row r="1791" spans="1:72">
      <c r="A1791" s="1" t="s">
        <v>6590</v>
      </c>
      <c r="B1791" s="1" t="s">
        <v>213</v>
      </c>
      <c r="D1791" s="1" t="s">
        <v>6591</v>
      </c>
      <c r="E1791" s="1" t="s">
        <v>6592</v>
      </c>
      <c r="F1791" s="1" t="s">
        <v>6590</v>
      </c>
      <c r="G1791" s="1">
        <v>1</v>
      </c>
      <c r="K1791" s="1">
        <v>9800</v>
      </c>
      <c r="M1791" s="1">
        <v>3250</v>
      </c>
      <c r="O1791" s="1">
        <v>285</v>
      </c>
      <c r="Q1791" s="1">
        <v>10</v>
      </c>
      <c r="Y1791" s="1">
        <v>0.05</v>
      </c>
      <c r="Z1791" s="1">
        <v>5</v>
      </c>
      <c r="AA1791" s="1">
        <v>1</v>
      </c>
      <c r="AB1791" s="1">
        <v>0.7</v>
      </c>
      <c r="AG1791" s="1">
        <v>0</v>
      </c>
      <c r="AH1791" s="1">
        <v>1</v>
      </c>
      <c r="AI1791" s="1" t="s">
        <v>6593</v>
      </c>
      <c r="AJ1791" s="1" t="s">
        <v>275</v>
      </c>
      <c r="AK1791" s="1" t="s">
        <v>238</v>
      </c>
      <c r="AM1791" s="1">
        <v>1</v>
      </c>
      <c r="AV1791" s="1">
        <v>1</v>
      </c>
      <c r="AX1791" s="1">
        <v>0.1</v>
      </c>
      <c r="BE1791" s="1" t="s">
        <v>6590</v>
      </c>
      <c r="BK1791" s="1" t="s">
        <v>911</v>
      </c>
      <c r="BL1791" s="1" t="s">
        <v>1772</v>
      </c>
      <c r="BN1791" s="1" t="s">
        <v>217</v>
      </c>
      <c r="BO1791" s="1" t="s">
        <v>218</v>
      </c>
      <c r="BP1791" s="1" t="s">
        <v>239</v>
      </c>
      <c r="BQ1791" s="1" t="s">
        <v>220</v>
      </c>
      <c r="BT1791" s="1">
        <v>1</v>
      </c>
    </row>
    <row r="1792" spans="1:72">
      <c r="A1792" s="1" t="s">
        <v>6594</v>
      </c>
      <c r="B1792" s="1" t="s">
        <v>213</v>
      </c>
      <c r="D1792" s="1" t="s">
        <v>6595</v>
      </c>
      <c r="E1792" s="1" t="s">
        <v>6596</v>
      </c>
      <c r="F1792" s="1" t="s">
        <v>6594</v>
      </c>
      <c r="G1792" s="1">
        <v>1</v>
      </c>
      <c r="K1792" s="1">
        <v>35000</v>
      </c>
      <c r="M1792" s="1">
        <v>0</v>
      </c>
      <c r="O1792" s="1">
        <v>200</v>
      </c>
      <c r="Q1792" s="1">
        <v>10</v>
      </c>
      <c r="Y1792" s="1">
        <v>0.05</v>
      </c>
      <c r="Z1792" s="1">
        <v>5</v>
      </c>
      <c r="AA1792" s="1">
        <v>1</v>
      </c>
      <c r="AB1792" s="1">
        <v>1.1</v>
      </c>
      <c r="AG1792" s="1">
        <v>0</v>
      </c>
      <c r="AH1792" s="1">
        <v>1</v>
      </c>
      <c r="AI1792" s="1" t="s">
        <v>6597</v>
      </c>
      <c r="AJ1792" s="1" t="s">
        <v>275</v>
      </c>
      <c r="AK1792" s="1" t="s">
        <v>238</v>
      </c>
      <c r="AM1792" s="1">
        <v>1</v>
      </c>
      <c r="AV1792" s="1">
        <v>1</v>
      </c>
      <c r="AX1792" s="1">
        <v>0.1</v>
      </c>
      <c r="BE1792" s="1" t="s">
        <v>6594</v>
      </c>
      <c r="BK1792" s="1" t="s">
        <v>3140</v>
      </c>
      <c r="BL1792" s="1" t="s">
        <v>1772</v>
      </c>
      <c r="BN1792" s="1" t="s">
        <v>217</v>
      </c>
      <c r="BO1792" s="1" t="s">
        <v>218</v>
      </c>
      <c r="BP1792" s="1" t="s">
        <v>239</v>
      </c>
      <c r="BQ1792" s="1" t="s">
        <v>220</v>
      </c>
      <c r="BT1792" s="1">
        <v>1</v>
      </c>
    </row>
    <row r="1793" spans="1:72">
      <c r="A1793" s="1" t="s">
        <v>6598</v>
      </c>
      <c r="B1793" s="1" t="s">
        <v>213</v>
      </c>
      <c r="D1793" s="1" t="s">
        <v>6599</v>
      </c>
      <c r="E1793" s="1" t="s">
        <v>6600</v>
      </c>
      <c r="F1793" s="1" t="s">
        <v>6598</v>
      </c>
      <c r="G1793" s="1">
        <v>1</v>
      </c>
      <c r="K1793" s="1">
        <v>35000</v>
      </c>
      <c r="M1793" s="1">
        <v>400</v>
      </c>
      <c r="O1793" s="1">
        <v>300</v>
      </c>
      <c r="Q1793" s="1">
        <v>10</v>
      </c>
      <c r="Y1793" s="1">
        <v>0.05</v>
      </c>
      <c r="Z1793" s="1">
        <v>3</v>
      </c>
      <c r="AA1793" s="1">
        <v>1</v>
      </c>
      <c r="AB1793" s="1">
        <v>0.5</v>
      </c>
      <c r="AG1793" s="1">
        <v>0</v>
      </c>
      <c r="AH1793" s="1">
        <v>1</v>
      </c>
      <c r="AI1793" s="1" t="s">
        <v>6601</v>
      </c>
      <c r="AJ1793" s="1" t="s">
        <v>275</v>
      </c>
      <c r="AK1793" s="1" t="s">
        <v>238</v>
      </c>
      <c r="AM1793" s="1">
        <v>1</v>
      </c>
      <c r="AV1793" s="1">
        <v>1</v>
      </c>
      <c r="AX1793" s="1">
        <v>0.1</v>
      </c>
      <c r="BE1793" s="1" t="s">
        <v>6598</v>
      </c>
      <c r="BK1793" s="1" t="s">
        <v>4160</v>
      </c>
      <c r="BL1793" s="1" t="s">
        <v>1772</v>
      </c>
      <c r="BN1793" s="1" t="s">
        <v>217</v>
      </c>
      <c r="BO1793" s="1" t="s">
        <v>218</v>
      </c>
      <c r="BP1793" s="1" t="s">
        <v>239</v>
      </c>
      <c r="BQ1793" s="1" t="s">
        <v>220</v>
      </c>
      <c r="BT1793" s="1">
        <v>1</v>
      </c>
    </row>
    <row r="1794" spans="1:72">
      <c r="A1794" s="1" t="s">
        <v>6602</v>
      </c>
      <c r="B1794" s="1" t="s">
        <v>213</v>
      </c>
      <c r="D1794" s="1" t="s">
        <v>6603</v>
      </c>
      <c r="E1794" s="1" t="s">
        <v>6604</v>
      </c>
      <c r="F1794" s="1" t="s">
        <v>6602</v>
      </c>
      <c r="G1794" s="1">
        <v>1</v>
      </c>
      <c r="K1794" s="1">
        <v>9000</v>
      </c>
      <c r="M1794" s="1">
        <v>0</v>
      </c>
      <c r="O1794" s="1">
        <v>0</v>
      </c>
      <c r="Q1794" s="1">
        <v>50</v>
      </c>
      <c r="Y1794" s="1">
        <v>0.05</v>
      </c>
      <c r="Z1794" s="1">
        <v>3</v>
      </c>
      <c r="AA1794" s="1">
        <v>1</v>
      </c>
      <c r="AB1794" s="1">
        <v>1</v>
      </c>
      <c r="AG1794" s="1">
        <v>0</v>
      </c>
      <c r="AH1794" s="1">
        <v>1</v>
      </c>
      <c r="AI1794" s="1" t="s">
        <v>6605</v>
      </c>
      <c r="AJ1794" s="1" t="s">
        <v>275</v>
      </c>
      <c r="AK1794" s="1" t="s">
        <v>238</v>
      </c>
      <c r="AM1794" s="1">
        <v>1</v>
      </c>
      <c r="AN1794" s="1">
        <v>1</v>
      </c>
      <c r="AV1794" s="1">
        <v>1</v>
      </c>
      <c r="AX1794" s="1">
        <v>0.1</v>
      </c>
      <c r="BE1794" s="1" t="s">
        <v>6602</v>
      </c>
      <c r="BK1794" s="1" t="s">
        <v>4851</v>
      </c>
      <c r="BL1794" s="1" t="s">
        <v>1772</v>
      </c>
      <c r="BN1794" s="1" t="s">
        <v>217</v>
      </c>
      <c r="BO1794" s="1" t="s">
        <v>218</v>
      </c>
      <c r="BP1794" s="1" t="s">
        <v>239</v>
      </c>
      <c r="BQ1794" s="1" t="s">
        <v>220</v>
      </c>
      <c r="BT1794" s="1">
        <v>1</v>
      </c>
    </row>
    <row r="1795" spans="1:72">
      <c r="A1795" s="1" t="s">
        <v>6606</v>
      </c>
      <c r="B1795" s="1" t="s">
        <v>213</v>
      </c>
      <c r="D1795" s="1" t="s">
        <v>6607</v>
      </c>
      <c r="E1795" s="1" t="s">
        <v>6608</v>
      </c>
      <c r="F1795" s="1" t="s">
        <v>6606</v>
      </c>
      <c r="G1795" s="1">
        <v>1</v>
      </c>
      <c r="K1795" s="1">
        <v>400000</v>
      </c>
      <c r="M1795" s="1">
        <v>1500</v>
      </c>
      <c r="O1795" s="1">
        <v>1200</v>
      </c>
      <c r="Q1795" s="1">
        <v>30</v>
      </c>
      <c r="Y1795" s="1">
        <v>0.05</v>
      </c>
      <c r="Z1795" s="1">
        <v>2.5</v>
      </c>
      <c r="AA1795" s="1">
        <v>6</v>
      </c>
      <c r="AB1795" s="1">
        <v>0.5</v>
      </c>
      <c r="AG1795" s="1">
        <v>0</v>
      </c>
      <c r="AH1795" s="1">
        <v>1</v>
      </c>
      <c r="AI1795" s="1" t="s">
        <v>6609</v>
      </c>
      <c r="AJ1795" s="1" t="s">
        <v>275</v>
      </c>
      <c r="AK1795" s="1" t="s">
        <v>238</v>
      </c>
      <c r="AM1795" s="1">
        <v>1</v>
      </c>
      <c r="AV1795" s="1">
        <v>1</v>
      </c>
      <c r="AX1795" s="1">
        <v>0.1</v>
      </c>
      <c r="BE1795" s="1" t="s">
        <v>6606</v>
      </c>
      <c r="BK1795" s="1" t="s">
        <v>1019</v>
      </c>
      <c r="BL1795" s="1" t="s">
        <v>1772</v>
      </c>
      <c r="BN1795" s="1" t="s">
        <v>217</v>
      </c>
      <c r="BO1795" s="1" t="s">
        <v>218</v>
      </c>
      <c r="BP1795" s="1" t="s">
        <v>239</v>
      </c>
      <c r="BQ1795" s="1" t="s">
        <v>220</v>
      </c>
      <c r="BT1795" s="1">
        <v>1</v>
      </c>
    </row>
    <row r="1796" spans="1:72">
      <c r="A1796" s="1" t="s">
        <v>6610</v>
      </c>
      <c r="B1796" s="1" t="s">
        <v>213</v>
      </c>
      <c r="D1796" s="1" t="s">
        <v>6611</v>
      </c>
      <c r="E1796" s="1" t="s">
        <v>6612</v>
      </c>
      <c r="F1796" s="1" t="s">
        <v>6610</v>
      </c>
      <c r="G1796" s="1">
        <v>1</v>
      </c>
      <c r="K1796" s="1">
        <v>9500</v>
      </c>
      <c r="M1796" s="1">
        <v>430</v>
      </c>
      <c r="O1796" s="1">
        <v>350</v>
      </c>
      <c r="Q1796" s="1">
        <v>10</v>
      </c>
      <c r="Y1796" s="1">
        <v>0.05</v>
      </c>
      <c r="Z1796" s="1">
        <v>2</v>
      </c>
      <c r="AA1796" s="1">
        <v>6</v>
      </c>
      <c r="AB1796" s="1">
        <v>0.8</v>
      </c>
      <c r="AG1796" s="1">
        <v>0</v>
      </c>
      <c r="AH1796" s="1">
        <v>1</v>
      </c>
      <c r="AI1796" s="1" t="s">
        <v>6613</v>
      </c>
      <c r="AJ1796" s="1" t="s">
        <v>275</v>
      </c>
      <c r="AK1796" s="1" t="s">
        <v>238</v>
      </c>
      <c r="AM1796" s="1">
        <v>1</v>
      </c>
      <c r="AV1796" s="1">
        <v>1</v>
      </c>
      <c r="AX1796" s="1">
        <v>0.1</v>
      </c>
      <c r="BE1796" s="1" t="s">
        <v>6610</v>
      </c>
      <c r="BK1796" s="1" t="s">
        <v>959</v>
      </c>
      <c r="BL1796" s="1" t="s">
        <v>1772</v>
      </c>
      <c r="BN1796" s="1" t="s">
        <v>217</v>
      </c>
      <c r="BO1796" s="1" t="s">
        <v>218</v>
      </c>
      <c r="BP1796" s="1" t="s">
        <v>239</v>
      </c>
      <c r="BQ1796" s="1" t="s">
        <v>220</v>
      </c>
      <c r="BT1796" s="1">
        <v>1</v>
      </c>
    </row>
    <row r="1797" spans="1:72">
      <c r="A1797" s="1" t="s">
        <v>6614</v>
      </c>
      <c r="B1797" s="1" t="s">
        <v>213</v>
      </c>
      <c r="D1797" s="1" t="s">
        <v>6615</v>
      </c>
      <c r="E1797" s="1" t="s">
        <v>6616</v>
      </c>
      <c r="F1797" s="1" t="s">
        <v>6614</v>
      </c>
      <c r="G1797" s="1">
        <v>1</v>
      </c>
      <c r="K1797" s="1">
        <v>500000</v>
      </c>
      <c r="M1797" s="1">
        <v>900</v>
      </c>
      <c r="O1797" s="1">
        <v>1200</v>
      </c>
      <c r="Q1797" s="1">
        <v>60</v>
      </c>
      <c r="Y1797" s="1">
        <v>0.05</v>
      </c>
      <c r="Z1797" s="1">
        <v>3.5</v>
      </c>
      <c r="AA1797" s="1">
        <v>6</v>
      </c>
      <c r="AB1797" s="1">
        <v>0.7</v>
      </c>
      <c r="AG1797" s="1">
        <v>0</v>
      </c>
      <c r="AH1797" s="1">
        <v>1</v>
      </c>
      <c r="AI1797" s="1" t="s">
        <v>6617</v>
      </c>
      <c r="AJ1797" s="1" t="s">
        <v>275</v>
      </c>
      <c r="AK1797" s="1" t="s">
        <v>238</v>
      </c>
      <c r="AM1797" s="1">
        <v>1</v>
      </c>
      <c r="AT1797" s="1">
        <v>1500</v>
      </c>
      <c r="AV1797" s="1">
        <v>1</v>
      </c>
      <c r="AX1797" s="1">
        <v>0.1</v>
      </c>
      <c r="BE1797" s="1" t="s">
        <v>6614</v>
      </c>
      <c r="BK1797" s="1" t="s">
        <v>1019</v>
      </c>
      <c r="BL1797" s="1" t="s">
        <v>1772</v>
      </c>
      <c r="BN1797" s="1" t="s">
        <v>217</v>
      </c>
      <c r="BO1797" s="1" t="s">
        <v>218</v>
      </c>
      <c r="BP1797" s="1" t="s">
        <v>239</v>
      </c>
      <c r="BQ1797" s="1" t="s">
        <v>220</v>
      </c>
      <c r="BT1797" s="1">
        <v>1</v>
      </c>
    </row>
    <row r="1798" spans="1:72">
      <c r="A1798" s="1" t="s">
        <v>6618</v>
      </c>
      <c r="B1798" s="1" t="s">
        <v>213</v>
      </c>
      <c r="D1798" s="1" t="s">
        <v>6619</v>
      </c>
      <c r="E1798" s="1" t="s">
        <v>6620</v>
      </c>
      <c r="F1798" s="1" t="s">
        <v>6618</v>
      </c>
      <c r="G1798" s="1">
        <v>1</v>
      </c>
      <c r="K1798" s="1">
        <v>10000</v>
      </c>
      <c r="M1798" s="1">
        <v>400</v>
      </c>
      <c r="O1798" s="1">
        <v>400</v>
      </c>
      <c r="Q1798" s="1">
        <v>50</v>
      </c>
      <c r="Y1798" s="1">
        <v>0.05</v>
      </c>
      <c r="Z1798" s="1">
        <v>4</v>
      </c>
      <c r="AA1798" s="1">
        <v>2</v>
      </c>
      <c r="AB1798" s="1">
        <v>0.8</v>
      </c>
      <c r="AG1798" s="1">
        <v>0</v>
      </c>
      <c r="AH1798" s="1">
        <v>1</v>
      </c>
      <c r="AI1798" s="1" t="s">
        <v>6621</v>
      </c>
      <c r="AJ1798" s="1" t="s">
        <v>275</v>
      </c>
      <c r="AK1798" s="1" t="s">
        <v>238</v>
      </c>
      <c r="AM1798" s="1">
        <v>1</v>
      </c>
      <c r="AT1798" s="1">
        <v>800</v>
      </c>
      <c r="AV1798" s="1">
        <v>1</v>
      </c>
      <c r="AX1798" s="1">
        <v>0.1</v>
      </c>
      <c r="BE1798" s="1" t="s">
        <v>6618</v>
      </c>
      <c r="BK1798" s="1" t="s">
        <v>959</v>
      </c>
      <c r="BL1798" s="1" t="s">
        <v>1772</v>
      </c>
      <c r="BN1798" s="1" t="s">
        <v>217</v>
      </c>
      <c r="BO1798" s="1" t="s">
        <v>218</v>
      </c>
      <c r="BP1798" s="1" t="s">
        <v>239</v>
      </c>
      <c r="BQ1798" s="1" t="s">
        <v>220</v>
      </c>
      <c r="BT1798" s="1">
        <v>1</v>
      </c>
    </row>
    <row r="1799" spans="1:72">
      <c r="A1799" s="1" t="s">
        <v>6622</v>
      </c>
      <c r="B1799" s="1" t="s">
        <v>213</v>
      </c>
      <c r="D1799" s="1" t="s">
        <v>6623</v>
      </c>
      <c r="E1799" s="1" t="s">
        <v>6624</v>
      </c>
      <c r="F1799" s="1" t="s">
        <v>6622</v>
      </c>
      <c r="G1799" s="1">
        <v>1</v>
      </c>
      <c r="K1799" s="1">
        <v>700000</v>
      </c>
      <c r="M1799" s="1">
        <v>1150</v>
      </c>
      <c r="O1799" s="1">
        <v>2000</v>
      </c>
      <c r="Q1799" s="1">
        <v>20</v>
      </c>
      <c r="Y1799" s="1">
        <v>0.05</v>
      </c>
      <c r="Z1799" s="1">
        <v>3</v>
      </c>
      <c r="AA1799" s="1">
        <v>6</v>
      </c>
      <c r="AB1799" s="1">
        <v>0.4</v>
      </c>
      <c r="AG1799" s="1">
        <v>0</v>
      </c>
      <c r="AH1799" s="1">
        <v>1</v>
      </c>
      <c r="AI1799" s="1" t="s">
        <v>6625</v>
      </c>
      <c r="AJ1799" s="1" t="s">
        <v>275</v>
      </c>
      <c r="AK1799" s="1" t="s">
        <v>238</v>
      </c>
      <c r="AM1799" s="1">
        <v>1</v>
      </c>
      <c r="AV1799" s="1">
        <v>1</v>
      </c>
      <c r="AX1799" s="1">
        <v>0.1</v>
      </c>
      <c r="BE1799" s="1" t="s">
        <v>6622</v>
      </c>
      <c r="BK1799" s="1" t="s">
        <v>1019</v>
      </c>
      <c r="BL1799" s="1" t="s">
        <v>1772</v>
      </c>
      <c r="BN1799" s="1" t="s">
        <v>217</v>
      </c>
      <c r="BO1799" s="1" t="s">
        <v>218</v>
      </c>
      <c r="BP1799" s="1" t="s">
        <v>239</v>
      </c>
      <c r="BQ1799" s="1" t="s">
        <v>4453</v>
      </c>
      <c r="BT1799" s="1">
        <v>1</v>
      </c>
    </row>
    <row r="1800" spans="1:72">
      <c r="A1800" s="1" t="s">
        <v>6626</v>
      </c>
      <c r="B1800" s="1" t="s">
        <v>213</v>
      </c>
      <c r="D1800" s="1" t="s">
        <v>6627</v>
      </c>
      <c r="E1800" s="1">
        <v>7027</v>
      </c>
      <c r="F1800" s="1" t="s">
        <v>6626</v>
      </c>
      <c r="G1800" s="1">
        <v>1</v>
      </c>
      <c r="K1800" s="1">
        <v>350000</v>
      </c>
      <c r="M1800" s="1">
        <v>800</v>
      </c>
      <c r="O1800" s="1">
        <v>150</v>
      </c>
      <c r="Q1800" s="1">
        <v>20</v>
      </c>
      <c r="Y1800" s="1">
        <v>0.05</v>
      </c>
      <c r="Z1800" s="1">
        <v>5</v>
      </c>
      <c r="AA1800" s="1">
        <v>6</v>
      </c>
      <c r="AB1800" s="1">
        <v>0.7</v>
      </c>
      <c r="AG1800" s="1">
        <v>0</v>
      </c>
      <c r="AH1800" s="1">
        <v>1</v>
      </c>
      <c r="AI1800" s="1" t="s">
        <v>6628</v>
      </c>
      <c r="AJ1800" s="1" t="s">
        <v>275</v>
      </c>
      <c r="AK1800" s="1" t="s">
        <v>238</v>
      </c>
      <c r="AM1800" s="1">
        <v>1</v>
      </c>
      <c r="AN1800" s="1">
        <v>0.5</v>
      </c>
      <c r="AV1800" s="1">
        <v>1</v>
      </c>
      <c r="AX1800" s="1">
        <v>0.1</v>
      </c>
      <c r="BE1800" s="1" t="s">
        <v>6626</v>
      </c>
      <c r="BK1800" s="1" t="s">
        <v>6629</v>
      </c>
      <c r="BN1800" s="1" t="s">
        <v>217</v>
      </c>
      <c r="BO1800" s="1" t="s">
        <v>218</v>
      </c>
      <c r="BP1800" s="1" t="s">
        <v>239</v>
      </c>
      <c r="BQ1800" s="1" t="s">
        <v>220</v>
      </c>
      <c r="BT1800" s="1">
        <v>1</v>
      </c>
    </row>
    <row r="1801" spans="1:72">
      <c r="A1801" s="1" t="s">
        <v>6630</v>
      </c>
      <c r="B1801" s="1" t="s">
        <v>213</v>
      </c>
      <c r="D1801" s="1" t="s">
        <v>6631</v>
      </c>
      <c r="E1801" s="1">
        <v>7028</v>
      </c>
      <c r="F1801" s="1" t="s">
        <v>6630</v>
      </c>
      <c r="G1801" s="1">
        <v>1</v>
      </c>
      <c r="K1801" s="1">
        <v>450000</v>
      </c>
      <c r="M1801" s="1">
        <v>800</v>
      </c>
      <c r="O1801" s="1">
        <v>2000</v>
      </c>
      <c r="Q1801" s="1">
        <v>20</v>
      </c>
      <c r="Y1801" s="1">
        <v>0.05</v>
      </c>
      <c r="Z1801" s="1">
        <v>5</v>
      </c>
      <c r="AA1801" s="1">
        <v>6</v>
      </c>
      <c r="AB1801" s="1">
        <v>0.6</v>
      </c>
      <c r="AG1801" s="1">
        <v>0</v>
      </c>
      <c r="AH1801" s="1">
        <v>1</v>
      </c>
      <c r="AI1801" s="1" t="s">
        <v>6632</v>
      </c>
      <c r="AJ1801" s="1" t="s">
        <v>275</v>
      </c>
      <c r="AK1801" s="1" t="s">
        <v>238</v>
      </c>
      <c r="AM1801" s="1">
        <v>1</v>
      </c>
      <c r="AV1801" s="1">
        <v>1</v>
      </c>
      <c r="AX1801" s="1">
        <v>0.1</v>
      </c>
      <c r="BE1801" s="1" t="s">
        <v>6630</v>
      </c>
      <c r="BK1801" s="1" t="s">
        <v>1019</v>
      </c>
      <c r="BN1801" s="1" t="s">
        <v>217</v>
      </c>
      <c r="BO1801" s="1" t="s">
        <v>218</v>
      </c>
      <c r="BP1801" s="1" t="s">
        <v>239</v>
      </c>
      <c r="BQ1801" s="1" t="s">
        <v>220</v>
      </c>
      <c r="BT1801" s="1">
        <v>1</v>
      </c>
    </row>
    <row r="1802" spans="1:72">
      <c r="A1802" s="1" t="s">
        <v>6633</v>
      </c>
      <c r="B1802" s="1" t="s">
        <v>213</v>
      </c>
      <c r="D1802" s="1" t="s">
        <v>6634</v>
      </c>
      <c r="E1802" s="1">
        <v>7030</v>
      </c>
      <c r="F1802" s="1" t="s">
        <v>6633</v>
      </c>
      <c r="G1802" s="1">
        <v>1</v>
      </c>
      <c r="K1802" s="1">
        <v>750000</v>
      </c>
      <c r="M1802" s="1">
        <v>1600</v>
      </c>
      <c r="O1802" s="1">
        <v>2500</v>
      </c>
      <c r="Q1802" s="1">
        <v>70</v>
      </c>
      <c r="Y1802" s="1">
        <v>0.05</v>
      </c>
      <c r="Z1802" s="1">
        <v>8</v>
      </c>
      <c r="AA1802" s="1">
        <v>5</v>
      </c>
      <c r="AB1802" s="1">
        <v>0.6</v>
      </c>
      <c r="AG1802" s="1">
        <v>0</v>
      </c>
      <c r="AH1802" s="1">
        <v>1</v>
      </c>
      <c r="AI1802" s="1" t="s">
        <v>6635</v>
      </c>
      <c r="AJ1802" s="1" t="s">
        <v>275</v>
      </c>
      <c r="AK1802" s="1" t="s">
        <v>238</v>
      </c>
      <c r="AM1802" s="1">
        <v>1</v>
      </c>
      <c r="AV1802" s="1">
        <v>1</v>
      </c>
      <c r="AX1802" s="1">
        <v>0.1</v>
      </c>
      <c r="BE1802" s="1" t="s">
        <v>6633</v>
      </c>
      <c r="BK1802" s="1" t="s">
        <v>1019</v>
      </c>
      <c r="BN1802" s="1" t="s">
        <v>217</v>
      </c>
      <c r="BO1802" s="1" t="s">
        <v>218</v>
      </c>
      <c r="BP1802" s="1" t="s">
        <v>239</v>
      </c>
      <c r="BQ1802" s="1" t="s">
        <v>220</v>
      </c>
      <c r="BT1802" s="1">
        <v>1</v>
      </c>
    </row>
    <row r="1803" spans="1:72">
      <c r="A1803" s="1" t="s">
        <v>6636</v>
      </c>
      <c r="B1803" s="1" t="s">
        <v>213</v>
      </c>
      <c r="D1803" s="1" t="s">
        <v>6637</v>
      </c>
      <c r="E1803" s="1">
        <v>7029</v>
      </c>
      <c r="F1803" s="1" t="s">
        <v>6636</v>
      </c>
      <c r="G1803" s="1">
        <v>1</v>
      </c>
      <c r="K1803" s="1">
        <v>600000</v>
      </c>
      <c r="M1803" s="1">
        <v>800</v>
      </c>
      <c r="O1803" s="1">
        <v>150</v>
      </c>
      <c r="Q1803" s="1">
        <v>70</v>
      </c>
      <c r="Y1803" s="1">
        <v>0.05</v>
      </c>
      <c r="Z1803" s="1">
        <v>5</v>
      </c>
      <c r="AA1803" s="1">
        <v>5</v>
      </c>
      <c r="AB1803" s="1">
        <v>0.7</v>
      </c>
      <c r="AG1803" s="1">
        <v>0</v>
      </c>
      <c r="AH1803" s="1">
        <v>1</v>
      </c>
      <c r="AI1803" s="1" t="s">
        <v>6638</v>
      </c>
      <c r="AJ1803" s="1" t="s">
        <v>275</v>
      </c>
      <c r="AK1803" s="1" t="s">
        <v>238</v>
      </c>
      <c r="AM1803" s="1">
        <v>1</v>
      </c>
      <c r="AV1803" s="1">
        <v>1</v>
      </c>
      <c r="AX1803" s="1">
        <v>0.1</v>
      </c>
      <c r="BE1803" s="1" t="s">
        <v>6636</v>
      </c>
      <c r="BK1803" s="1" t="s">
        <v>1351</v>
      </c>
      <c r="BN1803" s="1" t="s">
        <v>4387</v>
      </c>
      <c r="BO1803" s="1" t="s">
        <v>4388</v>
      </c>
      <c r="BP1803" s="1" t="s">
        <v>4389</v>
      </c>
      <c r="BQ1803" s="1" t="s">
        <v>4390</v>
      </c>
      <c r="BT1803" s="1">
        <v>1</v>
      </c>
    </row>
    <row r="1804" spans="1:72">
      <c r="A1804" s="1" t="s">
        <v>6639</v>
      </c>
      <c r="B1804" s="1" t="s">
        <v>213</v>
      </c>
      <c r="D1804" s="1" t="s">
        <v>6640</v>
      </c>
      <c r="E1804" s="1">
        <v>7031</v>
      </c>
      <c r="F1804" s="1" t="s">
        <v>6639</v>
      </c>
      <c r="G1804" s="1">
        <v>1</v>
      </c>
      <c r="K1804" s="1">
        <v>450000</v>
      </c>
      <c r="M1804" s="1">
        <v>800</v>
      </c>
      <c r="O1804" s="1">
        <v>900</v>
      </c>
      <c r="Q1804" s="1">
        <v>70</v>
      </c>
      <c r="Y1804" s="1">
        <v>0.05</v>
      </c>
      <c r="Z1804" s="1">
        <v>4</v>
      </c>
      <c r="AA1804" s="1">
        <v>5</v>
      </c>
      <c r="AB1804" s="1">
        <v>0.9</v>
      </c>
      <c r="AG1804" s="1">
        <v>0</v>
      </c>
      <c r="AH1804" s="1">
        <v>1</v>
      </c>
      <c r="AI1804" s="1" t="s">
        <v>6641</v>
      </c>
      <c r="AJ1804" s="1" t="s">
        <v>275</v>
      </c>
      <c r="AK1804" s="1" t="s">
        <v>238</v>
      </c>
      <c r="AM1804" s="1">
        <v>1</v>
      </c>
      <c r="AV1804" s="1">
        <v>1</v>
      </c>
      <c r="AX1804" s="1">
        <v>0.1</v>
      </c>
      <c r="BE1804" s="1" t="s">
        <v>6639</v>
      </c>
      <c r="BK1804" s="1" t="s">
        <v>1019</v>
      </c>
      <c r="BN1804" s="1" t="s">
        <v>217</v>
      </c>
      <c r="BO1804" s="1" t="s">
        <v>218</v>
      </c>
      <c r="BP1804" s="1" t="s">
        <v>1960</v>
      </c>
      <c r="BQ1804" s="1" t="s">
        <v>220</v>
      </c>
      <c r="BT1804" s="1">
        <v>1</v>
      </c>
    </row>
    <row r="1805" spans="1:72">
      <c r="A1805" s="1" t="s">
        <v>6642</v>
      </c>
      <c r="B1805" s="1" t="s">
        <v>213</v>
      </c>
      <c r="D1805" s="1" t="s">
        <v>6643</v>
      </c>
      <c r="E1805" s="1" t="s">
        <v>6644</v>
      </c>
      <c r="F1805" s="1" t="s">
        <v>6642</v>
      </c>
      <c r="G1805" s="1">
        <v>1</v>
      </c>
      <c r="K1805" s="1">
        <v>5000</v>
      </c>
      <c r="M1805" s="1">
        <v>100</v>
      </c>
      <c r="O1805" s="1">
        <v>0</v>
      </c>
      <c r="Q1805" s="1">
        <v>0</v>
      </c>
      <c r="Y1805" s="1">
        <v>0.05</v>
      </c>
      <c r="Z1805" s="1">
        <v>0.1</v>
      </c>
      <c r="AA1805" s="1">
        <v>0</v>
      </c>
      <c r="AB1805" s="1">
        <v>1.5</v>
      </c>
      <c r="AG1805" s="1">
        <v>0</v>
      </c>
      <c r="AH1805" s="1">
        <v>1</v>
      </c>
      <c r="AI1805" s="1" t="s">
        <v>6645</v>
      </c>
      <c r="AJ1805" s="1" t="s">
        <v>275</v>
      </c>
      <c r="AK1805" s="1" t="s">
        <v>238</v>
      </c>
      <c r="AM1805" s="1">
        <v>1</v>
      </c>
      <c r="AV1805" s="1">
        <v>1</v>
      </c>
      <c r="AX1805" s="1">
        <v>0.1</v>
      </c>
      <c r="BE1805" s="1" t="s">
        <v>6556</v>
      </c>
      <c r="BK1805" s="1" t="s">
        <v>3437</v>
      </c>
      <c r="BL1805" s="1" t="s">
        <v>2729</v>
      </c>
      <c r="BN1805" s="1" t="s">
        <v>217</v>
      </c>
      <c r="BO1805" s="1" t="s">
        <v>218</v>
      </c>
      <c r="BP1805" s="1" t="s">
        <v>239</v>
      </c>
      <c r="BQ1805" s="1" t="s">
        <v>220</v>
      </c>
      <c r="BT1805" s="1">
        <v>1</v>
      </c>
    </row>
    <row r="1806" spans="1:72">
      <c r="A1806" s="1" t="s">
        <v>6646</v>
      </c>
      <c r="B1806" s="1" t="s">
        <v>213</v>
      </c>
      <c r="D1806" s="1" t="s">
        <v>6647</v>
      </c>
      <c r="E1806" s="1" t="s">
        <v>6648</v>
      </c>
      <c r="F1806" s="1" t="s">
        <v>6646</v>
      </c>
      <c r="G1806" s="1">
        <v>1</v>
      </c>
      <c r="K1806" s="1">
        <v>20000</v>
      </c>
      <c r="M1806" s="1">
        <v>600</v>
      </c>
      <c r="O1806" s="1">
        <v>200</v>
      </c>
      <c r="Q1806" s="1">
        <v>80</v>
      </c>
      <c r="Y1806" s="1">
        <v>0.05</v>
      </c>
      <c r="Z1806" s="1">
        <v>3</v>
      </c>
      <c r="AA1806" s="1">
        <v>3</v>
      </c>
      <c r="AB1806" s="1">
        <v>0.75</v>
      </c>
      <c r="AG1806" s="1">
        <v>0</v>
      </c>
      <c r="AH1806" s="1">
        <v>1</v>
      </c>
      <c r="AI1806" s="1" t="s">
        <v>6649</v>
      </c>
      <c r="AJ1806" s="1" t="s">
        <v>275</v>
      </c>
      <c r="AK1806" s="1" t="s">
        <v>238</v>
      </c>
      <c r="AM1806" s="1">
        <v>1</v>
      </c>
      <c r="AV1806" s="1">
        <v>1</v>
      </c>
      <c r="AX1806" s="1">
        <v>0.1</v>
      </c>
      <c r="BE1806" s="1" t="s">
        <v>6646</v>
      </c>
      <c r="BK1806" s="1" t="s">
        <v>911</v>
      </c>
      <c r="BL1806" s="1" t="s">
        <v>919</v>
      </c>
      <c r="BN1806" s="1" t="s">
        <v>217</v>
      </c>
      <c r="BO1806" s="1" t="s">
        <v>218</v>
      </c>
      <c r="BP1806" s="1" t="s">
        <v>239</v>
      </c>
      <c r="BQ1806" s="1" t="s">
        <v>220</v>
      </c>
      <c r="BT1806" s="1">
        <v>1</v>
      </c>
    </row>
    <row r="1807" spans="1:72">
      <c r="A1807" s="1" t="s">
        <v>6650</v>
      </c>
      <c r="B1807" s="1" t="s">
        <v>213</v>
      </c>
      <c r="D1807" s="1" t="s">
        <v>6651</v>
      </c>
      <c r="E1807" s="1" t="s">
        <v>6652</v>
      </c>
      <c r="F1807" s="1" t="s">
        <v>6650</v>
      </c>
      <c r="G1807" s="1">
        <v>1</v>
      </c>
      <c r="K1807" s="1">
        <v>15000</v>
      </c>
      <c r="M1807" s="1">
        <v>1000</v>
      </c>
      <c r="O1807" s="1">
        <v>500</v>
      </c>
      <c r="Q1807" s="1">
        <v>0</v>
      </c>
      <c r="Y1807" s="1">
        <v>0.05</v>
      </c>
      <c r="Z1807" s="1">
        <v>2.5</v>
      </c>
      <c r="AA1807" s="1">
        <v>4</v>
      </c>
      <c r="AB1807" s="1">
        <v>1</v>
      </c>
      <c r="AG1807" s="1">
        <v>0</v>
      </c>
      <c r="AH1807" s="1">
        <v>1</v>
      </c>
      <c r="AI1807" s="1" t="s">
        <v>6653</v>
      </c>
      <c r="AJ1807" s="1" t="s">
        <v>275</v>
      </c>
      <c r="AK1807" s="1" t="s">
        <v>238</v>
      </c>
      <c r="AM1807" s="1">
        <v>1</v>
      </c>
      <c r="AV1807" s="1">
        <v>1</v>
      </c>
      <c r="AX1807" s="1">
        <v>0.1</v>
      </c>
      <c r="BE1807" s="1" t="s">
        <v>6650</v>
      </c>
      <c r="BK1807" s="1" t="s">
        <v>911</v>
      </c>
      <c r="BL1807" s="1" t="s">
        <v>915</v>
      </c>
      <c r="BN1807" s="1" t="s">
        <v>217</v>
      </c>
      <c r="BO1807" s="1" t="s">
        <v>218</v>
      </c>
      <c r="BP1807" s="1" t="s">
        <v>239</v>
      </c>
      <c r="BQ1807" s="1" t="s">
        <v>220</v>
      </c>
      <c r="BT1807" s="1">
        <v>1</v>
      </c>
    </row>
    <row r="1808" spans="1:72">
      <c r="A1808" s="1" t="s">
        <v>6654</v>
      </c>
      <c r="B1808" s="1" t="s">
        <v>213</v>
      </c>
      <c r="D1808" s="1" t="s">
        <v>6655</v>
      </c>
      <c r="E1808" s="1" t="s">
        <v>6656</v>
      </c>
      <c r="F1808" s="1" t="s">
        <v>6654</v>
      </c>
      <c r="G1808" s="1">
        <v>1</v>
      </c>
      <c r="K1808" s="1">
        <v>3000</v>
      </c>
      <c r="M1808" s="1">
        <v>150</v>
      </c>
      <c r="O1808" s="1">
        <v>200</v>
      </c>
      <c r="Q1808" s="1">
        <v>0</v>
      </c>
      <c r="Y1808" s="1">
        <v>0.05</v>
      </c>
      <c r="Z1808" s="1">
        <v>1.4</v>
      </c>
      <c r="AA1808" s="1">
        <v>1</v>
      </c>
      <c r="AB1808" s="1">
        <v>2</v>
      </c>
      <c r="AG1808" s="1">
        <v>0</v>
      </c>
      <c r="AH1808" s="1">
        <v>1</v>
      </c>
      <c r="AI1808" s="1" t="s">
        <v>6657</v>
      </c>
      <c r="AJ1808" s="1" t="s">
        <v>275</v>
      </c>
      <c r="AK1808" s="1" t="s">
        <v>238</v>
      </c>
      <c r="AM1808" s="1">
        <v>1</v>
      </c>
      <c r="AV1808" s="1">
        <v>1</v>
      </c>
      <c r="AX1808" s="1">
        <v>0.1</v>
      </c>
      <c r="BE1808" s="1" t="s">
        <v>6654</v>
      </c>
      <c r="BK1808" s="1" t="s">
        <v>911</v>
      </c>
      <c r="BL1808" s="1" t="s">
        <v>915</v>
      </c>
      <c r="BN1808" s="1" t="s">
        <v>4440</v>
      </c>
      <c r="BO1808" s="1" t="s">
        <v>4441</v>
      </c>
      <c r="BP1808" s="1" t="s">
        <v>4442</v>
      </c>
      <c r="BQ1808" s="1" t="s">
        <v>3209</v>
      </c>
      <c r="BT1808" s="1">
        <v>1</v>
      </c>
    </row>
    <row r="1809" spans="1:72">
      <c r="A1809" s="1" t="s">
        <v>6658</v>
      </c>
      <c r="B1809" s="1" t="s">
        <v>213</v>
      </c>
      <c r="D1809" s="1" t="s">
        <v>6659</v>
      </c>
      <c r="E1809" s="1" t="s">
        <v>6660</v>
      </c>
      <c r="F1809" s="1" t="s">
        <v>6658</v>
      </c>
      <c r="G1809" s="1">
        <v>1</v>
      </c>
      <c r="K1809" s="1">
        <v>11500</v>
      </c>
      <c r="M1809" s="1">
        <v>0</v>
      </c>
      <c r="O1809" s="1">
        <v>400</v>
      </c>
      <c r="Q1809" s="1">
        <v>20</v>
      </c>
      <c r="Y1809" s="1">
        <v>0.05</v>
      </c>
      <c r="Z1809" s="1">
        <v>0.05</v>
      </c>
      <c r="AA1809" s="1">
        <v>5</v>
      </c>
      <c r="AB1809" s="1">
        <v>0.7</v>
      </c>
      <c r="AG1809" s="1">
        <v>0</v>
      </c>
      <c r="AH1809" s="1">
        <v>0</v>
      </c>
      <c r="AI1809" s="1" t="s">
        <v>6661</v>
      </c>
      <c r="AJ1809" s="1" t="s">
        <v>216</v>
      </c>
      <c r="AK1809" s="1" t="s">
        <v>238</v>
      </c>
      <c r="AM1809" s="1">
        <v>1</v>
      </c>
      <c r="AV1809" s="1">
        <v>0</v>
      </c>
      <c r="AX1809" s="1">
        <v>0.1</v>
      </c>
      <c r="BE1809" s="1" t="s">
        <v>6658</v>
      </c>
      <c r="BK1809" s="1" t="s">
        <v>6662</v>
      </c>
      <c r="BL1809" s="1" t="s">
        <v>1966</v>
      </c>
      <c r="BN1809" s="1" t="s">
        <v>217</v>
      </c>
      <c r="BO1809" s="1" t="s">
        <v>218</v>
      </c>
      <c r="BP1809" s="1" t="s">
        <v>239</v>
      </c>
      <c r="BQ1809" s="1" t="s">
        <v>220</v>
      </c>
      <c r="BT1809" s="1">
        <v>1</v>
      </c>
    </row>
    <row r="1810" spans="1:72">
      <c r="A1810" s="1" t="s">
        <v>6663</v>
      </c>
      <c r="B1810" s="1" t="s">
        <v>213</v>
      </c>
      <c r="D1810" s="1" t="s">
        <v>6664</v>
      </c>
      <c r="E1810" s="1" t="s">
        <v>6665</v>
      </c>
      <c r="F1810" s="1" t="s">
        <v>6663</v>
      </c>
      <c r="G1810" s="1">
        <v>1</v>
      </c>
      <c r="K1810" s="1">
        <v>40000</v>
      </c>
      <c r="M1810" s="1">
        <v>1850</v>
      </c>
      <c r="O1810" s="1">
        <v>0</v>
      </c>
      <c r="Q1810" s="1">
        <v>0</v>
      </c>
      <c r="Y1810" s="1">
        <v>0.05</v>
      </c>
      <c r="Z1810" s="1">
        <v>5</v>
      </c>
      <c r="AA1810" s="1">
        <v>4</v>
      </c>
      <c r="AB1810" s="1">
        <v>0.6</v>
      </c>
      <c r="AG1810" s="1">
        <v>0</v>
      </c>
      <c r="AH1810" s="1">
        <v>1</v>
      </c>
      <c r="AI1810" s="1" t="s">
        <v>6666</v>
      </c>
      <c r="AJ1810" s="1" t="s">
        <v>216</v>
      </c>
      <c r="AK1810" s="1" t="s">
        <v>238</v>
      </c>
      <c r="AM1810" s="1">
        <v>1</v>
      </c>
      <c r="AV1810" s="1">
        <v>1</v>
      </c>
      <c r="AX1810" s="1">
        <v>0.1</v>
      </c>
      <c r="BE1810" s="1" t="s">
        <v>6663</v>
      </c>
      <c r="BK1810" s="1" t="s">
        <v>4160</v>
      </c>
      <c r="BN1810" s="1" t="s">
        <v>3443</v>
      </c>
      <c r="BO1810" s="1" t="s">
        <v>2618</v>
      </c>
      <c r="BP1810" s="1" t="s">
        <v>2619</v>
      </c>
      <c r="BQ1810" s="1" t="s">
        <v>3157</v>
      </c>
      <c r="BT1810" s="1">
        <v>1</v>
      </c>
    </row>
    <row r="1811" spans="1:72">
      <c r="A1811" s="1" t="s">
        <v>6667</v>
      </c>
      <c r="B1811" s="1" t="s">
        <v>213</v>
      </c>
      <c r="D1811" s="1" t="s">
        <v>6668</v>
      </c>
      <c r="E1811" s="1" t="s">
        <v>6669</v>
      </c>
      <c r="F1811" s="1" t="s">
        <v>6667</v>
      </c>
      <c r="G1811" s="1">
        <v>1</v>
      </c>
      <c r="K1811" s="1">
        <v>20000</v>
      </c>
      <c r="M1811" s="1">
        <v>310</v>
      </c>
      <c r="O1811" s="1">
        <v>300</v>
      </c>
      <c r="Q1811" s="1">
        <v>70</v>
      </c>
      <c r="Y1811" s="1">
        <v>0.05</v>
      </c>
      <c r="Z1811" s="1">
        <v>2</v>
      </c>
      <c r="AA1811" s="1">
        <v>1</v>
      </c>
      <c r="AB1811" s="1">
        <v>1</v>
      </c>
      <c r="AG1811" s="1">
        <v>0</v>
      </c>
      <c r="AH1811" s="1">
        <v>1</v>
      </c>
      <c r="AI1811" s="1" t="s">
        <v>6670</v>
      </c>
      <c r="AJ1811" s="1" t="s">
        <v>216</v>
      </c>
      <c r="AK1811" s="1" t="s">
        <v>238</v>
      </c>
      <c r="AM1811" s="1">
        <v>1</v>
      </c>
      <c r="AV1811" s="1">
        <v>1</v>
      </c>
      <c r="AX1811" s="1">
        <v>0.1</v>
      </c>
      <c r="BE1811" s="1" t="s">
        <v>6667</v>
      </c>
      <c r="BK1811" s="1" t="s">
        <v>6671</v>
      </c>
      <c r="BN1811" s="1" t="s">
        <v>217</v>
      </c>
      <c r="BO1811" s="1" t="s">
        <v>218</v>
      </c>
      <c r="BP1811" s="1" t="s">
        <v>239</v>
      </c>
      <c r="BQ1811" s="1" t="s">
        <v>220</v>
      </c>
      <c r="BT1811" s="1">
        <v>1</v>
      </c>
    </row>
    <row r="1812" spans="1:72">
      <c r="A1812" s="1" t="s">
        <v>6672</v>
      </c>
      <c r="B1812" s="1" t="s">
        <v>213</v>
      </c>
      <c r="D1812" s="1" t="s">
        <v>6673</v>
      </c>
      <c r="E1812" s="1" t="s">
        <v>6674</v>
      </c>
      <c r="F1812" s="1" t="s">
        <v>6672</v>
      </c>
      <c r="G1812" s="1">
        <v>1</v>
      </c>
      <c r="K1812" s="1">
        <v>70000</v>
      </c>
      <c r="M1812" s="1">
        <v>850</v>
      </c>
      <c r="O1812" s="1">
        <v>450</v>
      </c>
      <c r="Q1812" s="1">
        <v>40</v>
      </c>
      <c r="Y1812" s="1">
        <v>0.05</v>
      </c>
      <c r="Z1812" s="1">
        <v>3.2</v>
      </c>
      <c r="AA1812" s="1">
        <v>3</v>
      </c>
      <c r="AB1812" s="1">
        <v>0.8</v>
      </c>
      <c r="AG1812" s="1">
        <v>0</v>
      </c>
      <c r="AH1812" s="1">
        <v>1</v>
      </c>
      <c r="AI1812" s="1" t="s">
        <v>6675</v>
      </c>
      <c r="AJ1812" s="1" t="s">
        <v>216</v>
      </c>
      <c r="AK1812" s="1" t="s">
        <v>238</v>
      </c>
      <c r="AM1812" s="1">
        <v>1</v>
      </c>
      <c r="AV1812" s="1">
        <v>1</v>
      </c>
      <c r="AX1812" s="1">
        <v>0.1</v>
      </c>
      <c r="BE1812" s="1" t="s">
        <v>6672</v>
      </c>
      <c r="BK1812" s="1" t="s">
        <v>6676</v>
      </c>
      <c r="BN1812" s="1" t="s">
        <v>217</v>
      </c>
      <c r="BO1812" s="1" t="s">
        <v>218</v>
      </c>
      <c r="BP1812" s="1" t="s">
        <v>239</v>
      </c>
      <c r="BQ1812" s="1" t="s">
        <v>220</v>
      </c>
      <c r="BT1812" s="1">
        <v>1</v>
      </c>
    </row>
    <row r="1813" spans="1:72">
      <c r="A1813" s="1" t="s">
        <v>6677</v>
      </c>
      <c r="B1813" s="1" t="s">
        <v>213</v>
      </c>
      <c r="D1813" s="1" t="s">
        <v>6673</v>
      </c>
      <c r="E1813" s="1" t="s">
        <v>6674</v>
      </c>
      <c r="F1813" s="1" t="s">
        <v>6672</v>
      </c>
      <c r="G1813" s="1">
        <v>1</v>
      </c>
      <c r="K1813" s="1">
        <v>25000</v>
      </c>
      <c r="M1813" s="1">
        <v>750</v>
      </c>
      <c r="O1813" s="1">
        <v>450</v>
      </c>
      <c r="Q1813" s="1">
        <v>40</v>
      </c>
      <c r="Y1813" s="1">
        <v>0.05</v>
      </c>
      <c r="Z1813" s="1">
        <v>3.2</v>
      </c>
      <c r="AA1813" s="1">
        <v>3</v>
      </c>
      <c r="AB1813" s="1">
        <v>0.8</v>
      </c>
      <c r="AG1813" s="1">
        <v>0</v>
      </c>
      <c r="AH1813" s="1">
        <v>0</v>
      </c>
      <c r="AI1813" s="1" t="s">
        <v>6678</v>
      </c>
      <c r="AJ1813" s="1" t="s">
        <v>216</v>
      </c>
      <c r="AK1813" s="1" t="s">
        <v>238</v>
      </c>
      <c r="AM1813" s="1">
        <v>1</v>
      </c>
      <c r="AV1813" s="1">
        <v>1</v>
      </c>
      <c r="AX1813" s="1">
        <v>0.1</v>
      </c>
      <c r="BE1813" s="1" t="s">
        <v>6672</v>
      </c>
      <c r="BK1813" s="1" t="s">
        <v>6679</v>
      </c>
      <c r="BN1813" s="1" t="s">
        <v>217</v>
      </c>
      <c r="BO1813" s="1" t="s">
        <v>218</v>
      </c>
      <c r="BP1813" s="1" t="s">
        <v>239</v>
      </c>
      <c r="BQ1813" s="1" t="s">
        <v>220</v>
      </c>
      <c r="BT1813" s="1">
        <v>1</v>
      </c>
    </row>
    <row r="1814" spans="1:72">
      <c r="A1814" s="1" t="s">
        <v>6680</v>
      </c>
      <c r="B1814" s="1" t="s">
        <v>213</v>
      </c>
      <c r="D1814" s="1" t="s">
        <v>6681</v>
      </c>
      <c r="E1814" s="1" t="s">
        <v>6682</v>
      </c>
      <c r="F1814" s="1" t="s">
        <v>6680</v>
      </c>
      <c r="G1814" s="1">
        <v>1</v>
      </c>
      <c r="K1814" s="1">
        <v>120000</v>
      </c>
      <c r="M1814" s="1">
        <v>700</v>
      </c>
      <c r="O1814" s="1">
        <v>800</v>
      </c>
      <c r="Q1814" s="1">
        <v>65</v>
      </c>
      <c r="Y1814" s="1">
        <v>0.05</v>
      </c>
      <c r="Z1814" s="1">
        <v>5</v>
      </c>
      <c r="AA1814" s="1">
        <v>6</v>
      </c>
      <c r="AB1814" s="1">
        <v>0.6</v>
      </c>
      <c r="AG1814" s="1">
        <v>0</v>
      </c>
      <c r="AH1814" s="1">
        <v>1</v>
      </c>
      <c r="AI1814" s="1" t="s">
        <v>6683</v>
      </c>
      <c r="AJ1814" s="1" t="s">
        <v>216</v>
      </c>
      <c r="AK1814" s="1" t="s">
        <v>238</v>
      </c>
      <c r="AM1814" s="1">
        <v>1</v>
      </c>
      <c r="AN1814" s="1">
        <v>1</v>
      </c>
      <c r="AV1814" s="1">
        <v>1</v>
      </c>
      <c r="AX1814" s="1">
        <v>0.1</v>
      </c>
      <c r="BE1814" s="1" t="s">
        <v>6680</v>
      </c>
      <c r="BK1814" s="1" t="s">
        <v>6676</v>
      </c>
      <c r="BN1814" s="1" t="s">
        <v>217</v>
      </c>
      <c r="BO1814" s="1" t="s">
        <v>218</v>
      </c>
      <c r="BP1814" s="1" t="s">
        <v>239</v>
      </c>
      <c r="BQ1814" s="1" t="s">
        <v>220</v>
      </c>
      <c r="BT1814" s="1">
        <v>1</v>
      </c>
    </row>
    <row r="1815" spans="1:72">
      <c r="A1815" s="1" t="s">
        <v>6684</v>
      </c>
      <c r="B1815" s="1" t="s">
        <v>213</v>
      </c>
      <c r="D1815" s="1" t="s">
        <v>6685</v>
      </c>
      <c r="E1815" s="1" t="s">
        <v>6686</v>
      </c>
      <c r="F1815" s="1" t="s">
        <v>6684</v>
      </c>
      <c r="G1815" s="1">
        <v>1</v>
      </c>
      <c r="K1815" s="1">
        <v>100000</v>
      </c>
      <c r="M1815" s="1">
        <v>400</v>
      </c>
      <c r="O1815" s="1">
        <v>1500</v>
      </c>
      <c r="Q1815" s="1">
        <v>15</v>
      </c>
      <c r="Y1815" s="1">
        <v>0.05</v>
      </c>
      <c r="Z1815" s="1">
        <v>5</v>
      </c>
      <c r="AA1815" s="1">
        <v>6</v>
      </c>
      <c r="AB1815" s="1">
        <v>0.4</v>
      </c>
      <c r="AG1815" s="1">
        <v>0</v>
      </c>
      <c r="AH1815" s="1">
        <v>1</v>
      </c>
      <c r="AI1815" s="1" t="s">
        <v>6687</v>
      </c>
      <c r="AJ1815" s="1" t="s">
        <v>216</v>
      </c>
      <c r="AK1815" s="1" t="s">
        <v>238</v>
      </c>
      <c r="AM1815" s="1">
        <v>1</v>
      </c>
      <c r="AV1815" s="1">
        <v>1</v>
      </c>
      <c r="AX1815" s="1">
        <v>0.1</v>
      </c>
      <c r="BE1815" s="1" t="s">
        <v>6684</v>
      </c>
      <c r="BK1815" s="1" t="s">
        <v>6676</v>
      </c>
      <c r="BN1815" s="1" t="s">
        <v>3291</v>
      </c>
      <c r="BO1815" s="1" t="s">
        <v>3228</v>
      </c>
      <c r="BP1815" s="1" t="s">
        <v>3229</v>
      </c>
      <c r="BQ1815" s="1" t="s">
        <v>3230</v>
      </c>
      <c r="BT1815" s="1">
        <v>1</v>
      </c>
    </row>
    <row r="1816" spans="1:72">
      <c r="A1816" s="1" t="s">
        <v>6688</v>
      </c>
      <c r="B1816" s="1" t="s">
        <v>213</v>
      </c>
      <c r="D1816" s="1" t="s">
        <v>6689</v>
      </c>
      <c r="E1816" s="1">
        <v>8001</v>
      </c>
      <c r="F1816" s="1" t="s">
        <v>6690</v>
      </c>
      <c r="G1816" s="1">
        <v>1</v>
      </c>
      <c r="K1816" s="1">
        <v>100000</v>
      </c>
      <c r="M1816" s="1">
        <v>3000</v>
      </c>
      <c r="O1816" s="1">
        <v>2000</v>
      </c>
      <c r="Q1816" s="1">
        <v>60</v>
      </c>
      <c r="Y1816" s="1">
        <v>0.05</v>
      </c>
      <c r="Z1816" s="1">
        <v>4.5</v>
      </c>
      <c r="AA1816" s="1">
        <v>8</v>
      </c>
      <c r="AB1816" s="1">
        <v>0.4</v>
      </c>
      <c r="AG1816" s="1">
        <v>0</v>
      </c>
      <c r="AH1816" s="1">
        <v>1</v>
      </c>
      <c r="AI1816" s="1" t="s">
        <v>6691</v>
      </c>
      <c r="AJ1816" s="1" t="s">
        <v>6692</v>
      </c>
      <c r="AK1816" s="1" t="s">
        <v>238</v>
      </c>
      <c r="AM1816" s="1">
        <v>1</v>
      </c>
      <c r="AV1816" s="1">
        <v>5</v>
      </c>
      <c r="AX1816" s="1">
        <v>0.1</v>
      </c>
      <c r="BE1816" s="1" t="s">
        <v>6690</v>
      </c>
      <c r="BK1816" s="1" t="s">
        <v>6693</v>
      </c>
      <c r="BN1816" s="1" t="s">
        <v>2034</v>
      </c>
      <c r="BO1816" s="1" t="s">
        <v>2035</v>
      </c>
      <c r="BP1816" s="1" t="s">
        <v>2036</v>
      </c>
      <c r="BQ1816" s="1" t="s">
        <v>6694</v>
      </c>
      <c r="BT1816" s="1">
        <v>1</v>
      </c>
    </row>
    <row r="1817" spans="1:72">
      <c r="A1817" s="1" t="s">
        <v>6695</v>
      </c>
      <c r="B1817" s="1" t="s">
        <v>213</v>
      </c>
      <c r="D1817" s="1" t="s">
        <v>6696</v>
      </c>
      <c r="E1817" s="1">
        <v>8006</v>
      </c>
      <c r="F1817" s="1" t="s">
        <v>6697</v>
      </c>
      <c r="G1817" s="1">
        <v>1</v>
      </c>
      <c r="K1817" s="1">
        <v>80000</v>
      </c>
      <c r="M1817" s="1">
        <v>2250</v>
      </c>
      <c r="O1817" s="1">
        <v>2000</v>
      </c>
      <c r="Q1817" s="1">
        <v>40</v>
      </c>
      <c r="Y1817" s="1">
        <v>0.05</v>
      </c>
      <c r="Z1817" s="1">
        <v>4</v>
      </c>
      <c r="AA1817" s="1">
        <v>4</v>
      </c>
      <c r="AB1817" s="1">
        <v>0.5</v>
      </c>
      <c r="AG1817" s="1">
        <v>0</v>
      </c>
      <c r="AH1817" s="1">
        <v>1</v>
      </c>
      <c r="AI1817" s="1" t="s">
        <v>6698</v>
      </c>
      <c r="AJ1817" s="1" t="s">
        <v>275</v>
      </c>
      <c r="AK1817" s="1" t="s">
        <v>238</v>
      </c>
      <c r="AM1817" s="1">
        <v>1</v>
      </c>
      <c r="AV1817" s="1">
        <v>1</v>
      </c>
      <c r="AX1817" s="1">
        <v>0.1</v>
      </c>
      <c r="BE1817" s="1" t="s">
        <v>6697</v>
      </c>
      <c r="BK1817" s="1" t="s">
        <v>6699</v>
      </c>
      <c r="BN1817" s="1" t="s">
        <v>217</v>
      </c>
      <c r="BO1817" s="1" t="s">
        <v>218</v>
      </c>
      <c r="BP1817" s="1" t="s">
        <v>239</v>
      </c>
      <c r="BQ1817" s="1" t="s">
        <v>220</v>
      </c>
      <c r="BT1817" s="1">
        <v>1</v>
      </c>
    </row>
    <row r="1818" spans="1:72">
      <c r="A1818" s="1" t="s">
        <v>6700</v>
      </c>
      <c r="B1818" s="1" t="s">
        <v>213</v>
      </c>
      <c r="D1818" s="1" t="s">
        <v>6701</v>
      </c>
      <c r="E1818" s="1">
        <v>8007</v>
      </c>
      <c r="F1818" s="1" t="s">
        <v>6700</v>
      </c>
      <c r="G1818" s="1">
        <v>1</v>
      </c>
      <c r="K1818" s="1">
        <v>50000</v>
      </c>
      <c r="M1818" s="1">
        <v>2000</v>
      </c>
      <c r="O1818" s="1">
        <v>1000</v>
      </c>
      <c r="Q1818" s="1">
        <v>50</v>
      </c>
      <c r="Y1818" s="1">
        <v>0.05</v>
      </c>
      <c r="Z1818" s="1">
        <v>4</v>
      </c>
      <c r="AA1818" s="1">
        <v>3</v>
      </c>
      <c r="AB1818" s="1">
        <v>0.4</v>
      </c>
      <c r="AG1818" s="1">
        <v>0</v>
      </c>
      <c r="AH1818" s="1">
        <v>1</v>
      </c>
      <c r="AI1818" s="1" t="s">
        <v>6702</v>
      </c>
      <c r="AJ1818" s="1" t="s">
        <v>216</v>
      </c>
      <c r="AK1818" s="1" t="s">
        <v>238</v>
      </c>
      <c r="AM1818" s="1">
        <v>1</v>
      </c>
      <c r="AV1818" s="1">
        <v>5</v>
      </c>
      <c r="AX1818" s="1">
        <v>0.1</v>
      </c>
      <c r="BE1818" s="1" t="s">
        <v>6700</v>
      </c>
      <c r="BK1818" s="1" t="s">
        <v>6703</v>
      </c>
      <c r="BN1818" s="1" t="s">
        <v>217</v>
      </c>
      <c r="BO1818" s="1" t="s">
        <v>2618</v>
      </c>
      <c r="BP1818" s="1" t="s">
        <v>2619</v>
      </c>
      <c r="BQ1818" s="1" t="s">
        <v>2176</v>
      </c>
      <c r="BT1818" s="1">
        <v>1</v>
      </c>
    </row>
    <row r="1819" spans="1:72">
      <c r="A1819" s="1" t="s">
        <v>6704</v>
      </c>
      <c r="B1819" s="1" t="s">
        <v>213</v>
      </c>
      <c r="D1819" s="1" t="s">
        <v>6705</v>
      </c>
      <c r="E1819" s="1">
        <v>391</v>
      </c>
      <c r="F1819" s="1" t="s">
        <v>6706</v>
      </c>
      <c r="G1819" s="1">
        <v>0.8</v>
      </c>
      <c r="K1819" s="1">
        <v>20000</v>
      </c>
      <c r="M1819" s="1">
        <v>100</v>
      </c>
      <c r="O1819" s="1">
        <v>1000</v>
      </c>
      <c r="Q1819" s="1">
        <v>20</v>
      </c>
      <c r="Y1819" s="1">
        <v>0.05</v>
      </c>
      <c r="Z1819" s="1">
        <v>1</v>
      </c>
      <c r="AA1819" s="1">
        <v>5</v>
      </c>
      <c r="AB1819" s="1">
        <v>0</v>
      </c>
      <c r="AG1819" s="1">
        <v>0</v>
      </c>
      <c r="AH1819" s="1">
        <v>1</v>
      </c>
      <c r="AI1819" s="1" t="s">
        <v>6707</v>
      </c>
      <c r="AJ1819" s="1" t="s">
        <v>216</v>
      </c>
      <c r="AK1819" s="1" t="s">
        <v>238</v>
      </c>
      <c r="AM1819" s="1">
        <v>1</v>
      </c>
      <c r="AV1819" s="1">
        <v>0</v>
      </c>
      <c r="AX1819" s="1">
        <v>0.1</v>
      </c>
      <c r="BE1819" s="1" t="s">
        <v>6704</v>
      </c>
      <c r="BK1819" s="1" t="s">
        <v>6708</v>
      </c>
      <c r="BN1819" s="1" t="s">
        <v>217</v>
      </c>
      <c r="BO1819" s="1" t="s">
        <v>218</v>
      </c>
      <c r="BP1819" s="1" t="s">
        <v>218</v>
      </c>
      <c r="BQ1819" s="1" t="s">
        <v>220</v>
      </c>
      <c r="BT1819" s="1">
        <v>1</v>
      </c>
    </row>
    <row r="1820" spans="1:72">
      <c r="A1820" s="1" t="s">
        <v>6709</v>
      </c>
      <c r="B1820" s="1" t="s">
        <v>213</v>
      </c>
      <c r="D1820" s="1" t="s">
        <v>6705</v>
      </c>
      <c r="E1820" s="1">
        <v>391</v>
      </c>
      <c r="F1820" s="1" t="s">
        <v>6706</v>
      </c>
      <c r="G1820" s="1">
        <v>0.8</v>
      </c>
      <c r="K1820" s="1">
        <v>20000</v>
      </c>
      <c r="M1820" s="1">
        <v>100</v>
      </c>
      <c r="O1820" s="1">
        <v>1000</v>
      </c>
      <c r="Q1820" s="1">
        <v>20</v>
      </c>
      <c r="Y1820" s="1">
        <v>0.05</v>
      </c>
      <c r="Z1820" s="1">
        <v>1</v>
      </c>
      <c r="AA1820" s="1">
        <v>5</v>
      </c>
      <c r="AB1820" s="1">
        <v>0</v>
      </c>
      <c r="AG1820" s="1">
        <v>0</v>
      </c>
      <c r="AH1820" s="1">
        <v>1</v>
      </c>
      <c r="AI1820" s="1" t="s">
        <v>6710</v>
      </c>
      <c r="AJ1820" s="1" t="s">
        <v>216</v>
      </c>
      <c r="AK1820" s="1" t="s">
        <v>238</v>
      </c>
      <c r="AM1820" s="1">
        <v>1</v>
      </c>
      <c r="AV1820" s="1">
        <v>0</v>
      </c>
      <c r="AX1820" s="1">
        <v>0.1</v>
      </c>
      <c r="BE1820" s="1" t="s">
        <v>6704</v>
      </c>
      <c r="BK1820" s="1" t="s">
        <v>6711</v>
      </c>
      <c r="BN1820" s="1" t="s">
        <v>217</v>
      </c>
      <c r="BO1820" s="1" t="s">
        <v>218</v>
      </c>
      <c r="BP1820" s="1" t="s">
        <v>218</v>
      </c>
      <c r="BQ1820" s="1" t="s">
        <v>220</v>
      </c>
      <c r="BT1820" s="1">
        <v>1</v>
      </c>
    </row>
    <row r="1821" spans="1:72">
      <c r="A1821" s="1" t="s">
        <v>6712</v>
      </c>
      <c r="B1821" s="1" t="s">
        <v>213</v>
      </c>
      <c r="D1821" s="1" t="s">
        <v>6713</v>
      </c>
      <c r="E1821" s="1">
        <v>8009</v>
      </c>
      <c r="F1821" s="1" t="s">
        <v>6712</v>
      </c>
      <c r="G1821" s="1">
        <v>1</v>
      </c>
      <c r="K1821" s="1">
        <v>10000</v>
      </c>
      <c r="M1821" s="1">
        <v>700</v>
      </c>
      <c r="O1821" s="1">
        <v>550</v>
      </c>
      <c r="Q1821" s="1">
        <v>40</v>
      </c>
      <c r="Y1821" s="1">
        <v>0.05</v>
      </c>
      <c r="Z1821" s="1">
        <v>5</v>
      </c>
      <c r="AA1821" s="1">
        <v>3</v>
      </c>
      <c r="AB1821" s="1">
        <v>0.4</v>
      </c>
      <c r="AG1821" s="1">
        <v>0</v>
      </c>
      <c r="AH1821" s="1">
        <v>1</v>
      </c>
      <c r="AI1821" s="1" t="s">
        <v>6714</v>
      </c>
      <c r="AJ1821" s="1" t="s">
        <v>216</v>
      </c>
      <c r="AK1821" s="1" t="s">
        <v>238</v>
      </c>
      <c r="AM1821" s="1">
        <v>1</v>
      </c>
      <c r="AN1821" s="1">
        <v>1</v>
      </c>
      <c r="AV1821" s="1">
        <v>1</v>
      </c>
      <c r="AX1821" s="1">
        <v>0.1</v>
      </c>
      <c r="BE1821" s="1" t="s">
        <v>6712</v>
      </c>
      <c r="BK1821" s="1" t="s">
        <v>6715</v>
      </c>
      <c r="BN1821" s="1" t="s">
        <v>217</v>
      </c>
      <c r="BO1821" s="1" t="s">
        <v>218</v>
      </c>
      <c r="BP1821" s="1" t="s">
        <v>239</v>
      </c>
      <c r="BQ1821" s="1" t="s">
        <v>220</v>
      </c>
      <c r="BT1821" s="1">
        <v>1</v>
      </c>
    </row>
    <row r="1822" spans="1:72">
      <c r="A1822" s="1" t="s">
        <v>6716</v>
      </c>
      <c r="B1822" s="1" t="s">
        <v>213</v>
      </c>
      <c r="D1822" s="1" t="s">
        <v>6713</v>
      </c>
      <c r="E1822" s="1">
        <v>8009</v>
      </c>
      <c r="F1822" s="1" t="s">
        <v>6712</v>
      </c>
      <c r="G1822" s="1">
        <v>1</v>
      </c>
      <c r="K1822" s="1">
        <v>10000</v>
      </c>
      <c r="M1822" s="1">
        <v>700</v>
      </c>
      <c r="O1822" s="1">
        <v>550</v>
      </c>
      <c r="Q1822" s="1">
        <v>40</v>
      </c>
      <c r="Y1822" s="1">
        <v>0.05</v>
      </c>
      <c r="Z1822" s="1">
        <v>5</v>
      </c>
      <c r="AA1822" s="1">
        <v>3</v>
      </c>
      <c r="AB1822" s="1">
        <v>0</v>
      </c>
      <c r="AG1822" s="1">
        <v>0</v>
      </c>
      <c r="AH1822" s="1">
        <v>1</v>
      </c>
      <c r="AI1822" s="1" t="s">
        <v>6717</v>
      </c>
      <c r="AJ1822" s="1" t="s">
        <v>216</v>
      </c>
      <c r="AK1822" s="1" t="s">
        <v>238</v>
      </c>
      <c r="AM1822" s="1">
        <v>1</v>
      </c>
      <c r="AN1822" s="1">
        <v>1</v>
      </c>
      <c r="AV1822" s="1">
        <v>0</v>
      </c>
      <c r="AX1822" s="1">
        <v>0.1</v>
      </c>
      <c r="BE1822" s="1" t="s">
        <v>6712</v>
      </c>
      <c r="BK1822" s="1" t="s">
        <v>980</v>
      </c>
      <c r="BN1822" s="1" t="s">
        <v>217</v>
      </c>
      <c r="BO1822" s="1" t="s">
        <v>218</v>
      </c>
      <c r="BP1822" s="1" t="s">
        <v>239</v>
      </c>
      <c r="BQ1822" s="1" t="s">
        <v>220</v>
      </c>
      <c r="BT1822" s="1">
        <v>1</v>
      </c>
    </row>
    <row r="1824" spans="1:72">
      <c r="A1824" s="1" t="s">
        <v>6718</v>
      </c>
      <c r="B1824" s="1" t="s">
        <v>213</v>
      </c>
      <c r="D1824" s="1" t="s">
        <v>909</v>
      </c>
      <c r="E1824" s="1">
        <v>1007</v>
      </c>
      <c r="F1824" s="1" t="str">
        <f>"enemy_"&amp;E1824&amp;"_"&amp;D1824</f>
        <v>enemy_1007_slime</v>
      </c>
      <c r="G1824" s="1">
        <v>1</v>
      </c>
      <c r="K1824" s="1">
        <v>10000</v>
      </c>
      <c r="M1824" s="1">
        <v>0</v>
      </c>
      <c r="O1824" s="1">
        <v>0</v>
      </c>
      <c r="Q1824" s="1">
        <v>90</v>
      </c>
      <c r="Y1824" s="1">
        <v>0.05</v>
      </c>
      <c r="Z1824" s="1">
        <v>1.7</v>
      </c>
      <c r="AA1824" s="1">
        <v>0</v>
      </c>
      <c r="AB1824" s="1">
        <v>1</v>
      </c>
      <c r="AG1824" s="1">
        <v>0</v>
      </c>
      <c r="AH1824" s="1">
        <v>1</v>
      </c>
      <c r="AI1824" s="1" t="s">
        <v>6719</v>
      </c>
      <c r="AJ1824" s="1" t="s">
        <v>216</v>
      </c>
      <c r="AK1824" s="1" t="s">
        <v>6720</v>
      </c>
      <c r="AM1824" s="1">
        <v>1</v>
      </c>
      <c r="AV1824" s="1">
        <v>1</v>
      </c>
      <c r="AX1824" s="1">
        <v>0.25</v>
      </c>
      <c r="BE1824" s="1" t="str">
        <f>"enemy_"&amp;E1824&amp;"_"&amp;D1824</f>
        <v>enemy_1007_slime</v>
      </c>
      <c r="BK1824" s="1" t="s">
        <v>911</v>
      </c>
      <c r="BL1824" s="1" t="s">
        <v>912</v>
      </c>
      <c r="BN1824" s="1" t="s">
        <v>217</v>
      </c>
      <c r="BO1824" s="1" t="s">
        <v>218</v>
      </c>
      <c r="BP1824" s="1" t="s">
        <v>219</v>
      </c>
      <c r="BQ1824" s="1" t="s">
        <v>220</v>
      </c>
      <c r="BT1824" s="1">
        <v>1</v>
      </c>
    </row>
  </sheetData>
  <autoFilter ref="B1:B1822">
    <extLst/>
  </autoFilter>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I921"/>
  <sheetViews>
    <sheetView workbookViewId="0">
      <pane xSplit="1" ySplit="3" topLeftCell="B800" activePane="bottomRight" state="frozen"/>
      <selection/>
      <selection pane="topRight"/>
      <selection pane="bottomLeft"/>
      <selection pane="bottomRight" activeCell="A828" sqref="A828"/>
    </sheetView>
  </sheetViews>
  <sheetFormatPr defaultColWidth="9" defaultRowHeight="14"/>
  <cols>
    <col min="1" max="1" width="21.0909090909091" style="2" customWidth="1"/>
    <col min="2" max="2" width="15.4545454545455" style="2" customWidth="1"/>
    <col min="3" max="3" width="9.72727272727273" style="2" customWidth="1"/>
    <col min="4" max="4" width="16.4545454545455" style="2" customWidth="1"/>
    <col min="5" max="5" width="16.8181818181818" style="2" customWidth="1"/>
    <col min="6" max="6" width="31.3636363636364" style="2" customWidth="1"/>
    <col min="7" max="7" width="8.45454545454546" style="2" customWidth="1"/>
    <col min="8" max="8" width="17.8181818181818" style="2" customWidth="1"/>
    <col min="9" max="9" width="7.36363636363636" style="2" customWidth="1"/>
    <col min="10" max="10" width="7.72727272727273" style="2" customWidth="1"/>
    <col min="11" max="13" width="8.36363636363636" style="6" customWidth="1"/>
    <col min="14" max="14" width="11.7272727272727" style="6" customWidth="1"/>
    <col min="15" max="15" width="13.0909090909091" style="6" customWidth="1"/>
    <col min="16" max="16" width="11.4545454545455" style="6" customWidth="1"/>
    <col min="17" max="17" width="21.4545454545455" style="6" customWidth="1"/>
    <col min="18" max="18" width="19.8181818181818" style="6" customWidth="1"/>
    <col min="19" max="19" width="16.4545454545455" style="6" customWidth="1"/>
    <col min="20" max="20" width="12.7272727272727" style="6" customWidth="1"/>
    <col min="21" max="23" width="8.36363636363636" style="6" customWidth="1"/>
    <col min="24" max="24" width="18.4545454545455" style="6" customWidth="1"/>
    <col min="25" max="25" width="16.4545454545455" style="2" customWidth="1"/>
    <col min="26" max="26" width="10.2727272727273" style="2" customWidth="1"/>
    <col min="27" max="27" width="8.36363636363636" style="2" customWidth="1"/>
    <col min="28" max="28" width="10" style="2" customWidth="1"/>
    <col min="29" max="30" width="8.45454545454546" style="2" customWidth="1"/>
    <col min="31" max="31" width="15.1818181818182" style="2" customWidth="1"/>
    <col min="32" max="32" width="13.7272727272727" style="2" customWidth="1"/>
    <col min="33" max="33" width="8.45454545454546" style="2" customWidth="1"/>
    <col min="34" max="34" width="12.4545454545455" style="2" customWidth="1"/>
    <col min="35" max="37" width="8.45454545454546" style="2" customWidth="1"/>
    <col min="38" max="39" width="8.36363636363636" style="2" customWidth="1"/>
    <col min="40" max="40" width="15" style="2" customWidth="1"/>
    <col min="41" max="41" width="13.2727272727273" style="2" customWidth="1"/>
    <col min="42" max="45" width="11.8181818181818" style="2" customWidth="1"/>
    <col min="46" max="46" width="14.7272727272727" style="2" customWidth="1"/>
    <col min="47" max="47" width="14.6363636363636" style="2" customWidth="1"/>
    <col min="48" max="48" width="14.7272727272727" style="2" customWidth="1"/>
    <col min="49" max="49" width="7.27272727272727" style="7" customWidth="1"/>
    <col min="50" max="50" width="13.0909090909091" style="2" customWidth="1"/>
    <col min="52" max="52" width="14.4545454545455" style="2" customWidth="1"/>
    <col min="53" max="53" width="11.7272727272727" style="2" customWidth="1"/>
    <col min="54" max="54" width="9.72727272727273" style="2" customWidth="1"/>
    <col min="55" max="55" width="5.09090909090909" style="2" customWidth="1"/>
    <col min="56" max="56" width="8.45454545454546" style="2" customWidth="1"/>
    <col min="57" max="60" width="8.27272727272727" style="2" customWidth="1"/>
    <col min="61" max="66" width="8.36363636363636" style="2" customWidth="1"/>
    <col min="67" max="67" width="9.45454545454546" style="8" customWidth="1"/>
    <col min="68" max="68" width="12.4545454545455" style="8" customWidth="1"/>
    <col min="69" max="70" width="11.2727272727273" style="2" customWidth="1"/>
    <col min="71" max="71" width="6.45454545454545" style="2" customWidth="1"/>
    <col min="72" max="72" width="11.9090909090909" style="2" customWidth="1"/>
    <col min="73" max="73" width="8" style="2" customWidth="1"/>
    <col min="74" max="74" width="7.36363636363636" style="9" customWidth="1"/>
    <col min="75" max="76" width="8.45454545454546" style="9" customWidth="1"/>
    <col min="77" max="77" width="13.4545454545455" style="9" customWidth="1"/>
    <col min="78" max="78" width="7.81818181818182" style="9" customWidth="1"/>
    <col min="79" max="79" width="21.4545454545455" style="9" customWidth="1"/>
    <col min="80" max="80" width="13.4545454545455" style="2" customWidth="1"/>
    <col min="81" max="81" width="7.27272727272727" style="2" customWidth="1"/>
    <col min="82" max="82" width="9" style="2" customWidth="1"/>
    <col min="83" max="84" width="10" style="2" customWidth="1"/>
    <col min="85" max="85" width="9" style="2" customWidth="1"/>
    <col min="87" max="87" width="16" style="2" customWidth="1"/>
    <col min="88" max="89" width="12.8181818181818" style="2" customWidth="1"/>
    <col min="90" max="90" width="23.4545454545455" style="2" customWidth="1"/>
    <col min="91" max="91" width="12.8181818181818" style="2" customWidth="1"/>
    <col min="92" max="92" width="17.0909090909091" style="10" customWidth="1"/>
    <col min="99" max="99" width="54.4545454545455" style="2" customWidth="1"/>
    <col min="100" max="100" width="8" style="2" customWidth="1"/>
    <col min="102" max="102" width="11.0909090909091" style="2" customWidth="1"/>
    <col min="110" max="110" width="15.4545454545455" style="2" customWidth="1"/>
    <col min="114" max="114" width="9" style="2" hidden="1" customWidth="1"/>
  </cols>
  <sheetData>
    <row r="1" spans="2:113">
      <c r="B1" t="s">
        <v>6721</v>
      </c>
      <c r="D1" t="s">
        <v>6722</v>
      </c>
      <c r="E1" t="s">
        <v>6723</v>
      </c>
      <c r="F1" t="s">
        <v>6724</v>
      </c>
      <c r="G1" t="s">
        <v>6725</v>
      </c>
      <c r="H1" t="s">
        <v>6726</v>
      </c>
      <c r="I1" t="s">
        <v>6727</v>
      </c>
      <c r="J1" t="s">
        <v>6728</v>
      </c>
      <c r="K1" s="6" t="s">
        <v>6729</v>
      </c>
      <c r="L1" s="6" t="s">
        <v>6730</v>
      </c>
      <c r="M1" s="6" t="s">
        <v>6731</v>
      </c>
      <c r="N1" s="6" t="s">
        <v>6732</v>
      </c>
      <c r="O1" s="6" t="s">
        <v>6733</v>
      </c>
      <c r="P1" s="6" t="s">
        <v>6734</v>
      </c>
      <c r="Q1" s="6" t="s">
        <v>6735</v>
      </c>
      <c r="R1" s="6" t="s">
        <v>6736</v>
      </c>
      <c r="S1" s="6" t="s">
        <v>6737</v>
      </c>
      <c r="T1" s="6" t="s">
        <v>6738</v>
      </c>
      <c r="U1" s="6" t="s">
        <v>6738</v>
      </c>
      <c r="V1" s="6" t="s">
        <v>6739</v>
      </c>
      <c r="W1" s="6" t="s">
        <v>6740</v>
      </c>
      <c r="X1" s="6" t="s">
        <v>6741</v>
      </c>
      <c r="Y1" t="s">
        <v>6742</v>
      </c>
      <c r="Z1" t="s">
        <v>6743</v>
      </c>
      <c r="AA1" s="6" t="s">
        <v>6744</v>
      </c>
      <c r="AB1" t="s">
        <v>6745</v>
      </c>
      <c r="AC1" t="s">
        <v>6746</v>
      </c>
      <c r="AD1" t="s">
        <v>6747</v>
      </c>
      <c r="AE1" t="s">
        <v>6748</v>
      </c>
      <c r="AF1" t="s">
        <v>6749</v>
      </c>
      <c r="AG1" t="s">
        <v>6750</v>
      </c>
      <c r="AH1" t="s">
        <v>6751</v>
      </c>
      <c r="AI1" t="s">
        <v>6752</v>
      </c>
      <c r="AJ1" t="s">
        <v>6753</v>
      </c>
      <c r="AK1" t="s">
        <v>6754</v>
      </c>
      <c r="AL1" t="s">
        <v>6755</v>
      </c>
      <c r="AM1" t="s">
        <v>6756</v>
      </c>
      <c r="AN1" t="s">
        <v>6757</v>
      </c>
      <c r="AO1" t="s">
        <v>6758</v>
      </c>
      <c r="AP1" t="s">
        <v>6759</v>
      </c>
      <c r="AQ1" t="s">
        <v>6760</v>
      </c>
      <c r="AR1" t="s">
        <v>6761</v>
      </c>
      <c r="AS1" t="s">
        <v>6762</v>
      </c>
      <c r="AT1" t="s">
        <v>6763</v>
      </c>
      <c r="AU1" t="s">
        <v>6764</v>
      </c>
      <c r="AV1" t="s">
        <v>6765</v>
      </c>
      <c r="AW1" s="7" t="s">
        <v>6766</v>
      </c>
      <c r="AX1" t="s">
        <v>6767</v>
      </c>
      <c r="AY1" t="s">
        <v>6768</v>
      </c>
      <c r="AZ1" t="s">
        <v>6769</v>
      </c>
      <c r="BA1" t="s">
        <v>6770</v>
      </c>
      <c r="BB1" t="s">
        <v>6771</v>
      </c>
      <c r="BC1" t="s">
        <v>6772</v>
      </c>
      <c r="BD1" t="s">
        <v>6773</v>
      </c>
      <c r="BE1" t="s">
        <v>6774</v>
      </c>
      <c r="BF1" t="s">
        <v>6775</v>
      </c>
      <c r="BG1" t="s">
        <v>6776</v>
      </c>
      <c r="BH1" t="s">
        <v>6777</v>
      </c>
      <c r="BJ1" t="s">
        <v>6777</v>
      </c>
      <c r="BK1" t="s">
        <v>6778</v>
      </c>
      <c r="BL1" t="s">
        <v>6779</v>
      </c>
      <c r="BM1" t="s">
        <v>6780</v>
      </c>
      <c r="BN1" t="s">
        <v>6781</v>
      </c>
      <c r="BO1" s="8" t="s">
        <v>6782</v>
      </c>
      <c r="BP1" s="8" t="s">
        <v>6783</v>
      </c>
      <c r="BQ1" t="s">
        <v>6784</v>
      </c>
      <c r="BR1" t="s">
        <v>6785</v>
      </c>
      <c r="BS1" t="s">
        <v>6786</v>
      </c>
      <c r="BT1" t="s">
        <v>6787</v>
      </c>
      <c r="BU1" t="s">
        <v>6788</v>
      </c>
      <c r="BV1" s="9" t="s">
        <v>6789</v>
      </c>
      <c r="BW1" s="9" t="s">
        <v>6790</v>
      </c>
      <c r="BX1" s="9" t="s">
        <v>6791</v>
      </c>
      <c r="BY1" s="9" t="s">
        <v>6792</v>
      </c>
      <c r="BZ1" s="9" t="s">
        <v>6793</v>
      </c>
      <c r="CA1" s="9" t="s">
        <v>6794</v>
      </c>
      <c r="CB1" t="s">
        <v>6795</v>
      </c>
      <c r="CC1" s="9" t="s">
        <v>6796</v>
      </c>
      <c r="CD1" t="s">
        <v>6797</v>
      </c>
      <c r="CE1" t="s">
        <v>6798</v>
      </c>
      <c r="CF1" t="s">
        <v>6799</v>
      </c>
      <c r="CG1" t="s">
        <v>6800</v>
      </c>
      <c r="CH1" t="s">
        <v>6801</v>
      </c>
      <c r="CI1" t="s">
        <v>6802</v>
      </c>
      <c r="CJ1" t="s">
        <v>6803</v>
      </c>
      <c r="CK1" t="s">
        <v>6804</v>
      </c>
      <c r="CL1" t="s">
        <v>6805</v>
      </c>
      <c r="CM1" t="s">
        <v>6806</v>
      </c>
      <c r="CN1" s="10" t="s">
        <v>6807</v>
      </c>
      <c r="CO1" t="s">
        <v>6808</v>
      </c>
      <c r="CP1" t="s">
        <v>6809</v>
      </c>
      <c r="CQ1" t="s">
        <v>6810</v>
      </c>
      <c r="CR1" t="s">
        <v>6787</v>
      </c>
      <c r="CS1" t="s">
        <v>6811</v>
      </c>
      <c r="CT1" t="s">
        <v>6812</v>
      </c>
      <c r="CU1" t="s">
        <v>6813</v>
      </c>
      <c r="CV1" t="s">
        <v>6814</v>
      </c>
      <c r="CW1" t="s">
        <v>6815</v>
      </c>
      <c r="CX1" t="s">
        <v>6816</v>
      </c>
      <c r="CY1" t="s">
        <v>6817</v>
      </c>
      <c r="CZ1" t="s">
        <v>6816</v>
      </c>
      <c r="DA1" t="s">
        <v>6818</v>
      </c>
      <c r="DB1" t="s">
        <v>6819</v>
      </c>
      <c r="DC1" t="s">
        <v>6820</v>
      </c>
      <c r="DD1" t="s">
        <v>6821</v>
      </c>
      <c r="DE1" t="s">
        <v>6822</v>
      </c>
      <c r="DF1" t="s">
        <v>6823</v>
      </c>
      <c r="DG1" t="s">
        <v>6824</v>
      </c>
      <c r="DH1" t="s">
        <v>6825</v>
      </c>
      <c r="DI1" t="s">
        <v>6826</v>
      </c>
    </row>
    <row r="2" spans="1:113">
      <c r="A2" t="s">
        <v>0</v>
      </c>
      <c r="C2" t="s">
        <v>131</v>
      </c>
      <c r="D2" t="s">
        <v>162</v>
      </c>
      <c r="E2" t="s">
        <v>6827</v>
      </c>
      <c r="F2" t="s">
        <v>6828</v>
      </c>
      <c r="G2" t="s">
        <v>136</v>
      </c>
      <c r="H2" t="s">
        <v>6829</v>
      </c>
      <c r="I2" t="s">
        <v>6830</v>
      </c>
      <c r="J2" t="s">
        <v>6831</v>
      </c>
      <c r="K2" s="6" t="s">
        <v>6832</v>
      </c>
      <c r="L2" s="6" t="s">
        <v>6833</v>
      </c>
      <c r="M2" s="6" t="s">
        <v>6834</v>
      </c>
      <c r="N2" s="6" t="s">
        <v>6835</v>
      </c>
      <c r="O2" s="6" t="s">
        <v>6836</v>
      </c>
      <c r="P2" s="6" t="s">
        <v>6837</v>
      </c>
      <c r="Q2" s="6" t="s">
        <v>6838</v>
      </c>
      <c r="R2" s="6" t="s">
        <v>6839</v>
      </c>
      <c r="S2" s="6" t="s">
        <v>6840</v>
      </c>
      <c r="T2" s="6" t="s">
        <v>6841</v>
      </c>
      <c r="U2" s="6" t="s">
        <v>6842</v>
      </c>
      <c r="V2" s="6" t="s">
        <v>6843</v>
      </c>
      <c r="W2" s="6" t="s">
        <v>6844</v>
      </c>
      <c r="X2" s="6" t="s">
        <v>6845</v>
      </c>
      <c r="Y2" t="s">
        <v>6846</v>
      </c>
      <c r="Z2" t="s">
        <v>6847</v>
      </c>
      <c r="AA2" s="6" t="s">
        <v>6848</v>
      </c>
      <c r="AB2" t="s">
        <v>6849</v>
      </c>
      <c r="AC2" t="s">
        <v>6850</v>
      </c>
      <c r="AD2" t="s">
        <v>6851</v>
      </c>
      <c r="AE2" t="s">
        <v>6852</v>
      </c>
      <c r="AF2" t="s">
        <v>6853</v>
      </c>
      <c r="AG2" t="s">
        <v>6854</v>
      </c>
      <c r="AH2" t="s">
        <v>6855</v>
      </c>
      <c r="AI2" t="s">
        <v>6856</v>
      </c>
      <c r="AJ2" t="s">
        <v>6857</v>
      </c>
      <c r="AK2" t="s">
        <v>6858</v>
      </c>
      <c r="AL2" t="s">
        <v>6859</v>
      </c>
      <c r="AM2" t="s">
        <v>6860</v>
      </c>
      <c r="AN2" t="s">
        <v>6861</v>
      </c>
      <c r="AO2" t="s">
        <v>6862</v>
      </c>
      <c r="AP2" t="s">
        <v>6863</v>
      </c>
      <c r="AQ2" t="s">
        <v>6864</v>
      </c>
      <c r="AR2" t="s">
        <v>6865</v>
      </c>
      <c r="AS2" t="s">
        <v>6866</v>
      </c>
      <c r="AT2" t="s">
        <v>6867</v>
      </c>
      <c r="AU2" t="s">
        <v>6868</v>
      </c>
      <c r="AV2" t="s">
        <v>6869</v>
      </c>
      <c r="AW2" s="7" t="s">
        <v>6870</v>
      </c>
      <c r="AX2" t="s">
        <v>6871</v>
      </c>
      <c r="AY2" t="s">
        <v>6872</v>
      </c>
      <c r="AZ2" t="s">
        <v>6873</v>
      </c>
      <c r="BA2" t="s">
        <v>6874</v>
      </c>
      <c r="BB2" t="s">
        <v>6875</v>
      </c>
      <c r="BC2" t="s">
        <v>6876</v>
      </c>
      <c r="BD2" t="s">
        <v>6877</v>
      </c>
      <c r="BE2" t="s">
        <v>6878</v>
      </c>
      <c r="BF2" t="s">
        <v>6879</v>
      </c>
      <c r="BG2" t="s">
        <v>6880</v>
      </c>
      <c r="BH2" t="s">
        <v>6881</v>
      </c>
      <c r="BI2" t="s">
        <v>6882</v>
      </c>
      <c r="BJ2" t="s">
        <v>6883</v>
      </c>
      <c r="BK2" t="s">
        <v>6884</v>
      </c>
      <c r="BL2" t="s">
        <v>6885</v>
      </c>
      <c r="BM2" t="s">
        <v>6886</v>
      </c>
      <c r="BN2" t="s">
        <v>6887</v>
      </c>
      <c r="BO2" s="8" t="s">
        <v>164</v>
      </c>
      <c r="BP2" s="8" t="s">
        <v>6888</v>
      </c>
      <c r="BQ2" t="s">
        <v>6889</v>
      </c>
      <c r="BR2" t="s">
        <v>6890</v>
      </c>
      <c r="BS2" t="s">
        <v>6891</v>
      </c>
      <c r="BT2" t="s">
        <v>6892</v>
      </c>
      <c r="BU2" t="s">
        <v>179</v>
      </c>
      <c r="BV2" s="9" t="s">
        <v>6893</v>
      </c>
      <c r="BW2" s="9" t="s">
        <v>6894</v>
      </c>
      <c r="BX2" s="9" t="s">
        <v>6895</v>
      </c>
      <c r="BY2" s="9" t="s">
        <v>6896</v>
      </c>
      <c r="BZ2" s="9" t="s">
        <v>6897</v>
      </c>
      <c r="CA2" s="9" t="s">
        <v>6898</v>
      </c>
      <c r="CB2" t="s">
        <v>6899</v>
      </c>
      <c r="CC2" t="s">
        <v>6900</v>
      </c>
      <c r="CD2" t="s">
        <v>6901</v>
      </c>
      <c r="CE2" t="s">
        <v>6902</v>
      </c>
      <c r="CF2" t="s">
        <v>6903</v>
      </c>
      <c r="CG2" t="s">
        <v>6904</v>
      </c>
      <c r="CH2" t="s">
        <v>6905</v>
      </c>
      <c r="CI2" t="s">
        <v>6906</v>
      </c>
      <c r="CJ2" t="s">
        <v>6907</v>
      </c>
      <c r="CK2" t="s">
        <v>6908</v>
      </c>
      <c r="CL2" t="s">
        <v>6909</v>
      </c>
      <c r="CM2" t="s">
        <v>6910</v>
      </c>
      <c r="CN2" s="10" t="s">
        <v>6911</v>
      </c>
      <c r="CO2" t="s">
        <v>6912</v>
      </c>
      <c r="CP2" t="s">
        <v>6913</v>
      </c>
      <c r="CQ2" t="s">
        <v>6914</v>
      </c>
      <c r="CR2" t="s">
        <v>6915</v>
      </c>
      <c r="CS2" t="s">
        <v>6916</v>
      </c>
      <c r="CT2" t="s">
        <v>6917</v>
      </c>
      <c r="CU2" t="s">
        <v>6918</v>
      </c>
      <c r="CV2" t="s">
        <v>6919</v>
      </c>
      <c r="CW2" t="s">
        <v>6920</v>
      </c>
      <c r="CX2" t="s">
        <v>6921</v>
      </c>
      <c r="CY2" t="s">
        <v>6922</v>
      </c>
      <c r="CZ2" t="s">
        <v>6923</v>
      </c>
      <c r="DA2" t="s">
        <v>6924</v>
      </c>
      <c r="DB2" t="s">
        <v>6925</v>
      </c>
      <c r="DC2" t="s">
        <v>6926</v>
      </c>
      <c r="DD2" t="s">
        <v>6927</v>
      </c>
      <c r="DE2" t="s">
        <v>6928</v>
      </c>
      <c r="DF2" t="s">
        <v>6929</v>
      </c>
      <c r="DG2" t="s">
        <v>6930</v>
      </c>
      <c r="DH2" t="s">
        <v>6931</v>
      </c>
      <c r="DI2" t="s">
        <v>6932</v>
      </c>
    </row>
    <row r="3" spans="1:113">
      <c r="A3" t="s">
        <v>2</v>
      </c>
      <c r="C3" t="s">
        <v>2</v>
      </c>
      <c r="D3" t="s">
        <v>2</v>
      </c>
      <c r="E3" t="s">
        <v>2</v>
      </c>
      <c r="F3" t="s">
        <v>2</v>
      </c>
      <c r="G3" t="s">
        <v>202</v>
      </c>
      <c r="H3" t="s">
        <v>2</v>
      </c>
      <c r="I3" t="s">
        <v>200</v>
      </c>
      <c r="J3" t="s">
        <v>6933</v>
      </c>
      <c r="K3" s="6" t="s">
        <v>6934</v>
      </c>
      <c r="L3" s="6" t="s">
        <v>6935</v>
      </c>
      <c r="M3" s="6" t="s">
        <v>202</v>
      </c>
      <c r="N3" s="6" t="s">
        <v>202</v>
      </c>
      <c r="O3" s="6" t="s">
        <v>205</v>
      </c>
      <c r="P3" s="6" t="s">
        <v>205</v>
      </c>
      <c r="Q3" s="6" t="s">
        <v>205</v>
      </c>
      <c r="R3" s="6" t="s">
        <v>205</v>
      </c>
      <c r="S3" s="6" t="s">
        <v>200</v>
      </c>
      <c r="T3" s="6" t="s">
        <v>201</v>
      </c>
      <c r="U3" s="6" t="s">
        <v>201</v>
      </c>
      <c r="V3" s="6" t="s">
        <v>201</v>
      </c>
      <c r="W3" s="6" t="s">
        <v>200</v>
      </c>
      <c r="X3" s="6" t="s">
        <v>200</v>
      </c>
      <c r="Y3" t="s">
        <v>200</v>
      </c>
      <c r="Z3" t="s">
        <v>200</v>
      </c>
      <c r="AA3" s="6" t="s">
        <v>201</v>
      </c>
      <c r="AB3" t="s">
        <v>200</v>
      </c>
      <c r="AC3" t="s">
        <v>202</v>
      </c>
      <c r="AD3" t="s">
        <v>200</v>
      </c>
      <c r="AE3" t="s">
        <v>200</v>
      </c>
      <c r="AF3" t="s">
        <v>200</v>
      </c>
      <c r="AG3" t="s">
        <v>6936</v>
      </c>
      <c r="AH3" t="s">
        <v>200</v>
      </c>
      <c r="AI3" t="s">
        <v>207</v>
      </c>
      <c r="AJ3" t="s">
        <v>3</v>
      </c>
      <c r="AK3" t="s">
        <v>202</v>
      </c>
      <c r="AL3" t="s">
        <v>202</v>
      </c>
      <c r="AM3" t="s">
        <v>202</v>
      </c>
      <c r="AN3" t="s">
        <v>200</v>
      </c>
      <c r="AO3" t="s">
        <v>6937</v>
      </c>
      <c r="AP3" t="s">
        <v>6938</v>
      </c>
      <c r="AQ3" t="s">
        <v>2</v>
      </c>
      <c r="AR3" t="s">
        <v>2</v>
      </c>
      <c r="AS3" t="s">
        <v>2</v>
      </c>
      <c r="AT3" t="s">
        <v>6939</v>
      </c>
      <c r="AU3" t="s">
        <v>200</v>
      </c>
      <c r="AV3" t="s">
        <v>201</v>
      </c>
      <c r="AW3" s="7" t="s">
        <v>200</v>
      </c>
      <c r="AX3" t="s">
        <v>6940</v>
      </c>
      <c r="AY3" t="s">
        <v>200</v>
      </c>
      <c r="AZ3" t="s">
        <v>201</v>
      </c>
      <c r="BA3" t="s">
        <v>200</v>
      </c>
      <c r="BB3" t="s">
        <v>202</v>
      </c>
      <c r="BC3" t="s">
        <v>201</v>
      </c>
      <c r="BD3" t="s">
        <v>202</v>
      </c>
      <c r="BE3" t="s">
        <v>202</v>
      </c>
      <c r="BF3" t="s">
        <v>201</v>
      </c>
      <c r="BG3" t="s">
        <v>200</v>
      </c>
      <c r="BH3" t="s">
        <v>6939</v>
      </c>
      <c r="BI3" t="s">
        <v>200</v>
      </c>
      <c r="BJ3" t="s">
        <v>201</v>
      </c>
      <c r="BK3" t="s">
        <v>201</v>
      </c>
      <c r="BL3" t="s">
        <v>201</v>
      </c>
      <c r="BM3" t="s">
        <v>202</v>
      </c>
      <c r="BN3" t="s">
        <v>202</v>
      </c>
      <c r="BO3" s="8" t="s">
        <v>203</v>
      </c>
      <c r="BP3" s="8" t="s">
        <v>203</v>
      </c>
      <c r="BQ3" t="s">
        <v>6941</v>
      </c>
      <c r="BR3" t="s">
        <v>6942</v>
      </c>
      <c r="BS3" t="s">
        <v>201</v>
      </c>
      <c r="BT3" t="s">
        <v>201</v>
      </c>
      <c r="BU3" t="s">
        <v>200</v>
      </c>
      <c r="BV3" s="9" t="s">
        <v>201</v>
      </c>
      <c r="BW3" s="9" t="s">
        <v>201</v>
      </c>
      <c r="BX3" s="9" t="s">
        <v>202</v>
      </c>
      <c r="BY3" s="9" t="s">
        <v>6943</v>
      </c>
      <c r="BZ3" s="9" t="s">
        <v>200</v>
      </c>
      <c r="CA3" s="9" t="s">
        <v>6943</v>
      </c>
      <c r="CB3" t="s">
        <v>204</v>
      </c>
      <c r="CC3" t="s">
        <v>6944</v>
      </c>
      <c r="CD3" t="s">
        <v>204</v>
      </c>
      <c r="CE3" t="s">
        <v>204</v>
      </c>
      <c r="CF3" t="s">
        <v>204</v>
      </c>
      <c r="CG3" t="s">
        <v>6945</v>
      </c>
      <c r="CH3" t="s">
        <v>6946</v>
      </c>
      <c r="CI3" t="s">
        <v>2</v>
      </c>
      <c r="CJ3" t="s">
        <v>6947</v>
      </c>
      <c r="CK3" t="s">
        <v>6947</v>
      </c>
      <c r="CL3" t="s">
        <v>209</v>
      </c>
      <c r="CM3" t="s">
        <v>205</v>
      </c>
      <c r="CN3" s="10" t="s">
        <v>205</v>
      </c>
      <c r="CO3" t="s">
        <v>208</v>
      </c>
      <c r="CP3" t="s">
        <v>208</v>
      </c>
      <c r="CQ3" t="s">
        <v>208</v>
      </c>
      <c r="CR3" t="s">
        <v>6944</v>
      </c>
      <c r="CS3" t="s">
        <v>208</v>
      </c>
      <c r="CT3" t="s">
        <v>200</v>
      </c>
      <c r="CU3" t="s">
        <v>209</v>
      </c>
      <c r="CV3" t="s">
        <v>6948</v>
      </c>
      <c r="CW3" t="s">
        <v>6949</v>
      </c>
      <c r="CX3" t="s">
        <v>6949</v>
      </c>
      <c r="CY3" t="s">
        <v>6948</v>
      </c>
      <c r="CZ3" t="s">
        <v>6948</v>
      </c>
      <c r="DA3" t="s">
        <v>6948</v>
      </c>
      <c r="DB3" t="s">
        <v>6948</v>
      </c>
      <c r="DC3" t="s">
        <v>6948</v>
      </c>
      <c r="DD3" t="s">
        <v>200</v>
      </c>
      <c r="DE3" t="s">
        <v>200</v>
      </c>
      <c r="DF3" t="s">
        <v>200</v>
      </c>
      <c r="DG3" t="s">
        <v>200</v>
      </c>
      <c r="DH3" t="s">
        <v>200</v>
      </c>
      <c r="DI3" t="s">
        <v>200</v>
      </c>
    </row>
    <row r="4" s="4" customFormat="1" spans="1:92">
      <c r="A4" s="4" t="s">
        <v>6950</v>
      </c>
      <c r="AW4" s="7"/>
      <c r="BO4" s="8"/>
      <c r="BP4" s="8"/>
      <c r="CN4" s="10"/>
    </row>
    <row r="5" s="4" customFormat="1" spans="1:113">
      <c r="A5" t="s">
        <v>6951</v>
      </c>
      <c r="B5"/>
      <c r="C5" t="s">
        <v>6952</v>
      </c>
      <c r="D5"/>
      <c r="E5"/>
      <c r="F5"/>
      <c r="G5"/>
      <c r="H5"/>
      <c r="I5"/>
      <c r="J5"/>
      <c r="K5" s="6" t="s">
        <v>6953</v>
      </c>
      <c r="L5" s="6" t="s">
        <v>6954</v>
      </c>
      <c r="M5"/>
      <c r="N5"/>
      <c r="O5"/>
      <c r="P5"/>
      <c r="Q5"/>
      <c r="R5"/>
      <c r="S5"/>
      <c r="T5"/>
      <c r="U5"/>
      <c r="V5"/>
      <c r="W5"/>
      <c r="X5"/>
      <c r="Y5"/>
      <c r="Z5"/>
      <c r="AA5"/>
      <c r="AB5"/>
      <c r="AC5">
        <v>1</v>
      </c>
      <c r="AD5"/>
      <c r="AE5"/>
      <c r="AF5">
        <v>1</v>
      </c>
      <c r="AG5" t="s">
        <v>6955</v>
      </c>
      <c r="AH5"/>
      <c r="AI5"/>
      <c r="AJ5"/>
      <c r="AK5"/>
      <c r="AL5"/>
      <c r="AM5"/>
      <c r="AN5"/>
      <c r="AO5"/>
      <c r="AP5"/>
      <c r="AQ5"/>
      <c r="AR5"/>
      <c r="AS5"/>
      <c r="AT5"/>
      <c r="AU5"/>
      <c r="AV5"/>
      <c r="AW5" s="7"/>
      <c r="AX5" t="s">
        <v>6956</v>
      </c>
      <c r="AY5"/>
      <c r="AZ5">
        <v>1000</v>
      </c>
      <c r="BA5"/>
      <c r="BB5">
        <v>2</v>
      </c>
      <c r="BC5"/>
      <c r="BD5">
        <v>1</v>
      </c>
      <c r="BE5"/>
      <c r="BF5"/>
      <c r="BG5"/>
      <c r="BH5"/>
      <c r="BI5"/>
      <c r="BJ5"/>
      <c r="BK5"/>
      <c r="BL5"/>
      <c r="BM5"/>
      <c r="BN5"/>
      <c r="BO5" s="8"/>
      <c r="BP5" s="8"/>
      <c r="BQ5"/>
      <c r="BR5"/>
      <c r="BS5">
        <v>10</v>
      </c>
      <c r="BT5"/>
      <c r="BU5"/>
      <c r="BV5"/>
      <c r="BW5"/>
      <c r="BX5"/>
      <c r="BY5" s="9"/>
      <c r="BZ5"/>
      <c r="CA5"/>
      <c r="CB5"/>
      <c r="CC5"/>
      <c r="CD5"/>
      <c r="CE5"/>
      <c r="CF5"/>
      <c r="CG5"/>
      <c r="CH5"/>
      <c r="CI5"/>
      <c r="CJ5"/>
      <c r="CK5"/>
      <c r="CL5"/>
      <c r="CM5"/>
      <c r="CN5" s="10" t="s">
        <v>6957</v>
      </c>
      <c r="CO5"/>
      <c r="CP5"/>
      <c r="CQ5"/>
      <c r="CR5">
        <v>10</v>
      </c>
      <c r="CS5"/>
      <c r="CT5"/>
      <c r="CU5" t="s">
        <v>6958</v>
      </c>
      <c r="CV5"/>
      <c r="CW5"/>
      <c r="CX5"/>
      <c r="CY5"/>
      <c r="CZ5"/>
      <c r="DA5"/>
      <c r="DB5"/>
      <c r="DC5"/>
      <c r="DD5"/>
      <c r="DE5"/>
      <c r="DF5"/>
      <c r="DG5"/>
      <c r="DH5"/>
      <c r="DI5"/>
    </row>
    <row r="6" s="4" customFormat="1" spans="1:113">
      <c r="A6" t="s">
        <v>6959</v>
      </c>
      <c r="B6"/>
      <c r="C6" t="s">
        <v>6952</v>
      </c>
      <c r="D6"/>
      <c r="E6"/>
      <c r="F6"/>
      <c r="G6"/>
      <c r="H6"/>
      <c r="I6"/>
      <c r="J6"/>
      <c r="K6" s="6" t="s">
        <v>6953</v>
      </c>
      <c r="L6" s="6" t="s">
        <v>6954</v>
      </c>
      <c r="M6"/>
      <c r="N6"/>
      <c r="O6"/>
      <c r="P6"/>
      <c r="Q6"/>
      <c r="R6"/>
      <c r="S6"/>
      <c r="T6"/>
      <c r="U6"/>
      <c r="V6"/>
      <c r="W6"/>
      <c r="X6"/>
      <c r="Y6"/>
      <c r="Z6"/>
      <c r="AA6"/>
      <c r="AB6"/>
      <c r="AC6">
        <v>2</v>
      </c>
      <c r="AD6"/>
      <c r="AE6"/>
      <c r="AF6">
        <v>1</v>
      </c>
      <c r="AG6" t="s">
        <v>6955</v>
      </c>
      <c r="AH6"/>
      <c r="AI6"/>
      <c r="AJ6"/>
      <c r="AK6"/>
      <c r="AL6"/>
      <c r="AM6"/>
      <c r="AN6"/>
      <c r="AO6"/>
      <c r="AP6"/>
      <c r="AQ6"/>
      <c r="AR6"/>
      <c r="AS6"/>
      <c r="AT6"/>
      <c r="AU6"/>
      <c r="AV6"/>
      <c r="AW6" s="7"/>
      <c r="AX6" t="s">
        <v>6956</v>
      </c>
      <c r="AY6"/>
      <c r="AZ6">
        <v>6000</v>
      </c>
      <c r="BA6"/>
      <c r="BB6">
        <v>2</v>
      </c>
      <c r="BC6"/>
      <c r="BD6">
        <v>1</v>
      </c>
      <c r="BE6"/>
      <c r="BF6"/>
      <c r="BG6"/>
      <c r="BH6"/>
      <c r="BI6"/>
      <c r="BJ6"/>
      <c r="BK6"/>
      <c r="BL6"/>
      <c r="BM6"/>
      <c r="BN6"/>
      <c r="BO6" s="8"/>
      <c r="BP6" s="8"/>
      <c r="BQ6"/>
      <c r="BR6"/>
      <c r="BS6">
        <v>10</v>
      </c>
      <c r="BT6"/>
      <c r="BU6"/>
      <c r="BV6"/>
      <c r="BW6"/>
      <c r="BX6"/>
      <c r="BY6" s="9"/>
      <c r="BZ6"/>
      <c r="CA6"/>
      <c r="CB6"/>
      <c r="CC6"/>
      <c r="CD6"/>
      <c r="CE6"/>
      <c r="CF6"/>
      <c r="CG6"/>
      <c r="CH6"/>
      <c r="CI6"/>
      <c r="CJ6"/>
      <c r="CK6"/>
      <c r="CL6"/>
      <c r="CM6"/>
      <c r="CN6" s="10" t="s">
        <v>6960</v>
      </c>
      <c r="CO6"/>
      <c r="CP6"/>
      <c r="CQ6"/>
      <c r="CR6"/>
      <c r="CS6"/>
      <c r="CT6"/>
      <c r="CU6" t="s">
        <v>6958</v>
      </c>
      <c r="CV6"/>
      <c r="CW6"/>
      <c r="CX6"/>
      <c r="CY6"/>
      <c r="CZ6"/>
      <c r="DA6"/>
      <c r="DB6"/>
      <c r="DC6"/>
      <c r="DD6"/>
      <c r="DE6"/>
      <c r="DF6"/>
      <c r="DG6"/>
      <c r="DH6"/>
      <c r="DI6"/>
    </row>
    <row r="7" s="4" customFormat="1" spans="1:113">
      <c r="A7" t="s">
        <v>6961</v>
      </c>
      <c r="B7"/>
      <c r="C7" t="s">
        <v>6952</v>
      </c>
      <c r="D7"/>
      <c r="E7"/>
      <c r="F7"/>
      <c r="G7"/>
      <c r="H7"/>
      <c r="I7"/>
      <c r="J7"/>
      <c r="K7" s="6" t="s">
        <v>6953</v>
      </c>
      <c r="L7" s="6" t="s">
        <v>6954</v>
      </c>
      <c r="M7"/>
      <c r="N7"/>
      <c r="O7"/>
      <c r="P7"/>
      <c r="Q7"/>
      <c r="R7"/>
      <c r="S7"/>
      <c r="T7"/>
      <c r="U7"/>
      <c r="V7"/>
      <c r="W7"/>
      <c r="X7"/>
      <c r="Y7"/>
      <c r="Z7"/>
      <c r="AA7"/>
      <c r="AB7"/>
      <c r="AC7">
        <v>2</v>
      </c>
      <c r="AD7"/>
      <c r="AE7"/>
      <c r="AF7">
        <v>1</v>
      </c>
      <c r="AG7" t="s">
        <v>6955</v>
      </c>
      <c r="AH7"/>
      <c r="AI7"/>
      <c r="AJ7"/>
      <c r="AK7"/>
      <c r="AL7"/>
      <c r="AM7"/>
      <c r="AN7"/>
      <c r="AO7"/>
      <c r="AP7"/>
      <c r="AQ7"/>
      <c r="AR7"/>
      <c r="AS7"/>
      <c r="AT7"/>
      <c r="AU7"/>
      <c r="AV7"/>
      <c r="AW7" s="7"/>
      <c r="AX7" t="s">
        <v>6956</v>
      </c>
      <c r="AY7"/>
      <c r="AZ7" s="13">
        <v>7000</v>
      </c>
      <c r="BA7"/>
      <c r="BB7">
        <v>2</v>
      </c>
      <c r="BC7"/>
      <c r="BD7">
        <v>1</v>
      </c>
      <c r="BE7"/>
      <c r="BF7"/>
      <c r="BG7"/>
      <c r="BH7"/>
      <c r="BI7"/>
      <c r="BJ7"/>
      <c r="BK7"/>
      <c r="BL7"/>
      <c r="BM7"/>
      <c r="BN7"/>
      <c r="BO7" s="8"/>
      <c r="BP7" s="8"/>
      <c r="BQ7"/>
      <c r="BR7"/>
      <c r="BS7">
        <v>10</v>
      </c>
      <c r="BT7"/>
      <c r="BU7"/>
      <c r="BV7"/>
      <c r="BW7"/>
      <c r="BX7"/>
      <c r="BY7" s="9"/>
      <c r="BZ7"/>
      <c r="CA7"/>
      <c r="CB7"/>
      <c r="CC7"/>
      <c r="CD7"/>
      <c r="CE7"/>
      <c r="CF7"/>
      <c r="CG7"/>
      <c r="CH7"/>
      <c r="CI7"/>
      <c r="CJ7"/>
      <c r="CK7"/>
      <c r="CL7"/>
      <c r="CM7"/>
      <c r="CN7" s="10" t="s">
        <v>6962</v>
      </c>
      <c r="CO7">
        <v>-20</v>
      </c>
      <c r="CP7"/>
      <c r="CQ7"/>
      <c r="CR7"/>
      <c r="CS7"/>
      <c r="CT7"/>
      <c r="CU7" t="s">
        <v>6963</v>
      </c>
      <c r="CV7"/>
      <c r="CW7"/>
      <c r="CX7"/>
      <c r="CY7"/>
      <c r="CZ7"/>
      <c r="DA7"/>
      <c r="DB7"/>
      <c r="DC7"/>
      <c r="DD7"/>
      <c r="DE7"/>
      <c r="DF7"/>
      <c r="DG7"/>
      <c r="DH7"/>
      <c r="DI7"/>
    </row>
    <row r="8" s="4" customFormat="1" spans="1:113">
      <c r="A8" t="s">
        <v>6964</v>
      </c>
      <c r="B8"/>
      <c r="C8" t="s">
        <v>6952</v>
      </c>
      <c r="D8"/>
      <c r="E8"/>
      <c r="F8"/>
      <c r="G8"/>
      <c r="H8"/>
      <c r="I8"/>
      <c r="J8"/>
      <c r="K8" s="6" t="s">
        <v>6953</v>
      </c>
      <c r="L8" s="6" t="s">
        <v>6954</v>
      </c>
      <c r="M8"/>
      <c r="N8"/>
      <c r="O8"/>
      <c r="P8"/>
      <c r="Q8"/>
      <c r="R8"/>
      <c r="S8"/>
      <c r="T8"/>
      <c r="U8"/>
      <c r="V8"/>
      <c r="W8"/>
      <c r="X8"/>
      <c r="Y8"/>
      <c r="Z8"/>
      <c r="AA8"/>
      <c r="AB8"/>
      <c r="AC8">
        <v>2</v>
      </c>
      <c r="AD8">
        <v>1</v>
      </c>
      <c r="AE8"/>
      <c r="AF8">
        <v>1</v>
      </c>
      <c r="AG8" t="s">
        <v>6955</v>
      </c>
      <c r="AH8"/>
      <c r="AI8"/>
      <c r="AJ8"/>
      <c r="AK8"/>
      <c r="AL8"/>
      <c r="AM8"/>
      <c r="AN8"/>
      <c r="AO8"/>
      <c r="AP8"/>
      <c r="AQ8"/>
      <c r="AR8"/>
      <c r="AS8"/>
      <c r="AT8"/>
      <c r="AU8"/>
      <c r="AV8"/>
      <c r="AW8" s="14"/>
      <c r="AX8" t="s">
        <v>6956</v>
      </c>
      <c r="AY8"/>
      <c r="AZ8" s="13">
        <v>800</v>
      </c>
      <c r="BA8"/>
      <c r="BB8">
        <v>2</v>
      </c>
      <c r="BC8"/>
      <c r="BD8">
        <v>1</v>
      </c>
      <c r="BE8"/>
      <c r="BF8"/>
      <c r="BG8"/>
      <c r="BH8"/>
      <c r="BI8"/>
      <c r="BJ8"/>
      <c r="BK8"/>
      <c r="BL8"/>
      <c r="BM8"/>
      <c r="BN8"/>
      <c r="BO8" s="8"/>
      <c r="BP8" s="8"/>
      <c r="BQ8"/>
      <c r="BR8"/>
      <c r="BS8">
        <v>15</v>
      </c>
      <c r="BT8"/>
      <c r="BU8"/>
      <c r="BV8"/>
      <c r="BW8"/>
      <c r="BX8"/>
      <c r="BY8" s="9"/>
      <c r="BZ8"/>
      <c r="CA8"/>
      <c r="CB8"/>
      <c r="CC8"/>
      <c r="CD8"/>
      <c r="CE8"/>
      <c r="CF8"/>
      <c r="CG8"/>
      <c r="CH8"/>
      <c r="CI8"/>
      <c r="CJ8"/>
      <c r="CK8"/>
      <c r="CL8"/>
      <c r="CM8"/>
      <c r="CN8" t="s">
        <v>6965</v>
      </c>
      <c r="CO8">
        <v>800</v>
      </c>
      <c r="CP8">
        <v>-0.5</v>
      </c>
      <c r="CQ8"/>
      <c r="CR8">
        <v>15</v>
      </c>
      <c r="CS8"/>
      <c r="CT8"/>
      <c r="CU8" t="s">
        <v>6966</v>
      </c>
      <c r="CV8"/>
      <c r="CW8"/>
      <c r="CX8"/>
      <c r="CY8"/>
      <c r="CZ8"/>
      <c r="DA8"/>
      <c r="DB8"/>
      <c r="DC8"/>
      <c r="DD8"/>
      <c r="DE8"/>
      <c r="DF8"/>
      <c r="DG8"/>
      <c r="DH8"/>
      <c r="DI8"/>
    </row>
    <row r="9" s="4" customFormat="1" spans="1:113">
      <c r="A9"/>
      <c r="B9"/>
      <c r="C9"/>
      <c r="D9"/>
      <c r="E9"/>
      <c r="F9"/>
      <c r="G9"/>
      <c r="H9"/>
      <c r="I9"/>
      <c r="J9"/>
      <c r="K9" s="6"/>
      <c r="L9"/>
      <c r="M9"/>
      <c r="N9"/>
      <c r="O9"/>
      <c r="P9"/>
      <c r="Q9"/>
      <c r="R9"/>
      <c r="S9"/>
      <c r="T9"/>
      <c r="U9"/>
      <c r="V9"/>
      <c r="W9"/>
      <c r="X9"/>
      <c r="Y9"/>
      <c r="Z9"/>
      <c r="AA9"/>
      <c r="AB9"/>
      <c r="AC9"/>
      <c r="AD9"/>
      <c r="AE9"/>
      <c r="AF9"/>
      <c r="AG9"/>
      <c r="AH9"/>
      <c r="AI9"/>
      <c r="AJ9"/>
      <c r="AK9"/>
      <c r="AL9"/>
      <c r="AM9"/>
      <c r="AN9"/>
      <c r="AO9"/>
      <c r="AP9"/>
      <c r="AQ9"/>
      <c r="AR9"/>
      <c r="AS9"/>
      <c r="AT9"/>
      <c r="AU9"/>
      <c r="AV9"/>
      <c r="AW9" s="7"/>
      <c r="AX9"/>
      <c r="AY9"/>
      <c r="AZ9"/>
      <c r="BA9"/>
      <c r="BB9"/>
      <c r="BC9"/>
      <c r="BD9"/>
      <c r="BE9"/>
      <c r="BF9"/>
      <c r="BG9"/>
      <c r="BH9"/>
      <c r="BI9"/>
      <c r="BJ9"/>
      <c r="BK9"/>
      <c r="BL9"/>
      <c r="BM9"/>
      <c r="BN9"/>
      <c r="BO9" s="8"/>
      <c r="BP9" s="8"/>
      <c r="BQ9"/>
      <c r="BR9"/>
      <c r="BS9"/>
      <c r="BT9"/>
      <c r="BU9"/>
      <c r="BV9"/>
      <c r="BW9"/>
      <c r="BX9"/>
      <c r="BY9"/>
      <c r="BZ9"/>
      <c r="CA9"/>
      <c r="CB9"/>
      <c r="CC9"/>
      <c r="CD9"/>
      <c r="CE9"/>
      <c r="CF9"/>
      <c r="CG9"/>
      <c r="CH9"/>
      <c r="CI9"/>
      <c r="CJ9"/>
      <c r="CK9"/>
      <c r="CL9"/>
      <c r="CM9"/>
      <c r="CN9" s="10"/>
      <c r="CO9"/>
      <c r="CP9"/>
      <c r="CQ9"/>
      <c r="CR9"/>
      <c r="CS9"/>
      <c r="CT9"/>
      <c r="CU9"/>
      <c r="CV9"/>
      <c r="CW9"/>
      <c r="CX9"/>
      <c r="CY9"/>
      <c r="CZ9"/>
      <c r="DA9"/>
      <c r="DB9"/>
      <c r="DC9"/>
      <c r="DD9"/>
      <c r="DE9"/>
      <c r="DF9"/>
      <c r="DG9"/>
      <c r="DH9"/>
      <c r="DI9"/>
    </row>
    <row r="10" spans="1:96">
      <c r="A10" t="s">
        <v>6967</v>
      </c>
      <c r="C10" t="s">
        <v>6968</v>
      </c>
      <c r="K10" s="6" t="s">
        <v>6953</v>
      </c>
      <c r="L10" s="6" t="s">
        <v>6969</v>
      </c>
      <c r="AC10">
        <v>1</v>
      </c>
      <c r="AG10" t="s">
        <v>6955</v>
      </c>
      <c r="BD10">
        <v>1</v>
      </c>
      <c r="CN10" s="10" t="s">
        <v>6970</v>
      </c>
      <c r="CR10">
        <v>99999</v>
      </c>
    </row>
    <row r="11" spans="49:68">
      <c r="AW11"/>
      <c r="BO11"/>
      <c r="BP11"/>
    </row>
    <row r="12" spans="1:96">
      <c r="A12" t="s">
        <v>6971</v>
      </c>
      <c r="C12" t="s">
        <v>6968</v>
      </c>
      <c r="K12" s="6" t="s">
        <v>6953</v>
      </c>
      <c r="L12" s="6" t="s">
        <v>6972</v>
      </c>
      <c r="AC12">
        <v>1</v>
      </c>
      <c r="AG12" t="s">
        <v>6955</v>
      </c>
      <c r="AH12">
        <v>1</v>
      </c>
      <c r="AW12"/>
      <c r="AY12" s="6"/>
      <c r="BD12">
        <v>1</v>
      </c>
      <c r="BO12"/>
      <c r="BP12"/>
      <c r="BV12"/>
      <c r="BW12"/>
      <c r="BX12"/>
      <c r="BY12"/>
      <c r="BZ12"/>
      <c r="CA12"/>
      <c r="CB12" s="6"/>
      <c r="CC12" s="6"/>
      <c r="CD12" s="6"/>
      <c r="CE12" s="6"/>
      <c r="CF12" s="6"/>
      <c r="CH12" s="6"/>
      <c r="CI12" s="6"/>
      <c r="CJ12" s="6"/>
      <c r="CK12" s="6"/>
      <c r="CL12" s="6"/>
      <c r="CM12" s="6"/>
      <c r="CN12" t="s">
        <v>6973</v>
      </c>
      <c r="CO12">
        <v>0.08</v>
      </c>
      <c r="CR12">
        <v>99999</v>
      </c>
    </row>
    <row r="13" spans="1:96">
      <c r="A13" t="s">
        <v>6974</v>
      </c>
      <c r="C13" t="s">
        <v>6968</v>
      </c>
      <c r="K13" s="6" t="s">
        <v>6953</v>
      </c>
      <c r="L13" s="6" t="s">
        <v>6972</v>
      </c>
      <c r="AC13">
        <v>1</v>
      </c>
      <c r="AG13" t="s">
        <v>6955</v>
      </c>
      <c r="AH13">
        <v>1</v>
      </c>
      <c r="AY13" s="6"/>
      <c r="BD13">
        <v>1</v>
      </c>
      <c r="BV13"/>
      <c r="BW13"/>
      <c r="BX13"/>
      <c r="BY13"/>
      <c r="BZ13"/>
      <c r="CA13"/>
      <c r="CB13" s="6"/>
      <c r="CC13" s="6"/>
      <c r="CD13" s="6"/>
      <c r="CE13" s="6"/>
      <c r="CF13" s="6"/>
      <c r="CH13" s="6"/>
      <c r="CI13" s="6"/>
      <c r="CJ13" s="6"/>
      <c r="CK13" s="6"/>
      <c r="CL13" s="6"/>
      <c r="CM13" s="6"/>
      <c r="CN13" s="10" t="s">
        <v>6975</v>
      </c>
      <c r="CO13">
        <v>0.12</v>
      </c>
      <c r="CR13">
        <v>99999</v>
      </c>
    </row>
    <row r="14" spans="1:96">
      <c r="A14" t="s">
        <v>6976</v>
      </c>
      <c r="C14" t="s">
        <v>6968</v>
      </c>
      <c r="K14" s="6" t="s">
        <v>6953</v>
      </c>
      <c r="L14" s="6" t="s">
        <v>6972</v>
      </c>
      <c r="AC14">
        <v>1</v>
      </c>
      <c r="AG14" t="s">
        <v>6955</v>
      </c>
      <c r="AH14">
        <v>1</v>
      </c>
      <c r="AY14" s="6"/>
      <c r="BD14">
        <v>1</v>
      </c>
      <c r="BV14"/>
      <c r="BW14"/>
      <c r="BX14"/>
      <c r="BY14"/>
      <c r="BZ14"/>
      <c r="CA14"/>
      <c r="CB14" s="6"/>
      <c r="CC14" s="6"/>
      <c r="CD14" s="6"/>
      <c r="CE14" s="6"/>
      <c r="CF14" s="6"/>
      <c r="CH14" s="6"/>
      <c r="CI14" s="6"/>
      <c r="CJ14" s="6"/>
      <c r="CK14" s="6"/>
      <c r="CL14" s="6"/>
      <c r="CM14" s="6"/>
      <c r="CN14" s="10" t="s">
        <v>6977</v>
      </c>
      <c r="CO14">
        <v>0.1</v>
      </c>
      <c r="CR14">
        <v>99999</v>
      </c>
    </row>
    <row r="15" spans="1:96">
      <c r="A15" t="s">
        <v>6978</v>
      </c>
      <c r="C15" t="s">
        <v>6968</v>
      </c>
      <c r="K15" s="6" t="s">
        <v>6953</v>
      </c>
      <c r="L15" s="6" t="s">
        <v>6972</v>
      </c>
      <c r="AC15">
        <v>1</v>
      </c>
      <c r="AG15" t="s">
        <v>6955</v>
      </c>
      <c r="AW15"/>
      <c r="AY15" s="6"/>
      <c r="BD15">
        <v>1</v>
      </c>
      <c r="BO15"/>
      <c r="BP15"/>
      <c r="BW15"/>
      <c r="BX15"/>
      <c r="BY15"/>
      <c r="BZ15"/>
      <c r="CA15"/>
      <c r="CB15" s="6"/>
      <c r="CC15" s="6"/>
      <c r="CD15" s="6"/>
      <c r="CE15" s="6"/>
      <c r="CF15" s="6"/>
      <c r="CH15" s="6"/>
      <c r="CI15" s="6"/>
      <c r="CJ15" s="6"/>
      <c r="CK15" s="6"/>
      <c r="CM15" s="6"/>
      <c r="CN15" t="s">
        <v>6979</v>
      </c>
      <c r="CO15">
        <v>-1</v>
      </c>
      <c r="CR15">
        <v>99999</v>
      </c>
    </row>
    <row r="16" spans="1:96">
      <c r="A16" t="s">
        <v>6980</v>
      </c>
      <c r="C16" t="s">
        <v>6968</v>
      </c>
      <c r="K16" s="6" t="s">
        <v>6953</v>
      </c>
      <c r="L16" s="6" t="s">
        <v>6972</v>
      </c>
      <c r="AC16">
        <v>1</v>
      </c>
      <c r="AG16" t="s">
        <v>6955</v>
      </c>
      <c r="AH16">
        <v>1</v>
      </c>
      <c r="AY16" s="6"/>
      <c r="BD16">
        <v>1</v>
      </c>
      <c r="BV16"/>
      <c r="BW16"/>
      <c r="BX16"/>
      <c r="BY16"/>
      <c r="BZ16"/>
      <c r="CA16"/>
      <c r="CB16" s="6"/>
      <c r="CC16" s="6"/>
      <c r="CD16" s="6"/>
      <c r="CE16" s="6"/>
      <c r="CF16" s="6"/>
      <c r="CH16" s="6"/>
      <c r="CI16" s="6"/>
      <c r="CJ16" s="6"/>
      <c r="CK16" s="6"/>
      <c r="CL16" s="6"/>
      <c r="CM16" s="6"/>
      <c r="CN16" s="10" t="s">
        <v>6981</v>
      </c>
      <c r="CO16">
        <v>0.08</v>
      </c>
      <c r="CP16">
        <v>0.08</v>
      </c>
      <c r="CR16">
        <v>99999</v>
      </c>
    </row>
    <row r="18" spans="1:96">
      <c r="A18" t="s">
        <v>383</v>
      </c>
      <c r="C18" t="s">
        <v>6968</v>
      </c>
      <c r="D18" t="s">
        <v>6982</v>
      </c>
      <c r="E18" t="s">
        <v>6983</v>
      </c>
      <c r="F18" t="s">
        <v>6984</v>
      </c>
      <c r="J18" t="s">
        <v>6985</v>
      </c>
      <c r="K18" s="6" t="s">
        <v>6986</v>
      </c>
      <c r="AC18">
        <v>1</v>
      </c>
      <c r="AY18" s="6"/>
      <c r="BD18">
        <v>1</v>
      </c>
      <c r="BT18">
        <v>20</v>
      </c>
      <c r="BV18" s="9">
        <v>0</v>
      </c>
      <c r="BW18" s="9">
        <v>40</v>
      </c>
      <c r="BX18" s="9">
        <v>1</v>
      </c>
      <c r="BY18" s="9" t="s">
        <v>6987</v>
      </c>
      <c r="CB18" s="6"/>
      <c r="CC18" s="6"/>
      <c r="CD18" s="6"/>
      <c r="CE18" s="6"/>
      <c r="CF18" s="6"/>
      <c r="CH18" s="6"/>
      <c r="CI18" s="6"/>
      <c r="CJ18" s="6"/>
      <c r="CK18" s="6"/>
      <c r="CL18" s="6"/>
      <c r="CM18" s="6"/>
      <c r="CN18" s="10" t="s">
        <v>6988</v>
      </c>
      <c r="CO18">
        <v>0.5</v>
      </c>
      <c r="CR18">
        <v>20</v>
      </c>
    </row>
    <row r="19" spans="1:96">
      <c r="A19" t="s">
        <v>6989</v>
      </c>
      <c r="C19" t="s">
        <v>6968</v>
      </c>
      <c r="D19" t="s">
        <v>6990</v>
      </c>
      <c r="E19" t="s">
        <v>6991</v>
      </c>
      <c r="F19" t="s">
        <v>6992</v>
      </c>
      <c r="G19">
        <v>3</v>
      </c>
      <c r="J19" t="s">
        <v>6985</v>
      </c>
      <c r="K19" s="6" t="s">
        <v>6986</v>
      </c>
      <c r="AC19">
        <v>1</v>
      </c>
      <c r="AY19" s="6"/>
      <c r="BD19">
        <v>1</v>
      </c>
      <c r="BT19">
        <v>25</v>
      </c>
      <c r="BV19" s="9">
        <v>10</v>
      </c>
      <c r="BW19" s="9">
        <v>35</v>
      </c>
      <c r="BX19" s="9">
        <v>1</v>
      </c>
      <c r="BY19" s="9" t="s">
        <v>6987</v>
      </c>
      <c r="CB19" s="6"/>
      <c r="CC19" s="6"/>
      <c r="CD19" s="6"/>
      <c r="CE19" s="6"/>
      <c r="CF19" s="6"/>
      <c r="CH19" s="6"/>
      <c r="CI19" s="6"/>
      <c r="CJ19" s="6"/>
      <c r="CK19" s="6"/>
      <c r="CL19" s="6"/>
      <c r="CM19" s="6"/>
      <c r="CN19" s="10" t="s">
        <v>6988</v>
      </c>
      <c r="CO19">
        <v>0.8</v>
      </c>
      <c r="CR19">
        <v>25</v>
      </c>
    </row>
    <row r="20" spans="1:96">
      <c r="A20" t="s">
        <v>6993</v>
      </c>
      <c r="C20" t="s">
        <v>6968</v>
      </c>
      <c r="D20" t="s">
        <v>6994</v>
      </c>
      <c r="E20" t="s">
        <v>6995</v>
      </c>
      <c r="F20" t="s">
        <v>6996</v>
      </c>
      <c r="G20">
        <v>3</v>
      </c>
      <c r="J20" t="s">
        <v>6985</v>
      </c>
      <c r="K20" s="6" t="s">
        <v>6986</v>
      </c>
      <c r="AC20">
        <v>1</v>
      </c>
      <c r="AY20" s="6"/>
      <c r="BD20">
        <v>1</v>
      </c>
      <c r="BT20">
        <v>30</v>
      </c>
      <c r="BV20" s="9">
        <v>15</v>
      </c>
      <c r="BW20" s="9">
        <v>30</v>
      </c>
      <c r="BX20" s="9">
        <v>1</v>
      </c>
      <c r="BY20" s="9" t="s">
        <v>6987</v>
      </c>
      <c r="CB20" s="6"/>
      <c r="CC20" s="6"/>
      <c r="CD20" s="6"/>
      <c r="CE20" s="6"/>
      <c r="CF20" s="6"/>
      <c r="CH20" s="6"/>
      <c r="CI20" s="6"/>
      <c r="CJ20" s="6"/>
      <c r="CK20" s="6"/>
      <c r="CL20" s="6"/>
      <c r="CM20" s="6"/>
      <c r="CN20" s="10" t="s">
        <v>6988</v>
      </c>
      <c r="CO20">
        <v>1</v>
      </c>
      <c r="CR20">
        <v>30</v>
      </c>
    </row>
    <row r="21" spans="1:96">
      <c r="A21" t="s">
        <v>428</v>
      </c>
      <c r="C21" t="s">
        <v>6968</v>
      </c>
      <c r="D21" t="s">
        <v>6997</v>
      </c>
      <c r="E21" t="s">
        <v>6998</v>
      </c>
      <c r="F21" t="s">
        <v>6999</v>
      </c>
      <c r="J21" t="s">
        <v>6985</v>
      </c>
      <c r="K21" s="6" t="s">
        <v>6986</v>
      </c>
      <c r="AC21">
        <v>1</v>
      </c>
      <c r="AY21" s="6"/>
      <c r="BD21">
        <v>1</v>
      </c>
      <c r="BT21">
        <v>20</v>
      </c>
      <c r="BV21" s="9">
        <v>0</v>
      </c>
      <c r="BW21" s="9">
        <v>40</v>
      </c>
      <c r="BX21" s="9">
        <v>1</v>
      </c>
      <c r="BY21" s="9" t="s">
        <v>6987</v>
      </c>
      <c r="CB21" s="6"/>
      <c r="CC21" s="6"/>
      <c r="CD21" s="6"/>
      <c r="CE21" s="6"/>
      <c r="CF21" s="6"/>
      <c r="CH21" s="6"/>
      <c r="CI21" s="6"/>
      <c r="CJ21" s="6"/>
      <c r="CK21" s="6"/>
      <c r="CL21" s="6"/>
      <c r="CM21" s="6"/>
      <c r="CN21" s="10" t="s">
        <v>7000</v>
      </c>
      <c r="CO21">
        <v>50</v>
      </c>
      <c r="CR21">
        <v>20</v>
      </c>
    </row>
    <row r="22" spans="1:96">
      <c r="A22" t="s">
        <v>7001</v>
      </c>
      <c r="C22" t="s">
        <v>6968</v>
      </c>
      <c r="D22" t="s">
        <v>7002</v>
      </c>
      <c r="E22" t="s">
        <v>7003</v>
      </c>
      <c r="F22" t="s">
        <v>7004</v>
      </c>
      <c r="G22">
        <v>3</v>
      </c>
      <c r="J22" t="s">
        <v>6985</v>
      </c>
      <c r="K22" s="6" t="s">
        <v>6986</v>
      </c>
      <c r="AC22">
        <v>1</v>
      </c>
      <c r="AY22" s="6"/>
      <c r="BD22">
        <v>1</v>
      </c>
      <c r="BT22">
        <v>25</v>
      </c>
      <c r="BV22" s="9">
        <v>10</v>
      </c>
      <c r="BW22" s="9">
        <v>35</v>
      </c>
      <c r="BX22" s="9">
        <v>1</v>
      </c>
      <c r="BY22" s="9" t="s">
        <v>6987</v>
      </c>
      <c r="CB22" s="6"/>
      <c r="CC22" s="6"/>
      <c r="CD22" s="6"/>
      <c r="CE22" s="6"/>
      <c r="CF22" s="6"/>
      <c r="CH22" s="6"/>
      <c r="CI22" s="6"/>
      <c r="CJ22" s="6"/>
      <c r="CK22" s="6"/>
      <c r="CL22" s="6"/>
      <c r="CM22" s="6"/>
      <c r="CN22" s="10" t="s">
        <v>7000</v>
      </c>
      <c r="CO22">
        <v>75</v>
      </c>
      <c r="CR22">
        <v>25</v>
      </c>
    </row>
    <row r="23" spans="1:96">
      <c r="A23" t="s">
        <v>7005</v>
      </c>
      <c r="C23" t="s">
        <v>6968</v>
      </c>
      <c r="D23" t="s">
        <v>7006</v>
      </c>
      <c r="E23" t="s">
        <v>7007</v>
      </c>
      <c r="F23" t="s">
        <v>7008</v>
      </c>
      <c r="G23">
        <v>3</v>
      </c>
      <c r="J23" t="s">
        <v>6985</v>
      </c>
      <c r="K23" s="6" t="s">
        <v>6986</v>
      </c>
      <c r="AC23">
        <v>1</v>
      </c>
      <c r="AY23" s="6"/>
      <c r="BD23">
        <v>1</v>
      </c>
      <c r="BT23">
        <v>30</v>
      </c>
      <c r="BV23" s="9">
        <v>15</v>
      </c>
      <c r="BW23" s="9">
        <v>30</v>
      </c>
      <c r="BX23" s="9">
        <v>1</v>
      </c>
      <c r="BY23" s="9" t="s">
        <v>6987</v>
      </c>
      <c r="CB23" s="6"/>
      <c r="CC23" s="6"/>
      <c r="CD23" s="6"/>
      <c r="CE23" s="6"/>
      <c r="CF23" s="6"/>
      <c r="CH23" s="6"/>
      <c r="CI23" s="6"/>
      <c r="CJ23" s="6"/>
      <c r="CK23" s="6"/>
      <c r="CL23" s="6"/>
      <c r="CM23" s="6"/>
      <c r="CN23" s="10" t="s">
        <v>7009</v>
      </c>
      <c r="CO23">
        <v>90</v>
      </c>
      <c r="CR23">
        <v>30</v>
      </c>
    </row>
    <row r="24" spans="1:96">
      <c r="A24" t="s">
        <v>404</v>
      </c>
      <c r="C24" t="s">
        <v>6968</v>
      </c>
      <c r="D24" t="s">
        <v>7010</v>
      </c>
      <c r="E24" t="s">
        <v>7011</v>
      </c>
      <c r="F24" t="s">
        <v>7012</v>
      </c>
      <c r="J24" t="s">
        <v>6985</v>
      </c>
      <c r="K24" s="6" t="s">
        <v>6986</v>
      </c>
      <c r="AC24">
        <v>1</v>
      </c>
      <c r="AW24"/>
      <c r="AY24" s="6"/>
      <c r="BD24">
        <v>1</v>
      </c>
      <c r="BO24"/>
      <c r="BP24"/>
      <c r="BT24">
        <v>25</v>
      </c>
      <c r="BV24" s="9">
        <v>0</v>
      </c>
      <c r="BW24" s="9">
        <v>45</v>
      </c>
      <c r="BX24" s="9">
        <v>1</v>
      </c>
      <c r="BY24" s="9" t="s">
        <v>6987</v>
      </c>
      <c r="CB24" s="6"/>
      <c r="CC24" s="6"/>
      <c r="CD24" s="6"/>
      <c r="CE24" s="6"/>
      <c r="CF24" s="6"/>
      <c r="CH24" s="6"/>
      <c r="CI24" s="6"/>
      <c r="CJ24" s="6"/>
      <c r="CK24" s="6"/>
      <c r="CM24" s="6"/>
      <c r="CN24" t="s">
        <v>7013</v>
      </c>
      <c r="CO24">
        <v>0.25</v>
      </c>
      <c r="CP24">
        <v>25</v>
      </c>
      <c r="CR24">
        <v>25</v>
      </c>
    </row>
    <row r="25" spans="1:96">
      <c r="A25" t="s">
        <v>7014</v>
      </c>
      <c r="C25" t="s">
        <v>6968</v>
      </c>
      <c r="D25" t="s">
        <v>7015</v>
      </c>
      <c r="E25" t="s">
        <v>7016</v>
      </c>
      <c r="F25" t="s">
        <v>7017</v>
      </c>
      <c r="G25">
        <v>3</v>
      </c>
      <c r="J25" t="s">
        <v>6985</v>
      </c>
      <c r="K25" s="6" t="s">
        <v>6986</v>
      </c>
      <c r="AC25">
        <v>1</v>
      </c>
      <c r="AY25" s="6"/>
      <c r="BD25">
        <v>1</v>
      </c>
      <c r="BT25">
        <v>35</v>
      </c>
      <c r="BV25" s="9">
        <v>15</v>
      </c>
      <c r="BW25" s="9">
        <v>35</v>
      </c>
      <c r="BX25" s="9">
        <v>1</v>
      </c>
      <c r="BY25" s="9" t="s">
        <v>6987</v>
      </c>
      <c r="CB25" s="6"/>
      <c r="CC25" s="6"/>
      <c r="CD25" s="6"/>
      <c r="CE25" s="6"/>
      <c r="CF25" s="6"/>
      <c r="CH25" s="6"/>
      <c r="CI25" s="6"/>
      <c r="CJ25" s="6"/>
      <c r="CK25" s="6"/>
      <c r="CL25" s="6"/>
      <c r="CM25" s="6"/>
      <c r="CN25" s="10" t="s">
        <v>7018</v>
      </c>
      <c r="CO25" t="s">
        <v>7019</v>
      </c>
      <c r="CR25">
        <v>35</v>
      </c>
    </row>
    <row r="26" spans="1:96">
      <c r="A26" t="s">
        <v>423</v>
      </c>
      <c r="C26" t="s">
        <v>6968</v>
      </c>
      <c r="D26" t="s">
        <v>7020</v>
      </c>
      <c r="E26" t="s">
        <v>6983</v>
      </c>
      <c r="F26" t="s">
        <v>7021</v>
      </c>
      <c r="J26" t="s">
        <v>6985</v>
      </c>
      <c r="K26" s="6" t="s">
        <v>6986</v>
      </c>
      <c r="AC26">
        <v>1</v>
      </c>
      <c r="AY26" s="6"/>
      <c r="BD26">
        <v>1</v>
      </c>
      <c r="BT26">
        <v>20</v>
      </c>
      <c r="BV26" s="9">
        <v>0</v>
      </c>
      <c r="BW26" s="9">
        <v>30</v>
      </c>
      <c r="BX26" s="9">
        <v>1</v>
      </c>
      <c r="BY26" s="9" t="s">
        <v>6987</v>
      </c>
      <c r="CB26" s="6"/>
      <c r="CC26" s="6"/>
      <c r="CD26" s="6"/>
      <c r="CE26" s="6"/>
      <c r="CF26" s="6"/>
      <c r="CH26" s="6"/>
      <c r="CI26" s="6"/>
      <c r="CJ26" s="6"/>
      <c r="CK26" s="6"/>
      <c r="CL26" s="6"/>
      <c r="CM26" s="6"/>
      <c r="CN26" s="10" t="s">
        <v>7022</v>
      </c>
      <c r="CO26">
        <v>0.5</v>
      </c>
      <c r="CR26">
        <v>20</v>
      </c>
    </row>
    <row r="27" spans="1:96">
      <c r="A27" t="s">
        <v>7023</v>
      </c>
      <c r="C27" t="s">
        <v>6968</v>
      </c>
      <c r="D27" t="s">
        <v>7024</v>
      </c>
      <c r="E27" t="s">
        <v>7025</v>
      </c>
      <c r="F27" t="s">
        <v>7026</v>
      </c>
      <c r="G27">
        <v>3</v>
      </c>
      <c r="J27" t="s">
        <v>6985</v>
      </c>
      <c r="K27" s="6" t="s">
        <v>6986</v>
      </c>
      <c r="AC27">
        <v>1</v>
      </c>
      <c r="AY27" s="6"/>
      <c r="BD27">
        <v>1</v>
      </c>
      <c r="BT27">
        <v>25</v>
      </c>
      <c r="BV27" s="9">
        <v>10</v>
      </c>
      <c r="BW27" s="9">
        <v>30</v>
      </c>
      <c r="BX27" s="9">
        <v>1</v>
      </c>
      <c r="BY27" s="9" t="s">
        <v>6987</v>
      </c>
      <c r="CB27" s="6"/>
      <c r="CC27" s="6"/>
      <c r="CD27" s="6"/>
      <c r="CE27" s="6"/>
      <c r="CF27" s="6"/>
      <c r="CH27" s="6"/>
      <c r="CI27" s="6"/>
      <c r="CJ27" s="6"/>
      <c r="CK27" s="6"/>
      <c r="CL27" s="6"/>
      <c r="CM27" s="6"/>
      <c r="CN27" s="10" t="s">
        <v>7022</v>
      </c>
      <c r="CO27">
        <v>0.7</v>
      </c>
      <c r="CR27">
        <v>25</v>
      </c>
    </row>
    <row r="28" spans="1:96">
      <c r="A28" t="s">
        <v>7027</v>
      </c>
      <c r="C28" t="s">
        <v>6968</v>
      </c>
      <c r="D28" t="s">
        <v>7028</v>
      </c>
      <c r="E28" t="s">
        <v>7029</v>
      </c>
      <c r="F28" t="s">
        <v>7030</v>
      </c>
      <c r="G28">
        <v>3</v>
      </c>
      <c r="J28" t="s">
        <v>6985</v>
      </c>
      <c r="K28" s="6" t="s">
        <v>6986</v>
      </c>
      <c r="AC28">
        <v>1</v>
      </c>
      <c r="AY28" s="6"/>
      <c r="BD28">
        <v>1</v>
      </c>
      <c r="BT28">
        <v>30</v>
      </c>
      <c r="BV28" s="9">
        <v>20</v>
      </c>
      <c r="BW28" s="9">
        <v>30</v>
      </c>
      <c r="BX28" s="9">
        <v>1</v>
      </c>
      <c r="BY28" s="9" t="s">
        <v>6987</v>
      </c>
      <c r="CB28" s="6"/>
      <c r="CC28" s="6"/>
      <c r="CD28" s="6"/>
      <c r="CE28" s="6"/>
      <c r="CF28" s="6"/>
      <c r="CH28" s="6"/>
      <c r="CI28" s="6"/>
      <c r="CJ28" s="6"/>
      <c r="CK28" s="6"/>
      <c r="CL28" s="6"/>
      <c r="CM28" s="6"/>
      <c r="CN28" s="10" t="s">
        <v>7022</v>
      </c>
      <c r="CO28">
        <v>0.9</v>
      </c>
      <c r="CR28">
        <v>30</v>
      </c>
    </row>
    <row r="29" ht="14.5" customHeight="1" spans="1:103">
      <c r="A29" t="s">
        <v>448</v>
      </c>
      <c r="C29" t="s">
        <v>6968</v>
      </c>
      <c r="D29" t="s">
        <v>7031</v>
      </c>
      <c r="E29" t="s">
        <v>7032</v>
      </c>
      <c r="F29" t="s">
        <v>7033</v>
      </c>
      <c r="J29" t="s">
        <v>6985</v>
      </c>
      <c r="K29" s="6" t="s">
        <v>6986</v>
      </c>
      <c r="AC29">
        <v>1</v>
      </c>
      <c r="AY29" s="6">
        <v>1</v>
      </c>
      <c r="AZ29">
        <v>0.4</v>
      </c>
      <c r="BB29">
        <v>1</v>
      </c>
      <c r="BD29">
        <v>1</v>
      </c>
      <c r="BT29">
        <v>0.3</v>
      </c>
      <c r="BV29" s="9">
        <v>10</v>
      </c>
      <c r="BW29" s="9">
        <v>20</v>
      </c>
      <c r="BX29" s="9">
        <v>1</v>
      </c>
      <c r="BY29" s="9" t="s">
        <v>6987</v>
      </c>
      <c r="CB29" s="6"/>
      <c r="CC29" s="6"/>
      <c r="CD29" s="6"/>
      <c r="CE29" s="6"/>
      <c r="CF29" s="6"/>
      <c r="CH29" s="6"/>
      <c r="CI29" s="6"/>
      <c r="CJ29" s="6"/>
      <c r="CK29" s="6"/>
      <c r="CL29" s="6"/>
      <c r="CM29" s="6"/>
      <c r="CY29" t="s">
        <v>7034</v>
      </c>
    </row>
    <row r="30" spans="1:103">
      <c r="A30" t="s">
        <v>7035</v>
      </c>
      <c r="C30" t="s">
        <v>6968</v>
      </c>
      <c r="D30" t="s">
        <v>7036</v>
      </c>
      <c r="E30" t="s">
        <v>7037</v>
      </c>
      <c r="F30" t="s">
        <v>7038</v>
      </c>
      <c r="G30">
        <v>3</v>
      </c>
      <c r="J30" t="s">
        <v>6985</v>
      </c>
      <c r="K30" s="6" t="s">
        <v>6986</v>
      </c>
      <c r="AC30">
        <v>1</v>
      </c>
      <c r="AY30" s="6">
        <v>1</v>
      </c>
      <c r="AZ30">
        <v>0.5</v>
      </c>
      <c r="BB30">
        <v>1</v>
      </c>
      <c r="BD30">
        <v>1</v>
      </c>
      <c r="BT30">
        <v>0.3</v>
      </c>
      <c r="BV30" s="9">
        <v>10</v>
      </c>
      <c r="BW30" s="9">
        <v>20</v>
      </c>
      <c r="BX30" s="9">
        <v>1</v>
      </c>
      <c r="BY30" s="9" t="s">
        <v>6987</v>
      </c>
      <c r="CB30" s="6"/>
      <c r="CC30" s="6"/>
      <c r="CD30" s="6"/>
      <c r="CE30" s="6"/>
      <c r="CF30" s="6"/>
      <c r="CH30" s="6"/>
      <c r="CI30" s="6"/>
      <c r="CJ30" s="6"/>
      <c r="CK30" s="6"/>
      <c r="CL30" s="6"/>
      <c r="CM30" s="6"/>
      <c r="CY30" t="s">
        <v>7034</v>
      </c>
    </row>
    <row r="31" spans="1:96">
      <c r="A31" t="s">
        <v>443</v>
      </c>
      <c r="C31" t="s">
        <v>6968</v>
      </c>
      <c r="D31" t="s">
        <v>7039</v>
      </c>
      <c r="E31" t="s">
        <v>7040</v>
      </c>
      <c r="F31" t="s">
        <v>7041</v>
      </c>
      <c r="J31" t="s">
        <v>6985</v>
      </c>
      <c r="K31" s="6" t="s">
        <v>6986</v>
      </c>
      <c r="AC31">
        <v>1</v>
      </c>
      <c r="AY31" s="6"/>
      <c r="BD31">
        <v>1</v>
      </c>
      <c r="BT31">
        <v>30</v>
      </c>
      <c r="BV31" s="9">
        <v>0</v>
      </c>
      <c r="BW31" s="9">
        <v>40</v>
      </c>
      <c r="BX31" s="9">
        <v>1</v>
      </c>
      <c r="BY31" s="9" t="s">
        <v>6987</v>
      </c>
      <c r="CB31" s="6"/>
      <c r="CC31" s="6"/>
      <c r="CD31" s="6"/>
      <c r="CE31" s="6"/>
      <c r="CF31" s="6"/>
      <c r="CH31" s="6"/>
      <c r="CI31" s="6"/>
      <c r="CJ31" s="6"/>
      <c r="CK31" s="6"/>
      <c r="CL31" s="6"/>
      <c r="CM31" s="6"/>
      <c r="CN31" s="10" t="s">
        <v>7042</v>
      </c>
      <c r="CO31">
        <v>0.5</v>
      </c>
      <c r="CR31">
        <v>30</v>
      </c>
    </row>
    <row r="32" spans="1:96">
      <c r="A32" t="s">
        <v>6977</v>
      </c>
      <c r="C32" t="s">
        <v>6968</v>
      </c>
      <c r="D32" t="s">
        <v>7043</v>
      </c>
      <c r="E32" t="s">
        <v>7044</v>
      </c>
      <c r="F32" t="s">
        <v>7045</v>
      </c>
      <c r="G32">
        <v>3</v>
      </c>
      <c r="J32" t="s">
        <v>6985</v>
      </c>
      <c r="K32" s="6" t="s">
        <v>6986</v>
      </c>
      <c r="AC32">
        <v>1</v>
      </c>
      <c r="AY32" s="6"/>
      <c r="BD32">
        <v>1</v>
      </c>
      <c r="BT32">
        <v>35</v>
      </c>
      <c r="BV32" s="9">
        <v>10</v>
      </c>
      <c r="BW32" s="9">
        <v>35</v>
      </c>
      <c r="BX32" s="9">
        <v>1</v>
      </c>
      <c r="BY32" s="9" t="s">
        <v>6987</v>
      </c>
      <c r="CB32" s="6"/>
      <c r="CC32" s="6"/>
      <c r="CD32" s="6"/>
      <c r="CE32" s="6"/>
      <c r="CF32" s="6"/>
      <c r="CH32" s="6"/>
      <c r="CI32" s="6"/>
      <c r="CJ32" s="6"/>
      <c r="CK32" s="6"/>
      <c r="CL32" s="6"/>
      <c r="CM32" s="6"/>
      <c r="CN32" s="10" t="s">
        <v>7042</v>
      </c>
      <c r="CO32">
        <v>0.8</v>
      </c>
      <c r="CR32">
        <v>35</v>
      </c>
    </row>
    <row r="33" spans="1:96">
      <c r="A33" t="s">
        <v>7046</v>
      </c>
      <c r="C33" t="s">
        <v>6968</v>
      </c>
      <c r="D33" t="s">
        <v>7047</v>
      </c>
      <c r="E33" t="s">
        <v>7048</v>
      </c>
      <c r="F33" t="s">
        <v>7049</v>
      </c>
      <c r="G33">
        <v>3</v>
      </c>
      <c r="J33" t="s">
        <v>6985</v>
      </c>
      <c r="K33" s="6" t="s">
        <v>6986</v>
      </c>
      <c r="AC33">
        <v>1</v>
      </c>
      <c r="AT33" s="11"/>
      <c r="AW33"/>
      <c r="AY33" s="6"/>
      <c r="BD33">
        <v>1</v>
      </c>
      <c r="BO33" s="15"/>
      <c r="BP33" s="15"/>
      <c r="BT33">
        <v>40</v>
      </c>
      <c r="BV33" s="9">
        <v>15</v>
      </c>
      <c r="BW33" s="9">
        <v>30</v>
      </c>
      <c r="BX33" s="9">
        <v>1</v>
      </c>
      <c r="BY33" s="9" t="s">
        <v>6987</v>
      </c>
      <c r="CB33" s="6"/>
      <c r="CC33" s="6"/>
      <c r="CD33" s="6"/>
      <c r="CE33" s="6"/>
      <c r="CF33" s="6"/>
      <c r="CH33" s="6"/>
      <c r="CI33" s="6"/>
      <c r="CJ33" s="6"/>
      <c r="CK33" s="6"/>
      <c r="CL33" s="6"/>
      <c r="CM33" s="17"/>
      <c r="CN33" s="10" t="s">
        <v>7042</v>
      </c>
      <c r="CO33">
        <v>1</v>
      </c>
      <c r="CR33">
        <v>40</v>
      </c>
    </row>
    <row r="34" spans="46:91">
      <c r="AT34" s="12"/>
      <c r="AW34"/>
      <c r="AY34" s="6"/>
      <c r="BO34" s="16"/>
      <c r="BP34" s="16"/>
      <c r="CB34" s="6"/>
      <c r="CC34" s="6"/>
      <c r="CD34" s="6"/>
      <c r="CE34" s="6"/>
      <c r="CF34" s="6"/>
      <c r="CH34" s="6"/>
      <c r="CI34" s="6"/>
      <c r="CJ34" s="6"/>
      <c r="CK34" s="6"/>
      <c r="CL34" s="6"/>
      <c r="CM34" s="18"/>
    </row>
    <row r="35" spans="1:92">
      <c r="A35" t="s">
        <v>7050</v>
      </c>
      <c r="C35" t="s">
        <v>6968</v>
      </c>
      <c r="J35" t="s">
        <v>7051</v>
      </c>
      <c r="K35" s="6" t="s">
        <v>6953</v>
      </c>
      <c r="O35"/>
      <c r="AC35">
        <v>1</v>
      </c>
      <c r="AO35" t="s">
        <v>7052</v>
      </c>
      <c r="AT35" t="s">
        <v>7053</v>
      </c>
      <c r="AW35"/>
      <c r="BO35"/>
      <c r="BP35"/>
      <c r="CN35"/>
    </row>
    <row r="36" spans="51:91">
      <c r="AY36" s="6"/>
      <c r="CB36" s="6"/>
      <c r="CC36" s="6"/>
      <c r="CD36" s="6"/>
      <c r="CE36" s="6"/>
      <c r="CF36" s="6"/>
      <c r="CH36" s="6"/>
      <c r="CI36" s="6"/>
      <c r="CJ36" s="6"/>
      <c r="CK36" s="6"/>
      <c r="CL36" s="6"/>
      <c r="CM36" s="6"/>
    </row>
    <row r="37" spans="1:103">
      <c r="A37" t="s">
        <v>7054</v>
      </c>
      <c r="C37" t="s">
        <v>6968</v>
      </c>
      <c r="K37" s="6" t="s">
        <v>6987</v>
      </c>
      <c r="AC37">
        <v>1</v>
      </c>
      <c r="AO37" t="s">
        <v>7055</v>
      </c>
      <c r="AT37" t="s">
        <v>7056</v>
      </c>
      <c r="AY37">
        <v>1</v>
      </c>
      <c r="AZ37">
        <v>1</v>
      </c>
      <c r="BD37">
        <v>1</v>
      </c>
      <c r="CB37" t="s">
        <v>140</v>
      </c>
      <c r="CG37" t="s">
        <v>7057</v>
      </c>
      <c r="CH37" t="s">
        <v>7058</v>
      </c>
      <c r="CI37" t="s">
        <v>4277</v>
      </c>
      <c r="CY37" t="s">
        <v>7034</v>
      </c>
    </row>
    <row r="38" spans="1:103">
      <c r="A38" t="s">
        <v>7059</v>
      </c>
      <c r="C38" t="s">
        <v>6968</v>
      </c>
      <c r="K38" s="6" t="s">
        <v>6953</v>
      </c>
      <c r="L38" s="6" t="s">
        <v>7060</v>
      </c>
      <c r="AC38">
        <v>1</v>
      </c>
      <c r="AO38" t="s">
        <v>7055</v>
      </c>
      <c r="AV38">
        <v>99</v>
      </c>
      <c r="AY38">
        <v>1</v>
      </c>
      <c r="AZ38">
        <v>500</v>
      </c>
      <c r="BB38">
        <v>2</v>
      </c>
      <c r="BD38">
        <v>99</v>
      </c>
      <c r="CY38" t="s">
        <v>7034</v>
      </c>
    </row>
    <row r="40" spans="1:103">
      <c r="A40" t="s">
        <v>7061</v>
      </c>
      <c r="C40" t="s">
        <v>4994</v>
      </c>
      <c r="AC40">
        <v>2</v>
      </c>
      <c r="AO40" t="s">
        <v>7062</v>
      </c>
      <c r="AT40" t="s">
        <v>7063</v>
      </c>
      <c r="AX40" t="s">
        <v>7064</v>
      </c>
      <c r="AZ40">
        <v>1</v>
      </c>
      <c r="BD40">
        <v>1</v>
      </c>
      <c r="CB40" t="s">
        <v>140</v>
      </c>
      <c r="CG40" t="s">
        <v>7057</v>
      </c>
      <c r="CY40" t="s">
        <v>7065</v>
      </c>
    </row>
    <row r="41" spans="1:96">
      <c r="A41" t="s">
        <v>7066</v>
      </c>
      <c r="C41" t="s">
        <v>6968</v>
      </c>
      <c r="K41" s="6" t="s">
        <v>6953</v>
      </c>
      <c r="L41" s="6" t="s">
        <v>7060</v>
      </c>
      <c r="AC41">
        <v>1</v>
      </c>
      <c r="AL41">
        <v>1</v>
      </c>
      <c r="AV41">
        <v>99</v>
      </c>
      <c r="BD41">
        <v>99</v>
      </c>
      <c r="CN41" s="10" t="s">
        <v>7067</v>
      </c>
      <c r="CO41">
        <v>0.2</v>
      </c>
      <c r="CP41">
        <v>0.2</v>
      </c>
      <c r="CR41">
        <v>20</v>
      </c>
    </row>
    <row r="43" spans="1:96">
      <c r="A43" t="s">
        <v>7068</v>
      </c>
      <c r="C43" t="s">
        <v>6968</v>
      </c>
      <c r="K43" s="6" t="s">
        <v>6953</v>
      </c>
      <c r="L43" s="6" t="s">
        <v>6972</v>
      </c>
      <c r="AC43">
        <v>1</v>
      </c>
      <c r="AG43" t="s">
        <v>6955</v>
      </c>
      <c r="AH43">
        <v>1</v>
      </c>
      <c r="AY43" s="6"/>
      <c r="BD43">
        <v>1</v>
      </c>
      <c r="BV43"/>
      <c r="BW43"/>
      <c r="BX43"/>
      <c r="BY43"/>
      <c r="BZ43"/>
      <c r="CA43"/>
      <c r="CB43" s="6"/>
      <c r="CC43" s="6"/>
      <c r="CD43" s="6"/>
      <c r="CE43" s="6"/>
      <c r="CF43" s="6"/>
      <c r="CH43" s="6"/>
      <c r="CI43" s="6"/>
      <c r="CJ43" s="6"/>
      <c r="CK43" s="6"/>
      <c r="CL43" s="6"/>
      <c r="CM43" s="6"/>
      <c r="CN43" s="10" t="s">
        <v>7069</v>
      </c>
      <c r="CO43">
        <v>0.12</v>
      </c>
      <c r="CP43">
        <v>0.12</v>
      </c>
      <c r="CR43">
        <v>99999</v>
      </c>
    </row>
    <row r="45" spans="1:103">
      <c r="A45" t="s">
        <v>362</v>
      </c>
      <c r="C45" t="s">
        <v>6968</v>
      </c>
      <c r="AC45">
        <v>2</v>
      </c>
      <c r="AD45">
        <v>1</v>
      </c>
      <c r="AO45" t="s">
        <v>7062</v>
      </c>
      <c r="AP45" t="s">
        <v>7070</v>
      </c>
      <c r="AT45" t="s">
        <v>7056</v>
      </c>
      <c r="AX45" t="s">
        <v>7064</v>
      </c>
      <c r="AZ45">
        <v>1</v>
      </c>
      <c r="BD45">
        <v>1</v>
      </c>
      <c r="CB45" t="s">
        <v>140</v>
      </c>
      <c r="CG45" t="s">
        <v>7057</v>
      </c>
      <c r="CH45" t="s">
        <v>7071</v>
      </c>
      <c r="CI45" t="s">
        <v>4277</v>
      </c>
      <c r="CJ45" t="s">
        <v>7072</v>
      </c>
      <c r="CX45" t="s">
        <v>7073</v>
      </c>
      <c r="CY45" t="s">
        <v>7074</v>
      </c>
    </row>
    <row r="46" spans="51:91">
      <c r="AY46" s="6"/>
      <c r="BV46"/>
      <c r="BW46"/>
      <c r="BX46"/>
      <c r="BY46"/>
      <c r="BZ46"/>
      <c r="CA46"/>
      <c r="CB46" s="6"/>
      <c r="CC46" s="6"/>
      <c r="CD46" s="6"/>
      <c r="CE46" s="6"/>
      <c r="CF46" s="6"/>
      <c r="CH46" s="6"/>
      <c r="CI46" s="6"/>
      <c r="CJ46" s="6"/>
      <c r="CK46" s="6"/>
      <c r="CL46" s="6"/>
      <c r="CM46" s="6"/>
    </row>
    <row r="47" spans="1:103">
      <c r="A47" t="s">
        <v>7075</v>
      </c>
      <c r="C47" t="s">
        <v>6968</v>
      </c>
      <c r="AC47">
        <v>2</v>
      </c>
      <c r="AD47">
        <v>1</v>
      </c>
      <c r="AO47" t="s">
        <v>7062</v>
      </c>
      <c r="AT47" t="s">
        <v>7076</v>
      </c>
      <c r="AX47" t="s">
        <v>7077</v>
      </c>
      <c r="AZ47">
        <v>1</v>
      </c>
      <c r="BD47">
        <v>1</v>
      </c>
      <c r="CB47" t="s">
        <v>140</v>
      </c>
      <c r="CG47" t="s">
        <v>7057</v>
      </c>
      <c r="CH47" t="s">
        <v>7078</v>
      </c>
      <c r="CI47" t="s">
        <v>4277</v>
      </c>
      <c r="CJ47" t="s">
        <v>7079</v>
      </c>
      <c r="CY47" t="s">
        <v>7080</v>
      </c>
    </row>
    <row r="48" spans="1:96">
      <c r="A48" t="s">
        <v>7081</v>
      </c>
      <c r="C48" t="s">
        <v>6968</v>
      </c>
      <c r="K48" s="6" t="s">
        <v>6953</v>
      </c>
      <c r="L48" s="6" t="s">
        <v>6972</v>
      </c>
      <c r="AC48">
        <v>1</v>
      </c>
      <c r="AH48">
        <v>1</v>
      </c>
      <c r="AY48" s="6"/>
      <c r="BD48">
        <v>1</v>
      </c>
      <c r="BV48"/>
      <c r="BW48"/>
      <c r="BX48"/>
      <c r="BY48"/>
      <c r="BZ48"/>
      <c r="CA48"/>
      <c r="CB48" s="6"/>
      <c r="CC48" s="6"/>
      <c r="CD48" s="6"/>
      <c r="CE48" s="6"/>
      <c r="CF48" s="6"/>
      <c r="CH48" s="6"/>
      <c r="CI48" s="6"/>
      <c r="CJ48" s="6"/>
      <c r="CK48" s="6"/>
      <c r="CL48" s="6"/>
      <c r="CM48" s="6"/>
      <c r="CN48" s="10" t="s">
        <v>7082</v>
      </c>
      <c r="CR48">
        <v>99999</v>
      </c>
    </row>
    <row r="49" spans="1:71">
      <c r="A49" t="s">
        <v>7083</v>
      </c>
      <c r="C49" t="s">
        <v>7084</v>
      </c>
      <c r="AC49">
        <v>2</v>
      </c>
      <c r="AD49">
        <v>1</v>
      </c>
      <c r="AT49" t="s">
        <v>7085</v>
      </c>
      <c r="BD49">
        <v>99</v>
      </c>
      <c r="BS49">
        <v>0.1</v>
      </c>
    </row>
    <row r="50" spans="1:71">
      <c r="A50" t="s">
        <v>7086</v>
      </c>
      <c r="C50" t="s">
        <v>7084</v>
      </c>
      <c r="AC50">
        <v>2</v>
      </c>
      <c r="AD50">
        <v>1</v>
      </c>
      <c r="AV50">
        <v>5</v>
      </c>
      <c r="BD50">
        <v>99</v>
      </c>
      <c r="BS50">
        <v>0.1</v>
      </c>
    </row>
    <row r="52" spans="1:85">
      <c r="A52" t="s">
        <v>375</v>
      </c>
      <c r="C52" t="s">
        <v>4994</v>
      </c>
      <c r="AC52">
        <v>2</v>
      </c>
      <c r="AO52" t="s">
        <v>7062</v>
      </c>
      <c r="AT52" t="s">
        <v>7087</v>
      </c>
      <c r="AX52" t="s">
        <v>7064</v>
      </c>
      <c r="AZ52">
        <v>1</v>
      </c>
      <c r="BD52">
        <v>1</v>
      </c>
      <c r="CB52" t="s">
        <v>140</v>
      </c>
      <c r="CG52" t="s">
        <v>7057</v>
      </c>
    </row>
    <row r="53" spans="1:103">
      <c r="A53" t="s">
        <v>376</v>
      </c>
      <c r="C53" t="s">
        <v>6968</v>
      </c>
      <c r="D53" t="s">
        <v>7088</v>
      </c>
      <c r="E53" t="s">
        <v>7089</v>
      </c>
      <c r="F53" t="s">
        <v>7090</v>
      </c>
      <c r="J53" t="s">
        <v>7091</v>
      </c>
      <c r="K53" s="6" t="s">
        <v>6986</v>
      </c>
      <c r="AB53">
        <v>1</v>
      </c>
      <c r="AC53">
        <v>1</v>
      </c>
      <c r="AO53" t="s">
        <v>7055</v>
      </c>
      <c r="AT53" t="s">
        <v>7092</v>
      </c>
      <c r="AY53">
        <v>1</v>
      </c>
      <c r="AZ53">
        <v>1</v>
      </c>
      <c r="BD53">
        <v>1</v>
      </c>
      <c r="BO53" s="8" t="s">
        <v>7093</v>
      </c>
      <c r="BS53">
        <v>2.5</v>
      </c>
      <c r="BT53">
        <v>25</v>
      </c>
      <c r="BV53" s="9">
        <v>25</v>
      </c>
      <c r="BW53" s="9">
        <v>40</v>
      </c>
      <c r="BX53" s="9">
        <v>1</v>
      </c>
      <c r="BY53" s="9" t="s">
        <v>6987</v>
      </c>
      <c r="CB53" t="s">
        <v>638</v>
      </c>
      <c r="CG53" t="s">
        <v>7057</v>
      </c>
      <c r="CH53" t="s">
        <v>7094</v>
      </c>
      <c r="CI53" t="s">
        <v>4277</v>
      </c>
      <c r="CN53" s="10" t="s">
        <v>7095</v>
      </c>
      <c r="CY53" t="s">
        <v>7096</v>
      </c>
    </row>
    <row r="54" spans="1:96">
      <c r="A54" t="s">
        <v>7097</v>
      </c>
      <c r="C54" t="s">
        <v>6968</v>
      </c>
      <c r="K54" s="6" t="s">
        <v>6953</v>
      </c>
      <c r="L54" s="6" t="s">
        <v>7098</v>
      </c>
      <c r="AC54">
        <v>1</v>
      </c>
      <c r="AY54" s="6"/>
      <c r="BD54">
        <v>1</v>
      </c>
      <c r="BV54"/>
      <c r="BW54"/>
      <c r="BX54"/>
      <c r="BY54"/>
      <c r="BZ54"/>
      <c r="CA54"/>
      <c r="CB54" s="6"/>
      <c r="CC54" s="6"/>
      <c r="CD54" s="6"/>
      <c r="CE54" s="6"/>
      <c r="CF54" s="6"/>
      <c r="CH54" s="6"/>
      <c r="CI54" s="6"/>
      <c r="CJ54" s="6"/>
      <c r="CK54" s="6"/>
      <c r="CL54" s="6"/>
      <c r="CM54" s="6"/>
      <c r="CN54" s="10" t="s">
        <v>7022</v>
      </c>
      <c r="CO54">
        <v>0.45</v>
      </c>
      <c r="CR54">
        <v>25</v>
      </c>
    </row>
    <row r="55" spans="1:96">
      <c r="A55" t="s">
        <v>7099</v>
      </c>
      <c r="C55" t="s">
        <v>6968</v>
      </c>
      <c r="K55" s="6" t="s">
        <v>6953</v>
      </c>
      <c r="L55" s="6" t="s">
        <v>7098</v>
      </c>
      <c r="AC55">
        <v>1</v>
      </c>
      <c r="AY55" s="6"/>
      <c r="BD55">
        <v>1</v>
      </c>
      <c r="BV55"/>
      <c r="BW55"/>
      <c r="BX55"/>
      <c r="BY55"/>
      <c r="BZ55"/>
      <c r="CA55"/>
      <c r="CB55" s="6"/>
      <c r="CC55" s="6"/>
      <c r="CD55" s="6"/>
      <c r="CE55" s="6"/>
      <c r="CF55" s="6"/>
      <c r="CH55" s="6"/>
      <c r="CI55" s="6"/>
      <c r="CJ55" s="6"/>
      <c r="CK55" s="6"/>
      <c r="CL55" s="6"/>
      <c r="CM55" s="6"/>
      <c r="CN55" s="10" t="s">
        <v>7100</v>
      </c>
      <c r="CR55">
        <v>25</v>
      </c>
    </row>
    <row r="56" spans="51:91">
      <c r="AY56" s="6"/>
      <c r="BV56"/>
      <c r="BW56"/>
      <c r="BX56"/>
      <c r="BY56"/>
      <c r="BZ56"/>
      <c r="CA56"/>
      <c r="CB56" s="6"/>
      <c r="CC56" s="6"/>
      <c r="CD56" s="6"/>
      <c r="CE56" s="6"/>
      <c r="CF56" s="6"/>
      <c r="CH56" s="6"/>
      <c r="CI56" s="6"/>
      <c r="CJ56" s="6"/>
      <c r="CK56" s="6"/>
      <c r="CL56" s="6"/>
      <c r="CM56" s="6"/>
    </row>
    <row r="57" spans="1:103">
      <c r="A57" t="s">
        <v>7101</v>
      </c>
      <c r="C57" t="s">
        <v>7102</v>
      </c>
      <c r="AC57">
        <v>2</v>
      </c>
      <c r="AO57" t="s">
        <v>7062</v>
      </c>
      <c r="AT57" t="s">
        <v>7063</v>
      </c>
      <c r="AX57" t="s">
        <v>7064</v>
      </c>
      <c r="AZ57">
        <v>1</v>
      </c>
      <c r="BD57">
        <v>1</v>
      </c>
      <c r="CB57" t="s">
        <v>140</v>
      </c>
      <c r="CG57" t="s">
        <v>7057</v>
      </c>
      <c r="CY57" t="s">
        <v>7103</v>
      </c>
    </row>
    <row r="58" spans="51:91">
      <c r="AY58" s="6"/>
      <c r="BV58"/>
      <c r="BW58"/>
      <c r="BX58"/>
      <c r="BY58"/>
      <c r="BZ58"/>
      <c r="CA58"/>
      <c r="CB58" s="6"/>
      <c r="CC58" s="6"/>
      <c r="CD58" s="6"/>
      <c r="CE58" s="6"/>
      <c r="CF58" s="6"/>
      <c r="CH58" s="6"/>
      <c r="CI58" s="6"/>
      <c r="CJ58" s="6"/>
      <c r="CK58" s="6"/>
      <c r="CL58" s="6"/>
      <c r="CM58" s="6"/>
    </row>
    <row r="59" spans="1:103">
      <c r="A59" t="s">
        <v>7104</v>
      </c>
      <c r="C59" t="s">
        <v>4994</v>
      </c>
      <c r="K59" s="6" t="s">
        <v>6987</v>
      </c>
      <c r="AC59">
        <v>2</v>
      </c>
      <c r="AO59" t="s">
        <v>7062</v>
      </c>
      <c r="AX59" t="s">
        <v>7064</v>
      </c>
      <c r="AZ59">
        <v>1</v>
      </c>
      <c r="BD59">
        <v>1</v>
      </c>
      <c r="CB59" t="s">
        <v>4335</v>
      </c>
      <c r="CG59" t="s">
        <v>7057</v>
      </c>
      <c r="CJ59" t="s">
        <v>7105</v>
      </c>
      <c r="CY59" t="s">
        <v>7106</v>
      </c>
    </row>
    <row r="60" spans="1:103">
      <c r="A60" t="s">
        <v>7107</v>
      </c>
      <c r="C60" t="s">
        <v>6968</v>
      </c>
      <c r="K60" s="6" t="s">
        <v>6987</v>
      </c>
      <c r="Z60">
        <v>1</v>
      </c>
      <c r="AC60">
        <v>2</v>
      </c>
      <c r="AD60">
        <v>1</v>
      </c>
      <c r="AO60" t="s">
        <v>7062</v>
      </c>
      <c r="AT60" t="s">
        <v>7108</v>
      </c>
      <c r="AX60" t="s">
        <v>7064</v>
      </c>
      <c r="AZ60">
        <v>0.8</v>
      </c>
      <c r="BD60">
        <v>1</v>
      </c>
      <c r="CB60" t="s">
        <v>7109</v>
      </c>
      <c r="CG60" t="s">
        <v>7057</v>
      </c>
      <c r="CH60" t="s">
        <v>7110</v>
      </c>
      <c r="CI60" t="s">
        <v>4277</v>
      </c>
      <c r="CJ60" t="s">
        <v>7105</v>
      </c>
      <c r="CY60" t="s">
        <v>7106</v>
      </c>
    </row>
    <row r="61" spans="1:103">
      <c r="A61" t="s">
        <v>7111</v>
      </c>
      <c r="C61" t="s">
        <v>4994</v>
      </c>
      <c r="J61" t="s">
        <v>7091</v>
      </c>
      <c r="K61" s="6" t="s">
        <v>6987</v>
      </c>
      <c r="AC61">
        <v>2</v>
      </c>
      <c r="AO61" t="s">
        <v>7062</v>
      </c>
      <c r="AX61" t="s">
        <v>7077</v>
      </c>
      <c r="AZ61">
        <v>1</v>
      </c>
      <c r="BD61">
        <v>1</v>
      </c>
      <c r="BV61"/>
      <c r="BW61"/>
      <c r="BX61"/>
      <c r="BY61"/>
      <c r="BZ61"/>
      <c r="CA61"/>
      <c r="CB61" t="s">
        <v>4335</v>
      </c>
      <c r="CG61" t="s">
        <v>7057</v>
      </c>
      <c r="CJ61" t="s">
        <v>7105</v>
      </c>
      <c r="CY61" t="s">
        <v>7112</v>
      </c>
    </row>
    <row r="62" spans="1:103">
      <c r="A62" t="s">
        <v>390</v>
      </c>
      <c r="C62" t="s">
        <v>6968</v>
      </c>
      <c r="D62" t="s">
        <v>7113</v>
      </c>
      <c r="E62" t="s">
        <v>7114</v>
      </c>
      <c r="F62" t="s">
        <v>7115</v>
      </c>
      <c r="J62" t="s">
        <v>7091</v>
      </c>
      <c r="K62" s="6" t="s">
        <v>6986</v>
      </c>
      <c r="Z62">
        <v>1</v>
      </c>
      <c r="AC62">
        <v>2</v>
      </c>
      <c r="AD62">
        <v>1</v>
      </c>
      <c r="AO62" t="s">
        <v>7062</v>
      </c>
      <c r="AT62" t="s">
        <v>7108</v>
      </c>
      <c r="AX62" t="s">
        <v>7077</v>
      </c>
      <c r="AZ62">
        <v>0.8</v>
      </c>
      <c r="BD62">
        <v>1</v>
      </c>
      <c r="BO62" s="8" t="s">
        <v>7116</v>
      </c>
      <c r="BT62">
        <v>40</v>
      </c>
      <c r="BV62" s="9">
        <v>30</v>
      </c>
      <c r="BW62" s="9">
        <v>70</v>
      </c>
      <c r="BX62" s="9">
        <v>1</v>
      </c>
      <c r="BY62" s="9" t="s">
        <v>6987</v>
      </c>
      <c r="CB62" t="s">
        <v>7109</v>
      </c>
      <c r="CG62" t="s">
        <v>7057</v>
      </c>
      <c r="CH62" t="s">
        <v>7117</v>
      </c>
      <c r="CI62" t="s">
        <v>4277</v>
      </c>
      <c r="CJ62" t="s">
        <v>7105</v>
      </c>
      <c r="CY62" t="s">
        <v>7112</v>
      </c>
    </row>
    <row r="63" spans="1:96">
      <c r="A63" t="s">
        <v>7118</v>
      </c>
      <c r="C63" t="s">
        <v>6968</v>
      </c>
      <c r="K63" s="6" t="s">
        <v>6953</v>
      </c>
      <c r="L63" s="6" t="s">
        <v>7098</v>
      </c>
      <c r="AC63">
        <v>1</v>
      </c>
      <c r="AY63" s="6"/>
      <c r="BD63">
        <v>1</v>
      </c>
      <c r="BV63"/>
      <c r="BW63"/>
      <c r="BX63"/>
      <c r="BY63"/>
      <c r="BZ63"/>
      <c r="CA63"/>
      <c r="CB63" s="6"/>
      <c r="CC63" s="6"/>
      <c r="CD63" s="6"/>
      <c r="CE63" s="6"/>
      <c r="CF63" s="6"/>
      <c r="CH63" s="6"/>
      <c r="CI63" s="6"/>
      <c r="CJ63" s="6"/>
      <c r="CK63" s="6"/>
      <c r="CL63" s="6"/>
      <c r="CM63" s="6"/>
      <c r="CN63" s="10" t="s">
        <v>6988</v>
      </c>
      <c r="CO63">
        <v>0.35</v>
      </c>
      <c r="CR63">
        <v>40</v>
      </c>
    </row>
    <row r="64" spans="51:91">
      <c r="AY64" s="6"/>
      <c r="BV64"/>
      <c r="BW64"/>
      <c r="BX64"/>
      <c r="BY64"/>
      <c r="BZ64"/>
      <c r="CA64"/>
      <c r="CB64" s="6"/>
      <c r="CC64" s="6"/>
      <c r="CD64" s="6"/>
      <c r="CE64" s="6"/>
      <c r="CF64" s="6"/>
      <c r="CH64" s="6"/>
      <c r="CI64" s="6"/>
      <c r="CJ64" s="6"/>
      <c r="CK64" s="6"/>
      <c r="CL64" s="6"/>
      <c r="CM64" s="6"/>
    </row>
    <row r="65" spans="1:103">
      <c r="A65" t="s">
        <v>7119</v>
      </c>
      <c r="C65" t="s">
        <v>6968</v>
      </c>
      <c r="AC65">
        <v>2</v>
      </c>
      <c r="AD65">
        <v>1</v>
      </c>
      <c r="AO65" t="s">
        <v>7062</v>
      </c>
      <c r="AT65" t="s">
        <v>7085</v>
      </c>
      <c r="AX65" t="s">
        <v>7064</v>
      </c>
      <c r="AZ65">
        <v>1</v>
      </c>
      <c r="BD65">
        <v>1</v>
      </c>
      <c r="BJ65">
        <v>1</v>
      </c>
      <c r="BK65">
        <v>1</v>
      </c>
      <c r="BL65">
        <v>1</v>
      </c>
      <c r="CB65" t="s">
        <v>140</v>
      </c>
      <c r="CG65" t="s">
        <v>7057</v>
      </c>
      <c r="CH65" t="s">
        <v>7120</v>
      </c>
      <c r="CI65" t="s">
        <v>4277</v>
      </c>
      <c r="CX65" t="s">
        <v>7121</v>
      </c>
      <c r="CY65" t="s">
        <v>7122</v>
      </c>
    </row>
    <row r="66" spans="1:103">
      <c r="A66" t="s">
        <v>397</v>
      </c>
      <c r="C66" t="s">
        <v>6968</v>
      </c>
      <c r="D66" t="s">
        <v>7123</v>
      </c>
      <c r="E66" t="s">
        <v>7124</v>
      </c>
      <c r="F66" t="s">
        <v>7125</v>
      </c>
      <c r="J66" t="s">
        <v>7091</v>
      </c>
      <c r="K66" s="6" t="s">
        <v>6986</v>
      </c>
      <c r="AC66">
        <v>2</v>
      </c>
      <c r="AD66">
        <v>1</v>
      </c>
      <c r="AO66" t="s">
        <v>7062</v>
      </c>
      <c r="AT66" t="s">
        <v>7085</v>
      </c>
      <c r="AX66" t="s">
        <v>7064</v>
      </c>
      <c r="AZ66">
        <v>1</v>
      </c>
      <c r="BD66">
        <v>1</v>
      </c>
      <c r="BJ66">
        <v>2</v>
      </c>
      <c r="BK66">
        <v>1</v>
      </c>
      <c r="BL66">
        <v>1</v>
      </c>
      <c r="BO66" s="8" t="s">
        <v>7126</v>
      </c>
      <c r="BT66">
        <v>30</v>
      </c>
      <c r="BV66" s="9">
        <v>0</v>
      </c>
      <c r="BW66" s="9">
        <v>45</v>
      </c>
      <c r="BX66" s="9">
        <v>1</v>
      </c>
      <c r="BY66" s="9" t="s">
        <v>6987</v>
      </c>
      <c r="CB66" t="s">
        <v>140</v>
      </c>
      <c r="CG66" t="s">
        <v>7057</v>
      </c>
      <c r="CH66" t="s">
        <v>7120</v>
      </c>
      <c r="CI66" t="s">
        <v>4277</v>
      </c>
      <c r="CX66" t="s">
        <v>7121</v>
      </c>
      <c r="CY66" t="s">
        <v>7122</v>
      </c>
    </row>
    <row r="67" spans="1:96">
      <c r="A67" t="s">
        <v>7126</v>
      </c>
      <c r="C67" t="s">
        <v>6968</v>
      </c>
      <c r="K67" s="6" t="s">
        <v>6953</v>
      </c>
      <c r="L67" s="6" t="s">
        <v>7098</v>
      </c>
      <c r="AC67">
        <v>1</v>
      </c>
      <c r="AY67" s="6"/>
      <c r="BD67">
        <v>1</v>
      </c>
      <c r="BV67"/>
      <c r="BW67"/>
      <c r="BX67"/>
      <c r="BY67"/>
      <c r="BZ67"/>
      <c r="CA67"/>
      <c r="CB67" s="6"/>
      <c r="CC67" s="6"/>
      <c r="CD67" s="6"/>
      <c r="CE67" s="6"/>
      <c r="CF67" s="6"/>
      <c r="CH67" s="6"/>
      <c r="CI67" s="6"/>
      <c r="CJ67" s="6"/>
      <c r="CK67" s="6"/>
      <c r="CL67" s="6"/>
      <c r="CM67" s="6"/>
      <c r="CN67" s="10" t="s">
        <v>6988</v>
      </c>
      <c r="CO67">
        <v>0</v>
      </c>
      <c r="CR67">
        <v>30</v>
      </c>
    </row>
    <row r="68" spans="51:91">
      <c r="AY68" s="6"/>
      <c r="BV68"/>
      <c r="BW68"/>
      <c r="BX68"/>
      <c r="BY68"/>
      <c r="BZ68"/>
      <c r="CA68"/>
      <c r="CB68" s="6"/>
      <c r="CC68" s="6"/>
      <c r="CD68" s="6"/>
      <c r="CE68" s="6"/>
      <c r="CF68" s="6"/>
      <c r="CH68" s="6"/>
      <c r="CI68" s="6"/>
      <c r="CJ68" s="6"/>
      <c r="CK68" s="6"/>
      <c r="CL68" s="6"/>
      <c r="CM68" s="6"/>
    </row>
    <row r="69" spans="1:103">
      <c r="A69" t="s">
        <v>7127</v>
      </c>
      <c r="C69" t="s">
        <v>6968</v>
      </c>
      <c r="K69" s="6" t="s">
        <v>6987</v>
      </c>
      <c r="AC69">
        <v>2</v>
      </c>
      <c r="AD69">
        <v>1</v>
      </c>
      <c r="AO69" t="s">
        <v>7062</v>
      </c>
      <c r="AT69" t="s">
        <v>7128</v>
      </c>
      <c r="AX69" t="s">
        <v>7077</v>
      </c>
      <c r="AZ69">
        <v>1</v>
      </c>
      <c r="BD69">
        <v>1</v>
      </c>
      <c r="CB69" t="s">
        <v>140</v>
      </c>
      <c r="CG69" t="s">
        <v>7057</v>
      </c>
      <c r="CH69" t="s">
        <v>7129</v>
      </c>
      <c r="CI69" t="s">
        <v>7130</v>
      </c>
      <c r="CN69" s="10" t="s">
        <v>7131</v>
      </c>
      <c r="CO69">
        <v>-0.8</v>
      </c>
      <c r="CR69">
        <v>0.8</v>
      </c>
      <c r="CY69" t="s">
        <v>7132</v>
      </c>
    </row>
    <row r="70" spans="1:96">
      <c r="A70" t="s">
        <v>7133</v>
      </c>
      <c r="C70" t="s">
        <v>6968</v>
      </c>
      <c r="K70" s="6" t="s">
        <v>6953</v>
      </c>
      <c r="L70" s="6" t="s">
        <v>6972</v>
      </c>
      <c r="AC70">
        <v>1</v>
      </c>
      <c r="AG70" t="s">
        <v>6955</v>
      </c>
      <c r="AH70">
        <v>1</v>
      </c>
      <c r="AY70" s="6"/>
      <c r="BD70">
        <v>1</v>
      </c>
      <c r="BV70"/>
      <c r="BW70"/>
      <c r="BX70"/>
      <c r="BY70"/>
      <c r="BZ70"/>
      <c r="CA70"/>
      <c r="CB70" s="6"/>
      <c r="CC70" s="6"/>
      <c r="CD70" s="6"/>
      <c r="CE70" s="6"/>
      <c r="CF70" s="6"/>
      <c r="CH70" s="6"/>
      <c r="CI70" s="6"/>
      <c r="CJ70" s="6"/>
      <c r="CK70" s="6"/>
      <c r="CL70" s="6"/>
      <c r="CM70" s="6"/>
      <c r="CN70" s="10" t="s">
        <v>7134</v>
      </c>
      <c r="CO70">
        <v>9</v>
      </c>
      <c r="CR70">
        <v>99999</v>
      </c>
    </row>
    <row r="71" spans="51:91">
      <c r="AY71" s="6"/>
      <c r="BV71"/>
      <c r="BW71"/>
      <c r="BX71"/>
      <c r="BY71"/>
      <c r="BZ71"/>
      <c r="CA71"/>
      <c r="CB71" s="6"/>
      <c r="CC71" s="6"/>
      <c r="CD71" s="6"/>
      <c r="CE71" s="6"/>
      <c r="CF71" s="6"/>
      <c r="CH71" s="6"/>
      <c r="CI71" s="6"/>
      <c r="CJ71" s="6"/>
      <c r="CK71" s="6"/>
      <c r="CL71" s="6"/>
      <c r="CM71" s="6"/>
    </row>
    <row r="72" spans="1:103">
      <c r="A72" t="s">
        <v>7135</v>
      </c>
      <c r="C72" t="s">
        <v>6968</v>
      </c>
      <c r="AC72">
        <v>2</v>
      </c>
      <c r="AD72">
        <v>1</v>
      </c>
      <c r="AO72" t="s">
        <v>7136</v>
      </c>
      <c r="AT72" t="s">
        <v>7056</v>
      </c>
      <c r="AX72" t="s">
        <v>7077</v>
      </c>
      <c r="AZ72">
        <v>1</v>
      </c>
      <c r="BD72">
        <v>1</v>
      </c>
      <c r="CB72" t="s">
        <v>140</v>
      </c>
      <c r="CG72" t="s">
        <v>7057</v>
      </c>
      <c r="CH72" t="s">
        <v>7137</v>
      </c>
      <c r="CI72" t="s">
        <v>4277</v>
      </c>
      <c r="CY72" t="s">
        <v>7138</v>
      </c>
    </row>
    <row r="73" spans="1:103">
      <c r="A73" t="s">
        <v>412</v>
      </c>
      <c r="C73" t="s">
        <v>6968</v>
      </c>
      <c r="D73" t="s">
        <v>7139</v>
      </c>
      <c r="E73" t="s">
        <v>7140</v>
      </c>
      <c r="F73" t="s">
        <v>7141</v>
      </c>
      <c r="J73" t="s">
        <v>6985</v>
      </c>
      <c r="K73" s="6" t="s">
        <v>6987</v>
      </c>
      <c r="AC73">
        <v>2</v>
      </c>
      <c r="AD73">
        <v>1</v>
      </c>
      <c r="AO73" t="s">
        <v>7136</v>
      </c>
      <c r="AT73" t="s">
        <v>7056</v>
      </c>
      <c r="AX73" t="s">
        <v>7077</v>
      </c>
      <c r="AZ73">
        <v>1.9</v>
      </c>
      <c r="BD73">
        <v>1</v>
      </c>
      <c r="BT73">
        <v>0.3</v>
      </c>
      <c r="BV73" s="9">
        <v>0</v>
      </c>
      <c r="BW73" s="9">
        <v>4</v>
      </c>
      <c r="BX73" s="9">
        <v>1</v>
      </c>
      <c r="BY73" s="9" t="s">
        <v>7142</v>
      </c>
      <c r="CB73" t="s">
        <v>140</v>
      </c>
      <c r="CG73" t="s">
        <v>7057</v>
      </c>
      <c r="CH73" t="s">
        <v>7137</v>
      </c>
      <c r="CI73" t="s">
        <v>4277</v>
      </c>
      <c r="CX73" t="s">
        <v>7143</v>
      </c>
      <c r="CY73" t="s">
        <v>7138</v>
      </c>
    </row>
    <row r="74" spans="1:96">
      <c r="A74" t="s">
        <v>7144</v>
      </c>
      <c r="C74" t="s">
        <v>6968</v>
      </c>
      <c r="K74" s="6" t="s">
        <v>6953</v>
      </c>
      <c r="L74" s="6" t="s">
        <v>6972</v>
      </c>
      <c r="AC74">
        <v>1</v>
      </c>
      <c r="AG74" t="s">
        <v>6955</v>
      </c>
      <c r="AH74">
        <v>1</v>
      </c>
      <c r="AY74" s="6"/>
      <c r="BD74">
        <v>1</v>
      </c>
      <c r="BV74"/>
      <c r="BW74"/>
      <c r="BX74"/>
      <c r="BY74"/>
      <c r="BZ74"/>
      <c r="CA74"/>
      <c r="CB74" s="6"/>
      <c r="CC74" s="6"/>
      <c r="CD74" s="6"/>
      <c r="CE74" s="6"/>
      <c r="CF74" s="6"/>
      <c r="CH74" s="6"/>
      <c r="CI74" s="6"/>
      <c r="CJ74" s="6"/>
      <c r="CK74" s="6"/>
      <c r="CL74" s="6"/>
      <c r="CM74" s="6"/>
      <c r="CN74" s="10" t="s">
        <v>6973</v>
      </c>
      <c r="CO74">
        <v>0.06</v>
      </c>
      <c r="CR74">
        <v>99999</v>
      </c>
    </row>
    <row r="75" spans="51:91">
      <c r="AY75" s="6"/>
      <c r="BV75"/>
      <c r="BW75"/>
      <c r="BX75"/>
      <c r="BY75"/>
      <c r="BZ75"/>
      <c r="CA75"/>
      <c r="CB75" s="6"/>
      <c r="CC75" s="6"/>
      <c r="CD75" s="6"/>
      <c r="CE75" s="6"/>
      <c r="CF75" s="6"/>
      <c r="CH75" s="6"/>
      <c r="CI75" s="6"/>
      <c r="CJ75" s="6"/>
      <c r="CK75" s="6"/>
      <c r="CL75" s="6"/>
      <c r="CM75" s="6"/>
    </row>
    <row r="76" spans="1:103">
      <c r="A76" t="s">
        <v>416</v>
      </c>
      <c r="C76" t="s">
        <v>6968</v>
      </c>
      <c r="K76" s="6" t="s">
        <v>6987</v>
      </c>
      <c r="AC76">
        <v>1</v>
      </c>
      <c r="AO76" t="s">
        <v>7055</v>
      </c>
      <c r="AT76" t="s">
        <v>7145</v>
      </c>
      <c r="AY76">
        <v>1</v>
      </c>
      <c r="AZ76">
        <v>1</v>
      </c>
      <c r="BD76">
        <v>1</v>
      </c>
      <c r="CB76" t="s">
        <v>140</v>
      </c>
      <c r="CG76" t="s">
        <v>7057</v>
      </c>
      <c r="CH76" t="s">
        <v>7146</v>
      </c>
      <c r="CI76" t="s">
        <v>4277</v>
      </c>
      <c r="CJ76" t="s">
        <v>7147</v>
      </c>
      <c r="CY76" t="s">
        <v>7034</v>
      </c>
    </row>
    <row r="77" spans="1:103">
      <c r="A77" t="s">
        <v>417</v>
      </c>
      <c r="C77" t="s">
        <v>6968</v>
      </c>
      <c r="D77" t="s">
        <v>7148</v>
      </c>
      <c r="E77" t="s">
        <v>7149</v>
      </c>
      <c r="F77" t="s">
        <v>7150</v>
      </c>
      <c r="J77" t="s">
        <v>7091</v>
      </c>
      <c r="K77" s="6" t="s">
        <v>6987</v>
      </c>
      <c r="AC77">
        <v>1</v>
      </c>
      <c r="AO77" t="s">
        <v>7055</v>
      </c>
      <c r="AT77" t="s">
        <v>7151</v>
      </c>
      <c r="AY77">
        <v>1</v>
      </c>
      <c r="AZ77">
        <v>1</v>
      </c>
      <c r="BD77">
        <v>1</v>
      </c>
      <c r="BP77" s="8" t="s">
        <v>7152</v>
      </c>
      <c r="BT77">
        <v>25</v>
      </c>
      <c r="BV77" s="9">
        <v>10</v>
      </c>
      <c r="BW77" s="9">
        <v>35</v>
      </c>
      <c r="BX77" s="9">
        <v>1</v>
      </c>
      <c r="BY77" s="9" t="s">
        <v>6987</v>
      </c>
      <c r="CB77" t="s">
        <v>140</v>
      </c>
      <c r="CG77" t="s">
        <v>7057</v>
      </c>
      <c r="CH77" t="s">
        <v>7146</v>
      </c>
      <c r="CI77" t="s">
        <v>4277</v>
      </c>
      <c r="CJ77" t="s">
        <v>7147</v>
      </c>
      <c r="CY77" t="s">
        <v>7034</v>
      </c>
    </row>
    <row r="78" spans="1:96">
      <c r="A78" t="s">
        <v>7152</v>
      </c>
      <c r="C78" t="s">
        <v>6968</v>
      </c>
      <c r="K78" s="6" t="s">
        <v>6953</v>
      </c>
      <c r="L78" s="6" t="s">
        <v>7098</v>
      </c>
      <c r="AC78">
        <v>1</v>
      </c>
      <c r="AY78" s="6"/>
      <c r="BD78">
        <v>1</v>
      </c>
      <c r="BV78"/>
      <c r="BW78"/>
      <c r="BX78"/>
      <c r="BY78"/>
      <c r="BZ78"/>
      <c r="CA78"/>
      <c r="CB78" s="6"/>
      <c r="CC78" s="6"/>
      <c r="CD78" s="6"/>
      <c r="CE78" s="6"/>
      <c r="CF78" s="6"/>
      <c r="CH78" s="6"/>
      <c r="CI78" s="6"/>
      <c r="CJ78" s="6"/>
      <c r="CK78" s="6"/>
      <c r="CL78" s="6"/>
      <c r="CM78" s="6"/>
      <c r="CN78" s="10" t="s">
        <v>7022</v>
      </c>
      <c r="CO78">
        <v>0.4</v>
      </c>
      <c r="CR78">
        <v>25</v>
      </c>
    </row>
    <row r="79" spans="51:91">
      <c r="AY79" s="6"/>
      <c r="BV79"/>
      <c r="BW79"/>
      <c r="BX79"/>
      <c r="BY79"/>
      <c r="BZ79"/>
      <c r="CA79"/>
      <c r="CB79" s="6"/>
      <c r="CC79" s="6"/>
      <c r="CD79" s="6"/>
      <c r="CE79" s="6"/>
      <c r="CF79" s="6"/>
      <c r="CH79" s="6"/>
      <c r="CI79" s="6"/>
      <c r="CJ79" s="6"/>
      <c r="CK79" s="6"/>
      <c r="CL79" s="6"/>
      <c r="CM79" s="6"/>
    </row>
    <row r="80" spans="1:103">
      <c r="A80" t="s">
        <v>7153</v>
      </c>
      <c r="C80" t="s">
        <v>6968</v>
      </c>
      <c r="K80" s="6" t="s">
        <v>6987</v>
      </c>
      <c r="AC80">
        <v>1</v>
      </c>
      <c r="AO80" t="s">
        <v>7055</v>
      </c>
      <c r="AT80" t="s">
        <v>7145</v>
      </c>
      <c r="AY80">
        <v>1</v>
      </c>
      <c r="AZ80">
        <v>1</v>
      </c>
      <c r="BD80">
        <v>1</v>
      </c>
      <c r="CB80" t="s">
        <v>140</v>
      </c>
      <c r="CG80" t="s">
        <v>7057</v>
      </c>
      <c r="CY80" t="s">
        <v>7034</v>
      </c>
    </row>
    <row r="81" spans="51:91">
      <c r="AY81" s="6"/>
      <c r="BV81"/>
      <c r="BW81"/>
      <c r="BX81"/>
      <c r="BY81"/>
      <c r="BZ81"/>
      <c r="CA81"/>
      <c r="CB81" s="6"/>
      <c r="CC81" s="6"/>
      <c r="CD81" s="6"/>
      <c r="CE81" s="6"/>
      <c r="CF81" s="6"/>
      <c r="CH81" s="6"/>
      <c r="CI81" s="6"/>
      <c r="CJ81" s="6"/>
      <c r="CK81" s="6"/>
      <c r="CL81" s="6"/>
      <c r="CM81" s="6"/>
    </row>
    <row r="82" spans="1:103">
      <c r="A82" t="s">
        <v>7154</v>
      </c>
      <c r="C82" t="s">
        <v>6968</v>
      </c>
      <c r="AC82">
        <v>2</v>
      </c>
      <c r="AD82">
        <v>1</v>
      </c>
      <c r="AO82" t="s">
        <v>7062</v>
      </c>
      <c r="AT82" t="s">
        <v>7076</v>
      </c>
      <c r="AX82" t="s">
        <v>7077</v>
      </c>
      <c r="AZ82">
        <v>1</v>
      </c>
      <c r="BD82">
        <v>1</v>
      </c>
      <c r="BJ82">
        <v>1.1</v>
      </c>
      <c r="BK82">
        <v>1</v>
      </c>
      <c r="BL82">
        <v>1</v>
      </c>
      <c r="CB82" t="s">
        <v>140</v>
      </c>
      <c r="CG82" t="s">
        <v>7057</v>
      </c>
      <c r="CY82" t="s">
        <v>7155</v>
      </c>
    </row>
    <row r="83" spans="1:108">
      <c r="A83" t="s">
        <v>7156</v>
      </c>
      <c r="C83" t="s">
        <v>7157</v>
      </c>
      <c r="K83" s="6" t="s">
        <v>6953</v>
      </c>
      <c r="L83" s="6" t="s">
        <v>7158</v>
      </c>
      <c r="AC83">
        <v>1</v>
      </c>
      <c r="AG83" t="s">
        <v>6955</v>
      </c>
      <c r="AY83" s="6"/>
      <c r="BD83">
        <v>1</v>
      </c>
      <c r="BV83"/>
      <c r="BW83"/>
      <c r="BX83"/>
      <c r="BY83"/>
      <c r="BZ83"/>
      <c r="CA83"/>
      <c r="CB83" s="6"/>
      <c r="CC83" s="6"/>
      <c r="CD83" s="6"/>
      <c r="CE83" s="6"/>
      <c r="CF83" s="6"/>
      <c r="CH83" s="6"/>
      <c r="CI83" s="6"/>
      <c r="CJ83" s="6"/>
      <c r="CK83" s="6"/>
      <c r="CL83" s="6"/>
      <c r="CM83" s="6"/>
      <c r="CU83" t="s">
        <v>7159</v>
      </c>
      <c r="DD83">
        <v>1</v>
      </c>
    </row>
    <row r="84" spans="51:91">
      <c r="AY84" s="6"/>
      <c r="BV84"/>
      <c r="BW84"/>
      <c r="BX84"/>
      <c r="BY84"/>
      <c r="BZ84"/>
      <c r="CA84"/>
      <c r="CB84" s="6"/>
      <c r="CC84" s="6"/>
      <c r="CD84" s="6"/>
      <c r="CE84" s="6"/>
      <c r="CF84" s="6"/>
      <c r="CH84" s="6"/>
      <c r="CI84" s="6"/>
      <c r="CJ84" s="6"/>
      <c r="CK84" s="6"/>
      <c r="CL84" s="6"/>
      <c r="CM84" s="6"/>
    </row>
    <row r="85" spans="1:87">
      <c r="A85" t="s">
        <v>7160</v>
      </c>
      <c r="C85" t="s">
        <v>6968</v>
      </c>
      <c r="AC85">
        <v>2</v>
      </c>
      <c r="AD85">
        <v>1</v>
      </c>
      <c r="AO85" t="s">
        <v>7062</v>
      </c>
      <c r="AP85" t="s">
        <v>4756</v>
      </c>
      <c r="AT85" t="s">
        <v>7145</v>
      </c>
      <c r="AX85" t="s">
        <v>7064</v>
      </c>
      <c r="AZ85">
        <v>1</v>
      </c>
      <c r="BD85">
        <v>1</v>
      </c>
      <c r="CB85" t="s">
        <v>140</v>
      </c>
      <c r="CG85" t="s">
        <v>7057</v>
      </c>
      <c r="CH85" t="s">
        <v>7071</v>
      </c>
      <c r="CI85" t="s">
        <v>4277</v>
      </c>
    </row>
    <row r="86" spans="1:96">
      <c r="A86" t="s">
        <v>7161</v>
      </c>
      <c r="C86" t="s">
        <v>6968</v>
      </c>
      <c r="K86" s="6" t="s">
        <v>6953</v>
      </c>
      <c r="L86" s="6" t="s">
        <v>6972</v>
      </c>
      <c r="AC86">
        <v>1</v>
      </c>
      <c r="AG86" t="s">
        <v>6955</v>
      </c>
      <c r="AH86">
        <v>1</v>
      </c>
      <c r="AY86" s="6"/>
      <c r="BD86">
        <v>1</v>
      </c>
      <c r="BV86"/>
      <c r="BW86"/>
      <c r="BX86"/>
      <c r="BY86"/>
      <c r="BZ86"/>
      <c r="CA86"/>
      <c r="CB86" s="6"/>
      <c r="CC86" s="6"/>
      <c r="CD86" s="6"/>
      <c r="CE86" s="6"/>
      <c r="CF86" s="6"/>
      <c r="CH86" s="6"/>
      <c r="CI86" s="6"/>
      <c r="CJ86" s="6"/>
      <c r="CK86" s="6"/>
      <c r="CL86" s="6"/>
      <c r="CM86" s="6"/>
      <c r="CN86" s="10" t="s">
        <v>7134</v>
      </c>
      <c r="CO86">
        <v>8</v>
      </c>
      <c r="CR86">
        <v>99999</v>
      </c>
    </row>
    <row r="87" spans="51:91">
      <c r="AY87" s="6"/>
      <c r="BV87"/>
      <c r="BW87"/>
      <c r="BX87"/>
      <c r="BY87"/>
      <c r="BZ87"/>
      <c r="CA87"/>
      <c r="CB87" s="6"/>
      <c r="CC87" s="6"/>
      <c r="CD87" s="6"/>
      <c r="CE87" s="6"/>
      <c r="CF87" s="6"/>
      <c r="CH87" s="6"/>
      <c r="CI87" s="6"/>
      <c r="CJ87" s="6"/>
      <c r="CK87" s="6"/>
      <c r="CL87" s="6"/>
      <c r="CM87" s="6"/>
    </row>
    <row r="88" spans="1:103">
      <c r="A88" t="s">
        <v>438</v>
      </c>
      <c r="C88" t="s">
        <v>6968</v>
      </c>
      <c r="AC88">
        <v>2</v>
      </c>
      <c r="AD88">
        <v>1</v>
      </c>
      <c r="AO88" t="s">
        <v>7062</v>
      </c>
      <c r="AP88" t="s">
        <v>7070</v>
      </c>
      <c r="AT88" t="s">
        <v>7145</v>
      </c>
      <c r="AX88" t="s">
        <v>7064</v>
      </c>
      <c r="AZ88">
        <v>1</v>
      </c>
      <c r="BD88">
        <v>1</v>
      </c>
      <c r="CB88" t="s">
        <v>140</v>
      </c>
      <c r="CG88" t="s">
        <v>7057</v>
      </c>
      <c r="CH88" t="s">
        <v>7071</v>
      </c>
      <c r="CI88" t="s">
        <v>4277</v>
      </c>
      <c r="CJ88" t="s">
        <v>7105</v>
      </c>
      <c r="CX88" t="s">
        <v>7073</v>
      </c>
      <c r="CY88" t="s">
        <v>7074</v>
      </c>
    </row>
    <row r="89" spans="1:103">
      <c r="A89" t="s">
        <v>439</v>
      </c>
      <c r="C89" t="s">
        <v>6968</v>
      </c>
      <c r="D89" t="s">
        <v>7162</v>
      </c>
      <c r="E89" t="s">
        <v>7163</v>
      </c>
      <c r="F89" t="s">
        <v>7164</v>
      </c>
      <c r="J89" t="s">
        <v>6985</v>
      </c>
      <c r="K89" s="6" t="s">
        <v>6987</v>
      </c>
      <c r="AC89">
        <v>2</v>
      </c>
      <c r="AD89">
        <v>1</v>
      </c>
      <c r="AO89" t="s">
        <v>7062</v>
      </c>
      <c r="AP89" t="s">
        <v>7070</v>
      </c>
      <c r="AT89" t="s">
        <v>7145</v>
      </c>
      <c r="AX89" t="s">
        <v>7064</v>
      </c>
      <c r="AZ89">
        <v>1.4</v>
      </c>
      <c r="BD89">
        <v>1</v>
      </c>
      <c r="BE89">
        <v>1</v>
      </c>
      <c r="BF89">
        <v>0.1</v>
      </c>
      <c r="BT89">
        <v>0.3</v>
      </c>
      <c r="BV89" s="9">
        <v>0</v>
      </c>
      <c r="BW89" s="9">
        <v>4</v>
      </c>
      <c r="BX89" s="9">
        <v>1</v>
      </c>
      <c r="BY89" s="9" t="s">
        <v>7142</v>
      </c>
      <c r="CB89" t="s">
        <v>140</v>
      </c>
      <c r="CG89" t="s">
        <v>7057</v>
      </c>
      <c r="CH89" t="s">
        <v>7071</v>
      </c>
      <c r="CI89" t="s">
        <v>4277</v>
      </c>
      <c r="CJ89" t="s">
        <v>7105</v>
      </c>
      <c r="CX89" t="s">
        <v>7073</v>
      </c>
      <c r="CY89" t="s">
        <v>7074</v>
      </c>
    </row>
    <row r="91" spans="1:85">
      <c r="A91" t="s">
        <v>7165</v>
      </c>
      <c r="C91" t="s">
        <v>4994</v>
      </c>
      <c r="AC91">
        <v>2</v>
      </c>
      <c r="AO91" t="s">
        <v>7062</v>
      </c>
      <c r="AT91" t="s">
        <v>7087</v>
      </c>
      <c r="AX91" t="s">
        <v>7064</v>
      </c>
      <c r="AZ91">
        <v>1</v>
      </c>
      <c r="BD91">
        <v>1</v>
      </c>
      <c r="CB91" t="s">
        <v>140</v>
      </c>
      <c r="CG91" t="s">
        <v>7057</v>
      </c>
    </row>
    <row r="92" spans="51:91">
      <c r="AY92" s="6"/>
      <c r="BV92"/>
      <c r="BW92"/>
      <c r="BX92"/>
      <c r="BY92"/>
      <c r="BZ92"/>
      <c r="CA92"/>
      <c r="CB92" s="6"/>
      <c r="CC92" s="6"/>
      <c r="CD92" s="6"/>
      <c r="CE92" s="6"/>
      <c r="CF92" s="6"/>
      <c r="CH92" s="6"/>
      <c r="CI92" s="6"/>
      <c r="CJ92" s="6"/>
      <c r="CK92" s="6"/>
      <c r="CL92" s="6"/>
      <c r="CM92" s="6"/>
    </row>
    <row r="93" spans="1:85">
      <c r="A93" t="s">
        <v>7166</v>
      </c>
      <c r="C93" t="s">
        <v>4994</v>
      </c>
      <c r="AC93">
        <v>2</v>
      </c>
      <c r="AO93" t="s">
        <v>7062</v>
      </c>
      <c r="AT93" t="s">
        <v>7087</v>
      </c>
      <c r="AX93" t="s">
        <v>7064</v>
      </c>
      <c r="AZ93">
        <v>1</v>
      </c>
      <c r="BD93">
        <v>1</v>
      </c>
      <c r="CB93" t="s">
        <v>140</v>
      </c>
      <c r="CG93" t="s">
        <v>7057</v>
      </c>
    </row>
    <row r="94" spans="51:91">
      <c r="AY94" s="6"/>
      <c r="BV94"/>
      <c r="BW94"/>
      <c r="BX94"/>
      <c r="BY94"/>
      <c r="BZ94"/>
      <c r="CA94"/>
      <c r="CB94" s="6"/>
      <c r="CC94" s="6"/>
      <c r="CD94" s="6"/>
      <c r="CE94" s="6"/>
      <c r="CF94" s="6"/>
      <c r="CH94" s="6"/>
      <c r="CI94" s="6"/>
      <c r="CJ94" s="6"/>
      <c r="CK94" s="6"/>
      <c r="CL94" s="6"/>
      <c r="CM94" s="6"/>
    </row>
    <row r="95" spans="1:103">
      <c r="A95" t="s">
        <v>7167</v>
      </c>
      <c r="C95" t="s">
        <v>4994</v>
      </c>
      <c r="AC95">
        <v>2</v>
      </c>
      <c r="AO95" t="s">
        <v>7062</v>
      </c>
      <c r="AT95" t="s">
        <v>7063</v>
      </c>
      <c r="AX95" t="s">
        <v>7064</v>
      </c>
      <c r="AZ95">
        <v>1</v>
      </c>
      <c r="BD95">
        <v>1</v>
      </c>
      <c r="CB95" t="s">
        <v>7109</v>
      </c>
      <c r="CG95" t="s">
        <v>7057</v>
      </c>
      <c r="CY95" t="s">
        <v>7065</v>
      </c>
    </row>
    <row r="96" spans="51:91">
      <c r="AY96" s="6"/>
      <c r="BV96"/>
      <c r="BW96"/>
      <c r="BX96"/>
      <c r="BY96"/>
      <c r="BZ96"/>
      <c r="CA96"/>
      <c r="CB96" s="6"/>
      <c r="CC96" s="6"/>
      <c r="CD96" s="6"/>
      <c r="CE96" s="6"/>
      <c r="CF96" s="6"/>
      <c r="CH96" s="6"/>
      <c r="CI96" s="6"/>
      <c r="CJ96" s="6"/>
      <c r="CK96" s="6"/>
      <c r="CL96" s="6"/>
      <c r="CM96" s="6"/>
    </row>
    <row r="97" spans="1:103">
      <c r="A97" t="s">
        <v>458</v>
      </c>
      <c r="C97" t="s">
        <v>6968</v>
      </c>
      <c r="AC97">
        <v>2</v>
      </c>
      <c r="AD97">
        <v>1</v>
      </c>
      <c r="AO97" t="s">
        <v>7062</v>
      </c>
      <c r="AT97" t="s">
        <v>7056</v>
      </c>
      <c r="AX97" t="s">
        <v>7077</v>
      </c>
      <c r="AZ97">
        <v>1</v>
      </c>
      <c r="BD97">
        <v>1</v>
      </c>
      <c r="CB97" t="s">
        <v>7168</v>
      </c>
      <c r="CG97" t="s">
        <v>7057</v>
      </c>
      <c r="CH97" t="s">
        <v>7169</v>
      </c>
      <c r="CI97" t="s">
        <v>4277</v>
      </c>
      <c r="CN97" s="10" t="s">
        <v>7170</v>
      </c>
      <c r="CO97">
        <v>-0.23</v>
      </c>
      <c r="CR97">
        <v>1</v>
      </c>
      <c r="CX97" t="s">
        <v>7171</v>
      </c>
      <c r="CY97" t="s">
        <v>7172</v>
      </c>
    </row>
    <row r="98" spans="1:96">
      <c r="A98" t="s">
        <v>7173</v>
      </c>
      <c r="C98" t="s">
        <v>6968</v>
      </c>
      <c r="D98" t="s">
        <v>7174</v>
      </c>
      <c r="E98" t="s">
        <v>7175</v>
      </c>
      <c r="F98" t="s">
        <v>7176</v>
      </c>
      <c r="G98">
        <v>3</v>
      </c>
      <c r="J98" t="s">
        <v>6985</v>
      </c>
      <c r="K98" s="6" t="s">
        <v>6986</v>
      </c>
      <c r="AC98">
        <v>1</v>
      </c>
      <c r="AY98" s="6"/>
      <c r="BD98">
        <v>1</v>
      </c>
      <c r="BT98">
        <v>25</v>
      </c>
      <c r="BV98" s="9">
        <v>0</v>
      </c>
      <c r="BW98" s="9">
        <v>25</v>
      </c>
      <c r="BX98" s="9">
        <v>1</v>
      </c>
      <c r="BY98" s="9" t="s">
        <v>6987</v>
      </c>
      <c r="CB98" s="6"/>
      <c r="CC98" s="6"/>
      <c r="CD98" s="6"/>
      <c r="CE98" s="6"/>
      <c r="CF98" s="6"/>
      <c r="CH98" s="6"/>
      <c r="CI98" s="6"/>
      <c r="CJ98" s="6"/>
      <c r="CK98" s="6"/>
      <c r="CL98" s="6"/>
      <c r="CM98" s="6"/>
      <c r="CN98" s="10" t="s">
        <v>7177</v>
      </c>
      <c r="CO98" t="s">
        <v>7178</v>
      </c>
      <c r="CP98">
        <v>-0.75</v>
      </c>
      <c r="CR98">
        <v>25</v>
      </c>
    </row>
    <row r="99" spans="51:91">
      <c r="AY99" s="6"/>
      <c r="CB99" s="6"/>
      <c r="CC99" s="6"/>
      <c r="CD99" s="6"/>
      <c r="CE99" s="6"/>
      <c r="CF99" s="6"/>
      <c r="CH99" s="6"/>
      <c r="CI99" s="6"/>
      <c r="CJ99" s="6"/>
      <c r="CK99" s="6"/>
      <c r="CL99" s="6"/>
      <c r="CM99" s="6"/>
    </row>
    <row r="100" spans="1:91">
      <c r="A100" t="s">
        <v>7179</v>
      </c>
      <c r="C100" t="s">
        <v>6968</v>
      </c>
      <c r="J100" t="s">
        <v>7091</v>
      </c>
      <c r="K100" s="6" t="s">
        <v>6953</v>
      </c>
      <c r="L100" s="6" t="s">
        <v>7158</v>
      </c>
      <c r="AC100">
        <v>1</v>
      </c>
      <c r="AG100" t="s">
        <v>6955</v>
      </c>
      <c r="AH100">
        <v>1</v>
      </c>
      <c r="AY100" s="6"/>
      <c r="BD100">
        <v>1</v>
      </c>
      <c r="BP100" s="8" t="s">
        <v>7180</v>
      </c>
      <c r="BV100"/>
      <c r="BW100"/>
      <c r="BX100"/>
      <c r="BY100"/>
      <c r="BZ100"/>
      <c r="CA100"/>
      <c r="CB100" s="6"/>
      <c r="CC100" s="6"/>
      <c r="CD100" s="6"/>
      <c r="CE100" s="6"/>
      <c r="CF100" s="6"/>
      <c r="CH100" s="6"/>
      <c r="CI100" s="6"/>
      <c r="CJ100" s="6"/>
      <c r="CK100" s="6"/>
      <c r="CL100" s="6"/>
      <c r="CM100" s="6"/>
    </row>
    <row r="101" spans="1:96">
      <c r="A101" t="s">
        <v>7181</v>
      </c>
      <c r="C101" t="s">
        <v>6968</v>
      </c>
      <c r="J101" t="s">
        <v>7091</v>
      </c>
      <c r="K101" s="6" t="s">
        <v>6953</v>
      </c>
      <c r="AC101">
        <v>1</v>
      </c>
      <c r="AG101" t="s">
        <v>6955</v>
      </c>
      <c r="AH101">
        <v>1</v>
      </c>
      <c r="AY101" s="6"/>
      <c r="BD101">
        <v>1</v>
      </c>
      <c r="BV101"/>
      <c r="BW101"/>
      <c r="BX101"/>
      <c r="BY101"/>
      <c r="BZ101"/>
      <c r="CA101"/>
      <c r="CB101" s="6"/>
      <c r="CC101" s="6"/>
      <c r="CD101" s="6"/>
      <c r="CE101" s="6"/>
      <c r="CF101" s="6"/>
      <c r="CH101" s="6"/>
      <c r="CI101" s="6"/>
      <c r="CJ101" s="6"/>
      <c r="CK101" s="6"/>
      <c r="CL101" s="6"/>
      <c r="CM101" s="6"/>
      <c r="CN101" s="10" t="s">
        <v>7182</v>
      </c>
      <c r="CO101">
        <v>0.15</v>
      </c>
      <c r="CR101">
        <v>99999</v>
      </c>
    </row>
    <row r="102" spans="1:96">
      <c r="A102" t="s">
        <v>7183</v>
      </c>
      <c r="C102" t="s">
        <v>6968</v>
      </c>
      <c r="J102" t="s">
        <v>7091</v>
      </c>
      <c r="K102" s="6" t="s">
        <v>6953</v>
      </c>
      <c r="AC102">
        <v>1</v>
      </c>
      <c r="AG102" t="s">
        <v>6955</v>
      </c>
      <c r="AH102">
        <v>1</v>
      </c>
      <c r="AY102" s="6"/>
      <c r="BD102">
        <v>1</v>
      </c>
      <c r="BV102"/>
      <c r="BW102"/>
      <c r="BX102"/>
      <c r="BY102"/>
      <c r="BZ102"/>
      <c r="CA102"/>
      <c r="CB102" s="6"/>
      <c r="CC102" s="6"/>
      <c r="CD102" s="6"/>
      <c r="CE102" s="6"/>
      <c r="CF102" s="6"/>
      <c r="CH102" s="6"/>
      <c r="CI102" s="6"/>
      <c r="CJ102" s="6"/>
      <c r="CK102" s="6"/>
      <c r="CL102" s="6"/>
      <c r="CM102" s="6"/>
      <c r="CN102" s="10" t="s">
        <v>7184</v>
      </c>
      <c r="CO102">
        <v>0.15</v>
      </c>
      <c r="CR102">
        <v>99999</v>
      </c>
    </row>
    <row r="103" spans="1:96">
      <c r="A103" t="s">
        <v>7185</v>
      </c>
      <c r="C103" t="s">
        <v>6968</v>
      </c>
      <c r="J103" t="s">
        <v>7091</v>
      </c>
      <c r="K103" s="6" t="s">
        <v>6953</v>
      </c>
      <c r="AC103">
        <v>1</v>
      </c>
      <c r="AG103" t="s">
        <v>6955</v>
      </c>
      <c r="AH103">
        <v>1</v>
      </c>
      <c r="AY103" s="6"/>
      <c r="BD103">
        <v>1</v>
      </c>
      <c r="BV103"/>
      <c r="BW103"/>
      <c r="BX103"/>
      <c r="BY103"/>
      <c r="BZ103"/>
      <c r="CA103"/>
      <c r="CB103" s="6"/>
      <c r="CC103" s="6"/>
      <c r="CD103" s="6"/>
      <c r="CE103" s="6"/>
      <c r="CF103" s="6"/>
      <c r="CH103" s="6"/>
      <c r="CI103" s="6"/>
      <c r="CJ103" s="6"/>
      <c r="CK103" s="6"/>
      <c r="CL103" s="6"/>
      <c r="CM103" s="6"/>
      <c r="CN103" s="10" t="s">
        <v>7186</v>
      </c>
      <c r="CO103">
        <v>0.22</v>
      </c>
      <c r="CR103">
        <v>99999</v>
      </c>
    </row>
    <row r="104" spans="1:103">
      <c r="A104" t="s">
        <v>7187</v>
      </c>
      <c r="C104" t="s">
        <v>6968</v>
      </c>
      <c r="AC104">
        <v>2</v>
      </c>
      <c r="AD104">
        <v>1</v>
      </c>
      <c r="AO104" t="s">
        <v>7062</v>
      </c>
      <c r="AT104" t="s">
        <v>7076</v>
      </c>
      <c r="AX104" t="s">
        <v>7077</v>
      </c>
      <c r="AZ104">
        <v>1</v>
      </c>
      <c r="BD104">
        <v>1</v>
      </c>
      <c r="BJ104">
        <v>1.1</v>
      </c>
      <c r="BK104">
        <v>1</v>
      </c>
      <c r="BL104">
        <v>1</v>
      </c>
      <c r="CB104" t="s">
        <v>140</v>
      </c>
      <c r="CG104" t="s">
        <v>7057</v>
      </c>
      <c r="CW104" t="s">
        <v>7188</v>
      </c>
      <c r="CY104" t="s">
        <v>7189</v>
      </c>
    </row>
    <row r="105" spans="1:107">
      <c r="A105" t="s">
        <v>7190</v>
      </c>
      <c r="C105" t="s">
        <v>6968</v>
      </c>
      <c r="D105" t="s">
        <v>7191</v>
      </c>
      <c r="E105" t="s">
        <v>7192</v>
      </c>
      <c r="F105" t="s">
        <v>7193</v>
      </c>
      <c r="G105">
        <v>3</v>
      </c>
      <c r="J105" t="s">
        <v>7091</v>
      </c>
      <c r="K105" s="6" t="s">
        <v>6986</v>
      </c>
      <c r="AC105">
        <v>2</v>
      </c>
      <c r="AD105">
        <v>1</v>
      </c>
      <c r="AO105" t="s">
        <v>7062</v>
      </c>
      <c r="AT105" t="s">
        <v>7145</v>
      </c>
      <c r="AX105" t="s">
        <v>7077</v>
      </c>
      <c r="AZ105">
        <v>1</v>
      </c>
      <c r="BD105">
        <v>99</v>
      </c>
      <c r="BP105" s="8" t="s">
        <v>7194</v>
      </c>
      <c r="BT105">
        <v>30</v>
      </c>
      <c r="BV105" s="9">
        <v>50</v>
      </c>
      <c r="BW105" s="9">
        <v>85</v>
      </c>
      <c r="BX105" s="9">
        <v>1</v>
      </c>
      <c r="BY105" s="9" t="s">
        <v>6987</v>
      </c>
      <c r="CB105" t="s">
        <v>140</v>
      </c>
      <c r="CG105" t="s">
        <v>7057</v>
      </c>
      <c r="CW105" t="s">
        <v>7195</v>
      </c>
      <c r="CY105" t="s">
        <v>7196</v>
      </c>
      <c r="DC105" t="s">
        <v>7197</v>
      </c>
    </row>
    <row r="106" spans="1:107">
      <c r="A106" t="s">
        <v>7198</v>
      </c>
      <c r="C106" t="s">
        <v>6968</v>
      </c>
      <c r="K106" s="6" t="s">
        <v>6953</v>
      </c>
      <c r="L106" s="6" t="s">
        <v>7098</v>
      </c>
      <c r="AC106">
        <v>1</v>
      </c>
      <c r="AY106" s="6"/>
      <c r="BD106">
        <v>1</v>
      </c>
      <c r="BV106"/>
      <c r="BW106"/>
      <c r="BX106"/>
      <c r="BY106"/>
      <c r="BZ106"/>
      <c r="CA106"/>
      <c r="CB106" s="6"/>
      <c r="CC106" s="6"/>
      <c r="CD106" s="6"/>
      <c r="CE106" s="6"/>
      <c r="CF106" s="6"/>
      <c r="CH106" s="6"/>
      <c r="CI106" s="6"/>
      <c r="CJ106" s="6"/>
      <c r="CK106" s="6"/>
      <c r="CL106" s="6"/>
      <c r="CM106" s="6"/>
      <c r="CN106" s="10" t="s">
        <v>7199</v>
      </c>
      <c r="CO106" s="6">
        <v>1</v>
      </c>
      <c r="CP106" s="6"/>
      <c r="CQ106" s="6"/>
      <c r="CR106" s="6">
        <v>30</v>
      </c>
      <c r="CS106" s="6"/>
      <c r="CT106" s="6"/>
      <c r="CU106" s="6"/>
      <c r="CV106" s="6"/>
      <c r="CW106" s="6"/>
      <c r="CX106" s="6"/>
      <c r="CY106" s="6"/>
      <c r="CZ106" s="6"/>
      <c r="DA106" s="6"/>
      <c r="DB106" s="6"/>
      <c r="DC106" s="6"/>
    </row>
    <row r="107" spans="1:96">
      <c r="A107" t="s">
        <v>7200</v>
      </c>
      <c r="C107" t="s">
        <v>6968</v>
      </c>
      <c r="K107" s="6" t="s">
        <v>6953</v>
      </c>
      <c r="L107" s="6" t="s">
        <v>7201</v>
      </c>
      <c r="AC107">
        <v>1</v>
      </c>
      <c r="AY107" s="6"/>
      <c r="CB107" s="6"/>
      <c r="CC107" s="6"/>
      <c r="CD107" s="6"/>
      <c r="CE107" s="6"/>
      <c r="CF107" s="6"/>
      <c r="CH107" s="6"/>
      <c r="CI107" s="6"/>
      <c r="CJ107" s="6"/>
      <c r="CK107" s="6"/>
      <c r="CL107" s="6"/>
      <c r="CM107" s="6"/>
      <c r="CN107" s="10" t="s">
        <v>7100</v>
      </c>
      <c r="CR107">
        <v>10</v>
      </c>
    </row>
    <row r="108" spans="51:91">
      <c r="AY108" s="6"/>
      <c r="CB108" s="6"/>
      <c r="CC108" s="6"/>
      <c r="CD108" s="6"/>
      <c r="CE108" s="6"/>
      <c r="CF108" s="6"/>
      <c r="CH108" s="6"/>
      <c r="CI108" s="6"/>
      <c r="CJ108" s="6"/>
      <c r="CK108" s="6"/>
      <c r="CL108" s="6"/>
      <c r="CM108" s="6"/>
    </row>
    <row r="109" spans="1:103">
      <c r="A109" t="s">
        <v>468</v>
      </c>
      <c r="C109" t="s">
        <v>6968</v>
      </c>
      <c r="AC109">
        <v>2</v>
      </c>
      <c r="AD109">
        <v>1</v>
      </c>
      <c r="AO109" t="s">
        <v>7062</v>
      </c>
      <c r="AP109" t="s">
        <v>7070</v>
      </c>
      <c r="AT109" t="s">
        <v>7145</v>
      </c>
      <c r="AX109" t="s">
        <v>7064</v>
      </c>
      <c r="AZ109">
        <v>1</v>
      </c>
      <c r="BD109">
        <v>1</v>
      </c>
      <c r="CB109" t="s">
        <v>140</v>
      </c>
      <c r="CG109" t="s">
        <v>7057</v>
      </c>
      <c r="CX109" t="s">
        <v>7202</v>
      </c>
      <c r="CY109" t="s">
        <v>7203</v>
      </c>
    </row>
    <row r="110" spans="1:103">
      <c r="A110" t="s">
        <v>7204</v>
      </c>
      <c r="C110" t="s">
        <v>6968</v>
      </c>
      <c r="D110" t="s">
        <v>7205</v>
      </c>
      <c r="E110" t="s">
        <v>7206</v>
      </c>
      <c r="F110" t="s">
        <v>7207</v>
      </c>
      <c r="G110">
        <v>3</v>
      </c>
      <c r="J110" t="s">
        <v>6985</v>
      </c>
      <c r="K110" s="6" t="s">
        <v>6987</v>
      </c>
      <c r="AC110">
        <v>2</v>
      </c>
      <c r="AD110">
        <v>1</v>
      </c>
      <c r="AO110" t="s">
        <v>7062</v>
      </c>
      <c r="AP110" t="s">
        <v>7070</v>
      </c>
      <c r="AT110" t="s">
        <v>7145</v>
      </c>
      <c r="AX110" t="s">
        <v>7064</v>
      </c>
      <c r="AZ110">
        <v>2.3</v>
      </c>
      <c r="BD110">
        <v>1</v>
      </c>
      <c r="BT110">
        <v>0.2</v>
      </c>
      <c r="BV110" s="9">
        <v>0</v>
      </c>
      <c r="BW110" s="9">
        <v>3</v>
      </c>
      <c r="BX110" s="9">
        <v>1</v>
      </c>
      <c r="BY110" s="9" t="s">
        <v>7142</v>
      </c>
      <c r="CB110" t="s">
        <v>140</v>
      </c>
      <c r="CG110" t="s">
        <v>7057</v>
      </c>
      <c r="CX110" t="s">
        <v>7208</v>
      </c>
      <c r="CY110" t="s">
        <v>7209</v>
      </c>
    </row>
    <row r="111" spans="1:96">
      <c r="A111" t="s">
        <v>7210</v>
      </c>
      <c r="C111" t="s">
        <v>6968</v>
      </c>
      <c r="D111" t="s">
        <v>7211</v>
      </c>
      <c r="E111" t="s">
        <v>7212</v>
      </c>
      <c r="F111" t="s">
        <v>7213</v>
      </c>
      <c r="G111">
        <v>3</v>
      </c>
      <c r="J111" t="s">
        <v>6985</v>
      </c>
      <c r="K111" s="6" t="s">
        <v>6986</v>
      </c>
      <c r="AC111">
        <v>1</v>
      </c>
      <c r="AY111" s="6"/>
      <c r="BD111">
        <v>1</v>
      </c>
      <c r="BT111">
        <v>25</v>
      </c>
      <c r="BV111" s="9">
        <v>20</v>
      </c>
      <c r="BW111" s="9">
        <v>40</v>
      </c>
      <c r="BX111" s="9">
        <v>1</v>
      </c>
      <c r="BY111" s="9" t="s">
        <v>6987</v>
      </c>
      <c r="CB111" s="6"/>
      <c r="CC111" s="6"/>
      <c r="CD111" s="6"/>
      <c r="CE111" s="6"/>
      <c r="CF111" s="6"/>
      <c r="CH111" s="6"/>
      <c r="CI111" s="6"/>
      <c r="CJ111" s="6"/>
      <c r="CK111" s="6"/>
      <c r="CL111" s="6"/>
      <c r="CM111" s="6"/>
      <c r="CN111" s="10" t="s">
        <v>7214</v>
      </c>
      <c r="CO111">
        <v>0.8</v>
      </c>
      <c r="CR111">
        <v>25</v>
      </c>
    </row>
    <row r="112" spans="51:91">
      <c r="AY112" s="6"/>
      <c r="CB112" s="6"/>
      <c r="CC112" s="6"/>
      <c r="CD112" s="6"/>
      <c r="CE112" s="6"/>
      <c r="CF112" s="6"/>
      <c r="CH112" s="6"/>
      <c r="CI112" s="6"/>
      <c r="CJ112" s="6"/>
      <c r="CK112" s="6"/>
      <c r="CL112" s="6"/>
      <c r="CM112" s="6"/>
    </row>
    <row r="113" spans="1:103">
      <c r="A113" t="s">
        <v>473</v>
      </c>
      <c r="C113" t="s">
        <v>6968</v>
      </c>
      <c r="AC113">
        <v>2</v>
      </c>
      <c r="AD113">
        <v>1</v>
      </c>
      <c r="AO113" t="s">
        <v>7062</v>
      </c>
      <c r="AP113" t="s">
        <v>7070</v>
      </c>
      <c r="AT113" t="s">
        <v>7145</v>
      </c>
      <c r="AX113" t="s">
        <v>7064</v>
      </c>
      <c r="AZ113">
        <v>1</v>
      </c>
      <c r="BD113">
        <v>1</v>
      </c>
      <c r="CB113" t="s">
        <v>140</v>
      </c>
      <c r="CG113" t="s">
        <v>7057</v>
      </c>
      <c r="CH113" t="s">
        <v>7071</v>
      </c>
      <c r="CI113" t="s">
        <v>4277</v>
      </c>
      <c r="CJ113" t="s">
        <v>7215</v>
      </c>
      <c r="CY113" t="s">
        <v>7074</v>
      </c>
    </row>
    <row r="114" spans="1:103">
      <c r="A114" t="s">
        <v>7216</v>
      </c>
      <c r="C114" t="s">
        <v>6968</v>
      </c>
      <c r="D114" t="s">
        <v>7217</v>
      </c>
      <c r="E114" t="s">
        <v>7218</v>
      </c>
      <c r="F114" t="s">
        <v>7219</v>
      </c>
      <c r="G114">
        <v>3</v>
      </c>
      <c r="J114" t="s">
        <v>6985</v>
      </c>
      <c r="K114" s="6" t="s">
        <v>6987</v>
      </c>
      <c r="AC114">
        <v>2</v>
      </c>
      <c r="AD114">
        <v>1</v>
      </c>
      <c r="AO114" t="s">
        <v>7062</v>
      </c>
      <c r="AP114" t="s">
        <v>7070</v>
      </c>
      <c r="AT114" t="s">
        <v>7145</v>
      </c>
      <c r="AX114" t="s">
        <v>7064</v>
      </c>
      <c r="AZ114">
        <v>1.8</v>
      </c>
      <c r="BD114">
        <v>1</v>
      </c>
      <c r="BT114">
        <v>0.2</v>
      </c>
      <c r="BV114" s="9">
        <v>0</v>
      </c>
      <c r="BW114" s="9">
        <v>4</v>
      </c>
      <c r="BX114" s="9">
        <v>1</v>
      </c>
      <c r="BY114" s="9" t="s">
        <v>7142</v>
      </c>
      <c r="CB114" t="s">
        <v>140</v>
      </c>
      <c r="CG114" t="s">
        <v>7057</v>
      </c>
      <c r="CH114" t="s">
        <v>7220</v>
      </c>
      <c r="CI114" t="s">
        <v>4277</v>
      </c>
      <c r="CJ114" t="s">
        <v>7215</v>
      </c>
      <c r="CN114" s="10" t="s">
        <v>7221</v>
      </c>
      <c r="CO114">
        <v>-0.35</v>
      </c>
      <c r="CR114">
        <v>5</v>
      </c>
      <c r="CY114" t="s">
        <v>7222</v>
      </c>
    </row>
    <row r="115" spans="1:103">
      <c r="A115" t="s">
        <v>7223</v>
      </c>
      <c r="C115" t="s">
        <v>6968</v>
      </c>
      <c r="D115" t="s">
        <v>7224</v>
      </c>
      <c r="E115" t="s">
        <v>7225</v>
      </c>
      <c r="F115" t="s">
        <v>7226</v>
      </c>
      <c r="G115">
        <v>3</v>
      </c>
      <c r="J115" t="s">
        <v>6985</v>
      </c>
      <c r="K115" s="6" t="s">
        <v>6986</v>
      </c>
      <c r="AC115">
        <v>2</v>
      </c>
      <c r="AD115">
        <v>1</v>
      </c>
      <c r="AO115" t="s">
        <v>7062</v>
      </c>
      <c r="AP115" t="s">
        <v>7070</v>
      </c>
      <c r="AT115" t="s">
        <v>7145</v>
      </c>
      <c r="AX115" t="s">
        <v>7064</v>
      </c>
      <c r="AZ115">
        <v>2</v>
      </c>
      <c r="BD115">
        <v>5</v>
      </c>
      <c r="BT115">
        <v>0.2</v>
      </c>
      <c r="BV115" s="9">
        <v>0</v>
      </c>
      <c r="BW115" s="9">
        <v>15</v>
      </c>
      <c r="BX115" s="9">
        <v>1</v>
      </c>
      <c r="BY115" s="9" t="s">
        <v>6987</v>
      </c>
      <c r="CB115" t="s">
        <v>140</v>
      </c>
      <c r="CG115" t="s">
        <v>7057</v>
      </c>
      <c r="CH115" t="s">
        <v>7227</v>
      </c>
      <c r="CI115" t="s">
        <v>4277</v>
      </c>
      <c r="CJ115" t="s">
        <v>7215</v>
      </c>
      <c r="CN115" s="10" t="s">
        <v>7221</v>
      </c>
      <c r="CO115">
        <v>-0.4</v>
      </c>
      <c r="CR115">
        <v>5</v>
      </c>
      <c r="CY115" t="s">
        <v>7222</v>
      </c>
    </row>
    <row r="117" spans="1:96">
      <c r="A117" t="s">
        <v>7228</v>
      </c>
      <c r="C117" t="s">
        <v>6968</v>
      </c>
      <c r="K117" s="6" t="s">
        <v>6953</v>
      </c>
      <c r="L117" s="6" t="s">
        <v>6972</v>
      </c>
      <c r="AC117">
        <v>1</v>
      </c>
      <c r="AG117" t="s">
        <v>6955</v>
      </c>
      <c r="AH117">
        <v>1</v>
      </c>
      <c r="AY117" s="6"/>
      <c r="BD117">
        <v>1</v>
      </c>
      <c r="BV117"/>
      <c r="BW117"/>
      <c r="BX117"/>
      <c r="BY117"/>
      <c r="BZ117"/>
      <c r="CA117"/>
      <c r="CB117" s="6"/>
      <c r="CC117" s="6"/>
      <c r="CD117" s="6"/>
      <c r="CE117" s="6"/>
      <c r="CF117" s="6"/>
      <c r="CH117" s="6"/>
      <c r="CI117" s="6"/>
      <c r="CJ117" s="6"/>
      <c r="CK117" s="6"/>
      <c r="CL117" s="6"/>
      <c r="CM117" s="6"/>
      <c r="CN117" s="10" t="s">
        <v>7228</v>
      </c>
      <c r="CO117" t="s">
        <v>7229</v>
      </c>
      <c r="CR117">
        <v>99999</v>
      </c>
    </row>
    <row r="118" spans="1:103">
      <c r="A118" t="s">
        <v>7230</v>
      </c>
      <c r="C118" t="s">
        <v>6968</v>
      </c>
      <c r="AC118">
        <v>2</v>
      </c>
      <c r="AD118">
        <v>1</v>
      </c>
      <c r="AO118" t="s">
        <v>7062</v>
      </c>
      <c r="AT118" t="s">
        <v>7231</v>
      </c>
      <c r="AX118" t="s">
        <v>7064</v>
      </c>
      <c r="AZ118">
        <v>1</v>
      </c>
      <c r="BD118">
        <v>1</v>
      </c>
      <c r="BJ118">
        <v>1</v>
      </c>
      <c r="BK118">
        <v>1</v>
      </c>
      <c r="BL118">
        <v>1</v>
      </c>
      <c r="CB118" t="s">
        <v>140</v>
      </c>
      <c r="CG118" t="s">
        <v>7057</v>
      </c>
      <c r="CH118" t="s">
        <v>7232</v>
      </c>
      <c r="CI118" t="s">
        <v>4277</v>
      </c>
      <c r="CY118" t="s">
        <v>7233</v>
      </c>
    </row>
    <row r="119" spans="1:103">
      <c r="A119" t="s">
        <v>7234</v>
      </c>
      <c r="C119" t="s">
        <v>6968</v>
      </c>
      <c r="D119" t="s">
        <v>7235</v>
      </c>
      <c r="E119" t="s">
        <v>7236</v>
      </c>
      <c r="F119" t="s">
        <v>7237</v>
      </c>
      <c r="G119">
        <v>3</v>
      </c>
      <c r="J119" t="s">
        <v>7091</v>
      </c>
      <c r="K119" s="6" t="s">
        <v>6986</v>
      </c>
      <c r="AC119">
        <v>2</v>
      </c>
      <c r="AD119">
        <v>1</v>
      </c>
      <c r="AO119" t="s">
        <v>7062</v>
      </c>
      <c r="AT119" t="s">
        <v>7238</v>
      </c>
      <c r="AX119" t="s">
        <v>7064</v>
      </c>
      <c r="AZ119">
        <v>1</v>
      </c>
      <c r="BD119">
        <v>1</v>
      </c>
      <c r="BJ119">
        <v>1</v>
      </c>
      <c r="BK119">
        <v>1</v>
      </c>
      <c r="BL119">
        <v>1</v>
      </c>
      <c r="BT119">
        <v>25</v>
      </c>
      <c r="BV119" s="9">
        <v>10</v>
      </c>
      <c r="BW119" s="9">
        <v>15</v>
      </c>
      <c r="BX119" s="9">
        <v>1</v>
      </c>
      <c r="BY119" s="9" t="s">
        <v>6987</v>
      </c>
      <c r="CB119" t="s">
        <v>140</v>
      </c>
      <c r="CG119" t="s">
        <v>7057</v>
      </c>
      <c r="CH119" t="s">
        <v>7232</v>
      </c>
      <c r="CI119" t="s">
        <v>4277</v>
      </c>
      <c r="CY119" t="s">
        <v>7233</v>
      </c>
    </row>
    <row r="120" spans="1:96">
      <c r="A120" t="s">
        <v>7239</v>
      </c>
      <c r="C120" t="s">
        <v>6968</v>
      </c>
      <c r="D120" t="s">
        <v>7240</v>
      </c>
      <c r="E120" t="s">
        <v>7241</v>
      </c>
      <c r="F120" t="s">
        <v>7242</v>
      </c>
      <c r="G120">
        <v>3</v>
      </c>
      <c r="J120" t="s">
        <v>7091</v>
      </c>
      <c r="K120" s="6" t="s">
        <v>6986</v>
      </c>
      <c r="AB120">
        <v>1</v>
      </c>
      <c r="AC120">
        <v>2</v>
      </c>
      <c r="AD120">
        <v>1</v>
      </c>
      <c r="AO120" t="s">
        <v>7062</v>
      </c>
      <c r="AT120" t="s">
        <v>7231</v>
      </c>
      <c r="AX120" t="s">
        <v>7077</v>
      </c>
      <c r="AZ120">
        <v>0.8</v>
      </c>
      <c r="BD120">
        <v>1</v>
      </c>
      <c r="BJ120">
        <v>1</v>
      </c>
      <c r="BK120">
        <v>1</v>
      </c>
      <c r="BL120">
        <v>1</v>
      </c>
      <c r="BT120">
        <v>25</v>
      </c>
      <c r="BV120" s="9">
        <v>0</v>
      </c>
      <c r="BW120" s="9">
        <v>25</v>
      </c>
      <c r="BX120" s="9">
        <v>1</v>
      </c>
      <c r="BY120" s="9" t="s">
        <v>6987</v>
      </c>
      <c r="CB120" t="s">
        <v>140</v>
      </c>
      <c r="CG120" t="s">
        <v>7057</v>
      </c>
      <c r="CH120" t="s">
        <v>7243</v>
      </c>
      <c r="CI120" t="s">
        <v>4277</v>
      </c>
      <c r="CN120" s="10" t="s">
        <v>7244</v>
      </c>
      <c r="CO120">
        <v>-0.35</v>
      </c>
      <c r="CR120">
        <v>1</v>
      </c>
    </row>
    <row r="122" spans="1:103">
      <c r="A122" t="s">
        <v>7245</v>
      </c>
      <c r="C122" t="s">
        <v>4994</v>
      </c>
      <c r="AC122">
        <v>2</v>
      </c>
      <c r="AO122" t="s">
        <v>7062</v>
      </c>
      <c r="AT122" t="s">
        <v>7246</v>
      </c>
      <c r="AX122" t="s">
        <v>7064</v>
      </c>
      <c r="AZ122">
        <v>1</v>
      </c>
      <c r="BD122">
        <v>1</v>
      </c>
      <c r="CB122" t="s">
        <v>140</v>
      </c>
      <c r="CD122" t="s">
        <v>7247</v>
      </c>
      <c r="CG122" t="s">
        <v>7057</v>
      </c>
      <c r="CJ122" t="s">
        <v>7248</v>
      </c>
      <c r="CY122" t="s">
        <v>7249</v>
      </c>
    </row>
    <row r="123" spans="1:96">
      <c r="A123" t="s">
        <v>7250</v>
      </c>
      <c r="C123" t="s">
        <v>6968</v>
      </c>
      <c r="K123" t="s">
        <v>6987</v>
      </c>
      <c r="L123"/>
      <c r="M123"/>
      <c r="N123"/>
      <c r="O123"/>
      <c r="P123"/>
      <c r="Q123"/>
      <c r="R123"/>
      <c r="S123"/>
      <c r="T123"/>
      <c r="U123"/>
      <c r="V123"/>
      <c r="W123"/>
      <c r="X123"/>
      <c r="AC123">
        <v>1</v>
      </c>
      <c r="AK123">
        <v>3</v>
      </c>
      <c r="AV123">
        <v>99</v>
      </c>
      <c r="BD123">
        <v>99</v>
      </c>
      <c r="BV123"/>
      <c r="BW123"/>
      <c r="BX123"/>
      <c r="BY123"/>
      <c r="BZ123"/>
      <c r="CA123"/>
      <c r="CN123" s="10" t="s">
        <v>7182</v>
      </c>
      <c r="CO123">
        <v>0.11</v>
      </c>
      <c r="CR123">
        <v>0.1</v>
      </c>
    </row>
    <row r="124" spans="1:103">
      <c r="A124" t="s">
        <v>7251</v>
      </c>
      <c r="C124" t="s">
        <v>6968</v>
      </c>
      <c r="D124" t="s">
        <v>7205</v>
      </c>
      <c r="E124" t="s">
        <v>7206</v>
      </c>
      <c r="F124" t="s">
        <v>7207</v>
      </c>
      <c r="G124">
        <v>3</v>
      </c>
      <c r="J124" t="s">
        <v>6985</v>
      </c>
      <c r="K124" s="6" t="s">
        <v>6987</v>
      </c>
      <c r="AC124">
        <v>2</v>
      </c>
      <c r="AD124">
        <v>1</v>
      </c>
      <c r="AO124" t="s">
        <v>7062</v>
      </c>
      <c r="AT124" t="s">
        <v>7246</v>
      </c>
      <c r="AX124" t="s">
        <v>7064</v>
      </c>
      <c r="AZ124">
        <v>2.3</v>
      </c>
      <c r="BD124">
        <v>1</v>
      </c>
      <c r="BT124">
        <v>0.2</v>
      </c>
      <c r="BV124" s="9">
        <v>0</v>
      </c>
      <c r="BW124" s="9">
        <v>3</v>
      </c>
      <c r="BX124" s="9">
        <v>1</v>
      </c>
      <c r="BY124" s="9" t="s">
        <v>7142</v>
      </c>
      <c r="CB124" t="s">
        <v>140</v>
      </c>
      <c r="CD124" t="s">
        <v>7247</v>
      </c>
      <c r="CG124" t="s">
        <v>7057</v>
      </c>
      <c r="CJ124" t="s">
        <v>7248</v>
      </c>
      <c r="CY124" t="s">
        <v>7252</v>
      </c>
    </row>
    <row r="125" spans="1:96">
      <c r="A125" t="s">
        <v>7253</v>
      </c>
      <c r="C125" t="s">
        <v>6968</v>
      </c>
      <c r="D125" t="s">
        <v>7254</v>
      </c>
      <c r="E125" t="s">
        <v>7255</v>
      </c>
      <c r="F125" t="s">
        <v>7256</v>
      </c>
      <c r="G125">
        <v>3</v>
      </c>
      <c r="J125" t="s">
        <v>6985</v>
      </c>
      <c r="K125" s="6" t="s">
        <v>6986</v>
      </c>
      <c r="AC125">
        <v>1</v>
      </c>
      <c r="AY125" s="6"/>
      <c r="BD125">
        <v>1</v>
      </c>
      <c r="BO125" s="8" t="s">
        <v>7257</v>
      </c>
      <c r="BT125">
        <v>25</v>
      </c>
      <c r="BV125" s="9">
        <v>40</v>
      </c>
      <c r="BW125" s="9">
        <v>70</v>
      </c>
      <c r="BX125" s="9">
        <v>1</v>
      </c>
      <c r="BY125" s="9" t="s">
        <v>6987</v>
      </c>
      <c r="CB125" s="6"/>
      <c r="CC125" s="6"/>
      <c r="CD125" s="6"/>
      <c r="CE125" s="6"/>
      <c r="CF125" s="6"/>
      <c r="CH125" s="6"/>
      <c r="CI125" s="6"/>
      <c r="CJ125" s="6"/>
      <c r="CK125" s="6"/>
      <c r="CL125" s="6"/>
      <c r="CM125" s="6"/>
      <c r="CN125" s="10" t="s">
        <v>6988</v>
      </c>
      <c r="CO125">
        <v>0.8</v>
      </c>
      <c r="CR125">
        <v>25</v>
      </c>
    </row>
    <row r="126" spans="1:96">
      <c r="A126" t="s">
        <v>7257</v>
      </c>
      <c r="C126" t="s">
        <v>6968</v>
      </c>
      <c r="J126" t="s">
        <v>7091</v>
      </c>
      <c r="K126" t="s">
        <v>6987</v>
      </c>
      <c r="L126"/>
      <c r="M126"/>
      <c r="N126"/>
      <c r="O126"/>
      <c r="P126"/>
      <c r="Q126"/>
      <c r="R126"/>
      <c r="S126"/>
      <c r="T126"/>
      <c r="U126"/>
      <c r="V126"/>
      <c r="W126"/>
      <c r="X126"/>
      <c r="AC126">
        <v>1</v>
      </c>
      <c r="AK126">
        <v>3</v>
      </c>
      <c r="AV126">
        <v>99</v>
      </c>
      <c r="BD126">
        <v>99</v>
      </c>
      <c r="BV126"/>
      <c r="BW126"/>
      <c r="BX126"/>
      <c r="BY126"/>
      <c r="BZ126"/>
      <c r="CA126"/>
      <c r="CN126" s="10" t="s">
        <v>7182</v>
      </c>
      <c r="CO126">
        <v>0.22</v>
      </c>
      <c r="CR126">
        <v>0.1</v>
      </c>
    </row>
    <row r="127" spans="11:79">
      <c r="K127"/>
      <c r="L127"/>
      <c r="M127"/>
      <c r="N127"/>
      <c r="O127"/>
      <c r="P127"/>
      <c r="Q127"/>
      <c r="R127"/>
      <c r="S127"/>
      <c r="T127"/>
      <c r="U127"/>
      <c r="V127"/>
      <c r="W127"/>
      <c r="X127"/>
      <c r="BV127"/>
      <c r="BW127"/>
      <c r="BX127"/>
      <c r="BY127"/>
      <c r="BZ127"/>
      <c r="CA127"/>
    </row>
    <row r="128" spans="1:103">
      <c r="A128" t="s">
        <v>7258</v>
      </c>
      <c r="C128" t="s">
        <v>4994</v>
      </c>
      <c r="AC128">
        <v>2</v>
      </c>
      <c r="AO128" t="s">
        <v>7062</v>
      </c>
      <c r="AT128" t="s">
        <v>7063</v>
      </c>
      <c r="AX128" t="s">
        <v>7064</v>
      </c>
      <c r="AZ128">
        <v>1</v>
      </c>
      <c r="BD128">
        <v>1</v>
      </c>
      <c r="CB128" t="s">
        <v>140</v>
      </c>
      <c r="CG128" t="s">
        <v>7057</v>
      </c>
      <c r="CW128" t="s">
        <v>7259</v>
      </c>
      <c r="CY128" t="s">
        <v>7260</v>
      </c>
    </row>
    <row r="129" spans="1:108">
      <c r="A129" t="s">
        <v>7261</v>
      </c>
      <c r="C129" t="s">
        <v>6968</v>
      </c>
      <c r="K129" s="6" t="s">
        <v>6953</v>
      </c>
      <c r="L129" s="6" t="s">
        <v>6969</v>
      </c>
      <c r="AC129">
        <v>1</v>
      </c>
      <c r="AF129">
        <v>1</v>
      </c>
      <c r="AG129" t="s">
        <v>6955</v>
      </c>
      <c r="AH129">
        <v>1</v>
      </c>
      <c r="AY129" s="6"/>
      <c r="BD129">
        <v>1</v>
      </c>
      <c r="BV129"/>
      <c r="BW129"/>
      <c r="BX129"/>
      <c r="BY129"/>
      <c r="BZ129"/>
      <c r="CA129"/>
      <c r="CB129" s="6"/>
      <c r="CC129" s="6"/>
      <c r="CD129" s="6"/>
      <c r="CE129" s="6"/>
      <c r="CF129" s="6"/>
      <c r="CH129" s="6"/>
      <c r="CI129" s="6"/>
      <c r="CJ129" s="6"/>
      <c r="CK129" s="6"/>
      <c r="CL129" s="6"/>
      <c r="CM129" s="6"/>
      <c r="CN129" s="10" t="s">
        <v>7261</v>
      </c>
      <c r="CO129" t="s">
        <v>7262</v>
      </c>
      <c r="CR129">
        <v>99999</v>
      </c>
      <c r="DD129">
        <v>1</v>
      </c>
    </row>
    <row r="130" spans="1:96">
      <c r="A130" t="s">
        <v>7263</v>
      </c>
      <c r="C130" t="s">
        <v>6968</v>
      </c>
      <c r="D130" t="s">
        <v>7264</v>
      </c>
      <c r="E130" t="s">
        <v>7265</v>
      </c>
      <c r="F130" t="s">
        <v>7266</v>
      </c>
      <c r="G130">
        <v>3</v>
      </c>
      <c r="J130" t="s">
        <v>6985</v>
      </c>
      <c r="K130" s="6" t="s">
        <v>6986</v>
      </c>
      <c r="AC130">
        <v>1</v>
      </c>
      <c r="AY130" s="6"/>
      <c r="BD130">
        <v>1</v>
      </c>
      <c r="BT130">
        <v>15</v>
      </c>
      <c r="BV130" s="9">
        <v>10</v>
      </c>
      <c r="BW130" s="9">
        <v>25</v>
      </c>
      <c r="BX130" s="9">
        <v>1</v>
      </c>
      <c r="BY130" s="9" t="s">
        <v>6987</v>
      </c>
      <c r="CB130" s="6"/>
      <c r="CC130" s="6"/>
      <c r="CD130" s="6"/>
      <c r="CE130" s="6"/>
      <c r="CF130" s="6"/>
      <c r="CH130" s="6"/>
      <c r="CI130" s="6"/>
      <c r="CJ130" s="6"/>
      <c r="CK130" s="6"/>
      <c r="CL130" s="6"/>
      <c r="CM130" s="6"/>
      <c r="CN130" s="10" t="s">
        <v>7267</v>
      </c>
      <c r="CO130" t="s">
        <v>7268</v>
      </c>
      <c r="CR130">
        <v>15</v>
      </c>
    </row>
    <row r="131" spans="51:91">
      <c r="AY131" s="6"/>
      <c r="CB131" s="6"/>
      <c r="CC131" s="6"/>
      <c r="CD131" s="6"/>
      <c r="CE131" s="6"/>
      <c r="CF131" s="6"/>
      <c r="CH131" s="6"/>
      <c r="CI131" s="6"/>
      <c r="CJ131" s="6"/>
      <c r="CK131" s="6"/>
      <c r="CL131" s="6"/>
      <c r="CM131" s="6"/>
    </row>
    <row r="132" spans="1:103">
      <c r="A132" t="s">
        <v>7269</v>
      </c>
      <c r="C132" t="s">
        <v>4994</v>
      </c>
      <c r="AC132">
        <v>2</v>
      </c>
      <c r="AO132" t="s">
        <v>7062</v>
      </c>
      <c r="AT132" t="s">
        <v>7063</v>
      </c>
      <c r="AX132" t="s">
        <v>7077</v>
      </c>
      <c r="AZ132">
        <v>1</v>
      </c>
      <c r="BD132">
        <v>1</v>
      </c>
      <c r="CB132" t="s">
        <v>140</v>
      </c>
      <c r="CG132" t="s">
        <v>7057</v>
      </c>
      <c r="CW132" t="s">
        <v>7270</v>
      </c>
      <c r="CY132" t="s">
        <v>7271</v>
      </c>
    </row>
    <row r="133" spans="1:103">
      <c r="A133" t="s">
        <v>7272</v>
      </c>
      <c r="C133" t="s">
        <v>4994</v>
      </c>
      <c r="AA133">
        <v>0.23</v>
      </c>
      <c r="AC133">
        <v>2</v>
      </c>
      <c r="AO133" t="s">
        <v>7062</v>
      </c>
      <c r="AT133" t="s">
        <v>7063</v>
      </c>
      <c r="AX133" t="s">
        <v>7077</v>
      </c>
      <c r="AZ133">
        <v>1</v>
      </c>
      <c r="BD133">
        <v>1</v>
      </c>
      <c r="BE133">
        <v>1</v>
      </c>
      <c r="BF133">
        <v>0.3</v>
      </c>
      <c r="CB133" t="s">
        <v>7273</v>
      </c>
      <c r="CG133" t="s">
        <v>7057</v>
      </c>
      <c r="CW133" t="s">
        <v>7270</v>
      </c>
      <c r="CY133" t="s">
        <v>7271</v>
      </c>
    </row>
    <row r="134" spans="1:103">
      <c r="A134" t="s">
        <v>7274</v>
      </c>
      <c r="C134" t="s">
        <v>4994</v>
      </c>
      <c r="D134" t="s">
        <v>7275</v>
      </c>
      <c r="E134" t="s">
        <v>7276</v>
      </c>
      <c r="F134" t="s">
        <v>7277</v>
      </c>
      <c r="G134">
        <v>3</v>
      </c>
      <c r="J134" t="s">
        <v>6985</v>
      </c>
      <c r="K134" s="6" t="s">
        <v>6987</v>
      </c>
      <c r="AC134">
        <v>2</v>
      </c>
      <c r="AD134">
        <v>1</v>
      </c>
      <c r="AO134" t="s">
        <v>7062</v>
      </c>
      <c r="AT134" t="s">
        <v>7063</v>
      </c>
      <c r="AX134" t="s">
        <v>7077</v>
      </c>
      <c r="AZ134">
        <v>1.75</v>
      </c>
      <c r="BD134">
        <v>1</v>
      </c>
      <c r="BT134">
        <v>0.2</v>
      </c>
      <c r="BV134" s="9">
        <v>0</v>
      </c>
      <c r="BW134" s="9">
        <v>4</v>
      </c>
      <c r="BX134" s="9">
        <v>1</v>
      </c>
      <c r="BY134" s="9" t="s">
        <v>7142</v>
      </c>
      <c r="CB134" t="s">
        <v>140</v>
      </c>
      <c r="CG134" t="s">
        <v>7057</v>
      </c>
      <c r="CN134" s="10" t="s">
        <v>7182</v>
      </c>
      <c r="CO134">
        <v>-0.4</v>
      </c>
      <c r="CR134">
        <v>5</v>
      </c>
      <c r="CW134" t="s">
        <v>7270</v>
      </c>
      <c r="CY134" t="s">
        <v>7271</v>
      </c>
    </row>
    <row r="135" spans="1:103">
      <c r="A135" t="s">
        <v>7278</v>
      </c>
      <c r="C135" t="s">
        <v>4994</v>
      </c>
      <c r="J135" t="s">
        <v>7091</v>
      </c>
      <c r="K135" s="6" t="s">
        <v>6987</v>
      </c>
      <c r="AC135">
        <v>2</v>
      </c>
      <c r="AO135" t="s">
        <v>7062</v>
      </c>
      <c r="AT135" t="s">
        <v>7063</v>
      </c>
      <c r="AX135" t="s">
        <v>7077</v>
      </c>
      <c r="AZ135">
        <v>1</v>
      </c>
      <c r="BD135">
        <v>1</v>
      </c>
      <c r="CB135" t="s">
        <v>140</v>
      </c>
      <c r="CG135" t="s">
        <v>7057</v>
      </c>
      <c r="CW135" t="s">
        <v>7279</v>
      </c>
      <c r="CY135" t="s">
        <v>7280</v>
      </c>
    </row>
    <row r="136" spans="1:96">
      <c r="A136" t="s">
        <v>7281</v>
      </c>
      <c r="C136" t="s">
        <v>6968</v>
      </c>
      <c r="D136" t="s">
        <v>7282</v>
      </c>
      <c r="E136" t="s">
        <v>7283</v>
      </c>
      <c r="F136" t="s">
        <v>7284</v>
      </c>
      <c r="G136">
        <v>3</v>
      </c>
      <c r="J136" t="s">
        <v>6985</v>
      </c>
      <c r="K136" s="6" t="s">
        <v>6986</v>
      </c>
      <c r="AC136">
        <v>1</v>
      </c>
      <c r="AY136" s="6"/>
      <c r="BD136">
        <v>1</v>
      </c>
      <c r="BO136" s="8" t="s">
        <v>7278</v>
      </c>
      <c r="BT136">
        <v>40</v>
      </c>
      <c r="BV136" s="9">
        <v>40</v>
      </c>
      <c r="BW136" s="9">
        <v>80</v>
      </c>
      <c r="BX136" s="9">
        <v>1</v>
      </c>
      <c r="BY136" s="9" t="s">
        <v>6987</v>
      </c>
      <c r="CB136" s="6"/>
      <c r="CC136" s="6"/>
      <c r="CD136" s="6"/>
      <c r="CE136" s="6"/>
      <c r="CF136" s="6"/>
      <c r="CH136" s="6"/>
      <c r="CI136" s="6"/>
      <c r="CJ136" s="6"/>
      <c r="CK136" s="6"/>
      <c r="CL136" s="6"/>
      <c r="CM136" s="6"/>
      <c r="CN136" s="10" t="s">
        <v>7285</v>
      </c>
      <c r="CO136" t="s">
        <v>7286</v>
      </c>
      <c r="CR136">
        <v>40</v>
      </c>
    </row>
    <row r="137" spans="51:91">
      <c r="AY137" s="6"/>
      <c r="CB137" s="6"/>
      <c r="CC137" s="6"/>
      <c r="CD137" s="6"/>
      <c r="CE137" s="6"/>
      <c r="CF137" s="6"/>
      <c r="CH137" s="6"/>
      <c r="CI137" s="6"/>
      <c r="CJ137" s="6"/>
      <c r="CK137" s="6"/>
      <c r="CL137" s="6"/>
      <c r="CM137" s="6"/>
    </row>
    <row r="138" spans="1:85">
      <c r="A138" t="s">
        <v>7287</v>
      </c>
      <c r="C138" t="s">
        <v>4994</v>
      </c>
      <c r="K138" s="6" t="s">
        <v>6987</v>
      </c>
      <c r="AC138">
        <v>2</v>
      </c>
      <c r="AO138" t="s">
        <v>7062</v>
      </c>
      <c r="AX138" t="s">
        <v>7064</v>
      </c>
      <c r="AZ138">
        <v>1</v>
      </c>
      <c r="BD138">
        <v>1</v>
      </c>
      <c r="CB138" t="s">
        <v>4335</v>
      </c>
      <c r="CD138" t="s">
        <v>7288</v>
      </c>
      <c r="CG138" t="s">
        <v>7057</v>
      </c>
    </row>
    <row r="139" spans="1:103">
      <c r="A139" t="s">
        <v>7289</v>
      </c>
      <c r="C139" t="s">
        <v>6968</v>
      </c>
      <c r="K139" s="6" t="s">
        <v>6987</v>
      </c>
      <c r="P139"/>
      <c r="Q139"/>
      <c r="R139"/>
      <c r="S139"/>
      <c r="T139"/>
      <c r="Z139">
        <v>1</v>
      </c>
      <c r="AC139">
        <v>2</v>
      </c>
      <c r="AD139">
        <v>1</v>
      </c>
      <c r="AO139" t="s">
        <v>7062</v>
      </c>
      <c r="AT139" t="s">
        <v>7290</v>
      </c>
      <c r="AX139" t="s">
        <v>7064</v>
      </c>
      <c r="AZ139">
        <v>0.8</v>
      </c>
      <c r="BD139">
        <v>1</v>
      </c>
      <c r="CB139" t="s">
        <v>140</v>
      </c>
      <c r="CG139" t="s">
        <v>7057</v>
      </c>
      <c r="CH139" t="s">
        <v>7291</v>
      </c>
      <c r="CI139" t="s">
        <v>4277</v>
      </c>
      <c r="CW139" t="s">
        <v>7292</v>
      </c>
      <c r="CY139" t="s">
        <v>7293</v>
      </c>
    </row>
    <row r="140" spans="1:103">
      <c r="A140" t="s">
        <v>7294</v>
      </c>
      <c r="C140" t="s">
        <v>6968</v>
      </c>
      <c r="D140" t="s">
        <v>7295</v>
      </c>
      <c r="E140" t="s">
        <v>7296</v>
      </c>
      <c r="F140" t="s">
        <v>7297</v>
      </c>
      <c r="G140">
        <v>3</v>
      </c>
      <c r="J140" t="s">
        <v>6985</v>
      </c>
      <c r="K140" s="6" t="s">
        <v>6987</v>
      </c>
      <c r="AC140">
        <v>2</v>
      </c>
      <c r="AD140">
        <v>1</v>
      </c>
      <c r="AO140" t="s">
        <v>7062</v>
      </c>
      <c r="AT140" t="s">
        <v>7290</v>
      </c>
      <c r="AX140" t="s">
        <v>7064</v>
      </c>
      <c r="AZ140">
        <v>1.5</v>
      </c>
      <c r="BD140">
        <v>1</v>
      </c>
      <c r="BT140">
        <v>0.2</v>
      </c>
      <c r="BV140" s="9">
        <v>0</v>
      </c>
      <c r="BW140" s="9">
        <v>3</v>
      </c>
      <c r="BX140" s="9">
        <v>1</v>
      </c>
      <c r="BY140" s="9" t="s">
        <v>7142</v>
      </c>
      <c r="CB140" t="s">
        <v>140</v>
      </c>
      <c r="CG140" t="s">
        <v>7057</v>
      </c>
      <c r="CH140" t="s">
        <v>7298</v>
      </c>
      <c r="CI140" t="s">
        <v>4277</v>
      </c>
      <c r="CN140" s="10" t="s">
        <v>7299</v>
      </c>
      <c r="CO140">
        <v>-0.5</v>
      </c>
      <c r="CR140">
        <v>3</v>
      </c>
      <c r="CW140" t="s">
        <v>7300</v>
      </c>
      <c r="CY140" t="s">
        <v>7301</v>
      </c>
    </row>
    <row r="141" spans="1:96">
      <c r="A141" t="s">
        <v>7302</v>
      </c>
      <c r="C141" t="s">
        <v>4994</v>
      </c>
      <c r="K141" s="6" t="s">
        <v>6987</v>
      </c>
      <c r="AC141">
        <v>2</v>
      </c>
      <c r="AO141" t="s">
        <v>7062</v>
      </c>
      <c r="AX141" t="s">
        <v>7064</v>
      </c>
      <c r="AZ141">
        <v>1</v>
      </c>
      <c r="BD141">
        <v>1</v>
      </c>
      <c r="CB141" t="s">
        <v>4335</v>
      </c>
      <c r="CD141" t="s">
        <v>7288</v>
      </c>
      <c r="CG141" t="s">
        <v>7057</v>
      </c>
      <c r="CN141" s="10" t="s">
        <v>7303</v>
      </c>
      <c r="CO141" s="3" t="s">
        <v>7304</v>
      </c>
      <c r="CP141">
        <v>0.4</v>
      </c>
      <c r="CR141">
        <v>3</v>
      </c>
    </row>
    <row r="142" spans="1:103">
      <c r="A142" t="s">
        <v>7305</v>
      </c>
      <c r="C142" t="s">
        <v>6968</v>
      </c>
      <c r="D142" t="s">
        <v>7306</v>
      </c>
      <c r="E142" t="s">
        <v>7307</v>
      </c>
      <c r="F142" t="s">
        <v>7308</v>
      </c>
      <c r="G142">
        <v>3</v>
      </c>
      <c r="J142" t="s">
        <v>7091</v>
      </c>
      <c r="K142" s="6" t="s">
        <v>6986</v>
      </c>
      <c r="P142"/>
      <c r="Q142"/>
      <c r="R142"/>
      <c r="S142"/>
      <c r="T142"/>
      <c r="Z142">
        <v>1</v>
      </c>
      <c r="AC142">
        <v>2</v>
      </c>
      <c r="AD142">
        <v>1</v>
      </c>
      <c r="AO142" t="s">
        <v>7062</v>
      </c>
      <c r="AT142" t="s">
        <v>7290</v>
      </c>
      <c r="AX142" t="s">
        <v>7064</v>
      </c>
      <c r="AZ142">
        <v>0.8</v>
      </c>
      <c r="BD142">
        <v>1</v>
      </c>
      <c r="BO142" s="8" t="s">
        <v>7309</v>
      </c>
      <c r="BT142">
        <v>25</v>
      </c>
      <c r="BV142" s="9">
        <v>0</v>
      </c>
      <c r="BW142" s="9">
        <v>50</v>
      </c>
      <c r="BX142" s="9">
        <v>1</v>
      </c>
      <c r="BY142" s="9" t="s">
        <v>7142</v>
      </c>
      <c r="CB142" t="s">
        <v>140</v>
      </c>
      <c r="CG142" t="s">
        <v>7057</v>
      </c>
      <c r="CH142" t="s">
        <v>7298</v>
      </c>
      <c r="CI142" t="s">
        <v>4277</v>
      </c>
      <c r="CN142" s="10" t="s">
        <v>7303</v>
      </c>
      <c r="CO142" s="3" t="s">
        <v>7304</v>
      </c>
      <c r="CP142">
        <v>0.4</v>
      </c>
      <c r="CR142">
        <v>2</v>
      </c>
      <c r="CW142" t="s">
        <v>7292</v>
      </c>
      <c r="CY142" t="s">
        <v>7293</v>
      </c>
    </row>
    <row r="143" spans="1:96">
      <c r="A143" t="s">
        <v>7310</v>
      </c>
      <c r="C143" t="s">
        <v>6968</v>
      </c>
      <c r="K143" s="6" t="s">
        <v>6953</v>
      </c>
      <c r="L143" s="6" t="s">
        <v>7098</v>
      </c>
      <c r="AC143">
        <v>1</v>
      </c>
      <c r="AY143" s="6"/>
      <c r="BD143">
        <v>1</v>
      </c>
      <c r="CB143" s="6"/>
      <c r="CC143" s="6"/>
      <c r="CD143" s="6"/>
      <c r="CE143" s="6"/>
      <c r="CF143" s="6"/>
      <c r="CH143" s="6"/>
      <c r="CI143" s="6"/>
      <c r="CJ143" s="6"/>
      <c r="CK143" s="6"/>
      <c r="CL143" s="6"/>
      <c r="CM143" s="6"/>
      <c r="CN143" s="10" t="s">
        <v>6988</v>
      </c>
      <c r="CO143">
        <v>0.5</v>
      </c>
      <c r="CR143">
        <v>25</v>
      </c>
    </row>
    <row r="144" spans="51:91">
      <c r="AY144" s="6"/>
      <c r="CB144" s="6"/>
      <c r="CC144" s="6"/>
      <c r="CD144" s="6"/>
      <c r="CE144" s="6"/>
      <c r="CF144" s="6"/>
      <c r="CH144" s="6"/>
      <c r="CI144" s="6"/>
      <c r="CJ144" s="6"/>
      <c r="CK144" s="6"/>
      <c r="CL144" s="6"/>
      <c r="CM144" s="6"/>
    </row>
    <row r="145" spans="1:103">
      <c r="A145" t="s">
        <v>7311</v>
      </c>
      <c r="C145" t="s">
        <v>7102</v>
      </c>
      <c r="AC145">
        <v>2</v>
      </c>
      <c r="AO145" t="s">
        <v>7062</v>
      </c>
      <c r="AT145" t="s">
        <v>7063</v>
      </c>
      <c r="AX145" t="s">
        <v>7064</v>
      </c>
      <c r="AZ145">
        <v>1</v>
      </c>
      <c r="BD145">
        <v>1</v>
      </c>
      <c r="CB145" t="s">
        <v>140</v>
      </c>
      <c r="CG145" t="s">
        <v>7057</v>
      </c>
      <c r="CY145" t="s">
        <v>7312</v>
      </c>
    </row>
    <row r="146" spans="1:91">
      <c r="A146" t="s">
        <v>7313</v>
      </c>
      <c r="C146" t="s">
        <v>7314</v>
      </c>
      <c r="K146" s="6" t="s">
        <v>6953</v>
      </c>
      <c r="L146" s="6" t="s">
        <v>7315</v>
      </c>
      <c r="AC146">
        <v>2</v>
      </c>
      <c r="AH146">
        <v>1</v>
      </c>
      <c r="AT146" t="s">
        <v>7092</v>
      </c>
      <c r="AY146" s="6"/>
      <c r="BD146">
        <v>99</v>
      </c>
      <c r="BP146" s="8" t="s">
        <v>7316</v>
      </c>
      <c r="CB146" s="6"/>
      <c r="CC146" s="6"/>
      <c r="CD146" s="6"/>
      <c r="CE146" s="6"/>
      <c r="CF146" s="6"/>
      <c r="CH146" s="6"/>
      <c r="CI146" s="6"/>
      <c r="CJ146" s="6"/>
      <c r="CK146" s="6"/>
      <c r="CL146" s="6"/>
      <c r="CM146" s="6"/>
    </row>
    <row r="147" spans="1:91">
      <c r="A147" t="s">
        <v>7316</v>
      </c>
      <c r="C147" t="s">
        <v>6968</v>
      </c>
      <c r="K147" s="6" t="s">
        <v>6953</v>
      </c>
      <c r="AC147">
        <v>1</v>
      </c>
      <c r="AG147" t="s">
        <v>6955</v>
      </c>
      <c r="AT147" t="s">
        <v>7087</v>
      </c>
      <c r="AY147" s="6">
        <v>1</v>
      </c>
      <c r="AZ147">
        <v>0.16</v>
      </c>
      <c r="BB147">
        <v>1</v>
      </c>
      <c r="BD147">
        <v>1</v>
      </c>
      <c r="CB147" s="6"/>
      <c r="CC147" s="6"/>
      <c r="CD147" s="6"/>
      <c r="CE147" s="6"/>
      <c r="CF147" s="6"/>
      <c r="CH147" s="6"/>
      <c r="CI147" s="6"/>
      <c r="CJ147" s="6"/>
      <c r="CK147" s="6"/>
      <c r="CL147" s="6"/>
      <c r="CM147" s="6"/>
    </row>
    <row r="148" spans="1:96">
      <c r="A148" t="s">
        <v>7317</v>
      </c>
      <c r="C148" t="s">
        <v>6968</v>
      </c>
      <c r="D148" t="s">
        <v>7318</v>
      </c>
      <c r="E148" t="s">
        <v>7319</v>
      </c>
      <c r="F148" t="s">
        <v>7320</v>
      </c>
      <c r="G148">
        <v>3</v>
      </c>
      <c r="J148" t="s">
        <v>6985</v>
      </c>
      <c r="K148" s="6" t="s">
        <v>6986</v>
      </c>
      <c r="AC148">
        <v>1</v>
      </c>
      <c r="AY148" s="6"/>
      <c r="BD148">
        <v>1</v>
      </c>
      <c r="BT148">
        <v>15</v>
      </c>
      <c r="BV148" s="9">
        <v>10</v>
      </c>
      <c r="BW148" s="9">
        <v>20</v>
      </c>
      <c r="BX148" s="9">
        <v>1</v>
      </c>
      <c r="BY148" s="9" t="s">
        <v>7321</v>
      </c>
      <c r="CB148" s="6"/>
      <c r="CC148" s="6"/>
      <c r="CD148" s="6"/>
      <c r="CE148" s="6"/>
      <c r="CF148" s="6"/>
      <c r="CH148" s="6"/>
      <c r="CI148" s="6"/>
      <c r="CJ148" s="6"/>
      <c r="CK148" s="6"/>
      <c r="CL148" s="6"/>
      <c r="CM148" s="6"/>
      <c r="CN148" s="10" t="s">
        <v>7322</v>
      </c>
      <c r="CO148">
        <v>1.5</v>
      </c>
      <c r="CR148">
        <v>15</v>
      </c>
    </row>
    <row r="149" spans="51:91">
      <c r="AY149" s="6"/>
      <c r="CB149" s="6"/>
      <c r="CC149" s="6"/>
      <c r="CD149" s="6"/>
      <c r="CE149" s="6"/>
      <c r="CF149" s="6"/>
      <c r="CH149" s="6"/>
      <c r="CI149" s="6"/>
      <c r="CJ149" s="6"/>
      <c r="CK149" s="6"/>
      <c r="CL149" s="6"/>
      <c r="CM149" s="6"/>
    </row>
    <row r="150" spans="1:103">
      <c r="A150" t="s">
        <v>7323</v>
      </c>
      <c r="C150" t="s">
        <v>4994</v>
      </c>
      <c r="AC150">
        <v>2</v>
      </c>
      <c r="AO150" t="s">
        <v>7062</v>
      </c>
      <c r="AT150" t="s">
        <v>7063</v>
      </c>
      <c r="AX150" t="s">
        <v>7064</v>
      </c>
      <c r="AZ150">
        <v>1</v>
      </c>
      <c r="BD150">
        <v>1</v>
      </c>
      <c r="CB150" t="s">
        <v>140</v>
      </c>
      <c r="CG150" t="s">
        <v>7057</v>
      </c>
      <c r="CX150" t="s">
        <v>7324</v>
      </c>
      <c r="CY150" t="s">
        <v>7325</v>
      </c>
    </row>
    <row r="151" spans="1:96">
      <c r="A151" t="s">
        <v>7326</v>
      </c>
      <c r="C151" t="s">
        <v>6968</v>
      </c>
      <c r="K151" t="s">
        <v>6987</v>
      </c>
      <c r="L151"/>
      <c r="M151"/>
      <c r="N151"/>
      <c r="O151"/>
      <c r="P151"/>
      <c r="Q151"/>
      <c r="R151"/>
      <c r="S151"/>
      <c r="T151"/>
      <c r="U151"/>
      <c r="V151"/>
      <c r="W151"/>
      <c r="X151"/>
      <c r="AC151">
        <v>1</v>
      </c>
      <c r="AM151">
        <v>10</v>
      </c>
      <c r="AV151">
        <v>99</v>
      </c>
      <c r="BD151">
        <v>99</v>
      </c>
      <c r="BV151"/>
      <c r="BW151"/>
      <c r="BX151"/>
      <c r="BY151"/>
      <c r="BZ151"/>
      <c r="CA151"/>
      <c r="CN151" s="10" t="s">
        <v>7327</v>
      </c>
      <c r="CO151">
        <v>0.08</v>
      </c>
      <c r="CR151">
        <v>0.1</v>
      </c>
    </row>
    <row r="152" spans="1:108">
      <c r="A152" t="s">
        <v>7328</v>
      </c>
      <c r="C152" t="s">
        <v>6968</v>
      </c>
      <c r="D152" t="s">
        <v>7329</v>
      </c>
      <c r="E152" t="s">
        <v>7330</v>
      </c>
      <c r="F152" t="s">
        <v>7331</v>
      </c>
      <c r="G152">
        <v>3</v>
      </c>
      <c r="K152" s="6" t="s">
        <v>6953</v>
      </c>
      <c r="L152" s="6" t="s">
        <v>6969</v>
      </c>
      <c r="AC152">
        <v>1</v>
      </c>
      <c r="AF152">
        <v>1</v>
      </c>
      <c r="AG152" t="s">
        <v>6955</v>
      </c>
      <c r="AH152">
        <v>1</v>
      </c>
      <c r="AY152" s="6"/>
      <c r="BD152">
        <v>1</v>
      </c>
      <c r="BT152">
        <v>12</v>
      </c>
      <c r="BV152"/>
      <c r="BW152"/>
      <c r="BX152"/>
      <c r="BY152"/>
      <c r="BZ152"/>
      <c r="CA152"/>
      <c r="CB152" s="6"/>
      <c r="CC152" s="6"/>
      <c r="CD152" s="6"/>
      <c r="CE152" s="6"/>
      <c r="CF152" s="6"/>
      <c r="CH152" s="6"/>
      <c r="CI152" s="6"/>
      <c r="CJ152" s="6"/>
      <c r="CK152" s="6"/>
      <c r="CL152" s="6"/>
      <c r="CM152" s="6"/>
      <c r="CN152" s="10" t="s">
        <v>7332</v>
      </c>
      <c r="CO152">
        <v>4</v>
      </c>
      <c r="CR152">
        <v>12</v>
      </c>
      <c r="DD152">
        <v>1</v>
      </c>
    </row>
    <row r="153" spans="1:108">
      <c r="A153" t="s">
        <v>7333</v>
      </c>
      <c r="C153" t="s">
        <v>6968</v>
      </c>
      <c r="D153" t="s">
        <v>7334</v>
      </c>
      <c r="E153" t="s">
        <v>7335</v>
      </c>
      <c r="F153" t="s">
        <v>7336</v>
      </c>
      <c r="G153">
        <v>3</v>
      </c>
      <c r="K153" s="6" t="s">
        <v>6953</v>
      </c>
      <c r="L153" s="6" t="s">
        <v>6969</v>
      </c>
      <c r="AC153">
        <v>1</v>
      </c>
      <c r="AF153">
        <v>1</v>
      </c>
      <c r="AG153" t="s">
        <v>6955</v>
      </c>
      <c r="AH153">
        <v>1</v>
      </c>
      <c r="AY153" s="6"/>
      <c r="BD153">
        <v>1</v>
      </c>
      <c r="BT153">
        <v>10</v>
      </c>
      <c r="BV153"/>
      <c r="BW153"/>
      <c r="BX153"/>
      <c r="BY153"/>
      <c r="BZ153"/>
      <c r="CA153"/>
      <c r="CB153" s="6"/>
      <c r="CC153" s="6"/>
      <c r="CD153" s="6"/>
      <c r="CE153" s="6"/>
      <c r="CF153" s="6"/>
      <c r="CH153" s="6"/>
      <c r="CI153" s="6"/>
      <c r="CJ153" s="6"/>
      <c r="CK153" s="6"/>
      <c r="CL153" s="6"/>
      <c r="CM153" s="6"/>
      <c r="CN153" s="10" t="s">
        <v>7337</v>
      </c>
      <c r="CO153">
        <v>2.5</v>
      </c>
      <c r="CR153">
        <v>10</v>
      </c>
      <c r="DD153">
        <v>1</v>
      </c>
    </row>
    <row r="154" spans="51:91">
      <c r="AY154" s="6"/>
      <c r="CB154" s="6"/>
      <c r="CC154" s="6"/>
      <c r="CD154" s="6"/>
      <c r="CE154" s="6"/>
      <c r="CF154" s="6"/>
      <c r="CH154" s="6"/>
      <c r="CI154" s="6"/>
      <c r="CJ154" s="6"/>
      <c r="CK154" s="6"/>
      <c r="CL154" s="6"/>
      <c r="CM154" s="6"/>
    </row>
    <row r="155" spans="1:103">
      <c r="A155" t="s">
        <v>7338</v>
      </c>
      <c r="C155" t="s">
        <v>4994</v>
      </c>
      <c r="AC155">
        <v>2</v>
      </c>
      <c r="AD155">
        <v>1</v>
      </c>
      <c r="AO155" t="s">
        <v>7062</v>
      </c>
      <c r="AT155" t="s">
        <v>7339</v>
      </c>
      <c r="AX155" t="s">
        <v>7064</v>
      </c>
      <c r="AZ155">
        <v>1</v>
      </c>
      <c r="BD155">
        <v>1</v>
      </c>
      <c r="CB155" t="s">
        <v>140</v>
      </c>
      <c r="CG155" t="s">
        <v>7057</v>
      </c>
      <c r="CH155" t="s">
        <v>7340</v>
      </c>
      <c r="CI155" t="s">
        <v>4277</v>
      </c>
      <c r="CY155" t="s">
        <v>7341</v>
      </c>
    </row>
    <row r="156" spans="1:96">
      <c r="A156" t="s">
        <v>7342</v>
      </c>
      <c r="C156" t="s">
        <v>6968</v>
      </c>
      <c r="K156" s="6" t="s">
        <v>6953</v>
      </c>
      <c r="L156" s="6" t="s">
        <v>6972</v>
      </c>
      <c r="AC156">
        <v>1</v>
      </c>
      <c r="AG156" t="s">
        <v>6955</v>
      </c>
      <c r="AH156">
        <v>1</v>
      </c>
      <c r="AW156" s="19"/>
      <c r="AY156" s="6"/>
      <c r="BD156">
        <v>1</v>
      </c>
      <c r="BV156"/>
      <c r="BW156"/>
      <c r="BX156"/>
      <c r="BY156"/>
      <c r="BZ156"/>
      <c r="CA156"/>
      <c r="CB156" s="6"/>
      <c r="CC156" s="6"/>
      <c r="CD156" s="6"/>
      <c r="CE156" s="6"/>
      <c r="CF156" s="6"/>
      <c r="CI156" s="6"/>
      <c r="CJ156" s="6"/>
      <c r="CK156" s="6"/>
      <c r="CL156" s="6"/>
      <c r="CM156" s="6"/>
      <c r="CN156" s="10" t="s">
        <v>7343</v>
      </c>
      <c r="CO156">
        <v>0.38</v>
      </c>
      <c r="CR156">
        <v>99999</v>
      </c>
    </row>
    <row r="157" spans="1:99">
      <c r="A157" t="s">
        <v>7344</v>
      </c>
      <c r="C157" t="s">
        <v>7345</v>
      </c>
      <c r="D157" t="s">
        <v>7346</v>
      </c>
      <c r="E157" t="s">
        <v>7347</v>
      </c>
      <c r="F157" t="s">
        <v>7348</v>
      </c>
      <c r="G157">
        <v>3</v>
      </c>
      <c r="J157" t="s">
        <v>6985</v>
      </c>
      <c r="K157" s="6" t="s">
        <v>6987</v>
      </c>
      <c r="AC157">
        <v>2</v>
      </c>
      <c r="AD157">
        <v>1</v>
      </c>
      <c r="AO157" t="s">
        <v>7349</v>
      </c>
      <c r="AT157" t="s">
        <v>7339</v>
      </c>
      <c r="AX157" t="s">
        <v>7064</v>
      </c>
      <c r="AZ157">
        <v>1.9</v>
      </c>
      <c r="BD157">
        <v>1</v>
      </c>
      <c r="BM157">
        <v>2</v>
      </c>
      <c r="BT157">
        <v>0.2</v>
      </c>
      <c r="BV157" s="9">
        <v>0</v>
      </c>
      <c r="BW157" s="9">
        <v>5</v>
      </c>
      <c r="BX157" s="9">
        <v>1</v>
      </c>
      <c r="BY157" s="9" t="s">
        <v>6987</v>
      </c>
      <c r="CB157" t="s">
        <v>527</v>
      </c>
      <c r="CG157" t="s">
        <v>7057</v>
      </c>
      <c r="CH157" t="s">
        <v>7350</v>
      </c>
      <c r="CI157" t="s">
        <v>4277</v>
      </c>
      <c r="CU157" t="s">
        <v>7351</v>
      </c>
    </row>
    <row r="158" spans="1:99">
      <c r="A158" t="s">
        <v>7352</v>
      </c>
      <c r="C158" t="s">
        <v>7345</v>
      </c>
      <c r="D158" t="s">
        <v>7353</v>
      </c>
      <c r="E158" t="s">
        <v>7354</v>
      </c>
      <c r="F158" t="s">
        <v>7355</v>
      </c>
      <c r="G158">
        <v>3</v>
      </c>
      <c r="J158" t="s">
        <v>6985</v>
      </c>
      <c r="K158" s="6" t="s">
        <v>6986</v>
      </c>
      <c r="AB158">
        <v>1</v>
      </c>
      <c r="AC158">
        <v>2</v>
      </c>
      <c r="AD158">
        <v>1</v>
      </c>
      <c r="AO158" t="s">
        <v>7349</v>
      </c>
      <c r="AT158" t="s">
        <v>7356</v>
      </c>
      <c r="AX158" t="s">
        <v>7064</v>
      </c>
      <c r="AZ158">
        <v>1.9</v>
      </c>
      <c r="BD158">
        <v>2</v>
      </c>
      <c r="BM158">
        <v>2</v>
      </c>
      <c r="BT158">
        <v>0.2</v>
      </c>
      <c r="BV158" s="9">
        <v>10</v>
      </c>
      <c r="BW158" s="9">
        <v>15</v>
      </c>
      <c r="BX158" s="9">
        <v>1</v>
      </c>
      <c r="BY158" s="9" t="s">
        <v>6987</v>
      </c>
      <c r="CB158" t="s">
        <v>527</v>
      </c>
      <c r="CG158" t="s">
        <v>7057</v>
      </c>
      <c r="CH158" t="s">
        <v>7357</v>
      </c>
      <c r="CI158" t="s">
        <v>4277</v>
      </c>
      <c r="CU158" t="s">
        <v>7351</v>
      </c>
    </row>
    <row r="160" spans="1:85">
      <c r="A160" t="s">
        <v>7358</v>
      </c>
      <c r="C160" t="s">
        <v>7102</v>
      </c>
      <c r="AC160">
        <v>2</v>
      </c>
      <c r="AO160" t="s">
        <v>7062</v>
      </c>
      <c r="AT160" t="s">
        <v>7063</v>
      </c>
      <c r="AX160" t="s">
        <v>7064</v>
      </c>
      <c r="AZ160">
        <v>1</v>
      </c>
      <c r="BD160">
        <v>1</v>
      </c>
      <c r="CB160" t="s">
        <v>7168</v>
      </c>
      <c r="CG160" t="s">
        <v>7057</v>
      </c>
    </row>
    <row r="161" spans="1:96">
      <c r="A161" t="s">
        <v>7359</v>
      </c>
      <c r="C161" t="s">
        <v>6968</v>
      </c>
      <c r="K161" s="6" t="s">
        <v>6953</v>
      </c>
      <c r="L161" s="6" t="s">
        <v>6972</v>
      </c>
      <c r="AC161">
        <v>1</v>
      </c>
      <c r="AG161" t="s">
        <v>6955</v>
      </c>
      <c r="AH161">
        <v>1</v>
      </c>
      <c r="AY161" s="6"/>
      <c r="BD161">
        <v>1</v>
      </c>
      <c r="BV161"/>
      <c r="BW161"/>
      <c r="BX161"/>
      <c r="BY161"/>
      <c r="BZ161"/>
      <c r="CA161"/>
      <c r="CB161" s="6"/>
      <c r="CC161" s="6"/>
      <c r="CD161" s="6"/>
      <c r="CE161" s="6"/>
      <c r="CF161" s="6"/>
      <c r="CH161" s="6"/>
      <c r="CI161" s="6"/>
      <c r="CJ161" s="6"/>
      <c r="CK161" s="6"/>
      <c r="CL161" s="6"/>
      <c r="CM161" s="6"/>
      <c r="CN161" s="10" t="s">
        <v>7170</v>
      </c>
      <c r="CO161">
        <v>15</v>
      </c>
      <c r="CR161">
        <v>99999</v>
      </c>
    </row>
    <row r="162" spans="1:85">
      <c r="A162" t="s">
        <v>7360</v>
      </c>
      <c r="C162" t="s">
        <v>7361</v>
      </c>
      <c r="D162" t="s">
        <v>7362</v>
      </c>
      <c r="E162" t="s">
        <v>7363</v>
      </c>
      <c r="F162" t="s">
        <v>7364</v>
      </c>
      <c r="G162">
        <v>3</v>
      </c>
      <c r="J162" t="s">
        <v>6985</v>
      </c>
      <c r="K162" s="6" t="s">
        <v>6987</v>
      </c>
      <c r="AC162">
        <v>2</v>
      </c>
      <c r="AO162" t="s">
        <v>7062</v>
      </c>
      <c r="AT162" t="s">
        <v>7063</v>
      </c>
      <c r="AX162" t="s">
        <v>7064</v>
      </c>
      <c r="AZ162">
        <v>1.5</v>
      </c>
      <c r="BD162">
        <v>2</v>
      </c>
      <c r="BM162">
        <v>2</v>
      </c>
      <c r="BT162">
        <v>0.2</v>
      </c>
      <c r="BV162" s="9">
        <v>0</v>
      </c>
      <c r="BW162" s="9">
        <v>5</v>
      </c>
      <c r="BX162" s="9">
        <v>1</v>
      </c>
      <c r="BY162" s="9" t="s">
        <v>6987</v>
      </c>
      <c r="CB162" t="s">
        <v>7168</v>
      </c>
      <c r="CG162" t="s">
        <v>7057</v>
      </c>
    </row>
    <row r="163" spans="1:85">
      <c r="A163" t="s">
        <v>7365</v>
      </c>
      <c r="C163" t="s">
        <v>7361</v>
      </c>
      <c r="D163" t="s">
        <v>7366</v>
      </c>
      <c r="E163" t="s">
        <v>7367</v>
      </c>
      <c r="F163" t="s">
        <v>7368</v>
      </c>
      <c r="G163">
        <v>3</v>
      </c>
      <c r="J163" t="s">
        <v>6985</v>
      </c>
      <c r="K163" s="6" t="s">
        <v>6986</v>
      </c>
      <c r="AB163">
        <v>1</v>
      </c>
      <c r="AC163">
        <v>2</v>
      </c>
      <c r="AO163" t="s">
        <v>7062</v>
      </c>
      <c r="AT163" t="s">
        <v>7246</v>
      </c>
      <c r="AX163" t="s">
        <v>7064</v>
      </c>
      <c r="AZ163">
        <v>3</v>
      </c>
      <c r="BD163">
        <v>99</v>
      </c>
      <c r="BM163">
        <v>2</v>
      </c>
      <c r="BT163">
        <v>0.2</v>
      </c>
      <c r="BV163" s="9">
        <v>14</v>
      </c>
      <c r="BW163" s="9">
        <v>20</v>
      </c>
      <c r="BX163" s="9">
        <v>1</v>
      </c>
      <c r="BY163" s="9" t="s">
        <v>6987</v>
      </c>
      <c r="CB163" t="s">
        <v>7369</v>
      </c>
      <c r="CG163" t="s">
        <v>7057</v>
      </c>
    </row>
    <row r="165" spans="1:103">
      <c r="A165" t="s">
        <v>7370</v>
      </c>
      <c r="C165" t="s">
        <v>6968</v>
      </c>
      <c r="K165" s="6" t="s">
        <v>6987</v>
      </c>
      <c r="AC165">
        <v>1</v>
      </c>
      <c r="AO165" t="s">
        <v>7055</v>
      </c>
      <c r="AT165" t="s">
        <v>7145</v>
      </c>
      <c r="AY165">
        <v>1</v>
      </c>
      <c r="AZ165">
        <v>1</v>
      </c>
      <c r="BD165">
        <v>1</v>
      </c>
      <c r="CB165" t="s">
        <v>140</v>
      </c>
      <c r="CG165" t="s">
        <v>7057</v>
      </c>
      <c r="CH165" t="s">
        <v>7371</v>
      </c>
      <c r="CI165" t="s">
        <v>4277</v>
      </c>
      <c r="CY165" t="s">
        <v>7372</v>
      </c>
    </row>
    <row r="166" spans="1:103">
      <c r="A166" t="s">
        <v>7373</v>
      </c>
      <c r="C166" t="s">
        <v>6968</v>
      </c>
      <c r="K166" s="6" t="s">
        <v>6953</v>
      </c>
      <c r="L166" s="6" t="s">
        <v>7158</v>
      </c>
      <c r="AC166">
        <v>1</v>
      </c>
      <c r="AO166" t="s">
        <v>7055</v>
      </c>
      <c r="AV166">
        <v>99</v>
      </c>
      <c r="AY166">
        <v>1</v>
      </c>
      <c r="AZ166">
        <v>1.6</v>
      </c>
      <c r="BD166">
        <v>99</v>
      </c>
      <c r="CY166" t="s">
        <v>7034</v>
      </c>
    </row>
    <row r="167" spans="1:103">
      <c r="A167" t="s">
        <v>7374</v>
      </c>
      <c r="C167" t="s">
        <v>6968</v>
      </c>
      <c r="D167" t="s">
        <v>7375</v>
      </c>
      <c r="E167" t="s">
        <v>7376</v>
      </c>
      <c r="F167" t="s">
        <v>7377</v>
      </c>
      <c r="G167">
        <v>3</v>
      </c>
      <c r="J167" t="s">
        <v>6985</v>
      </c>
      <c r="K167" s="6" t="s">
        <v>6987</v>
      </c>
      <c r="AC167">
        <v>1</v>
      </c>
      <c r="AO167" t="s">
        <v>7055</v>
      </c>
      <c r="AT167" t="s">
        <v>7145</v>
      </c>
      <c r="AY167">
        <v>1</v>
      </c>
      <c r="AZ167">
        <v>1.25</v>
      </c>
      <c r="BD167">
        <v>2</v>
      </c>
      <c r="BT167">
        <v>0.2</v>
      </c>
      <c r="BV167" s="9">
        <v>0</v>
      </c>
      <c r="BW167" s="9">
        <v>8</v>
      </c>
      <c r="BX167" s="9">
        <v>3</v>
      </c>
      <c r="BY167" s="9" t="s">
        <v>6987</v>
      </c>
      <c r="CB167" t="s">
        <v>140</v>
      </c>
      <c r="CG167" t="s">
        <v>7057</v>
      </c>
      <c r="CH167" t="s">
        <v>7371</v>
      </c>
      <c r="CI167" t="s">
        <v>4277</v>
      </c>
      <c r="CY167" t="s">
        <v>7372</v>
      </c>
    </row>
    <row r="168" spans="1:103">
      <c r="A168" t="s">
        <v>7378</v>
      </c>
      <c r="C168" t="s">
        <v>6968</v>
      </c>
      <c r="D168" t="s">
        <v>7379</v>
      </c>
      <c r="E168" t="s">
        <v>7380</v>
      </c>
      <c r="F168" t="s">
        <v>7381</v>
      </c>
      <c r="G168">
        <v>3</v>
      </c>
      <c r="J168" t="s">
        <v>7091</v>
      </c>
      <c r="K168" s="6" t="s">
        <v>6986</v>
      </c>
      <c r="AC168">
        <v>1</v>
      </c>
      <c r="AO168" t="s">
        <v>7055</v>
      </c>
      <c r="AT168" t="s">
        <v>7145</v>
      </c>
      <c r="AY168">
        <v>1</v>
      </c>
      <c r="AZ168">
        <v>1</v>
      </c>
      <c r="BD168">
        <v>2</v>
      </c>
      <c r="BO168" s="8" t="s">
        <v>7382</v>
      </c>
      <c r="BT168">
        <v>25</v>
      </c>
      <c r="BV168" s="9">
        <v>20</v>
      </c>
      <c r="BW168" s="9">
        <v>50</v>
      </c>
      <c r="BX168" s="9">
        <v>1</v>
      </c>
      <c r="BY168" s="9" t="s">
        <v>6987</v>
      </c>
      <c r="CB168" t="s">
        <v>140</v>
      </c>
      <c r="CG168" t="s">
        <v>7057</v>
      </c>
      <c r="CH168" t="s">
        <v>7371</v>
      </c>
      <c r="CI168" t="s">
        <v>4277</v>
      </c>
      <c r="CY168" t="s">
        <v>7372</v>
      </c>
    </row>
    <row r="169" spans="1:96">
      <c r="A169" t="s">
        <v>7382</v>
      </c>
      <c r="C169" t="s">
        <v>6968</v>
      </c>
      <c r="K169" s="6" t="s">
        <v>6953</v>
      </c>
      <c r="L169" s="6" t="s">
        <v>7098</v>
      </c>
      <c r="AC169">
        <v>1</v>
      </c>
      <c r="AY169" s="6"/>
      <c r="BD169">
        <v>1</v>
      </c>
      <c r="CB169" s="6"/>
      <c r="CC169" s="6"/>
      <c r="CD169" s="6"/>
      <c r="CE169" s="6"/>
      <c r="CF169" s="6"/>
      <c r="CH169" s="6"/>
      <c r="CI169" s="6"/>
      <c r="CJ169" s="6"/>
      <c r="CK169" s="6"/>
      <c r="CL169" s="6"/>
      <c r="CM169" s="6"/>
      <c r="CN169" s="10" t="s">
        <v>7022</v>
      </c>
      <c r="CO169">
        <v>0.65</v>
      </c>
      <c r="CR169">
        <v>25</v>
      </c>
    </row>
    <row r="170" spans="51:91">
      <c r="AY170" s="6"/>
      <c r="CB170" s="6"/>
      <c r="CC170" s="6"/>
      <c r="CD170" s="6"/>
      <c r="CE170" s="6"/>
      <c r="CF170" s="6"/>
      <c r="CH170" s="6"/>
      <c r="CI170" s="6"/>
      <c r="CJ170" s="6"/>
      <c r="CK170" s="6"/>
      <c r="CL170" s="6"/>
      <c r="CM170" s="6"/>
    </row>
    <row r="171" spans="1:103">
      <c r="A171" t="s">
        <v>7383</v>
      </c>
      <c r="C171" t="s">
        <v>6968</v>
      </c>
      <c r="K171" s="6" t="s">
        <v>6987</v>
      </c>
      <c r="AC171">
        <v>1</v>
      </c>
      <c r="AO171" t="s">
        <v>7055</v>
      </c>
      <c r="AT171" t="s">
        <v>7145</v>
      </c>
      <c r="AY171">
        <v>1</v>
      </c>
      <c r="AZ171">
        <v>1</v>
      </c>
      <c r="BD171">
        <v>1</v>
      </c>
      <c r="CB171" t="s">
        <v>140</v>
      </c>
      <c r="CG171" t="s">
        <v>7057</v>
      </c>
      <c r="CY171" t="s">
        <v>7034</v>
      </c>
    </row>
    <row r="172" spans="1:96">
      <c r="A172" t="s">
        <v>7384</v>
      </c>
      <c r="C172" t="s">
        <v>6968</v>
      </c>
      <c r="K172" t="s">
        <v>6953</v>
      </c>
      <c r="L172" t="s">
        <v>7158</v>
      </c>
      <c r="M172"/>
      <c r="N172"/>
      <c r="O172"/>
      <c r="P172"/>
      <c r="Q172"/>
      <c r="R172"/>
      <c r="S172"/>
      <c r="T172"/>
      <c r="U172"/>
      <c r="V172"/>
      <c r="W172"/>
      <c r="X172"/>
      <c r="AC172">
        <v>1</v>
      </c>
      <c r="AI172" t="s">
        <v>338</v>
      </c>
      <c r="AV172">
        <v>99</v>
      </c>
      <c r="BD172">
        <v>99</v>
      </c>
      <c r="BV172"/>
      <c r="BW172"/>
      <c r="BX172"/>
      <c r="BY172"/>
      <c r="BZ172"/>
      <c r="CA172"/>
      <c r="CN172" s="10" t="s">
        <v>7384</v>
      </c>
      <c r="CO172" t="s">
        <v>7385</v>
      </c>
      <c r="CR172">
        <v>17</v>
      </c>
    </row>
    <row r="173" spans="1:108">
      <c r="A173" t="s">
        <v>7386</v>
      </c>
      <c r="C173" t="s">
        <v>6968</v>
      </c>
      <c r="D173" t="s">
        <v>7387</v>
      </c>
      <c r="E173" t="s">
        <v>7388</v>
      </c>
      <c r="F173" t="s">
        <v>7389</v>
      </c>
      <c r="G173">
        <v>3</v>
      </c>
      <c r="J173" t="s">
        <v>6985</v>
      </c>
      <c r="K173" s="6" t="s">
        <v>6987</v>
      </c>
      <c r="AC173">
        <v>1</v>
      </c>
      <c r="AO173" t="s">
        <v>7055</v>
      </c>
      <c r="AT173" t="s">
        <v>7145</v>
      </c>
      <c r="AY173">
        <v>1</v>
      </c>
      <c r="AZ173">
        <v>1</v>
      </c>
      <c r="BD173">
        <v>1</v>
      </c>
      <c r="BT173">
        <v>0.2</v>
      </c>
      <c r="BV173" s="9">
        <v>0</v>
      </c>
      <c r="BW173" s="9">
        <v>8</v>
      </c>
      <c r="BX173" s="9">
        <v>3</v>
      </c>
      <c r="BY173" s="9" t="s">
        <v>6987</v>
      </c>
      <c r="CB173" t="s">
        <v>140</v>
      </c>
      <c r="CG173" t="s">
        <v>7057</v>
      </c>
      <c r="CN173" s="10" t="s">
        <v>7390</v>
      </c>
      <c r="CO173">
        <v>0.35</v>
      </c>
      <c r="CR173">
        <v>5</v>
      </c>
      <c r="CY173" t="s">
        <v>7034</v>
      </c>
      <c r="DD173">
        <v>1</v>
      </c>
    </row>
    <row r="174" spans="1:108">
      <c r="A174" t="s">
        <v>7391</v>
      </c>
      <c r="C174" t="s">
        <v>6968</v>
      </c>
      <c r="D174" t="s">
        <v>7392</v>
      </c>
      <c r="E174" t="s">
        <v>7393</v>
      </c>
      <c r="F174" t="s">
        <v>7394</v>
      </c>
      <c r="G174">
        <v>3</v>
      </c>
      <c r="J174" t="s">
        <v>6985</v>
      </c>
      <c r="K174" s="6" t="s">
        <v>6986</v>
      </c>
      <c r="AB174">
        <v>1</v>
      </c>
      <c r="AC174">
        <v>1</v>
      </c>
      <c r="AO174" t="s">
        <v>7055</v>
      </c>
      <c r="AT174" t="s">
        <v>7145</v>
      </c>
      <c r="AZ174">
        <v>0</v>
      </c>
      <c r="BD174">
        <v>99</v>
      </c>
      <c r="BT174">
        <v>0.2</v>
      </c>
      <c r="BV174" s="9">
        <v>50</v>
      </c>
      <c r="BW174" s="9">
        <v>60</v>
      </c>
      <c r="BX174" s="9">
        <v>1</v>
      </c>
      <c r="BY174" s="9" t="s">
        <v>6987</v>
      </c>
      <c r="CB174" t="s">
        <v>140</v>
      </c>
      <c r="CG174" t="s">
        <v>7057</v>
      </c>
      <c r="CN174" s="10" t="s">
        <v>7390</v>
      </c>
      <c r="CO174">
        <v>0.3</v>
      </c>
      <c r="CR174">
        <v>10</v>
      </c>
      <c r="CW174" t="s">
        <v>7395</v>
      </c>
      <c r="CY174" t="s">
        <v>7034</v>
      </c>
      <c r="DD174">
        <v>1</v>
      </c>
    </row>
    <row r="176" spans="1:103">
      <c r="A176" t="s">
        <v>7396</v>
      </c>
      <c r="C176" t="s">
        <v>6968</v>
      </c>
      <c r="K176" s="6" t="s">
        <v>6987</v>
      </c>
      <c r="AC176">
        <v>1</v>
      </c>
      <c r="AO176" t="s">
        <v>7055</v>
      </c>
      <c r="AT176" t="s">
        <v>7128</v>
      </c>
      <c r="AY176">
        <v>1</v>
      </c>
      <c r="AZ176">
        <v>1</v>
      </c>
      <c r="BD176">
        <v>3</v>
      </c>
      <c r="CB176" t="s">
        <v>140</v>
      </c>
      <c r="CG176" t="s">
        <v>7057</v>
      </c>
      <c r="CW176" t="s">
        <v>7397</v>
      </c>
      <c r="CY176" t="s">
        <v>7034</v>
      </c>
    </row>
    <row r="177" spans="1:96">
      <c r="A177" t="s">
        <v>7398</v>
      </c>
      <c r="C177" t="s">
        <v>6968</v>
      </c>
      <c r="K177" s="6" t="s">
        <v>6953</v>
      </c>
      <c r="L177" s="6" t="s">
        <v>6972</v>
      </c>
      <c r="AC177">
        <v>1</v>
      </c>
      <c r="AG177" t="s">
        <v>6955</v>
      </c>
      <c r="AH177">
        <v>1</v>
      </c>
      <c r="AY177" s="6"/>
      <c r="BD177">
        <v>1</v>
      </c>
      <c r="BV177"/>
      <c r="BW177"/>
      <c r="BX177"/>
      <c r="BY177"/>
      <c r="BZ177"/>
      <c r="CA177"/>
      <c r="CB177" s="6"/>
      <c r="CC177" s="6"/>
      <c r="CD177" s="6"/>
      <c r="CE177" s="6"/>
      <c r="CF177" s="6"/>
      <c r="CH177" s="6"/>
      <c r="CI177" s="6"/>
      <c r="CJ177" s="6"/>
      <c r="CK177" s="6"/>
      <c r="CL177" s="6"/>
      <c r="CM177" s="6"/>
      <c r="CN177" s="10" t="s">
        <v>7399</v>
      </c>
      <c r="CR177">
        <v>99999</v>
      </c>
    </row>
    <row r="178" spans="1:91">
      <c r="A178" t="s">
        <v>7400</v>
      </c>
      <c r="C178" t="s">
        <v>6968</v>
      </c>
      <c r="K178" s="6" t="s">
        <v>6987</v>
      </c>
      <c r="AC178">
        <v>1</v>
      </c>
      <c r="AV178">
        <v>99</v>
      </c>
      <c r="AY178" s="6">
        <v>1</v>
      </c>
      <c r="AZ178">
        <v>0.055</v>
      </c>
      <c r="BA178">
        <v>1</v>
      </c>
      <c r="BD178">
        <v>99</v>
      </c>
      <c r="BS178">
        <v>0.02</v>
      </c>
      <c r="BV178"/>
      <c r="BW178"/>
      <c r="BX178"/>
      <c r="BY178"/>
      <c r="BZ178"/>
      <c r="CA178"/>
      <c r="CB178" s="6"/>
      <c r="CC178" s="6"/>
      <c r="CD178" s="6"/>
      <c r="CE178" s="6"/>
      <c r="CF178" s="6"/>
      <c r="CH178" s="6"/>
      <c r="CI178" s="6"/>
      <c r="CJ178" s="6"/>
      <c r="CK178" s="6"/>
      <c r="CL178" s="6"/>
      <c r="CM178" s="6"/>
    </row>
    <row r="179" spans="1:96">
      <c r="A179" t="s">
        <v>7401</v>
      </c>
      <c r="C179" t="s">
        <v>6968</v>
      </c>
      <c r="D179" t="s">
        <v>7402</v>
      </c>
      <c r="E179" t="s">
        <v>7403</v>
      </c>
      <c r="F179" t="s">
        <v>7404</v>
      </c>
      <c r="J179" t="s">
        <v>6985</v>
      </c>
      <c r="K179" s="6" t="s">
        <v>6986</v>
      </c>
      <c r="AC179">
        <v>1</v>
      </c>
      <c r="AY179" s="6"/>
      <c r="BD179">
        <v>1</v>
      </c>
      <c r="BT179">
        <v>30</v>
      </c>
      <c r="BV179" s="9">
        <v>20</v>
      </c>
      <c r="BW179" s="9">
        <v>60</v>
      </c>
      <c r="BX179" s="9">
        <v>1</v>
      </c>
      <c r="BY179" s="9" t="s">
        <v>6987</v>
      </c>
      <c r="CB179" s="6"/>
      <c r="CC179" s="6"/>
      <c r="CD179" s="6"/>
      <c r="CE179" s="6"/>
      <c r="CF179" s="6"/>
      <c r="CH179" s="6"/>
      <c r="CI179" s="6"/>
      <c r="CJ179" s="6"/>
      <c r="CK179" s="6"/>
      <c r="CL179" s="6"/>
      <c r="CM179" s="6"/>
      <c r="CN179" s="10" t="s">
        <v>7401</v>
      </c>
      <c r="CO179" t="s">
        <v>7405</v>
      </c>
      <c r="CR179">
        <v>30</v>
      </c>
    </row>
    <row r="180" spans="51:91">
      <c r="AY180" s="6"/>
      <c r="CB180" s="6"/>
      <c r="CC180" s="6"/>
      <c r="CD180" s="6"/>
      <c r="CE180" s="6"/>
      <c r="CF180" s="6"/>
      <c r="CH180" s="6"/>
      <c r="CI180" s="6"/>
      <c r="CJ180" s="6"/>
      <c r="CK180" s="6"/>
      <c r="CL180" s="6"/>
      <c r="CM180" s="6"/>
    </row>
    <row r="181" spans="1:103">
      <c r="A181" t="s">
        <v>7406</v>
      </c>
      <c r="C181" t="s">
        <v>4994</v>
      </c>
      <c r="AC181">
        <v>2</v>
      </c>
      <c r="AO181" t="s">
        <v>7062</v>
      </c>
      <c r="AT181" t="s">
        <v>7087</v>
      </c>
      <c r="AX181" t="s">
        <v>7064</v>
      </c>
      <c r="AZ181">
        <v>1</v>
      </c>
      <c r="BD181">
        <v>1</v>
      </c>
      <c r="CB181" t="s">
        <v>140</v>
      </c>
      <c r="CG181" t="s">
        <v>7057</v>
      </c>
      <c r="CW181" t="s">
        <v>7407</v>
      </c>
      <c r="CY181" t="s">
        <v>7408</v>
      </c>
    </row>
    <row r="182" spans="1:96">
      <c r="A182" t="s">
        <v>7409</v>
      </c>
      <c r="C182" t="s">
        <v>6968</v>
      </c>
      <c r="K182" s="6" t="s">
        <v>6953</v>
      </c>
      <c r="L182" s="6" t="s">
        <v>6972</v>
      </c>
      <c r="AC182">
        <v>1</v>
      </c>
      <c r="AG182" t="s">
        <v>6955</v>
      </c>
      <c r="AH182">
        <v>1</v>
      </c>
      <c r="AY182" s="6"/>
      <c r="BD182">
        <v>1</v>
      </c>
      <c r="BV182"/>
      <c r="BW182"/>
      <c r="BX182"/>
      <c r="BY182"/>
      <c r="BZ182"/>
      <c r="CA182"/>
      <c r="CB182" s="6"/>
      <c r="CC182" s="6"/>
      <c r="CD182" s="6"/>
      <c r="CE182" s="6"/>
      <c r="CF182" s="6"/>
      <c r="CH182" s="6"/>
      <c r="CI182" s="6"/>
      <c r="CJ182" s="6"/>
      <c r="CK182" s="6"/>
      <c r="CL182" s="6"/>
      <c r="CM182" s="6"/>
      <c r="CN182" s="10" t="s">
        <v>7170</v>
      </c>
      <c r="CO182">
        <v>15</v>
      </c>
      <c r="CR182">
        <v>99999</v>
      </c>
    </row>
    <row r="183" spans="1:103">
      <c r="A183" t="s">
        <v>7410</v>
      </c>
      <c r="C183" t="s">
        <v>6968</v>
      </c>
      <c r="D183" t="s">
        <v>7411</v>
      </c>
      <c r="E183" t="s">
        <v>7412</v>
      </c>
      <c r="F183" t="s">
        <v>7413</v>
      </c>
      <c r="G183">
        <v>3</v>
      </c>
      <c r="J183" t="s">
        <v>6985</v>
      </c>
      <c r="K183" s="6" t="s">
        <v>6986</v>
      </c>
      <c r="AC183">
        <v>1</v>
      </c>
      <c r="AY183" s="6"/>
      <c r="BD183">
        <v>1</v>
      </c>
      <c r="BT183">
        <v>30</v>
      </c>
      <c r="BV183" s="9">
        <v>10</v>
      </c>
      <c r="BW183" s="9">
        <v>35</v>
      </c>
      <c r="BX183" s="9">
        <v>1</v>
      </c>
      <c r="BY183" s="9" t="s">
        <v>6987</v>
      </c>
      <c r="CB183" s="6"/>
      <c r="CC183" s="6"/>
      <c r="CD183" s="6"/>
      <c r="CE183" s="6"/>
      <c r="CF183" s="6"/>
      <c r="CH183" s="6"/>
      <c r="CI183" s="6"/>
      <c r="CJ183" s="6"/>
      <c r="CK183" s="6"/>
      <c r="CL183" s="6"/>
      <c r="CM183" s="6"/>
      <c r="CN183" s="10" t="s">
        <v>7414</v>
      </c>
      <c r="CO183">
        <v>0.7</v>
      </c>
      <c r="CP183">
        <v>40</v>
      </c>
      <c r="CR183">
        <v>30</v>
      </c>
      <c r="CY183" t="s">
        <v>7034</v>
      </c>
    </row>
    <row r="184" spans="1:96">
      <c r="A184" t="s">
        <v>7415</v>
      </c>
      <c r="C184" t="s">
        <v>6968</v>
      </c>
      <c r="D184" t="s">
        <v>7416</v>
      </c>
      <c r="E184" t="s">
        <v>7417</v>
      </c>
      <c r="F184" t="s">
        <v>7418</v>
      </c>
      <c r="G184">
        <v>3</v>
      </c>
      <c r="J184" t="s">
        <v>6985</v>
      </c>
      <c r="K184" s="6" t="s">
        <v>6986</v>
      </c>
      <c r="AC184">
        <v>1</v>
      </c>
      <c r="AY184" s="6"/>
      <c r="BD184">
        <v>1</v>
      </c>
      <c r="BT184">
        <v>30</v>
      </c>
      <c r="BV184" s="9">
        <v>10</v>
      </c>
      <c r="BW184" s="9">
        <v>32</v>
      </c>
      <c r="BX184" s="9">
        <v>1</v>
      </c>
      <c r="BY184" s="9" t="s">
        <v>6987</v>
      </c>
      <c r="CB184" s="6"/>
      <c r="CC184" s="6"/>
      <c r="CD184" s="6"/>
      <c r="CE184" s="6"/>
      <c r="CF184" s="6"/>
      <c r="CH184" s="6"/>
      <c r="CI184" s="6"/>
      <c r="CJ184" s="6"/>
      <c r="CK184" s="6"/>
      <c r="CL184" s="6"/>
      <c r="CM184" s="6"/>
      <c r="CN184" s="10" t="s">
        <v>7415</v>
      </c>
      <c r="CO184" t="s">
        <v>7419</v>
      </c>
      <c r="CR184">
        <v>30</v>
      </c>
    </row>
    <row r="185" spans="51:91">
      <c r="AY185" s="6"/>
      <c r="CB185" s="6"/>
      <c r="CC185" s="6"/>
      <c r="CD185" s="6"/>
      <c r="CE185" s="6"/>
      <c r="CF185" s="6"/>
      <c r="CH185" s="6"/>
      <c r="CI185" s="6"/>
      <c r="CJ185" s="6"/>
      <c r="CK185" s="6"/>
      <c r="CL185" s="6"/>
      <c r="CM185" s="6"/>
    </row>
    <row r="186" spans="1:103">
      <c r="A186" t="s">
        <v>7420</v>
      </c>
      <c r="C186" t="s">
        <v>4994</v>
      </c>
      <c r="AC186">
        <v>2</v>
      </c>
      <c r="AO186" t="s">
        <v>7062</v>
      </c>
      <c r="AT186" t="s">
        <v>7087</v>
      </c>
      <c r="AX186" t="s">
        <v>7064</v>
      </c>
      <c r="AZ186">
        <v>1</v>
      </c>
      <c r="BD186">
        <v>1</v>
      </c>
      <c r="CB186" t="s">
        <v>140</v>
      </c>
      <c r="CG186" t="s">
        <v>7057</v>
      </c>
      <c r="CY186" t="s">
        <v>7074</v>
      </c>
    </row>
    <row r="187" spans="1:96">
      <c r="A187" t="s">
        <v>7421</v>
      </c>
      <c r="C187" t="s">
        <v>6968</v>
      </c>
      <c r="K187" s="6" t="s">
        <v>6953</v>
      </c>
      <c r="L187" s="6" t="s">
        <v>6972</v>
      </c>
      <c r="AC187">
        <v>1</v>
      </c>
      <c r="AG187" t="s">
        <v>6955</v>
      </c>
      <c r="AH187">
        <v>1</v>
      </c>
      <c r="AY187" s="6"/>
      <c r="BD187">
        <v>1</v>
      </c>
      <c r="BV187"/>
      <c r="BW187"/>
      <c r="BX187"/>
      <c r="BY187"/>
      <c r="BZ187"/>
      <c r="CA187"/>
      <c r="CB187" s="6"/>
      <c r="CC187" s="6"/>
      <c r="CD187" s="6"/>
      <c r="CE187" s="6"/>
      <c r="CF187" s="6"/>
      <c r="CH187" s="6"/>
      <c r="CI187" s="6"/>
      <c r="CJ187" s="6"/>
      <c r="CK187" s="6"/>
      <c r="CL187" s="6"/>
      <c r="CM187" s="6"/>
      <c r="CN187" s="10" t="s">
        <v>7327</v>
      </c>
      <c r="CO187">
        <v>0.12</v>
      </c>
      <c r="CR187">
        <v>99999</v>
      </c>
    </row>
    <row r="188" spans="1:96">
      <c r="A188" t="s">
        <v>7422</v>
      </c>
      <c r="C188" t="s">
        <v>6968</v>
      </c>
      <c r="D188" t="s">
        <v>7423</v>
      </c>
      <c r="E188" t="s">
        <v>7424</v>
      </c>
      <c r="F188" t="s">
        <v>7425</v>
      </c>
      <c r="G188">
        <v>3</v>
      </c>
      <c r="J188" t="s">
        <v>6985</v>
      </c>
      <c r="K188" s="6" t="s">
        <v>6986</v>
      </c>
      <c r="AC188">
        <v>1</v>
      </c>
      <c r="AY188" s="6"/>
      <c r="BD188">
        <v>1</v>
      </c>
      <c r="BT188">
        <v>30</v>
      </c>
      <c r="BV188" s="9">
        <v>0</v>
      </c>
      <c r="BW188" s="9">
        <v>40</v>
      </c>
      <c r="BX188" s="9">
        <v>1</v>
      </c>
      <c r="BY188" s="9" t="s">
        <v>6987</v>
      </c>
      <c r="CD188" s="6"/>
      <c r="CE188" t="s">
        <v>813</v>
      </c>
      <c r="CF188" s="6"/>
      <c r="CH188" s="6"/>
      <c r="CI188" s="6"/>
      <c r="CJ188" s="6"/>
      <c r="CK188" s="6"/>
      <c r="CL188" s="6"/>
      <c r="CM188" s="6"/>
      <c r="CN188" s="10" t="s">
        <v>7426</v>
      </c>
      <c r="CO188" t="s">
        <v>7427</v>
      </c>
      <c r="CP188">
        <v>0.03</v>
      </c>
      <c r="CR188">
        <v>30</v>
      </c>
    </row>
    <row r="189" spans="51:91">
      <c r="AY189" s="6"/>
      <c r="CB189" s="6"/>
      <c r="CC189" s="6"/>
      <c r="CD189" s="6"/>
      <c r="CE189" s="6"/>
      <c r="CF189" s="6"/>
      <c r="CH189" s="6"/>
      <c r="CI189" s="6"/>
      <c r="CJ189" s="6"/>
      <c r="CK189" s="6"/>
      <c r="CL189" s="6"/>
      <c r="CM189" s="6"/>
    </row>
    <row r="190" spans="1:103">
      <c r="A190" t="s">
        <v>561</v>
      </c>
      <c r="C190" t="s">
        <v>4994</v>
      </c>
      <c r="AC190">
        <v>2</v>
      </c>
      <c r="AO190" t="s">
        <v>7062</v>
      </c>
      <c r="AT190" t="s">
        <v>7087</v>
      </c>
      <c r="AX190" t="s">
        <v>7064</v>
      </c>
      <c r="AZ190">
        <v>1</v>
      </c>
      <c r="BD190">
        <v>1</v>
      </c>
      <c r="BO190" s="8" t="s">
        <v>7428</v>
      </c>
      <c r="CB190" t="s">
        <v>140</v>
      </c>
      <c r="CG190" t="s">
        <v>7057</v>
      </c>
      <c r="CY190" t="s">
        <v>7074</v>
      </c>
    </row>
    <row r="191" spans="1:103">
      <c r="A191" t="s">
        <v>7428</v>
      </c>
      <c r="C191" t="s">
        <v>4994</v>
      </c>
      <c r="AA191">
        <v>0.18</v>
      </c>
      <c r="AC191">
        <v>2</v>
      </c>
      <c r="AO191" t="s">
        <v>7062</v>
      </c>
      <c r="AT191" t="s">
        <v>7087</v>
      </c>
      <c r="AX191" t="s">
        <v>7064</v>
      </c>
      <c r="AZ191">
        <v>2</v>
      </c>
      <c r="BD191">
        <v>1</v>
      </c>
      <c r="CB191" t="s">
        <v>140</v>
      </c>
      <c r="CG191" t="s">
        <v>7057</v>
      </c>
      <c r="CY191" t="s">
        <v>7074</v>
      </c>
    </row>
    <row r="192" spans="1:103">
      <c r="A192" t="s">
        <v>7429</v>
      </c>
      <c r="C192" t="s">
        <v>6968</v>
      </c>
      <c r="D192" t="s">
        <v>7430</v>
      </c>
      <c r="E192" t="s">
        <v>7431</v>
      </c>
      <c r="F192" t="s">
        <v>7432</v>
      </c>
      <c r="G192">
        <v>3</v>
      </c>
      <c r="J192" t="s">
        <v>6985</v>
      </c>
      <c r="K192" s="6" t="s">
        <v>6987</v>
      </c>
      <c r="AC192">
        <v>1</v>
      </c>
      <c r="AO192" t="s">
        <v>7055</v>
      </c>
      <c r="AT192" t="s">
        <v>7092</v>
      </c>
      <c r="AY192" s="6">
        <v>1</v>
      </c>
      <c r="AZ192">
        <v>1.6</v>
      </c>
      <c r="BD192">
        <v>1</v>
      </c>
      <c r="BT192">
        <v>0.2</v>
      </c>
      <c r="BV192" s="9">
        <v>0</v>
      </c>
      <c r="BW192" s="9">
        <v>4</v>
      </c>
      <c r="BX192" s="9">
        <v>3</v>
      </c>
      <c r="BY192" s="9" t="s">
        <v>6987</v>
      </c>
      <c r="CB192" t="s">
        <v>638</v>
      </c>
      <c r="CD192" s="6"/>
      <c r="CE192" s="6"/>
      <c r="CF192" s="6"/>
      <c r="CG192" t="s">
        <v>7057</v>
      </c>
      <c r="CH192" s="6" t="s">
        <v>7433</v>
      </c>
      <c r="CI192" t="s">
        <v>4277</v>
      </c>
      <c r="CJ192" s="6"/>
      <c r="CK192" s="6"/>
      <c r="CL192" s="6"/>
      <c r="CM192" s="6"/>
      <c r="CY192" t="s">
        <v>7434</v>
      </c>
    </row>
    <row r="193" spans="1:103">
      <c r="A193" t="s">
        <v>7435</v>
      </c>
      <c r="C193" t="s">
        <v>6968</v>
      </c>
      <c r="D193" t="s">
        <v>7436</v>
      </c>
      <c r="E193" t="s">
        <v>7437</v>
      </c>
      <c r="F193" t="s">
        <v>7438</v>
      </c>
      <c r="G193">
        <v>3</v>
      </c>
      <c r="J193" t="s">
        <v>7091</v>
      </c>
      <c r="K193" s="6" t="s">
        <v>6986</v>
      </c>
      <c r="P193" t="s">
        <v>7439</v>
      </c>
      <c r="AC193">
        <v>1</v>
      </c>
      <c r="AO193" t="s">
        <v>7055</v>
      </c>
      <c r="AT193" t="s">
        <v>7092</v>
      </c>
      <c r="AY193" s="6">
        <v>1</v>
      </c>
      <c r="AZ193">
        <v>1</v>
      </c>
      <c r="BD193">
        <v>1</v>
      </c>
      <c r="BO193" s="8" t="s">
        <v>7440</v>
      </c>
      <c r="BT193">
        <v>30</v>
      </c>
      <c r="BV193" s="9">
        <v>20</v>
      </c>
      <c r="BW193" s="9">
        <v>30</v>
      </c>
      <c r="BX193" s="9">
        <v>1</v>
      </c>
      <c r="BY193" s="9" t="s">
        <v>6987</v>
      </c>
      <c r="CB193" t="s">
        <v>638</v>
      </c>
      <c r="CD193" s="6"/>
      <c r="CE193" s="6"/>
      <c r="CF193" s="6"/>
      <c r="CG193" t="s">
        <v>7057</v>
      </c>
      <c r="CH193" s="6" t="s">
        <v>7433</v>
      </c>
      <c r="CI193" t="s">
        <v>4277</v>
      </c>
      <c r="CJ193" s="6"/>
      <c r="CK193" s="6"/>
      <c r="CL193" s="6"/>
      <c r="CM193" s="6"/>
      <c r="CY193" t="s">
        <v>7434</v>
      </c>
    </row>
    <row r="194" spans="1:96">
      <c r="A194" t="s">
        <v>7441</v>
      </c>
      <c r="C194" t="s">
        <v>6968</v>
      </c>
      <c r="K194" s="6" t="s">
        <v>6953</v>
      </c>
      <c r="L194" s="6" t="s">
        <v>7098</v>
      </c>
      <c r="AC194">
        <v>1</v>
      </c>
      <c r="AY194" s="6"/>
      <c r="BD194">
        <v>1</v>
      </c>
      <c r="CB194" s="6"/>
      <c r="CC194" s="6"/>
      <c r="CD194" s="6"/>
      <c r="CE194" s="6"/>
      <c r="CF194" s="6"/>
      <c r="CH194" s="6"/>
      <c r="CI194" s="6"/>
      <c r="CJ194" s="6"/>
      <c r="CK194" s="6"/>
      <c r="CL194" s="6"/>
      <c r="CM194" s="6"/>
      <c r="CN194" s="10" t="s">
        <v>7442</v>
      </c>
      <c r="CO194">
        <v>0.8</v>
      </c>
      <c r="CR194">
        <v>10</v>
      </c>
    </row>
    <row r="195" spans="1:96">
      <c r="A195" t="s">
        <v>7443</v>
      </c>
      <c r="C195" t="s">
        <v>6968</v>
      </c>
      <c r="K195" s="6" t="s">
        <v>6953</v>
      </c>
      <c r="L195" s="6" t="s">
        <v>7098</v>
      </c>
      <c r="AC195">
        <v>1</v>
      </c>
      <c r="AY195" s="6"/>
      <c r="BD195">
        <v>1</v>
      </c>
      <c r="CB195" s="6"/>
      <c r="CC195" s="6"/>
      <c r="CD195" s="6"/>
      <c r="CE195" s="6"/>
      <c r="CF195" s="6"/>
      <c r="CH195" s="6"/>
      <c r="CI195" s="6"/>
      <c r="CJ195" s="6"/>
      <c r="CK195" s="6"/>
      <c r="CL195" s="6"/>
      <c r="CM195" s="6"/>
      <c r="CN195" s="10" t="s">
        <v>7444</v>
      </c>
      <c r="CO195" t="s">
        <v>7445</v>
      </c>
      <c r="CR195">
        <v>30</v>
      </c>
    </row>
    <row r="196" spans="51:91">
      <c r="AY196" s="6"/>
      <c r="CB196" s="6"/>
      <c r="CC196" s="6"/>
      <c r="CD196" s="6"/>
      <c r="CE196" s="6"/>
      <c r="CF196" s="6"/>
      <c r="CH196" s="6"/>
      <c r="CI196" s="6"/>
      <c r="CJ196" s="6"/>
      <c r="CK196" s="6"/>
      <c r="CL196" s="6"/>
      <c r="CM196" s="6"/>
    </row>
    <row r="197" spans="1:103">
      <c r="A197" t="s">
        <v>7446</v>
      </c>
      <c r="C197" t="s">
        <v>6968</v>
      </c>
      <c r="AC197">
        <v>2</v>
      </c>
      <c r="AD197">
        <v>1</v>
      </c>
      <c r="AO197" t="s">
        <v>7062</v>
      </c>
      <c r="AT197" t="s">
        <v>7056</v>
      </c>
      <c r="AX197" t="s">
        <v>7077</v>
      </c>
      <c r="AZ197">
        <v>1</v>
      </c>
      <c r="BD197">
        <v>1</v>
      </c>
      <c r="CB197" t="s">
        <v>140</v>
      </c>
      <c r="CG197" t="s">
        <v>7057</v>
      </c>
      <c r="CH197" t="s">
        <v>7078</v>
      </c>
      <c r="CI197" t="s">
        <v>4277</v>
      </c>
      <c r="CW197" t="s">
        <v>7447</v>
      </c>
      <c r="CY197" t="s">
        <v>7448</v>
      </c>
    </row>
    <row r="198" spans="1:99">
      <c r="A198" t="s">
        <v>7449</v>
      </c>
      <c r="C198" t="s">
        <v>7450</v>
      </c>
      <c r="K198" s="6" t="s">
        <v>6953</v>
      </c>
      <c r="L198" s="6" t="s">
        <v>6969</v>
      </c>
      <c r="AC198">
        <v>1</v>
      </c>
      <c r="AF198">
        <v>1</v>
      </c>
      <c r="AG198" t="s">
        <v>6955</v>
      </c>
      <c r="BD198">
        <v>1</v>
      </c>
      <c r="CU198" t="s">
        <v>7451</v>
      </c>
    </row>
    <row r="199" spans="1:96">
      <c r="A199" t="s">
        <v>7452</v>
      </c>
      <c r="C199" t="s">
        <v>6968</v>
      </c>
      <c r="J199" t="s">
        <v>7091</v>
      </c>
      <c r="K199" s="6" t="s">
        <v>6953</v>
      </c>
      <c r="L199" s="6" t="s">
        <v>6972</v>
      </c>
      <c r="AC199">
        <v>1</v>
      </c>
      <c r="AG199" t="s">
        <v>6955</v>
      </c>
      <c r="AH199">
        <v>1</v>
      </c>
      <c r="AY199" s="6"/>
      <c r="BD199">
        <v>1</v>
      </c>
      <c r="BV199"/>
      <c r="BW199"/>
      <c r="BX199"/>
      <c r="BY199"/>
      <c r="BZ199"/>
      <c r="CA199"/>
      <c r="CB199" s="6"/>
      <c r="CC199" s="6"/>
      <c r="CD199" s="6"/>
      <c r="CE199" s="6"/>
      <c r="CF199" s="6"/>
      <c r="CH199" s="6"/>
      <c r="CI199" s="6"/>
      <c r="CJ199" s="6"/>
      <c r="CK199" s="6"/>
      <c r="CL199" s="6"/>
      <c r="CM199" s="6"/>
      <c r="CN199" s="10" t="s">
        <v>7134</v>
      </c>
      <c r="CO199">
        <v>8</v>
      </c>
      <c r="CR199">
        <v>99999</v>
      </c>
    </row>
    <row r="200" spans="1:96">
      <c r="A200" t="s">
        <v>7453</v>
      </c>
      <c r="C200" t="s">
        <v>6968</v>
      </c>
      <c r="D200" t="s">
        <v>7454</v>
      </c>
      <c r="E200" t="s">
        <v>7455</v>
      </c>
      <c r="F200" t="s">
        <v>7456</v>
      </c>
      <c r="G200">
        <v>3</v>
      </c>
      <c r="K200" s="6" t="s">
        <v>6986</v>
      </c>
      <c r="L200" s="6" t="s">
        <v>7098</v>
      </c>
      <c r="AC200">
        <v>1</v>
      </c>
      <c r="AG200" t="s">
        <v>7457</v>
      </c>
      <c r="AV200">
        <v>99</v>
      </c>
      <c r="AY200" s="6"/>
      <c r="BD200">
        <v>99</v>
      </c>
      <c r="BT200">
        <v>30</v>
      </c>
      <c r="BV200" s="9">
        <v>0</v>
      </c>
      <c r="BW200" s="9">
        <v>30</v>
      </c>
      <c r="BX200" s="9">
        <v>1</v>
      </c>
      <c r="BY200" s="9" t="s">
        <v>6987</v>
      </c>
      <c r="CB200" s="6"/>
      <c r="CC200" s="6"/>
      <c r="CD200" s="6"/>
      <c r="CE200" s="6"/>
      <c r="CF200" s="6"/>
      <c r="CH200" s="6"/>
      <c r="CI200" s="6"/>
      <c r="CJ200" s="6"/>
      <c r="CK200" s="6"/>
      <c r="CL200" s="6"/>
      <c r="CM200" s="6"/>
      <c r="CN200" s="10" t="s">
        <v>7458</v>
      </c>
      <c r="CO200" t="s">
        <v>7459</v>
      </c>
      <c r="CP200">
        <v>70</v>
      </c>
      <c r="CR200">
        <v>30</v>
      </c>
    </row>
    <row r="201" spans="1:107">
      <c r="A201" t="s">
        <v>7460</v>
      </c>
      <c r="C201" t="s">
        <v>6968</v>
      </c>
      <c r="D201" t="s">
        <v>7461</v>
      </c>
      <c r="E201" t="s">
        <v>7462</v>
      </c>
      <c r="F201" t="s">
        <v>7463</v>
      </c>
      <c r="G201">
        <v>3</v>
      </c>
      <c r="J201" t="s">
        <v>7091</v>
      </c>
      <c r="K201" s="6" t="s">
        <v>6986</v>
      </c>
      <c r="P201"/>
      <c r="AC201">
        <v>2</v>
      </c>
      <c r="AO201" t="s">
        <v>7062</v>
      </c>
      <c r="AT201" t="s">
        <v>7464</v>
      </c>
      <c r="AY201" s="6"/>
      <c r="AZ201">
        <v>1</v>
      </c>
      <c r="BD201">
        <v>1</v>
      </c>
      <c r="BO201" s="8" t="s">
        <v>7465</v>
      </c>
      <c r="BT201">
        <v>55</v>
      </c>
      <c r="BV201" s="9">
        <v>60</v>
      </c>
      <c r="BW201" s="9">
        <v>80</v>
      </c>
      <c r="BX201" s="9">
        <v>1</v>
      </c>
      <c r="BY201" s="9" t="s">
        <v>6987</v>
      </c>
      <c r="CB201" t="s">
        <v>140</v>
      </c>
      <c r="CD201" s="6"/>
      <c r="CE201" s="6"/>
      <c r="CF201" s="6"/>
      <c r="CG201" t="s">
        <v>7057</v>
      </c>
      <c r="CH201" t="s">
        <v>7078</v>
      </c>
      <c r="CI201" t="s">
        <v>4277</v>
      </c>
      <c r="CJ201" s="6"/>
      <c r="CK201" s="6"/>
      <c r="CL201" s="6"/>
      <c r="CM201" s="6"/>
      <c r="CW201" t="s">
        <v>7447</v>
      </c>
      <c r="CY201" t="s">
        <v>7448</v>
      </c>
      <c r="DC201" t="s">
        <v>7466</v>
      </c>
    </row>
    <row r="202" spans="1:96">
      <c r="A202" t="s">
        <v>7465</v>
      </c>
      <c r="C202" t="s">
        <v>6968</v>
      </c>
      <c r="J202" t="s">
        <v>7091</v>
      </c>
      <c r="K202" s="6" t="s">
        <v>6987</v>
      </c>
      <c r="AC202">
        <v>1</v>
      </c>
      <c r="AT202" t="s">
        <v>7464</v>
      </c>
      <c r="AY202" s="6"/>
      <c r="BD202">
        <v>99</v>
      </c>
      <c r="CB202" s="6"/>
      <c r="CC202" s="6"/>
      <c r="CD202" s="6"/>
      <c r="CE202" s="6"/>
      <c r="CF202" s="6"/>
      <c r="CH202" s="6"/>
      <c r="CI202" s="6"/>
      <c r="CJ202" s="6"/>
      <c r="CK202" s="6"/>
      <c r="CL202" s="6"/>
      <c r="CM202" s="6"/>
      <c r="CN202" s="10" t="s">
        <v>7467</v>
      </c>
      <c r="CO202">
        <v>0.5</v>
      </c>
      <c r="CR202">
        <v>0.1</v>
      </c>
    </row>
    <row r="204" spans="1:103">
      <c r="A204" t="s">
        <v>579</v>
      </c>
      <c r="C204" t="s">
        <v>6968</v>
      </c>
      <c r="K204" s="6" t="s">
        <v>6987</v>
      </c>
      <c r="AC204">
        <v>2</v>
      </c>
      <c r="AD204">
        <v>1</v>
      </c>
      <c r="AO204" t="s">
        <v>7062</v>
      </c>
      <c r="AT204" t="s">
        <v>7128</v>
      </c>
      <c r="AX204" t="s">
        <v>7077</v>
      </c>
      <c r="AZ204">
        <v>1</v>
      </c>
      <c r="BD204">
        <v>1</v>
      </c>
      <c r="CB204" t="s">
        <v>140</v>
      </c>
      <c r="CG204" t="s">
        <v>7057</v>
      </c>
      <c r="CH204" t="s">
        <v>7468</v>
      </c>
      <c r="CI204" t="s">
        <v>4277</v>
      </c>
      <c r="CN204" s="10" t="s">
        <v>7131</v>
      </c>
      <c r="CO204">
        <v>-0.8</v>
      </c>
      <c r="CR204">
        <v>0.9</v>
      </c>
      <c r="CY204" t="s">
        <v>7469</v>
      </c>
    </row>
    <row r="205" spans="1:107">
      <c r="A205" t="s">
        <v>7470</v>
      </c>
      <c r="C205" t="s">
        <v>6968</v>
      </c>
      <c r="D205" t="s">
        <v>7471</v>
      </c>
      <c r="E205" t="s">
        <v>7472</v>
      </c>
      <c r="F205" t="s">
        <v>7473</v>
      </c>
      <c r="G205">
        <v>3</v>
      </c>
      <c r="J205" t="s">
        <v>7091</v>
      </c>
      <c r="K205" s="6" t="s">
        <v>6986</v>
      </c>
      <c r="AC205">
        <v>2</v>
      </c>
      <c r="AD205">
        <v>1</v>
      </c>
      <c r="AO205" t="s">
        <v>7062</v>
      </c>
      <c r="AT205" t="s">
        <v>7128</v>
      </c>
      <c r="AX205" t="s">
        <v>7077</v>
      </c>
      <c r="BD205">
        <v>99</v>
      </c>
      <c r="BO205" s="8" t="s">
        <v>7474</v>
      </c>
      <c r="BS205">
        <v>1.4</v>
      </c>
      <c r="BT205">
        <v>25</v>
      </c>
      <c r="BV205" s="9">
        <v>15</v>
      </c>
      <c r="BW205" s="9">
        <v>40</v>
      </c>
      <c r="BX205" s="9">
        <v>1</v>
      </c>
      <c r="BY205" s="9" t="s">
        <v>6987</v>
      </c>
      <c r="CE205" t="s">
        <v>813</v>
      </c>
      <c r="CG205" t="s">
        <v>7475</v>
      </c>
      <c r="CN205" s="10" t="s">
        <v>7131</v>
      </c>
      <c r="CO205">
        <v>-0.8</v>
      </c>
      <c r="CR205">
        <v>0.9</v>
      </c>
      <c r="CY205" t="s">
        <v>7469</v>
      </c>
      <c r="DC205" t="s">
        <v>7476</v>
      </c>
    </row>
    <row r="206" spans="1:96">
      <c r="A206" t="s">
        <v>7474</v>
      </c>
      <c r="C206" t="s">
        <v>6968</v>
      </c>
      <c r="K206" s="6" t="s">
        <v>6953</v>
      </c>
      <c r="L206" s="6" t="s">
        <v>7098</v>
      </c>
      <c r="AC206">
        <v>1</v>
      </c>
      <c r="AY206" s="6"/>
      <c r="BD206">
        <v>1</v>
      </c>
      <c r="CB206" s="6"/>
      <c r="CC206" s="6"/>
      <c r="CD206" s="6"/>
      <c r="CE206" s="6"/>
      <c r="CF206" s="6"/>
      <c r="CH206" s="6"/>
      <c r="CI206" s="6"/>
      <c r="CJ206" s="6"/>
      <c r="CK206" s="6"/>
      <c r="CL206" s="6"/>
      <c r="CM206" s="6"/>
      <c r="CN206" s="10" t="s">
        <v>7100</v>
      </c>
      <c r="CR206">
        <v>25</v>
      </c>
    </row>
    <row r="208" spans="1:103">
      <c r="A208" t="s">
        <v>7477</v>
      </c>
      <c r="C208" t="s">
        <v>6968</v>
      </c>
      <c r="K208" s="6" t="s">
        <v>6987</v>
      </c>
      <c r="AC208">
        <v>1</v>
      </c>
      <c r="AO208" t="s">
        <v>7055</v>
      </c>
      <c r="AT208" t="s">
        <v>7128</v>
      </c>
      <c r="AY208">
        <v>1</v>
      </c>
      <c r="AZ208">
        <v>1</v>
      </c>
      <c r="BD208">
        <v>3</v>
      </c>
      <c r="CB208" t="s">
        <v>140</v>
      </c>
      <c r="CG208" t="s">
        <v>7057</v>
      </c>
      <c r="CY208" t="s">
        <v>7034</v>
      </c>
    </row>
    <row r="209" spans="1:98">
      <c r="A209" t="s">
        <v>7478</v>
      </c>
      <c r="C209" t="s">
        <v>6968</v>
      </c>
      <c r="K209" s="6" t="s">
        <v>6953</v>
      </c>
      <c r="L209" s="6" t="s">
        <v>6969</v>
      </c>
      <c r="AC209">
        <v>1</v>
      </c>
      <c r="AY209" s="6"/>
      <c r="BD209">
        <v>99</v>
      </c>
      <c r="BO209" s="8" t="s">
        <v>7479</v>
      </c>
      <c r="BV209"/>
      <c r="BW209"/>
      <c r="BX209"/>
      <c r="BY209"/>
      <c r="BZ209"/>
      <c r="CA209"/>
      <c r="CB209" s="6"/>
      <c r="CC209" s="6"/>
      <c r="CD209" s="6"/>
      <c r="CE209" s="6"/>
      <c r="CF209" s="6"/>
      <c r="CH209" s="6"/>
      <c r="CI209" s="6"/>
      <c r="CJ209" s="6"/>
      <c r="CK209" s="6"/>
      <c r="CL209" s="6"/>
      <c r="CM209" s="6"/>
      <c r="CN209" s="10" t="s">
        <v>7480</v>
      </c>
      <c r="CO209">
        <v>0.3</v>
      </c>
      <c r="CR209">
        <v>99999</v>
      </c>
      <c r="CT209">
        <v>1</v>
      </c>
    </row>
    <row r="210" spans="1:98">
      <c r="A210" t="s">
        <v>7479</v>
      </c>
      <c r="C210" t="s">
        <v>6968</v>
      </c>
      <c r="K210" s="6" t="s">
        <v>6953</v>
      </c>
      <c r="L210" s="6" t="s">
        <v>6969</v>
      </c>
      <c r="AC210">
        <v>1</v>
      </c>
      <c r="AF210">
        <v>1</v>
      </c>
      <c r="AG210" t="s">
        <v>7481</v>
      </c>
      <c r="AY210" s="6"/>
      <c r="BD210">
        <v>1</v>
      </c>
      <c r="BV210"/>
      <c r="BW210"/>
      <c r="BX210"/>
      <c r="BY210"/>
      <c r="BZ210"/>
      <c r="CA210"/>
      <c r="CB210" s="6"/>
      <c r="CC210" s="6"/>
      <c r="CD210" s="6"/>
      <c r="CE210" s="6"/>
      <c r="CF210" s="6"/>
      <c r="CH210" s="6"/>
      <c r="CI210" s="6"/>
      <c r="CJ210" s="6"/>
      <c r="CK210" s="6"/>
      <c r="CL210" s="6"/>
      <c r="CM210" s="6"/>
      <c r="CN210" s="10" t="s">
        <v>7480</v>
      </c>
      <c r="CO210">
        <v>0.3</v>
      </c>
      <c r="CR210">
        <v>99999</v>
      </c>
      <c r="CT210">
        <v>1</v>
      </c>
    </row>
    <row r="211" spans="1:91">
      <c r="A211" t="s">
        <v>7482</v>
      </c>
      <c r="C211" t="s">
        <v>6968</v>
      </c>
      <c r="D211" t="s">
        <v>7483</v>
      </c>
      <c r="E211" t="s">
        <v>7484</v>
      </c>
      <c r="F211" t="s">
        <v>7485</v>
      </c>
      <c r="G211">
        <v>3</v>
      </c>
      <c r="J211" t="s">
        <v>7091</v>
      </c>
      <c r="K211" s="6" t="s">
        <v>6986</v>
      </c>
      <c r="AC211">
        <v>1</v>
      </c>
      <c r="AO211" t="s">
        <v>7055</v>
      </c>
      <c r="AT211" t="s">
        <v>7486</v>
      </c>
      <c r="AY211">
        <v>1</v>
      </c>
      <c r="AZ211">
        <v>1</v>
      </c>
      <c r="BD211">
        <v>3</v>
      </c>
      <c r="BO211" s="8" t="s">
        <v>7487</v>
      </c>
      <c r="BT211">
        <v>40</v>
      </c>
      <c r="BV211" s="9">
        <v>85</v>
      </c>
      <c r="BW211" s="9">
        <v>100</v>
      </c>
      <c r="BX211" s="9">
        <v>1</v>
      </c>
      <c r="BY211" s="9" t="s">
        <v>6987</v>
      </c>
      <c r="CB211" s="6" t="s">
        <v>218</v>
      </c>
      <c r="CC211" s="6"/>
      <c r="CD211" s="6"/>
      <c r="CE211" s="6" t="s">
        <v>527</v>
      </c>
      <c r="CF211" s="6"/>
      <c r="CG211" t="s">
        <v>7057</v>
      </c>
      <c r="CH211" s="6"/>
      <c r="CI211" s="6"/>
      <c r="CJ211" s="6"/>
      <c r="CK211" s="6"/>
      <c r="CL211" s="6"/>
      <c r="CM211" s="6"/>
    </row>
    <row r="212" spans="1:96">
      <c r="A212" t="s">
        <v>7487</v>
      </c>
      <c r="C212" t="s">
        <v>6968</v>
      </c>
      <c r="K212" s="6" t="s">
        <v>6953</v>
      </c>
      <c r="L212" s="6" t="s">
        <v>7098</v>
      </c>
      <c r="AC212">
        <v>1</v>
      </c>
      <c r="AY212" s="6"/>
      <c r="BD212">
        <v>1</v>
      </c>
      <c r="CB212" s="6"/>
      <c r="CC212" s="6"/>
      <c r="CD212" s="6"/>
      <c r="CE212" s="6"/>
      <c r="CF212" s="6"/>
      <c r="CH212" s="6"/>
      <c r="CI212" s="6"/>
      <c r="CJ212" s="6"/>
      <c r="CK212" s="6"/>
      <c r="CL212" s="6"/>
      <c r="CM212" s="6"/>
      <c r="CN212" s="10" t="s">
        <v>7488</v>
      </c>
      <c r="CO212">
        <v>-2.1</v>
      </c>
      <c r="CR212">
        <v>40</v>
      </c>
    </row>
    <row r="214" spans="1:103">
      <c r="A214" t="s">
        <v>7489</v>
      </c>
      <c r="C214" t="s">
        <v>4994</v>
      </c>
      <c r="K214" s="6" t="s">
        <v>6987</v>
      </c>
      <c r="AC214">
        <v>2</v>
      </c>
      <c r="AO214" t="s">
        <v>7062</v>
      </c>
      <c r="AT214" t="s">
        <v>7063</v>
      </c>
      <c r="AX214" t="s">
        <v>7064</v>
      </c>
      <c r="AZ214">
        <v>1</v>
      </c>
      <c r="BD214">
        <v>1</v>
      </c>
      <c r="CB214" t="s">
        <v>140</v>
      </c>
      <c r="CG214" t="s">
        <v>7057</v>
      </c>
      <c r="CX214" t="s">
        <v>7490</v>
      </c>
      <c r="CY214" t="s">
        <v>7491</v>
      </c>
    </row>
    <row r="215" spans="1:96">
      <c r="A215" t="s">
        <v>7492</v>
      </c>
      <c r="C215" t="s">
        <v>6968</v>
      </c>
      <c r="K215" s="6" t="s">
        <v>6953</v>
      </c>
      <c r="L215" s="6" t="s">
        <v>6972</v>
      </c>
      <c r="AC215">
        <v>1</v>
      </c>
      <c r="AG215" t="s">
        <v>6955</v>
      </c>
      <c r="AH215">
        <v>1</v>
      </c>
      <c r="AY215" s="6"/>
      <c r="BD215">
        <v>1</v>
      </c>
      <c r="BV215"/>
      <c r="BW215"/>
      <c r="BX215"/>
      <c r="BY215"/>
      <c r="BZ215"/>
      <c r="CA215"/>
      <c r="CB215" s="6"/>
      <c r="CC215" s="6"/>
      <c r="CD215" s="6"/>
      <c r="CE215" s="6"/>
      <c r="CF215" s="6"/>
      <c r="CH215" s="6"/>
      <c r="CI215" s="6"/>
      <c r="CJ215" s="6"/>
      <c r="CK215" s="6"/>
      <c r="CL215" s="6"/>
      <c r="CM215" s="6"/>
      <c r="CN215" s="10" t="s">
        <v>7492</v>
      </c>
      <c r="CR215">
        <v>99999</v>
      </c>
    </row>
    <row r="216" spans="1:103">
      <c r="A216" t="s">
        <v>7493</v>
      </c>
      <c r="C216" t="s">
        <v>4994</v>
      </c>
      <c r="D216" t="s">
        <v>7494</v>
      </c>
      <c r="E216" t="s">
        <v>7495</v>
      </c>
      <c r="F216" t="s">
        <v>7496</v>
      </c>
      <c r="G216">
        <v>3</v>
      </c>
      <c r="J216" t="s">
        <v>7091</v>
      </c>
      <c r="K216" s="6" t="s">
        <v>6986</v>
      </c>
      <c r="AC216">
        <v>2</v>
      </c>
      <c r="AO216" t="s">
        <v>7062</v>
      </c>
      <c r="AT216" t="s">
        <v>7063</v>
      </c>
      <c r="AX216" t="s">
        <v>7064</v>
      </c>
      <c r="AZ216">
        <v>1</v>
      </c>
      <c r="BD216">
        <v>1</v>
      </c>
      <c r="BO216" s="8" t="s">
        <v>7497</v>
      </c>
      <c r="BT216">
        <v>30</v>
      </c>
      <c r="BV216" s="9">
        <v>10</v>
      </c>
      <c r="BW216" s="9">
        <v>20</v>
      </c>
      <c r="BX216" s="9">
        <v>1</v>
      </c>
      <c r="BY216" s="9" t="s">
        <v>6987</v>
      </c>
      <c r="CB216" t="s">
        <v>638</v>
      </c>
      <c r="CD216" t="s">
        <v>7498</v>
      </c>
      <c r="CG216" t="s">
        <v>7057</v>
      </c>
      <c r="CX216" t="s">
        <v>7499</v>
      </c>
      <c r="CY216" t="s">
        <v>7500</v>
      </c>
    </row>
    <row r="217" spans="1:108">
      <c r="A217" t="s">
        <v>7497</v>
      </c>
      <c r="C217" t="s">
        <v>6968</v>
      </c>
      <c r="K217" s="6" t="s">
        <v>6953</v>
      </c>
      <c r="L217" s="6" t="s">
        <v>7098</v>
      </c>
      <c r="AC217">
        <v>1</v>
      </c>
      <c r="AG217" t="s">
        <v>6955</v>
      </c>
      <c r="AY217" s="6"/>
      <c r="BD217">
        <v>1</v>
      </c>
      <c r="CB217" s="6"/>
      <c r="CC217" s="6"/>
      <c r="CD217" s="6"/>
      <c r="CE217" s="6"/>
      <c r="CF217" s="6"/>
      <c r="CH217" s="6"/>
      <c r="CI217" s="6"/>
      <c r="CJ217" s="6"/>
      <c r="CK217" s="6"/>
      <c r="CL217" s="6"/>
      <c r="CM217" s="6"/>
      <c r="CN217" s="10" t="s">
        <v>7501</v>
      </c>
      <c r="CP217" t="s">
        <v>7502</v>
      </c>
      <c r="CR217">
        <v>30</v>
      </c>
      <c r="DD217">
        <v>1</v>
      </c>
    </row>
    <row r="218" spans="51:91">
      <c r="AY218" s="6"/>
      <c r="CB218" s="6"/>
      <c r="CC218" s="6"/>
      <c r="CD218" s="6"/>
      <c r="CE218" s="6"/>
      <c r="CF218" s="6"/>
      <c r="CH218" s="6"/>
      <c r="CI218" s="6"/>
      <c r="CJ218" s="6"/>
      <c r="CK218" s="6"/>
      <c r="CL218" s="6"/>
      <c r="CM218" s="6"/>
    </row>
    <row r="219" spans="1:103">
      <c r="A219" t="s">
        <v>7503</v>
      </c>
      <c r="C219" t="s">
        <v>4994</v>
      </c>
      <c r="K219" s="6" t="s">
        <v>6987</v>
      </c>
      <c r="AC219">
        <v>2</v>
      </c>
      <c r="AO219" t="s">
        <v>7062</v>
      </c>
      <c r="AT219" t="s">
        <v>7063</v>
      </c>
      <c r="AX219" t="s">
        <v>7064</v>
      </c>
      <c r="AZ219">
        <v>1</v>
      </c>
      <c r="BD219">
        <v>1</v>
      </c>
      <c r="CB219" t="s">
        <v>140</v>
      </c>
      <c r="CG219" t="s">
        <v>7057</v>
      </c>
      <c r="CY219" t="s">
        <v>7504</v>
      </c>
    </row>
    <row r="220" spans="1:103">
      <c r="A220" t="s">
        <v>7505</v>
      </c>
      <c r="C220" t="s">
        <v>4994</v>
      </c>
      <c r="J220" t="s">
        <v>6985</v>
      </c>
      <c r="K220" s="6" t="s">
        <v>6987</v>
      </c>
      <c r="AC220">
        <v>2</v>
      </c>
      <c r="AO220" t="s">
        <v>7062</v>
      </c>
      <c r="AT220" t="s">
        <v>7063</v>
      </c>
      <c r="AX220" t="s">
        <v>7064</v>
      </c>
      <c r="AZ220">
        <v>2</v>
      </c>
      <c r="BD220">
        <v>1</v>
      </c>
      <c r="BO220" s="8" t="s">
        <v>7506</v>
      </c>
      <c r="BT220">
        <v>0.2</v>
      </c>
      <c r="BV220" s="9">
        <v>0</v>
      </c>
      <c r="BW220" s="9">
        <v>1</v>
      </c>
      <c r="BX220" s="9">
        <v>999</v>
      </c>
      <c r="BY220" s="9" t="s">
        <v>7507</v>
      </c>
      <c r="CB220" t="s">
        <v>140</v>
      </c>
      <c r="CG220" t="s">
        <v>7057</v>
      </c>
      <c r="CY220" t="s">
        <v>7504</v>
      </c>
    </row>
    <row r="221" spans="1:96">
      <c r="A221" t="s">
        <v>7506</v>
      </c>
      <c r="C221" t="s">
        <v>6968</v>
      </c>
      <c r="K221" s="6" t="s">
        <v>6953</v>
      </c>
      <c r="L221" s="6" t="s">
        <v>6972</v>
      </c>
      <c r="AC221">
        <v>1</v>
      </c>
      <c r="AG221" t="s">
        <v>6955</v>
      </c>
      <c r="AH221">
        <v>1</v>
      </c>
      <c r="AY221" s="6"/>
      <c r="BD221">
        <v>1</v>
      </c>
      <c r="BV221"/>
      <c r="BW221"/>
      <c r="BX221"/>
      <c r="BY221"/>
      <c r="BZ221"/>
      <c r="CA221"/>
      <c r="CB221" s="6"/>
      <c r="CC221" s="6"/>
      <c r="CD221" s="6"/>
      <c r="CE221" s="6"/>
      <c r="CF221" s="6"/>
      <c r="CH221" s="6"/>
      <c r="CI221" s="6"/>
      <c r="CJ221" s="6"/>
      <c r="CK221" s="6"/>
      <c r="CL221" s="6"/>
      <c r="CM221" s="6"/>
      <c r="CN221" s="10" t="s">
        <v>7467</v>
      </c>
      <c r="CO221">
        <v>0.33</v>
      </c>
      <c r="CR221">
        <v>99999</v>
      </c>
    </row>
    <row r="222" spans="1:103">
      <c r="A222" t="s">
        <v>7508</v>
      </c>
      <c r="C222" t="s">
        <v>6968</v>
      </c>
      <c r="D222" t="s">
        <v>7509</v>
      </c>
      <c r="E222" t="s">
        <v>7510</v>
      </c>
      <c r="F222" t="s">
        <v>7511</v>
      </c>
      <c r="G222">
        <v>3</v>
      </c>
      <c r="J222" t="s">
        <v>6985</v>
      </c>
      <c r="K222" s="6" t="s">
        <v>6987</v>
      </c>
      <c r="AC222">
        <v>2</v>
      </c>
      <c r="AO222" t="s">
        <v>7062</v>
      </c>
      <c r="AT222" t="s">
        <v>7063</v>
      </c>
      <c r="AX222" t="s">
        <v>7064</v>
      </c>
      <c r="AZ222">
        <v>2.4</v>
      </c>
      <c r="BD222">
        <v>1</v>
      </c>
      <c r="BT222">
        <v>0.2</v>
      </c>
      <c r="BV222" s="9">
        <v>0</v>
      </c>
      <c r="BW222" s="9">
        <v>4</v>
      </c>
      <c r="BX222" s="9">
        <v>1</v>
      </c>
      <c r="BY222" s="9" t="s">
        <v>7142</v>
      </c>
      <c r="CB222" t="s">
        <v>140</v>
      </c>
      <c r="CG222" t="s">
        <v>7057</v>
      </c>
      <c r="CJ222" t="s">
        <v>7512</v>
      </c>
      <c r="CW222" t="s">
        <v>7513</v>
      </c>
      <c r="CY222" t="s">
        <v>7514</v>
      </c>
    </row>
    <row r="223" spans="1:103">
      <c r="A223" t="s">
        <v>7515</v>
      </c>
      <c r="C223" t="s">
        <v>4994</v>
      </c>
      <c r="D223" t="s">
        <v>7516</v>
      </c>
      <c r="E223" t="s">
        <v>7517</v>
      </c>
      <c r="F223" t="s">
        <v>7518</v>
      </c>
      <c r="G223">
        <v>3</v>
      </c>
      <c r="J223" t="s">
        <v>7091</v>
      </c>
      <c r="K223" s="6" t="s">
        <v>6986</v>
      </c>
      <c r="AC223">
        <v>2</v>
      </c>
      <c r="AO223" t="s">
        <v>7062</v>
      </c>
      <c r="AT223" t="s">
        <v>7063</v>
      </c>
      <c r="AX223" t="s">
        <v>7077</v>
      </c>
      <c r="AZ223">
        <v>1</v>
      </c>
      <c r="BC223">
        <v>0.25</v>
      </c>
      <c r="BD223">
        <v>1</v>
      </c>
      <c r="BO223" s="8" t="s">
        <v>7519</v>
      </c>
      <c r="BT223">
        <v>25</v>
      </c>
      <c r="BV223" s="9">
        <v>25</v>
      </c>
      <c r="BW223" s="9">
        <v>50</v>
      </c>
      <c r="BX223" s="9">
        <v>1</v>
      </c>
      <c r="BY223" s="9" t="s">
        <v>6987</v>
      </c>
      <c r="CB223" t="s">
        <v>140</v>
      </c>
      <c r="CG223" t="s">
        <v>7057</v>
      </c>
      <c r="CX223" t="s">
        <v>7520</v>
      </c>
      <c r="CY223" t="s">
        <v>7521</v>
      </c>
    </row>
    <row r="224" spans="1:108">
      <c r="A224" t="s">
        <v>7519</v>
      </c>
      <c r="C224" t="s">
        <v>6968</v>
      </c>
      <c r="K224" s="6" t="s">
        <v>6953</v>
      </c>
      <c r="L224" s="6" t="s">
        <v>7098</v>
      </c>
      <c r="AC224">
        <v>1</v>
      </c>
      <c r="AG224" t="s">
        <v>6955</v>
      </c>
      <c r="AY224" s="6"/>
      <c r="BD224">
        <v>1</v>
      </c>
      <c r="CB224" s="6"/>
      <c r="CC224" s="6"/>
      <c r="CD224" s="6"/>
      <c r="CE224" s="6"/>
      <c r="CF224" s="6"/>
      <c r="CH224" s="6"/>
      <c r="CI224" s="6"/>
      <c r="CJ224" s="6"/>
      <c r="CK224" s="6"/>
      <c r="CL224" s="6"/>
      <c r="CM224" s="6"/>
      <c r="CN224" s="10" t="s">
        <v>7522</v>
      </c>
      <c r="CO224">
        <v>1.2</v>
      </c>
      <c r="CR224">
        <v>25</v>
      </c>
      <c r="DD224">
        <v>1</v>
      </c>
    </row>
    <row r="225" spans="51:91">
      <c r="AY225" s="6"/>
      <c r="CB225" s="6"/>
      <c r="CC225" s="6"/>
      <c r="CD225" s="6"/>
      <c r="CE225" s="6"/>
      <c r="CF225" s="6"/>
      <c r="CH225" s="6"/>
      <c r="CI225" s="6"/>
      <c r="CJ225" s="6"/>
      <c r="CK225" s="6"/>
      <c r="CL225" s="6"/>
      <c r="CM225" s="6"/>
    </row>
    <row r="226" spans="1:103">
      <c r="A226" t="s">
        <v>7523</v>
      </c>
      <c r="C226" t="s">
        <v>4994</v>
      </c>
      <c r="K226" s="6" t="s">
        <v>6987</v>
      </c>
      <c r="AC226">
        <v>2</v>
      </c>
      <c r="AO226" t="s">
        <v>7062</v>
      </c>
      <c r="AX226" t="s">
        <v>7064</v>
      </c>
      <c r="AZ226">
        <v>1</v>
      </c>
      <c r="BD226">
        <v>1</v>
      </c>
      <c r="CB226" t="s">
        <v>4335</v>
      </c>
      <c r="CG226" t="s">
        <v>7057</v>
      </c>
      <c r="CN226" s="10" t="s">
        <v>7524</v>
      </c>
      <c r="CR226">
        <v>6</v>
      </c>
      <c r="CX226" t="s">
        <v>7525</v>
      </c>
      <c r="CY226" t="s">
        <v>7526</v>
      </c>
    </row>
    <row r="227" spans="1:103">
      <c r="A227" t="s">
        <v>600</v>
      </c>
      <c r="C227" t="s">
        <v>6968</v>
      </c>
      <c r="K227" s="6" t="s">
        <v>6987</v>
      </c>
      <c r="P227"/>
      <c r="Q227"/>
      <c r="R227"/>
      <c r="S227"/>
      <c r="T227"/>
      <c r="Z227">
        <v>1</v>
      </c>
      <c r="AC227">
        <v>2</v>
      </c>
      <c r="AD227">
        <v>1</v>
      </c>
      <c r="AO227" t="s">
        <v>7062</v>
      </c>
      <c r="AT227" t="s">
        <v>7108</v>
      </c>
      <c r="AX227" t="s">
        <v>7064</v>
      </c>
      <c r="AZ227">
        <v>0.8</v>
      </c>
      <c r="BD227">
        <v>1</v>
      </c>
      <c r="BO227" s="8" t="s">
        <v>7523</v>
      </c>
      <c r="CB227" t="s">
        <v>140</v>
      </c>
      <c r="CG227" t="s">
        <v>7057</v>
      </c>
      <c r="CH227" t="s">
        <v>7110</v>
      </c>
      <c r="CI227" t="s">
        <v>4277</v>
      </c>
      <c r="CN227" s="10" t="s">
        <v>7524</v>
      </c>
      <c r="CR227">
        <v>6</v>
      </c>
      <c r="CX227" t="s">
        <v>7527</v>
      </c>
      <c r="CY227" t="s">
        <v>7528</v>
      </c>
    </row>
    <row r="228" spans="1:96">
      <c r="A228" t="s">
        <v>7529</v>
      </c>
      <c r="C228" t="s">
        <v>6968</v>
      </c>
      <c r="D228" t="s">
        <v>7530</v>
      </c>
      <c r="E228" t="s">
        <v>7531</v>
      </c>
      <c r="F228" t="s">
        <v>7532</v>
      </c>
      <c r="G228">
        <v>3</v>
      </c>
      <c r="J228" t="s">
        <v>6985</v>
      </c>
      <c r="K228" s="6" t="s">
        <v>6987</v>
      </c>
      <c r="W228" s="6">
        <v>1</v>
      </c>
      <c r="AC228">
        <v>1</v>
      </c>
      <c r="AG228" t="s">
        <v>6955</v>
      </c>
      <c r="AY228" s="6"/>
      <c r="BD228">
        <v>1</v>
      </c>
      <c r="BT228">
        <v>99999</v>
      </c>
      <c r="BV228" s="9">
        <v>0</v>
      </c>
      <c r="BW228" s="9">
        <v>30</v>
      </c>
      <c r="BX228" s="9">
        <v>1</v>
      </c>
      <c r="BY228" s="9" t="s">
        <v>7142</v>
      </c>
      <c r="CB228" s="6"/>
      <c r="CC228" s="6"/>
      <c r="CD228" s="6"/>
      <c r="CE228" s="6"/>
      <c r="CF228" s="6"/>
      <c r="CH228" s="6"/>
      <c r="CI228" s="6"/>
      <c r="CJ228" s="6"/>
      <c r="CK228" s="6"/>
      <c r="CL228" s="6"/>
      <c r="CM228" s="6"/>
      <c r="CN228" s="10" t="s">
        <v>7533</v>
      </c>
      <c r="CO228">
        <v>0.7</v>
      </c>
      <c r="CP228">
        <v>0.4</v>
      </c>
      <c r="CR228">
        <v>99999</v>
      </c>
    </row>
    <row r="229" spans="1:103">
      <c r="A229" t="s">
        <v>7534</v>
      </c>
      <c r="C229" t="s">
        <v>6968</v>
      </c>
      <c r="D229" t="s">
        <v>7535</v>
      </c>
      <c r="E229" t="s">
        <v>7536</v>
      </c>
      <c r="F229" t="s">
        <v>7537</v>
      </c>
      <c r="G229">
        <v>3</v>
      </c>
      <c r="J229" t="s">
        <v>7091</v>
      </c>
      <c r="K229" s="6" t="s">
        <v>6987</v>
      </c>
      <c r="P229"/>
      <c r="Q229"/>
      <c r="R229"/>
      <c r="S229"/>
      <c r="T229"/>
      <c r="W229" s="6">
        <v>1</v>
      </c>
      <c r="AC229">
        <v>2</v>
      </c>
      <c r="AD229">
        <v>1</v>
      </c>
      <c r="AO229" t="s">
        <v>7062</v>
      </c>
      <c r="AT229" t="s">
        <v>7108</v>
      </c>
      <c r="AX229" t="s">
        <v>7077</v>
      </c>
      <c r="AZ229">
        <v>1</v>
      </c>
      <c r="BD229">
        <v>2</v>
      </c>
      <c r="BO229" s="8" t="s">
        <v>7538</v>
      </c>
      <c r="BT229">
        <v>20</v>
      </c>
      <c r="BV229" s="9">
        <v>0</v>
      </c>
      <c r="BW229" s="9">
        <v>17</v>
      </c>
      <c r="BX229" s="9">
        <v>1</v>
      </c>
      <c r="BY229" s="9" t="s">
        <v>7142</v>
      </c>
      <c r="CB229" t="s">
        <v>638</v>
      </c>
      <c r="CG229" t="s">
        <v>7057</v>
      </c>
      <c r="CH229" t="s">
        <v>7539</v>
      </c>
      <c r="CI229" t="s">
        <v>4277</v>
      </c>
      <c r="CN229" s="10" t="s">
        <v>7524</v>
      </c>
      <c r="CR229">
        <v>6</v>
      </c>
      <c r="CX229" t="s">
        <v>7540</v>
      </c>
      <c r="CY229" t="s">
        <v>7541</v>
      </c>
    </row>
    <row r="230" spans="1:108">
      <c r="A230" t="s">
        <v>7538</v>
      </c>
      <c r="C230" t="s">
        <v>6968</v>
      </c>
      <c r="K230" s="6" t="s">
        <v>6953</v>
      </c>
      <c r="L230" s="6" t="s">
        <v>7098</v>
      </c>
      <c r="AC230">
        <v>1</v>
      </c>
      <c r="AG230" t="s">
        <v>6955</v>
      </c>
      <c r="AY230" s="6"/>
      <c r="BD230">
        <v>1</v>
      </c>
      <c r="CB230" s="6"/>
      <c r="CC230" s="6"/>
      <c r="CD230" s="6"/>
      <c r="CE230" s="6"/>
      <c r="CF230" s="6"/>
      <c r="CH230" s="6"/>
      <c r="CI230" s="6"/>
      <c r="CJ230" s="6"/>
      <c r="CK230" s="6"/>
      <c r="CL230" s="6"/>
      <c r="CM230" s="6"/>
      <c r="CN230" s="10" t="s">
        <v>7542</v>
      </c>
      <c r="CO230">
        <v>1.2</v>
      </c>
      <c r="CR230">
        <v>20</v>
      </c>
      <c r="DD230">
        <v>1</v>
      </c>
    </row>
    <row r="232" spans="1:103">
      <c r="A232" t="s">
        <v>7543</v>
      </c>
      <c r="C232" t="s">
        <v>7102</v>
      </c>
      <c r="AC232">
        <v>2</v>
      </c>
      <c r="AO232" t="s">
        <v>7062</v>
      </c>
      <c r="AT232" t="s">
        <v>7063</v>
      </c>
      <c r="AX232" t="s">
        <v>7064</v>
      </c>
      <c r="AZ232">
        <v>1</v>
      </c>
      <c r="BD232">
        <v>1</v>
      </c>
      <c r="CB232" t="s">
        <v>140</v>
      </c>
      <c r="CG232" t="s">
        <v>7057</v>
      </c>
      <c r="CX232" t="s">
        <v>7544</v>
      </c>
      <c r="CY232" t="s">
        <v>7545</v>
      </c>
    </row>
    <row r="233" spans="1:96">
      <c r="A233" t="s">
        <v>7546</v>
      </c>
      <c r="C233" t="s">
        <v>6968</v>
      </c>
      <c r="K233" s="6" t="s">
        <v>6953</v>
      </c>
      <c r="L233" s="6" t="s">
        <v>6972</v>
      </c>
      <c r="AC233">
        <v>1</v>
      </c>
      <c r="AG233" t="s">
        <v>6955</v>
      </c>
      <c r="AH233">
        <v>1</v>
      </c>
      <c r="AY233" s="6"/>
      <c r="BD233">
        <v>1</v>
      </c>
      <c r="BV233"/>
      <c r="BW233"/>
      <c r="BX233"/>
      <c r="BY233"/>
      <c r="BZ233"/>
      <c r="CA233"/>
      <c r="CB233" s="6"/>
      <c r="CC233" s="6"/>
      <c r="CD233" s="6"/>
      <c r="CE233" s="6"/>
      <c r="CF233" s="6"/>
      <c r="CH233" s="6"/>
      <c r="CI233" s="6"/>
      <c r="CJ233" s="6"/>
      <c r="CK233" s="6"/>
      <c r="CL233" s="6"/>
      <c r="CM233" s="6"/>
      <c r="CN233" s="10" t="s">
        <v>7547</v>
      </c>
      <c r="CO233">
        <v>0.12</v>
      </c>
      <c r="CP233">
        <v>0.025</v>
      </c>
      <c r="CR233">
        <v>99999</v>
      </c>
    </row>
    <row r="234" spans="1:99">
      <c r="A234" t="s">
        <v>7548</v>
      </c>
      <c r="C234" t="s">
        <v>7549</v>
      </c>
      <c r="K234" s="6" t="s">
        <v>6953</v>
      </c>
      <c r="L234" s="6" t="s">
        <v>7550</v>
      </c>
      <c r="O234" s="6" t="s">
        <v>7551</v>
      </c>
      <c r="AC234">
        <v>1</v>
      </c>
      <c r="AG234" t="s">
        <v>6955</v>
      </c>
      <c r="BD234">
        <v>1</v>
      </c>
      <c r="CU234" t="s">
        <v>7552</v>
      </c>
    </row>
    <row r="235" spans="1:108">
      <c r="A235" t="s">
        <v>7553</v>
      </c>
      <c r="C235" t="s">
        <v>6968</v>
      </c>
      <c r="D235" t="s">
        <v>7554</v>
      </c>
      <c r="E235" t="s">
        <v>7555</v>
      </c>
      <c r="F235" t="s">
        <v>7556</v>
      </c>
      <c r="G235">
        <v>3</v>
      </c>
      <c r="J235" t="s">
        <v>6985</v>
      </c>
      <c r="K235" s="6" t="s">
        <v>6986</v>
      </c>
      <c r="AC235">
        <v>1</v>
      </c>
      <c r="AG235" t="s">
        <v>6955</v>
      </c>
      <c r="AY235" s="6"/>
      <c r="BD235">
        <v>1</v>
      </c>
      <c r="BO235" s="8" t="s">
        <v>7557</v>
      </c>
      <c r="BT235">
        <v>15</v>
      </c>
      <c r="BV235" s="9">
        <v>35</v>
      </c>
      <c r="BW235" s="9">
        <v>40</v>
      </c>
      <c r="BX235" s="9">
        <v>1</v>
      </c>
      <c r="BY235" s="9" t="s">
        <v>6987</v>
      </c>
      <c r="CB235" s="6"/>
      <c r="CC235" s="6"/>
      <c r="CD235" s="6"/>
      <c r="CE235" s="6"/>
      <c r="CF235" s="6"/>
      <c r="CH235" s="6"/>
      <c r="CI235" s="6"/>
      <c r="CJ235" s="6"/>
      <c r="CK235" s="6"/>
      <c r="CL235" s="6"/>
      <c r="CM235" s="6"/>
      <c r="CN235" s="10" t="s">
        <v>7558</v>
      </c>
      <c r="CO235">
        <v>1.6</v>
      </c>
      <c r="CR235">
        <v>15</v>
      </c>
      <c r="DD235">
        <v>1</v>
      </c>
    </row>
    <row r="236" spans="1:108">
      <c r="A236" t="s">
        <v>7559</v>
      </c>
      <c r="C236" t="s">
        <v>6968</v>
      </c>
      <c r="K236" s="6" t="s">
        <v>6953</v>
      </c>
      <c r="L236" s="6" t="s">
        <v>7201</v>
      </c>
      <c r="AC236">
        <v>1</v>
      </c>
      <c r="AG236" t="s">
        <v>6955</v>
      </c>
      <c r="AY236" s="6"/>
      <c r="BD236">
        <v>1</v>
      </c>
      <c r="CB236" s="6"/>
      <c r="CC236" s="6"/>
      <c r="CD236" s="6"/>
      <c r="CE236" s="6"/>
      <c r="CF236" s="6"/>
      <c r="CH236" s="6"/>
      <c r="CI236" s="6"/>
      <c r="CJ236" s="6"/>
      <c r="CK236" s="6"/>
      <c r="CL236" s="6"/>
      <c r="CM236" s="6"/>
      <c r="CN236" s="10" t="s">
        <v>6957</v>
      </c>
      <c r="CR236">
        <v>10</v>
      </c>
      <c r="DD236">
        <v>1</v>
      </c>
    </row>
    <row r="237" spans="51:91">
      <c r="AY237" s="6"/>
      <c r="CB237" s="6"/>
      <c r="CC237" s="6"/>
      <c r="CD237" s="6"/>
      <c r="CE237" s="6"/>
      <c r="CF237" s="6"/>
      <c r="CH237" s="6"/>
      <c r="CI237" s="6"/>
      <c r="CJ237" s="6"/>
      <c r="CK237" s="6"/>
      <c r="CL237" s="6"/>
      <c r="CM237" s="6"/>
    </row>
    <row r="238" spans="1:103">
      <c r="A238" t="s">
        <v>609</v>
      </c>
      <c r="C238" t="s">
        <v>6968</v>
      </c>
      <c r="AC238">
        <v>2</v>
      </c>
      <c r="AD238">
        <v>1</v>
      </c>
      <c r="AO238" t="s">
        <v>7062</v>
      </c>
      <c r="AP238" t="s">
        <v>7070</v>
      </c>
      <c r="AT238" t="s">
        <v>7145</v>
      </c>
      <c r="AX238" t="s">
        <v>7064</v>
      </c>
      <c r="AZ238">
        <v>1</v>
      </c>
      <c r="BD238">
        <v>1</v>
      </c>
      <c r="CB238" t="s">
        <v>140</v>
      </c>
      <c r="CG238" t="s">
        <v>7057</v>
      </c>
      <c r="CH238" t="s">
        <v>7560</v>
      </c>
      <c r="CI238" t="s">
        <v>4277</v>
      </c>
      <c r="CN238" s="10" t="s">
        <v>7561</v>
      </c>
      <c r="CO238">
        <v>85</v>
      </c>
      <c r="CR238">
        <v>3</v>
      </c>
      <c r="CX238" t="s">
        <v>7562</v>
      </c>
      <c r="CY238" t="s">
        <v>7074</v>
      </c>
    </row>
    <row r="239" spans="1:103">
      <c r="A239" t="s">
        <v>7563</v>
      </c>
      <c r="C239" t="s">
        <v>6968</v>
      </c>
      <c r="D239" t="s">
        <v>7564</v>
      </c>
      <c r="E239" t="s">
        <v>7565</v>
      </c>
      <c r="F239" t="s">
        <v>7566</v>
      </c>
      <c r="G239">
        <v>3</v>
      </c>
      <c r="J239" t="s">
        <v>6985</v>
      </c>
      <c r="K239" s="6" t="s">
        <v>6987</v>
      </c>
      <c r="AC239">
        <v>2</v>
      </c>
      <c r="AD239">
        <v>1</v>
      </c>
      <c r="AO239" t="s">
        <v>7062</v>
      </c>
      <c r="AP239" t="s">
        <v>7070</v>
      </c>
      <c r="AT239" t="s">
        <v>7145</v>
      </c>
      <c r="AX239" t="s">
        <v>7064</v>
      </c>
      <c r="AZ239">
        <v>2</v>
      </c>
      <c r="BD239">
        <v>2</v>
      </c>
      <c r="BT239">
        <v>0.2</v>
      </c>
      <c r="BV239" s="9">
        <v>0</v>
      </c>
      <c r="BW239" s="9">
        <v>2</v>
      </c>
      <c r="BX239" s="9">
        <v>1</v>
      </c>
      <c r="BY239" s="9" t="s">
        <v>7142</v>
      </c>
      <c r="CB239" t="s">
        <v>140</v>
      </c>
      <c r="CG239" t="s">
        <v>7057</v>
      </c>
      <c r="CH239" t="s">
        <v>7560</v>
      </c>
      <c r="CI239" t="s">
        <v>4277</v>
      </c>
      <c r="CN239" s="10" t="s">
        <v>7561</v>
      </c>
      <c r="CO239">
        <v>170</v>
      </c>
      <c r="CR239">
        <v>3</v>
      </c>
      <c r="CX239" t="s">
        <v>7562</v>
      </c>
      <c r="CY239" t="s">
        <v>7074</v>
      </c>
    </row>
    <row r="240" spans="1:103">
      <c r="A240" t="s">
        <v>7567</v>
      </c>
      <c r="C240" t="s">
        <v>6968</v>
      </c>
      <c r="D240" t="s">
        <v>7568</v>
      </c>
      <c r="E240" t="s">
        <v>7569</v>
      </c>
      <c r="F240" t="s">
        <v>7570</v>
      </c>
      <c r="G240">
        <v>3</v>
      </c>
      <c r="J240" t="s">
        <v>7091</v>
      </c>
      <c r="K240" s="6" t="s">
        <v>6986</v>
      </c>
      <c r="AC240">
        <v>2</v>
      </c>
      <c r="AD240">
        <v>1</v>
      </c>
      <c r="AO240" t="s">
        <v>7062</v>
      </c>
      <c r="AP240" t="s">
        <v>7070</v>
      </c>
      <c r="AT240" t="s">
        <v>7145</v>
      </c>
      <c r="AX240" t="s">
        <v>7064</v>
      </c>
      <c r="AZ240">
        <v>1</v>
      </c>
      <c r="BD240">
        <v>3</v>
      </c>
      <c r="BO240" s="8" t="s">
        <v>7571</v>
      </c>
      <c r="BP240" s="8" t="s">
        <v>7572</v>
      </c>
      <c r="BT240">
        <v>30</v>
      </c>
      <c r="BV240" s="9">
        <v>25</v>
      </c>
      <c r="BW240" s="9">
        <v>40</v>
      </c>
      <c r="BX240" s="9">
        <v>1</v>
      </c>
      <c r="BY240" s="9" t="s">
        <v>6987</v>
      </c>
      <c r="CB240" t="s">
        <v>140</v>
      </c>
      <c r="CG240" t="s">
        <v>7057</v>
      </c>
      <c r="CH240" t="s">
        <v>7560</v>
      </c>
      <c r="CI240" t="s">
        <v>4277</v>
      </c>
      <c r="CN240" s="10" t="s">
        <v>7561</v>
      </c>
      <c r="CO240">
        <v>85</v>
      </c>
      <c r="CR240">
        <v>3</v>
      </c>
      <c r="CX240" t="s">
        <v>7562</v>
      </c>
      <c r="CY240" t="s">
        <v>7074</v>
      </c>
    </row>
    <row r="241" spans="1:103">
      <c r="A241" t="s">
        <v>7572</v>
      </c>
      <c r="C241" t="s">
        <v>6968</v>
      </c>
      <c r="K241" s="6" t="s">
        <v>6953</v>
      </c>
      <c r="AC241">
        <v>2</v>
      </c>
      <c r="AD241">
        <v>1</v>
      </c>
      <c r="AO241" t="s">
        <v>7062</v>
      </c>
      <c r="AP241" t="s">
        <v>7070</v>
      </c>
      <c r="AT241" t="s">
        <v>7145</v>
      </c>
      <c r="AX241" t="s">
        <v>7064</v>
      </c>
      <c r="AZ241">
        <v>1</v>
      </c>
      <c r="BD241">
        <v>1</v>
      </c>
      <c r="CC241">
        <v>0.1</v>
      </c>
      <c r="CH241" t="s">
        <v>7560</v>
      </c>
      <c r="CI241" t="s">
        <v>4277</v>
      </c>
      <c r="CN241" s="10" t="s">
        <v>7561</v>
      </c>
      <c r="CO241">
        <v>85</v>
      </c>
      <c r="CR241">
        <v>3</v>
      </c>
      <c r="CY241" t="s">
        <v>7074</v>
      </c>
    </row>
    <row r="242" spans="1:108">
      <c r="A242" t="s">
        <v>7571</v>
      </c>
      <c r="C242" t="s">
        <v>6968</v>
      </c>
      <c r="K242" s="6" t="s">
        <v>6953</v>
      </c>
      <c r="L242" s="6" t="s">
        <v>7098</v>
      </c>
      <c r="AC242">
        <v>1</v>
      </c>
      <c r="AG242" t="s">
        <v>6955</v>
      </c>
      <c r="AY242" s="6"/>
      <c r="BD242">
        <v>1</v>
      </c>
      <c r="CB242" s="6"/>
      <c r="CC242" s="6"/>
      <c r="CD242" s="6"/>
      <c r="CE242" s="6"/>
      <c r="CF242" s="6"/>
      <c r="CH242" s="6"/>
      <c r="CI242" s="6"/>
      <c r="CJ242" s="6"/>
      <c r="CK242" s="6"/>
      <c r="CL242" s="6"/>
      <c r="CM242" s="6"/>
      <c r="CN242" s="10" t="s">
        <v>7182</v>
      </c>
      <c r="CO242">
        <v>0.5</v>
      </c>
      <c r="CR242">
        <v>30</v>
      </c>
      <c r="DD242">
        <v>1</v>
      </c>
    </row>
    <row r="243" spans="51:91">
      <c r="AY243" s="6"/>
      <c r="CB243" s="6"/>
      <c r="CC243" s="6"/>
      <c r="CD243" s="6"/>
      <c r="CE243" s="6"/>
      <c r="CF243" s="6"/>
      <c r="CH243" s="6"/>
      <c r="CI243" s="6"/>
      <c r="CJ243" s="6"/>
      <c r="CK243" s="6"/>
      <c r="CL243" s="6"/>
      <c r="CM243" s="6"/>
    </row>
    <row r="244" spans="1:103">
      <c r="A244" t="s">
        <v>614</v>
      </c>
      <c r="C244" t="s">
        <v>6968</v>
      </c>
      <c r="AC244">
        <v>2</v>
      </c>
      <c r="AD244">
        <v>1</v>
      </c>
      <c r="AO244" t="s">
        <v>7062</v>
      </c>
      <c r="AP244" t="s">
        <v>7070</v>
      </c>
      <c r="AT244" t="s">
        <v>7145</v>
      </c>
      <c r="AX244" t="s">
        <v>7064</v>
      </c>
      <c r="AZ244">
        <v>1</v>
      </c>
      <c r="BD244">
        <v>1</v>
      </c>
      <c r="CB244" t="s">
        <v>140</v>
      </c>
      <c r="CG244" t="s">
        <v>7057</v>
      </c>
      <c r="CH244" t="s">
        <v>7573</v>
      </c>
      <c r="CI244" t="s">
        <v>4277</v>
      </c>
      <c r="CJ244" t="s">
        <v>7574</v>
      </c>
      <c r="CX244" t="s">
        <v>7575</v>
      </c>
      <c r="CY244" t="s">
        <v>7074</v>
      </c>
    </row>
    <row r="245" spans="1:103">
      <c r="A245" t="s">
        <v>7576</v>
      </c>
      <c r="C245" t="s">
        <v>6968</v>
      </c>
      <c r="D245" t="s">
        <v>7577</v>
      </c>
      <c r="E245" t="s">
        <v>7578</v>
      </c>
      <c r="F245" t="s">
        <v>7579</v>
      </c>
      <c r="G245">
        <v>3</v>
      </c>
      <c r="J245" t="s">
        <v>7091</v>
      </c>
      <c r="K245" s="6" t="s">
        <v>6987</v>
      </c>
      <c r="W245" s="6">
        <v>1</v>
      </c>
      <c r="AC245">
        <v>2</v>
      </c>
      <c r="AD245">
        <v>1</v>
      </c>
      <c r="AO245" t="s">
        <v>7062</v>
      </c>
      <c r="AP245" t="s">
        <v>7070</v>
      </c>
      <c r="AT245" t="s">
        <v>7580</v>
      </c>
      <c r="AX245" t="s">
        <v>7064</v>
      </c>
      <c r="AZ245">
        <v>1</v>
      </c>
      <c r="BD245">
        <v>1</v>
      </c>
      <c r="BO245" s="8" t="s">
        <v>7581</v>
      </c>
      <c r="BT245">
        <v>99999</v>
      </c>
      <c r="BV245" s="9">
        <v>0</v>
      </c>
      <c r="BW245" s="9">
        <v>50</v>
      </c>
      <c r="BX245" s="9">
        <v>1</v>
      </c>
      <c r="BY245" s="9" t="s">
        <v>6987</v>
      </c>
      <c r="CB245" t="s">
        <v>638</v>
      </c>
      <c r="CG245" t="s">
        <v>7057</v>
      </c>
      <c r="CH245" t="s">
        <v>7582</v>
      </c>
      <c r="CI245" t="s">
        <v>4277</v>
      </c>
      <c r="CJ245" t="s">
        <v>7574</v>
      </c>
      <c r="CW245" t="s">
        <v>7583</v>
      </c>
      <c r="CY245" t="s">
        <v>7584</v>
      </c>
    </row>
    <row r="246" spans="1:108">
      <c r="A246" t="s">
        <v>7581</v>
      </c>
      <c r="C246" t="s">
        <v>6968</v>
      </c>
      <c r="K246" s="6" t="s">
        <v>6953</v>
      </c>
      <c r="L246" s="6" t="s">
        <v>7098</v>
      </c>
      <c r="AC246">
        <v>1</v>
      </c>
      <c r="AG246" t="s">
        <v>6955</v>
      </c>
      <c r="AY246" s="6"/>
      <c r="BD246">
        <v>1</v>
      </c>
      <c r="CB246" s="6"/>
      <c r="CC246" s="6"/>
      <c r="CD246" s="6"/>
      <c r="CE246" s="6"/>
      <c r="CF246" s="6"/>
      <c r="CH246" s="6"/>
      <c r="CI246" s="6"/>
      <c r="CJ246" s="6"/>
      <c r="CK246" s="6"/>
      <c r="CL246" s="6"/>
      <c r="CM246" s="6"/>
      <c r="CN246" s="10" t="s">
        <v>7581</v>
      </c>
      <c r="CO246" t="s">
        <v>7585</v>
      </c>
      <c r="CR246">
        <v>99999</v>
      </c>
      <c r="DD246">
        <v>1</v>
      </c>
    </row>
    <row r="247" spans="51:91">
      <c r="AY247" s="6"/>
      <c r="CB247" s="6"/>
      <c r="CC247" s="6"/>
      <c r="CD247" s="6"/>
      <c r="CE247" s="6"/>
      <c r="CF247" s="6"/>
      <c r="CH247" s="6"/>
      <c r="CI247" s="6"/>
      <c r="CJ247" s="6"/>
      <c r="CK247" s="6"/>
      <c r="CL247" s="6"/>
      <c r="CM247" s="6"/>
    </row>
    <row r="248" spans="1:103">
      <c r="A248" t="s">
        <v>618</v>
      </c>
      <c r="C248" t="s">
        <v>6968</v>
      </c>
      <c r="AC248">
        <v>2</v>
      </c>
      <c r="AD248">
        <v>1</v>
      </c>
      <c r="AO248" t="s">
        <v>7062</v>
      </c>
      <c r="AT248" t="s">
        <v>7231</v>
      </c>
      <c r="AX248" t="s">
        <v>7064</v>
      </c>
      <c r="AZ248">
        <v>1</v>
      </c>
      <c r="BD248">
        <v>1</v>
      </c>
      <c r="BJ248">
        <v>1</v>
      </c>
      <c r="BK248">
        <v>1</v>
      </c>
      <c r="BL248">
        <v>1</v>
      </c>
      <c r="CB248" t="s">
        <v>140</v>
      </c>
      <c r="CG248" t="s">
        <v>7057</v>
      </c>
      <c r="CH248" t="s">
        <v>7586</v>
      </c>
      <c r="CI248" t="s">
        <v>4277</v>
      </c>
      <c r="CJ248" t="s">
        <v>7587</v>
      </c>
      <c r="CY248" t="s">
        <v>7588</v>
      </c>
    </row>
    <row r="249" spans="1:103">
      <c r="A249" t="s">
        <v>7589</v>
      </c>
      <c r="C249" t="s">
        <v>6968</v>
      </c>
      <c r="D249" t="s">
        <v>7590</v>
      </c>
      <c r="E249" t="s">
        <v>7591</v>
      </c>
      <c r="F249" t="s">
        <v>7592</v>
      </c>
      <c r="G249">
        <v>3</v>
      </c>
      <c r="J249" t="s">
        <v>6985</v>
      </c>
      <c r="K249" s="6" t="s">
        <v>6987</v>
      </c>
      <c r="AC249">
        <v>2</v>
      </c>
      <c r="AD249">
        <v>1</v>
      </c>
      <c r="AO249" t="s">
        <v>7062</v>
      </c>
      <c r="AT249" t="s">
        <v>7231</v>
      </c>
      <c r="AX249" t="s">
        <v>7064</v>
      </c>
      <c r="AZ249">
        <v>2.15</v>
      </c>
      <c r="BD249">
        <v>1</v>
      </c>
      <c r="BJ249">
        <v>2</v>
      </c>
      <c r="BK249">
        <v>1</v>
      </c>
      <c r="BL249">
        <v>1</v>
      </c>
      <c r="BT249">
        <v>0.2</v>
      </c>
      <c r="BV249" s="9">
        <v>0</v>
      </c>
      <c r="BW249" s="9">
        <v>3</v>
      </c>
      <c r="BX249" s="9">
        <v>1</v>
      </c>
      <c r="BY249" s="9" t="s">
        <v>7142</v>
      </c>
      <c r="CB249" t="s">
        <v>638</v>
      </c>
      <c r="CG249" t="s">
        <v>7057</v>
      </c>
      <c r="CH249" t="s">
        <v>7593</v>
      </c>
      <c r="CI249" t="s">
        <v>4277</v>
      </c>
      <c r="CJ249" t="s">
        <v>7587</v>
      </c>
      <c r="CX249" t="s">
        <v>7594</v>
      </c>
      <c r="CY249" t="s">
        <v>7595</v>
      </c>
    </row>
    <row r="250" spans="1:103">
      <c r="A250" t="s">
        <v>7596</v>
      </c>
      <c r="C250" t="s">
        <v>6968</v>
      </c>
      <c r="D250" t="s">
        <v>7597</v>
      </c>
      <c r="E250" t="s">
        <v>7598</v>
      </c>
      <c r="F250" t="s">
        <v>7599</v>
      </c>
      <c r="G250">
        <v>3</v>
      </c>
      <c r="J250" t="s">
        <v>6985</v>
      </c>
      <c r="K250" s="6" t="s">
        <v>6986</v>
      </c>
      <c r="AB250">
        <v>1</v>
      </c>
      <c r="AC250">
        <v>2</v>
      </c>
      <c r="AD250">
        <v>1</v>
      </c>
      <c r="AO250" t="s">
        <v>7062</v>
      </c>
      <c r="AT250" t="s">
        <v>7231</v>
      </c>
      <c r="AX250" t="s">
        <v>7064</v>
      </c>
      <c r="AZ250">
        <v>3</v>
      </c>
      <c r="BD250">
        <v>1</v>
      </c>
      <c r="BJ250">
        <v>1</v>
      </c>
      <c r="BK250">
        <v>1</v>
      </c>
      <c r="BL250">
        <v>1</v>
      </c>
      <c r="BT250">
        <v>0.2</v>
      </c>
      <c r="BV250" s="9">
        <v>0</v>
      </c>
      <c r="BW250" s="9">
        <v>20</v>
      </c>
      <c r="BX250" s="9">
        <v>1</v>
      </c>
      <c r="BY250" s="9" t="s">
        <v>6987</v>
      </c>
      <c r="CB250" t="s">
        <v>638</v>
      </c>
      <c r="CG250" t="s">
        <v>7057</v>
      </c>
      <c r="CH250" t="s">
        <v>7600</v>
      </c>
      <c r="CI250" t="s">
        <v>4277</v>
      </c>
      <c r="CJ250" t="s">
        <v>7587</v>
      </c>
      <c r="CN250" s="10" t="s">
        <v>7601</v>
      </c>
      <c r="CO250">
        <v>-330</v>
      </c>
      <c r="CR250">
        <v>10</v>
      </c>
      <c r="CX250" t="s">
        <v>7602</v>
      </c>
      <c r="CY250" t="s">
        <v>7603</v>
      </c>
    </row>
    <row r="251" spans="51:91">
      <c r="AY251" s="6"/>
      <c r="CC251" s="6"/>
      <c r="CD251" s="6"/>
      <c r="CE251" s="6"/>
      <c r="CF251" s="6"/>
      <c r="CH251" s="6"/>
      <c r="CI251" s="6"/>
      <c r="CJ251" s="6"/>
      <c r="CK251" s="6"/>
      <c r="CL251" s="6"/>
      <c r="CM251" s="6"/>
    </row>
    <row r="252" spans="1:103">
      <c r="A252" t="s">
        <v>7604</v>
      </c>
      <c r="C252" t="s">
        <v>6968</v>
      </c>
      <c r="AC252">
        <v>2</v>
      </c>
      <c r="AD252">
        <v>1</v>
      </c>
      <c r="AO252" t="s">
        <v>7136</v>
      </c>
      <c r="AT252" t="s">
        <v>7056</v>
      </c>
      <c r="AX252" t="s">
        <v>7077</v>
      </c>
      <c r="AZ252">
        <v>1</v>
      </c>
      <c r="BD252">
        <v>1</v>
      </c>
      <c r="CB252" t="s">
        <v>7605</v>
      </c>
      <c r="CG252" t="s">
        <v>7057</v>
      </c>
      <c r="CH252" t="s">
        <v>7606</v>
      </c>
      <c r="CI252" t="s">
        <v>4277</v>
      </c>
      <c r="CW252" t="s">
        <v>7607</v>
      </c>
      <c r="CY252" t="s">
        <v>7608</v>
      </c>
    </row>
    <row r="253" spans="1:99">
      <c r="A253" t="s">
        <v>7609</v>
      </c>
      <c r="C253" t="s">
        <v>7157</v>
      </c>
      <c r="K253" s="6" t="s">
        <v>6953</v>
      </c>
      <c r="L253" s="6" t="s">
        <v>7610</v>
      </c>
      <c r="AC253">
        <v>1</v>
      </c>
      <c r="BD253">
        <v>1</v>
      </c>
      <c r="BO253" s="8" t="s">
        <v>7611</v>
      </c>
      <c r="CU253" t="s">
        <v>7612</v>
      </c>
    </row>
    <row r="254" spans="1:99">
      <c r="A254" t="s">
        <v>7611</v>
      </c>
      <c r="C254" t="s">
        <v>7157</v>
      </c>
      <c r="K254" s="6" t="s">
        <v>6953</v>
      </c>
      <c r="L254" s="6" t="s">
        <v>7613</v>
      </c>
      <c r="AC254">
        <v>1</v>
      </c>
      <c r="BD254">
        <v>1</v>
      </c>
      <c r="CU254" t="s">
        <v>7614</v>
      </c>
    </row>
    <row r="255" spans="1:103">
      <c r="A255" t="s">
        <v>7615</v>
      </c>
      <c r="C255" t="s">
        <v>6968</v>
      </c>
      <c r="D255" t="s">
        <v>7616</v>
      </c>
      <c r="E255" t="s">
        <v>7617</v>
      </c>
      <c r="F255" t="s">
        <v>7618</v>
      </c>
      <c r="G255">
        <v>3</v>
      </c>
      <c r="J255" t="s">
        <v>7091</v>
      </c>
      <c r="K255" s="6" t="s">
        <v>6987</v>
      </c>
      <c r="W255" s="6">
        <v>1</v>
      </c>
      <c r="AB255">
        <v>1</v>
      </c>
      <c r="AC255">
        <v>2</v>
      </c>
      <c r="AO255" t="s">
        <v>7619</v>
      </c>
      <c r="AT255" t="s">
        <v>7056</v>
      </c>
      <c r="AX255" t="s">
        <v>7077</v>
      </c>
      <c r="AZ255">
        <v>0.6</v>
      </c>
      <c r="BD255">
        <v>1</v>
      </c>
      <c r="BE255">
        <v>8</v>
      </c>
      <c r="BF255">
        <v>0.05</v>
      </c>
      <c r="BG255">
        <v>1</v>
      </c>
      <c r="BO255" s="8" t="s">
        <v>7620</v>
      </c>
      <c r="BT255">
        <v>25</v>
      </c>
      <c r="BV255" s="9">
        <v>0</v>
      </c>
      <c r="BW255" s="9">
        <v>100</v>
      </c>
      <c r="BX255" s="9">
        <v>1</v>
      </c>
      <c r="BY255" s="9" t="s">
        <v>6987</v>
      </c>
      <c r="CB255" t="s">
        <v>7621</v>
      </c>
      <c r="CE255" t="s">
        <v>7621</v>
      </c>
      <c r="CG255" t="s">
        <v>7057</v>
      </c>
      <c r="CH255" t="s">
        <v>7622</v>
      </c>
      <c r="CY255" t="s">
        <v>7623</v>
      </c>
    </row>
    <row r="256" spans="1:108">
      <c r="A256" t="s">
        <v>7624</v>
      </c>
      <c r="C256" t="s">
        <v>6968</v>
      </c>
      <c r="K256" s="6" t="s">
        <v>6953</v>
      </c>
      <c r="L256" s="6" t="s">
        <v>7098</v>
      </c>
      <c r="AC256">
        <v>1</v>
      </c>
      <c r="AG256" t="s">
        <v>6955</v>
      </c>
      <c r="AY256" s="6"/>
      <c r="BD256">
        <v>1</v>
      </c>
      <c r="CB256" s="6"/>
      <c r="CC256" s="6"/>
      <c r="CD256" s="6"/>
      <c r="CE256" s="6"/>
      <c r="CF256" s="6"/>
      <c r="CH256" s="6"/>
      <c r="CI256" s="6"/>
      <c r="CJ256" s="6"/>
      <c r="CK256" s="6"/>
      <c r="CL256" s="6"/>
      <c r="CM256" s="6"/>
      <c r="CN256" s="10" t="s">
        <v>7625</v>
      </c>
      <c r="CR256">
        <v>25</v>
      </c>
      <c r="DD256">
        <v>1</v>
      </c>
    </row>
    <row r="257" spans="1:108">
      <c r="A257" t="s">
        <v>7626</v>
      </c>
      <c r="C257" t="s">
        <v>6968</v>
      </c>
      <c r="K257" s="6" t="s">
        <v>6953</v>
      </c>
      <c r="L257" s="6" t="s">
        <v>7201</v>
      </c>
      <c r="AC257">
        <v>1</v>
      </c>
      <c r="AG257" t="s">
        <v>6955</v>
      </c>
      <c r="AY257" s="6"/>
      <c r="BD257">
        <v>1</v>
      </c>
      <c r="CB257" s="6"/>
      <c r="CC257" s="6"/>
      <c r="CD257" s="6"/>
      <c r="CE257" s="6"/>
      <c r="CF257" s="6"/>
      <c r="CH257" s="6"/>
      <c r="CI257" s="6"/>
      <c r="CJ257" s="6"/>
      <c r="CK257" s="6"/>
      <c r="CL257" s="6"/>
      <c r="CM257" s="6"/>
      <c r="CN257" s="10" t="s">
        <v>6957</v>
      </c>
      <c r="CR257">
        <v>10</v>
      </c>
      <c r="DD257">
        <v>1</v>
      </c>
    </row>
    <row r="258" spans="1:107">
      <c r="A258" t="s">
        <v>7627</v>
      </c>
      <c r="C258" t="s">
        <v>6968</v>
      </c>
      <c r="D258" t="s">
        <v>7628</v>
      </c>
      <c r="E258" t="s">
        <v>7629</v>
      </c>
      <c r="F258" t="s">
        <v>7630</v>
      </c>
      <c r="G258">
        <v>3</v>
      </c>
      <c r="J258" t="s">
        <v>7091</v>
      </c>
      <c r="K258" s="6" t="s">
        <v>6986</v>
      </c>
      <c r="AB258">
        <v>1</v>
      </c>
      <c r="AC258">
        <v>2</v>
      </c>
      <c r="AO258" t="s">
        <v>7062</v>
      </c>
      <c r="AT258" t="s">
        <v>7464</v>
      </c>
      <c r="AX258" t="s">
        <v>7631</v>
      </c>
      <c r="AZ258">
        <v>1</v>
      </c>
      <c r="BD258">
        <v>1</v>
      </c>
      <c r="BO258" s="8" t="s">
        <v>7632</v>
      </c>
      <c r="BT258">
        <v>30</v>
      </c>
      <c r="BV258" s="9">
        <v>0</v>
      </c>
      <c r="BW258" s="9">
        <v>120</v>
      </c>
      <c r="BX258" s="9">
        <v>1</v>
      </c>
      <c r="BY258" s="9" t="s">
        <v>6987</v>
      </c>
      <c r="CB258" t="s">
        <v>7633</v>
      </c>
      <c r="CE258" t="s">
        <v>7633</v>
      </c>
      <c r="CG258" t="s">
        <v>7057</v>
      </c>
      <c r="CH258" t="s">
        <v>7634</v>
      </c>
      <c r="CI258" t="s">
        <v>4277</v>
      </c>
      <c r="CW258" t="s">
        <v>7635</v>
      </c>
      <c r="CY258" t="s">
        <v>7636</v>
      </c>
      <c r="DB258" t="s">
        <v>7637</v>
      </c>
      <c r="DC258" t="s">
        <v>7638</v>
      </c>
    </row>
    <row r="259" spans="1:108">
      <c r="A259" t="s">
        <v>7639</v>
      </c>
      <c r="C259" t="s">
        <v>6968</v>
      </c>
      <c r="K259" s="6" t="s">
        <v>6953</v>
      </c>
      <c r="L259" s="6" t="s">
        <v>7098</v>
      </c>
      <c r="AC259">
        <v>1</v>
      </c>
      <c r="AG259" t="s">
        <v>6955</v>
      </c>
      <c r="AY259" s="6"/>
      <c r="BD259">
        <v>1</v>
      </c>
      <c r="CB259" s="6"/>
      <c r="CC259" s="6"/>
      <c r="CD259" s="6"/>
      <c r="CE259" s="6"/>
      <c r="CF259" s="6"/>
      <c r="CH259" s="6"/>
      <c r="CI259" s="6"/>
      <c r="CJ259" s="6"/>
      <c r="CK259" s="6"/>
      <c r="CL259" s="6"/>
      <c r="CM259" s="6"/>
      <c r="CN259" s="10" t="s">
        <v>7639</v>
      </c>
      <c r="CO259" t="s">
        <v>7640</v>
      </c>
      <c r="CR259">
        <v>30</v>
      </c>
      <c r="DD259">
        <v>1</v>
      </c>
    </row>
    <row r="260" spans="1:108">
      <c r="A260" t="s">
        <v>7641</v>
      </c>
      <c r="C260" t="s">
        <v>6968</v>
      </c>
      <c r="K260" s="6" t="s">
        <v>6953</v>
      </c>
      <c r="L260" s="6" t="s">
        <v>7201</v>
      </c>
      <c r="AC260">
        <v>1</v>
      </c>
      <c r="AG260" t="s">
        <v>6955</v>
      </c>
      <c r="AX260" t="s">
        <v>7631</v>
      </c>
      <c r="AY260" s="6"/>
      <c r="AZ260">
        <v>99999</v>
      </c>
      <c r="BB260">
        <v>2</v>
      </c>
      <c r="BD260">
        <v>1</v>
      </c>
      <c r="CB260" s="6"/>
      <c r="CC260" s="6"/>
      <c r="CD260" s="6"/>
      <c r="CE260" s="6"/>
      <c r="CF260" s="6"/>
      <c r="CH260" s="6"/>
      <c r="CI260" s="6"/>
      <c r="CJ260" s="6"/>
      <c r="CK260" s="6"/>
      <c r="CL260" s="6"/>
      <c r="CM260" s="6"/>
      <c r="DD260">
        <v>1</v>
      </c>
    </row>
    <row r="262" spans="1:103">
      <c r="A262" t="s">
        <v>7642</v>
      </c>
      <c r="C262" t="s">
        <v>6968</v>
      </c>
      <c r="AC262">
        <v>2</v>
      </c>
      <c r="AD262">
        <v>1</v>
      </c>
      <c r="AO262" t="s">
        <v>7062</v>
      </c>
      <c r="AT262" t="s">
        <v>7076</v>
      </c>
      <c r="AX262" t="s">
        <v>7077</v>
      </c>
      <c r="AZ262">
        <v>1</v>
      </c>
      <c r="BD262">
        <v>1</v>
      </c>
      <c r="BJ262">
        <v>1.1</v>
      </c>
      <c r="BK262">
        <v>1</v>
      </c>
      <c r="BL262">
        <v>1</v>
      </c>
      <c r="CB262" t="s">
        <v>140</v>
      </c>
      <c r="CG262" t="s">
        <v>7057</v>
      </c>
      <c r="CY262" t="s">
        <v>7643</v>
      </c>
    </row>
    <row r="263" spans="1:98">
      <c r="A263" t="s">
        <v>7644</v>
      </c>
      <c r="C263" t="s">
        <v>6968</v>
      </c>
      <c r="K263" s="6" t="s">
        <v>6953</v>
      </c>
      <c r="L263" s="6" t="s">
        <v>6969</v>
      </c>
      <c r="AC263">
        <v>2</v>
      </c>
      <c r="AY263" s="6"/>
      <c r="BD263">
        <v>99</v>
      </c>
      <c r="BO263" s="8" t="s">
        <v>7645</v>
      </c>
      <c r="BV263"/>
      <c r="BW263"/>
      <c r="BX263"/>
      <c r="BY263"/>
      <c r="BZ263"/>
      <c r="CA263"/>
      <c r="CB263" s="6"/>
      <c r="CC263" s="6"/>
      <c r="CD263" s="6"/>
      <c r="CE263" s="6"/>
      <c r="CF263" s="6"/>
      <c r="CH263" s="6"/>
      <c r="CI263" s="6"/>
      <c r="CJ263" s="6"/>
      <c r="CK263" s="6"/>
      <c r="CL263" s="6"/>
      <c r="CM263" s="6"/>
      <c r="CN263" s="10" t="s">
        <v>7646</v>
      </c>
      <c r="CO263">
        <v>0.18</v>
      </c>
      <c r="CR263">
        <v>99999</v>
      </c>
      <c r="CT263">
        <v>1</v>
      </c>
    </row>
    <row r="264" spans="1:98">
      <c r="A264" t="s">
        <v>7645</v>
      </c>
      <c r="C264" t="s">
        <v>6968</v>
      </c>
      <c r="K264" s="6" t="s">
        <v>6953</v>
      </c>
      <c r="L264" s="6" t="s">
        <v>6969</v>
      </c>
      <c r="AC264">
        <v>2</v>
      </c>
      <c r="AF264">
        <v>1</v>
      </c>
      <c r="AY264" s="6"/>
      <c r="BD264">
        <v>1</v>
      </c>
      <c r="BV264"/>
      <c r="BW264"/>
      <c r="BX264"/>
      <c r="BY264"/>
      <c r="BZ264"/>
      <c r="CA264"/>
      <c r="CB264" s="6"/>
      <c r="CC264" s="6"/>
      <c r="CD264" s="6"/>
      <c r="CE264" s="6"/>
      <c r="CF264" s="6"/>
      <c r="CH264" s="6"/>
      <c r="CI264" s="6"/>
      <c r="CJ264" s="6"/>
      <c r="CK264" s="6"/>
      <c r="CL264" s="6"/>
      <c r="CM264" s="6"/>
      <c r="CN264" s="10" t="s">
        <v>7646</v>
      </c>
      <c r="CO264">
        <v>0.18</v>
      </c>
      <c r="CR264">
        <v>99999</v>
      </c>
      <c r="CT264">
        <v>1</v>
      </c>
    </row>
    <row r="265" spans="1:105">
      <c r="A265" t="s">
        <v>7647</v>
      </c>
      <c r="C265" t="s">
        <v>6968</v>
      </c>
      <c r="D265" t="s">
        <v>7648</v>
      </c>
      <c r="E265" t="s">
        <v>7649</v>
      </c>
      <c r="F265" t="s">
        <v>7650</v>
      </c>
      <c r="G265">
        <v>3</v>
      </c>
      <c r="J265" t="s">
        <v>7091</v>
      </c>
      <c r="K265" s="6" t="s">
        <v>6986</v>
      </c>
      <c r="AB265">
        <v>1</v>
      </c>
      <c r="AC265">
        <v>2</v>
      </c>
      <c r="AO265" t="s">
        <v>7062</v>
      </c>
      <c r="AT265" t="s">
        <v>7076</v>
      </c>
      <c r="AX265" t="s">
        <v>7077</v>
      </c>
      <c r="AZ265">
        <v>2.4</v>
      </c>
      <c r="BD265">
        <v>1</v>
      </c>
      <c r="BJ265">
        <v>1.7</v>
      </c>
      <c r="BK265">
        <v>1</v>
      </c>
      <c r="BL265">
        <v>1</v>
      </c>
      <c r="BO265" s="8" t="s">
        <v>7651</v>
      </c>
      <c r="BT265">
        <v>25</v>
      </c>
      <c r="BV265" s="9">
        <v>0</v>
      </c>
      <c r="BW265" s="9">
        <v>100</v>
      </c>
      <c r="BX265" s="9">
        <v>1</v>
      </c>
      <c r="BY265" s="9" t="s">
        <v>6987</v>
      </c>
      <c r="CB265" t="s">
        <v>638</v>
      </c>
      <c r="CG265" t="s">
        <v>7057</v>
      </c>
      <c r="CH265" t="s">
        <v>7652</v>
      </c>
      <c r="CI265" t="s">
        <v>4277</v>
      </c>
      <c r="CN265" s="10" t="s">
        <v>6957</v>
      </c>
      <c r="CR265">
        <v>0.6</v>
      </c>
      <c r="CW265" t="s">
        <v>7653</v>
      </c>
      <c r="CY265" t="s">
        <v>7654</v>
      </c>
      <c r="DA265" t="s">
        <v>7655</v>
      </c>
    </row>
    <row r="266" spans="1:108">
      <c r="A266" t="s">
        <v>7651</v>
      </c>
      <c r="C266" t="s">
        <v>6968</v>
      </c>
      <c r="K266" s="6" t="s">
        <v>6953</v>
      </c>
      <c r="L266" s="6" t="s">
        <v>7098</v>
      </c>
      <c r="AC266">
        <v>1</v>
      </c>
      <c r="AG266" t="s">
        <v>6955</v>
      </c>
      <c r="AY266" s="6"/>
      <c r="BD266">
        <v>1</v>
      </c>
      <c r="CB266" s="6"/>
      <c r="CC266" s="6"/>
      <c r="CD266" s="6"/>
      <c r="CE266" s="6"/>
      <c r="CF266" s="6"/>
      <c r="CH266" s="6"/>
      <c r="CI266" s="6"/>
      <c r="CJ266" s="6"/>
      <c r="CK266" s="6"/>
      <c r="CL266" s="6"/>
      <c r="CM266" s="6"/>
      <c r="CN266" s="10" t="s">
        <v>7651</v>
      </c>
      <c r="CO266">
        <v>0.7</v>
      </c>
      <c r="CR266">
        <v>40</v>
      </c>
      <c r="DD266">
        <v>1</v>
      </c>
    </row>
    <row r="268" spans="1:103">
      <c r="A268" t="s">
        <v>7656</v>
      </c>
      <c r="C268" t="s">
        <v>6968</v>
      </c>
      <c r="AC268">
        <v>2</v>
      </c>
      <c r="AD268">
        <v>1</v>
      </c>
      <c r="AO268" t="s">
        <v>7062</v>
      </c>
      <c r="AT268" t="s">
        <v>7056</v>
      </c>
      <c r="AX268" t="s">
        <v>7077</v>
      </c>
      <c r="AZ268">
        <v>1</v>
      </c>
      <c r="BD268">
        <v>1</v>
      </c>
      <c r="CB268" t="s">
        <v>140</v>
      </c>
      <c r="CG268" t="s">
        <v>7057</v>
      </c>
      <c r="CH268" t="s">
        <v>7657</v>
      </c>
      <c r="CI268" t="s">
        <v>4277</v>
      </c>
      <c r="CW268" t="s">
        <v>7658</v>
      </c>
      <c r="CY268" t="s">
        <v>7659</v>
      </c>
    </row>
    <row r="269" spans="1:99">
      <c r="A269" t="s">
        <v>7660</v>
      </c>
      <c r="C269" t="s">
        <v>7450</v>
      </c>
      <c r="K269" s="6" t="s">
        <v>6953</v>
      </c>
      <c r="L269" s="6" t="s">
        <v>6969</v>
      </c>
      <c r="AC269">
        <v>1</v>
      </c>
      <c r="AF269">
        <v>1</v>
      </c>
      <c r="AG269" t="s">
        <v>6955</v>
      </c>
      <c r="BD269">
        <v>1</v>
      </c>
      <c r="CU269" t="s">
        <v>7661</v>
      </c>
    </row>
    <row r="270" spans="1:96">
      <c r="A270" t="s">
        <v>7662</v>
      </c>
      <c r="C270" t="s">
        <v>6968</v>
      </c>
      <c r="D270" t="s">
        <v>7663</v>
      </c>
      <c r="E270" t="s">
        <v>7664</v>
      </c>
      <c r="F270" t="s">
        <v>7665</v>
      </c>
      <c r="G270">
        <v>3</v>
      </c>
      <c r="K270" s="6" t="s">
        <v>6953</v>
      </c>
      <c r="L270" s="6" t="s">
        <v>6969</v>
      </c>
      <c r="AC270">
        <v>1</v>
      </c>
      <c r="AF270">
        <v>1</v>
      </c>
      <c r="AG270" t="s">
        <v>7457</v>
      </c>
      <c r="BD270">
        <v>1</v>
      </c>
      <c r="CN270" s="10" t="s">
        <v>7666</v>
      </c>
      <c r="CR270">
        <v>1</v>
      </c>
    </row>
    <row r="271" spans="1:101">
      <c r="A271" t="s">
        <v>7667</v>
      </c>
      <c r="C271" t="s">
        <v>7668</v>
      </c>
      <c r="D271" t="s">
        <v>7669</v>
      </c>
      <c r="E271" t="s">
        <v>7670</v>
      </c>
      <c r="F271" t="s">
        <v>7671</v>
      </c>
      <c r="G271">
        <v>3</v>
      </c>
      <c r="J271" t="s">
        <v>6985</v>
      </c>
      <c r="K271" s="6" t="s">
        <v>6986</v>
      </c>
      <c r="X271" s="6">
        <v>1</v>
      </c>
      <c r="AC271">
        <v>2</v>
      </c>
      <c r="AT271" t="s">
        <v>7092</v>
      </c>
      <c r="AX271" t="s">
        <v>7077</v>
      </c>
      <c r="AZ271">
        <v>6</v>
      </c>
      <c r="BD271">
        <v>99</v>
      </c>
      <c r="BT271">
        <v>0.2</v>
      </c>
      <c r="BV271" s="9">
        <v>0</v>
      </c>
      <c r="BW271" s="9">
        <v>30</v>
      </c>
      <c r="BX271" s="9">
        <v>1</v>
      </c>
      <c r="BY271" s="9" t="s">
        <v>6987</v>
      </c>
      <c r="CB271" t="s">
        <v>638</v>
      </c>
      <c r="CG271" t="s">
        <v>7057</v>
      </c>
      <c r="CN271" s="10" t="s">
        <v>6957</v>
      </c>
      <c r="CR271">
        <v>1</v>
      </c>
      <c r="CW271" t="s">
        <v>7672</v>
      </c>
    </row>
    <row r="272" spans="1:96">
      <c r="A272" t="s">
        <v>7673</v>
      </c>
      <c r="C272" t="s">
        <v>4994</v>
      </c>
      <c r="AC272">
        <v>2</v>
      </c>
      <c r="AO272" t="s">
        <v>7062</v>
      </c>
      <c r="AT272" t="s">
        <v>7087</v>
      </c>
      <c r="AX272" t="s">
        <v>7064</v>
      </c>
      <c r="AZ272">
        <v>1</v>
      </c>
      <c r="BD272">
        <v>1</v>
      </c>
      <c r="CB272" t="s">
        <v>140</v>
      </c>
      <c r="CG272" t="s">
        <v>7057</v>
      </c>
      <c r="CN272" s="10" t="s">
        <v>7184</v>
      </c>
      <c r="CO272">
        <v>-25</v>
      </c>
      <c r="CR272">
        <v>1</v>
      </c>
    </row>
    <row r="273" spans="1:96">
      <c r="A273" t="s">
        <v>7674</v>
      </c>
      <c r="C273" t="s">
        <v>6968</v>
      </c>
      <c r="K273" s="6" t="s">
        <v>6987</v>
      </c>
      <c r="O273" t="s">
        <v>7666</v>
      </c>
      <c r="AC273">
        <v>1</v>
      </c>
      <c r="AT273" t="s">
        <v>7675</v>
      </c>
      <c r="BD273">
        <v>99</v>
      </c>
      <c r="BS273">
        <v>0.1</v>
      </c>
      <c r="CN273" s="10" t="s">
        <v>7666</v>
      </c>
      <c r="CR273">
        <v>0.1</v>
      </c>
    </row>
    <row r="275" spans="1:103">
      <c r="A275" t="s">
        <v>7676</v>
      </c>
      <c r="C275" t="s">
        <v>4994</v>
      </c>
      <c r="AC275">
        <v>2</v>
      </c>
      <c r="AO275" t="s">
        <v>7062</v>
      </c>
      <c r="AT275" t="s">
        <v>7087</v>
      </c>
      <c r="AX275" t="s">
        <v>7064</v>
      </c>
      <c r="AZ275">
        <v>1</v>
      </c>
      <c r="BD275">
        <v>1</v>
      </c>
      <c r="CB275" t="s">
        <v>140</v>
      </c>
      <c r="CG275" t="s">
        <v>7057</v>
      </c>
      <c r="CY275" t="s">
        <v>7677</v>
      </c>
    </row>
    <row r="276" spans="1:98">
      <c r="A276" t="s">
        <v>7678</v>
      </c>
      <c r="C276" t="s">
        <v>6968</v>
      </c>
      <c r="K276" s="6" t="s">
        <v>6953</v>
      </c>
      <c r="L276" s="6" t="s">
        <v>6969</v>
      </c>
      <c r="AC276">
        <v>1</v>
      </c>
      <c r="AY276" s="6"/>
      <c r="BD276">
        <v>99</v>
      </c>
      <c r="BO276" s="8" t="s">
        <v>7679</v>
      </c>
      <c r="BV276"/>
      <c r="BW276"/>
      <c r="BX276"/>
      <c r="BY276"/>
      <c r="BZ276"/>
      <c r="CA276"/>
      <c r="CB276" s="6"/>
      <c r="CC276" s="6"/>
      <c r="CD276" s="6"/>
      <c r="CE276" s="6"/>
      <c r="CF276" s="6"/>
      <c r="CH276" s="6"/>
      <c r="CI276" s="6"/>
      <c r="CJ276" s="6"/>
      <c r="CK276" s="6"/>
      <c r="CL276" s="6"/>
      <c r="CM276" s="6"/>
      <c r="CN276" s="10" t="s">
        <v>7680</v>
      </c>
      <c r="CO276">
        <v>0.12</v>
      </c>
      <c r="CR276">
        <v>99999</v>
      </c>
      <c r="CT276">
        <v>1</v>
      </c>
    </row>
    <row r="277" spans="1:98">
      <c r="A277" t="s">
        <v>7679</v>
      </c>
      <c r="C277" t="s">
        <v>6968</v>
      </c>
      <c r="K277" s="6" t="s">
        <v>6953</v>
      </c>
      <c r="L277" s="6" t="s">
        <v>6969</v>
      </c>
      <c r="AC277">
        <v>1</v>
      </c>
      <c r="AF277">
        <v>1</v>
      </c>
      <c r="AG277" t="s">
        <v>7481</v>
      </c>
      <c r="AY277" s="6"/>
      <c r="BD277">
        <v>1</v>
      </c>
      <c r="BV277"/>
      <c r="BW277"/>
      <c r="BX277"/>
      <c r="BY277"/>
      <c r="BZ277"/>
      <c r="CA277"/>
      <c r="CB277" s="6"/>
      <c r="CC277" s="6"/>
      <c r="CD277" s="6"/>
      <c r="CE277" s="6"/>
      <c r="CF277" s="6"/>
      <c r="CH277" s="6"/>
      <c r="CI277" s="6"/>
      <c r="CJ277" s="6"/>
      <c r="CK277" s="6"/>
      <c r="CL277" s="6"/>
      <c r="CM277" s="6"/>
      <c r="CN277" s="10" t="s">
        <v>7680</v>
      </c>
      <c r="CO277">
        <v>0.12</v>
      </c>
      <c r="CR277">
        <v>99999</v>
      </c>
      <c r="CT277">
        <v>1</v>
      </c>
    </row>
    <row r="278" spans="1:103">
      <c r="A278" t="s">
        <v>7681</v>
      </c>
      <c r="C278" t="s">
        <v>6968</v>
      </c>
      <c r="D278" t="s">
        <v>7682</v>
      </c>
      <c r="E278" t="s">
        <v>7683</v>
      </c>
      <c r="F278" t="s">
        <v>7684</v>
      </c>
      <c r="G278">
        <v>3</v>
      </c>
      <c r="J278" t="s">
        <v>6985</v>
      </c>
      <c r="K278" s="6" t="s">
        <v>6987</v>
      </c>
      <c r="U278" s="6">
        <v>0.5</v>
      </c>
      <c r="AC278">
        <v>1</v>
      </c>
      <c r="AO278" t="s">
        <v>7055</v>
      </c>
      <c r="AT278" t="s">
        <v>7092</v>
      </c>
      <c r="AY278" s="6">
        <v>1</v>
      </c>
      <c r="AZ278">
        <v>1.8</v>
      </c>
      <c r="BD278">
        <v>1</v>
      </c>
      <c r="BT278">
        <v>0.2</v>
      </c>
      <c r="BV278" s="9">
        <v>0</v>
      </c>
      <c r="BW278" s="9">
        <v>4</v>
      </c>
      <c r="BX278" s="9">
        <v>3</v>
      </c>
      <c r="BY278" s="9" t="s">
        <v>6987</v>
      </c>
      <c r="CB278" s="6" t="s">
        <v>140</v>
      </c>
      <c r="CC278" s="6"/>
      <c r="CD278" s="6"/>
      <c r="CE278" s="6"/>
      <c r="CF278" s="6"/>
      <c r="CG278" t="s">
        <v>7057</v>
      </c>
      <c r="CJ278" s="6"/>
      <c r="CK278" s="6"/>
      <c r="CL278" s="6"/>
      <c r="CM278" s="6"/>
      <c r="CX278" t="s">
        <v>7685</v>
      </c>
      <c r="CY278" t="s">
        <v>7686</v>
      </c>
    </row>
    <row r="279" spans="1:103">
      <c r="A279" t="s">
        <v>7687</v>
      </c>
      <c r="C279" t="s">
        <v>6968</v>
      </c>
      <c r="D279" t="s">
        <v>7688</v>
      </c>
      <c r="E279" t="s">
        <v>7689</v>
      </c>
      <c r="F279" t="s">
        <v>7690</v>
      </c>
      <c r="G279">
        <v>3</v>
      </c>
      <c r="J279" t="s">
        <v>7091</v>
      </c>
      <c r="K279" s="6" t="s">
        <v>6986</v>
      </c>
      <c r="AB279">
        <v>1</v>
      </c>
      <c r="AC279">
        <v>1</v>
      </c>
      <c r="AO279" t="s">
        <v>7055</v>
      </c>
      <c r="AT279" t="s">
        <v>7092</v>
      </c>
      <c r="AY279">
        <v>1</v>
      </c>
      <c r="AZ279">
        <v>1</v>
      </c>
      <c r="BD279">
        <v>1</v>
      </c>
      <c r="BO279" s="8" t="s">
        <v>7691</v>
      </c>
      <c r="BT279">
        <v>40</v>
      </c>
      <c r="BV279" s="9">
        <v>30</v>
      </c>
      <c r="BW279" s="9">
        <v>40</v>
      </c>
      <c r="BX279" s="9">
        <v>1</v>
      </c>
      <c r="BY279" s="9" t="s">
        <v>6987</v>
      </c>
      <c r="CB279" t="s">
        <v>638</v>
      </c>
      <c r="CG279" t="s">
        <v>7057</v>
      </c>
      <c r="CY279" t="s">
        <v>7686</v>
      </c>
    </row>
    <row r="280" spans="1:96">
      <c r="A280" t="s">
        <v>7692</v>
      </c>
      <c r="C280" t="s">
        <v>6968</v>
      </c>
      <c r="K280" s="6" t="s">
        <v>6953</v>
      </c>
      <c r="L280" s="6" t="s">
        <v>7098</v>
      </c>
      <c r="AC280">
        <v>1</v>
      </c>
      <c r="AY280" s="6"/>
      <c r="BD280">
        <v>1</v>
      </c>
      <c r="BV280"/>
      <c r="BW280"/>
      <c r="BX280"/>
      <c r="BY280"/>
      <c r="BZ280"/>
      <c r="CA280"/>
      <c r="CB280" s="6"/>
      <c r="CC280" s="6"/>
      <c r="CD280" s="6"/>
      <c r="CE280" s="6"/>
      <c r="CF280" s="6"/>
      <c r="CH280" s="6"/>
      <c r="CI280" s="6"/>
      <c r="CJ280" s="6"/>
      <c r="CK280" s="6"/>
      <c r="CL280" s="6"/>
      <c r="CM280" s="6"/>
      <c r="CN280" s="10" t="s">
        <v>7692</v>
      </c>
      <c r="CO280" t="s">
        <v>7445</v>
      </c>
      <c r="CR280">
        <v>40</v>
      </c>
    </row>
    <row r="281" spans="1:96">
      <c r="A281" t="s">
        <v>7693</v>
      </c>
      <c r="C281" t="s">
        <v>6968</v>
      </c>
      <c r="K281" s="6" t="s">
        <v>6953</v>
      </c>
      <c r="L281" s="6" t="s">
        <v>7098</v>
      </c>
      <c r="AC281">
        <v>1</v>
      </c>
      <c r="AY281" s="6"/>
      <c r="BD281">
        <v>1</v>
      </c>
      <c r="BV281"/>
      <c r="BW281"/>
      <c r="BX281"/>
      <c r="BY281"/>
      <c r="BZ281"/>
      <c r="CA281"/>
      <c r="CB281" s="6"/>
      <c r="CC281" s="6"/>
      <c r="CD281" s="6"/>
      <c r="CE281" s="6"/>
      <c r="CF281" s="6"/>
      <c r="CH281" s="6"/>
      <c r="CI281" s="6"/>
      <c r="CJ281" s="6"/>
      <c r="CK281" s="6"/>
      <c r="CL281" s="6"/>
      <c r="CM281" s="6"/>
      <c r="CN281" s="10" t="s">
        <v>7100</v>
      </c>
      <c r="CR281">
        <v>40</v>
      </c>
    </row>
    <row r="283" spans="1:103">
      <c r="A283" t="s">
        <v>7694</v>
      </c>
      <c r="C283" t="s">
        <v>6968</v>
      </c>
      <c r="K283" s="6" t="s">
        <v>6987</v>
      </c>
      <c r="AC283">
        <v>1</v>
      </c>
      <c r="AO283" t="s">
        <v>7055</v>
      </c>
      <c r="AT283" t="s">
        <v>7145</v>
      </c>
      <c r="AY283">
        <v>1</v>
      </c>
      <c r="AZ283">
        <v>1</v>
      </c>
      <c r="BD283">
        <v>1</v>
      </c>
      <c r="CB283" t="s">
        <v>140</v>
      </c>
      <c r="CG283" t="s">
        <v>7057</v>
      </c>
      <c r="CH283" t="s">
        <v>7695</v>
      </c>
      <c r="CI283" t="s">
        <v>4277</v>
      </c>
      <c r="CY283" t="s">
        <v>7034</v>
      </c>
    </row>
    <row r="284" spans="1:98">
      <c r="A284" t="s">
        <v>7696</v>
      </c>
      <c r="C284" t="s">
        <v>6968</v>
      </c>
      <c r="K284" s="6" t="s">
        <v>6953</v>
      </c>
      <c r="L284" s="6" t="s">
        <v>6969</v>
      </c>
      <c r="AC284">
        <v>1</v>
      </c>
      <c r="AI284" t="s">
        <v>338</v>
      </c>
      <c r="AY284" s="6"/>
      <c r="BD284">
        <v>99</v>
      </c>
      <c r="BO284" s="8" t="s">
        <v>7697</v>
      </c>
      <c r="BV284"/>
      <c r="BW284"/>
      <c r="BX284"/>
      <c r="BY284"/>
      <c r="BZ284"/>
      <c r="CA284"/>
      <c r="CB284" s="6"/>
      <c r="CC284" s="6"/>
      <c r="CD284" s="6"/>
      <c r="CE284" s="6"/>
      <c r="CF284" s="6"/>
      <c r="CH284" s="6"/>
      <c r="CI284" s="6"/>
      <c r="CJ284" s="6"/>
      <c r="CK284" s="6"/>
      <c r="CL284" s="6"/>
      <c r="CM284" s="6"/>
      <c r="CN284" s="10" t="s">
        <v>7184</v>
      </c>
      <c r="CO284">
        <v>0.14</v>
      </c>
      <c r="CR284">
        <v>99999</v>
      </c>
      <c r="CT284">
        <v>1</v>
      </c>
    </row>
    <row r="285" spans="1:98">
      <c r="A285" t="s">
        <v>7697</v>
      </c>
      <c r="C285" t="s">
        <v>6968</v>
      </c>
      <c r="K285" s="6" t="s">
        <v>6953</v>
      </c>
      <c r="L285" s="6" t="s">
        <v>6969</v>
      </c>
      <c r="AC285">
        <v>1</v>
      </c>
      <c r="AF285">
        <v>1</v>
      </c>
      <c r="AG285" t="s">
        <v>7481</v>
      </c>
      <c r="AI285" t="s">
        <v>338</v>
      </c>
      <c r="AY285" s="6"/>
      <c r="BD285">
        <v>1</v>
      </c>
      <c r="BV285"/>
      <c r="BW285"/>
      <c r="BX285"/>
      <c r="BY285"/>
      <c r="BZ285"/>
      <c r="CA285"/>
      <c r="CB285" s="6"/>
      <c r="CC285" s="6"/>
      <c r="CD285" s="6"/>
      <c r="CE285" s="6"/>
      <c r="CF285" s="6"/>
      <c r="CH285" s="6"/>
      <c r="CI285" s="6"/>
      <c r="CJ285" s="6"/>
      <c r="CK285" s="6"/>
      <c r="CL285" s="6"/>
      <c r="CM285" s="6"/>
      <c r="CN285" s="10" t="s">
        <v>7184</v>
      </c>
      <c r="CO285">
        <v>0.14</v>
      </c>
      <c r="CR285">
        <v>99999</v>
      </c>
      <c r="CT285">
        <v>1</v>
      </c>
    </row>
    <row r="286" spans="1:99">
      <c r="A286" t="s">
        <v>7698</v>
      </c>
      <c r="C286" t="s">
        <v>7450</v>
      </c>
      <c r="D286" t="s">
        <v>7699</v>
      </c>
      <c r="E286" t="s">
        <v>7700</v>
      </c>
      <c r="F286" t="s">
        <v>7701</v>
      </c>
      <c r="G286">
        <v>3</v>
      </c>
      <c r="J286" t="s">
        <v>6985</v>
      </c>
      <c r="K286" s="6" t="s">
        <v>6953</v>
      </c>
      <c r="W286" s="6">
        <v>1</v>
      </c>
      <c r="AC286">
        <v>1</v>
      </c>
      <c r="AG286" t="s">
        <v>6955</v>
      </c>
      <c r="BD286">
        <v>1</v>
      </c>
      <c r="BT286">
        <v>0.2</v>
      </c>
      <c r="BV286" s="9">
        <v>0</v>
      </c>
      <c r="BW286" s="9">
        <v>18</v>
      </c>
      <c r="BX286" s="9">
        <v>1</v>
      </c>
      <c r="BY286" s="9" t="s">
        <v>6987</v>
      </c>
      <c r="CU286" t="s">
        <v>7702</v>
      </c>
    </row>
    <row r="287" spans="1:103">
      <c r="A287" t="s">
        <v>7703</v>
      </c>
      <c r="C287" t="s">
        <v>6968</v>
      </c>
      <c r="K287" s="6" t="s">
        <v>6987</v>
      </c>
      <c r="AC287">
        <v>1</v>
      </c>
      <c r="AO287" t="s">
        <v>7055</v>
      </c>
      <c r="AT287" t="s">
        <v>7092</v>
      </c>
      <c r="AY287">
        <v>1</v>
      </c>
      <c r="AZ287">
        <v>1</v>
      </c>
      <c r="BA287">
        <v>1</v>
      </c>
      <c r="BD287">
        <v>99</v>
      </c>
      <c r="BS287">
        <v>0.5</v>
      </c>
      <c r="CY287" t="s">
        <v>7034</v>
      </c>
    </row>
    <row r="288" spans="1:96">
      <c r="A288" t="s">
        <v>7704</v>
      </c>
      <c r="C288" t="s">
        <v>6968</v>
      </c>
      <c r="K288" s="6" t="s">
        <v>6953</v>
      </c>
      <c r="L288" s="6" t="s">
        <v>6972</v>
      </c>
      <c r="AC288">
        <v>1</v>
      </c>
      <c r="AG288" t="s">
        <v>6955</v>
      </c>
      <c r="AH288">
        <v>1</v>
      </c>
      <c r="AY288" s="6"/>
      <c r="BD288">
        <v>1</v>
      </c>
      <c r="BV288"/>
      <c r="BW288"/>
      <c r="BX288"/>
      <c r="BY288"/>
      <c r="BZ288"/>
      <c r="CA288"/>
      <c r="CB288" s="6"/>
      <c r="CC288" s="6"/>
      <c r="CD288" s="6"/>
      <c r="CE288" s="6"/>
      <c r="CF288" s="6"/>
      <c r="CH288" s="6"/>
      <c r="CI288" s="6"/>
      <c r="CJ288" s="6"/>
      <c r="CK288" s="6"/>
      <c r="CL288" s="6"/>
      <c r="CM288" s="6"/>
      <c r="CN288" s="10" t="s">
        <v>7705</v>
      </c>
      <c r="CR288">
        <v>99999</v>
      </c>
    </row>
    <row r="290" spans="1:103">
      <c r="A290" t="s">
        <v>7706</v>
      </c>
      <c r="C290" t="s">
        <v>6968</v>
      </c>
      <c r="K290" s="6" t="s">
        <v>6987</v>
      </c>
      <c r="AC290">
        <v>1</v>
      </c>
      <c r="AO290" t="s">
        <v>7055</v>
      </c>
      <c r="AT290" t="s">
        <v>7145</v>
      </c>
      <c r="AY290">
        <v>1</v>
      </c>
      <c r="AZ290">
        <v>1</v>
      </c>
      <c r="BD290">
        <v>1</v>
      </c>
      <c r="CB290" t="s">
        <v>140</v>
      </c>
      <c r="CG290" t="s">
        <v>7057</v>
      </c>
      <c r="CX290" t="s">
        <v>7707</v>
      </c>
      <c r="CY290" t="s">
        <v>7708</v>
      </c>
    </row>
    <row r="291" spans="1:99">
      <c r="A291" t="s">
        <v>7709</v>
      </c>
      <c r="C291" t="s">
        <v>7710</v>
      </c>
      <c r="K291" s="6" t="s">
        <v>6953</v>
      </c>
      <c r="L291" s="6" t="s">
        <v>7315</v>
      </c>
      <c r="AC291">
        <v>2</v>
      </c>
      <c r="AH291">
        <v>1</v>
      </c>
      <c r="AT291" t="s">
        <v>7145</v>
      </c>
      <c r="AY291" s="6"/>
      <c r="BP291" s="8" t="s">
        <v>7711</v>
      </c>
      <c r="CB291" s="6"/>
      <c r="CC291" s="6"/>
      <c r="CD291" s="6"/>
      <c r="CE291" s="6"/>
      <c r="CF291" s="6"/>
      <c r="CH291" s="6"/>
      <c r="CI291" s="6"/>
      <c r="CJ291" s="6"/>
      <c r="CK291" s="6"/>
      <c r="CL291" s="6"/>
      <c r="CM291" s="6"/>
      <c r="CU291" t="s">
        <v>7712</v>
      </c>
    </row>
    <row r="292" spans="1:99">
      <c r="A292" t="s">
        <v>7711</v>
      </c>
      <c r="C292" t="s">
        <v>7157</v>
      </c>
      <c r="K292" s="6" t="s">
        <v>6953</v>
      </c>
      <c r="AC292">
        <v>1</v>
      </c>
      <c r="AG292" t="s">
        <v>7481</v>
      </c>
      <c r="AO292" t="s">
        <v>7619</v>
      </c>
      <c r="AT292" t="s">
        <v>7145</v>
      </c>
      <c r="BD292">
        <v>1</v>
      </c>
      <c r="CU292" t="s">
        <v>7713</v>
      </c>
    </row>
    <row r="293" spans="1:103">
      <c r="A293" t="s">
        <v>7714</v>
      </c>
      <c r="C293" t="s">
        <v>6968</v>
      </c>
      <c r="D293" t="s">
        <v>7715</v>
      </c>
      <c r="E293" t="s">
        <v>7716</v>
      </c>
      <c r="F293" t="s">
        <v>7717</v>
      </c>
      <c r="G293">
        <v>3</v>
      </c>
      <c r="J293" t="s">
        <v>6985</v>
      </c>
      <c r="K293" s="6" t="s">
        <v>6987</v>
      </c>
      <c r="U293" s="6">
        <v>0.5</v>
      </c>
      <c r="AC293">
        <v>1</v>
      </c>
      <c r="AO293" t="s">
        <v>7055</v>
      </c>
      <c r="AT293" t="s">
        <v>7145</v>
      </c>
      <c r="AY293">
        <v>1</v>
      </c>
      <c r="AZ293">
        <v>1</v>
      </c>
      <c r="BD293">
        <v>1</v>
      </c>
      <c r="BT293">
        <v>0.2</v>
      </c>
      <c r="BV293" s="9">
        <v>0</v>
      </c>
      <c r="BW293" s="9">
        <v>4</v>
      </c>
      <c r="BX293" s="9">
        <v>4</v>
      </c>
      <c r="BY293" s="9" t="s">
        <v>7142</v>
      </c>
      <c r="CB293" t="s">
        <v>140</v>
      </c>
      <c r="CG293" t="s">
        <v>7057</v>
      </c>
      <c r="CJ293" t="s">
        <v>7718</v>
      </c>
      <c r="CX293" t="s">
        <v>7719</v>
      </c>
      <c r="CY293" t="s">
        <v>7720</v>
      </c>
    </row>
    <row r="294" spans="1:96">
      <c r="A294" t="s">
        <v>7721</v>
      </c>
      <c r="C294" t="s">
        <v>6968</v>
      </c>
      <c r="D294" t="s">
        <v>7722</v>
      </c>
      <c r="E294" t="s">
        <v>7723</v>
      </c>
      <c r="F294" t="s">
        <v>7724</v>
      </c>
      <c r="G294">
        <v>3</v>
      </c>
      <c r="J294" t="s">
        <v>6985</v>
      </c>
      <c r="K294" s="6" t="s">
        <v>6986</v>
      </c>
      <c r="AB294">
        <v>1</v>
      </c>
      <c r="AC294">
        <v>1</v>
      </c>
      <c r="AY294" s="6"/>
      <c r="BD294">
        <v>1</v>
      </c>
      <c r="BP294" s="8" t="s">
        <v>7725</v>
      </c>
      <c r="BT294">
        <v>0.2</v>
      </c>
      <c r="BV294" s="9">
        <v>50</v>
      </c>
      <c r="BW294" s="9">
        <v>60</v>
      </c>
      <c r="BX294" s="9">
        <v>1</v>
      </c>
      <c r="BY294" s="9" t="s">
        <v>6987</v>
      </c>
      <c r="CB294" t="s">
        <v>140</v>
      </c>
      <c r="CC294" s="6"/>
      <c r="CD294" s="6"/>
      <c r="CE294" s="6"/>
      <c r="CF294" s="6"/>
      <c r="CG294" t="s">
        <v>7057</v>
      </c>
      <c r="CH294" s="6"/>
      <c r="CI294" s="6"/>
      <c r="CJ294" s="6"/>
      <c r="CM294" s="6"/>
      <c r="CN294" s="10" t="s">
        <v>7726</v>
      </c>
      <c r="CO294">
        <v>0.9</v>
      </c>
      <c r="CP294">
        <v>0.03</v>
      </c>
      <c r="CR294">
        <v>15</v>
      </c>
    </row>
    <row r="295" spans="1:96">
      <c r="A295" t="s">
        <v>7725</v>
      </c>
      <c r="C295" t="s">
        <v>6968</v>
      </c>
      <c r="K295" s="6" t="s">
        <v>6953</v>
      </c>
      <c r="AC295">
        <v>1</v>
      </c>
      <c r="AG295" t="s">
        <v>7481</v>
      </c>
      <c r="AO295" t="s">
        <v>7619</v>
      </c>
      <c r="AT295" t="s">
        <v>7145</v>
      </c>
      <c r="AY295" s="6"/>
      <c r="BD295">
        <v>1</v>
      </c>
      <c r="CC295" s="6"/>
      <c r="CD295" s="6"/>
      <c r="CE295" s="6"/>
      <c r="CF295" s="6"/>
      <c r="CH295" s="6"/>
      <c r="CI295" s="6"/>
      <c r="CJ295" s="6"/>
      <c r="CK295" s="6"/>
      <c r="CL295" s="6"/>
      <c r="CM295" s="6"/>
      <c r="CN295" s="10" t="s">
        <v>7726</v>
      </c>
      <c r="CO295">
        <v>0.9</v>
      </c>
      <c r="CP295">
        <v>0.03</v>
      </c>
      <c r="CR295">
        <v>15</v>
      </c>
    </row>
    <row r="297" spans="1:103">
      <c r="A297" t="s">
        <v>7727</v>
      </c>
      <c r="C297" t="s">
        <v>4994</v>
      </c>
      <c r="K297" s="6" t="s">
        <v>6987</v>
      </c>
      <c r="AC297">
        <v>2</v>
      </c>
      <c r="AO297" t="s">
        <v>7062</v>
      </c>
      <c r="AT297" t="s">
        <v>7063</v>
      </c>
      <c r="AX297" t="s">
        <v>7064</v>
      </c>
      <c r="AZ297">
        <v>1</v>
      </c>
      <c r="BD297">
        <v>1</v>
      </c>
      <c r="CB297" t="s">
        <v>140</v>
      </c>
      <c r="CG297" t="s">
        <v>7057</v>
      </c>
      <c r="CX297" t="s">
        <v>7728</v>
      </c>
      <c r="CY297" t="s">
        <v>7729</v>
      </c>
    </row>
    <row r="298" spans="1:108">
      <c r="A298" t="s">
        <v>7730</v>
      </c>
      <c r="C298" t="s">
        <v>6968</v>
      </c>
      <c r="D298" t="s">
        <v>7731</v>
      </c>
      <c r="E298" t="s">
        <v>7732</v>
      </c>
      <c r="F298" t="s">
        <v>7733</v>
      </c>
      <c r="G298">
        <v>3</v>
      </c>
      <c r="K298" s="6" t="s">
        <v>6953</v>
      </c>
      <c r="L298" s="6" t="s">
        <v>7158</v>
      </c>
      <c r="AC298">
        <v>1</v>
      </c>
      <c r="AY298" s="6"/>
      <c r="BD298">
        <v>1</v>
      </c>
      <c r="BT298">
        <v>10</v>
      </c>
      <c r="BV298"/>
      <c r="BW298"/>
      <c r="BX298"/>
      <c r="BY298"/>
      <c r="BZ298"/>
      <c r="CA298"/>
      <c r="CB298" s="6"/>
      <c r="CC298" s="6"/>
      <c r="CD298" s="6"/>
      <c r="CE298" s="6"/>
      <c r="CF298" s="6"/>
      <c r="CH298" s="6"/>
      <c r="CI298" s="6"/>
      <c r="CJ298" s="6"/>
      <c r="CK298" s="6"/>
      <c r="CL298" s="6"/>
      <c r="CM298" s="6"/>
      <c r="CN298" s="10" t="s">
        <v>7734</v>
      </c>
      <c r="CO298">
        <v>0.8</v>
      </c>
      <c r="CR298">
        <v>10</v>
      </c>
      <c r="DD298">
        <v>1</v>
      </c>
    </row>
    <row r="299" ht="15" customHeight="1" spans="1:102">
      <c r="A299" t="s">
        <v>7735</v>
      </c>
      <c r="C299" t="s">
        <v>6968</v>
      </c>
      <c r="D299" t="s">
        <v>7736</v>
      </c>
      <c r="E299" t="s">
        <v>7737</v>
      </c>
      <c r="F299" t="s">
        <v>7738</v>
      </c>
      <c r="G299">
        <v>3</v>
      </c>
      <c r="K299" s="6" t="s">
        <v>6953</v>
      </c>
      <c r="L299" s="6" t="s">
        <v>7158</v>
      </c>
      <c r="X299" s="6">
        <v>1</v>
      </c>
      <c r="AC299">
        <v>2</v>
      </c>
      <c r="AO299" t="s">
        <v>7062</v>
      </c>
      <c r="AT299" t="s">
        <v>7675</v>
      </c>
      <c r="AX299" t="s">
        <v>7064</v>
      </c>
      <c r="AZ299">
        <v>2.5</v>
      </c>
      <c r="BD299">
        <v>99</v>
      </c>
      <c r="CG299" t="s">
        <v>7475</v>
      </c>
      <c r="CN299" s="10" t="s">
        <v>6957</v>
      </c>
      <c r="CR299">
        <v>3</v>
      </c>
      <c r="CX299" t="s">
        <v>7739</v>
      </c>
    </row>
    <row r="301" spans="1:103">
      <c r="A301" t="s">
        <v>7740</v>
      </c>
      <c r="C301" t="s">
        <v>4994</v>
      </c>
      <c r="AC301">
        <v>2</v>
      </c>
      <c r="AO301" t="s">
        <v>7062</v>
      </c>
      <c r="AT301" t="s">
        <v>7246</v>
      </c>
      <c r="AX301" t="s">
        <v>7064</v>
      </c>
      <c r="AZ301">
        <v>1</v>
      </c>
      <c r="BD301">
        <v>1</v>
      </c>
      <c r="CB301" t="s">
        <v>7168</v>
      </c>
      <c r="CG301" t="s">
        <v>7057</v>
      </c>
      <c r="CX301" t="s">
        <v>7741</v>
      </c>
      <c r="CY301" t="s">
        <v>7074</v>
      </c>
    </row>
    <row r="302" spans="1:99">
      <c r="A302" t="s">
        <v>7742</v>
      </c>
      <c r="C302" t="s">
        <v>7157</v>
      </c>
      <c r="K302" s="6" t="s">
        <v>6953</v>
      </c>
      <c r="L302" s="6" t="s">
        <v>7743</v>
      </c>
      <c r="AC302">
        <v>1</v>
      </c>
      <c r="AG302" t="s">
        <v>6955</v>
      </c>
      <c r="AT302" t="s">
        <v>7087</v>
      </c>
      <c r="BD302">
        <v>1</v>
      </c>
      <c r="BP302" s="8" t="s">
        <v>7744</v>
      </c>
      <c r="CU302" t="s">
        <v>7713</v>
      </c>
    </row>
    <row r="303" spans="1:99">
      <c r="A303" t="s">
        <v>7744</v>
      </c>
      <c r="C303" t="s">
        <v>7157</v>
      </c>
      <c r="K303" s="6" t="s">
        <v>6953</v>
      </c>
      <c r="AC303">
        <v>1</v>
      </c>
      <c r="AG303" t="s">
        <v>7481</v>
      </c>
      <c r="AO303" t="s">
        <v>7619</v>
      </c>
      <c r="AT303" t="s">
        <v>7675</v>
      </c>
      <c r="BD303">
        <v>1</v>
      </c>
      <c r="CU303" t="s">
        <v>7713</v>
      </c>
    </row>
    <row r="304" spans="1:96">
      <c r="A304" t="s">
        <v>7745</v>
      </c>
      <c r="C304" t="s">
        <v>6968</v>
      </c>
      <c r="D304" t="s">
        <v>7746</v>
      </c>
      <c r="E304" t="s">
        <v>7747</v>
      </c>
      <c r="F304" t="s">
        <v>7748</v>
      </c>
      <c r="G304">
        <v>3</v>
      </c>
      <c r="J304" t="s">
        <v>6985</v>
      </c>
      <c r="K304" s="6" t="s">
        <v>6987</v>
      </c>
      <c r="W304" s="6">
        <v>1</v>
      </c>
      <c r="AC304">
        <v>1</v>
      </c>
      <c r="AG304" t="s">
        <v>6955</v>
      </c>
      <c r="BD304">
        <v>1</v>
      </c>
      <c r="BT304">
        <v>0.2</v>
      </c>
      <c r="BV304" s="9">
        <v>0</v>
      </c>
      <c r="BW304" s="9">
        <v>18</v>
      </c>
      <c r="BX304" s="9">
        <v>1</v>
      </c>
      <c r="BY304" s="9" t="s">
        <v>7321</v>
      </c>
      <c r="CN304" s="10" t="s">
        <v>7749</v>
      </c>
      <c r="CP304">
        <v>1</v>
      </c>
      <c r="CR304">
        <v>8</v>
      </c>
    </row>
    <row r="305" spans="1:103">
      <c r="A305" t="s">
        <v>7750</v>
      </c>
      <c r="C305" t="s">
        <v>6968</v>
      </c>
      <c r="D305" t="s">
        <v>7751</v>
      </c>
      <c r="E305" t="s">
        <v>7752</v>
      </c>
      <c r="F305" t="s">
        <v>7753</v>
      </c>
      <c r="G305">
        <v>3</v>
      </c>
      <c r="J305" t="s">
        <v>7091</v>
      </c>
      <c r="K305" s="6" t="s">
        <v>6986</v>
      </c>
      <c r="AB305">
        <v>1</v>
      </c>
      <c r="AC305">
        <v>2</v>
      </c>
      <c r="AO305" t="s">
        <v>7062</v>
      </c>
      <c r="AT305" t="s">
        <v>7246</v>
      </c>
      <c r="AX305" t="s">
        <v>7077</v>
      </c>
      <c r="AZ305">
        <v>1</v>
      </c>
      <c r="BD305">
        <v>4</v>
      </c>
      <c r="BO305" s="8" t="s">
        <v>7754</v>
      </c>
      <c r="BT305">
        <v>20</v>
      </c>
      <c r="BV305" s="9">
        <v>0</v>
      </c>
      <c r="BW305" s="9">
        <v>34</v>
      </c>
      <c r="BX305" s="9">
        <v>1</v>
      </c>
      <c r="BY305" s="9" t="s">
        <v>7321</v>
      </c>
      <c r="CB305" t="s">
        <v>638</v>
      </c>
      <c r="CD305" t="s">
        <v>7498</v>
      </c>
      <c r="CG305" t="s">
        <v>7057</v>
      </c>
      <c r="CN305" s="10" t="s">
        <v>6957</v>
      </c>
      <c r="CR305">
        <v>1</v>
      </c>
      <c r="CS305">
        <v>0.25</v>
      </c>
      <c r="CX305" t="s">
        <v>7755</v>
      </c>
      <c r="CY305" t="s">
        <v>7756</v>
      </c>
    </row>
    <row r="306" spans="1:96">
      <c r="A306" t="s">
        <v>7757</v>
      </c>
      <c r="C306" t="s">
        <v>6968</v>
      </c>
      <c r="K306" s="6" t="s">
        <v>6953</v>
      </c>
      <c r="L306" s="6" t="s">
        <v>7098</v>
      </c>
      <c r="AC306">
        <v>1</v>
      </c>
      <c r="AY306" s="6"/>
      <c r="BD306">
        <v>1</v>
      </c>
      <c r="BV306"/>
      <c r="BW306"/>
      <c r="BX306"/>
      <c r="BY306"/>
      <c r="BZ306"/>
      <c r="CA306"/>
      <c r="CB306" s="6"/>
      <c r="CC306" s="6"/>
      <c r="CD306" s="6"/>
      <c r="CE306" s="6"/>
      <c r="CF306" s="6"/>
      <c r="CH306" s="6"/>
      <c r="CI306" s="6"/>
      <c r="CJ306" s="6"/>
      <c r="CK306" s="6"/>
      <c r="CL306" s="6"/>
      <c r="CM306" s="6"/>
      <c r="CN306" s="10" t="s">
        <v>7757</v>
      </c>
      <c r="CO306" t="s">
        <v>7758</v>
      </c>
      <c r="CR306">
        <v>20</v>
      </c>
    </row>
    <row r="307" spans="1:108">
      <c r="A307" t="s">
        <v>7759</v>
      </c>
      <c r="C307" t="s">
        <v>6968</v>
      </c>
      <c r="K307" s="6" t="s">
        <v>6953</v>
      </c>
      <c r="L307" s="6" t="s">
        <v>7201</v>
      </c>
      <c r="AC307">
        <v>1</v>
      </c>
      <c r="AG307" t="s">
        <v>6955</v>
      </c>
      <c r="AY307" s="6"/>
      <c r="BD307">
        <v>1</v>
      </c>
      <c r="CB307" s="6"/>
      <c r="CC307" s="6"/>
      <c r="CD307" s="6"/>
      <c r="CE307" s="6"/>
      <c r="CF307" s="6"/>
      <c r="CH307" s="6"/>
      <c r="CI307" s="6"/>
      <c r="CJ307" s="6"/>
      <c r="CK307" s="6"/>
      <c r="CL307" s="6"/>
      <c r="CM307" s="6"/>
      <c r="CN307" s="10" t="s">
        <v>6957</v>
      </c>
      <c r="CR307">
        <v>5</v>
      </c>
      <c r="DD307">
        <v>1</v>
      </c>
    </row>
    <row r="309" spans="1:103">
      <c r="A309" t="s">
        <v>7760</v>
      </c>
      <c r="C309" t="s">
        <v>4994</v>
      </c>
      <c r="AC309">
        <v>2</v>
      </c>
      <c r="AO309" t="s">
        <v>7062</v>
      </c>
      <c r="AT309" t="s">
        <v>7087</v>
      </c>
      <c r="AX309" t="s">
        <v>7064</v>
      </c>
      <c r="AZ309">
        <v>1</v>
      </c>
      <c r="BD309">
        <v>1</v>
      </c>
      <c r="CB309" t="s">
        <v>140</v>
      </c>
      <c r="CG309" t="s">
        <v>7057</v>
      </c>
      <c r="CW309" t="s">
        <v>7761</v>
      </c>
      <c r="CY309" t="s">
        <v>7762</v>
      </c>
    </row>
    <row r="310" spans="1:96">
      <c r="A310" t="s">
        <v>7763</v>
      </c>
      <c r="C310" t="s">
        <v>6968</v>
      </c>
      <c r="K310" s="6" t="s">
        <v>6953</v>
      </c>
      <c r="L310" s="6" t="s">
        <v>6972</v>
      </c>
      <c r="AC310">
        <v>1</v>
      </c>
      <c r="AG310" t="s">
        <v>6955</v>
      </c>
      <c r="AH310">
        <v>1</v>
      </c>
      <c r="AY310" s="6"/>
      <c r="BD310">
        <v>1</v>
      </c>
      <c r="BO310" s="8" t="s">
        <v>7764</v>
      </c>
      <c r="BV310"/>
      <c r="BW310"/>
      <c r="BX310"/>
      <c r="BY310"/>
      <c r="BZ310"/>
      <c r="CA310"/>
      <c r="CB310" s="6"/>
      <c r="CC310" s="6"/>
      <c r="CD310" s="6"/>
      <c r="CE310" s="6"/>
      <c r="CF310" s="6"/>
      <c r="CH310" s="6"/>
      <c r="CI310" s="6"/>
      <c r="CJ310" s="6"/>
      <c r="CK310" s="6"/>
      <c r="CL310" s="6"/>
      <c r="CM310" s="6"/>
      <c r="CN310" s="10" t="s">
        <v>7765</v>
      </c>
      <c r="CR310">
        <v>99999</v>
      </c>
    </row>
    <row r="311" spans="1:96">
      <c r="A311" t="s">
        <v>7764</v>
      </c>
      <c r="C311" t="s">
        <v>6968</v>
      </c>
      <c r="K311" s="6" t="s">
        <v>6987</v>
      </c>
      <c r="AC311">
        <v>1</v>
      </c>
      <c r="AG311" t="s">
        <v>7481</v>
      </c>
      <c r="AT311" t="s">
        <v>7675</v>
      </c>
      <c r="AY311" s="6"/>
      <c r="BD311">
        <v>99</v>
      </c>
      <c r="BS311">
        <v>0.1</v>
      </c>
      <c r="BV311"/>
      <c r="BW311"/>
      <c r="BX311"/>
      <c r="BY311"/>
      <c r="BZ311"/>
      <c r="CA311"/>
      <c r="CB311" s="6"/>
      <c r="CC311" s="6"/>
      <c r="CD311" s="6"/>
      <c r="CE311" s="6"/>
      <c r="CF311" s="6"/>
      <c r="CH311" s="6"/>
      <c r="CI311" s="6"/>
      <c r="CJ311" s="6"/>
      <c r="CK311" s="6"/>
      <c r="CL311" s="6"/>
      <c r="CM311" s="6"/>
      <c r="CN311" s="10" t="s">
        <v>7766</v>
      </c>
      <c r="CR311">
        <v>0.1</v>
      </c>
    </row>
    <row r="312" spans="1:96">
      <c r="A312" t="s">
        <v>7767</v>
      </c>
      <c r="C312" t="s">
        <v>6968</v>
      </c>
      <c r="D312" t="s">
        <v>7768</v>
      </c>
      <c r="E312" t="s">
        <v>7769</v>
      </c>
      <c r="F312" t="s">
        <v>7770</v>
      </c>
      <c r="G312">
        <v>3</v>
      </c>
      <c r="J312" t="s">
        <v>6985</v>
      </c>
      <c r="K312" s="6" t="s">
        <v>6987</v>
      </c>
      <c r="W312" s="6">
        <v>1</v>
      </c>
      <c r="AC312">
        <v>1</v>
      </c>
      <c r="AG312" t="s">
        <v>6955</v>
      </c>
      <c r="BD312">
        <v>1</v>
      </c>
      <c r="BT312">
        <v>30</v>
      </c>
      <c r="BV312" s="9">
        <v>12</v>
      </c>
      <c r="BW312" s="9">
        <v>20</v>
      </c>
      <c r="BX312" s="9">
        <v>1</v>
      </c>
      <c r="BY312" s="9" t="s">
        <v>6987</v>
      </c>
      <c r="CN312" s="10" t="s">
        <v>7767</v>
      </c>
      <c r="CO312">
        <v>0.7</v>
      </c>
      <c r="CR312">
        <v>30</v>
      </c>
    </row>
    <row r="313" spans="1:101">
      <c r="A313" t="s">
        <v>7771</v>
      </c>
      <c r="C313" t="s">
        <v>7361</v>
      </c>
      <c r="D313" t="s">
        <v>7772</v>
      </c>
      <c r="E313" t="s">
        <v>7773</v>
      </c>
      <c r="F313" t="s">
        <v>7774</v>
      </c>
      <c r="G313">
        <v>3</v>
      </c>
      <c r="J313" t="s">
        <v>6985</v>
      </c>
      <c r="K313" s="6" t="s">
        <v>6986</v>
      </c>
      <c r="AB313">
        <v>1</v>
      </c>
      <c r="AC313">
        <v>2</v>
      </c>
      <c r="AO313" t="s">
        <v>7062</v>
      </c>
      <c r="AT313" t="s">
        <v>7675</v>
      </c>
      <c r="AX313" t="s">
        <v>7064</v>
      </c>
      <c r="AZ313">
        <v>4.8</v>
      </c>
      <c r="BD313">
        <v>99</v>
      </c>
      <c r="BM313">
        <v>3</v>
      </c>
      <c r="BT313">
        <v>0.2</v>
      </c>
      <c r="BV313" s="9">
        <v>0</v>
      </c>
      <c r="BW313" s="9">
        <v>17</v>
      </c>
      <c r="BX313" s="9">
        <v>1</v>
      </c>
      <c r="BY313" s="9" t="s">
        <v>7321</v>
      </c>
      <c r="CB313" t="s">
        <v>638</v>
      </c>
      <c r="CG313" t="s">
        <v>7057</v>
      </c>
      <c r="CW313" t="s">
        <v>7775</v>
      </c>
    </row>
    <row r="315" spans="1:103">
      <c r="A315" t="s">
        <v>7776</v>
      </c>
      <c r="C315" t="s">
        <v>4994</v>
      </c>
      <c r="AC315">
        <v>2</v>
      </c>
      <c r="AO315" t="s">
        <v>7062</v>
      </c>
      <c r="AT315" t="s">
        <v>7087</v>
      </c>
      <c r="AX315" t="s">
        <v>7064</v>
      </c>
      <c r="AZ315">
        <v>1</v>
      </c>
      <c r="BD315">
        <v>1</v>
      </c>
      <c r="CB315" t="s">
        <v>140</v>
      </c>
      <c r="CG315" t="s">
        <v>7057</v>
      </c>
      <c r="CY315" t="s">
        <v>7777</v>
      </c>
    </row>
    <row r="316" spans="1:96">
      <c r="A316" t="s">
        <v>7778</v>
      </c>
      <c r="C316" t="s">
        <v>6968</v>
      </c>
      <c r="D316" t="s">
        <v>7779</v>
      </c>
      <c r="E316" t="s">
        <v>7780</v>
      </c>
      <c r="F316" t="s">
        <v>7781</v>
      </c>
      <c r="G316">
        <v>3</v>
      </c>
      <c r="J316" t="s">
        <v>6985</v>
      </c>
      <c r="K316" s="6" t="s">
        <v>6986</v>
      </c>
      <c r="AC316">
        <v>1</v>
      </c>
      <c r="AG316" t="s">
        <v>6955</v>
      </c>
      <c r="BD316">
        <v>1</v>
      </c>
      <c r="BT316">
        <v>30</v>
      </c>
      <c r="BV316" s="9">
        <v>40</v>
      </c>
      <c r="BW316" s="9">
        <v>50</v>
      </c>
      <c r="BX316" s="9">
        <v>1</v>
      </c>
      <c r="BY316" s="9" t="s">
        <v>6987</v>
      </c>
      <c r="CN316" s="10" t="s">
        <v>7782</v>
      </c>
      <c r="CO316">
        <v>1</v>
      </c>
      <c r="CP316">
        <v>1.2</v>
      </c>
      <c r="CQ316">
        <v>0.1</v>
      </c>
      <c r="CR316">
        <v>30</v>
      </c>
    </row>
    <row r="317" spans="1:103">
      <c r="A317" t="s">
        <v>7783</v>
      </c>
      <c r="C317" t="s">
        <v>7102</v>
      </c>
      <c r="D317" t="s">
        <v>7784</v>
      </c>
      <c r="E317" t="s">
        <v>7785</v>
      </c>
      <c r="F317" t="s">
        <v>7786</v>
      </c>
      <c r="G317">
        <v>3</v>
      </c>
      <c r="J317" t="s">
        <v>7091</v>
      </c>
      <c r="K317" s="6" t="s">
        <v>6986</v>
      </c>
      <c r="AB317">
        <v>1</v>
      </c>
      <c r="AC317">
        <v>2</v>
      </c>
      <c r="AO317" t="s">
        <v>7062</v>
      </c>
      <c r="AT317" t="s">
        <v>7675</v>
      </c>
      <c r="AX317" t="s">
        <v>7064</v>
      </c>
      <c r="AZ317">
        <v>1</v>
      </c>
      <c r="BD317">
        <v>1</v>
      </c>
      <c r="BO317" s="8" t="s">
        <v>7787</v>
      </c>
      <c r="BP317" s="8" t="s">
        <v>7788</v>
      </c>
      <c r="BT317">
        <v>30</v>
      </c>
      <c r="BV317" s="9">
        <v>40</v>
      </c>
      <c r="BW317" s="9">
        <v>50</v>
      </c>
      <c r="BX317" s="9">
        <v>1</v>
      </c>
      <c r="BY317" s="9" t="s">
        <v>7321</v>
      </c>
      <c r="CB317" t="s">
        <v>638</v>
      </c>
      <c r="CG317" t="s">
        <v>7057</v>
      </c>
      <c r="CW317" t="s">
        <v>7789</v>
      </c>
      <c r="CY317" t="s">
        <v>7777</v>
      </c>
    </row>
    <row r="318" spans="1:96">
      <c r="A318" t="s">
        <v>7787</v>
      </c>
      <c r="C318" t="s">
        <v>6968</v>
      </c>
      <c r="K318" s="6" t="s">
        <v>6953</v>
      </c>
      <c r="L318" s="6" t="s">
        <v>7098</v>
      </c>
      <c r="AC318">
        <v>1</v>
      </c>
      <c r="AY318" s="6"/>
      <c r="BD318">
        <v>1</v>
      </c>
      <c r="BV318"/>
      <c r="BW318"/>
      <c r="BX318"/>
      <c r="BY318"/>
      <c r="BZ318"/>
      <c r="CA318"/>
      <c r="CB318" s="6"/>
      <c r="CC318" s="6"/>
      <c r="CD318" s="6"/>
      <c r="CE318" s="6"/>
      <c r="CF318" s="6"/>
      <c r="CH318" s="6"/>
      <c r="CI318" s="6"/>
      <c r="CJ318" s="6"/>
      <c r="CK318" s="6"/>
      <c r="CL318" s="6"/>
      <c r="CM318" s="6"/>
      <c r="CN318" s="10" t="s">
        <v>7790</v>
      </c>
      <c r="CO318">
        <v>-1</v>
      </c>
      <c r="CP318" t="s">
        <v>7791</v>
      </c>
      <c r="CQ318">
        <v>0.05</v>
      </c>
      <c r="CR318">
        <v>30</v>
      </c>
    </row>
    <row r="319" spans="1:91">
      <c r="A319" t="s">
        <v>7788</v>
      </c>
      <c r="C319" t="s">
        <v>6968</v>
      </c>
      <c r="K319" s="6" t="s">
        <v>6953</v>
      </c>
      <c r="AC319">
        <v>1</v>
      </c>
      <c r="AG319" t="s">
        <v>6955</v>
      </c>
      <c r="AY319" s="6">
        <v>1</v>
      </c>
      <c r="AZ319">
        <v>0.1</v>
      </c>
      <c r="BB319">
        <v>1</v>
      </c>
      <c r="BD319">
        <v>1</v>
      </c>
      <c r="BV319"/>
      <c r="BW319"/>
      <c r="BX319"/>
      <c r="BY319"/>
      <c r="BZ319"/>
      <c r="CA319"/>
      <c r="CB319" s="6"/>
      <c r="CC319" s="6"/>
      <c r="CD319" s="6"/>
      <c r="CE319" s="6"/>
      <c r="CF319" s="6"/>
      <c r="CH319" s="6"/>
      <c r="CI319" s="6"/>
      <c r="CJ319" s="6"/>
      <c r="CK319" s="6"/>
      <c r="CL319" s="6"/>
      <c r="CM319" s="6"/>
    </row>
    <row r="320" spans="51:91">
      <c r="AY320" s="6"/>
      <c r="BV320"/>
      <c r="BW320"/>
      <c r="BX320"/>
      <c r="BY320"/>
      <c r="BZ320"/>
      <c r="CA320"/>
      <c r="CB320" s="6"/>
      <c r="CC320" s="6"/>
      <c r="CD320" s="6"/>
      <c r="CE320" s="6"/>
      <c r="CF320" s="6"/>
      <c r="CH320" s="6"/>
      <c r="CI320" s="6"/>
      <c r="CJ320" s="6"/>
      <c r="CK320" s="6"/>
      <c r="CL320" s="6"/>
      <c r="CM320" s="6"/>
    </row>
    <row r="321" spans="1:103">
      <c r="A321" t="s">
        <v>684</v>
      </c>
      <c r="C321" t="s">
        <v>6968</v>
      </c>
      <c r="P321" t="s">
        <v>7792</v>
      </c>
      <c r="AC321">
        <v>2</v>
      </c>
      <c r="AD321">
        <v>1</v>
      </c>
      <c r="AO321" t="s">
        <v>7062</v>
      </c>
      <c r="AT321" t="s">
        <v>7076</v>
      </c>
      <c r="AX321" t="s">
        <v>7064</v>
      </c>
      <c r="AZ321">
        <v>1</v>
      </c>
      <c r="BD321">
        <v>1</v>
      </c>
      <c r="BO321" s="8" t="s">
        <v>7793</v>
      </c>
      <c r="CB321" t="s">
        <v>140</v>
      </c>
      <c r="CG321" t="s">
        <v>7057</v>
      </c>
      <c r="CJ321" t="s">
        <v>7794</v>
      </c>
      <c r="CX321" t="s">
        <v>7795</v>
      </c>
      <c r="CY321" t="s">
        <v>7796</v>
      </c>
    </row>
    <row r="322" spans="1:110">
      <c r="A322" t="s">
        <v>7793</v>
      </c>
      <c r="C322" t="s">
        <v>6968</v>
      </c>
      <c r="P322" t="s">
        <v>7792</v>
      </c>
      <c r="AC322">
        <v>2</v>
      </c>
      <c r="AD322">
        <v>1</v>
      </c>
      <c r="AO322" t="s">
        <v>7062</v>
      </c>
      <c r="AT322" t="s">
        <v>7063</v>
      </c>
      <c r="AX322" t="s">
        <v>7064</v>
      </c>
      <c r="AZ322">
        <v>1</v>
      </c>
      <c r="BD322">
        <v>1</v>
      </c>
      <c r="CB322" t="s">
        <v>140</v>
      </c>
      <c r="CG322" t="s">
        <v>7057</v>
      </c>
      <c r="CJ322" t="s">
        <v>7797</v>
      </c>
      <c r="CX322" t="s">
        <v>7795</v>
      </c>
      <c r="CY322" t="s">
        <v>7796</v>
      </c>
      <c r="DF322">
        <v>1</v>
      </c>
    </row>
    <row r="323" spans="1:108">
      <c r="A323" t="s">
        <v>7798</v>
      </c>
      <c r="C323" t="s">
        <v>7799</v>
      </c>
      <c r="D323" t="s">
        <v>7800</v>
      </c>
      <c r="E323" t="s">
        <v>7801</v>
      </c>
      <c r="F323" t="s">
        <v>7802</v>
      </c>
      <c r="G323">
        <v>3</v>
      </c>
      <c r="K323" s="6" t="s">
        <v>6953</v>
      </c>
      <c r="L323" s="6" t="s">
        <v>6972</v>
      </c>
      <c r="AC323">
        <v>1</v>
      </c>
      <c r="AF323">
        <v>1</v>
      </c>
      <c r="AG323" t="s">
        <v>6955</v>
      </c>
      <c r="AH323">
        <v>1</v>
      </c>
      <c r="BD323">
        <v>1</v>
      </c>
      <c r="CK323" t="s">
        <v>7798</v>
      </c>
      <c r="CU323" t="s">
        <v>7803</v>
      </c>
      <c r="DD323">
        <v>1</v>
      </c>
    </row>
    <row r="324" spans="1:103">
      <c r="A324" t="s">
        <v>7804</v>
      </c>
      <c r="C324" t="s">
        <v>6968</v>
      </c>
      <c r="D324" t="s">
        <v>7805</v>
      </c>
      <c r="E324" t="s">
        <v>7806</v>
      </c>
      <c r="F324" t="s">
        <v>7807</v>
      </c>
      <c r="G324">
        <v>3</v>
      </c>
      <c r="J324" t="s">
        <v>7091</v>
      </c>
      <c r="K324" s="6" t="s">
        <v>6986</v>
      </c>
      <c r="U324" s="6">
        <v>0.8</v>
      </c>
      <c r="AB324">
        <v>1</v>
      </c>
      <c r="AC324">
        <v>2</v>
      </c>
      <c r="AD324">
        <v>1</v>
      </c>
      <c r="AO324" t="s">
        <v>7062</v>
      </c>
      <c r="AT324" t="s">
        <v>7076</v>
      </c>
      <c r="AX324" t="s">
        <v>7064</v>
      </c>
      <c r="AZ324">
        <v>1</v>
      </c>
      <c r="BD324">
        <v>1</v>
      </c>
      <c r="BO324" s="8" t="s">
        <v>7808</v>
      </c>
      <c r="BT324">
        <v>35</v>
      </c>
      <c r="BV324" s="9">
        <v>0</v>
      </c>
      <c r="BW324" s="9">
        <v>30</v>
      </c>
      <c r="BX324" s="9">
        <v>1</v>
      </c>
      <c r="BY324" s="9" t="s">
        <v>6987</v>
      </c>
      <c r="CB324" t="s">
        <v>140</v>
      </c>
      <c r="CG324" t="s">
        <v>7057</v>
      </c>
      <c r="CJ324" t="s">
        <v>7794</v>
      </c>
      <c r="CX324" t="s">
        <v>7809</v>
      </c>
      <c r="CY324" t="s">
        <v>7796</v>
      </c>
    </row>
    <row r="325" spans="1:110">
      <c r="A325" t="s">
        <v>7810</v>
      </c>
      <c r="C325" t="s">
        <v>6968</v>
      </c>
      <c r="J325" t="s">
        <v>7091</v>
      </c>
      <c r="K325" s="6" t="s">
        <v>6987</v>
      </c>
      <c r="U325" s="6">
        <v>0.8</v>
      </c>
      <c r="AC325">
        <v>2</v>
      </c>
      <c r="AD325">
        <v>1</v>
      </c>
      <c r="AO325" t="s">
        <v>7062</v>
      </c>
      <c r="AT325" t="s">
        <v>7063</v>
      </c>
      <c r="AX325" t="s">
        <v>7064</v>
      </c>
      <c r="AZ325">
        <v>1</v>
      </c>
      <c r="BD325">
        <v>1</v>
      </c>
      <c r="CB325" t="s">
        <v>140</v>
      </c>
      <c r="CG325" t="s">
        <v>7057</v>
      </c>
      <c r="CJ325" t="s">
        <v>7797</v>
      </c>
      <c r="CX325" t="s">
        <v>7809</v>
      </c>
      <c r="CY325" t="s">
        <v>7796</v>
      </c>
      <c r="DF325">
        <v>1</v>
      </c>
    </row>
    <row r="326" spans="1:96">
      <c r="A326" t="s">
        <v>7811</v>
      </c>
      <c r="C326" t="s">
        <v>6968</v>
      </c>
      <c r="K326" s="6" t="s">
        <v>6953</v>
      </c>
      <c r="L326" s="6" t="s">
        <v>7098</v>
      </c>
      <c r="AC326">
        <v>1</v>
      </c>
      <c r="AY326" s="6"/>
      <c r="BD326">
        <v>1</v>
      </c>
      <c r="BV326"/>
      <c r="BW326"/>
      <c r="BX326"/>
      <c r="BY326"/>
      <c r="BZ326"/>
      <c r="CA326"/>
      <c r="CB326" s="6"/>
      <c r="CC326" s="6"/>
      <c r="CD326" s="6"/>
      <c r="CE326" s="6"/>
      <c r="CF326" s="6"/>
      <c r="CH326" s="6"/>
      <c r="CI326" s="6"/>
      <c r="CJ326" s="6"/>
      <c r="CM326" s="6"/>
      <c r="CN326" s="10" t="s">
        <v>7792</v>
      </c>
      <c r="CO326">
        <v>2.2</v>
      </c>
      <c r="CR326">
        <v>35</v>
      </c>
    </row>
    <row r="327" spans="51:91">
      <c r="AY327" s="6"/>
      <c r="BV327"/>
      <c r="BW327"/>
      <c r="BX327"/>
      <c r="BY327"/>
      <c r="BZ327"/>
      <c r="CA327"/>
      <c r="CB327" s="6"/>
      <c r="CC327" s="6"/>
      <c r="CD327" s="6"/>
      <c r="CE327" s="6"/>
      <c r="CF327" s="6"/>
      <c r="CH327" s="6"/>
      <c r="CI327" s="6"/>
      <c r="CJ327" s="6"/>
      <c r="CM327" s="6"/>
    </row>
    <row r="328" spans="1:103">
      <c r="A328" t="s">
        <v>691</v>
      </c>
      <c r="C328" t="s">
        <v>6968</v>
      </c>
      <c r="AC328">
        <v>2</v>
      </c>
      <c r="AD328">
        <v>1</v>
      </c>
      <c r="AO328" t="s">
        <v>7812</v>
      </c>
      <c r="AT328" t="s">
        <v>7813</v>
      </c>
      <c r="AX328" t="s">
        <v>7064</v>
      </c>
      <c r="AZ328">
        <v>1</v>
      </c>
      <c r="BD328">
        <v>1</v>
      </c>
      <c r="CB328" t="s">
        <v>140</v>
      </c>
      <c r="CG328" t="s">
        <v>7057</v>
      </c>
      <c r="CH328" t="s">
        <v>7814</v>
      </c>
      <c r="CI328" t="s">
        <v>4277</v>
      </c>
      <c r="CJ328" t="s">
        <v>7815</v>
      </c>
      <c r="CW328" t="s">
        <v>7816</v>
      </c>
      <c r="CY328" t="s">
        <v>7817</v>
      </c>
    </row>
    <row r="329" spans="1:96">
      <c r="A329" t="s">
        <v>7818</v>
      </c>
      <c r="C329" t="s">
        <v>6968</v>
      </c>
      <c r="D329" t="s">
        <v>7819</v>
      </c>
      <c r="E329" t="s">
        <v>7820</v>
      </c>
      <c r="F329" t="s">
        <v>7821</v>
      </c>
      <c r="G329">
        <v>3</v>
      </c>
      <c r="J329" t="s">
        <v>6985</v>
      </c>
      <c r="K329" s="6" t="s">
        <v>6986</v>
      </c>
      <c r="AC329">
        <v>1</v>
      </c>
      <c r="AG329" t="s">
        <v>6955</v>
      </c>
      <c r="BD329">
        <v>1</v>
      </c>
      <c r="BT329">
        <v>50</v>
      </c>
      <c r="BV329" s="9">
        <v>0</v>
      </c>
      <c r="BW329" s="9">
        <v>20</v>
      </c>
      <c r="BX329" s="9">
        <v>1</v>
      </c>
      <c r="BY329" s="9" t="s">
        <v>6987</v>
      </c>
      <c r="CN329" s="10" t="s">
        <v>7822</v>
      </c>
      <c r="CP329">
        <v>0.7</v>
      </c>
      <c r="CR329">
        <v>50</v>
      </c>
    </row>
    <row r="330" spans="1:105">
      <c r="A330" t="s">
        <v>7823</v>
      </c>
      <c r="C330" t="s">
        <v>6968</v>
      </c>
      <c r="D330" t="s">
        <v>7824</v>
      </c>
      <c r="E330" t="s">
        <v>7825</v>
      </c>
      <c r="F330" t="s">
        <v>7826</v>
      </c>
      <c r="G330">
        <v>3</v>
      </c>
      <c r="J330" t="s">
        <v>6985</v>
      </c>
      <c r="K330" s="6" t="s">
        <v>6986</v>
      </c>
      <c r="AB330">
        <v>1</v>
      </c>
      <c r="AC330">
        <v>2</v>
      </c>
      <c r="AO330" t="s">
        <v>7062</v>
      </c>
      <c r="AT330" t="s">
        <v>7813</v>
      </c>
      <c r="AU330">
        <v>1</v>
      </c>
      <c r="AX330" t="s">
        <v>7064</v>
      </c>
      <c r="AZ330">
        <v>3</v>
      </c>
      <c r="BD330">
        <v>99</v>
      </c>
      <c r="BJ330">
        <v>1.2</v>
      </c>
      <c r="BK330">
        <v>1</v>
      </c>
      <c r="BL330">
        <v>1</v>
      </c>
      <c r="BT330">
        <v>0.2</v>
      </c>
      <c r="BV330" s="9">
        <v>30</v>
      </c>
      <c r="BW330" s="9">
        <v>50</v>
      </c>
      <c r="BX330" s="9">
        <v>1</v>
      </c>
      <c r="BY330" s="9" t="s">
        <v>6987</v>
      </c>
      <c r="CB330" t="s">
        <v>638</v>
      </c>
      <c r="CG330" t="s">
        <v>7057</v>
      </c>
      <c r="CH330" t="s">
        <v>7827</v>
      </c>
      <c r="CI330" t="s">
        <v>4277</v>
      </c>
      <c r="CU330" t="s">
        <v>7828</v>
      </c>
      <c r="CY330" t="s">
        <v>7829</v>
      </c>
      <c r="DA330" t="s">
        <v>7830</v>
      </c>
    </row>
    <row r="331" spans="51:91">
      <c r="AY331" s="6"/>
      <c r="BV331"/>
      <c r="BW331"/>
      <c r="BX331"/>
      <c r="BY331"/>
      <c r="BZ331"/>
      <c r="CA331"/>
      <c r="CB331" s="6"/>
      <c r="CC331" s="6"/>
      <c r="CD331" s="6"/>
      <c r="CE331" s="6"/>
      <c r="CF331" s="6"/>
      <c r="CH331" s="6"/>
      <c r="CI331" s="6"/>
      <c r="CJ331" s="6"/>
      <c r="CK331" s="6"/>
      <c r="CL331" s="6"/>
      <c r="CM331" s="6"/>
    </row>
    <row r="332" spans="1:103">
      <c r="A332" t="s">
        <v>7831</v>
      </c>
      <c r="C332" t="s">
        <v>4994</v>
      </c>
      <c r="AC332">
        <v>2</v>
      </c>
      <c r="AD332">
        <v>1</v>
      </c>
      <c r="AO332" t="s">
        <v>7062</v>
      </c>
      <c r="AT332" t="s">
        <v>7339</v>
      </c>
      <c r="AX332" t="s">
        <v>7064</v>
      </c>
      <c r="AZ332">
        <v>1</v>
      </c>
      <c r="BD332">
        <v>1</v>
      </c>
      <c r="CB332" t="s">
        <v>140</v>
      </c>
      <c r="CG332" t="s">
        <v>7057</v>
      </c>
      <c r="CH332" t="s">
        <v>7832</v>
      </c>
      <c r="CI332" t="s">
        <v>4277</v>
      </c>
      <c r="CY332" t="s">
        <v>7833</v>
      </c>
    </row>
    <row r="333" spans="1:96">
      <c r="A333" t="s">
        <v>7834</v>
      </c>
      <c r="C333" t="s">
        <v>6968</v>
      </c>
      <c r="K333" s="6" t="s">
        <v>6953</v>
      </c>
      <c r="L333" s="6" t="s">
        <v>6972</v>
      </c>
      <c r="AC333">
        <v>1</v>
      </c>
      <c r="AG333" t="s">
        <v>6955</v>
      </c>
      <c r="AH333">
        <v>1</v>
      </c>
      <c r="AY333" s="6"/>
      <c r="BD333">
        <v>1</v>
      </c>
      <c r="BV333"/>
      <c r="BW333"/>
      <c r="BX333"/>
      <c r="BY333"/>
      <c r="BZ333"/>
      <c r="CA333"/>
      <c r="CB333" s="6"/>
      <c r="CC333" s="6"/>
      <c r="CD333" s="6"/>
      <c r="CE333" s="6"/>
      <c r="CF333" s="6"/>
      <c r="CH333" s="6"/>
      <c r="CI333" s="6"/>
      <c r="CJ333" s="6"/>
      <c r="CK333" s="6"/>
      <c r="CL333" s="6"/>
      <c r="CM333" s="6"/>
      <c r="CN333" s="10" t="s">
        <v>7834</v>
      </c>
      <c r="CO333" t="s">
        <v>7835</v>
      </c>
      <c r="CR333">
        <v>99999</v>
      </c>
    </row>
    <row r="334" spans="1:103">
      <c r="A334" t="s">
        <v>7836</v>
      </c>
      <c r="C334" t="s">
        <v>7345</v>
      </c>
      <c r="D334" t="s">
        <v>7837</v>
      </c>
      <c r="E334" t="s">
        <v>7838</v>
      </c>
      <c r="F334" t="s">
        <v>7839</v>
      </c>
      <c r="G334">
        <v>3</v>
      </c>
      <c r="J334" t="s">
        <v>6985</v>
      </c>
      <c r="K334" s="6" t="s">
        <v>6987</v>
      </c>
      <c r="AC334">
        <v>2</v>
      </c>
      <c r="AD334">
        <v>1</v>
      </c>
      <c r="AO334" t="s">
        <v>7349</v>
      </c>
      <c r="AT334" t="s">
        <v>7339</v>
      </c>
      <c r="AX334" t="s">
        <v>7077</v>
      </c>
      <c r="AZ334">
        <v>1.8</v>
      </c>
      <c r="BD334">
        <v>1</v>
      </c>
      <c r="BM334">
        <v>2</v>
      </c>
      <c r="BT334">
        <v>0.2</v>
      </c>
      <c r="BV334" s="9">
        <v>0</v>
      </c>
      <c r="BW334" s="9">
        <v>5</v>
      </c>
      <c r="BX334" s="9">
        <v>1</v>
      </c>
      <c r="BY334" s="9" t="s">
        <v>6987</v>
      </c>
      <c r="CB334" t="s">
        <v>527</v>
      </c>
      <c r="CG334" t="s">
        <v>7057</v>
      </c>
      <c r="CH334" t="s">
        <v>7840</v>
      </c>
      <c r="CI334" t="s">
        <v>4277</v>
      </c>
      <c r="CU334" t="s">
        <v>7841</v>
      </c>
      <c r="CW334" t="s">
        <v>7842</v>
      </c>
      <c r="CY334" t="s">
        <v>7843</v>
      </c>
    </row>
    <row r="335" spans="1:103">
      <c r="A335" t="s">
        <v>7844</v>
      </c>
      <c r="C335" t="s">
        <v>7345</v>
      </c>
      <c r="D335" t="s">
        <v>7845</v>
      </c>
      <c r="E335" t="s">
        <v>7846</v>
      </c>
      <c r="F335" t="s">
        <v>7847</v>
      </c>
      <c r="G335">
        <v>3</v>
      </c>
      <c r="J335" t="s">
        <v>6985</v>
      </c>
      <c r="K335" s="6" t="s">
        <v>6986</v>
      </c>
      <c r="AB335">
        <v>1</v>
      </c>
      <c r="AC335">
        <v>2</v>
      </c>
      <c r="AD335">
        <v>1</v>
      </c>
      <c r="AO335" t="s">
        <v>7349</v>
      </c>
      <c r="AT335" t="s">
        <v>7848</v>
      </c>
      <c r="AX335" t="s">
        <v>7631</v>
      </c>
      <c r="AZ335">
        <v>2</v>
      </c>
      <c r="BD335">
        <v>3</v>
      </c>
      <c r="BM335">
        <v>2</v>
      </c>
      <c r="BT335">
        <v>0.2</v>
      </c>
      <c r="BV335" s="9">
        <v>10</v>
      </c>
      <c r="BW335" s="9">
        <v>15</v>
      </c>
      <c r="BX335" s="9">
        <v>1</v>
      </c>
      <c r="BY335" s="9" t="s">
        <v>6987</v>
      </c>
      <c r="CB335" t="s">
        <v>527</v>
      </c>
      <c r="CG335" t="s">
        <v>7057</v>
      </c>
      <c r="CH335" t="s">
        <v>7849</v>
      </c>
      <c r="CI335" t="s">
        <v>4277</v>
      </c>
      <c r="CN335" s="10" t="s">
        <v>6957</v>
      </c>
      <c r="CR335">
        <v>3</v>
      </c>
      <c r="CU335" t="s">
        <v>7841</v>
      </c>
      <c r="CW335" t="s">
        <v>7842</v>
      </c>
      <c r="CY335" t="s">
        <v>7850</v>
      </c>
    </row>
    <row r="337" spans="1:103">
      <c r="A337" t="s">
        <v>7851</v>
      </c>
      <c r="C337" t="s">
        <v>6968</v>
      </c>
      <c r="K337" s="6" t="s">
        <v>6987</v>
      </c>
      <c r="AC337">
        <v>2</v>
      </c>
      <c r="AD337">
        <v>1</v>
      </c>
      <c r="AO337" t="s">
        <v>7062</v>
      </c>
      <c r="AT337" t="s">
        <v>7852</v>
      </c>
      <c r="AX337" t="s">
        <v>7077</v>
      </c>
      <c r="AZ337">
        <v>1</v>
      </c>
      <c r="BD337">
        <v>2</v>
      </c>
      <c r="CB337" t="s">
        <v>140</v>
      </c>
      <c r="CG337" t="s">
        <v>7057</v>
      </c>
      <c r="CH337" t="s">
        <v>7853</v>
      </c>
      <c r="CI337" t="s">
        <v>4277</v>
      </c>
      <c r="CY337" t="s">
        <v>7854</v>
      </c>
    </row>
    <row r="338" spans="1:96">
      <c r="A338" t="s">
        <v>7855</v>
      </c>
      <c r="C338" t="s">
        <v>6968</v>
      </c>
      <c r="K338" s="6" t="s">
        <v>6987</v>
      </c>
      <c r="U338" s="6">
        <v>0.4</v>
      </c>
      <c r="AC338">
        <v>2</v>
      </c>
      <c r="AD338">
        <v>1</v>
      </c>
      <c r="AO338" t="s">
        <v>7062</v>
      </c>
      <c r="AT338" t="s">
        <v>7852</v>
      </c>
      <c r="AX338" t="s">
        <v>7077</v>
      </c>
      <c r="AZ338">
        <v>0</v>
      </c>
      <c r="BD338">
        <v>99</v>
      </c>
      <c r="BS338">
        <v>0.1</v>
      </c>
      <c r="CN338" s="10" t="s">
        <v>7856</v>
      </c>
      <c r="CO338">
        <v>0.33</v>
      </c>
      <c r="CR338">
        <v>0.1</v>
      </c>
    </row>
    <row r="339" spans="1:107">
      <c r="A339" t="s">
        <v>7857</v>
      </c>
      <c r="C339" t="s">
        <v>6968</v>
      </c>
      <c r="D339" t="s">
        <v>7858</v>
      </c>
      <c r="E339" t="s">
        <v>7859</v>
      </c>
      <c r="F339" t="s">
        <v>7860</v>
      </c>
      <c r="G339">
        <v>3</v>
      </c>
      <c r="J339" t="s">
        <v>7091</v>
      </c>
      <c r="K339" s="6" t="s">
        <v>6986</v>
      </c>
      <c r="AB339">
        <v>1</v>
      </c>
      <c r="AC339">
        <v>2</v>
      </c>
      <c r="AD339">
        <v>1</v>
      </c>
      <c r="AO339" t="s">
        <v>7062</v>
      </c>
      <c r="AT339" t="s">
        <v>7852</v>
      </c>
      <c r="AX339" t="s">
        <v>7077</v>
      </c>
      <c r="AZ339">
        <v>1</v>
      </c>
      <c r="BD339">
        <v>2</v>
      </c>
      <c r="BO339" s="8" t="s">
        <v>7861</v>
      </c>
      <c r="BT339">
        <v>20</v>
      </c>
      <c r="BV339" s="9">
        <v>25</v>
      </c>
      <c r="BW339" s="9">
        <v>40</v>
      </c>
      <c r="BX339" s="9">
        <v>1</v>
      </c>
      <c r="BY339" s="9" t="s">
        <v>6987</v>
      </c>
      <c r="CB339" t="s">
        <v>527</v>
      </c>
      <c r="CG339" t="s">
        <v>7057</v>
      </c>
      <c r="CH339" t="s">
        <v>7853</v>
      </c>
      <c r="CI339" t="s">
        <v>4277</v>
      </c>
      <c r="CX339" t="s">
        <v>7862</v>
      </c>
      <c r="CY339" t="s">
        <v>7854</v>
      </c>
      <c r="DC339" t="s">
        <v>7863</v>
      </c>
    </row>
    <row r="340" spans="1:96">
      <c r="A340" t="s">
        <v>7861</v>
      </c>
      <c r="C340" t="s">
        <v>6968</v>
      </c>
      <c r="J340" t="s">
        <v>7091</v>
      </c>
      <c r="K340" s="6" t="s">
        <v>6987</v>
      </c>
      <c r="AC340">
        <v>2</v>
      </c>
      <c r="AD340">
        <v>1</v>
      </c>
      <c r="AO340" t="s">
        <v>7062</v>
      </c>
      <c r="AT340" t="s">
        <v>7852</v>
      </c>
      <c r="AX340" t="s">
        <v>7077</v>
      </c>
      <c r="AZ340">
        <v>0</v>
      </c>
      <c r="BD340">
        <v>99</v>
      </c>
      <c r="BS340">
        <v>0.1</v>
      </c>
      <c r="CN340" s="10" t="s">
        <v>7184</v>
      </c>
      <c r="CO340">
        <v>-60</v>
      </c>
      <c r="CR340">
        <v>0.1</v>
      </c>
    </row>
    <row r="341" spans="1:107">
      <c r="A341" t="s">
        <v>7864</v>
      </c>
      <c r="C341" t="s">
        <v>6968</v>
      </c>
      <c r="D341" t="s">
        <v>7865</v>
      </c>
      <c r="E341" t="s">
        <v>7866</v>
      </c>
      <c r="F341" t="s">
        <v>7867</v>
      </c>
      <c r="G341">
        <v>3</v>
      </c>
      <c r="J341" t="s">
        <v>7091</v>
      </c>
      <c r="K341" s="6" t="s">
        <v>6986</v>
      </c>
      <c r="AC341">
        <v>2</v>
      </c>
      <c r="AD341">
        <v>1</v>
      </c>
      <c r="AO341" t="s">
        <v>7062</v>
      </c>
      <c r="AT341" t="s">
        <v>7852</v>
      </c>
      <c r="AX341" t="s">
        <v>7077</v>
      </c>
      <c r="AZ341">
        <v>0</v>
      </c>
      <c r="BD341">
        <v>99</v>
      </c>
      <c r="BS341">
        <v>0.1</v>
      </c>
      <c r="BT341">
        <v>25</v>
      </c>
      <c r="BV341" s="9">
        <v>20</v>
      </c>
      <c r="BW341" s="9">
        <v>40</v>
      </c>
      <c r="BX341" s="9">
        <v>1</v>
      </c>
      <c r="BY341" s="9" t="s">
        <v>6987</v>
      </c>
      <c r="CN341" s="10" t="s">
        <v>7868</v>
      </c>
      <c r="CO341" s="3" t="s">
        <v>7869</v>
      </c>
      <c r="CR341">
        <v>0.1</v>
      </c>
      <c r="DC341" t="s">
        <v>7870</v>
      </c>
    </row>
    <row r="343" spans="1:103">
      <c r="A343" t="s">
        <v>7871</v>
      </c>
      <c r="C343" t="s">
        <v>6968</v>
      </c>
      <c r="K343" s="6" t="s">
        <v>6987</v>
      </c>
      <c r="AC343">
        <v>2</v>
      </c>
      <c r="AD343">
        <v>1</v>
      </c>
      <c r="AO343" t="s">
        <v>7062</v>
      </c>
      <c r="AT343" t="s">
        <v>7128</v>
      </c>
      <c r="AX343" t="s">
        <v>7077</v>
      </c>
      <c r="AZ343">
        <v>1</v>
      </c>
      <c r="BD343">
        <v>1</v>
      </c>
      <c r="CB343" t="s">
        <v>140</v>
      </c>
      <c r="CG343" t="s">
        <v>7057</v>
      </c>
      <c r="CH343" t="s">
        <v>7078</v>
      </c>
      <c r="CI343" t="s">
        <v>4277</v>
      </c>
      <c r="CN343" s="10" t="s">
        <v>7131</v>
      </c>
      <c r="CO343">
        <v>-0.8</v>
      </c>
      <c r="CR343">
        <v>0.8</v>
      </c>
      <c r="CW343" t="s">
        <v>7872</v>
      </c>
      <c r="CY343" t="s">
        <v>7873</v>
      </c>
    </row>
    <row r="344" spans="1:96">
      <c r="A344" t="s">
        <v>7874</v>
      </c>
      <c r="C344" t="s">
        <v>6968</v>
      </c>
      <c r="K344" s="6" t="s">
        <v>6953</v>
      </c>
      <c r="L344" s="6" t="s">
        <v>6972</v>
      </c>
      <c r="AB344">
        <v>1</v>
      </c>
      <c r="AC344">
        <v>1</v>
      </c>
      <c r="AG344" t="s">
        <v>6955</v>
      </c>
      <c r="AH344">
        <v>1</v>
      </c>
      <c r="AY344" s="6"/>
      <c r="BD344">
        <v>1</v>
      </c>
      <c r="BV344"/>
      <c r="BW344"/>
      <c r="BX344"/>
      <c r="BY344"/>
      <c r="BZ344"/>
      <c r="CA344"/>
      <c r="CB344" s="6"/>
      <c r="CC344" s="6"/>
      <c r="CD344" s="6"/>
      <c r="CE344" s="6"/>
      <c r="CF344" s="6"/>
      <c r="CH344" s="6"/>
      <c r="CI344" s="6"/>
      <c r="CJ344" s="6"/>
      <c r="CK344" s="6"/>
      <c r="CL344" s="6"/>
      <c r="CM344" s="6"/>
      <c r="CN344" s="10" t="s">
        <v>7874</v>
      </c>
      <c r="CO344" t="s">
        <v>7875</v>
      </c>
      <c r="CR344">
        <v>99999</v>
      </c>
    </row>
    <row r="345" spans="1:96">
      <c r="A345" t="s">
        <v>7876</v>
      </c>
      <c r="C345" t="s">
        <v>6968</v>
      </c>
      <c r="D345" t="s">
        <v>7877</v>
      </c>
      <c r="E345" t="s">
        <v>7878</v>
      </c>
      <c r="F345" t="s">
        <v>7879</v>
      </c>
      <c r="G345">
        <v>3</v>
      </c>
      <c r="J345" t="s">
        <v>6985</v>
      </c>
      <c r="K345" s="6" t="s">
        <v>6986</v>
      </c>
      <c r="AC345">
        <v>1</v>
      </c>
      <c r="AG345" t="s">
        <v>6955</v>
      </c>
      <c r="BD345">
        <v>1</v>
      </c>
      <c r="BT345">
        <v>30</v>
      </c>
      <c r="BV345" s="9">
        <v>20</v>
      </c>
      <c r="BW345" s="9">
        <v>40</v>
      </c>
      <c r="BX345" s="9">
        <v>1</v>
      </c>
      <c r="BY345" s="9" t="s">
        <v>6987</v>
      </c>
      <c r="CN345" s="10" t="s">
        <v>7876</v>
      </c>
      <c r="CO345">
        <v>-1.1</v>
      </c>
      <c r="CR345">
        <v>30</v>
      </c>
    </row>
    <row r="346" spans="1:107">
      <c r="A346" t="s">
        <v>7880</v>
      </c>
      <c r="C346" t="s">
        <v>6968</v>
      </c>
      <c r="D346" t="s">
        <v>7881</v>
      </c>
      <c r="E346" t="s">
        <v>7882</v>
      </c>
      <c r="F346" t="s">
        <v>7883</v>
      </c>
      <c r="G346">
        <v>3</v>
      </c>
      <c r="J346" t="s">
        <v>7091</v>
      </c>
      <c r="K346" s="6" t="s">
        <v>6986</v>
      </c>
      <c r="AB346">
        <v>1</v>
      </c>
      <c r="AC346">
        <v>2</v>
      </c>
      <c r="AD346">
        <v>1</v>
      </c>
      <c r="AO346" t="s">
        <v>7062</v>
      </c>
      <c r="AT346" t="s">
        <v>7884</v>
      </c>
      <c r="AX346" t="s">
        <v>7077</v>
      </c>
      <c r="AZ346">
        <v>1</v>
      </c>
      <c r="BD346">
        <v>3</v>
      </c>
      <c r="BO346" s="8" t="s">
        <v>7885</v>
      </c>
      <c r="BT346">
        <v>25</v>
      </c>
      <c r="BV346" s="9">
        <v>30</v>
      </c>
      <c r="BW346" s="9">
        <v>50</v>
      </c>
      <c r="BX346" s="9">
        <v>1</v>
      </c>
      <c r="BY346" s="9" t="s">
        <v>6987</v>
      </c>
      <c r="CB346" t="s">
        <v>527</v>
      </c>
      <c r="CG346" t="s">
        <v>7057</v>
      </c>
      <c r="CH346" t="s">
        <v>7078</v>
      </c>
      <c r="CI346" t="s">
        <v>4277</v>
      </c>
      <c r="CN346" s="10" t="s">
        <v>7131</v>
      </c>
      <c r="CO346">
        <v>-0.8</v>
      </c>
      <c r="CR346">
        <v>0.8</v>
      </c>
      <c r="CY346" t="s">
        <v>7873</v>
      </c>
      <c r="DC346" t="s">
        <v>7886</v>
      </c>
    </row>
    <row r="347" spans="1:96">
      <c r="A347" t="s">
        <v>7885</v>
      </c>
      <c r="C347" t="s">
        <v>6968</v>
      </c>
      <c r="K347" s="6" t="s">
        <v>6953</v>
      </c>
      <c r="L347" s="6" t="s">
        <v>7098</v>
      </c>
      <c r="AC347">
        <v>1</v>
      </c>
      <c r="AY347" s="6"/>
      <c r="BD347">
        <v>1</v>
      </c>
      <c r="BV347"/>
      <c r="BW347"/>
      <c r="BX347"/>
      <c r="BY347"/>
      <c r="BZ347"/>
      <c r="CA347"/>
      <c r="CB347" s="6"/>
      <c r="CC347" s="6"/>
      <c r="CD347" s="6"/>
      <c r="CE347" s="6"/>
      <c r="CF347" s="6"/>
      <c r="CH347" s="6"/>
      <c r="CI347" s="6"/>
      <c r="CJ347" s="6"/>
      <c r="CK347" s="6"/>
      <c r="CL347" s="6"/>
      <c r="CM347" s="6"/>
      <c r="CN347" s="10" t="s">
        <v>6988</v>
      </c>
      <c r="CO347">
        <v>0.75</v>
      </c>
      <c r="CR347">
        <v>25</v>
      </c>
    </row>
    <row r="349" spans="1:107">
      <c r="A349" t="s">
        <v>7887</v>
      </c>
      <c r="C349" t="s">
        <v>6968</v>
      </c>
      <c r="J349" t="s">
        <v>7091</v>
      </c>
      <c r="K349" s="6" t="s">
        <v>6987</v>
      </c>
      <c r="W349" s="6">
        <v>1</v>
      </c>
      <c r="X349" s="6">
        <v>1</v>
      </c>
      <c r="AC349">
        <v>1</v>
      </c>
      <c r="AD349">
        <v>1</v>
      </c>
      <c r="AT349" t="s">
        <v>7888</v>
      </c>
      <c r="AY349">
        <v>1</v>
      </c>
      <c r="AZ349">
        <v>0.1</v>
      </c>
      <c r="BA349">
        <v>1</v>
      </c>
      <c r="BD349">
        <v>99</v>
      </c>
      <c r="BT349">
        <v>9999</v>
      </c>
      <c r="BV349" s="9">
        <v>1</v>
      </c>
      <c r="BW349" s="9">
        <v>1</v>
      </c>
      <c r="BX349" s="9">
        <v>1</v>
      </c>
      <c r="BY349" s="9" t="s">
        <v>6987</v>
      </c>
      <c r="DC349" t="s">
        <v>7889</v>
      </c>
    </row>
    <row r="350" spans="1:99">
      <c r="A350" t="s">
        <v>7890</v>
      </c>
      <c r="C350" t="s">
        <v>7891</v>
      </c>
      <c r="K350" s="6" t="s">
        <v>6953</v>
      </c>
      <c r="L350" s="6" t="s">
        <v>7201</v>
      </c>
      <c r="AA350">
        <v>0.5</v>
      </c>
      <c r="AC350">
        <v>1</v>
      </c>
      <c r="BD350">
        <v>1</v>
      </c>
      <c r="CU350" t="s">
        <v>7892</v>
      </c>
    </row>
    <row r="351" spans="1:77">
      <c r="A351" t="s">
        <v>7893</v>
      </c>
      <c r="C351" t="s">
        <v>6968</v>
      </c>
      <c r="D351" t="s">
        <v>7894</v>
      </c>
      <c r="E351" t="s">
        <v>7895</v>
      </c>
      <c r="F351" t="s">
        <v>7896</v>
      </c>
      <c r="G351">
        <v>3</v>
      </c>
      <c r="J351" t="s">
        <v>7091</v>
      </c>
      <c r="K351" s="6" t="s">
        <v>6986</v>
      </c>
      <c r="AC351">
        <v>1</v>
      </c>
      <c r="AD351">
        <v>1</v>
      </c>
      <c r="AT351" t="s">
        <v>7884</v>
      </c>
      <c r="AY351">
        <v>1</v>
      </c>
      <c r="AZ351">
        <v>1</v>
      </c>
      <c r="BA351">
        <v>1</v>
      </c>
      <c r="BD351">
        <v>99</v>
      </c>
      <c r="BO351" s="8" t="s">
        <v>7897</v>
      </c>
      <c r="BT351">
        <v>7</v>
      </c>
      <c r="BV351" s="9">
        <v>45</v>
      </c>
      <c r="BW351" s="9">
        <v>60</v>
      </c>
      <c r="BX351" s="9">
        <v>1</v>
      </c>
      <c r="BY351" s="9" t="s">
        <v>6987</v>
      </c>
    </row>
    <row r="352" spans="1:111">
      <c r="A352" t="s">
        <v>7897</v>
      </c>
      <c r="C352" t="s">
        <v>6968</v>
      </c>
      <c r="J352" t="s">
        <v>7091</v>
      </c>
      <c r="K352" s="6" t="s">
        <v>6987</v>
      </c>
      <c r="AC352">
        <v>2</v>
      </c>
      <c r="AD352">
        <v>1</v>
      </c>
      <c r="AT352" t="s">
        <v>7884</v>
      </c>
      <c r="AZ352">
        <v>0</v>
      </c>
      <c r="BD352">
        <v>99</v>
      </c>
      <c r="BS352">
        <v>0.05</v>
      </c>
      <c r="CN352" s="10" t="s">
        <v>7898</v>
      </c>
      <c r="CR352">
        <v>0.1</v>
      </c>
      <c r="DG352">
        <v>1</v>
      </c>
    </row>
    <row r="353" spans="1:96">
      <c r="A353" t="s">
        <v>7899</v>
      </c>
      <c r="C353" t="s">
        <v>6968</v>
      </c>
      <c r="D353" t="s">
        <v>7900</v>
      </c>
      <c r="E353" t="s">
        <v>7901</v>
      </c>
      <c r="F353" t="s">
        <v>7902</v>
      </c>
      <c r="G353">
        <v>3</v>
      </c>
      <c r="J353" t="s">
        <v>7091</v>
      </c>
      <c r="K353" s="6" t="s">
        <v>6986</v>
      </c>
      <c r="AC353">
        <v>1</v>
      </c>
      <c r="AD353">
        <v>1</v>
      </c>
      <c r="AG353" t="s">
        <v>7481</v>
      </c>
      <c r="AT353" t="s">
        <v>7888</v>
      </c>
      <c r="AZ353">
        <v>0</v>
      </c>
      <c r="BD353">
        <v>99</v>
      </c>
      <c r="BT353">
        <v>30</v>
      </c>
      <c r="BV353" s="9">
        <v>25</v>
      </c>
      <c r="BW353" s="9">
        <v>45</v>
      </c>
      <c r="BX353" s="9">
        <v>1</v>
      </c>
      <c r="BY353" s="9" t="s">
        <v>6987</v>
      </c>
      <c r="CN353" s="10" t="s">
        <v>7903</v>
      </c>
      <c r="CO353">
        <v>1</v>
      </c>
      <c r="CR353">
        <v>0.1</v>
      </c>
    </row>
    <row r="355" spans="1:103">
      <c r="A355" t="s">
        <v>7904</v>
      </c>
      <c r="C355" t="s">
        <v>6968</v>
      </c>
      <c r="K355" s="6" t="s">
        <v>6987</v>
      </c>
      <c r="AC355">
        <v>2</v>
      </c>
      <c r="AO355" t="s">
        <v>7062</v>
      </c>
      <c r="AT355" t="s">
        <v>7905</v>
      </c>
      <c r="AX355" t="s">
        <v>7064</v>
      </c>
      <c r="AZ355">
        <v>1</v>
      </c>
      <c r="BD355">
        <v>99</v>
      </c>
      <c r="BP355" s="8" t="s">
        <v>7906</v>
      </c>
      <c r="CB355" t="s">
        <v>140</v>
      </c>
      <c r="CG355" t="s">
        <v>7057</v>
      </c>
      <c r="CX355" t="s">
        <v>7907</v>
      </c>
      <c r="CY355" t="s">
        <v>7908</v>
      </c>
    </row>
    <row r="356" spans="1:96">
      <c r="A356" t="s">
        <v>7909</v>
      </c>
      <c r="C356" t="s">
        <v>6968</v>
      </c>
      <c r="K356" s="6" t="s">
        <v>6953</v>
      </c>
      <c r="L356" s="6" t="s">
        <v>6972</v>
      </c>
      <c r="AC356">
        <v>1</v>
      </c>
      <c r="AG356" t="s">
        <v>6955</v>
      </c>
      <c r="AH356">
        <v>1</v>
      </c>
      <c r="AY356" s="6"/>
      <c r="BD356">
        <v>1</v>
      </c>
      <c r="BV356"/>
      <c r="BW356"/>
      <c r="BX356"/>
      <c r="BY356"/>
      <c r="BZ356"/>
      <c r="CA356"/>
      <c r="CB356" s="6"/>
      <c r="CC356" s="6"/>
      <c r="CD356" s="6"/>
      <c r="CE356" s="6"/>
      <c r="CF356" s="6"/>
      <c r="CH356" s="6"/>
      <c r="CI356" s="6"/>
      <c r="CJ356" s="6"/>
      <c r="CK356" s="6"/>
      <c r="CL356" s="6"/>
      <c r="CM356" s="6"/>
      <c r="CN356" s="10" t="s">
        <v>7910</v>
      </c>
      <c r="CR356">
        <v>99999</v>
      </c>
    </row>
    <row r="357" spans="1:96">
      <c r="A357" t="s">
        <v>7906</v>
      </c>
      <c r="C357" t="s">
        <v>6968</v>
      </c>
      <c r="K357" s="6" t="s">
        <v>6953</v>
      </c>
      <c r="AC357">
        <v>1</v>
      </c>
      <c r="BD357">
        <v>1</v>
      </c>
      <c r="CM357" t="s">
        <v>7911</v>
      </c>
      <c r="CN357" s="10" t="s">
        <v>7912</v>
      </c>
      <c r="CR357">
        <v>5</v>
      </c>
    </row>
    <row r="358" spans="1:96">
      <c r="A358" t="s">
        <v>7913</v>
      </c>
      <c r="C358" t="s">
        <v>6968</v>
      </c>
      <c r="K358" s="6" t="s">
        <v>6987</v>
      </c>
      <c r="P358" t="s">
        <v>7912</v>
      </c>
      <c r="AC358">
        <v>1</v>
      </c>
      <c r="BD358">
        <v>1</v>
      </c>
      <c r="CN358" s="10" t="s">
        <v>7911</v>
      </c>
      <c r="CP358">
        <v>0.54</v>
      </c>
      <c r="CR358">
        <v>9999</v>
      </c>
    </row>
    <row r="359" spans="1:103">
      <c r="A359" t="s">
        <v>7914</v>
      </c>
      <c r="C359" t="s">
        <v>6968</v>
      </c>
      <c r="D359" t="s">
        <v>7915</v>
      </c>
      <c r="E359" t="s">
        <v>7916</v>
      </c>
      <c r="F359" t="s">
        <v>7917</v>
      </c>
      <c r="G359">
        <v>3</v>
      </c>
      <c r="K359" s="6" t="s">
        <v>6987</v>
      </c>
      <c r="AC359">
        <v>2</v>
      </c>
      <c r="AO359" t="s">
        <v>7062</v>
      </c>
      <c r="AT359" t="s">
        <v>7905</v>
      </c>
      <c r="AX359" t="s">
        <v>7064</v>
      </c>
      <c r="AZ359">
        <v>1</v>
      </c>
      <c r="BD359">
        <v>99</v>
      </c>
      <c r="BP359" s="8" t="s">
        <v>7906</v>
      </c>
      <c r="CB359" t="s">
        <v>140</v>
      </c>
      <c r="CG359" t="s">
        <v>7057</v>
      </c>
      <c r="CN359" s="10" t="s">
        <v>7131</v>
      </c>
      <c r="CO359">
        <v>-0.5</v>
      </c>
      <c r="CR359">
        <v>5</v>
      </c>
      <c r="CX359" t="s">
        <v>7918</v>
      </c>
      <c r="CY359" t="s">
        <v>7919</v>
      </c>
    </row>
    <row r="360" spans="1:103">
      <c r="A360" t="s">
        <v>7920</v>
      </c>
      <c r="C360" t="s">
        <v>6968</v>
      </c>
      <c r="D360" t="s">
        <v>7921</v>
      </c>
      <c r="E360" t="s">
        <v>7922</v>
      </c>
      <c r="F360" t="s">
        <v>7923</v>
      </c>
      <c r="G360">
        <v>3</v>
      </c>
      <c r="J360" t="s">
        <v>7091</v>
      </c>
      <c r="K360" s="6" t="s">
        <v>6986</v>
      </c>
      <c r="AB360">
        <v>1</v>
      </c>
      <c r="AC360">
        <v>2</v>
      </c>
      <c r="AO360" t="s">
        <v>7062</v>
      </c>
      <c r="AT360" t="s">
        <v>7905</v>
      </c>
      <c r="AX360" t="s">
        <v>7064</v>
      </c>
      <c r="AZ360">
        <v>1</v>
      </c>
      <c r="BD360">
        <v>99</v>
      </c>
      <c r="BO360" s="8" t="s">
        <v>7924</v>
      </c>
      <c r="BP360" s="8" t="s">
        <v>7906</v>
      </c>
      <c r="BT360">
        <v>40</v>
      </c>
      <c r="BV360" s="9">
        <v>10</v>
      </c>
      <c r="BW360" s="9">
        <v>20</v>
      </c>
      <c r="BX360" s="9">
        <v>1</v>
      </c>
      <c r="BY360" s="9" t="s">
        <v>6987</v>
      </c>
      <c r="CB360" t="s">
        <v>638</v>
      </c>
      <c r="CG360" t="s">
        <v>7057</v>
      </c>
      <c r="CN360" s="10" t="s">
        <v>6957</v>
      </c>
      <c r="CR360">
        <v>1</v>
      </c>
      <c r="CW360" t="s">
        <v>7925</v>
      </c>
      <c r="CX360" t="s">
        <v>7926</v>
      </c>
      <c r="CY360" t="s">
        <v>7927</v>
      </c>
    </row>
    <row r="361" spans="1:96">
      <c r="A361" t="s">
        <v>7924</v>
      </c>
      <c r="C361" t="s">
        <v>6968</v>
      </c>
      <c r="K361" s="6" t="s">
        <v>6953</v>
      </c>
      <c r="L361" s="6" t="s">
        <v>7098</v>
      </c>
      <c r="AC361">
        <v>1</v>
      </c>
      <c r="AY361" s="6"/>
      <c r="BD361">
        <v>1</v>
      </c>
      <c r="BV361"/>
      <c r="BW361"/>
      <c r="BX361"/>
      <c r="BY361"/>
      <c r="BZ361"/>
      <c r="CA361"/>
      <c r="CB361" s="6"/>
      <c r="CC361" s="6"/>
      <c r="CD361" s="6"/>
      <c r="CE361" s="6"/>
      <c r="CF361" s="6"/>
      <c r="CH361" s="6"/>
      <c r="CI361" s="6"/>
      <c r="CJ361" s="6"/>
      <c r="CK361" s="6"/>
      <c r="CL361" s="6"/>
      <c r="CM361" s="6"/>
      <c r="CN361" s="10" t="s">
        <v>7924</v>
      </c>
      <c r="CO361" t="s">
        <v>7928</v>
      </c>
      <c r="CR361">
        <v>40</v>
      </c>
    </row>
    <row r="363" spans="1:103">
      <c r="A363" t="s">
        <v>7929</v>
      </c>
      <c r="C363" t="s">
        <v>7102</v>
      </c>
      <c r="AC363">
        <v>2</v>
      </c>
      <c r="AO363" t="s">
        <v>7062</v>
      </c>
      <c r="AT363" t="s">
        <v>7063</v>
      </c>
      <c r="AX363" t="s">
        <v>7064</v>
      </c>
      <c r="AZ363">
        <v>1</v>
      </c>
      <c r="BD363">
        <v>1</v>
      </c>
      <c r="CB363" t="s">
        <v>140</v>
      </c>
      <c r="CD363" t="s">
        <v>7247</v>
      </c>
      <c r="CG363" t="s">
        <v>7057</v>
      </c>
      <c r="CY363" t="s">
        <v>7930</v>
      </c>
    </row>
    <row r="364" spans="1:96">
      <c r="A364" t="s">
        <v>7931</v>
      </c>
      <c r="C364" t="s">
        <v>6968</v>
      </c>
      <c r="K364" s="6" t="s">
        <v>6953</v>
      </c>
      <c r="L364" s="6" t="s">
        <v>6972</v>
      </c>
      <c r="AC364">
        <v>1</v>
      </c>
      <c r="AG364" t="s">
        <v>6955</v>
      </c>
      <c r="AH364">
        <v>1</v>
      </c>
      <c r="AY364" s="6"/>
      <c r="BD364">
        <v>1</v>
      </c>
      <c r="BV364"/>
      <c r="BW364"/>
      <c r="BX364"/>
      <c r="BY364"/>
      <c r="BZ364"/>
      <c r="CA364"/>
      <c r="CB364" s="6"/>
      <c r="CC364" s="6"/>
      <c r="CD364" s="6"/>
      <c r="CE364" s="6"/>
      <c r="CF364" s="6"/>
      <c r="CH364" s="6"/>
      <c r="CI364" s="6"/>
      <c r="CJ364" s="6"/>
      <c r="CK364" s="6"/>
      <c r="CL364" s="6"/>
      <c r="CM364" s="6"/>
      <c r="CN364" s="10" t="s">
        <v>7170</v>
      </c>
      <c r="CO364">
        <v>15</v>
      </c>
      <c r="CR364">
        <v>99999</v>
      </c>
    </row>
    <row r="365" spans="1:103">
      <c r="A365" t="s">
        <v>7932</v>
      </c>
      <c r="C365" t="s">
        <v>7361</v>
      </c>
      <c r="D365" t="s">
        <v>7933</v>
      </c>
      <c r="E365" t="s">
        <v>7934</v>
      </c>
      <c r="F365" t="s">
        <v>7935</v>
      </c>
      <c r="G365">
        <v>3</v>
      </c>
      <c r="J365" t="s">
        <v>6985</v>
      </c>
      <c r="K365" s="6" t="s">
        <v>6987</v>
      </c>
      <c r="AC365">
        <v>2</v>
      </c>
      <c r="AO365" t="s">
        <v>7062</v>
      </c>
      <c r="AT365" t="s">
        <v>7063</v>
      </c>
      <c r="AX365" t="s">
        <v>7064</v>
      </c>
      <c r="AZ365">
        <v>1</v>
      </c>
      <c r="BD365">
        <v>2</v>
      </c>
      <c r="BM365">
        <v>2</v>
      </c>
      <c r="BT365">
        <v>0.2</v>
      </c>
      <c r="BV365" s="9">
        <v>0</v>
      </c>
      <c r="BW365" s="9">
        <v>5</v>
      </c>
      <c r="BX365" s="9">
        <v>1</v>
      </c>
      <c r="BY365" s="9" t="s">
        <v>6987</v>
      </c>
      <c r="CB365" t="s">
        <v>140</v>
      </c>
      <c r="CD365" t="s">
        <v>7247</v>
      </c>
      <c r="CG365" t="s">
        <v>7057</v>
      </c>
      <c r="CN365" s="10" t="s">
        <v>7131</v>
      </c>
      <c r="CO365">
        <v>-0.3</v>
      </c>
      <c r="CR365">
        <v>5</v>
      </c>
      <c r="CY365" t="s">
        <v>7936</v>
      </c>
    </row>
    <row r="366" spans="1:103">
      <c r="A366" t="s">
        <v>7937</v>
      </c>
      <c r="C366" t="s">
        <v>7361</v>
      </c>
      <c r="D366" t="s">
        <v>7938</v>
      </c>
      <c r="E366" t="s">
        <v>7939</v>
      </c>
      <c r="F366" t="s">
        <v>7940</v>
      </c>
      <c r="G366">
        <v>3</v>
      </c>
      <c r="J366" t="s">
        <v>6985</v>
      </c>
      <c r="K366" s="6" t="s">
        <v>6986</v>
      </c>
      <c r="AB366">
        <v>1</v>
      </c>
      <c r="AC366">
        <v>2</v>
      </c>
      <c r="AO366" t="s">
        <v>7062</v>
      </c>
      <c r="AT366" t="s">
        <v>7356</v>
      </c>
      <c r="AX366" t="s">
        <v>7064</v>
      </c>
      <c r="AZ366">
        <v>2.5</v>
      </c>
      <c r="BD366">
        <v>1</v>
      </c>
      <c r="BJ366">
        <v>0.9</v>
      </c>
      <c r="BK366">
        <v>1</v>
      </c>
      <c r="BL366">
        <v>1</v>
      </c>
      <c r="BM366">
        <v>3</v>
      </c>
      <c r="BT366">
        <v>0.2</v>
      </c>
      <c r="BV366" s="9">
        <v>0</v>
      </c>
      <c r="BW366" s="9">
        <v>15</v>
      </c>
      <c r="BX366" s="9">
        <v>1</v>
      </c>
      <c r="BY366" s="9" t="s">
        <v>6987</v>
      </c>
      <c r="CB366" t="s">
        <v>7941</v>
      </c>
      <c r="CC366">
        <v>0</v>
      </c>
      <c r="CG366" t="s">
        <v>7057</v>
      </c>
      <c r="CN366" s="10" t="s">
        <v>7131</v>
      </c>
      <c r="CO366">
        <v>-0.3</v>
      </c>
      <c r="CR366">
        <v>5</v>
      </c>
      <c r="CX366" t="s">
        <v>7942</v>
      </c>
      <c r="CY366" t="s">
        <v>7943</v>
      </c>
    </row>
    <row r="372" spans="1:102">
      <c r="A372" t="s">
        <v>7944</v>
      </c>
      <c r="C372" t="s">
        <v>4994</v>
      </c>
      <c r="K372" s="6" t="s">
        <v>6987</v>
      </c>
      <c r="AC372">
        <v>2</v>
      </c>
      <c r="AO372" t="s">
        <v>7062</v>
      </c>
      <c r="AX372" t="s">
        <v>7064</v>
      </c>
      <c r="AZ372">
        <v>1</v>
      </c>
      <c r="BD372">
        <v>1</v>
      </c>
      <c r="CB372" t="s">
        <v>4335</v>
      </c>
      <c r="CD372" t="s">
        <v>7288</v>
      </c>
      <c r="CG372" t="s">
        <v>7057</v>
      </c>
      <c r="CX372" t="s">
        <v>7945</v>
      </c>
    </row>
    <row r="373" spans="1:103">
      <c r="A373" t="s">
        <v>7946</v>
      </c>
      <c r="C373" t="s">
        <v>6968</v>
      </c>
      <c r="K373" s="6" t="s">
        <v>6987</v>
      </c>
      <c r="P373" t="s">
        <v>7947</v>
      </c>
      <c r="Q373"/>
      <c r="R373"/>
      <c r="S373"/>
      <c r="T373"/>
      <c r="Z373">
        <v>1</v>
      </c>
      <c r="AC373">
        <v>2</v>
      </c>
      <c r="AD373">
        <v>1</v>
      </c>
      <c r="AO373" t="s">
        <v>7062</v>
      </c>
      <c r="AT373" t="s">
        <v>7108</v>
      </c>
      <c r="AX373" t="s">
        <v>7064</v>
      </c>
      <c r="AZ373">
        <v>0.8</v>
      </c>
      <c r="BD373">
        <v>1</v>
      </c>
      <c r="CB373" t="s">
        <v>140</v>
      </c>
      <c r="CG373" t="s">
        <v>7057</v>
      </c>
      <c r="CH373" t="s">
        <v>7948</v>
      </c>
      <c r="CI373" t="s">
        <v>4277</v>
      </c>
      <c r="CY373" t="s">
        <v>7949</v>
      </c>
    </row>
    <row r="374" spans="1:103">
      <c r="A374" t="s">
        <v>7950</v>
      </c>
      <c r="C374" t="s">
        <v>6968</v>
      </c>
      <c r="D374" t="s">
        <v>7951</v>
      </c>
      <c r="E374" t="s">
        <v>7952</v>
      </c>
      <c r="F374" t="s">
        <v>7953</v>
      </c>
      <c r="G374">
        <v>3</v>
      </c>
      <c r="J374" t="s">
        <v>6985</v>
      </c>
      <c r="K374" s="6" t="s">
        <v>6987</v>
      </c>
      <c r="AC374">
        <v>2</v>
      </c>
      <c r="AO374" t="s">
        <v>7062</v>
      </c>
      <c r="AT374" t="s">
        <v>7108</v>
      </c>
      <c r="AX374" t="s">
        <v>7064</v>
      </c>
      <c r="AZ374">
        <v>2.9</v>
      </c>
      <c r="BD374">
        <v>1</v>
      </c>
      <c r="BT374">
        <v>0.3</v>
      </c>
      <c r="BV374" s="9">
        <v>0</v>
      </c>
      <c r="BW374" s="9">
        <v>2</v>
      </c>
      <c r="BX374" s="9">
        <v>1</v>
      </c>
      <c r="BY374" s="9" t="s">
        <v>7142</v>
      </c>
      <c r="CB374" t="s">
        <v>140</v>
      </c>
      <c r="CG374" t="s">
        <v>7057</v>
      </c>
      <c r="CH374" t="s">
        <v>7948</v>
      </c>
      <c r="CI374" t="s">
        <v>4277</v>
      </c>
      <c r="CY374" t="s">
        <v>7954</v>
      </c>
    </row>
    <row r="375" spans="1:103">
      <c r="A375" t="s">
        <v>7955</v>
      </c>
      <c r="C375" t="s">
        <v>6968</v>
      </c>
      <c r="D375" t="s">
        <v>7951</v>
      </c>
      <c r="E375" t="s">
        <v>7952</v>
      </c>
      <c r="F375" t="s">
        <v>7953</v>
      </c>
      <c r="G375">
        <v>3</v>
      </c>
      <c r="J375" t="s">
        <v>6985</v>
      </c>
      <c r="K375" s="6" t="s">
        <v>6987</v>
      </c>
      <c r="AC375">
        <v>2</v>
      </c>
      <c r="AO375" t="s">
        <v>7062</v>
      </c>
      <c r="AT375" t="s">
        <v>7108</v>
      </c>
      <c r="AX375" t="s">
        <v>7064</v>
      </c>
      <c r="AZ375">
        <v>2.25</v>
      </c>
      <c r="BD375">
        <v>1</v>
      </c>
      <c r="BT375">
        <v>0.3</v>
      </c>
      <c r="BV375" s="9">
        <v>0</v>
      </c>
      <c r="BW375" s="9">
        <v>3</v>
      </c>
      <c r="BX375" s="9">
        <v>1</v>
      </c>
      <c r="BY375" s="9" t="s">
        <v>7142</v>
      </c>
      <c r="CB375" t="s">
        <v>140</v>
      </c>
      <c r="CG375" t="s">
        <v>7057</v>
      </c>
      <c r="CH375" t="s">
        <v>7948</v>
      </c>
      <c r="CI375" t="s">
        <v>4277</v>
      </c>
      <c r="CY375" t="s">
        <v>7954</v>
      </c>
    </row>
    <row r="376" spans="1:96">
      <c r="A376" t="s">
        <v>7956</v>
      </c>
      <c r="C376" t="s">
        <v>6968</v>
      </c>
      <c r="D376" t="s">
        <v>7957</v>
      </c>
      <c r="E376" t="s">
        <v>7958</v>
      </c>
      <c r="F376" t="s">
        <v>7959</v>
      </c>
      <c r="G376">
        <v>3</v>
      </c>
      <c r="J376" t="s">
        <v>6985</v>
      </c>
      <c r="K376" s="6" t="s">
        <v>6986</v>
      </c>
      <c r="AB376">
        <v>1</v>
      </c>
      <c r="AC376">
        <v>1</v>
      </c>
      <c r="BD376">
        <v>1</v>
      </c>
      <c r="BP376" s="8" t="s">
        <v>7960</v>
      </c>
      <c r="BS376">
        <v>0</v>
      </c>
      <c r="BT376">
        <v>0.2</v>
      </c>
      <c r="BV376" s="9">
        <v>0</v>
      </c>
      <c r="BW376" s="9">
        <v>5</v>
      </c>
      <c r="BX376" s="9">
        <v>1</v>
      </c>
      <c r="BY376" s="9" t="s">
        <v>6987</v>
      </c>
      <c r="CN376" s="10" t="s">
        <v>7947</v>
      </c>
      <c r="CO376" t="s">
        <v>7961</v>
      </c>
      <c r="CR376">
        <v>99999</v>
      </c>
    </row>
    <row r="377" spans="1:96">
      <c r="A377" t="s">
        <v>7962</v>
      </c>
      <c r="C377" t="s">
        <v>6968</v>
      </c>
      <c r="D377" t="s">
        <v>7957</v>
      </c>
      <c r="E377" t="s">
        <v>7958</v>
      </c>
      <c r="F377" t="s">
        <v>7959</v>
      </c>
      <c r="G377">
        <v>3</v>
      </c>
      <c r="J377" t="s">
        <v>6985</v>
      </c>
      <c r="K377" s="6" t="s">
        <v>6986</v>
      </c>
      <c r="AB377">
        <v>1</v>
      </c>
      <c r="AC377">
        <v>1</v>
      </c>
      <c r="BD377">
        <v>1</v>
      </c>
      <c r="BP377" s="8" t="s">
        <v>7960</v>
      </c>
      <c r="BS377">
        <v>0</v>
      </c>
      <c r="BT377">
        <v>0.2</v>
      </c>
      <c r="BV377" s="9">
        <v>0</v>
      </c>
      <c r="BW377" s="9">
        <v>5</v>
      </c>
      <c r="BX377" s="9">
        <v>1</v>
      </c>
      <c r="BY377" s="9" t="s">
        <v>6987</v>
      </c>
      <c r="CN377" s="10" t="s">
        <v>7947</v>
      </c>
      <c r="CO377" t="s">
        <v>7963</v>
      </c>
      <c r="CR377">
        <v>99999</v>
      </c>
    </row>
    <row r="378" spans="1:103">
      <c r="A378" t="s">
        <v>7960</v>
      </c>
      <c r="C378" t="s">
        <v>6968</v>
      </c>
      <c r="K378" s="6" t="s">
        <v>6987</v>
      </c>
      <c r="O378" t="s">
        <v>7947</v>
      </c>
      <c r="P378"/>
      <c r="Q378"/>
      <c r="R378"/>
      <c r="S378"/>
      <c r="T378"/>
      <c r="Z378">
        <v>1</v>
      </c>
      <c r="AC378">
        <v>2</v>
      </c>
      <c r="AD378">
        <v>1</v>
      </c>
      <c r="AO378" t="s">
        <v>7062</v>
      </c>
      <c r="AT378" t="s">
        <v>7964</v>
      </c>
      <c r="AX378" t="s">
        <v>7064</v>
      </c>
      <c r="AZ378">
        <v>0.8</v>
      </c>
      <c r="BD378">
        <v>1</v>
      </c>
      <c r="CB378" t="s">
        <v>140</v>
      </c>
      <c r="CG378" t="s">
        <v>7057</v>
      </c>
      <c r="CH378" t="s">
        <v>7948</v>
      </c>
      <c r="CI378" t="s">
        <v>4277</v>
      </c>
      <c r="CY378" t="s">
        <v>7949</v>
      </c>
    </row>
    <row r="379" spans="1:103">
      <c r="A379" t="s">
        <v>7965</v>
      </c>
      <c r="C379" t="s">
        <v>4994</v>
      </c>
      <c r="D379" t="s">
        <v>7965</v>
      </c>
      <c r="E379" t="s">
        <v>7966</v>
      </c>
      <c r="F379" t="s">
        <v>7967</v>
      </c>
      <c r="G379">
        <v>3</v>
      </c>
      <c r="J379" t="s">
        <v>7091</v>
      </c>
      <c r="K379" s="6" t="s">
        <v>6986</v>
      </c>
      <c r="AB379">
        <v>1</v>
      </c>
      <c r="AC379">
        <v>2</v>
      </c>
      <c r="AD379">
        <v>1</v>
      </c>
      <c r="AO379" t="s">
        <v>7062</v>
      </c>
      <c r="AT379" t="s">
        <v>7968</v>
      </c>
      <c r="AX379" t="s">
        <v>7064</v>
      </c>
      <c r="AZ379">
        <v>1</v>
      </c>
      <c r="BD379">
        <v>6</v>
      </c>
      <c r="BO379" s="8" t="s">
        <v>7969</v>
      </c>
      <c r="BT379">
        <v>30</v>
      </c>
      <c r="BV379" s="9">
        <v>75</v>
      </c>
      <c r="BW379" s="9">
        <v>90</v>
      </c>
      <c r="BX379" s="9">
        <v>1</v>
      </c>
      <c r="BY379" s="9" t="s">
        <v>6987</v>
      </c>
      <c r="CB379" t="s">
        <v>638</v>
      </c>
      <c r="CG379" t="s">
        <v>7057</v>
      </c>
      <c r="CW379" t="s">
        <v>7970</v>
      </c>
      <c r="CY379" t="s">
        <v>7971</v>
      </c>
    </row>
    <row r="380" spans="1:103">
      <c r="A380" t="s">
        <v>7972</v>
      </c>
      <c r="C380" t="s">
        <v>4994</v>
      </c>
      <c r="D380" t="s">
        <v>7965</v>
      </c>
      <c r="E380" t="s">
        <v>7973</v>
      </c>
      <c r="F380" t="s">
        <v>7967</v>
      </c>
      <c r="G380">
        <v>3</v>
      </c>
      <c r="J380" t="s">
        <v>7091</v>
      </c>
      <c r="K380" s="6" t="s">
        <v>6986</v>
      </c>
      <c r="AB380">
        <v>1</v>
      </c>
      <c r="AC380">
        <v>2</v>
      </c>
      <c r="AD380">
        <v>1</v>
      </c>
      <c r="AO380" t="s">
        <v>7062</v>
      </c>
      <c r="AT380" t="s">
        <v>7968</v>
      </c>
      <c r="AX380" t="s">
        <v>7064</v>
      </c>
      <c r="AZ380">
        <v>1</v>
      </c>
      <c r="BD380">
        <v>5</v>
      </c>
      <c r="BO380" s="8" t="s">
        <v>7974</v>
      </c>
      <c r="BT380">
        <v>26</v>
      </c>
      <c r="BV380" s="9">
        <v>60</v>
      </c>
      <c r="BW380" s="9">
        <v>90</v>
      </c>
      <c r="BX380" s="9">
        <v>1</v>
      </c>
      <c r="BY380" s="9" t="s">
        <v>6987</v>
      </c>
      <c r="CB380" t="s">
        <v>638</v>
      </c>
      <c r="CG380" t="s">
        <v>7057</v>
      </c>
      <c r="CW380" t="s">
        <v>7970</v>
      </c>
      <c r="CY380" t="s">
        <v>7971</v>
      </c>
    </row>
    <row r="381" spans="1:107">
      <c r="A381" t="s">
        <v>7975</v>
      </c>
      <c r="C381" t="s">
        <v>6968</v>
      </c>
      <c r="K381" s="6" t="s">
        <v>6953</v>
      </c>
      <c r="L381" s="6" t="s">
        <v>7098</v>
      </c>
      <c r="AC381">
        <v>1</v>
      </c>
      <c r="AY381" s="6"/>
      <c r="BD381">
        <v>1</v>
      </c>
      <c r="BV381"/>
      <c r="BW381"/>
      <c r="BX381"/>
      <c r="BY381"/>
      <c r="BZ381"/>
      <c r="CA381"/>
      <c r="CB381" s="6"/>
      <c r="CC381" s="6"/>
      <c r="CD381" s="6"/>
      <c r="CE381" s="6"/>
      <c r="CF381" s="6"/>
      <c r="CH381" s="6"/>
      <c r="CI381" s="6"/>
      <c r="CJ381" s="6"/>
      <c r="CK381" s="6"/>
      <c r="CL381" s="6"/>
      <c r="CM381" s="6"/>
      <c r="CN381" s="10" t="s">
        <v>7975</v>
      </c>
      <c r="CO381" s="6">
        <v>2</v>
      </c>
      <c r="CP381" s="6"/>
      <c r="CQ381" s="6"/>
      <c r="CR381" s="6">
        <v>30</v>
      </c>
      <c r="CS381" s="6"/>
      <c r="CT381" s="6"/>
      <c r="CU381" s="6"/>
      <c r="CV381" s="6"/>
      <c r="CW381" s="6"/>
      <c r="CX381" s="6"/>
      <c r="CY381" s="6"/>
      <c r="CZ381" s="6"/>
      <c r="DA381" s="6"/>
      <c r="DB381" s="6"/>
      <c r="DC381" s="6"/>
    </row>
    <row r="382" spans="1:107">
      <c r="A382" t="s">
        <v>7976</v>
      </c>
      <c r="C382" t="s">
        <v>6968</v>
      </c>
      <c r="K382" s="6" t="s">
        <v>6953</v>
      </c>
      <c r="L382" s="6" t="s">
        <v>7098</v>
      </c>
      <c r="AC382">
        <v>1</v>
      </c>
      <c r="AY382" s="6"/>
      <c r="BD382">
        <v>1</v>
      </c>
      <c r="BV382"/>
      <c r="BW382"/>
      <c r="BX382"/>
      <c r="BY382"/>
      <c r="BZ382"/>
      <c r="CA382"/>
      <c r="CB382" s="6"/>
      <c r="CC382" s="6"/>
      <c r="CD382" s="6"/>
      <c r="CE382" s="6"/>
      <c r="CF382" s="6"/>
      <c r="CH382" s="6"/>
      <c r="CI382" s="6"/>
      <c r="CJ382" s="6"/>
      <c r="CK382" s="6"/>
      <c r="CL382" s="6"/>
      <c r="CM382" s="6"/>
      <c r="CN382" s="10" t="s">
        <v>7975</v>
      </c>
      <c r="CO382" s="6">
        <v>1.4</v>
      </c>
      <c r="CP382" s="6"/>
      <c r="CQ382" s="6"/>
      <c r="CR382" s="6">
        <v>30</v>
      </c>
      <c r="CS382" s="6"/>
      <c r="CT382" s="6"/>
      <c r="CU382" s="6"/>
      <c r="CV382" s="6"/>
      <c r="CW382" s="6"/>
      <c r="CX382" s="6"/>
      <c r="CY382" s="6"/>
      <c r="CZ382" s="6"/>
      <c r="DA382" s="6"/>
      <c r="DB382" s="6"/>
      <c r="DC382" s="6"/>
    </row>
    <row r="383" spans="1:107">
      <c r="A383" t="s">
        <v>7977</v>
      </c>
      <c r="C383" t="s">
        <v>6968</v>
      </c>
      <c r="K383" s="6" t="s">
        <v>6953</v>
      </c>
      <c r="L383" s="6" t="s">
        <v>7098</v>
      </c>
      <c r="AC383">
        <v>1</v>
      </c>
      <c r="AY383" s="6"/>
      <c r="BD383">
        <v>1</v>
      </c>
      <c r="BV383"/>
      <c r="BW383"/>
      <c r="BX383"/>
      <c r="BY383"/>
      <c r="BZ383"/>
      <c r="CA383"/>
      <c r="CB383" s="6"/>
      <c r="CC383" s="6"/>
      <c r="CD383" s="6"/>
      <c r="CE383" s="6"/>
      <c r="CF383" s="6"/>
      <c r="CH383" s="6"/>
      <c r="CI383" s="6"/>
      <c r="CJ383" s="6"/>
      <c r="CK383" s="6"/>
      <c r="CL383" s="6"/>
      <c r="CM383" s="6"/>
      <c r="CN383" s="10" t="s">
        <v>7327</v>
      </c>
      <c r="CO383" s="6">
        <v>-0.7</v>
      </c>
      <c r="CP383" s="6"/>
      <c r="CQ383" s="6"/>
      <c r="CR383" s="6">
        <v>30</v>
      </c>
      <c r="CS383" s="6"/>
      <c r="CT383" s="6"/>
      <c r="CU383" s="6"/>
      <c r="CV383" s="6"/>
      <c r="CW383" s="6"/>
      <c r="CX383" s="6"/>
      <c r="CY383" s="6"/>
      <c r="CZ383" s="6"/>
      <c r="DA383" s="6"/>
      <c r="DB383" s="6"/>
      <c r="DC383" s="6"/>
    </row>
    <row r="384" spans="1:93">
      <c r="A384" t="s">
        <v>7978</v>
      </c>
      <c r="C384" t="s">
        <v>6968</v>
      </c>
      <c r="K384" t="s">
        <v>6953</v>
      </c>
      <c r="L384" t="s">
        <v>6972</v>
      </c>
      <c r="M384"/>
      <c r="N384"/>
      <c r="O384"/>
      <c r="P384"/>
      <c r="Q384"/>
      <c r="R384"/>
      <c r="S384"/>
      <c r="T384"/>
      <c r="U384"/>
      <c r="V384"/>
      <c r="W384"/>
      <c r="X384"/>
      <c r="AC384">
        <v>1</v>
      </c>
      <c r="AF384">
        <v>1</v>
      </c>
      <c r="AH384">
        <v>1</v>
      </c>
      <c r="BO384" s="8" t="s">
        <v>7979</v>
      </c>
      <c r="BV384"/>
      <c r="BW384"/>
      <c r="BX384"/>
      <c r="BY384"/>
      <c r="BZ384"/>
      <c r="CA384"/>
      <c r="CN384" s="10" t="s">
        <v>7980</v>
      </c>
      <c r="CO384">
        <v>-0.12</v>
      </c>
    </row>
    <row r="385" spans="1:93">
      <c r="A385" t="s">
        <v>7981</v>
      </c>
      <c r="C385" t="s">
        <v>6968</v>
      </c>
      <c r="K385" t="s">
        <v>6953</v>
      </c>
      <c r="L385" t="s">
        <v>6972</v>
      </c>
      <c r="M385"/>
      <c r="N385"/>
      <c r="O385"/>
      <c r="P385"/>
      <c r="Q385"/>
      <c r="R385"/>
      <c r="S385"/>
      <c r="T385"/>
      <c r="U385"/>
      <c r="V385"/>
      <c r="W385"/>
      <c r="X385"/>
      <c r="AC385">
        <v>1</v>
      </c>
      <c r="AF385">
        <v>1</v>
      </c>
      <c r="AH385">
        <v>1</v>
      </c>
      <c r="BO385" s="8" t="s">
        <v>7982</v>
      </c>
      <c r="BV385"/>
      <c r="BW385"/>
      <c r="BX385"/>
      <c r="BY385"/>
      <c r="BZ385"/>
      <c r="CA385"/>
      <c r="CN385" s="10" t="s">
        <v>7980</v>
      </c>
      <c r="CO385">
        <v>-0.07</v>
      </c>
    </row>
    <row r="386" spans="1:108">
      <c r="A386" t="s">
        <v>7983</v>
      </c>
      <c r="C386" t="s">
        <v>6968</v>
      </c>
      <c r="K386" s="6" t="s">
        <v>6987</v>
      </c>
      <c r="P386" t="s">
        <v>6821</v>
      </c>
      <c r="Q386"/>
      <c r="R386"/>
      <c r="S386"/>
      <c r="T386"/>
      <c r="AC386">
        <v>2</v>
      </c>
      <c r="AD386">
        <v>1</v>
      </c>
      <c r="AO386" t="s">
        <v>7062</v>
      </c>
      <c r="AW386" s="7">
        <v>1</v>
      </c>
      <c r="BD386">
        <v>99</v>
      </c>
      <c r="BS386">
        <v>0.01</v>
      </c>
      <c r="CN386" s="10" t="s">
        <v>6821</v>
      </c>
      <c r="CR386">
        <v>99999</v>
      </c>
      <c r="CT386">
        <v>1</v>
      </c>
      <c r="DD386">
        <v>1</v>
      </c>
    </row>
    <row r="387" spans="1:96">
      <c r="A387" t="s">
        <v>7979</v>
      </c>
      <c r="C387" t="s">
        <v>6968</v>
      </c>
      <c r="K387" s="6" t="s">
        <v>6953</v>
      </c>
      <c r="L387" s="6" t="s">
        <v>6972</v>
      </c>
      <c r="AC387">
        <v>1</v>
      </c>
      <c r="AG387" t="s">
        <v>6955</v>
      </c>
      <c r="AH387">
        <v>1</v>
      </c>
      <c r="AY387" s="6"/>
      <c r="BD387">
        <v>1</v>
      </c>
      <c r="BV387"/>
      <c r="BW387"/>
      <c r="BX387"/>
      <c r="BY387"/>
      <c r="BZ387"/>
      <c r="CA387"/>
      <c r="CB387" s="6"/>
      <c r="CC387" s="6"/>
      <c r="CD387" s="6"/>
      <c r="CE387" s="6"/>
      <c r="CF387" s="6"/>
      <c r="CH387" s="6"/>
      <c r="CI387" s="6"/>
      <c r="CJ387" s="6"/>
      <c r="CK387" s="6"/>
      <c r="CL387" s="6"/>
      <c r="CM387" s="6"/>
      <c r="CN387" s="10" t="s">
        <v>6973</v>
      </c>
      <c r="CO387">
        <v>0.12</v>
      </c>
      <c r="CR387">
        <v>99999</v>
      </c>
    </row>
    <row r="388" spans="1:96">
      <c r="A388" t="s">
        <v>7982</v>
      </c>
      <c r="C388" t="s">
        <v>6968</v>
      </c>
      <c r="K388" s="6" t="s">
        <v>6953</v>
      </c>
      <c r="L388" s="6" t="s">
        <v>6972</v>
      </c>
      <c r="AC388">
        <v>1</v>
      </c>
      <c r="AG388" t="s">
        <v>6955</v>
      </c>
      <c r="AH388">
        <v>1</v>
      </c>
      <c r="AY388" s="6"/>
      <c r="BD388">
        <v>1</v>
      </c>
      <c r="BV388"/>
      <c r="BW388"/>
      <c r="BX388"/>
      <c r="BY388"/>
      <c r="BZ388"/>
      <c r="CA388"/>
      <c r="CB388" s="6"/>
      <c r="CC388" s="6"/>
      <c r="CD388" s="6"/>
      <c r="CE388" s="6"/>
      <c r="CF388" s="6"/>
      <c r="CH388" s="6"/>
      <c r="CI388" s="6"/>
      <c r="CJ388" s="6"/>
      <c r="CK388" s="6"/>
      <c r="CL388" s="6"/>
      <c r="CM388" s="6"/>
      <c r="CN388" s="10" t="s">
        <v>6973</v>
      </c>
      <c r="CO388">
        <v>0.07</v>
      </c>
      <c r="CR388">
        <v>99999</v>
      </c>
    </row>
    <row r="389" spans="51:91">
      <c r="AY389" s="6"/>
      <c r="BV389"/>
      <c r="BW389"/>
      <c r="BX389"/>
      <c r="BY389"/>
      <c r="BZ389"/>
      <c r="CA389"/>
      <c r="CB389" s="6"/>
      <c r="CC389" s="6"/>
      <c r="CD389" s="6"/>
      <c r="CE389" s="6"/>
      <c r="CF389" s="6"/>
      <c r="CH389" s="6"/>
      <c r="CI389" s="6"/>
      <c r="CJ389" s="6"/>
      <c r="CK389" s="6"/>
      <c r="CL389" s="6"/>
      <c r="CM389" s="6"/>
    </row>
    <row r="390" spans="1:103">
      <c r="A390" t="s">
        <v>7984</v>
      </c>
      <c r="C390" t="s">
        <v>4994</v>
      </c>
      <c r="AC390">
        <v>2</v>
      </c>
      <c r="AO390" t="s">
        <v>7062</v>
      </c>
      <c r="AT390" t="s">
        <v>7063</v>
      </c>
      <c r="AX390" t="s">
        <v>7077</v>
      </c>
      <c r="AZ390">
        <v>1</v>
      </c>
      <c r="BD390">
        <v>1</v>
      </c>
      <c r="CB390" t="s">
        <v>140</v>
      </c>
      <c r="CG390" t="s">
        <v>7057</v>
      </c>
      <c r="CJ390" t="s">
        <v>7985</v>
      </c>
      <c r="CX390" t="s">
        <v>7986</v>
      </c>
      <c r="CY390" t="s">
        <v>7987</v>
      </c>
    </row>
    <row r="391" spans="1:103">
      <c r="A391" t="s">
        <v>7988</v>
      </c>
      <c r="C391" t="s">
        <v>6968</v>
      </c>
      <c r="D391" t="s">
        <v>7989</v>
      </c>
      <c r="E391" t="s">
        <v>7990</v>
      </c>
      <c r="F391" t="s">
        <v>7991</v>
      </c>
      <c r="G391">
        <v>3</v>
      </c>
      <c r="J391" t="s">
        <v>6985</v>
      </c>
      <c r="K391" s="6" t="s">
        <v>6987</v>
      </c>
      <c r="AC391">
        <v>2</v>
      </c>
      <c r="AO391" t="s">
        <v>7062</v>
      </c>
      <c r="AT391" t="s">
        <v>7063</v>
      </c>
      <c r="AX391" t="s">
        <v>7077</v>
      </c>
      <c r="AZ391">
        <v>3.1</v>
      </c>
      <c r="BD391">
        <v>1</v>
      </c>
      <c r="BO391" s="8" t="s">
        <v>7992</v>
      </c>
      <c r="BT391">
        <v>0.3</v>
      </c>
      <c r="BV391" s="9">
        <v>0</v>
      </c>
      <c r="BW391" s="9">
        <v>2</v>
      </c>
      <c r="BX391" s="9">
        <v>1</v>
      </c>
      <c r="BY391" s="9" t="s">
        <v>7142</v>
      </c>
      <c r="CB391" t="s">
        <v>140</v>
      </c>
      <c r="CG391" t="s">
        <v>7057</v>
      </c>
      <c r="CJ391" t="s">
        <v>7985</v>
      </c>
      <c r="CX391" t="s">
        <v>7993</v>
      </c>
      <c r="CY391" t="s">
        <v>7994</v>
      </c>
    </row>
    <row r="392" spans="1:99">
      <c r="A392" t="s">
        <v>7992</v>
      </c>
      <c r="C392" t="s">
        <v>7157</v>
      </c>
      <c r="K392" s="6" t="s">
        <v>6953</v>
      </c>
      <c r="L392" s="6" t="s">
        <v>7613</v>
      </c>
      <c r="AC392">
        <v>1</v>
      </c>
      <c r="BD392">
        <v>1</v>
      </c>
      <c r="CU392" t="s">
        <v>7995</v>
      </c>
    </row>
    <row r="393" spans="1:102">
      <c r="A393" t="s">
        <v>7996</v>
      </c>
      <c r="C393" t="s">
        <v>4994</v>
      </c>
      <c r="D393" t="s">
        <v>7997</v>
      </c>
      <c r="E393" t="s">
        <v>7998</v>
      </c>
      <c r="F393" t="s">
        <v>7999</v>
      </c>
      <c r="G393">
        <v>3</v>
      </c>
      <c r="J393" t="s">
        <v>7091</v>
      </c>
      <c r="K393" s="6" t="s">
        <v>6986</v>
      </c>
      <c r="AB393">
        <v>1</v>
      </c>
      <c r="AC393">
        <v>2</v>
      </c>
      <c r="AO393" t="s">
        <v>7062</v>
      </c>
      <c r="AT393" t="s">
        <v>7246</v>
      </c>
      <c r="AX393" t="s">
        <v>7077</v>
      </c>
      <c r="AZ393">
        <v>1</v>
      </c>
      <c r="BD393">
        <v>2</v>
      </c>
      <c r="BO393" s="8" t="s">
        <v>8000</v>
      </c>
      <c r="BT393">
        <v>18</v>
      </c>
      <c r="BV393" s="9">
        <v>12</v>
      </c>
      <c r="BW393" s="9">
        <v>18</v>
      </c>
      <c r="BX393" s="9">
        <v>1</v>
      </c>
      <c r="BY393" s="9" t="s">
        <v>6987</v>
      </c>
      <c r="CB393" t="s">
        <v>8001</v>
      </c>
      <c r="CD393" t="s">
        <v>8002</v>
      </c>
      <c r="CG393" t="s">
        <v>7057</v>
      </c>
      <c r="CJ393" t="s">
        <v>8003</v>
      </c>
      <c r="CW393" t="s">
        <v>8004</v>
      </c>
      <c r="CX393" t="s">
        <v>8005</v>
      </c>
    </row>
    <row r="394" spans="1:107">
      <c r="A394" t="s">
        <v>8000</v>
      </c>
      <c r="C394" t="s">
        <v>6968</v>
      </c>
      <c r="K394" s="6" t="s">
        <v>6953</v>
      </c>
      <c r="L394" s="6" t="s">
        <v>7098</v>
      </c>
      <c r="AC394">
        <v>1</v>
      </c>
      <c r="AY394" s="6"/>
      <c r="BD394">
        <v>1</v>
      </c>
      <c r="BV394"/>
      <c r="BW394"/>
      <c r="BX394"/>
      <c r="BY394"/>
      <c r="BZ394"/>
      <c r="CA394"/>
      <c r="CB394" s="6"/>
      <c r="CC394" s="6"/>
      <c r="CD394" s="6"/>
      <c r="CE394" s="6"/>
      <c r="CF394" s="6"/>
      <c r="CH394" s="6"/>
      <c r="CI394" s="6"/>
      <c r="CJ394" s="6"/>
      <c r="CK394" s="6"/>
      <c r="CL394" s="6"/>
      <c r="CM394" s="6"/>
      <c r="CN394" s="10" t="s">
        <v>8006</v>
      </c>
      <c r="CO394" s="6">
        <v>1.2</v>
      </c>
      <c r="CP394" s="6"/>
      <c r="CQ394" s="6"/>
      <c r="CR394" s="6">
        <v>18</v>
      </c>
      <c r="CS394" s="6"/>
      <c r="CT394" s="6"/>
      <c r="CU394" s="6"/>
      <c r="CV394" s="6"/>
      <c r="CW394" s="6"/>
      <c r="CX394" s="6"/>
      <c r="CY394" s="6"/>
      <c r="CZ394" s="6"/>
      <c r="DA394" s="6"/>
      <c r="DB394" s="6"/>
      <c r="DC394" s="6"/>
    </row>
    <row r="395" spans="1:107">
      <c r="A395" t="s">
        <v>8007</v>
      </c>
      <c r="C395" t="s">
        <v>6968</v>
      </c>
      <c r="D395" t="s">
        <v>8008</v>
      </c>
      <c r="E395" t="s">
        <v>8009</v>
      </c>
      <c r="F395" t="s">
        <v>8010</v>
      </c>
      <c r="G395">
        <v>3</v>
      </c>
      <c r="J395" t="s">
        <v>6985</v>
      </c>
      <c r="K395" s="6" t="s">
        <v>6986</v>
      </c>
      <c r="N395" s="6">
        <v>1</v>
      </c>
      <c r="X395" s="6">
        <v>1</v>
      </c>
      <c r="AB395">
        <v>1</v>
      </c>
      <c r="AC395">
        <v>1</v>
      </c>
      <c r="AY395" s="6"/>
      <c r="BD395">
        <v>1</v>
      </c>
      <c r="BO395" s="8" t="s">
        <v>8011</v>
      </c>
      <c r="BS395">
        <v>0.6</v>
      </c>
      <c r="BT395">
        <v>99999</v>
      </c>
      <c r="BV395" s="9">
        <v>0</v>
      </c>
      <c r="BW395" s="9">
        <v>5</v>
      </c>
      <c r="BX395" s="9">
        <v>1</v>
      </c>
      <c r="BY395" s="9" t="s">
        <v>6987</v>
      </c>
      <c r="CB395" s="6" t="s">
        <v>8012</v>
      </c>
      <c r="CC395" s="6">
        <v>0</v>
      </c>
      <c r="CD395" s="6"/>
      <c r="CE395" s="6"/>
      <c r="CF395" s="6"/>
      <c r="CG395" t="s">
        <v>7475</v>
      </c>
      <c r="CH395" s="6"/>
      <c r="CI395" s="6"/>
      <c r="CN395" s="10" t="s">
        <v>8013</v>
      </c>
      <c r="CO395" s="6"/>
      <c r="CP395" s="6"/>
      <c r="CQ395" s="6"/>
      <c r="CR395" s="6">
        <v>99999</v>
      </c>
      <c r="CS395" s="6"/>
      <c r="CT395" s="6"/>
      <c r="CU395" s="6"/>
      <c r="CV395" s="6"/>
      <c r="CW395" s="6"/>
      <c r="CX395" s="6"/>
      <c r="CY395" s="6"/>
      <c r="CZ395" s="6"/>
      <c r="DA395" s="6"/>
      <c r="DB395" s="6"/>
      <c r="DC395" s="6"/>
    </row>
    <row r="396" spans="1:103">
      <c r="A396" t="s">
        <v>8014</v>
      </c>
      <c r="C396" t="s">
        <v>4994</v>
      </c>
      <c r="J396" t="s">
        <v>7091</v>
      </c>
      <c r="K396" s="6" t="s">
        <v>6987</v>
      </c>
      <c r="AC396">
        <v>2</v>
      </c>
      <c r="AO396" t="s">
        <v>7062</v>
      </c>
      <c r="AT396" t="s">
        <v>7339</v>
      </c>
      <c r="AX396" t="s">
        <v>7077</v>
      </c>
      <c r="AZ396">
        <v>1</v>
      </c>
      <c r="BD396">
        <v>4</v>
      </c>
      <c r="CB396" t="s">
        <v>8015</v>
      </c>
      <c r="CG396" t="s">
        <v>7057</v>
      </c>
      <c r="CJ396" t="s">
        <v>7985</v>
      </c>
      <c r="CX396" t="s">
        <v>8007</v>
      </c>
      <c r="CY396" t="s">
        <v>8016</v>
      </c>
    </row>
    <row r="397" spans="1:107">
      <c r="A397" t="s">
        <v>8017</v>
      </c>
      <c r="C397" t="s">
        <v>6968</v>
      </c>
      <c r="K397" s="6" t="s">
        <v>6953</v>
      </c>
      <c r="L397" s="6" t="s">
        <v>7098</v>
      </c>
      <c r="AC397">
        <v>1</v>
      </c>
      <c r="AG397" t="s">
        <v>6955</v>
      </c>
      <c r="AY397" s="6"/>
      <c r="BD397">
        <v>1</v>
      </c>
      <c r="BV397"/>
      <c r="BW397"/>
      <c r="BX397"/>
      <c r="BY397"/>
      <c r="BZ397"/>
      <c r="CA397"/>
      <c r="CB397" s="6"/>
      <c r="CC397" s="6"/>
      <c r="CD397" s="6"/>
      <c r="CE397" s="6"/>
      <c r="CF397" s="6"/>
      <c r="CH397" s="6"/>
      <c r="CI397" s="6"/>
      <c r="CJ397" s="6"/>
      <c r="CK397" s="6"/>
      <c r="CL397" s="6"/>
      <c r="CM397" s="6"/>
      <c r="CN397" s="10" t="s">
        <v>8018</v>
      </c>
      <c r="CO397" s="6" t="s">
        <v>8019</v>
      </c>
      <c r="CP397" s="6"/>
      <c r="CQ397" s="6"/>
      <c r="CR397" s="6">
        <v>99999</v>
      </c>
      <c r="CS397" s="6"/>
      <c r="CT397" s="6"/>
      <c r="CU397" s="6"/>
      <c r="CV397" s="6"/>
      <c r="CW397" s="6"/>
      <c r="CX397" s="6"/>
      <c r="CY397" s="6"/>
      <c r="CZ397" s="6"/>
      <c r="DA397" s="6"/>
      <c r="DB397" s="6"/>
      <c r="DC397" s="6"/>
    </row>
    <row r="398" spans="1:107">
      <c r="A398" t="s">
        <v>8020</v>
      </c>
      <c r="C398" t="s">
        <v>6968</v>
      </c>
      <c r="K398" s="6" t="s">
        <v>6953</v>
      </c>
      <c r="L398" s="6" t="s">
        <v>7098</v>
      </c>
      <c r="AC398">
        <v>1</v>
      </c>
      <c r="AG398" t="s">
        <v>6955</v>
      </c>
      <c r="AY398" s="6">
        <v>1</v>
      </c>
      <c r="AZ398">
        <v>99999</v>
      </c>
      <c r="BB398">
        <v>2</v>
      </c>
      <c r="BD398">
        <v>1</v>
      </c>
      <c r="BV398"/>
      <c r="BW398"/>
      <c r="BX398"/>
      <c r="BY398"/>
      <c r="BZ398"/>
      <c r="CA398"/>
      <c r="CB398" s="6"/>
      <c r="CC398" s="6"/>
      <c r="CD398" s="6"/>
      <c r="CE398" s="6"/>
      <c r="CF398" s="6"/>
      <c r="CH398" s="6"/>
      <c r="CI398" s="6"/>
      <c r="CJ398" s="6"/>
      <c r="CK398" s="6"/>
      <c r="CL398" s="6"/>
      <c r="CM398" s="6"/>
      <c r="CO398" s="6"/>
      <c r="CP398" s="6"/>
      <c r="CQ398" s="6"/>
      <c r="CR398" s="6"/>
      <c r="CS398" s="6"/>
      <c r="CT398" s="6"/>
      <c r="CU398" s="6"/>
      <c r="CV398" s="6"/>
      <c r="CW398" s="6"/>
      <c r="CX398" s="6"/>
      <c r="CY398" s="6"/>
      <c r="CZ398" s="6"/>
      <c r="DA398" s="6"/>
      <c r="DB398" s="6"/>
      <c r="DC398" s="6"/>
    </row>
    <row r="399" spans="1:107">
      <c r="A399" t="s">
        <v>8021</v>
      </c>
      <c r="C399" t="s">
        <v>6968</v>
      </c>
      <c r="K399" s="6" t="s">
        <v>6953</v>
      </c>
      <c r="L399" s="6" t="s">
        <v>7098</v>
      </c>
      <c r="AC399">
        <v>1</v>
      </c>
      <c r="AG399" t="s">
        <v>6955</v>
      </c>
      <c r="AY399" s="6"/>
      <c r="BD399">
        <v>1</v>
      </c>
      <c r="BV399"/>
      <c r="BW399"/>
      <c r="BX399"/>
      <c r="BY399"/>
      <c r="BZ399"/>
      <c r="CA399"/>
      <c r="CB399" s="6"/>
      <c r="CC399" s="6"/>
      <c r="CD399" s="6"/>
      <c r="CE399" s="6"/>
      <c r="CF399" s="6"/>
      <c r="CH399" s="6"/>
      <c r="CI399" s="6"/>
      <c r="CJ399" s="6"/>
      <c r="CK399" s="6"/>
      <c r="CL399" s="6"/>
      <c r="CM399" s="6"/>
      <c r="CN399" s="10" t="s">
        <v>8022</v>
      </c>
      <c r="CO399" s="6"/>
      <c r="CP399" s="6"/>
      <c r="CQ399" s="6"/>
      <c r="CR399" s="6">
        <v>99999</v>
      </c>
      <c r="CS399" s="6"/>
      <c r="CT399" s="6"/>
      <c r="CU399" s="6"/>
      <c r="CV399" s="6"/>
      <c r="CW399" s="6"/>
      <c r="CX399" s="6"/>
      <c r="CY399" s="6"/>
      <c r="CZ399" s="6"/>
      <c r="DA399" s="6"/>
      <c r="DB399" s="6"/>
      <c r="DC399" s="6"/>
    </row>
    <row r="400" spans="1:99">
      <c r="A400" t="s">
        <v>8023</v>
      </c>
      <c r="C400" t="s">
        <v>7549</v>
      </c>
      <c r="K400" s="6" t="s">
        <v>6953</v>
      </c>
      <c r="L400" s="6" t="s">
        <v>7550</v>
      </c>
      <c r="AC400">
        <v>1</v>
      </c>
      <c r="AF400">
        <v>1</v>
      </c>
      <c r="AG400" t="s">
        <v>6955</v>
      </c>
      <c r="BD400">
        <v>1</v>
      </c>
      <c r="BP400" s="8" t="s">
        <v>8024</v>
      </c>
      <c r="CN400" s="10" t="s">
        <v>8025</v>
      </c>
      <c r="CR400">
        <v>99999</v>
      </c>
      <c r="CU400" t="s">
        <v>7552</v>
      </c>
    </row>
    <row r="401" spans="1:99">
      <c r="A401" t="s">
        <v>8024</v>
      </c>
      <c r="C401" t="s">
        <v>8026</v>
      </c>
      <c r="K401" s="6" t="s">
        <v>6953</v>
      </c>
      <c r="AC401">
        <v>1</v>
      </c>
      <c r="AG401" t="s">
        <v>6955</v>
      </c>
      <c r="BD401">
        <v>1</v>
      </c>
      <c r="CU401" t="s">
        <v>8027</v>
      </c>
    </row>
    <row r="403" spans="1:103">
      <c r="A403" t="s">
        <v>8028</v>
      </c>
      <c r="C403" t="s">
        <v>6968</v>
      </c>
      <c r="K403" s="6" t="s">
        <v>6987</v>
      </c>
      <c r="AC403">
        <v>1</v>
      </c>
      <c r="AO403" t="s">
        <v>7055</v>
      </c>
      <c r="AP403" t="s">
        <v>8029</v>
      </c>
      <c r="AT403" t="s">
        <v>7580</v>
      </c>
      <c r="AY403">
        <v>1</v>
      </c>
      <c r="AZ403">
        <v>1</v>
      </c>
      <c r="BD403">
        <v>1</v>
      </c>
      <c r="CB403" t="s">
        <v>140</v>
      </c>
      <c r="CG403" t="s">
        <v>7057</v>
      </c>
      <c r="CH403" t="s">
        <v>7058</v>
      </c>
      <c r="CI403" t="s">
        <v>4277</v>
      </c>
      <c r="CX403" t="s">
        <v>8030</v>
      </c>
      <c r="CY403" t="s">
        <v>8031</v>
      </c>
    </row>
    <row r="404" spans="1:99">
      <c r="A404" t="s">
        <v>8032</v>
      </c>
      <c r="C404" t="s">
        <v>7450</v>
      </c>
      <c r="K404" s="6" t="s">
        <v>6953</v>
      </c>
      <c r="L404" s="6" t="s">
        <v>7060</v>
      </c>
      <c r="AC404">
        <v>1</v>
      </c>
      <c r="AF404">
        <v>1</v>
      </c>
      <c r="AG404" t="s">
        <v>6955</v>
      </c>
      <c r="BD404">
        <v>1</v>
      </c>
      <c r="CU404" t="s">
        <v>8033</v>
      </c>
    </row>
    <row r="405" spans="1:96">
      <c r="A405" t="s">
        <v>8034</v>
      </c>
      <c r="C405" t="s">
        <v>6968</v>
      </c>
      <c r="K405" s="6" t="s">
        <v>6953</v>
      </c>
      <c r="L405" s="6" t="s">
        <v>6969</v>
      </c>
      <c r="AC405">
        <v>1</v>
      </c>
      <c r="AG405" t="s">
        <v>8029</v>
      </c>
      <c r="AT405" t="s">
        <v>7580</v>
      </c>
      <c r="BD405">
        <v>2</v>
      </c>
      <c r="CN405" s="10" t="s">
        <v>8035</v>
      </c>
      <c r="CR405">
        <v>1</v>
      </c>
    </row>
    <row r="406" spans="1:96">
      <c r="A406" t="s">
        <v>8036</v>
      </c>
      <c r="C406" t="s">
        <v>6968</v>
      </c>
      <c r="D406" t="s">
        <v>8037</v>
      </c>
      <c r="E406" t="s">
        <v>8038</v>
      </c>
      <c r="F406" t="s">
        <v>8039</v>
      </c>
      <c r="G406">
        <v>3</v>
      </c>
      <c r="J406" t="s">
        <v>6985</v>
      </c>
      <c r="K406" s="6" t="s">
        <v>6986</v>
      </c>
      <c r="AC406">
        <v>1</v>
      </c>
      <c r="AG406" t="s">
        <v>8029</v>
      </c>
      <c r="AV406">
        <v>99</v>
      </c>
      <c r="BD406">
        <v>2</v>
      </c>
      <c r="BO406" s="8" t="s">
        <v>8040</v>
      </c>
      <c r="BT406">
        <v>40</v>
      </c>
      <c r="BV406" s="9">
        <v>10</v>
      </c>
      <c r="BW406" s="9">
        <v>20</v>
      </c>
      <c r="BX406" s="9">
        <v>1</v>
      </c>
      <c r="BY406" s="9" t="s">
        <v>6987</v>
      </c>
      <c r="CN406" s="10" t="s">
        <v>8041</v>
      </c>
      <c r="CO406">
        <v>1.5</v>
      </c>
      <c r="CR406">
        <v>40</v>
      </c>
    </row>
    <row r="407" spans="1:96">
      <c r="A407" t="s">
        <v>8040</v>
      </c>
      <c r="C407" t="s">
        <v>6968</v>
      </c>
      <c r="J407" t="s">
        <v>7091</v>
      </c>
      <c r="AC407">
        <v>1</v>
      </c>
      <c r="AG407" t="s">
        <v>6955</v>
      </c>
      <c r="BD407">
        <v>1</v>
      </c>
      <c r="CN407" s="10" t="s">
        <v>7343</v>
      </c>
      <c r="CO407">
        <v>0.5</v>
      </c>
      <c r="CR407">
        <v>40</v>
      </c>
    </row>
    <row r="408" spans="1:96">
      <c r="A408" t="s">
        <v>8042</v>
      </c>
      <c r="C408" t="s">
        <v>8043</v>
      </c>
      <c r="D408" t="s">
        <v>8044</v>
      </c>
      <c r="E408" t="s">
        <v>8045</v>
      </c>
      <c r="F408" t="s">
        <v>8046</v>
      </c>
      <c r="G408">
        <v>3</v>
      </c>
      <c r="J408" t="s">
        <v>7091</v>
      </c>
      <c r="K408" s="6" t="s">
        <v>6986</v>
      </c>
      <c r="AC408">
        <v>1</v>
      </c>
      <c r="AG408" t="s">
        <v>6955</v>
      </c>
      <c r="BD408">
        <v>1</v>
      </c>
      <c r="BO408" s="8" t="s">
        <v>8047</v>
      </c>
      <c r="BT408">
        <v>20</v>
      </c>
      <c r="BV408" s="9">
        <v>0</v>
      </c>
      <c r="BW408" s="9">
        <v>8</v>
      </c>
      <c r="BX408" s="9">
        <v>1</v>
      </c>
      <c r="BY408" s="9" t="s">
        <v>6987</v>
      </c>
      <c r="CN408" s="10" t="s">
        <v>8048</v>
      </c>
      <c r="CO408">
        <v>100</v>
      </c>
      <c r="CR408">
        <v>0.1</v>
      </c>
    </row>
    <row r="409" spans="1:96">
      <c r="A409" t="s">
        <v>8047</v>
      </c>
      <c r="C409" t="s">
        <v>8043</v>
      </c>
      <c r="J409" t="s">
        <v>7091</v>
      </c>
      <c r="K409" s="6" t="s">
        <v>6987</v>
      </c>
      <c r="AC409">
        <v>1</v>
      </c>
      <c r="AG409" t="s">
        <v>7457</v>
      </c>
      <c r="AV409">
        <v>99</v>
      </c>
      <c r="BD409">
        <v>1</v>
      </c>
      <c r="CN409" s="10" t="s">
        <v>8049</v>
      </c>
      <c r="CO409">
        <v>0.9</v>
      </c>
      <c r="CR409">
        <v>0.1</v>
      </c>
    </row>
    <row r="410" spans="1:96">
      <c r="A410" t="s">
        <v>8050</v>
      </c>
      <c r="C410" t="s">
        <v>8043</v>
      </c>
      <c r="D410" t="s">
        <v>8051</v>
      </c>
      <c r="E410" t="s">
        <v>8052</v>
      </c>
      <c r="F410" t="s">
        <v>8053</v>
      </c>
      <c r="G410">
        <v>3</v>
      </c>
      <c r="J410" t="s">
        <v>7091</v>
      </c>
      <c r="K410" s="6" t="s">
        <v>6986</v>
      </c>
      <c r="AC410">
        <v>1</v>
      </c>
      <c r="AG410" t="s">
        <v>7457</v>
      </c>
      <c r="AV410">
        <v>99</v>
      </c>
      <c r="BD410">
        <v>1</v>
      </c>
      <c r="BO410" s="8" t="s">
        <v>8054</v>
      </c>
      <c r="BT410">
        <v>20</v>
      </c>
      <c r="BV410" s="9">
        <v>0</v>
      </c>
      <c r="BW410" s="9">
        <v>15</v>
      </c>
      <c r="BX410" s="9">
        <v>1</v>
      </c>
      <c r="BY410" s="9" t="s">
        <v>6987</v>
      </c>
      <c r="CN410" s="10" t="s">
        <v>8055</v>
      </c>
      <c r="CO410">
        <v>2.6</v>
      </c>
      <c r="CR410">
        <v>0.1</v>
      </c>
    </row>
    <row r="411" spans="1:96">
      <c r="A411" t="s">
        <v>8056</v>
      </c>
      <c r="C411" t="s">
        <v>8043</v>
      </c>
      <c r="J411" t="s">
        <v>7091</v>
      </c>
      <c r="K411" s="6" t="s">
        <v>6987</v>
      </c>
      <c r="AC411">
        <v>1</v>
      </c>
      <c r="AG411" t="s">
        <v>7457</v>
      </c>
      <c r="AV411">
        <v>99</v>
      </c>
      <c r="BD411">
        <v>1</v>
      </c>
      <c r="CN411" s="10" t="s">
        <v>8041</v>
      </c>
      <c r="CO411">
        <v>2</v>
      </c>
      <c r="CR411">
        <v>0.1</v>
      </c>
    </row>
    <row r="412" spans="1:96">
      <c r="A412" t="s">
        <v>8057</v>
      </c>
      <c r="C412" t="s">
        <v>6968</v>
      </c>
      <c r="K412" s="6" t="s">
        <v>6953</v>
      </c>
      <c r="L412" s="6" t="s">
        <v>7098</v>
      </c>
      <c r="AC412">
        <v>1</v>
      </c>
      <c r="AG412" t="s">
        <v>6955</v>
      </c>
      <c r="BD412">
        <v>1</v>
      </c>
      <c r="CN412" s="10" t="s">
        <v>8058</v>
      </c>
      <c r="CR412">
        <v>99999</v>
      </c>
    </row>
    <row r="413" spans="1:91">
      <c r="A413" t="s">
        <v>8059</v>
      </c>
      <c r="C413" t="s">
        <v>6968</v>
      </c>
      <c r="K413" s="6" t="s">
        <v>6953</v>
      </c>
      <c r="L413" s="6" t="s">
        <v>7613</v>
      </c>
      <c r="AC413">
        <v>1</v>
      </c>
      <c r="AG413" t="s">
        <v>6955</v>
      </c>
      <c r="BD413">
        <v>1</v>
      </c>
      <c r="CM413" t="s">
        <v>8058</v>
      </c>
    </row>
    <row r="414" spans="1:56">
      <c r="A414" t="s">
        <v>8060</v>
      </c>
      <c r="C414" t="s">
        <v>6968</v>
      </c>
      <c r="K414" s="6" t="s">
        <v>6953</v>
      </c>
      <c r="L414" s="6" t="s">
        <v>7201</v>
      </c>
      <c r="O414" t="s">
        <v>8058</v>
      </c>
      <c r="AC414">
        <v>1</v>
      </c>
      <c r="AG414" t="s">
        <v>7457</v>
      </c>
      <c r="AV414">
        <v>99</v>
      </c>
      <c r="AX414" t="s">
        <v>7631</v>
      </c>
      <c r="AZ414">
        <v>0.5</v>
      </c>
      <c r="BB414">
        <v>1</v>
      </c>
      <c r="BD414">
        <v>1</v>
      </c>
    </row>
    <row r="415" spans="1:85">
      <c r="A415" t="s">
        <v>8061</v>
      </c>
      <c r="C415" t="s">
        <v>4994</v>
      </c>
      <c r="K415" s="6" t="s">
        <v>6987</v>
      </c>
      <c r="AC415">
        <v>2</v>
      </c>
      <c r="AO415" t="s">
        <v>7062</v>
      </c>
      <c r="AT415" t="s">
        <v>7063</v>
      </c>
      <c r="AX415" t="s">
        <v>7064</v>
      </c>
      <c r="AZ415">
        <v>1</v>
      </c>
      <c r="BD415">
        <v>1</v>
      </c>
      <c r="CB415" t="s">
        <v>140</v>
      </c>
      <c r="CG415" t="s">
        <v>7057</v>
      </c>
    </row>
    <row r="416" spans="1:96">
      <c r="A416" t="s">
        <v>8062</v>
      </c>
      <c r="C416" t="s">
        <v>6968</v>
      </c>
      <c r="K416" s="6" t="s">
        <v>6953</v>
      </c>
      <c r="L416" s="6" t="s">
        <v>7060</v>
      </c>
      <c r="AC416">
        <v>1</v>
      </c>
      <c r="AG416" t="s">
        <v>6955</v>
      </c>
      <c r="AY416" s="6"/>
      <c r="BD416">
        <v>1</v>
      </c>
      <c r="BV416"/>
      <c r="BW416"/>
      <c r="BX416"/>
      <c r="BY416"/>
      <c r="BZ416"/>
      <c r="CA416"/>
      <c r="CB416" s="6"/>
      <c r="CC416" s="6"/>
      <c r="CD416" s="6"/>
      <c r="CE416" s="6"/>
      <c r="CF416" s="6"/>
      <c r="CH416" s="6"/>
      <c r="CI416" s="6"/>
      <c r="CJ416" s="6"/>
      <c r="CK416" s="6"/>
      <c r="CL416" s="6"/>
      <c r="CM416" s="6"/>
      <c r="CN416" s="10" t="s">
        <v>8062</v>
      </c>
      <c r="CR416">
        <v>99999</v>
      </c>
    </row>
    <row r="417" spans="1:85">
      <c r="A417" t="s">
        <v>8063</v>
      </c>
      <c r="C417" t="s">
        <v>7102</v>
      </c>
      <c r="K417" s="6" t="s">
        <v>6987</v>
      </c>
      <c r="O417" t="s">
        <v>8064</v>
      </c>
      <c r="AC417">
        <v>2</v>
      </c>
      <c r="AO417" t="s">
        <v>7062</v>
      </c>
      <c r="AT417" t="s">
        <v>7063</v>
      </c>
      <c r="AX417" t="s">
        <v>7064</v>
      </c>
      <c r="AZ417">
        <v>1</v>
      </c>
      <c r="BD417">
        <v>1</v>
      </c>
      <c r="CB417" t="s">
        <v>638</v>
      </c>
      <c r="CG417" t="s">
        <v>7057</v>
      </c>
    </row>
    <row r="418" spans="1:85">
      <c r="A418" t="s">
        <v>8065</v>
      </c>
      <c r="C418" t="s">
        <v>4994</v>
      </c>
      <c r="K418" s="6" t="s">
        <v>6987</v>
      </c>
      <c r="O418" t="s">
        <v>8055</v>
      </c>
      <c r="AC418">
        <v>2</v>
      </c>
      <c r="AO418" t="s">
        <v>7062</v>
      </c>
      <c r="AT418" t="s">
        <v>7063</v>
      </c>
      <c r="AX418" t="s">
        <v>7631</v>
      </c>
      <c r="AZ418">
        <v>1</v>
      </c>
      <c r="BD418">
        <v>1</v>
      </c>
      <c r="CB418" t="s">
        <v>8001</v>
      </c>
      <c r="CG418" t="s">
        <v>7057</v>
      </c>
    </row>
    <row r="419" spans="1:96">
      <c r="A419" t="s">
        <v>8066</v>
      </c>
      <c r="C419" t="s">
        <v>6968</v>
      </c>
      <c r="K419" s="6" t="s">
        <v>6953</v>
      </c>
      <c r="L419" s="6" t="s">
        <v>7060</v>
      </c>
      <c r="P419" t="s">
        <v>8035</v>
      </c>
      <c r="Q419"/>
      <c r="R419"/>
      <c r="S419"/>
      <c r="T419"/>
      <c r="AC419">
        <v>1</v>
      </c>
      <c r="AF419">
        <v>1</v>
      </c>
      <c r="AG419" t="s">
        <v>6955</v>
      </c>
      <c r="BD419">
        <v>1</v>
      </c>
      <c r="CN419" s="10" t="s">
        <v>8066</v>
      </c>
      <c r="CO419">
        <v>-1</v>
      </c>
      <c r="CR419">
        <v>99999</v>
      </c>
    </row>
    <row r="420" spans="1:96">
      <c r="A420" t="s">
        <v>8067</v>
      </c>
      <c r="C420" t="s">
        <v>6968</v>
      </c>
      <c r="K420" s="6" t="s">
        <v>6953</v>
      </c>
      <c r="L420" s="6" t="s">
        <v>8068</v>
      </c>
      <c r="X420" s="6">
        <v>1</v>
      </c>
      <c r="AB420">
        <v>1</v>
      </c>
      <c r="AC420">
        <v>2</v>
      </c>
      <c r="AO420" t="s">
        <v>8069</v>
      </c>
      <c r="AT420" t="s">
        <v>7092</v>
      </c>
      <c r="AX420" t="s">
        <v>7631</v>
      </c>
      <c r="AZ420">
        <v>1400</v>
      </c>
      <c r="BB420">
        <v>2</v>
      </c>
      <c r="BD420">
        <v>99</v>
      </c>
      <c r="BS420">
        <v>0.2</v>
      </c>
      <c r="CN420" s="10" t="s">
        <v>6957</v>
      </c>
      <c r="CR420">
        <v>3.5</v>
      </c>
    </row>
    <row r="422" spans="1:103">
      <c r="A422" t="s">
        <v>8070</v>
      </c>
      <c r="C422" t="s">
        <v>4994</v>
      </c>
      <c r="K422" s="6" t="s">
        <v>6987</v>
      </c>
      <c r="AC422">
        <v>2</v>
      </c>
      <c r="AO422" t="s">
        <v>7062</v>
      </c>
      <c r="AX422" t="s">
        <v>7064</v>
      </c>
      <c r="AZ422">
        <v>1</v>
      </c>
      <c r="BD422">
        <v>1</v>
      </c>
      <c r="BP422" s="8" t="s">
        <v>8071</v>
      </c>
      <c r="CB422" t="s">
        <v>8072</v>
      </c>
      <c r="CG422" t="s">
        <v>7057</v>
      </c>
      <c r="CN422" s="10" t="s">
        <v>8073</v>
      </c>
      <c r="CO422">
        <v>155</v>
      </c>
      <c r="CR422">
        <v>3</v>
      </c>
      <c r="CX422" t="s">
        <v>8074</v>
      </c>
      <c r="CY422" t="s">
        <v>8075</v>
      </c>
    </row>
    <row r="423" spans="1:103">
      <c r="A423" t="s">
        <v>8076</v>
      </c>
      <c r="C423" t="s">
        <v>6968</v>
      </c>
      <c r="K423" s="6" t="s">
        <v>6987</v>
      </c>
      <c r="P423"/>
      <c r="Q423"/>
      <c r="R423"/>
      <c r="S423"/>
      <c r="T423"/>
      <c r="Z423">
        <v>1</v>
      </c>
      <c r="AC423">
        <v>2</v>
      </c>
      <c r="AD423">
        <v>1</v>
      </c>
      <c r="AO423" t="s">
        <v>7062</v>
      </c>
      <c r="AT423" t="s">
        <v>7108</v>
      </c>
      <c r="AX423" t="s">
        <v>7064</v>
      </c>
      <c r="AZ423">
        <v>0.8</v>
      </c>
      <c r="BD423">
        <v>1</v>
      </c>
      <c r="BO423" s="8" t="s">
        <v>8070</v>
      </c>
      <c r="BP423" s="8" t="s">
        <v>8071</v>
      </c>
      <c r="CB423" t="s">
        <v>7273</v>
      </c>
      <c r="CG423" t="s">
        <v>7057</v>
      </c>
      <c r="CH423" t="s">
        <v>8077</v>
      </c>
      <c r="CI423" t="s">
        <v>4277</v>
      </c>
      <c r="CN423" s="10" t="s">
        <v>8073</v>
      </c>
      <c r="CO423">
        <v>155</v>
      </c>
      <c r="CR423">
        <v>3</v>
      </c>
      <c r="CX423" t="s">
        <v>8078</v>
      </c>
      <c r="CY423" t="s">
        <v>8079</v>
      </c>
    </row>
    <row r="424" spans="1:91">
      <c r="A424" t="s">
        <v>8080</v>
      </c>
      <c r="C424" t="s">
        <v>6968</v>
      </c>
      <c r="K424" s="6" t="s">
        <v>6987</v>
      </c>
      <c r="P424" t="s">
        <v>8071</v>
      </c>
      <c r="Q424"/>
      <c r="R424"/>
      <c r="S424"/>
      <c r="T424"/>
      <c r="AC424">
        <v>1</v>
      </c>
      <c r="AX424" t="s">
        <v>7631</v>
      </c>
      <c r="AY424" s="6">
        <v>1</v>
      </c>
      <c r="AZ424">
        <v>0.04</v>
      </c>
      <c r="BA424">
        <v>1</v>
      </c>
      <c r="BB424">
        <v>1</v>
      </c>
      <c r="BD424">
        <v>1</v>
      </c>
      <c r="BO424" s="8" t="s">
        <v>8071</v>
      </c>
      <c r="BS424">
        <v>0.01</v>
      </c>
      <c r="CB424" s="6"/>
      <c r="CC424" s="6"/>
      <c r="CD424" s="6"/>
      <c r="CE424" s="6"/>
      <c r="CF424" s="6"/>
      <c r="CH424" s="6"/>
      <c r="CI424" s="6"/>
      <c r="CJ424" s="6"/>
      <c r="CK424" s="6"/>
      <c r="CL424" s="6"/>
      <c r="CM424" s="6"/>
    </row>
    <row r="425" spans="1:96">
      <c r="A425" t="s">
        <v>8071</v>
      </c>
      <c r="C425" t="s">
        <v>6968</v>
      </c>
      <c r="K425" s="6" t="s">
        <v>6953</v>
      </c>
      <c r="L425" s="6" t="s">
        <v>7060</v>
      </c>
      <c r="AC425">
        <v>1</v>
      </c>
      <c r="AY425" s="6"/>
      <c r="CB425" s="6"/>
      <c r="CC425" s="6"/>
      <c r="CD425" s="6"/>
      <c r="CE425" s="6"/>
      <c r="CF425" s="6"/>
      <c r="CH425" s="6"/>
      <c r="CI425" s="6"/>
      <c r="CJ425" s="6"/>
      <c r="CK425" s="6"/>
      <c r="CL425" s="6"/>
      <c r="CM425" s="6"/>
      <c r="CN425" s="10" t="s">
        <v>8071</v>
      </c>
      <c r="CR425">
        <v>2</v>
      </c>
    </row>
    <row r="426" spans="1:96">
      <c r="A426" t="s">
        <v>8081</v>
      </c>
      <c r="C426" t="s">
        <v>6968</v>
      </c>
      <c r="D426" t="s">
        <v>8082</v>
      </c>
      <c r="E426" t="s">
        <v>8083</v>
      </c>
      <c r="F426" t="s">
        <v>8084</v>
      </c>
      <c r="G426">
        <v>3</v>
      </c>
      <c r="J426" t="s">
        <v>7091</v>
      </c>
      <c r="K426" s="6" t="s">
        <v>6986</v>
      </c>
      <c r="L426" s="6" t="s">
        <v>7098</v>
      </c>
      <c r="AC426">
        <v>1</v>
      </c>
      <c r="AY426" s="6"/>
      <c r="BD426">
        <v>1</v>
      </c>
      <c r="BO426" s="8" t="s">
        <v>8085</v>
      </c>
      <c r="BT426">
        <v>40</v>
      </c>
      <c r="BV426" s="9">
        <v>10</v>
      </c>
      <c r="BW426" s="9">
        <v>25</v>
      </c>
      <c r="BX426" s="9">
        <v>1</v>
      </c>
      <c r="BY426" s="9" t="s">
        <v>6987</v>
      </c>
      <c r="CB426" s="6"/>
      <c r="CC426" s="6"/>
      <c r="CD426" s="6"/>
      <c r="CE426" s="6" t="s">
        <v>8086</v>
      </c>
      <c r="CF426" s="6"/>
      <c r="CH426" s="6"/>
      <c r="CI426" s="6"/>
      <c r="CJ426" s="6"/>
      <c r="CK426" s="6"/>
      <c r="CL426" s="6"/>
      <c r="CM426" s="6"/>
      <c r="CN426" s="10" t="s">
        <v>8087</v>
      </c>
      <c r="CR426">
        <v>40</v>
      </c>
    </row>
    <row r="427" spans="1:96">
      <c r="A427" t="s">
        <v>8088</v>
      </c>
      <c r="C427" t="s">
        <v>6968</v>
      </c>
      <c r="K427" s="6" t="s">
        <v>6953</v>
      </c>
      <c r="L427" s="6" t="s">
        <v>7098</v>
      </c>
      <c r="AC427">
        <v>1</v>
      </c>
      <c r="AY427" s="6"/>
      <c r="BD427">
        <v>1</v>
      </c>
      <c r="CB427" s="6"/>
      <c r="CC427" s="6"/>
      <c r="CD427" s="6"/>
      <c r="CE427" s="6"/>
      <c r="CF427" s="6"/>
      <c r="CH427" s="6"/>
      <c r="CI427" s="6"/>
      <c r="CJ427" s="6"/>
      <c r="CK427" s="6"/>
      <c r="CL427" s="6"/>
      <c r="CM427" s="6"/>
      <c r="CN427" s="10" t="s">
        <v>8089</v>
      </c>
      <c r="CO427" t="s">
        <v>8090</v>
      </c>
      <c r="CR427">
        <v>40</v>
      </c>
    </row>
    <row r="428" spans="1:103">
      <c r="A428" t="s">
        <v>8091</v>
      </c>
      <c r="C428" t="s">
        <v>6968</v>
      </c>
      <c r="K428" s="6" t="s">
        <v>6953</v>
      </c>
      <c r="L428" s="6" t="s">
        <v>7743</v>
      </c>
      <c r="O428" t="s">
        <v>8087</v>
      </c>
      <c r="P428"/>
      <c r="Q428"/>
      <c r="R428"/>
      <c r="S428"/>
      <c r="T428"/>
      <c r="AC428">
        <v>2</v>
      </c>
      <c r="AD428">
        <v>1</v>
      </c>
      <c r="AO428" t="s">
        <v>7062</v>
      </c>
      <c r="AT428" t="s">
        <v>8092</v>
      </c>
      <c r="AX428" t="s">
        <v>7064</v>
      </c>
      <c r="AZ428">
        <v>0.8</v>
      </c>
      <c r="BD428">
        <v>4</v>
      </c>
      <c r="BS428">
        <v>0.6</v>
      </c>
      <c r="CN428" s="10" t="s">
        <v>8073</v>
      </c>
      <c r="CO428">
        <v>155</v>
      </c>
      <c r="CR428">
        <v>3</v>
      </c>
      <c r="CX428" t="s">
        <v>8093</v>
      </c>
      <c r="CY428" t="s">
        <v>8094</v>
      </c>
    </row>
    <row r="429" spans="1:103">
      <c r="A429" t="s">
        <v>8095</v>
      </c>
      <c r="C429" t="s">
        <v>4994</v>
      </c>
      <c r="J429" t="s">
        <v>7091</v>
      </c>
      <c r="K429" s="6" t="s">
        <v>6987</v>
      </c>
      <c r="O429" t="s">
        <v>8096</v>
      </c>
      <c r="AC429">
        <v>2</v>
      </c>
      <c r="AD429">
        <v>1</v>
      </c>
      <c r="AO429" t="s">
        <v>7062</v>
      </c>
      <c r="AT429" t="s">
        <v>7145</v>
      </c>
      <c r="AX429" t="s">
        <v>7064</v>
      </c>
      <c r="AZ429">
        <v>1</v>
      </c>
      <c r="BD429">
        <v>1</v>
      </c>
      <c r="BP429" s="8" t="s">
        <v>8071</v>
      </c>
      <c r="CB429" t="s">
        <v>758</v>
      </c>
      <c r="CG429" t="s">
        <v>7057</v>
      </c>
      <c r="CH429" t="s">
        <v>8097</v>
      </c>
      <c r="CI429" t="s">
        <v>4277</v>
      </c>
      <c r="CN429" s="10" t="s">
        <v>8073</v>
      </c>
      <c r="CO429">
        <v>155</v>
      </c>
      <c r="CR429">
        <v>3</v>
      </c>
      <c r="CX429" t="s">
        <v>8098</v>
      </c>
      <c r="CY429" t="s">
        <v>8099</v>
      </c>
    </row>
    <row r="430" spans="1:96">
      <c r="A430" t="s">
        <v>8100</v>
      </c>
      <c r="C430" t="s">
        <v>6968</v>
      </c>
      <c r="D430" t="s">
        <v>8101</v>
      </c>
      <c r="E430" t="s">
        <v>8102</v>
      </c>
      <c r="F430" t="s">
        <v>8103</v>
      </c>
      <c r="G430">
        <v>3</v>
      </c>
      <c r="J430" t="s">
        <v>6985</v>
      </c>
      <c r="K430" s="6" t="s">
        <v>6986</v>
      </c>
      <c r="AB430">
        <v>1</v>
      </c>
      <c r="AC430">
        <v>1</v>
      </c>
      <c r="AY430" s="6"/>
      <c r="BD430">
        <v>1</v>
      </c>
      <c r="BO430" s="8" t="s">
        <v>8104</v>
      </c>
      <c r="BR430" t="s">
        <v>8105</v>
      </c>
      <c r="BT430">
        <v>30</v>
      </c>
      <c r="BV430">
        <v>0</v>
      </c>
      <c r="BW430">
        <v>15</v>
      </c>
      <c r="BX430">
        <v>1</v>
      </c>
      <c r="BY430" t="s">
        <v>7142</v>
      </c>
      <c r="BZ430"/>
      <c r="CA430"/>
      <c r="CB430" s="6"/>
      <c r="CC430" s="6"/>
      <c r="CD430" s="6"/>
      <c r="CE430" s="6"/>
      <c r="CF430" s="6"/>
      <c r="CH430" s="6"/>
      <c r="CI430" s="6"/>
      <c r="CJ430" s="6"/>
      <c r="CK430" s="6"/>
      <c r="CL430" s="6"/>
      <c r="CM430" s="6"/>
      <c r="CN430" s="10" t="s">
        <v>8106</v>
      </c>
      <c r="CO430" t="s">
        <v>8107</v>
      </c>
      <c r="CR430">
        <v>30</v>
      </c>
    </row>
    <row r="431" spans="1:103">
      <c r="A431" t="s">
        <v>8108</v>
      </c>
      <c r="C431" t="s">
        <v>4994</v>
      </c>
      <c r="J431" t="s">
        <v>7091</v>
      </c>
      <c r="K431" s="6" t="s">
        <v>6987</v>
      </c>
      <c r="O431" t="s">
        <v>8109</v>
      </c>
      <c r="AC431">
        <v>2</v>
      </c>
      <c r="AD431">
        <v>1</v>
      </c>
      <c r="AO431" t="s">
        <v>7062</v>
      </c>
      <c r="AT431" t="s">
        <v>7145</v>
      </c>
      <c r="AX431" t="s">
        <v>7064</v>
      </c>
      <c r="AZ431">
        <v>1</v>
      </c>
      <c r="BD431">
        <v>1</v>
      </c>
      <c r="BP431" s="8" t="s">
        <v>8071</v>
      </c>
      <c r="CB431" t="s">
        <v>758</v>
      </c>
      <c r="CG431" t="s">
        <v>7057</v>
      </c>
      <c r="CH431" t="s">
        <v>8097</v>
      </c>
      <c r="CI431" t="s">
        <v>4277</v>
      </c>
      <c r="CN431" s="10" t="s">
        <v>8073</v>
      </c>
      <c r="CO431">
        <v>155</v>
      </c>
      <c r="CR431">
        <v>3</v>
      </c>
      <c r="CX431" t="s">
        <v>8098</v>
      </c>
      <c r="CY431" t="s">
        <v>8099</v>
      </c>
    </row>
    <row r="432" spans="1:96">
      <c r="A432" t="s">
        <v>8105</v>
      </c>
      <c r="C432" t="s">
        <v>6968</v>
      </c>
      <c r="J432" t="s">
        <v>6985</v>
      </c>
      <c r="K432" s="6" t="s">
        <v>6986</v>
      </c>
      <c r="AB432">
        <v>1</v>
      </c>
      <c r="AC432">
        <v>1</v>
      </c>
      <c r="AY432" s="6"/>
      <c r="BD432">
        <v>1</v>
      </c>
      <c r="BO432" s="8" t="s">
        <v>8108</v>
      </c>
      <c r="BT432">
        <v>9999</v>
      </c>
      <c r="BV432">
        <v>0</v>
      </c>
      <c r="BW432">
        <v>15</v>
      </c>
      <c r="BX432">
        <v>1</v>
      </c>
      <c r="BY432" t="s">
        <v>7142</v>
      </c>
      <c r="BZ432"/>
      <c r="CA432"/>
      <c r="CB432" s="6"/>
      <c r="CC432" s="6"/>
      <c r="CD432" s="6"/>
      <c r="CE432" s="6"/>
      <c r="CF432" s="6"/>
      <c r="CH432" s="6"/>
      <c r="CI432" s="6"/>
      <c r="CJ432" s="6"/>
      <c r="CK432" s="6"/>
      <c r="CL432" s="6"/>
      <c r="CM432" s="6"/>
      <c r="CN432" s="10" t="s">
        <v>8110</v>
      </c>
      <c r="CO432" t="s">
        <v>8111</v>
      </c>
      <c r="CR432">
        <v>9999</v>
      </c>
    </row>
    <row r="433" spans="51:91">
      <c r="AY433" s="6"/>
      <c r="BV433"/>
      <c r="BW433"/>
      <c r="BX433"/>
      <c r="BY433"/>
      <c r="BZ433"/>
      <c r="CA433"/>
      <c r="CB433" s="6"/>
      <c r="CC433" s="6"/>
      <c r="CD433" s="6"/>
      <c r="CE433" s="6"/>
      <c r="CF433" s="6"/>
      <c r="CH433" s="6"/>
      <c r="CI433" s="6"/>
      <c r="CJ433" s="6"/>
      <c r="CK433" s="6"/>
      <c r="CL433" s="6"/>
      <c r="CM433" s="6"/>
    </row>
    <row r="434" spans="1:103">
      <c r="A434" t="s">
        <v>8112</v>
      </c>
      <c r="C434" t="s">
        <v>6968</v>
      </c>
      <c r="AC434">
        <v>2</v>
      </c>
      <c r="AD434">
        <v>1</v>
      </c>
      <c r="AO434" t="s">
        <v>7062</v>
      </c>
      <c r="AP434" t="s">
        <v>7070</v>
      </c>
      <c r="AT434" t="s">
        <v>7145</v>
      </c>
      <c r="AX434" t="s">
        <v>7064</v>
      </c>
      <c r="AZ434">
        <v>1</v>
      </c>
      <c r="BD434">
        <v>1</v>
      </c>
      <c r="CB434" t="s">
        <v>140</v>
      </c>
      <c r="CG434" t="s">
        <v>7057</v>
      </c>
      <c r="CH434" t="s">
        <v>8113</v>
      </c>
      <c r="CI434" t="s">
        <v>4277</v>
      </c>
      <c r="CX434" t="s">
        <v>8114</v>
      </c>
      <c r="CY434" t="s">
        <v>8115</v>
      </c>
    </row>
    <row r="435" spans="1:103">
      <c r="A435" t="s">
        <v>8116</v>
      </c>
      <c r="C435" t="s">
        <v>6968</v>
      </c>
      <c r="D435" t="s">
        <v>8117</v>
      </c>
      <c r="E435" t="s">
        <v>8118</v>
      </c>
      <c r="F435" t="s">
        <v>8119</v>
      </c>
      <c r="G435">
        <v>3</v>
      </c>
      <c r="J435" t="s">
        <v>6985</v>
      </c>
      <c r="K435" s="6" t="s">
        <v>6987</v>
      </c>
      <c r="AC435">
        <v>2</v>
      </c>
      <c r="AD435">
        <v>1</v>
      </c>
      <c r="AO435" t="s">
        <v>7062</v>
      </c>
      <c r="AP435" t="s">
        <v>7070</v>
      </c>
      <c r="AT435" t="s">
        <v>7145</v>
      </c>
      <c r="AX435" t="s">
        <v>7064</v>
      </c>
      <c r="AZ435">
        <v>1.45</v>
      </c>
      <c r="BD435">
        <v>1</v>
      </c>
      <c r="BE435">
        <v>2</v>
      </c>
      <c r="BF435">
        <v>0.01</v>
      </c>
      <c r="BT435">
        <v>0.3</v>
      </c>
      <c r="BV435" s="9">
        <v>0</v>
      </c>
      <c r="BW435" s="9">
        <v>4</v>
      </c>
      <c r="BX435" s="9">
        <v>1</v>
      </c>
      <c r="BY435" s="9" t="s">
        <v>7142</v>
      </c>
      <c r="CB435" t="s">
        <v>140</v>
      </c>
      <c r="CG435" t="s">
        <v>7057</v>
      </c>
      <c r="CH435" t="s">
        <v>8113</v>
      </c>
      <c r="CI435" t="s">
        <v>4277</v>
      </c>
      <c r="CX435" t="s">
        <v>8120</v>
      </c>
      <c r="CY435" t="s">
        <v>8121</v>
      </c>
    </row>
    <row r="436" spans="1:96">
      <c r="A436" t="s">
        <v>8122</v>
      </c>
      <c r="C436" t="s">
        <v>6968</v>
      </c>
      <c r="K436" s="6" t="s">
        <v>6953</v>
      </c>
      <c r="L436" s="6" t="s">
        <v>6972</v>
      </c>
      <c r="AC436">
        <v>1</v>
      </c>
      <c r="AG436" t="s">
        <v>6955</v>
      </c>
      <c r="AH436">
        <v>1</v>
      </c>
      <c r="AY436" s="6"/>
      <c r="BD436">
        <v>1</v>
      </c>
      <c r="BV436"/>
      <c r="BW436"/>
      <c r="BX436"/>
      <c r="BY436"/>
      <c r="BZ436"/>
      <c r="CA436"/>
      <c r="CB436" s="6"/>
      <c r="CC436" s="6"/>
      <c r="CD436" s="6"/>
      <c r="CE436" s="6"/>
      <c r="CF436" s="6"/>
      <c r="CH436" s="6"/>
      <c r="CI436" s="6"/>
      <c r="CJ436" s="6"/>
      <c r="CK436" s="6"/>
      <c r="CL436" s="6"/>
      <c r="CM436" s="6"/>
      <c r="CN436" s="10" t="s">
        <v>7134</v>
      </c>
      <c r="CO436">
        <v>18</v>
      </c>
      <c r="CR436">
        <v>99999</v>
      </c>
    </row>
    <row r="437" spans="1:96">
      <c r="A437" t="s">
        <v>8123</v>
      </c>
      <c r="C437" t="s">
        <v>6968</v>
      </c>
      <c r="K437" s="6" t="s">
        <v>6953</v>
      </c>
      <c r="L437" s="6" t="s">
        <v>7060</v>
      </c>
      <c r="AC437">
        <v>1</v>
      </c>
      <c r="AG437" t="s">
        <v>6955</v>
      </c>
      <c r="AY437" s="6"/>
      <c r="BD437">
        <v>1</v>
      </c>
      <c r="BV437"/>
      <c r="BW437"/>
      <c r="BX437"/>
      <c r="BY437"/>
      <c r="BZ437"/>
      <c r="CA437"/>
      <c r="CB437" s="6"/>
      <c r="CC437" s="6"/>
      <c r="CD437" s="6"/>
      <c r="CE437" s="6"/>
      <c r="CF437" s="6"/>
      <c r="CH437" s="6"/>
      <c r="CI437" s="6"/>
      <c r="CJ437" s="6"/>
      <c r="CK437" s="6"/>
      <c r="CL437" s="6"/>
      <c r="CM437" s="6"/>
      <c r="CN437" s="10" t="s">
        <v>8124</v>
      </c>
      <c r="CO437" t="s">
        <v>8125</v>
      </c>
      <c r="CR437">
        <v>99999</v>
      </c>
    </row>
    <row r="438" spans="1:96">
      <c r="A438" t="s">
        <v>8126</v>
      </c>
      <c r="C438" t="s">
        <v>6968</v>
      </c>
      <c r="K438" s="6" t="s">
        <v>6987</v>
      </c>
      <c r="N438" s="6">
        <v>1</v>
      </c>
      <c r="AC438">
        <v>1</v>
      </c>
      <c r="AG438" t="s">
        <v>7481</v>
      </c>
      <c r="AO438" t="s">
        <v>7619</v>
      </c>
      <c r="AV438">
        <v>99</v>
      </c>
      <c r="AY438" s="6"/>
      <c r="BD438">
        <v>1</v>
      </c>
      <c r="BV438"/>
      <c r="BW438"/>
      <c r="BX438"/>
      <c r="BY438"/>
      <c r="BZ438"/>
      <c r="CA438"/>
      <c r="CB438" s="6"/>
      <c r="CC438" s="6"/>
      <c r="CD438" s="6"/>
      <c r="CE438" s="6"/>
      <c r="CF438" s="6"/>
      <c r="CH438" s="6"/>
      <c r="CI438" s="6"/>
      <c r="CJ438" s="6"/>
      <c r="CK438" s="6"/>
      <c r="CL438" s="6"/>
      <c r="CM438" s="6"/>
      <c r="CN438" s="10" t="s">
        <v>8124</v>
      </c>
      <c r="CO438" t="s">
        <v>8125</v>
      </c>
      <c r="CR438">
        <v>99999</v>
      </c>
    </row>
    <row r="439" spans="1:103">
      <c r="A439" t="s">
        <v>8127</v>
      </c>
      <c r="C439" t="s">
        <v>6968</v>
      </c>
      <c r="D439" t="s">
        <v>8128</v>
      </c>
      <c r="E439" t="s">
        <v>8129</v>
      </c>
      <c r="F439" t="s">
        <v>8130</v>
      </c>
      <c r="G439">
        <v>3</v>
      </c>
      <c r="J439" t="s">
        <v>7091</v>
      </c>
      <c r="K439" s="6" t="s">
        <v>6986</v>
      </c>
      <c r="AC439">
        <v>2</v>
      </c>
      <c r="AD439">
        <v>1</v>
      </c>
      <c r="AO439" t="s">
        <v>7062</v>
      </c>
      <c r="AP439" t="s">
        <v>7070</v>
      </c>
      <c r="AT439" t="s">
        <v>7145</v>
      </c>
      <c r="AX439" t="s">
        <v>7064</v>
      </c>
      <c r="AZ439">
        <v>1.25</v>
      </c>
      <c r="BD439">
        <v>1</v>
      </c>
      <c r="BE439">
        <v>3</v>
      </c>
      <c r="BF439">
        <v>0.01</v>
      </c>
      <c r="BO439" s="8" t="s">
        <v>8131</v>
      </c>
      <c r="BT439">
        <v>15</v>
      </c>
      <c r="BV439" s="9">
        <v>25</v>
      </c>
      <c r="BW439" s="9">
        <v>35</v>
      </c>
      <c r="BX439" s="9">
        <v>1</v>
      </c>
      <c r="BY439" s="9" t="s">
        <v>6987</v>
      </c>
      <c r="CB439" t="s">
        <v>140</v>
      </c>
      <c r="CG439" t="s">
        <v>7057</v>
      </c>
      <c r="CH439" t="s">
        <v>8113</v>
      </c>
      <c r="CI439" t="s">
        <v>4277</v>
      </c>
      <c r="CX439" t="s">
        <v>8114</v>
      </c>
      <c r="CY439" t="s">
        <v>8115</v>
      </c>
    </row>
    <row r="440" spans="1:108">
      <c r="A440" t="s">
        <v>8131</v>
      </c>
      <c r="C440" t="s">
        <v>6968</v>
      </c>
      <c r="K440" s="6" t="s">
        <v>6953</v>
      </c>
      <c r="L440" s="6" t="s">
        <v>7098</v>
      </c>
      <c r="AC440">
        <v>1</v>
      </c>
      <c r="AY440" s="6"/>
      <c r="BD440">
        <v>1</v>
      </c>
      <c r="CB440" s="6"/>
      <c r="CC440" s="6"/>
      <c r="CD440" s="6"/>
      <c r="CE440" s="6"/>
      <c r="CF440" s="6"/>
      <c r="CH440" s="6"/>
      <c r="CI440" s="6"/>
      <c r="CJ440" s="6"/>
      <c r="CK440" s="6"/>
      <c r="CL440" s="6"/>
      <c r="CM440" s="6"/>
      <c r="CN440" s="10" t="s">
        <v>8132</v>
      </c>
      <c r="CR440">
        <v>15</v>
      </c>
      <c r="DD440">
        <v>1</v>
      </c>
    </row>
    <row r="441" spans="1:103">
      <c r="A441" t="s">
        <v>8133</v>
      </c>
      <c r="C441" t="s">
        <v>6968</v>
      </c>
      <c r="D441" t="s">
        <v>8134</v>
      </c>
      <c r="E441" t="s">
        <v>8135</v>
      </c>
      <c r="F441" t="s">
        <v>8136</v>
      </c>
      <c r="G441">
        <v>3</v>
      </c>
      <c r="J441" t="s">
        <v>7091</v>
      </c>
      <c r="K441" s="6" t="s">
        <v>6987</v>
      </c>
      <c r="W441" s="6">
        <v>1</v>
      </c>
      <c r="AC441">
        <v>2</v>
      </c>
      <c r="AD441">
        <v>1</v>
      </c>
      <c r="AO441" t="s">
        <v>7062</v>
      </c>
      <c r="AP441" t="s">
        <v>7070</v>
      </c>
      <c r="AT441" t="s">
        <v>7145</v>
      </c>
      <c r="AX441" t="s">
        <v>7064</v>
      </c>
      <c r="AZ441">
        <v>1.1</v>
      </c>
      <c r="BD441">
        <v>1</v>
      </c>
      <c r="BE441">
        <v>4</v>
      </c>
      <c r="BF441">
        <v>0.01</v>
      </c>
      <c r="BO441" s="8" t="s">
        <v>8137</v>
      </c>
      <c r="BT441">
        <v>15</v>
      </c>
      <c r="BV441" s="9">
        <v>20</v>
      </c>
      <c r="BW441" s="9">
        <v>30</v>
      </c>
      <c r="BX441" s="9">
        <v>1</v>
      </c>
      <c r="BY441" s="9" t="s">
        <v>6987</v>
      </c>
      <c r="CB441" t="s">
        <v>140</v>
      </c>
      <c r="CG441" t="s">
        <v>7057</v>
      </c>
      <c r="CH441" t="s">
        <v>8113</v>
      </c>
      <c r="CI441" t="s">
        <v>4277</v>
      </c>
      <c r="CX441" t="s">
        <v>8114</v>
      </c>
      <c r="CY441" t="s">
        <v>8115</v>
      </c>
    </row>
    <row r="442" spans="1:108">
      <c r="A442" t="s">
        <v>8137</v>
      </c>
      <c r="C442" t="s">
        <v>6968</v>
      </c>
      <c r="K442" s="6" t="s">
        <v>6953</v>
      </c>
      <c r="L442" s="6" t="s">
        <v>7098</v>
      </c>
      <c r="AC442">
        <v>1</v>
      </c>
      <c r="AY442" s="6"/>
      <c r="BD442">
        <v>1</v>
      </c>
      <c r="CB442" s="6"/>
      <c r="CC442" s="6"/>
      <c r="CD442" s="6"/>
      <c r="CE442" s="6"/>
      <c r="CF442" s="6"/>
      <c r="CH442" s="6"/>
      <c r="CI442" s="6"/>
      <c r="CJ442" s="6"/>
      <c r="CK442" s="6"/>
      <c r="CL442" s="6"/>
      <c r="CM442" s="6"/>
      <c r="CN442" s="10" t="s">
        <v>8138</v>
      </c>
      <c r="CO442">
        <v>-0.22</v>
      </c>
      <c r="CR442">
        <v>15</v>
      </c>
      <c r="DD442">
        <v>1</v>
      </c>
    </row>
    <row r="444" spans="1:102">
      <c r="A444" t="s">
        <v>8139</v>
      </c>
      <c r="C444" t="s">
        <v>6968</v>
      </c>
      <c r="K444" s="6" t="s">
        <v>6987</v>
      </c>
      <c r="Y444">
        <v>1</v>
      </c>
      <c r="AC444">
        <v>2</v>
      </c>
      <c r="AD444">
        <v>1</v>
      </c>
      <c r="AT444" t="s">
        <v>8140</v>
      </c>
      <c r="AX444" t="s">
        <v>7077</v>
      </c>
      <c r="AY444" s="6"/>
      <c r="AZ444">
        <v>1</v>
      </c>
      <c r="BD444">
        <v>99</v>
      </c>
      <c r="CB444" s="6" t="s">
        <v>140</v>
      </c>
      <c r="CC444" s="6"/>
      <c r="CD444" s="6" t="s">
        <v>7247</v>
      </c>
      <c r="CE444" s="6"/>
      <c r="CF444" s="6"/>
      <c r="CG444" t="s">
        <v>7057</v>
      </c>
      <c r="CH444" s="6"/>
      <c r="CI444" s="6"/>
      <c r="CJ444" s="6"/>
      <c r="CK444" s="6"/>
      <c r="CL444" s="6"/>
      <c r="CM444" s="6"/>
      <c r="CX444" t="s">
        <v>8141</v>
      </c>
    </row>
    <row r="445" spans="1:98">
      <c r="A445" t="s">
        <v>8142</v>
      </c>
      <c r="C445" t="s">
        <v>6968</v>
      </c>
      <c r="D445" t="s">
        <v>8143</v>
      </c>
      <c r="K445" s="6" t="s">
        <v>6987</v>
      </c>
      <c r="P445"/>
      <c r="Q445"/>
      <c r="R445"/>
      <c r="S445"/>
      <c r="T445"/>
      <c r="AC445">
        <v>2</v>
      </c>
      <c r="AD445">
        <v>1</v>
      </c>
      <c r="AO445" t="s">
        <v>7062</v>
      </c>
      <c r="AW445" s="7">
        <v>1</v>
      </c>
      <c r="BD445">
        <v>99</v>
      </c>
      <c r="BS445">
        <v>0.01</v>
      </c>
      <c r="CN445" s="10" t="s">
        <v>7170</v>
      </c>
      <c r="CO445">
        <v>-44</v>
      </c>
      <c r="CR445">
        <v>99999</v>
      </c>
      <c r="CT445">
        <v>1</v>
      </c>
    </row>
    <row r="446" spans="1:99">
      <c r="A446" t="s">
        <v>8144</v>
      </c>
      <c r="C446" t="s">
        <v>7157</v>
      </c>
      <c r="D446" t="s">
        <v>8145</v>
      </c>
      <c r="K446" s="6" t="s">
        <v>6987</v>
      </c>
      <c r="AC446">
        <v>1</v>
      </c>
      <c r="AG446" t="s">
        <v>6955</v>
      </c>
      <c r="BD446">
        <v>1</v>
      </c>
      <c r="BS446">
        <v>5.5</v>
      </c>
      <c r="CU446" t="s">
        <v>7995</v>
      </c>
    </row>
    <row r="447" spans="1:96">
      <c r="A447" t="s">
        <v>8146</v>
      </c>
      <c r="C447" t="s">
        <v>6968</v>
      </c>
      <c r="D447" t="s">
        <v>8147</v>
      </c>
      <c r="E447" t="s">
        <v>8148</v>
      </c>
      <c r="F447" t="s">
        <v>8149</v>
      </c>
      <c r="G447">
        <v>3</v>
      </c>
      <c r="J447" t="s">
        <v>6985</v>
      </c>
      <c r="K447" s="6" t="s">
        <v>6986</v>
      </c>
      <c r="AC447">
        <v>1</v>
      </c>
      <c r="AY447" s="6"/>
      <c r="BD447">
        <v>1</v>
      </c>
      <c r="BT447">
        <v>20</v>
      </c>
      <c r="BV447" s="9">
        <v>20</v>
      </c>
      <c r="BW447" s="9">
        <v>40</v>
      </c>
      <c r="BX447" s="9">
        <v>1</v>
      </c>
      <c r="BY447" s="9" t="s">
        <v>6987</v>
      </c>
      <c r="CB447" s="6"/>
      <c r="CC447" s="6"/>
      <c r="CD447" s="6"/>
      <c r="CE447" s="6"/>
      <c r="CF447" s="6"/>
      <c r="CH447" s="6"/>
      <c r="CI447" s="6"/>
      <c r="CJ447" s="6"/>
      <c r="CK447" s="6"/>
      <c r="CL447" s="6"/>
      <c r="CM447" s="6"/>
      <c r="CN447" s="10" t="s">
        <v>8146</v>
      </c>
      <c r="CO447" t="s">
        <v>8150</v>
      </c>
      <c r="CR447">
        <v>20</v>
      </c>
    </row>
    <row r="448" spans="1:102">
      <c r="A448" t="s">
        <v>8151</v>
      </c>
      <c r="C448" t="s">
        <v>6968</v>
      </c>
      <c r="D448" t="s">
        <v>8152</v>
      </c>
      <c r="E448" t="s">
        <v>8153</v>
      </c>
      <c r="F448" t="s">
        <v>8154</v>
      </c>
      <c r="G448">
        <v>3</v>
      </c>
      <c r="J448" t="s">
        <v>6985</v>
      </c>
      <c r="K448" s="6" t="s">
        <v>6987</v>
      </c>
      <c r="AC448">
        <v>2</v>
      </c>
      <c r="AD448">
        <v>1</v>
      </c>
      <c r="AT448" t="s">
        <v>8140</v>
      </c>
      <c r="AX448" t="s">
        <v>7077</v>
      </c>
      <c r="AY448" s="6"/>
      <c r="AZ448">
        <v>2.5</v>
      </c>
      <c r="BD448">
        <v>99</v>
      </c>
      <c r="BT448">
        <v>0.2</v>
      </c>
      <c r="BV448" s="9">
        <v>0</v>
      </c>
      <c r="BW448" s="9">
        <v>7</v>
      </c>
      <c r="BX448" s="9">
        <v>3</v>
      </c>
      <c r="BY448" s="9" t="s">
        <v>6987</v>
      </c>
      <c r="CB448" s="6" t="s">
        <v>140</v>
      </c>
      <c r="CC448" s="6">
        <v>1.3</v>
      </c>
      <c r="CD448" s="6"/>
      <c r="CE448" s="6"/>
      <c r="CF448" s="6"/>
      <c r="CG448" t="s">
        <v>7057</v>
      </c>
      <c r="CH448" s="6"/>
      <c r="CI448" s="6"/>
      <c r="CJ448" s="6"/>
      <c r="CK448" s="6"/>
      <c r="CL448" s="6"/>
      <c r="CM448" s="6"/>
      <c r="CN448" s="10" t="s">
        <v>8155</v>
      </c>
      <c r="CO448">
        <v>-300</v>
      </c>
      <c r="CP448">
        <v>0.3</v>
      </c>
      <c r="CR448">
        <v>3</v>
      </c>
      <c r="CW448" t="s">
        <v>8156</v>
      </c>
      <c r="CX448" t="s">
        <v>8157</v>
      </c>
    </row>
    <row r="449" spans="1:107">
      <c r="A449" t="s">
        <v>8158</v>
      </c>
      <c r="C449" t="s">
        <v>6968</v>
      </c>
      <c r="D449" t="s">
        <v>8159</v>
      </c>
      <c r="E449" t="s">
        <v>8160</v>
      </c>
      <c r="F449" t="s">
        <v>8161</v>
      </c>
      <c r="G449">
        <v>3</v>
      </c>
      <c r="J449" t="s">
        <v>7091</v>
      </c>
      <c r="K449" s="6" t="s">
        <v>6986</v>
      </c>
      <c r="AB449">
        <v>1</v>
      </c>
      <c r="AC449">
        <v>2</v>
      </c>
      <c r="AT449" t="s">
        <v>8140</v>
      </c>
      <c r="AX449" t="s">
        <v>7077</v>
      </c>
      <c r="AY449" s="6"/>
      <c r="AZ449">
        <v>1.4</v>
      </c>
      <c r="BD449">
        <v>99</v>
      </c>
      <c r="BO449" s="8" t="s">
        <v>8162</v>
      </c>
      <c r="BS449">
        <v>1</v>
      </c>
      <c r="BT449">
        <v>20</v>
      </c>
      <c r="BV449" s="9">
        <v>0</v>
      </c>
      <c r="BW449" s="9">
        <v>28</v>
      </c>
      <c r="BX449" s="9">
        <v>1</v>
      </c>
      <c r="BY449" s="9" t="s">
        <v>6987</v>
      </c>
      <c r="CB449" t="s">
        <v>6302</v>
      </c>
      <c r="CD449" t="s">
        <v>8163</v>
      </c>
      <c r="CE449" t="s">
        <v>6302</v>
      </c>
      <c r="CF449" t="s">
        <v>8163</v>
      </c>
      <c r="CG449" t="s">
        <v>7057</v>
      </c>
      <c r="CH449" s="6"/>
      <c r="CI449" s="6"/>
      <c r="CJ449" s="6"/>
      <c r="CK449" s="6"/>
      <c r="CL449" s="6"/>
      <c r="CM449" s="6"/>
      <c r="CN449" s="10" t="s">
        <v>7170</v>
      </c>
      <c r="CO449">
        <v>-20</v>
      </c>
      <c r="CR449">
        <v>1</v>
      </c>
      <c r="DB449" t="s">
        <v>8164</v>
      </c>
      <c r="DC449" t="s">
        <v>8165</v>
      </c>
    </row>
    <row r="450" spans="1:91">
      <c r="A450" t="s">
        <v>8166</v>
      </c>
      <c r="C450" t="s">
        <v>6968</v>
      </c>
      <c r="J450" t="s">
        <v>7091</v>
      </c>
      <c r="K450" s="6" t="s">
        <v>6987</v>
      </c>
      <c r="P450"/>
      <c r="Q450"/>
      <c r="R450"/>
      <c r="S450"/>
      <c r="T450"/>
      <c r="AC450">
        <v>1</v>
      </c>
      <c r="AX450" t="s">
        <v>7631</v>
      </c>
      <c r="AY450" s="6"/>
      <c r="AZ450">
        <v>0.02</v>
      </c>
      <c r="BA450">
        <v>1</v>
      </c>
      <c r="BB450">
        <v>1</v>
      </c>
      <c r="BD450">
        <v>1</v>
      </c>
      <c r="BS450">
        <v>0.01</v>
      </c>
      <c r="CB450" s="6"/>
      <c r="CC450" s="6"/>
      <c r="CD450" s="6"/>
      <c r="CE450" s="6"/>
      <c r="CF450" s="6"/>
      <c r="CH450" s="6"/>
      <c r="CI450" s="6"/>
      <c r="CJ450" s="6"/>
      <c r="CK450" s="6"/>
      <c r="CL450" s="6"/>
      <c r="CM450" s="6"/>
    </row>
    <row r="451" spans="1:108">
      <c r="A451" t="s">
        <v>8167</v>
      </c>
      <c r="C451" t="s">
        <v>6968</v>
      </c>
      <c r="K451" s="6" t="s">
        <v>6953</v>
      </c>
      <c r="L451" s="6" t="s">
        <v>7098</v>
      </c>
      <c r="AC451">
        <v>1</v>
      </c>
      <c r="AY451" s="6"/>
      <c r="BD451">
        <v>1</v>
      </c>
      <c r="CB451" s="6"/>
      <c r="CC451" s="6"/>
      <c r="CD451" s="6"/>
      <c r="CE451" s="6"/>
      <c r="CF451" s="6"/>
      <c r="CH451" s="6"/>
      <c r="CI451" s="6"/>
      <c r="CJ451" s="6"/>
      <c r="CK451" s="6"/>
      <c r="CL451" s="6"/>
      <c r="CM451" s="6"/>
      <c r="CN451" s="10" t="s">
        <v>8168</v>
      </c>
      <c r="CR451">
        <v>20</v>
      </c>
      <c r="DD451">
        <v>1</v>
      </c>
    </row>
    <row r="452" spans="16:91">
      <c r="P452"/>
      <c r="Q452"/>
      <c r="R452"/>
      <c r="S452"/>
      <c r="T452"/>
      <c r="AY452" s="6"/>
      <c r="CB452" s="6"/>
      <c r="CC452" s="6"/>
      <c r="CD452" s="6"/>
      <c r="CE452" s="6"/>
      <c r="CF452" s="6"/>
      <c r="CH452" s="6"/>
      <c r="CI452" s="6"/>
      <c r="CJ452" s="6"/>
      <c r="CK452" s="6"/>
      <c r="CL452" s="6"/>
      <c r="CM452" s="6"/>
    </row>
    <row r="453" spans="1:103">
      <c r="A453" t="s">
        <v>8169</v>
      </c>
      <c r="C453" t="s">
        <v>6968</v>
      </c>
      <c r="K453" s="6" t="s">
        <v>6987</v>
      </c>
      <c r="AC453">
        <v>2</v>
      </c>
      <c r="AD453">
        <v>1</v>
      </c>
      <c r="AO453" t="s">
        <v>7062</v>
      </c>
      <c r="AT453" t="s">
        <v>7056</v>
      </c>
      <c r="AX453" t="s">
        <v>7077</v>
      </c>
      <c r="AZ453">
        <v>1</v>
      </c>
      <c r="BD453">
        <v>1</v>
      </c>
      <c r="CB453" t="s">
        <v>140</v>
      </c>
      <c r="CG453" t="s">
        <v>7057</v>
      </c>
      <c r="CH453" t="s">
        <v>8170</v>
      </c>
      <c r="CI453" t="s">
        <v>4277</v>
      </c>
      <c r="CX453" t="s">
        <v>8171</v>
      </c>
      <c r="CY453" t="s">
        <v>8172</v>
      </c>
    </row>
    <row r="454" spans="1:98">
      <c r="A454" t="s">
        <v>8173</v>
      </c>
      <c r="C454" t="s">
        <v>6968</v>
      </c>
      <c r="K454" s="6" t="s">
        <v>6953</v>
      </c>
      <c r="L454" s="6" t="s">
        <v>7060</v>
      </c>
      <c r="AC454">
        <v>1</v>
      </c>
      <c r="AI454" t="s">
        <v>370</v>
      </c>
      <c r="AY454" s="6"/>
      <c r="BD454">
        <v>99</v>
      </c>
      <c r="BO454" s="8" t="s">
        <v>8174</v>
      </c>
      <c r="BV454"/>
      <c r="BW454"/>
      <c r="BX454"/>
      <c r="BY454"/>
      <c r="BZ454"/>
      <c r="CA454"/>
      <c r="CB454" s="6"/>
      <c r="CC454" s="6"/>
      <c r="CD454" s="6"/>
      <c r="CE454" s="6"/>
      <c r="CF454" s="6"/>
      <c r="CH454" s="6"/>
      <c r="CI454" s="6"/>
      <c r="CJ454" s="6"/>
      <c r="CK454" s="6"/>
      <c r="CL454" s="6"/>
      <c r="CM454" s="6"/>
      <c r="CN454" s="10" t="s">
        <v>7182</v>
      </c>
      <c r="CO454">
        <v>0.16</v>
      </c>
      <c r="CR454">
        <v>99999</v>
      </c>
      <c r="CT454">
        <v>1</v>
      </c>
    </row>
    <row r="455" spans="1:98">
      <c r="A455" t="s">
        <v>8174</v>
      </c>
      <c r="C455" t="s">
        <v>6968</v>
      </c>
      <c r="K455" s="6" t="s">
        <v>6953</v>
      </c>
      <c r="L455" s="6" t="s">
        <v>6969</v>
      </c>
      <c r="AC455">
        <v>1</v>
      </c>
      <c r="AF455">
        <v>1</v>
      </c>
      <c r="AG455" t="s">
        <v>7481</v>
      </c>
      <c r="AI455" t="s">
        <v>370</v>
      </c>
      <c r="AY455" s="6"/>
      <c r="BD455">
        <v>1</v>
      </c>
      <c r="BV455"/>
      <c r="BW455"/>
      <c r="BX455"/>
      <c r="BY455"/>
      <c r="BZ455"/>
      <c r="CA455"/>
      <c r="CB455" s="6"/>
      <c r="CC455" s="6"/>
      <c r="CD455" s="6"/>
      <c r="CE455" s="6"/>
      <c r="CF455" s="6"/>
      <c r="CH455" s="6"/>
      <c r="CI455" s="6"/>
      <c r="CJ455" s="6"/>
      <c r="CK455" s="6"/>
      <c r="CL455" s="6"/>
      <c r="CM455" s="6"/>
      <c r="CN455" s="10" t="s">
        <v>7182</v>
      </c>
      <c r="CO455">
        <v>0.16</v>
      </c>
      <c r="CR455">
        <v>99999</v>
      </c>
      <c r="CT455">
        <v>1</v>
      </c>
    </row>
    <row r="456" spans="1:108">
      <c r="A456" t="s">
        <v>8175</v>
      </c>
      <c r="C456" t="s">
        <v>7157</v>
      </c>
      <c r="K456" s="6" t="s">
        <v>6953</v>
      </c>
      <c r="L456" s="6" t="s">
        <v>7158</v>
      </c>
      <c r="AC456">
        <v>1</v>
      </c>
      <c r="AG456" t="s">
        <v>6955</v>
      </c>
      <c r="AY456" s="6"/>
      <c r="BD456">
        <v>1</v>
      </c>
      <c r="BV456"/>
      <c r="BW456"/>
      <c r="BX456"/>
      <c r="BY456"/>
      <c r="BZ456"/>
      <c r="CA456"/>
      <c r="CB456" s="6"/>
      <c r="CC456" s="6"/>
      <c r="CD456" s="6"/>
      <c r="CE456" s="6"/>
      <c r="CF456" s="6"/>
      <c r="CH456" s="6"/>
      <c r="CI456" s="6"/>
      <c r="CJ456" s="6"/>
      <c r="CK456" s="6"/>
      <c r="CL456" s="6"/>
      <c r="CM456" s="6"/>
      <c r="CU456" t="s">
        <v>8176</v>
      </c>
      <c r="DD456">
        <v>1</v>
      </c>
    </row>
    <row r="457" spans="1:96">
      <c r="A457" t="s">
        <v>8177</v>
      </c>
      <c r="C457" t="s">
        <v>6968</v>
      </c>
      <c r="D457" t="s">
        <v>8178</v>
      </c>
      <c r="E457" t="s">
        <v>8179</v>
      </c>
      <c r="F457" t="s">
        <v>8180</v>
      </c>
      <c r="G457">
        <v>3</v>
      </c>
      <c r="J457" t="s">
        <v>7091</v>
      </c>
      <c r="K457" s="6" t="s">
        <v>6986</v>
      </c>
      <c r="L457" s="6" t="s">
        <v>7098</v>
      </c>
      <c r="AC457">
        <v>1</v>
      </c>
      <c r="AY457" s="6"/>
      <c r="BD457">
        <v>1</v>
      </c>
      <c r="BR457" t="s">
        <v>8181</v>
      </c>
      <c r="BT457">
        <v>25</v>
      </c>
      <c r="BV457" s="9">
        <v>25</v>
      </c>
      <c r="BW457" s="9">
        <v>35</v>
      </c>
      <c r="BX457" s="9">
        <v>1</v>
      </c>
      <c r="BY457" s="9" t="s">
        <v>6987</v>
      </c>
      <c r="CB457" s="6"/>
      <c r="CC457" s="6"/>
      <c r="CD457" s="6"/>
      <c r="CE457" s="6"/>
      <c r="CF457" s="6"/>
      <c r="CH457" s="6"/>
      <c r="CI457" s="6"/>
      <c r="CJ457" s="6"/>
      <c r="CK457" s="6"/>
      <c r="CL457" s="6"/>
      <c r="CM457" s="6"/>
      <c r="CN457" s="10" t="s">
        <v>7184</v>
      </c>
      <c r="CO457">
        <v>60</v>
      </c>
      <c r="CR457">
        <v>25</v>
      </c>
    </row>
    <row r="458" spans="1:96">
      <c r="A458" t="s">
        <v>8181</v>
      </c>
      <c r="C458" t="s">
        <v>6968</v>
      </c>
      <c r="J458" t="s">
        <v>7091</v>
      </c>
      <c r="K458" s="6" t="s">
        <v>6986</v>
      </c>
      <c r="L458" s="6" t="s">
        <v>7098</v>
      </c>
      <c r="AC458">
        <v>1</v>
      </c>
      <c r="AY458" s="6"/>
      <c r="BD458">
        <v>1</v>
      </c>
      <c r="BT458">
        <v>25</v>
      </c>
      <c r="BV458" s="9">
        <v>0</v>
      </c>
      <c r="BW458" s="9">
        <v>35</v>
      </c>
      <c r="BX458" s="9">
        <v>1</v>
      </c>
      <c r="BY458" s="9" t="s">
        <v>6987</v>
      </c>
      <c r="CB458" s="6"/>
      <c r="CC458" s="6"/>
      <c r="CD458" s="6"/>
      <c r="CE458" s="6"/>
      <c r="CF458" s="6"/>
      <c r="CH458" s="6"/>
      <c r="CI458" s="6"/>
      <c r="CJ458" s="6"/>
      <c r="CK458" s="6"/>
      <c r="CL458" s="6"/>
      <c r="CM458" s="6"/>
      <c r="CN458" s="10" t="s">
        <v>8177</v>
      </c>
      <c r="CO458" t="s">
        <v>7178</v>
      </c>
      <c r="CR458">
        <v>25</v>
      </c>
    </row>
    <row r="459" spans="1:104">
      <c r="A459" t="s">
        <v>8182</v>
      </c>
      <c r="C459" t="s">
        <v>6968</v>
      </c>
      <c r="D459" t="s">
        <v>8183</v>
      </c>
      <c r="E459" t="s">
        <v>8184</v>
      </c>
      <c r="F459" t="s">
        <v>8185</v>
      </c>
      <c r="G459">
        <v>3</v>
      </c>
      <c r="J459" t="s">
        <v>6985</v>
      </c>
      <c r="K459" s="6" t="s">
        <v>6987</v>
      </c>
      <c r="AC459">
        <v>2</v>
      </c>
      <c r="AD459">
        <v>1</v>
      </c>
      <c r="AT459" t="s">
        <v>7056</v>
      </c>
      <c r="AX459" t="s">
        <v>7077</v>
      </c>
      <c r="AY459" s="6"/>
      <c r="AZ459">
        <v>3.7</v>
      </c>
      <c r="BD459">
        <v>1</v>
      </c>
      <c r="BJ459">
        <v>1.5</v>
      </c>
      <c r="BK459">
        <v>1</v>
      </c>
      <c r="BL459">
        <v>0.5</v>
      </c>
      <c r="BT459">
        <v>0.5</v>
      </c>
      <c r="BV459" s="9">
        <v>0</v>
      </c>
      <c r="BW459" s="9">
        <v>5</v>
      </c>
      <c r="BX459" s="9">
        <v>3</v>
      </c>
      <c r="BY459" s="9" t="s">
        <v>6987</v>
      </c>
      <c r="CB459" s="6" t="s">
        <v>140</v>
      </c>
      <c r="CC459" s="6"/>
      <c r="CD459" s="6"/>
      <c r="CE459" s="6"/>
      <c r="CF459" s="6"/>
      <c r="CG459" t="s">
        <v>7057</v>
      </c>
      <c r="CH459" t="s">
        <v>8186</v>
      </c>
      <c r="CI459" t="s">
        <v>4277</v>
      </c>
      <c r="CJ459" s="6"/>
      <c r="CK459" s="6"/>
      <c r="CL459" s="6"/>
      <c r="CM459" s="6"/>
      <c r="CN459" s="10" t="s">
        <v>7170</v>
      </c>
      <c r="CO459">
        <v>-25</v>
      </c>
      <c r="CR459">
        <v>6</v>
      </c>
      <c r="CY459" t="s">
        <v>8187</v>
      </c>
      <c r="CZ459" t="s">
        <v>8188</v>
      </c>
    </row>
    <row r="460" ht="15" customHeight="1" spans="1:87">
      <c r="A460" t="s">
        <v>8189</v>
      </c>
      <c r="C460" t="s">
        <v>6968</v>
      </c>
      <c r="D460" t="s">
        <v>8190</v>
      </c>
      <c r="E460" t="s">
        <v>8191</v>
      </c>
      <c r="F460" t="s">
        <v>8192</v>
      </c>
      <c r="G460">
        <v>3</v>
      </c>
      <c r="J460" t="s">
        <v>7091</v>
      </c>
      <c r="K460" s="6" t="s">
        <v>6986</v>
      </c>
      <c r="AB460">
        <v>1</v>
      </c>
      <c r="AC460">
        <v>2</v>
      </c>
      <c r="AD460">
        <v>1</v>
      </c>
      <c r="AO460" t="s">
        <v>7619</v>
      </c>
      <c r="AT460" t="s">
        <v>8193</v>
      </c>
      <c r="AX460" t="s">
        <v>7077</v>
      </c>
      <c r="AZ460">
        <v>1</v>
      </c>
      <c r="BD460">
        <v>6</v>
      </c>
      <c r="BO460" s="8" t="s">
        <v>8194</v>
      </c>
      <c r="BT460">
        <v>15</v>
      </c>
      <c r="BV460" s="9">
        <v>55</v>
      </c>
      <c r="BW460" s="9">
        <v>80</v>
      </c>
      <c r="BX460" s="9">
        <v>1</v>
      </c>
      <c r="BY460" s="9" t="s">
        <v>6987</v>
      </c>
      <c r="CB460" t="s">
        <v>218</v>
      </c>
      <c r="CE460" t="s">
        <v>527</v>
      </c>
      <c r="CG460" t="s">
        <v>7057</v>
      </c>
      <c r="CH460" t="s">
        <v>8195</v>
      </c>
      <c r="CI460" t="s">
        <v>4277</v>
      </c>
    </row>
    <row r="461" spans="1:108">
      <c r="A461" t="s">
        <v>8194</v>
      </c>
      <c r="C461" t="s">
        <v>6968</v>
      </c>
      <c r="K461" s="6" t="s">
        <v>6953</v>
      </c>
      <c r="L461" s="6" t="s">
        <v>7098</v>
      </c>
      <c r="AC461">
        <v>1</v>
      </c>
      <c r="AY461" s="6"/>
      <c r="BD461">
        <v>1</v>
      </c>
      <c r="CB461" s="6"/>
      <c r="CC461" s="6"/>
      <c r="CD461" s="6"/>
      <c r="CE461" s="6"/>
      <c r="CF461" s="6"/>
      <c r="CH461" s="6"/>
      <c r="CI461" s="6"/>
      <c r="CJ461" s="6"/>
      <c r="CK461" s="6"/>
      <c r="CL461" s="6"/>
      <c r="CM461" s="6"/>
      <c r="CN461" s="10" t="s">
        <v>8194</v>
      </c>
      <c r="CO461" t="s">
        <v>8196</v>
      </c>
      <c r="CR461">
        <v>15</v>
      </c>
      <c r="DD461">
        <v>1</v>
      </c>
    </row>
    <row r="462" spans="51:91">
      <c r="AY462" s="6"/>
      <c r="CB462" s="6"/>
      <c r="CC462" s="6"/>
      <c r="CD462" s="6"/>
      <c r="CE462" s="6"/>
      <c r="CF462" s="6"/>
      <c r="CH462" s="6"/>
      <c r="CI462" s="6"/>
      <c r="CJ462" s="6"/>
      <c r="CK462" s="6"/>
      <c r="CL462" s="6"/>
      <c r="CM462" s="6"/>
    </row>
    <row r="463" spans="1:103">
      <c r="A463" t="s">
        <v>8197</v>
      </c>
      <c r="C463" t="s">
        <v>6968</v>
      </c>
      <c r="K463" s="6" t="s">
        <v>6987</v>
      </c>
      <c r="AC463">
        <v>2</v>
      </c>
      <c r="AD463">
        <v>1</v>
      </c>
      <c r="AO463" t="s">
        <v>7062</v>
      </c>
      <c r="AT463" t="s">
        <v>7128</v>
      </c>
      <c r="AX463" t="s">
        <v>7077</v>
      </c>
      <c r="AZ463">
        <v>1</v>
      </c>
      <c r="BD463">
        <v>1</v>
      </c>
      <c r="CB463" t="s">
        <v>140</v>
      </c>
      <c r="CG463" t="s">
        <v>7057</v>
      </c>
      <c r="CH463" t="s">
        <v>8198</v>
      </c>
      <c r="CI463" t="s">
        <v>4277</v>
      </c>
      <c r="CN463" s="10" t="s">
        <v>7131</v>
      </c>
      <c r="CO463">
        <v>-0.8</v>
      </c>
      <c r="CR463">
        <v>0.8</v>
      </c>
      <c r="CX463" t="s">
        <v>8199</v>
      </c>
      <c r="CY463" t="s">
        <v>8200</v>
      </c>
    </row>
    <row r="464" spans="1:98">
      <c r="A464" t="s">
        <v>8201</v>
      </c>
      <c r="C464" t="s">
        <v>6968</v>
      </c>
      <c r="K464" s="6" t="s">
        <v>6953</v>
      </c>
      <c r="L464" s="6" t="s">
        <v>7158</v>
      </c>
      <c r="AC464">
        <v>1</v>
      </c>
      <c r="AY464" s="6"/>
      <c r="BD464">
        <v>99</v>
      </c>
      <c r="BO464" s="8" t="s">
        <v>8202</v>
      </c>
      <c r="BV464"/>
      <c r="BW464"/>
      <c r="BX464"/>
      <c r="BY464"/>
      <c r="BZ464"/>
      <c r="CA464"/>
      <c r="CB464" s="6"/>
      <c r="CC464" s="6"/>
      <c r="CD464" s="6"/>
      <c r="CE464" s="6"/>
      <c r="CF464" s="6"/>
      <c r="CH464" s="6"/>
      <c r="CI464" s="6"/>
      <c r="CJ464" s="6"/>
      <c r="CK464" s="6"/>
      <c r="CL464" s="6"/>
      <c r="CM464" s="6"/>
      <c r="CN464" s="10" t="s">
        <v>7184</v>
      </c>
      <c r="CO464">
        <v>8</v>
      </c>
      <c r="CR464">
        <v>99999</v>
      </c>
      <c r="CT464">
        <v>1</v>
      </c>
    </row>
    <row r="465" spans="1:98">
      <c r="A465" t="s">
        <v>8202</v>
      </c>
      <c r="C465" t="s">
        <v>6968</v>
      </c>
      <c r="K465" s="6" t="s">
        <v>6953</v>
      </c>
      <c r="L465" s="6" t="s">
        <v>7158</v>
      </c>
      <c r="AC465">
        <v>1</v>
      </c>
      <c r="AF465">
        <v>1</v>
      </c>
      <c r="AG465" t="s">
        <v>7481</v>
      </c>
      <c r="AY465" s="6"/>
      <c r="BD465">
        <v>1</v>
      </c>
      <c r="BV465"/>
      <c r="BW465"/>
      <c r="BX465"/>
      <c r="BY465"/>
      <c r="BZ465"/>
      <c r="CA465"/>
      <c r="CB465" s="6"/>
      <c r="CC465" s="6"/>
      <c r="CD465" s="6"/>
      <c r="CE465" s="6"/>
      <c r="CF465" s="6"/>
      <c r="CH465" s="6"/>
      <c r="CI465" s="6"/>
      <c r="CJ465" s="6"/>
      <c r="CK465" s="6"/>
      <c r="CL465" s="6"/>
      <c r="CM465" s="6"/>
      <c r="CN465" s="10" t="s">
        <v>7184</v>
      </c>
      <c r="CO465">
        <v>8</v>
      </c>
      <c r="CR465">
        <v>99999</v>
      </c>
      <c r="CT465">
        <v>1</v>
      </c>
    </row>
    <row r="466" spans="1:91">
      <c r="A466" t="s">
        <v>8203</v>
      </c>
      <c r="C466" t="s">
        <v>6968</v>
      </c>
      <c r="K466" s="6" t="s">
        <v>6987</v>
      </c>
      <c r="S466" s="6">
        <v>1</v>
      </c>
      <c r="AC466">
        <v>1</v>
      </c>
      <c r="AV466">
        <v>99</v>
      </c>
      <c r="AY466" s="6">
        <v>1</v>
      </c>
      <c r="AZ466">
        <v>25</v>
      </c>
      <c r="BA466">
        <v>1</v>
      </c>
      <c r="BB466">
        <v>2</v>
      </c>
      <c r="BD466">
        <v>99</v>
      </c>
      <c r="BS466">
        <v>1</v>
      </c>
      <c r="BV466"/>
      <c r="BW466"/>
      <c r="BX466"/>
      <c r="BY466"/>
      <c r="BZ466"/>
      <c r="CA466"/>
      <c r="CB466" s="6"/>
      <c r="CC466" s="6"/>
      <c r="CD466" s="6"/>
      <c r="CE466" s="6"/>
      <c r="CF466" s="6"/>
      <c r="CH466" s="6"/>
      <c r="CI466" s="6"/>
      <c r="CJ466" s="6"/>
      <c r="CK466" s="6"/>
      <c r="CL466" s="6"/>
      <c r="CM466" s="6"/>
    </row>
    <row r="467" spans="1:96">
      <c r="A467" t="s">
        <v>8204</v>
      </c>
      <c r="C467" t="s">
        <v>6968</v>
      </c>
      <c r="D467" t="s">
        <v>8205</v>
      </c>
      <c r="E467" t="s">
        <v>8206</v>
      </c>
      <c r="F467" t="s">
        <v>8207</v>
      </c>
      <c r="G467">
        <v>3</v>
      </c>
      <c r="J467" t="s">
        <v>6985</v>
      </c>
      <c r="K467" s="6" t="s">
        <v>6986</v>
      </c>
      <c r="W467" s="6">
        <v>1</v>
      </c>
      <c r="AC467">
        <v>1</v>
      </c>
      <c r="AY467" s="6"/>
      <c r="BD467">
        <v>1</v>
      </c>
      <c r="BT467">
        <v>35</v>
      </c>
      <c r="BV467" s="9">
        <v>0</v>
      </c>
      <c r="BW467" s="9">
        <v>10</v>
      </c>
      <c r="BX467" s="9">
        <v>1</v>
      </c>
      <c r="BY467" s="9" t="s">
        <v>7142</v>
      </c>
      <c r="CB467" s="6"/>
      <c r="CC467" s="6"/>
      <c r="CD467" s="6"/>
      <c r="CE467" s="6"/>
      <c r="CF467" s="6"/>
      <c r="CH467" s="6"/>
      <c r="CI467" s="6"/>
      <c r="CJ467" s="6"/>
      <c r="CK467" s="6"/>
      <c r="CL467" s="6"/>
      <c r="CM467" s="6"/>
      <c r="CN467" s="10" t="s">
        <v>6988</v>
      </c>
      <c r="CO467">
        <v>1.1</v>
      </c>
      <c r="CR467">
        <v>35</v>
      </c>
    </row>
    <row r="468" spans="1:107">
      <c r="A468" t="s">
        <v>8208</v>
      </c>
      <c r="C468" t="s">
        <v>6968</v>
      </c>
      <c r="D468" t="s">
        <v>8209</v>
      </c>
      <c r="E468" t="s">
        <v>8210</v>
      </c>
      <c r="F468" t="s">
        <v>8211</v>
      </c>
      <c r="G468">
        <v>3</v>
      </c>
      <c r="J468" t="s">
        <v>7091</v>
      </c>
      <c r="K468" s="6" t="s">
        <v>6986</v>
      </c>
      <c r="AC468">
        <v>2</v>
      </c>
      <c r="AD468">
        <v>1</v>
      </c>
      <c r="AO468" t="s">
        <v>7062</v>
      </c>
      <c r="AT468" t="s">
        <v>7128</v>
      </c>
      <c r="AX468" t="s">
        <v>7077</v>
      </c>
      <c r="AZ468">
        <v>0.45</v>
      </c>
      <c r="BD468">
        <v>1</v>
      </c>
      <c r="BO468" s="8" t="s">
        <v>8212</v>
      </c>
      <c r="BT468">
        <v>30</v>
      </c>
      <c r="BV468" s="9">
        <v>10</v>
      </c>
      <c r="BW468" s="9">
        <v>15</v>
      </c>
      <c r="BX468" s="9">
        <v>1</v>
      </c>
      <c r="BY468" s="9" t="s">
        <v>6987</v>
      </c>
      <c r="CB468" t="s">
        <v>218</v>
      </c>
      <c r="CE468" t="s">
        <v>8213</v>
      </c>
      <c r="CG468" t="s">
        <v>7057</v>
      </c>
      <c r="CH468" t="s">
        <v>8214</v>
      </c>
      <c r="CI468" t="s">
        <v>4277</v>
      </c>
      <c r="CN468" s="10" t="s">
        <v>7131</v>
      </c>
      <c r="CO468">
        <v>-0.8</v>
      </c>
      <c r="CR468">
        <v>0.8</v>
      </c>
      <c r="CY468" t="s">
        <v>8215</v>
      </c>
      <c r="DC468" t="s">
        <v>8216</v>
      </c>
    </row>
    <row r="469" spans="1:96">
      <c r="A469" t="s">
        <v>8217</v>
      </c>
      <c r="C469" t="s">
        <v>6968</v>
      </c>
      <c r="K469" s="6" t="s">
        <v>6953</v>
      </c>
      <c r="L469" s="6" t="s">
        <v>7098</v>
      </c>
      <c r="AC469">
        <v>1</v>
      </c>
      <c r="AY469" s="6"/>
      <c r="BD469">
        <v>1</v>
      </c>
      <c r="CB469" s="6"/>
      <c r="CC469" s="6"/>
      <c r="CD469" s="6"/>
      <c r="CE469" s="6"/>
      <c r="CF469" s="6"/>
      <c r="CH469" s="6"/>
      <c r="CI469" s="6"/>
      <c r="CJ469" s="6"/>
      <c r="CK469" s="6"/>
      <c r="CL469" s="6"/>
      <c r="CM469" s="6"/>
      <c r="CN469" s="10" t="s">
        <v>8218</v>
      </c>
      <c r="CO469">
        <v>-0.85</v>
      </c>
      <c r="CR469">
        <v>30</v>
      </c>
    </row>
    <row r="470" spans="1:107">
      <c r="A470" t="s">
        <v>8219</v>
      </c>
      <c r="C470" t="s">
        <v>6968</v>
      </c>
      <c r="D470" t="s">
        <v>8220</v>
      </c>
      <c r="E470" t="s">
        <v>8221</v>
      </c>
      <c r="F470" t="s">
        <v>8222</v>
      </c>
      <c r="G470">
        <v>3</v>
      </c>
      <c r="J470" t="s">
        <v>7091</v>
      </c>
      <c r="K470" s="6" t="s">
        <v>6986</v>
      </c>
      <c r="Y470">
        <v>1</v>
      </c>
      <c r="AC470">
        <v>2</v>
      </c>
      <c r="AD470">
        <v>1</v>
      </c>
      <c r="AO470" t="s">
        <v>7062</v>
      </c>
      <c r="AT470" t="s">
        <v>8223</v>
      </c>
      <c r="AX470" t="s">
        <v>7077</v>
      </c>
      <c r="AY470" s="6"/>
      <c r="AZ470">
        <v>1</v>
      </c>
      <c r="BD470">
        <v>5</v>
      </c>
      <c r="BO470" s="8" t="s">
        <v>8224</v>
      </c>
      <c r="BT470">
        <v>25</v>
      </c>
      <c r="BV470" s="9">
        <v>15</v>
      </c>
      <c r="BW470" s="9">
        <v>25</v>
      </c>
      <c r="BX470" s="9">
        <v>1</v>
      </c>
      <c r="BY470" s="9" t="s">
        <v>6987</v>
      </c>
      <c r="CB470" s="6" t="s">
        <v>218</v>
      </c>
      <c r="CC470" s="6"/>
      <c r="CD470" s="6"/>
      <c r="CE470" t="s">
        <v>8225</v>
      </c>
      <c r="CG470" t="s">
        <v>7057</v>
      </c>
      <c r="CH470" t="s">
        <v>8226</v>
      </c>
      <c r="CI470" t="s">
        <v>4277</v>
      </c>
      <c r="CJ470" s="6"/>
      <c r="CK470" s="6"/>
      <c r="CL470" s="6"/>
      <c r="CM470" s="6"/>
      <c r="CN470" s="10" t="s">
        <v>7131</v>
      </c>
      <c r="CO470">
        <v>-0.8</v>
      </c>
      <c r="CR470">
        <v>0.8</v>
      </c>
      <c r="CY470" t="s">
        <v>8200</v>
      </c>
      <c r="DC470" t="s">
        <v>8227</v>
      </c>
    </row>
    <row r="471" spans="1:96">
      <c r="A471" t="s">
        <v>8228</v>
      </c>
      <c r="C471" t="s">
        <v>6968</v>
      </c>
      <c r="K471" s="6" t="s">
        <v>6953</v>
      </c>
      <c r="L471" s="6" t="s">
        <v>7098</v>
      </c>
      <c r="AC471">
        <v>1</v>
      </c>
      <c r="AY471" s="6"/>
      <c r="BD471">
        <v>1</v>
      </c>
      <c r="CB471" s="6"/>
      <c r="CC471" s="6"/>
      <c r="CD471" s="6"/>
      <c r="CE471" s="6"/>
      <c r="CF471" s="6"/>
      <c r="CH471" s="6"/>
      <c r="CI471" s="6"/>
      <c r="CJ471" s="6"/>
      <c r="CK471" s="6"/>
      <c r="CL471" s="6"/>
      <c r="CM471" s="6"/>
      <c r="CN471" s="10" t="s">
        <v>8229</v>
      </c>
      <c r="CO471">
        <v>1.5</v>
      </c>
      <c r="CR471">
        <v>25</v>
      </c>
    </row>
    <row r="472" spans="1:98">
      <c r="A472" t="s">
        <v>8230</v>
      </c>
      <c r="C472" t="s">
        <v>6968</v>
      </c>
      <c r="K472" s="6" t="s">
        <v>6953</v>
      </c>
      <c r="L472" s="6" t="s">
        <v>7098</v>
      </c>
      <c r="O472" s="6" t="s">
        <v>8231</v>
      </c>
      <c r="AC472">
        <v>2</v>
      </c>
      <c r="AD472">
        <v>1</v>
      </c>
      <c r="AV472">
        <v>99</v>
      </c>
      <c r="AY472" s="6"/>
      <c r="BD472">
        <v>99</v>
      </c>
      <c r="BV472"/>
      <c r="BW472"/>
      <c r="BX472"/>
      <c r="BY472"/>
      <c r="BZ472"/>
      <c r="CA472"/>
      <c r="CB472" s="6"/>
      <c r="CC472" s="6"/>
      <c r="CD472" s="6"/>
      <c r="CE472" s="6"/>
      <c r="CF472" s="6"/>
      <c r="CH472" s="6"/>
      <c r="CI472" s="6"/>
      <c r="CJ472" s="6"/>
      <c r="CK472" s="6"/>
      <c r="CL472" s="6"/>
      <c r="CM472" s="6"/>
      <c r="CN472" s="10" t="s">
        <v>8232</v>
      </c>
      <c r="CO472">
        <v>-1</v>
      </c>
      <c r="CR472">
        <v>99999</v>
      </c>
      <c r="CT472">
        <v>1</v>
      </c>
    </row>
    <row r="473" spans="1:98">
      <c r="A473" t="s">
        <v>8233</v>
      </c>
      <c r="C473" t="s">
        <v>6968</v>
      </c>
      <c r="K473" s="6" t="s">
        <v>6953</v>
      </c>
      <c r="L473" s="6" t="s">
        <v>6969</v>
      </c>
      <c r="O473" s="6" t="s">
        <v>8231</v>
      </c>
      <c r="AC473">
        <v>2</v>
      </c>
      <c r="AD473">
        <v>1</v>
      </c>
      <c r="AF473">
        <v>1</v>
      </c>
      <c r="AY473" s="6"/>
      <c r="BD473">
        <v>1</v>
      </c>
      <c r="BV473"/>
      <c r="BW473"/>
      <c r="BX473"/>
      <c r="BY473"/>
      <c r="BZ473"/>
      <c r="CA473"/>
      <c r="CB473" s="6"/>
      <c r="CC473" s="6"/>
      <c r="CD473" s="6"/>
      <c r="CE473" s="6"/>
      <c r="CF473" s="6"/>
      <c r="CH473" s="6"/>
      <c r="CI473" s="6"/>
      <c r="CJ473" s="6"/>
      <c r="CK473" s="6"/>
      <c r="CL473" s="6"/>
      <c r="CM473" s="6"/>
      <c r="CN473" s="10" t="s">
        <v>8232</v>
      </c>
      <c r="CO473">
        <v>-1</v>
      </c>
      <c r="CR473">
        <v>99999</v>
      </c>
      <c r="CT473">
        <v>1</v>
      </c>
    </row>
    <row r="474" spans="1:96">
      <c r="A474" t="s">
        <v>8234</v>
      </c>
      <c r="C474" t="s">
        <v>6968</v>
      </c>
      <c r="K474" s="6" t="s">
        <v>6953</v>
      </c>
      <c r="L474" s="6" t="s">
        <v>7060</v>
      </c>
      <c r="AC474">
        <v>1</v>
      </c>
      <c r="AY474" s="6"/>
      <c r="CB474" s="6"/>
      <c r="CC474" s="6"/>
      <c r="CD474" s="6"/>
      <c r="CE474" s="6"/>
      <c r="CF474" s="6"/>
      <c r="CH474" s="6"/>
      <c r="CI474" s="6"/>
      <c r="CJ474" s="6"/>
      <c r="CK474" s="6"/>
      <c r="CL474" s="6"/>
      <c r="CM474" s="6"/>
      <c r="CN474" s="10" t="s">
        <v>8235</v>
      </c>
      <c r="CR474">
        <v>99999</v>
      </c>
    </row>
    <row r="475" spans="51:91">
      <c r="AY475" s="6"/>
      <c r="CB475" s="6"/>
      <c r="CC475" s="6"/>
      <c r="CD475" s="6"/>
      <c r="CE475" s="6"/>
      <c r="CF475" s="6"/>
      <c r="CH475" s="6"/>
      <c r="CI475" s="6"/>
      <c r="CJ475" s="6"/>
      <c r="CK475" s="6"/>
      <c r="CL475" s="6"/>
      <c r="CM475" s="6"/>
    </row>
    <row r="476" spans="1:85">
      <c r="A476" t="s">
        <v>8236</v>
      </c>
      <c r="C476" t="s">
        <v>6968</v>
      </c>
      <c r="K476" s="6" t="s">
        <v>6987</v>
      </c>
      <c r="AC476">
        <v>1</v>
      </c>
      <c r="AO476" t="s">
        <v>7055</v>
      </c>
      <c r="AT476" t="s">
        <v>7145</v>
      </c>
      <c r="AY476">
        <v>1</v>
      </c>
      <c r="AZ476">
        <v>1</v>
      </c>
      <c r="BD476">
        <v>1</v>
      </c>
      <c r="CB476" t="s">
        <v>140</v>
      </c>
      <c r="CG476" t="s">
        <v>7057</v>
      </c>
    </row>
    <row r="477" spans="1:96">
      <c r="A477" t="s">
        <v>8237</v>
      </c>
      <c r="C477" t="s">
        <v>6968</v>
      </c>
      <c r="K477" s="6" t="s">
        <v>6987</v>
      </c>
      <c r="AC477">
        <v>1</v>
      </c>
      <c r="AT477" t="s">
        <v>7145</v>
      </c>
      <c r="AY477" s="6"/>
      <c r="BD477">
        <v>99</v>
      </c>
      <c r="CB477" s="6"/>
      <c r="CC477" s="6"/>
      <c r="CD477" s="6"/>
      <c r="CE477" s="6"/>
      <c r="CF477" s="6"/>
      <c r="CH477" s="6"/>
      <c r="CI477" s="6"/>
      <c r="CJ477" s="6"/>
      <c r="CK477" s="6"/>
      <c r="CL477" s="6"/>
      <c r="CM477" s="6"/>
      <c r="CN477" s="10" t="s">
        <v>7601</v>
      </c>
      <c r="CO477">
        <v>65</v>
      </c>
      <c r="CR477">
        <v>0.2</v>
      </c>
    </row>
    <row r="478" spans="1:96">
      <c r="A478" t="s">
        <v>8238</v>
      </c>
      <c r="C478" t="s">
        <v>6968</v>
      </c>
      <c r="K478" s="6" t="s">
        <v>6953</v>
      </c>
      <c r="L478" s="6" t="s">
        <v>7060</v>
      </c>
      <c r="AC478">
        <v>1</v>
      </c>
      <c r="AG478" t="s">
        <v>6955</v>
      </c>
      <c r="AH478">
        <v>1</v>
      </c>
      <c r="AY478" s="6"/>
      <c r="BD478">
        <v>1</v>
      </c>
      <c r="BV478"/>
      <c r="BW478"/>
      <c r="BX478"/>
      <c r="BY478"/>
      <c r="BZ478"/>
      <c r="CA478"/>
      <c r="CB478" s="6"/>
      <c r="CC478" s="6"/>
      <c r="CD478" s="6"/>
      <c r="CE478" s="6"/>
      <c r="CF478" s="6"/>
      <c r="CH478" s="6"/>
      <c r="CI478" s="6"/>
      <c r="CJ478" s="6"/>
      <c r="CK478" s="6"/>
      <c r="CL478" s="6"/>
      <c r="CM478" s="6"/>
      <c r="CN478" s="10" t="s">
        <v>7134</v>
      </c>
      <c r="CO478">
        <v>13</v>
      </c>
      <c r="CR478">
        <v>99999</v>
      </c>
    </row>
    <row r="479" spans="1:96">
      <c r="A479" t="s">
        <v>8239</v>
      </c>
      <c r="C479" t="s">
        <v>6968</v>
      </c>
      <c r="D479" t="s">
        <v>8240</v>
      </c>
      <c r="E479" t="s">
        <v>8241</v>
      </c>
      <c r="F479" t="s">
        <v>8242</v>
      </c>
      <c r="G479">
        <v>3</v>
      </c>
      <c r="J479" t="s">
        <v>6985</v>
      </c>
      <c r="K479" s="6" t="s">
        <v>6986</v>
      </c>
      <c r="AC479">
        <v>1</v>
      </c>
      <c r="AG479" t="s">
        <v>6955</v>
      </c>
      <c r="AY479" s="6"/>
      <c r="BD479">
        <v>1</v>
      </c>
      <c r="BT479">
        <v>20</v>
      </c>
      <c r="BV479" s="9">
        <v>20</v>
      </c>
      <c r="BW479" s="9">
        <v>40</v>
      </c>
      <c r="BX479" s="9">
        <v>1</v>
      </c>
      <c r="BY479" s="9" t="s">
        <v>6987</v>
      </c>
      <c r="CB479" s="6"/>
      <c r="CC479" s="6"/>
      <c r="CD479" s="6"/>
      <c r="CE479" s="6"/>
      <c r="CF479" s="6"/>
      <c r="CH479" s="6"/>
      <c r="CI479" s="6"/>
      <c r="CJ479" s="6"/>
      <c r="CK479" s="6"/>
      <c r="CL479" s="6"/>
      <c r="CM479" s="6"/>
      <c r="CN479" s="10" t="s">
        <v>8243</v>
      </c>
      <c r="CO479" t="s">
        <v>8244</v>
      </c>
      <c r="CR479">
        <v>20</v>
      </c>
    </row>
    <row r="480" spans="1:96">
      <c r="A480" t="s">
        <v>8245</v>
      </c>
      <c r="C480" t="s">
        <v>6968</v>
      </c>
      <c r="D480" t="s">
        <v>8246</v>
      </c>
      <c r="E480" t="s">
        <v>8247</v>
      </c>
      <c r="F480" t="s">
        <v>8248</v>
      </c>
      <c r="G480">
        <v>3</v>
      </c>
      <c r="J480" t="s">
        <v>6985</v>
      </c>
      <c r="K480" s="6" t="s">
        <v>6987</v>
      </c>
      <c r="AC480">
        <v>1</v>
      </c>
      <c r="AO480" t="s">
        <v>7055</v>
      </c>
      <c r="AT480" t="s">
        <v>7145</v>
      </c>
      <c r="AY480">
        <v>1</v>
      </c>
      <c r="AZ480">
        <v>1</v>
      </c>
      <c r="BD480">
        <v>1</v>
      </c>
      <c r="BT480">
        <v>0.2</v>
      </c>
      <c r="BV480" s="9">
        <v>0</v>
      </c>
      <c r="BW480" s="9">
        <v>5</v>
      </c>
      <c r="BX480" s="9">
        <v>3</v>
      </c>
      <c r="BY480" s="9" t="s">
        <v>6987</v>
      </c>
      <c r="CB480" t="s">
        <v>140</v>
      </c>
      <c r="CG480" t="s">
        <v>7057</v>
      </c>
      <c r="CN480" s="10" t="s">
        <v>8249</v>
      </c>
      <c r="CO480">
        <v>0.5</v>
      </c>
      <c r="CP480">
        <v>0.5</v>
      </c>
      <c r="CR480">
        <v>3</v>
      </c>
    </row>
    <row r="481" spans="1:96">
      <c r="A481" t="s">
        <v>8250</v>
      </c>
      <c r="C481" t="s">
        <v>6968</v>
      </c>
      <c r="D481" t="s">
        <v>8251</v>
      </c>
      <c r="E481" t="s">
        <v>8252</v>
      </c>
      <c r="F481" t="s">
        <v>8253</v>
      </c>
      <c r="G481">
        <v>3</v>
      </c>
      <c r="J481" t="s">
        <v>7091</v>
      </c>
      <c r="K481" s="6" t="s">
        <v>6986</v>
      </c>
      <c r="AC481">
        <v>1</v>
      </c>
      <c r="AT481" t="s">
        <v>7145</v>
      </c>
      <c r="AY481" s="6"/>
      <c r="BD481">
        <v>99</v>
      </c>
      <c r="BO481" s="8" t="s">
        <v>8254</v>
      </c>
      <c r="BT481">
        <v>60</v>
      </c>
      <c r="BV481" s="9">
        <v>115</v>
      </c>
      <c r="BW481" s="9">
        <v>120</v>
      </c>
      <c r="BX481" s="9">
        <v>1</v>
      </c>
      <c r="BY481" s="9" t="s">
        <v>6987</v>
      </c>
      <c r="CB481" s="6"/>
      <c r="CC481" s="6"/>
      <c r="CD481" s="6"/>
      <c r="CE481" s="6"/>
      <c r="CF481" s="6"/>
      <c r="CH481" s="6"/>
      <c r="CI481" s="6"/>
      <c r="CJ481" s="6"/>
      <c r="CK481" s="6"/>
      <c r="CL481" s="6"/>
      <c r="CM481" s="6"/>
      <c r="CN481" s="10" t="s">
        <v>7327</v>
      </c>
      <c r="CO481">
        <v>1</v>
      </c>
      <c r="CR481">
        <v>0.2</v>
      </c>
    </row>
    <row r="482" spans="1:96">
      <c r="A482" t="s">
        <v>8254</v>
      </c>
      <c r="C482" t="s">
        <v>6968</v>
      </c>
      <c r="K482" s="6" t="s">
        <v>6953</v>
      </c>
      <c r="L482" s="6" t="s">
        <v>7098</v>
      </c>
      <c r="AC482">
        <v>1</v>
      </c>
      <c r="AG482" t="s">
        <v>6955</v>
      </c>
      <c r="AH482">
        <v>1</v>
      </c>
      <c r="AY482" s="6"/>
      <c r="BD482">
        <v>1</v>
      </c>
      <c r="BV482"/>
      <c r="BW482"/>
      <c r="BX482"/>
      <c r="BY482"/>
      <c r="BZ482"/>
      <c r="CA482"/>
      <c r="CB482" s="6"/>
      <c r="CC482" s="6"/>
      <c r="CD482" s="6"/>
      <c r="CE482" s="6"/>
      <c r="CF482" s="6"/>
      <c r="CH482" s="6"/>
      <c r="CI482" s="6"/>
      <c r="CJ482" s="6"/>
      <c r="CK482" s="6"/>
      <c r="CL482" s="6"/>
      <c r="CM482" s="6"/>
      <c r="CN482" s="10" t="s">
        <v>8255</v>
      </c>
      <c r="CO482">
        <v>0.5</v>
      </c>
      <c r="CR482">
        <v>60</v>
      </c>
    </row>
    <row r="483" spans="51:91">
      <c r="AY483" s="6"/>
      <c r="BV483"/>
      <c r="BW483"/>
      <c r="BX483"/>
      <c r="BY483"/>
      <c r="BZ483"/>
      <c r="CA483"/>
      <c r="CB483" s="6"/>
      <c r="CC483" s="6"/>
      <c r="CD483" s="6"/>
      <c r="CE483" s="6"/>
      <c r="CF483" s="6"/>
      <c r="CH483" s="6"/>
      <c r="CI483" s="6"/>
      <c r="CJ483" s="6"/>
      <c r="CK483" s="6"/>
      <c r="CL483" s="6"/>
      <c r="CM483" s="6"/>
    </row>
    <row r="484" spans="1:103">
      <c r="A484" t="s">
        <v>8256</v>
      </c>
      <c r="C484" t="s">
        <v>6968</v>
      </c>
      <c r="K484" s="6" t="s">
        <v>6987</v>
      </c>
      <c r="AC484">
        <v>1</v>
      </c>
      <c r="AO484" t="s">
        <v>7055</v>
      </c>
      <c r="AT484" t="s">
        <v>7128</v>
      </c>
      <c r="AY484">
        <v>1</v>
      </c>
      <c r="AZ484">
        <v>1</v>
      </c>
      <c r="BD484">
        <v>3</v>
      </c>
      <c r="CB484" t="s">
        <v>140</v>
      </c>
      <c r="CG484" t="s">
        <v>7057</v>
      </c>
      <c r="CW484" t="s">
        <v>8257</v>
      </c>
      <c r="CY484" t="s">
        <v>8258</v>
      </c>
    </row>
    <row r="485" spans="1:96">
      <c r="A485" t="s">
        <v>8259</v>
      </c>
      <c r="C485" t="s">
        <v>6968</v>
      </c>
      <c r="K485" s="6" t="s">
        <v>6987</v>
      </c>
      <c r="AC485">
        <v>1</v>
      </c>
      <c r="AT485" t="s">
        <v>7128</v>
      </c>
      <c r="AY485" s="6"/>
      <c r="BD485">
        <v>99</v>
      </c>
      <c r="CB485" s="6"/>
      <c r="CC485" s="6"/>
      <c r="CD485" s="6"/>
      <c r="CE485" s="6"/>
      <c r="CF485" s="6"/>
      <c r="CH485" s="6"/>
      <c r="CI485" s="6"/>
      <c r="CJ485" s="6"/>
      <c r="CK485" s="6"/>
      <c r="CL485" s="6"/>
      <c r="CM485" s="6"/>
      <c r="CN485" s="10" t="s">
        <v>7170</v>
      </c>
      <c r="CO485">
        <v>17</v>
      </c>
      <c r="CR485">
        <v>0.2</v>
      </c>
    </row>
    <row r="486" spans="1:99">
      <c r="A486" t="s">
        <v>8260</v>
      </c>
      <c r="C486" t="s">
        <v>7450</v>
      </c>
      <c r="K486" s="6" t="s">
        <v>6953</v>
      </c>
      <c r="L486" s="6" t="s">
        <v>7060</v>
      </c>
      <c r="AC486">
        <v>1</v>
      </c>
      <c r="AF486">
        <v>1</v>
      </c>
      <c r="AG486" t="s">
        <v>6955</v>
      </c>
      <c r="BD486">
        <v>1</v>
      </c>
      <c r="CU486" t="s">
        <v>8261</v>
      </c>
    </row>
    <row r="487" spans="1:96">
      <c r="A487" t="s">
        <v>8262</v>
      </c>
      <c r="C487" t="s">
        <v>6968</v>
      </c>
      <c r="D487" t="s">
        <v>8263</v>
      </c>
      <c r="E487" t="s">
        <v>8264</v>
      </c>
      <c r="F487" t="s">
        <v>8265</v>
      </c>
      <c r="G487">
        <v>3</v>
      </c>
      <c r="J487" t="s">
        <v>6985</v>
      </c>
      <c r="K487" s="6" t="s">
        <v>6987</v>
      </c>
      <c r="AC487">
        <v>1</v>
      </c>
      <c r="AO487" t="s">
        <v>7055</v>
      </c>
      <c r="AT487" t="s">
        <v>7128</v>
      </c>
      <c r="AY487">
        <v>1</v>
      </c>
      <c r="AZ487">
        <v>1</v>
      </c>
      <c r="BD487">
        <v>3</v>
      </c>
      <c r="BT487">
        <v>0.2</v>
      </c>
      <c r="BV487" s="9">
        <v>0</v>
      </c>
      <c r="BW487" s="9">
        <v>8</v>
      </c>
      <c r="BX487" s="9">
        <v>3</v>
      </c>
      <c r="BY487" s="9" t="s">
        <v>6987</v>
      </c>
      <c r="CB487" t="s">
        <v>140</v>
      </c>
      <c r="CG487" t="s">
        <v>7057</v>
      </c>
      <c r="CN487" s="10" t="s">
        <v>8266</v>
      </c>
      <c r="CO487">
        <v>0.9</v>
      </c>
      <c r="CP487">
        <v>20</v>
      </c>
      <c r="CR487">
        <v>5</v>
      </c>
    </row>
    <row r="488" spans="1:85">
      <c r="A488" t="s">
        <v>8267</v>
      </c>
      <c r="C488" t="s">
        <v>6968</v>
      </c>
      <c r="D488" t="s">
        <v>8268</v>
      </c>
      <c r="E488" t="s">
        <v>8269</v>
      </c>
      <c r="F488" t="s">
        <v>8270</v>
      </c>
      <c r="G488">
        <v>3</v>
      </c>
      <c r="J488" t="s">
        <v>7091</v>
      </c>
      <c r="K488" s="6" t="s">
        <v>6986</v>
      </c>
      <c r="AC488">
        <v>1</v>
      </c>
      <c r="AO488" t="s">
        <v>7055</v>
      </c>
      <c r="AT488" t="s">
        <v>8223</v>
      </c>
      <c r="AY488">
        <v>1</v>
      </c>
      <c r="AZ488">
        <v>1</v>
      </c>
      <c r="BD488">
        <v>3</v>
      </c>
      <c r="BO488" s="8" t="s">
        <v>8271</v>
      </c>
      <c r="BT488">
        <v>60</v>
      </c>
      <c r="BV488" s="9">
        <v>115</v>
      </c>
      <c r="BW488" s="9">
        <v>120</v>
      </c>
      <c r="BX488" s="9">
        <v>1</v>
      </c>
      <c r="BY488" s="9" t="s">
        <v>6987</v>
      </c>
      <c r="CB488" t="s">
        <v>140</v>
      </c>
      <c r="CG488" t="s">
        <v>7057</v>
      </c>
    </row>
    <row r="489" spans="1:96">
      <c r="A489" t="s">
        <v>8272</v>
      </c>
      <c r="C489" t="s">
        <v>6968</v>
      </c>
      <c r="J489" t="s">
        <v>7091</v>
      </c>
      <c r="K489" s="6" t="s">
        <v>6987</v>
      </c>
      <c r="AC489">
        <v>1</v>
      </c>
      <c r="AT489" t="s">
        <v>8223</v>
      </c>
      <c r="AY489" s="6"/>
      <c r="BD489">
        <v>99</v>
      </c>
      <c r="BS489">
        <v>0.2</v>
      </c>
      <c r="CB489" s="6"/>
      <c r="CC489" s="6"/>
      <c r="CD489" s="6"/>
      <c r="CE489" s="6"/>
      <c r="CF489" s="6"/>
      <c r="CH489" s="6"/>
      <c r="CI489" s="6"/>
      <c r="CJ489" s="6"/>
      <c r="CK489" s="6"/>
      <c r="CL489" s="6"/>
      <c r="CM489" s="6"/>
      <c r="CN489" s="10" t="s">
        <v>8273</v>
      </c>
      <c r="CO489" t="s">
        <v>8274</v>
      </c>
      <c r="CR489">
        <v>0.2</v>
      </c>
    </row>
    <row r="490" spans="1:96">
      <c r="A490" t="s">
        <v>8275</v>
      </c>
      <c r="C490" t="s">
        <v>6968</v>
      </c>
      <c r="K490" s="6" t="s">
        <v>6953</v>
      </c>
      <c r="L490" s="6" t="s">
        <v>7098</v>
      </c>
      <c r="AC490">
        <v>1</v>
      </c>
      <c r="AY490" s="6"/>
      <c r="BD490">
        <v>1</v>
      </c>
      <c r="CB490" s="6"/>
      <c r="CC490" s="6"/>
      <c r="CD490" s="6"/>
      <c r="CE490" s="6"/>
      <c r="CF490" s="6"/>
      <c r="CH490" s="6"/>
      <c r="CI490" s="6"/>
      <c r="CJ490" s="6"/>
      <c r="CK490" s="6"/>
      <c r="CL490" s="6"/>
      <c r="CM490" s="6"/>
      <c r="CN490" s="10" t="s">
        <v>8276</v>
      </c>
      <c r="CO490">
        <v>0.8</v>
      </c>
      <c r="CR490">
        <v>60</v>
      </c>
    </row>
    <row r="491" spans="1:56">
      <c r="A491" t="s">
        <v>8277</v>
      </c>
      <c r="C491" t="s">
        <v>6968</v>
      </c>
      <c r="K491" s="6" t="s">
        <v>6987</v>
      </c>
      <c r="AC491">
        <v>1</v>
      </c>
      <c r="AT491" t="s">
        <v>7087</v>
      </c>
      <c r="AZ491">
        <v>0.03</v>
      </c>
      <c r="BA491">
        <v>1</v>
      </c>
      <c r="BB491">
        <v>1</v>
      </c>
      <c r="BD491">
        <v>1</v>
      </c>
    </row>
    <row r="492" spans="1:96">
      <c r="A492" t="s">
        <v>8278</v>
      </c>
      <c r="C492" t="s">
        <v>6968</v>
      </c>
      <c r="K492" s="6" t="s">
        <v>6953</v>
      </c>
      <c r="L492" s="6" t="s">
        <v>7060</v>
      </c>
      <c r="AC492">
        <v>1</v>
      </c>
      <c r="AG492" t="s">
        <v>6955</v>
      </c>
      <c r="BD492">
        <v>1</v>
      </c>
      <c r="CN492" s="10" t="s">
        <v>8279</v>
      </c>
      <c r="CP492">
        <v>0.3</v>
      </c>
      <c r="CR492">
        <v>99999</v>
      </c>
    </row>
    <row r="494" spans="1:103">
      <c r="A494" t="s">
        <v>8280</v>
      </c>
      <c r="C494" t="s">
        <v>4994</v>
      </c>
      <c r="AC494">
        <v>2</v>
      </c>
      <c r="AO494" t="s">
        <v>7062</v>
      </c>
      <c r="AT494" t="s">
        <v>7063</v>
      </c>
      <c r="AX494" t="s">
        <v>7064</v>
      </c>
      <c r="AZ494">
        <v>1</v>
      </c>
      <c r="BD494">
        <v>1</v>
      </c>
      <c r="CB494" t="s">
        <v>140</v>
      </c>
      <c r="CG494" t="s">
        <v>7057</v>
      </c>
      <c r="CW494" t="s">
        <v>8281</v>
      </c>
      <c r="CY494" t="s">
        <v>8282</v>
      </c>
    </row>
    <row r="495" spans="1:96">
      <c r="A495" t="s">
        <v>8283</v>
      </c>
      <c r="C495" t="s">
        <v>6968</v>
      </c>
      <c r="K495" s="6" t="s">
        <v>6953</v>
      </c>
      <c r="L495" s="6" t="s">
        <v>6972</v>
      </c>
      <c r="AC495">
        <v>1</v>
      </c>
      <c r="AG495" t="s">
        <v>6955</v>
      </c>
      <c r="AH495">
        <v>1</v>
      </c>
      <c r="AY495" s="6"/>
      <c r="BD495">
        <v>1</v>
      </c>
      <c r="BV495"/>
      <c r="BW495"/>
      <c r="BX495"/>
      <c r="BY495"/>
      <c r="BZ495"/>
      <c r="CA495"/>
      <c r="CB495" s="6"/>
      <c r="CC495" s="6"/>
      <c r="CD495" s="6"/>
      <c r="CE495" s="6"/>
      <c r="CF495" s="6"/>
      <c r="CH495" s="6"/>
      <c r="CI495" s="6"/>
      <c r="CJ495" s="6"/>
      <c r="CK495" s="6"/>
      <c r="CL495" s="6"/>
      <c r="CM495" s="6"/>
      <c r="CN495" s="10" t="s">
        <v>8284</v>
      </c>
      <c r="CO495">
        <v>0.28</v>
      </c>
      <c r="CR495">
        <v>99999</v>
      </c>
    </row>
    <row r="496" spans="1:98">
      <c r="A496" t="s">
        <v>8285</v>
      </c>
      <c r="C496" t="s">
        <v>6968</v>
      </c>
      <c r="K496" s="6" t="s">
        <v>6953</v>
      </c>
      <c r="L496" s="6" t="s">
        <v>7060</v>
      </c>
      <c r="AC496">
        <v>1</v>
      </c>
      <c r="AI496" t="s">
        <v>356</v>
      </c>
      <c r="AY496" s="6"/>
      <c r="BD496">
        <v>99</v>
      </c>
      <c r="BO496" s="8" t="s">
        <v>8286</v>
      </c>
      <c r="BV496"/>
      <c r="BW496"/>
      <c r="BX496"/>
      <c r="BY496"/>
      <c r="BZ496"/>
      <c r="CA496"/>
      <c r="CB496" s="6"/>
      <c r="CC496" s="6"/>
      <c r="CD496" s="6"/>
      <c r="CE496" s="6"/>
      <c r="CF496" s="6"/>
      <c r="CH496" s="6"/>
      <c r="CI496" s="6"/>
      <c r="CJ496" s="6"/>
      <c r="CK496" s="6"/>
      <c r="CL496" s="6"/>
      <c r="CM496" s="6"/>
      <c r="CN496" s="10" t="s">
        <v>7327</v>
      </c>
      <c r="CO496">
        <v>0.08</v>
      </c>
      <c r="CR496">
        <v>99999</v>
      </c>
      <c r="CT496">
        <v>1</v>
      </c>
    </row>
    <row r="497" spans="1:98">
      <c r="A497" t="s">
        <v>8286</v>
      </c>
      <c r="C497" t="s">
        <v>6968</v>
      </c>
      <c r="K497" s="6" t="s">
        <v>6953</v>
      </c>
      <c r="L497" s="6" t="s">
        <v>6969</v>
      </c>
      <c r="AC497">
        <v>1</v>
      </c>
      <c r="AF497">
        <v>1</v>
      </c>
      <c r="AG497" t="s">
        <v>7481</v>
      </c>
      <c r="AI497" t="s">
        <v>356</v>
      </c>
      <c r="AY497" s="6"/>
      <c r="BD497">
        <v>1</v>
      </c>
      <c r="BV497"/>
      <c r="BW497"/>
      <c r="BX497"/>
      <c r="BY497"/>
      <c r="BZ497"/>
      <c r="CA497"/>
      <c r="CB497" s="6"/>
      <c r="CC497" s="6"/>
      <c r="CD497" s="6"/>
      <c r="CE497" s="6"/>
      <c r="CF497" s="6"/>
      <c r="CH497" s="6"/>
      <c r="CI497" s="6"/>
      <c r="CJ497" s="6"/>
      <c r="CK497" s="6"/>
      <c r="CL497" s="6"/>
      <c r="CM497" s="6"/>
      <c r="CN497" s="10" t="s">
        <v>7327</v>
      </c>
      <c r="CO497">
        <v>0.08</v>
      </c>
      <c r="CR497">
        <v>99999</v>
      </c>
      <c r="CT497">
        <v>1</v>
      </c>
    </row>
    <row r="498" spans="1:96">
      <c r="A498" t="s">
        <v>8287</v>
      </c>
      <c r="C498" t="s">
        <v>6968</v>
      </c>
      <c r="D498" t="s">
        <v>8288</v>
      </c>
      <c r="E498" t="s">
        <v>8289</v>
      </c>
      <c r="F498" t="s">
        <v>8290</v>
      </c>
      <c r="G498">
        <v>3</v>
      </c>
      <c r="J498" t="s">
        <v>6985</v>
      </c>
      <c r="K498" s="6" t="s">
        <v>6986</v>
      </c>
      <c r="AC498">
        <v>1</v>
      </c>
      <c r="AG498" t="s">
        <v>6955</v>
      </c>
      <c r="AY498" s="6"/>
      <c r="BD498">
        <v>1</v>
      </c>
      <c r="BT498">
        <v>30</v>
      </c>
      <c r="BV498" s="9">
        <v>20</v>
      </c>
      <c r="BW498" s="9">
        <v>40</v>
      </c>
      <c r="BX498" s="9">
        <v>1</v>
      </c>
      <c r="BY498" s="9" t="s">
        <v>6987</v>
      </c>
      <c r="CB498" s="6"/>
      <c r="CC498" s="6"/>
      <c r="CD498" s="6"/>
      <c r="CE498" s="6"/>
      <c r="CF498" s="6"/>
      <c r="CH498" s="6"/>
      <c r="CI498" s="6"/>
      <c r="CJ498" s="6"/>
      <c r="CK498" s="6"/>
      <c r="CL498" s="6"/>
      <c r="CM498" s="6"/>
      <c r="CN498" s="10" t="s">
        <v>8291</v>
      </c>
      <c r="CO498" t="s">
        <v>8292</v>
      </c>
      <c r="CR498">
        <v>30</v>
      </c>
    </row>
    <row r="499" spans="1:67">
      <c r="A499" t="s">
        <v>8293</v>
      </c>
      <c r="C499" t="s">
        <v>6968</v>
      </c>
      <c r="D499" t="s">
        <v>8294</v>
      </c>
      <c r="E499" t="s">
        <v>8295</v>
      </c>
      <c r="F499" t="s">
        <v>8296</v>
      </c>
      <c r="G499">
        <v>3</v>
      </c>
      <c r="K499" s="6" t="s">
        <v>6953</v>
      </c>
      <c r="L499" s="6" t="s">
        <v>7743</v>
      </c>
      <c r="AC499">
        <v>2</v>
      </c>
      <c r="AD499">
        <v>1</v>
      </c>
      <c r="AE499">
        <v>1</v>
      </c>
      <c r="AX499" t="s">
        <v>7064</v>
      </c>
      <c r="AZ499">
        <v>1</v>
      </c>
      <c r="BD499">
        <v>1</v>
      </c>
      <c r="BO499" s="8" t="s">
        <v>8297</v>
      </c>
    </row>
    <row r="500" spans="1:96">
      <c r="A500" t="s">
        <v>8297</v>
      </c>
      <c r="C500" t="s">
        <v>6968</v>
      </c>
      <c r="K500" s="6" t="s">
        <v>6953</v>
      </c>
      <c r="L500" s="6" t="s">
        <v>6972</v>
      </c>
      <c r="AC500">
        <v>1</v>
      </c>
      <c r="AG500" t="s">
        <v>6955</v>
      </c>
      <c r="AH500">
        <v>1</v>
      </c>
      <c r="AY500" s="6"/>
      <c r="BD500">
        <v>1</v>
      </c>
      <c r="BV500"/>
      <c r="BW500"/>
      <c r="BX500"/>
      <c r="BY500"/>
      <c r="BZ500"/>
      <c r="CA500"/>
      <c r="CB500" s="6"/>
      <c r="CC500" s="6"/>
      <c r="CD500" s="6"/>
      <c r="CE500" s="6"/>
      <c r="CF500" s="6"/>
      <c r="CH500" s="6"/>
      <c r="CI500" s="6"/>
      <c r="CJ500" s="6"/>
      <c r="CK500" s="6"/>
      <c r="CL500" s="6"/>
      <c r="CM500" s="6"/>
      <c r="CN500" s="10" t="s">
        <v>8298</v>
      </c>
      <c r="CO500">
        <v>0.3</v>
      </c>
      <c r="CR500">
        <v>99999</v>
      </c>
    </row>
    <row r="501" spans="1:107">
      <c r="A501" t="s">
        <v>8299</v>
      </c>
      <c r="C501" t="s">
        <v>6968</v>
      </c>
      <c r="D501" t="s">
        <v>8300</v>
      </c>
      <c r="E501" t="s">
        <v>8301</v>
      </c>
      <c r="F501" t="s">
        <v>8302</v>
      </c>
      <c r="G501">
        <v>3</v>
      </c>
      <c r="J501" t="s">
        <v>7091</v>
      </c>
      <c r="K501" s="6" t="s">
        <v>6986</v>
      </c>
      <c r="AB501">
        <v>1</v>
      </c>
      <c r="AC501">
        <v>2</v>
      </c>
      <c r="AT501" t="s">
        <v>7063</v>
      </c>
      <c r="AZ501">
        <v>1</v>
      </c>
      <c r="BD501">
        <v>99</v>
      </c>
      <c r="BO501" s="8" t="s">
        <v>8303</v>
      </c>
      <c r="BS501">
        <v>0.99</v>
      </c>
      <c r="BT501">
        <v>25</v>
      </c>
      <c r="BV501" s="9">
        <v>30</v>
      </c>
      <c r="BW501" s="9">
        <v>50</v>
      </c>
      <c r="BX501" s="9">
        <v>1</v>
      </c>
      <c r="BY501" s="9" t="s">
        <v>6987</v>
      </c>
      <c r="CB501" t="s">
        <v>7621</v>
      </c>
      <c r="CE501" t="s">
        <v>7621</v>
      </c>
      <c r="CG501" t="s">
        <v>7475</v>
      </c>
      <c r="CY501" t="s">
        <v>8304</v>
      </c>
      <c r="DC501" t="s">
        <v>8305</v>
      </c>
    </row>
    <row r="502" spans="1:96">
      <c r="A502" t="s">
        <v>8303</v>
      </c>
      <c r="C502" t="s">
        <v>6968</v>
      </c>
      <c r="K502" s="6" t="s">
        <v>6953</v>
      </c>
      <c r="L502" s="6" t="s">
        <v>7098</v>
      </c>
      <c r="AC502">
        <v>1</v>
      </c>
      <c r="AG502" t="s">
        <v>6955</v>
      </c>
      <c r="AY502" s="6"/>
      <c r="BD502">
        <v>1</v>
      </c>
      <c r="CB502" s="6"/>
      <c r="CC502" s="6"/>
      <c r="CD502" s="6"/>
      <c r="CE502" s="6"/>
      <c r="CF502" s="6"/>
      <c r="CH502" s="6"/>
      <c r="CI502" s="6"/>
      <c r="CJ502" s="6"/>
      <c r="CK502" s="6"/>
      <c r="CL502" s="6"/>
      <c r="CM502" s="6"/>
      <c r="CN502" s="10" t="s">
        <v>8306</v>
      </c>
      <c r="CO502" t="s">
        <v>8307</v>
      </c>
      <c r="CR502">
        <v>30</v>
      </c>
    </row>
    <row r="503" spans="51:91">
      <c r="AY503" s="6"/>
      <c r="CB503" s="6"/>
      <c r="CC503" s="6"/>
      <c r="CD503" s="6"/>
      <c r="CE503" s="6"/>
      <c r="CF503" s="6"/>
      <c r="CH503" s="6"/>
      <c r="CI503" s="6"/>
      <c r="CJ503" s="6"/>
      <c r="CK503" s="6"/>
      <c r="CL503" s="6"/>
      <c r="CM503" s="6"/>
    </row>
    <row r="504" spans="1:103">
      <c r="A504" t="s">
        <v>8308</v>
      </c>
      <c r="C504" t="s">
        <v>4994</v>
      </c>
      <c r="AC504">
        <v>2</v>
      </c>
      <c r="AO504" t="s">
        <v>7062</v>
      </c>
      <c r="AT504" t="s">
        <v>7087</v>
      </c>
      <c r="AX504" t="s">
        <v>7064</v>
      </c>
      <c r="AZ504">
        <v>1</v>
      </c>
      <c r="BD504">
        <v>1</v>
      </c>
      <c r="CB504" t="s">
        <v>140</v>
      </c>
      <c r="CG504" t="s">
        <v>7057</v>
      </c>
      <c r="CY504" t="s">
        <v>8309</v>
      </c>
    </row>
    <row r="505" spans="1:96">
      <c r="A505" t="s">
        <v>8310</v>
      </c>
      <c r="C505" t="s">
        <v>6968</v>
      </c>
      <c r="K505" s="6" t="s">
        <v>6987</v>
      </c>
      <c r="N505" s="6">
        <v>5</v>
      </c>
      <c r="AC505">
        <v>1</v>
      </c>
      <c r="AG505" t="s">
        <v>6955</v>
      </c>
      <c r="AY505" s="6"/>
      <c r="BD505">
        <v>1</v>
      </c>
      <c r="BS505">
        <v>20</v>
      </c>
      <c r="CB505" s="6"/>
      <c r="CC505" s="6"/>
      <c r="CD505" s="6"/>
      <c r="CE505" s="6"/>
      <c r="CF505" s="6"/>
      <c r="CH505" s="6"/>
      <c r="CI505" s="6"/>
      <c r="CJ505" s="6"/>
      <c r="CK505" s="6"/>
      <c r="CL505" s="6"/>
      <c r="CM505" s="6"/>
      <c r="CN505" s="10" t="s">
        <v>8311</v>
      </c>
      <c r="CO505" t="s">
        <v>8312</v>
      </c>
      <c r="CR505">
        <v>99999</v>
      </c>
    </row>
    <row r="506" spans="1:103">
      <c r="A506" t="s">
        <v>8313</v>
      </c>
      <c r="C506" t="s">
        <v>7157</v>
      </c>
      <c r="D506" t="s">
        <v>7682</v>
      </c>
      <c r="E506" t="s">
        <v>7683</v>
      </c>
      <c r="F506" t="s">
        <v>8314</v>
      </c>
      <c r="G506">
        <v>3</v>
      </c>
      <c r="J506" t="s">
        <v>6985</v>
      </c>
      <c r="K506" s="6" t="s">
        <v>6987</v>
      </c>
      <c r="U506" s="6">
        <v>0.5</v>
      </c>
      <c r="AC506">
        <v>1</v>
      </c>
      <c r="AO506" t="s">
        <v>7055</v>
      </c>
      <c r="AT506" t="s">
        <v>7092</v>
      </c>
      <c r="AY506" s="6">
        <v>1</v>
      </c>
      <c r="AZ506">
        <v>1.8</v>
      </c>
      <c r="BD506">
        <v>1</v>
      </c>
      <c r="BT506">
        <v>0.2</v>
      </c>
      <c r="BV506" s="9">
        <v>0</v>
      </c>
      <c r="BW506" s="9">
        <v>4</v>
      </c>
      <c r="BX506" s="9">
        <v>3</v>
      </c>
      <c r="BY506" s="9" t="s">
        <v>6987</v>
      </c>
      <c r="CB506" s="6" t="s">
        <v>140</v>
      </c>
      <c r="CC506" s="6"/>
      <c r="CD506" s="6"/>
      <c r="CE506" s="6"/>
      <c r="CF506" s="6"/>
      <c r="CG506" t="s">
        <v>7057</v>
      </c>
      <c r="CJ506" s="6"/>
      <c r="CK506" s="6"/>
      <c r="CL506" s="6"/>
      <c r="CM506" s="6"/>
      <c r="CU506" t="s">
        <v>7713</v>
      </c>
      <c r="CX506" t="s">
        <v>8315</v>
      </c>
      <c r="CY506" t="s">
        <v>8316</v>
      </c>
    </row>
    <row r="507" spans="1:102">
      <c r="A507" t="s">
        <v>8317</v>
      </c>
      <c r="C507" t="s">
        <v>7157</v>
      </c>
      <c r="D507" t="s">
        <v>8318</v>
      </c>
      <c r="E507" t="s">
        <v>8319</v>
      </c>
      <c r="F507" t="s">
        <v>8320</v>
      </c>
      <c r="G507">
        <v>3</v>
      </c>
      <c r="J507" t="s">
        <v>6985</v>
      </c>
      <c r="K507" s="6" t="s">
        <v>6987</v>
      </c>
      <c r="AC507">
        <v>1</v>
      </c>
      <c r="AT507" t="s">
        <v>7884</v>
      </c>
      <c r="AY507" s="6">
        <v>1</v>
      </c>
      <c r="AZ507">
        <v>1.4</v>
      </c>
      <c r="BD507">
        <v>99</v>
      </c>
      <c r="BT507">
        <v>0.2</v>
      </c>
      <c r="BV507" s="9">
        <v>0</v>
      </c>
      <c r="BW507" s="9">
        <v>7</v>
      </c>
      <c r="BX507" s="9">
        <v>1</v>
      </c>
      <c r="BY507" s="9" t="s">
        <v>6987</v>
      </c>
      <c r="CB507" s="6" t="s">
        <v>7273</v>
      </c>
      <c r="CC507" s="6"/>
      <c r="CD507" s="6"/>
      <c r="CE507" s="6"/>
      <c r="CF507" s="6"/>
      <c r="CG507" t="s">
        <v>7057</v>
      </c>
      <c r="CH507" s="6"/>
      <c r="CI507" s="6"/>
      <c r="CJ507" s="6"/>
      <c r="CK507" s="6"/>
      <c r="CL507" s="6"/>
      <c r="CM507" s="6"/>
      <c r="CU507" t="s">
        <v>7713</v>
      </c>
      <c r="CX507" t="s">
        <v>8321</v>
      </c>
    </row>
    <row r="508" spans="1:107">
      <c r="A508" t="s">
        <v>8322</v>
      </c>
      <c r="C508" t="s">
        <v>7157</v>
      </c>
      <c r="D508" t="s">
        <v>8323</v>
      </c>
      <c r="E508" t="s">
        <v>8324</v>
      </c>
      <c r="F508" t="s">
        <v>8325</v>
      </c>
      <c r="G508">
        <v>3</v>
      </c>
      <c r="J508" t="s">
        <v>7091</v>
      </c>
      <c r="K508" s="6" t="s">
        <v>6986</v>
      </c>
      <c r="AC508">
        <v>1</v>
      </c>
      <c r="AT508" t="s">
        <v>8193</v>
      </c>
      <c r="AY508" s="6">
        <v>1</v>
      </c>
      <c r="AZ508">
        <v>0.35</v>
      </c>
      <c r="BD508">
        <v>99</v>
      </c>
      <c r="BO508" s="8" t="s">
        <v>8326</v>
      </c>
      <c r="BS508">
        <v>1</v>
      </c>
      <c r="BT508">
        <v>30</v>
      </c>
      <c r="BV508" s="9">
        <v>70</v>
      </c>
      <c r="BW508" s="9">
        <v>80</v>
      </c>
      <c r="BX508" s="9">
        <v>1</v>
      </c>
      <c r="BY508" s="9" t="s">
        <v>6987</v>
      </c>
      <c r="CB508" t="s">
        <v>813</v>
      </c>
      <c r="CE508" t="s">
        <v>813</v>
      </c>
      <c r="CG508" t="s">
        <v>7475</v>
      </c>
      <c r="CH508" s="6"/>
      <c r="CI508" s="6"/>
      <c r="CJ508" s="6"/>
      <c r="CK508" s="6"/>
      <c r="CL508" s="6"/>
      <c r="CM508" s="6"/>
      <c r="CU508" t="s">
        <v>7713</v>
      </c>
      <c r="DC508" t="s">
        <v>8327</v>
      </c>
    </row>
    <row r="509" spans="1:96">
      <c r="A509" t="s">
        <v>8328</v>
      </c>
      <c r="C509" t="s">
        <v>6968</v>
      </c>
      <c r="J509" t="s">
        <v>7091</v>
      </c>
      <c r="K509" s="6" t="s">
        <v>6987</v>
      </c>
      <c r="AC509">
        <v>2</v>
      </c>
      <c r="AT509" t="s">
        <v>8193</v>
      </c>
      <c r="AY509" s="6"/>
      <c r="BD509">
        <v>99</v>
      </c>
      <c r="BS509">
        <v>0.1</v>
      </c>
      <c r="CB509" s="6"/>
      <c r="CC509" s="6"/>
      <c r="CD509" s="6"/>
      <c r="CE509" s="6"/>
      <c r="CF509" s="6"/>
      <c r="CG509" t="s">
        <v>7475</v>
      </c>
      <c r="CH509" s="6"/>
      <c r="CI509" s="6"/>
      <c r="CJ509" s="6"/>
      <c r="CK509" s="6"/>
      <c r="CL509" s="6"/>
      <c r="CM509" s="6"/>
      <c r="CN509" s="10" t="s">
        <v>8329</v>
      </c>
      <c r="CO509" t="s">
        <v>8330</v>
      </c>
      <c r="CR509">
        <v>0.1</v>
      </c>
    </row>
    <row r="510" spans="1:108">
      <c r="A510" t="s">
        <v>8329</v>
      </c>
      <c r="C510" t="s">
        <v>6968</v>
      </c>
      <c r="K510" s="6" t="s">
        <v>6953</v>
      </c>
      <c r="L510" s="6" t="s">
        <v>7098</v>
      </c>
      <c r="AC510">
        <v>1</v>
      </c>
      <c r="AY510" s="6"/>
      <c r="BD510">
        <v>1</v>
      </c>
      <c r="CB510" s="6"/>
      <c r="CC510" s="6"/>
      <c r="CD510" s="6"/>
      <c r="CE510" s="6"/>
      <c r="CF510" s="6"/>
      <c r="CH510" s="6"/>
      <c r="CI510" s="6"/>
      <c r="CJ510" s="6"/>
      <c r="CK510" s="6"/>
      <c r="CL510" s="6"/>
      <c r="CM510" s="6"/>
      <c r="CN510" s="10" t="s">
        <v>8331</v>
      </c>
      <c r="CR510">
        <v>30</v>
      </c>
      <c r="DD510">
        <v>1</v>
      </c>
    </row>
    <row r="511" spans="51:91">
      <c r="AY511" s="6"/>
      <c r="CB511" s="6"/>
      <c r="CC511" s="6"/>
      <c r="CD511" s="6"/>
      <c r="CE511" s="6"/>
      <c r="CF511" s="6"/>
      <c r="CH511" s="6"/>
      <c r="CI511" s="6"/>
      <c r="CJ511" s="6"/>
      <c r="CK511" s="6"/>
      <c r="CL511" s="6"/>
      <c r="CM511" s="6"/>
    </row>
    <row r="512" spans="1:85">
      <c r="A512" t="s">
        <v>8332</v>
      </c>
      <c r="C512" t="s">
        <v>4994</v>
      </c>
      <c r="AC512">
        <v>2</v>
      </c>
      <c r="AO512" t="s">
        <v>7062</v>
      </c>
      <c r="AT512" t="s">
        <v>7063</v>
      </c>
      <c r="AX512" t="s">
        <v>7064</v>
      </c>
      <c r="AZ512">
        <v>1</v>
      </c>
      <c r="BD512">
        <v>1</v>
      </c>
      <c r="CB512" t="s">
        <v>8333</v>
      </c>
      <c r="CG512" t="s">
        <v>7057</v>
      </c>
    </row>
    <row r="513" spans="1:96">
      <c r="A513" t="s">
        <v>8334</v>
      </c>
      <c r="C513" t="s">
        <v>4994</v>
      </c>
      <c r="AA513">
        <v>0.2</v>
      </c>
      <c r="AC513">
        <v>2</v>
      </c>
      <c r="AO513" t="s">
        <v>7062</v>
      </c>
      <c r="AT513" t="s">
        <v>7063</v>
      </c>
      <c r="AX513" t="s">
        <v>7064</v>
      </c>
      <c r="AZ513">
        <v>1.65</v>
      </c>
      <c r="BD513">
        <v>1</v>
      </c>
      <c r="CB513" t="s">
        <v>8335</v>
      </c>
      <c r="CG513" t="s">
        <v>7057</v>
      </c>
      <c r="CN513" s="10" t="s">
        <v>7182</v>
      </c>
      <c r="CO513">
        <v>-0.15</v>
      </c>
      <c r="CR513">
        <v>3</v>
      </c>
    </row>
    <row r="514" spans="1:98">
      <c r="A514" t="s">
        <v>8336</v>
      </c>
      <c r="C514" t="s">
        <v>6968</v>
      </c>
      <c r="K514" s="6" t="s">
        <v>6953</v>
      </c>
      <c r="L514" s="6" t="s">
        <v>7060</v>
      </c>
      <c r="AC514">
        <v>1</v>
      </c>
      <c r="AY514" s="6"/>
      <c r="BD514">
        <v>99</v>
      </c>
      <c r="BV514"/>
      <c r="BW514"/>
      <c r="BX514"/>
      <c r="BY514"/>
      <c r="BZ514"/>
      <c r="CA514"/>
      <c r="CB514" s="6"/>
      <c r="CC514" s="6"/>
      <c r="CD514" s="6"/>
      <c r="CE514" s="6"/>
      <c r="CF514" s="6"/>
      <c r="CH514" s="6"/>
      <c r="CI514" s="6"/>
      <c r="CJ514" s="6"/>
      <c r="CK514" s="6"/>
      <c r="CL514" s="6"/>
      <c r="CM514" s="6"/>
      <c r="CN514" s="10" t="s">
        <v>8337</v>
      </c>
      <c r="CO514">
        <v>0.1</v>
      </c>
      <c r="CP514">
        <v>0.15</v>
      </c>
      <c r="CR514">
        <v>99999</v>
      </c>
      <c r="CT514">
        <v>1</v>
      </c>
    </row>
    <row r="515" spans="1:91">
      <c r="A515" t="s">
        <v>8338</v>
      </c>
      <c r="C515" t="s">
        <v>6968</v>
      </c>
      <c r="D515" t="s">
        <v>8339</v>
      </c>
      <c r="E515" t="s">
        <v>8340</v>
      </c>
      <c r="F515" t="s">
        <v>8341</v>
      </c>
      <c r="J515" t="s">
        <v>6985</v>
      </c>
      <c r="K515" s="6" t="s">
        <v>6987</v>
      </c>
      <c r="AC515">
        <v>2</v>
      </c>
      <c r="AT515" t="s">
        <v>7063</v>
      </c>
      <c r="AX515" t="s">
        <v>7064</v>
      </c>
      <c r="AY515" s="6"/>
      <c r="AZ515">
        <v>2.3</v>
      </c>
      <c r="BD515">
        <v>2</v>
      </c>
      <c r="BT515">
        <v>0.2</v>
      </c>
      <c r="BV515" s="9">
        <v>0</v>
      </c>
      <c r="BW515" s="9">
        <v>3</v>
      </c>
      <c r="BX515" s="9">
        <v>1</v>
      </c>
      <c r="BY515" s="9" t="s">
        <v>7142</v>
      </c>
      <c r="CB515" t="s">
        <v>638</v>
      </c>
      <c r="CC515" s="6"/>
      <c r="CD515" s="6"/>
      <c r="CE515" s="6"/>
      <c r="CF515" s="6"/>
      <c r="CG515" t="s">
        <v>7057</v>
      </c>
      <c r="CH515" s="6"/>
      <c r="CI515" s="6"/>
      <c r="CK515" s="6"/>
      <c r="CL515" s="6"/>
      <c r="CM515" s="6"/>
    </row>
    <row r="516" spans="1:96">
      <c r="A516" t="s">
        <v>8342</v>
      </c>
      <c r="C516" t="s">
        <v>6968</v>
      </c>
      <c r="D516" t="s">
        <v>8343</v>
      </c>
      <c r="E516" t="s">
        <v>8344</v>
      </c>
      <c r="F516" t="s">
        <v>8345</v>
      </c>
      <c r="J516" t="s">
        <v>6985</v>
      </c>
      <c r="K516" s="6" t="s">
        <v>6986</v>
      </c>
      <c r="AB516">
        <v>1</v>
      </c>
      <c r="AC516">
        <v>1</v>
      </c>
      <c r="AG516" t="s">
        <v>6955</v>
      </c>
      <c r="BD516">
        <v>1</v>
      </c>
      <c r="BO516" s="8" t="s">
        <v>8346</v>
      </c>
      <c r="BS516">
        <v>0</v>
      </c>
      <c r="BT516">
        <v>0.2</v>
      </c>
      <c r="BV516" s="9">
        <v>0</v>
      </c>
      <c r="BW516" s="9">
        <v>5</v>
      </c>
      <c r="BX516" s="9">
        <v>1</v>
      </c>
      <c r="BY516" s="9" t="s">
        <v>6987</v>
      </c>
      <c r="CN516" s="10" t="s">
        <v>8347</v>
      </c>
      <c r="CO516" s="3" t="s">
        <v>8348</v>
      </c>
      <c r="CR516">
        <v>99999</v>
      </c>
    </row>
    <row r="517" spans="1:85">
      <c r="A517" t="s">
        <v>8349</v>
      </c>
      <c r="C517" t="s">
        <v>7102</v>
      </c>
      <c r="O517" t="s">
        <v>8350</v>
      </c>
      <c r="AC517">
        <v>2</v>
      </c>
      <c r="AO517" t="s">
        <v>7062</v>
      </c>
      <c r="AT517" t="s">
        <v>7087</v>
      </c>
      <c r="AX517" t="s">
        <v>7064</v>
      </c>
      <c r="AZ517">
        <v>1</v>
      </c>
      <c r="BD517">
        <v>2</v>
      </c>
      <c r="CB517" t="s">
        <v>6302</v>
      </c>
      <c r="CG517" t="s">
        <v>7057</v>
      </c>
    </row>
    <row r="518" spans="1:96">
      <c r="A518" t="s">
        <v>8351</v>
      </c>
      <c r="C518" t="s">
        <v>7102</v>
      </c>
      <c r="O518" t="s">
        <v>8350</v>
      </c>
      <c r="AA518">
        <v>0.2</v>
      </c>
      <c r="AC518">
        <v>2</v>
      </c>
      <c r="AO518" t="s">
        <v>7062</v>
      </c>
      <c r="AT518" t="s">
        <v>7087</v>
      </c>
      <c r="AX518" t="s">
        <v>7064</v>
      </c>
      <c r="AZ518">
        <v>1.65</v>
      </c>
      <c r="BD518">
        <v>2</v>
      </c>
      <c r="CB518" t="s">
        <v>6302</v>
      </c>
      <c r="CG518" t="s">
        <v>7057</v>
      </c>
      <c r="CN518" s="10" t="s">
        <v>7182</v>
      </c>
      <c r="CO518">
        <v>-0.15</v>
      </c>
      <c r="CR518">
        <v>3</v>
      </c>
    </row>
    <row r="519" spans="1:85">
      <c r="A519" t="s">
        <v>8352</v>
      </c>
      <c r="C519" t="s">
        <v>7361</v>
      </c>
      <c r="D519" t="s">
        <v>8353</v>
      </c>
      <c r="E519" t="s">
        <v>8354</v>
      </c>
      <c r="F519" t="s">
        <v>8355</v>
      </c>
      <c r="J519" t="s">
        <v>7091</v>
      </c>
      <c r="K519" s="6" t="s">
        <v>6986</v>
      </c>
      <c r="AB519">
        <v>1</v>
      </c>
      <c r="AC519">
        <v>2</v>
      </c>
      <c r="AO519" t="s">
        <v>7062</v>
      </c>
      <c r="AT519" t="s">
        <v>8356</v>
      </c>
      <c r="AX519" t="s">
        <v>7064</v>
      </c>
      <c r="AZ519">
        <v>1</v>
      </c>
      <c r="BD519">
        <v>4</v>
      </c>
      <c r="BE519">
        <v>1</v>
      </c>
      <c r="BM519">
        <v>1</v>
      </c>
      <c r="BO519" s="8" t="s">
        <v>8357</v>
      </c>
      <c r="BT519">
        <v>30</v>
      </c>
      <c r="BV519" s="9">
        <v>25</v>
      </c>
      <c r="BW519" s="9">
        <v>40</v>
      </c>
      <c r="BX519" s="9">
        <v>1</v>
      </c>
      <c r="BY519" s="9" t="s">
        <v>6987</v>
      </c>
      <c r="CB519" t="s">
        <v>8358</v>
      </c>
      <c r="CG519" t="s">
        <v>7057</v>
      </c>
    </row>
    <row r="520" spans="1:96">
      <c r="A520" t="s">
        <v>8359</v>
      </c>
      <c r="C520" t="s">
        <v>7361</v>
      </c>
      <c r="J520" t="s">
        <v>7091</v>
      </c>
      <c r="K520" s="6" t="s">
        <v>6987</v>
      </c>
      <c r="AA520">
        <v>0.75</v>
      </c>
      <c r="AC520">
        <v>2</v>
      </c>
      <c r="AO520" t="s">
        <v>7062</v>
      </c>
      <c r="AT520" t="s">
        <v>8356</v>
      </c>
      <c r="AX520" t="s">
        <v>7064</v>
      </c>
      <c r="AZ520">
        <v>1.65</v>
      </c>
      <c r="BD520">
        <v>4</v>
      </c>
      <c r="BE520">
        <v>1</v>
      </c>
      <c r="BM520">
        <v>1</v>
      </c>
      <c r="CB520" t="s">
        <v>8358</v>
      </c>
      <c r="CG520" t="s">
        <v>7057</v>
      </c>
      <c r="CN520" s="10" t="s">
        <v>7182</v>
      </c>
      <c r="CO520">
        <v>-0.15</v>
      </c>
      <c r="CR520">
        <v>3</v>
      </c>
    </row>
    <row r="521" spans="1:96">
      <c r="A521" t="s">
        <v>8360</v>
      </c>
      <c r="C521" t="s">
        <v>6968</v>
      </c>
      <c r="K521" s="6" t="s">
        <v>6953</v>
      </c>
      <c r="L521" s="6" t="s">
        <v>7098</v>
      </c>
      <c r="AC521">
        <v>1</v>
      </c>
      <c r="CN521" s="10" t="s">
        <v>8361</v>
      </c>
      <c r="CO521" t="s">
        <v>8362</v>
      </c>
      <c r="CR521">
        <v>30</v>
      </c>
    </row>
    <row r="523" spans="1:1">
      <c r="A523" t="s">
        <v>8363</v>
      </c>
    </row>
    <row r="530" spans="1:103">
      <c r="A530" t="s">
        <v>8364</v>
      </c>
      <c r="C530" t="s">
        <v>6968</v>
      </c>
      <c r="E530" t="s">
        <v>8365</v>
      </c>
      <c r="F530" t="s">
        <v>8366</v>
      </c>
      <c r="AC530">
        <v>2</v>
      </c>
      <c r="AO530" t="s">
        <v>7062</v>
      </c>
      <c r="AT530" t="s">
        <v>7056</v>
      </c>
      <c r="AX530" t="s">
        <v>7077</v>
      </c>
      <c r="AZ530">
        <v>1</v>
      </c>
      <c r="BD530">
        <v>1</v>
      </c>
      <c r="BS530">
        <v>2</v>
      </c>
      <c r="CB530" t="s">
        <v>140</v>
      </c>
      <c r="CG530" t="s">
        <v>7057</v>
      </c>
      <c r="CH530" t="s">
        <v>8367</v>
      </c>
      <c r="CN530" s="10" t="s">
        <v>7131</v>
      </c>
      <c r="CO530">
        <v>-0.8</v>
      </c>
      <c r="CW530" t="s">
        <v>8368</v>
      </c>
      <c r="CY530" t="s">
        <v>8369</v>
      </c>
    </row>
    <row r="532" spans="1:98">
      <c r="A532" t="s">
        <v>8370</v>
      </c>
      <c r="C532" t="s">
        <v>6968</v>
      </c>
      <c r="E532" t="s">
        <v>8371</v>
      </c>
      <c r="F532" t="s">
        <v>8372</v>
      </c>
      <c r="J532" t="s">
        <v>7091</v>
      </c>
      <c r="K532" s="6" t="s">
        <v>6986</v>
      </c>
      <c r="AC532">
        <v>2</v>
      </c>
      <c r="AO532" t="s">
        <v>7062</v>
      </c>
      <c r="AT532" t="s">
        <v>8356</v>
      </c>
      <c r="BD532">
        <v>100</v>
      </c>
      <c r="BR532" t="s">
        <v>8373</v>
      </c>
      <c r="BS532">
        <v>0.2</v>
      </c>
      <c r="BT532">
        <v>10</v>
      </c>
      <c r="BV532" s="9">
        <v>48</v>
      </c>
      <c r="BW532" s="9">
        <v>50</v>
      </c>
      <c r="BX532" s="9">
        <v>1</v>
      </c>
      <c r="BY532" s="9" t="s">
        <v>6987</v>
      </c>
      <c r="CN532" s="10" t="s">
        <v>7131</v>
      </c>
      <c r="CO532">
        <v>-0.8</v>
      </c>
      <c r="CR532">
        <v>99999</v>
      </c>
      <c r="CT532">
        <v>1</v>
      </c>
    </row>
    <row r="533" spans="1:98">
      <c r="A533" t="s">
        <v>8373</v>
      </c>
      <c r="C533" t="s">
        <v>6968</v>
      </c>
      <c r="E533" t="s">
        <v>8371</v>
      </c>
      <c r="F533" t="s">
        <v>8372</v>
      </c>
      <c r="J533" t="s">
        <v>7091</v>
      </c>
      <c r="K533" s="6" t="s">
        <v>6986</v>
      </c>
      <c r="AC533">
        <v>2</v>
      </c>
      <c r="AO533" t="s">
        <v>7062</v>
      </c>
      <c r="AT533" t="s">
        <v>8193</v>
      </c>
      <c r="BD533">
        <v>100</v>
      </c>
      <c r="BS533">
        <v>0.2</v>
      </c>
      <c r="BT533">
        <v>9999</v>
      </c>
      <c r="BV533" s="9">
        <v>0</v>
      </c>
      <c r="BW533" s="9">
        <v>10</v>
      </c>
      <c r="BX533" s="9">
        <v>1</v>
      </c>
      <c r="BY533" s="9" t="s">
        <v>6987</v>
      </c>
      <c r="CN533" s="10" t="s">
        <v>7131</v>
      </c>
      <c r="CO533">
        <v>-0.8</v>
      </c>
      <c r="CR533">
        <v>99999</v>
      </c>
      <c r="CT533">
        <v>1</v>
      </c>
    </row>
    <row r="534" spans="1:71">
      <c r="A534" t="s">
        <v>8374</v>
      </c>
      <c r="C534" t="s">
        <v>6968</v>
      </c>
      <c r="K534" s="6" t="s">
        <v>6987</v>
      </c>
      <c r="AC534">
        <v>1</v>
      </c>
      <c r="AO534" t="s">
        <v>7062</v>
      </c>
      <c r="AT534" t="s">
        <v>8193</v>
      </c>
      <c r="AY534">
        <v>1</v>
      </c>
      <c r="AZ534">
        <v>0.05</v>
      </c>
      <c r="BD534">
        <v>100</v>
      </c>
      <c r="BS534">
        <v>0.2</v>
      </c>
    </row>
    <row r="536" spans="1:86">
      <c r="A536" t="s">
        <v>8375</v>
      </c>
      <c r="C536" t="s">
        <v>6968</v>
      </c>
      <c r="D536" t="s">
        <v>8376</v>
      </c>
      <c r="K536" s="6" t="s">
        <v>6987</v>
      </c>
      <c r="AC536">
        <v>2</v>
      </c>
      <c r="AO536" t="s">
        <v>7062</v>
      </c>
      <c r="AT536" t="s">
        <v>7056</v>
      </c>
      <c r="AX536" t="s">
        <v>7077</v>
      </c>
      <c r="AZ536">
        <v>2</v>
      </c>
      <c r="BD536">
        <v>1</v>
      </c>
      <c r="BE536">
        <v>3</v>
      </c>
      <c r="BS536">
        <v>0.2</v>
      </c>
      <c r="BT536">
        <v>0.2</v>
      </c>
      <c r="BV536" s="9">
        <v>0</v>
      </c>
      <c r="BW536" s="9">
        <v>3</v>
      </c>
      <c r="BX536" s="9">
        <v>2</v>
      </c>
      <c r="BY536" s="9" t="s">
        <v>6987</v>
      </c>
      <c r="CB536" t="s">
        <v>140</v>
      </c>
      <c r="CG536" t="s">
        <v>7057</v>
      </c>
      <c r="CH536" t="s">
        <v>8377</v>
      </c>
    </row>
    <row r="537" spans="1:86">
      <c r="A537" t="s">
        <v>8378</v>
      </c>
      <c r="C537" t="s">
        <v>6968</v>
      </c>
      <c r="D537" t="s">
        <v>8376</v>
      </c>
      <c r="K537" s="6" t="s">
        <v>6986</v>
      </c>
      <c r="AC537">
        <v>2</v>
      </c>
      <c r="AO537" t="s">
        <v>7062</v>
      </c>
      <c r="AT537" t="s">
        <v>7056</v>
      </c>
      <c r="AX537" t="s">
        <v>7077</v>
      </c>
      <c r="AZ537">
        <v>2</v>
      </c>
      <c r="BD537">
        <v>1</v>
      </c>
      <c r="BE537">
        <v>3</v>
      </c>
      <c r="BS537">
        <v>2</v>
      </c>
      <c r="BT537">
        <v>10</v>
      </c>
      <c r="BV537" s="9">
        <v>0</v>
      </c>
      <c r="BW537" s="9">
        <v>3</v>
      </c>
      <c r="BX537" s="9">
        <v>1</v>
      </c>
      <c r="BY537" s="9" t="s">
        <v>6987</v>
      </c>
      <c r="CB537" t="s">
        <v>140</v>
      </c>
      <c r="CG537" t="s">
        <v>7057</v>
      </c>
      <c r="CH537" t="s">
        <v>8377</v>
      </c>
    </row>
    <row r="539" spans="1:85">
      <c r="A539" t="s">
        <v>8379</v>
      </c>
      <c r="C539" t="s">
        <v>7361</v>
      </c>
      <c r="E539" t="s">
        <v>8380</v>
      </c>
      <c r="F539" t="s">
        <v>8366</v>
      </c>
      <c r="J539" t="s">
        <v>6985</v>
      </c>
      <c r="K539" s="6" t="s">
        <v>6986</v>
      </c>
      <c r="AB539">
        <v>1</v>
      </c>
      <c r="AC539">
        <v>2</v>
      </c>
      <c r="AO539" t="s">
        <v>7062</v>
      </c>
      <c r="AT539" t="s">
        <v>7063</v>
      </c>
      <c r="AX539" t="s">
        <v>7064</v>
      </c>
      <c r="AZ539">
        <v>1.5</v>
      </c>
      <c r="BD539">
        <v>99</v>
      </c>
      <c r="BS539">
        <v>1</v>
      </c>
      <c r="BT539">
        <v>0.3</v>
      </c>
      <c r="BV539" s="9">
        <v>1</v>
      </c>
      <c r="BW539" s="9">
        <v>1</v>
      </c>
      <c r="BX539" s="9">
        <v>1</v>
      </c>
      <c r="BY539" s="9" t="s">
        <v>6987</v>
      </c>
      <c r="CB539" t="s">
        <v>140</v>
      </c>
      <c r="CG539" t="s">
        <v>7057</v>
      </c>
    </row>
    <row r="540" spans="1:11">
      <c r="A540" t="s">
        <v>8381</v>
      </c>
      <c r="C540" t="s">
        <v>7345</v>
      </c>
      <c r="E540" t="s">
        <v>8382</v>
      </c>
      <c r="K540" s="6" t="s">
        <v>6986</v>
      </c>
    </row>
    <row r="542" spans="1:93">
      <c r="A542" t="s">
        <v>8383</v>
      </c>
      <c r="C542" t="s">
        <v>6968</v>
      </c>
      <c r="K542" s="6" t="s">
        <v>6953</v>
      </c>
      <c r="L542" s="6" t="s">
        <v>6972</v>
      </c>
      <c r="AC542">
        <v>1</v>
      </c>
      <c r="AG542" t="s">
        <v>6955</v>
      </c>
      <c r="CN542" s="10" t="s">
        <v>8384</v>
      </c>
      <c r="CO542">
        <v>-10</v>
      </c>
    </row>
    <row r="544" spans="1:77">
      <c r="A544" t="s">
        <v>8385</v>
      </c>
      <c r="C544" t="s">
        <v>8386</v>
      </c>
      <c r="J544" t="s">
        <v>6985</v>
      </c>
      <c r="K544" s="6" t="s">
        <v>6987</v>
      </c>
      <c r="W544" s="6">
        <v>1</v>
      </c>
      <c r="BN544">
        <v>10</v>
      </c>
      <c r="BT544">
        <v>0.2</v>
      </c>
      <c r="BV544" s="9">
        <v>0</v>
      </c>
      <c r="BW544" s="9">
        <v>5</v>
      </c>
      <c r="BX544" s="9">
        <v>1</v>
      </c>
      <c r="BY544" s="9" t="s">
        <v>6987</v>
      </c>
    </row>
    <row r="545" spans="1:77">
      <c r="A545" t="s">
        <v>8387</v>
      </c>
      <c r="C545" t="s">
        <v>8388</v>
      </c>
      <c r="J545" t="s">
        <v>7091</v>
      </c>
      <c r="K545" s="6" t="s">
        <v>6986</v>
      </c>
      <c r="BN545">
        <v>10</v>
      </c>
      <c r="BT545">
        <v>5</v>
      </c>
      <c r="BV545" s="9">
        <v>5</v>
      </c>
      <c r="BW545" s="9">
        <v>5</v>
      </c>
      <c r="BX545" s="9">
        <v>1</v>
      </c>
      <c r="BY545" s="9" t="s">
        <v>6987</v>
      </c>
    </row>
    <row r="546" spans="1:77">
      <c r="A546" t="s">
        <v>8389</v>
      </c>
      <c r="C546" t="s">
        <v>8386</v>
      </c>
      <c r="J546" t="s">
        <v>6985</v>
      </c>
      <c r="K546" s="6" t="s">
        <v>6987</v>
      </c>
      <c r="L546" s="6" t="s">
        <v>7613</v>
      </c>
      <c r="W546" s="6">
        <v>1</v>
      </c>
      <c r="BN546">
        <v>10</v>
      </c>
      <c r="BT546">
        <v>0.2</v>
      </c>
      <c r="BV546" s="9">
        <v>0</v>
      </c>
      <c r="BW546" s="9">
        <v>5</v>
      </c>
      <c r="BX546" s="9">
        <v>1</v>
      </c>
      <c r="BY546" s="9" t="s">
        <v>6987</v>
      </c>
    </row>
    <row r="547" spans="1:89">
      <c r="A547" t="s">
        <v>8390</v>
      </c>
      <c r="C547" t="s">
        <v>7799</v>
      </c>
      <c r="K547" s="6" t="s">
        <v>6953</v>
      </c>
      <c r="L547" s="6" t="s">
        <v>6972</v>
      </c>
      <c r="CK547" t="s">
        <v>8391</v>
      </c>
    </row>
    <row r="549" s="5" customFormat="1" spans="1:92">
      <c r="A549" s="5" t="s">
        <v>8392</v>
      </c>
      <c r="K549" s="20"/>
      <c r="L549" s="20"/>
      <c r="M549" s="20"/>
      <c r="N549" s="20"/>
      <c r="O549" s="20"/>
      <c r="P549" s="20"/>
      <c r="Q549" s="20"/>
      <c r="R549" s="20"/>
      <c r="S549" s="20"/>
      <c r="T549" s="20"/>
      <c r="U549" s="20"/>
      <c r="V549" s="20"/>
      <c r="W549" s="20"/>
      <c r="X549" s="20"/>
      <c r="AR549"/>
      <c r="AS549"/>
      <c r="AW549" s="7"/>
      <c r="BO549" s="8"/>
      <c r="BP549" s="8"/>
      <c r="BV549" s="21"/>
      <c r="BW549" s="21"/>
      <c r="BX549" s="21"/>
      <c r="BY549" s="21"/>
      <c r="BZ549" s="21"/>
      <c r="CA549" s="21"/>
      <c r="CN549" s="10"/>
    </row>
    <row r="550" spans="1:85">
      <c r="A550" t="s">
        <v>238</v>
      </c>
      <c r="C550" t="s">
        <v>4994</v>
      </c>
      <c r="AC550">
        <v>1</v>
      </c>
      <c r="AN550">
        <v>1</v>
      </c>
      <c r="AO550" t="s">
        <v>7052</v>
      </c>
      <c r="AV550">
        <v>0</v>
      </c>
      <c r="AX550" t="s">
        <v>7064</v>
      </c>
      <c r="AZ550">
        <v>1</v>
      </c>
      <c r="BD550">
        <v>1</v>
      </c>
      <c r="CB550" t="s">
        <v>140</v>
      </c>
      <c r="CG550" t="s">
        <v>7057</v>
      </c>
    </row>
    <row r="551" spans="1:85">
      <c r="A551" t="s">
        <v>1155</v>
      </c>
      <c r="C551" t="s">
        <v>4994</v>
      </c>
      <c r="AC551">
        <v>1</v>
      </c>
      <c r="AN551">
        <v>1</v>
      </c>
      <c r="AO551" t="s">
        <v>7052</v>
      </c>
      <c r="AV551">
        <v>0</v>
      </c>
      <c r="AX551" t="s">
        <v>7077</v>
      </c>
      <c r="AZ551">
        <v>1</v>
      </c>
      <c r="BD551">
        <v>1</v>
      </c>
      <c r="CB551" t="s">
        <v>140</v>
      </c>
      <c r="CG551" t="s">
        <v>7057</v>
      </c>
    </row>
    <row r="552" spans="40:40">
      <c r="AN552">
        <v>1</v>
      </c>
    </row>
    <row r="553" spans="1:86">
      <c r="A553" t="s">
        <v>288</v>
      </c>
      <c r="C553" t="s">
        <v>6968</v>
      </c>
      <c r="AC553">
        <v>1</v>
      </c>
      <c r="AN553">
        <v>1</v>
      </c>
      <c r="AO553" t="s">
        <v>7052</v>
      </c>
      <c r="AP553" t="s">
        <v>8393</v>
      </c>
      <c r="AV553">
        <v>2</v>
      </c>
      <c r="AX553" t="s">
        <v>7064</v>
      </c>
      <c r="AZ553">
        <v>1</v>
      </c>
      <c r="BD553">
        <v>1</v>
      </c>
      <c r="BS553">
        <v>2</v>
      </c>
      <c r="CB553" t="s">
        <v>140</v>
      </c>
      <c r="CG553" t="s">
        <v>7057</v>
      </c>
      <c r="CH553" t="s">
        <v>8367</v>
      </c>
    </row>
    <row r="554" spans="1:85">
      <c r="A554" t="s">
        <v>8394</v>
      </c>
      <c r="C554" t="s">
        <v>4994</v>
      </c>
      <c r="AC554">
        <v>1</v>
      </c>
      <c r="AN554">
        <v>1</v>
      </c>
      <c r="AO554" t="s">
        <v>7052</v>
      </c>
      <c r="AV554">
        <v>0</v>
      </c>
      <c r="AX554" t="s">
        <v>7064</v>
      </c>
      <c r="AZ554">
        <v>1</v>
      </c>
      <c r="BD554">
        <v>1</v>
      </c>
      <c r="BS554">
        <v>1</v>
      </c>
      <c r="CB554" t="s">
        <v>140</v>
      </c>
      <c r="CG554" t="s">
        <v>7057</v>
      </c>
    </row>
    <row r="555" spans="1:85">
      <c r="A555" t="s">
        <v>226</v>
      </c>
      <c r="C555" t="s">
        <v>4994</v>
      </c>
      <c r="AC555">
        <v>1</v>
      </c>
      <c r="AN555">
        <v>1</v>
      </c>
      <c r="AO555" t="s">
        <v>7052</v>
      </c>
      <c r="AV555">
        <v>0</v>
      </c>
      <c r="AX555" t="s">
        <v>7064</v>
      </c>
      <c r="AZ555">
        <v>1</v>
      </c>
      <c r="BD555">
        <v>1</v>
      </c>
      <c r="BS555">
        <v>1</v>
      </c>
      <c r="CB555" t="s">
        <v>140</v>
      </c>
      <c r="CG555" t="s">
        <v>7057</v>
      </c>
    </row>
    <row r="556" spans="1:96">
      <c r="A556" t="s">
        <v>8395</v>
      </c>
      <c r="C556" t="s">
        <v>6968</v>
      </c>
      <c r="K556" s="6" t="s">
        <v>6953</v>
      </c>
      <c r="L556" s="6" t="s">
        <v>7060</v>
      </c>
      <c r="AC556">
        <v>2</v>
      </c>
      <c r="AG556" t="s">
        <v>6955</v>
      </c>
      <c r="AN556">
        <v>1</v>
      </c>
      <c r="AY556" s="6"/>
      <c r="BD556">
        <v>1</v>
      </c>
      <c r="BV556"/>
      <c r="BW556"/>
      <c r="BX556"/>
      <c r="BY556"/>
      <c r="BZ556"/>
      <c r="CA556"/>
      <c r="CB556" s="6"/>
      <c r="CC556" s="6"/>
      <c r="CD556" s="6"/>
      <c r="CE556" s="6"/>
      <c r="CF556" s="6"/>
      <c r="CH556" s="6"/>
      <c r="CI556" s="6"/>
      <c r="CJ556" s="6"/>
      <c r="CK556" s="6"/>
      <c r="CL556" s="6"/>
      <c r="CM556" s="6"/>
      <c r="CN556" s="10" t="s">
        <v>7705</v>
      </c>
      <c r="CR556">
        <v>99999</v>
      </c>
    </row>
    <row r="557" spans="1:96">
      <c r="A557" t="s">
        <v>319</v>
      </c>
      <c r="C557" t="s">
        <v>6968</v>
      </c>
      <c r="K557" s="6" t="s">
        <v>6953</v>
      </c>
      <c r="L557" s="6" t="s">
        <v>7060</v>
      </c>
      <c r="AC557">
        <v>2</v>
      </c>
      <c r="AG557" t="s">
        <v>6955</v>
      </c>
      <c r="AN557">
        <v>1</v>
      </c>
      <c r="AY557" s="6"/>
      <c r="BD557">
        <v>1</v>
      </c>
      <c r="BV557"/>
      <c r="BW557"/>
      <c r="BX557"/>
      <c r="BY557"/>
      <c r="BZ557"/>
      <c r="CA557"/>
      <c r="CB557" s="6"/>
      <c r="CC557" s="6"/>
      <c r="CD557" s="6"/>
      <c r="CE557" s="6"/>
      <c r="CF557" s="6"/>
      <c r="CH557" s="6"/>
      <c r="CI557" s="6"/>
      <c r="CJ557" s="6"/>
      <c r="CK557" s="6"/>
      <c r="CL557" s="6"/>
      <c r="CM557" s="6"/>
      <c r="CN557" s="10" t="s">
        <v>8396</v>
      </c>
      <c r="CR557">
        <v>99999</v>
      </c>
    </row>
    <row r="558" spans="1:96">
      <c r="A558" t="s">
        <v>8397</v>
      </c>
      <c r="C558" t="s">
        <v>6968</v>
      </c>
      <c r="K558" s="6" t="s">
        <v>6953</v>
      </c>
      <c r="L558" s="6" t="s">
        <v>7060</v>
      </c>
      <c r="AC558">
        <v>1</v>
      </c>
      <c r="AG558" t="s">
        <v>6955</v>
      </c>
      <c r="AN558">
        <v>1</v>
      </c>
      <c r="AY558" s="6"/>
      <c r="BD558">
        <v>1</v>
      </c>
      <c r="BV558"/>
      <c r="BW558"/>
      <c r="BX558"/>
      <c r="BY558"/>
      <c r="BZ558"/>
      <c r="CA558"/>
      <c r="CB558" s="6"/>
      <c r="CC558" s="6"/>
      <c r="CD558" s="6"/>
      <c r="CE558" s="6"/>
      <c r="CF558" s="6"/>
      <c r="CH558" s="6"/>
      <c r="CI558" s="6"/>
      <c r="CJ558" s="6"/>
      <c r="CK558" s="6"/>
      <c r="CL558" s="6"/>
      <c r="CM558" s="6"/>
      <c r="CN558" s="10" t="s">
        <v>8398</v>
      </c>
      <c r="CR558">
        <v>99999</v>
      </c>
    </row>
    <row r="559" spans="1:109">
      <c r="A559" t="s">
        <v>8399</v>
      </c>
      <c r="C559" t="s">
        <v>6968</v>
      </c>
      <c r="K559" s="6" t="s">
        <v>6953</v>
      </c>
      <c r="L559" s="6" t="s">
        <v>8068</v>
      </c>
      <c r="X559" s="6">
        <v>1</v>
      </c>
      <c r="AB559">
        <v>1</v>
      </c>
      <c r="AC559">
        <v>1</v>
      </c>
      <c r="AN559">
        <v>1</v>
      </c>
      <c r="AO559" t="s">
        <v>7052</v>
      </c>
      <c r="AV559">
        <v>1.65</v>
      </c>
      <c r="AX559" t="s">
        <v>7064</v>
      </c>
      <c r="AZ559">
        <v>2</v>
      </c>
      <c r="BD559">
        <v>99</v>
      </c>
      <c r="BS559">
        <v>0.2</v>
      </c>
      <c r="DE559">
        <v>1</v>
      </c>
    </row>
    <row r="560" spans="40:40">
      <c r="AN560">
        <v>1</v>
      </c>
    </row>
    <row r="561" spans="1:87">
      <c r="A561" t="s">
        <v>280</v>
      </c>
      <c r="C561" t="s">
        <v>6968</v>
      </c>
      <c r="AC561">
        <v>1</v>
      </c>
      <c r="AN561">
        <v>1</v>
      </c>
      <c r="AO561" t="s">
        <v>7052</v>
      </c>
      <c r="AP561" t="s">
        <v>8393</v>
      </c>
      <c r="AV561">
        <v>7</v>
      </c>
      <c r="AX561" t="s">
        <v>7064</v>
      </c>
      <c r="AZ561">
        <v>1</v>
      </c>
      <c r="BD561">
        <v>1</v>
      </c>
      <c r="BJ561">
        <v>1.4</v>
      </c>
      <c r="BK561">
        <v>1</v>
      </c>
      <c r="BL561">
        <v>1</v>
      </c>
      <c r="BS561">
        <v>4.5</v>
      </c>
      <c r="CB561" t="s">
        <v>140</v>
      </c>
      <c r="CG561" t="s">
        <v>7057</v>
      </c>
      <c r="CH561" t="s">
        <v>8400</v>
      </c>
      <c r="CI561" t="s">
        <v>8401</v>
      </c>
    </row>
    <row r="562" spans="40:40">
      <c r="AN562">
        <v>1</v>
      </c>
    </row>
    <row r="563" spans="40:40">
      <c r="AN563">
        <v>1</v>
      </c>
    </row>
    <row r="564" spans="40:40">
      <c r="AN564">
        <v>1</v>
      </c>
    </row>
    <row r="565" spans="1:96">
      <c r="A565" t="s">
        <v>8402</v>
      </c>
      <c r="C565" t="s">
        <v>6968</v>
      </c>
      <c r="Z565">
        <v>1</v>
      </c>
      <c r="AC565">
        <v>1</v>
      </c>
      <c r="AN565">
        <v>1</v>
      </c>
      <c r="AO565" t="s">
        <v>7052</v>
      </c>
      <c r="AP565" t="s">
        <v>8393</v>
      </c>
      <c r="AV565">
        <v>2</v>
      </c>
      <c r="AX565" t="s">
        <v>7064</v>
      </c>
      <c r="AZ565">
        <v>1</v>
      </c>
      <c r="BD565">
        <v>1</v>
      </c>
      <c r="BS565">
        <v>3.7</v>
      </c>
      <c r="CB565" t="s">
        <v>140</v>
      </c>
      <c r="CG565" t="s">
        <v>7057</v>
      </c>
      <c r="CH565" t="s">
        <v>8367</v>
      </c>
      <c r="CI565" t="s">
        <v>8403</v>
      </c>
      <c r="CJ565" t="s">
        <v>8391</v>
      </c>
      <c r="CN565" s="10" t="s">
        <v>8404</v>
      </c>
      <c r="CO565">
        <v>-30</v>
      </c>
      <c r="CR565">
        <v>5</v>
      </c>
    </row>
    <row r="566" spans="1:96">
      <c r="A566" t="s">
        <v>8405</v>
      </c>
      <c r="C566" t="s">
        <v>4994</v>
      </c>
      <c r="AC566">
        <v>1</v>
      </c>
      <c r="AN566">
        <v>1</v>
      </c>
      <c r="AO566" t="s">
        <v>7052</v>
      </c>
      <c r="AV566">
        <v>0</v>
      </c>
      <c r="AX566" t="s">
        <v>7064</v>
      </c>
      <c r="AZ566">
        <v>1</v>
      </c>
      <c r="BD566">
        <v>1</v>
      </c>
      <c r="BS566">
        <v>3.7</v>
      </c>
      <c r="CB566" t="s">
        <v>140</v>
      </c>
      <c r="CG566" t="s">
        <v>7057</v>
      </c>
      <c r="CH566" t="s">
        <v>8367</v>
      </c>
      <c r="CJ566" t="s">
        <v>8391</v>
      </c>
      <c r="CN566" s="10" t="s">
        <v>8404</v>
      </c>
      <c r="CO566">
        <v>-30</v>
      </c>
      <c r="CR566">
        <v>5</v>
      </c>
    </row>
    <row r="567" spans="1:101">
      <c r="A567" t="s">
        <v>8406</v>
      </c>
      <c r="C567" t="s">
        <v>6968</v>
      </c>
      <c r="J567" t="s">
        <v>6985</v>
      </c>
      <c r="P567" s="6" t="s">
        <v>8407</v>
      </c>
      <c r="Y567">
        <v>1</v>
      </c>
      <c r="AC567">
        <v>1</v>
      </c>
      <c r="AN567">
        <v>1</v>
      </c>
      <c r="AO567" t="s">
        <v>7052</v>
      </c>
      <c r="AV567">
        <v>2</v>
      </c>
      <c r="AX567" t="s">
        <v>7064</v>
      </c>
      <c r="AZ567">
        <v>1</v>
      </c>
      <c r="BD567">
        <v>99</v>
      </c>
      <c r="BS567">
        <v>3.7</v>
      </c>
      <c r="BT567">
        <v>0.2</v>
      </c>
      <c r="BV567" s="9">
        <v>0</v>
      </c>
      <c r="BW567" s="9">
        <v>10.5</v>
      </c>
      <c r="BX567" s="9">
        <v>1</v>
      </c>
      <c r="BY567" s="9" t="s">
        <v>6987</v>
      </c>
      <c r="CB567" t="s">
        <v>140</v>
      </c>
      <c r="CG567" t="s">
        <v>7057</v>
      </c>
      <c r="CJ567" t="s">
        <v>8391</v>
      </c>
      <c r="CN567" s="10" t="s">
        <v>8404</v>
      </c>
      <c r="CO567">
        <v>-30</v>
      </c>
      <c r="CR567">
        <v>10</v>
      </c>
      <c r="CW567" t="s">
        <v>8368</v>
      </c>
    </row>
    <row r="568" spans="1:103">
      <c r="A568" t="s">
        <v>8408</v>
      </c>
      <c r="C568" t="s">
        <v>8409</v>
      </c>
      <c r="J568" t="s">
        <v>6985</v>
      </c>
      <c r="P568" s="6" t="s">
        <v>8407</v>
      </c>
      <c r="AN568">
        <v>1</v>
      </c>
      <c r="BD568">
        <v>2</v>
      </c>
      <c r="BS568">
        <v>3.7</v>
      </c>
      <c r="BT568">
        <v>0.2</v>
      </c>
      <c r="BV568" s="9">
        <v>0</v>
      </c>
      <c r="BW568" s="9">
        <v>21</v>
      </c>
      <c r="BX568" s="9">
        <v>1</v>
      </c>
      <c r="BY568" s="9" t="s">
        <v>6987</v>
      </c>
      <c r="CB568" t="s">
        <v>8410</v>
      </c>
      <c r="CG568" t="s">
        <v>7057</v>
      </c>
      <c r="CW568" t="s">
        <v>8368</v>
      </c>
      <c r="CY568" t="s">
        <v>8411</v>
      </c>
    </row>
    <row r="569" spans="1:99">
      <c r="A569" t="s">
        <v>8412</v>
      </c>
      <c r="C569" t="s">
        <v>7549</v>
      </c>
      <c r="K569" s="6" t="s">
        <v>6953</v>
      </c>
      <c r="L569" s="6" t="s">
        <v>7550</v>
      </c>
      <c r="N569" s="6">
        <v>1</v>
      </c>
      <c r="AC569">
        <v>2</v>
      </c>
      <c r="AG569" t="s">
        <v>6955</v>
      </c>
      <c r="AH569">
        <v>1</v>
      </c>
      <c r="AN569">
        <v>1</v>
      </c>
      <c r="AY569">
        <v>1</v>
      </c>
      <c r="BD569">
        <v>1</v>
      </c>
      <c r="BP569" s="8" t="s">
        <v>8413</v>
      </c>
      <c r="BS569">
        <v>10</v>
      </c>
      <c r="CU569" t="s">
        <v>8414</v>
      </c>
    </row>
    <row r="570" spans="1:99">
      <c r="A570" t="s">
        <v>8415</v>
      </c>
      <c r="C570" t="s">
        <v>7549</v>
      </c>
      <c r="K570" s="6" t="s">
        <v>6953</v>
      </c>
      <c r="L570" s="6" t="s">
        <v>7550</v>
      </c>
      <c r="N570" s="6">
        <v>1</v>
      </c>
      <c r="AC570">
        <v>2</v>
      </c>
      <c r="AG570" t="s">
        <v>6955</v>
      </c>
      <c r="AH570">
        <v>1</v>
      </c>
      <c r="AN570">
        <v>1</v>
      </c>
      <c r="AY570">
        <v>1</v>
      </c>
      <c r="BD570">
        <v>1</v>
      </c>
      <c r="BP570" s="8" t="s">
        <v>8416</v>
      </c>
      <c r="BS570">
        <v>10</v>
      </c>
      <c r="CU570" t="s">
        <v>8414</v>
      </c>
    </row>
    <row r="571" spans="1:85">
      <c r="A571" t="s">
        <v>8417</v>
      </c>
      <c r="C571" t="s">
        <v>6968</v>
      </c>
      <c r="K571" s="6" t="s">
        <v>6953</v>
      </c>
      <c r="Y571">
        <v>1</v>
      </c>
      <c r="AB571">
        <v>1</v>
      </c>
      <c r="AC571">
        <v>2</v>
      </c>
      <c r="AG571" t="s">
        <v>6955</v>
      </c>
      <c r="AN571">
        <v>1</v>
      </c>
      <c r="BD571">
        <v>1</v>
      </c>
      <c r="BS571">
        <v>10</v>
      </c>
      <c r="CB571" t="s">
        <v>8001</v>
      </c>
      <c r="CG571" t="s">
        <v>7475</v>
      </c>
    </row>
    <row r="572" spans="1:96">
      <c r="A572" t="s">
        <v>8418</v>
      </c>
      <c r="C572" t="s">
        <v>6968</v>
      </c>
      <c r="K572" s="6" t="s">
        <v>6953</v>
      </c>
      <c r="AC572">
        <v>2</v>
      </c>
      <c r="AG572" t="s">
        <v>6955</v>
      </c>
      <c r="AN572">
        <v>1</v>
      </c>
      <c r="AO572" t="s">
        <v>7052</v>
      </c>
      <c r="BD572">
        <v>1</v>
      </c>
      <c r="CN572" s="10" t="s">
        <v>8407</v>
      </c>
      <c r="CR572">
        <v>99999</v>
      </c>
    </row>
    <row r="573" spans="1:96">
      <c r="A573" t="s">
        <v>8419</v>
      </c>
      <c r="C573" t="s">
        <v>6968</v>
      </c>
      <c r="K573" s="6" t="s">
        <v>6953</v>
      </c>
      <c r="AC573">
        <v>2</v>
      </c>
      <c r="AG573" t="s">
        <v>6955</v>
      </c>
      <c r="AN573">
        <v>1</v>
      </c>
      <c r="AO573" t="s">
        <v>7052</v>
      </c>
      <c r="BD573">
        <v>1</v>
      </c>
      <c r="CN573" s="10" t="s">
        <v>8420</v>
      </c>
      <c r="CR573">
        <v>10</v>
      </c>
    </row>
    <row r="574" spans="1:96">
      <c r="A574" t="s">
        <v>8421</v>
      </c>
      <c r="C574" t="s">
        <v>6968</v>
      </c>
      <c r="K574" s="6" t="s">
        <v>6953</v>
      </c>
      <c r="AC574">
        <v>2</v>
      </c>
      <c r="AG574" t="s">
        <v>6955</v>
      </c>
      <c r="AN574">
        <v>1</v>
      </c>
      <c r="AO574" t="s">
        <v>7052</v>
      </c>
      <c r="BD574">
        <v>1</v>
      </c>
      <c r="CN574" s="10" t="s">
        <v>7182</v>
      </c>
      <c r="CO574">
        <v>0.5</v>
      </c>
      <c r="CR574">
        <v>99999</v>
      </c>
    </row>
    <row r="575" spans="1:96">
      <c r="A575" t="s">
        <v>8422</v>
      </c>
      <c r="C575" t="s">
        <v>6968</v>
      </c>
      <c r="K575" s="6" t="s">
        <v>6953</v>
      </c>
      <c r="AC575">
        <v>2</v>
      </c>
      <c r="AG575" t="s">
        <v>6955</v>
      </c>
      <c r="AN575">
        <v>1</v>
      </c>
      <c r="AO575" t="s">
        <v>7052</v>
      </c>
      <c r="BD575">
        <v>1</v>
      </c>
      <c r="CN575" s="10" t="s">
        <v>8423</v>
      </c>
      <c r="CR575">
        <v>15</v>
      </c>
    </row>
    <row r="576" spans="1:99">
      <c r="A576" t="s">
        <v>8424</v>
      </c>
      <c r="C576" t="s">
        <v>8425</v>
      </c>
      <c r="K576" s="6" t="s">
        <v>6953</v>
      </c>
      <c r="AC576">
        <v>2</v>
      </c>
      <c r="AG576" t="s">
        <v>6955</v>
      </c>
      <c r="AN576">
        <v>1</v>
      </c>
      <c r="AY576" s="6"/>
      <c r="BD576">
        <v>1</v>
      </c>
      <c r="BV576"/>
      <c r="BW576"/>
      <c r="BX576"/>
      <c r="BY576"/>
      <c r="BZ576"/>
      <c r="CA576"/>
      <c r="CB576" s="6"/>
      <c r="CC576" s="6"/>
      <c r="CD576" s="6"/>
      <c r="CE576" s="6"/>
      <c r="CF576" s="6"/>
      <c r="CH576" s="6"/>
      <c r="CI576" s="6"/>
      <c r="CJ576" s="6"/>
      <c r="CK576" s="6"/>
      <c r="CL576" s="6"/>
      <c r="CM576" s="6"/>
      <c r="CU576" t="s">
        <v>8426</v>
      </c>
    </row>
    <row r="577" spans="1:96">
      <c r="A577" t="s">
        <v>8427</v>
      </c>
      <c r="C577" t="s">
        <v>6968</v>
      </c>
      <c r="J577" t="s">
        <v>6985</v>
      </c>
      <c r="O577" s="6" t="s">
        <v>8407</v>
      </c>
      <c r="Y577">
        <v>1</v>
      </c>
      <c r="AC577">
        <v>1</v>
      </c>
      <c r="AN577">
        <v>1</v>
      </c>
      <c r="AO577" t="s">
        <v>7052</v>
      </c>
      <c r="AV577">
        <v>3.3</v>
      </c>
      <c r="AX577" t="s">
        <v>7064</v>
      </c>
      <c r="AZ577">
        <v>1</v>
      </c>
      <c r="BD577">
        <v>99</v>
      </c>
      <c r="BS577">
        <v>3.7</v>
      </c>
      <c r="BT577">
        <v>0.2</v>
      </c>
      <c r="BV577" s="9">
        <v>0</v>
      </c>
      <c r="BW577" s="9">
        <v>10.5</v>
      </c>
      <c r="BX577" s="9">
        <v>1</v>
      </c>
      <c r="BY577" s="9" t="s">
        <v>6987</v>
      </c>
      <c r="CB577" t="s">
        <v>8428</v>
      </c>
      <c r="CG577" t="s">
        <v>7057</v>
      </c>
      <c r="CJ577" t="s">
        <v>8391</v>
      </c>
      <c r="CN577" s="10" t="s">
        <v>8404</v>
      </c>
      <c r="CO577">
        <v>-30</v>
      </c>
      <c r="CR577">
        <v>10</v>
      </c>
    </row>
    <row r="578" spans="1:103">
      <c r="A578" t="s">
        <v>8429</v>
      </c>
      <c r="C578" t="s">
        <v>8409</v>
      </c>
      <c r="J578" t="s">
        <v>6985</v>
      </c>
      <c r="O578" s="6" t="s">
        <v>8407</v>
      </c>
      <c r="AN578">
        <v>1</v>
      </c>
      <c r="BD578">
        <v>3</v>
      </c>
      <c r="BS578">
        <v>3.7</v>
      </c>
      <c r="BT578">
        <v>0.2</v>
      </c>
      <c r="BV578" s="9">
        <v>0</v>
      </c>
      <c r="BW578" s="9">
        <v>21</v>
      </c>
      <c r="BX578" s="9">
        <v>1</v>
      </c>
      <c r="BY578" s="9" t="s">
        <v>6987</v>
      </c>
      <c r="CB578" t="s">
        <v>8410</v>
      </c>
      <c r="CG578" t="s">
        <v>7057</v>
      </c>
      <c r="CW578" t="s">
        <v>8368</v>
      </c>
      <c r="CY578" t="s">
        <v>8411</v>
      </c>
    </row>
    <row r="579" spans="40:40">
      <c r="AN579">
        <v>1</v>
      </c>
    </row>
    <row r="580" spans="1:99">
      <c r="A580" t="s">
        <v>8430</v>
      </c>
      <c r="C580" t="s">
        <v>8431</v>
      </c>
      <c r="J580" t="s">
        <v>6985</v>
      </c>
      <c r="K580" s="6" t="s">
        <v>6987</v>
      </c>
      <c r="AB580">
        <v>1</v>
      </c>
      <c r="AC580">
        <v>2</v>
      </c>
      <c r="AG580" t="s">
        <v>6955</v>
      </c>
      <c r="AN580">
        <v>1</v>
      </c>
      <c r="BD580">
        <v>1</v>
      </c>
      <c r="BS580">
        <v>0.5</v>
      </c>
      <c r="BT580">
        <v>0.1</v>
      </c>
      <c r="BV580" s="9">
        <v>0</v>
      </c>
      <c r="BW580" s="9">
        <v>15</v>
      </c>
      <c r="BX580" s="9">
        <v>1</v>
      </c>
      <c r="BY580" s="9" t="s">
        <v>6987</v>
      </c>
      <c r="CB580" t="s">
        <v>8432</v>
      </c>
      <c r="CG580" t="s">
        <v>7475</v>
      </c>
      <c r="CN580" s="10" t="s">
        <v>8433</v>
      </c>
      <c r="CR580">
        <v>0.4</v>
      </c>
      <c r="CU580" t="s">
        <v>8434</v>
      </c>
    </row>
    <row r="581" spans="1:87">
      <c r="A581" t="s">
        <v>8435</v>
      </c>
      <c r="C581" t="s">
        <v>6968</v>
      </c>
      <c r="AC581">
        <v>1</v>
      </c>
      <c r="AN581">
        <v>1</v>
      </c>
      <c r="AO581" t="s">
        <v>7052</v>
      </c>
      <c r="AP581" t="s">
        <v>8393</v>
      </c>
      <c r="AV581">
        <v>3.5</v>
      </c>
      <c r="AX581" t="s">
        <v>7064</v>
      </c>
      <c r="AZ581">
        <v>1</v>
      </c>
      <c r="BD581">
        <v>1</v>
      </c>
      <c r="BS581">
        <v>4</v>
      </c>
      <c r="CB581" t="s">
        <v>140</v>
      </c>
      <c r="CG581" t="s">
        <v>7057</v>
      </c>
      <c r="CH581" t="s">
        <v>7071</v>
      </c>
      <c r="CI581" t="s">
        <v>8436</v>
      </c>
    </row>
    <row r="582" spans="1:96">
      <c r="A582" t="s">
        <v>8437</v>
      </c>
      <c r="C582" t="s">
        <v>6968</v>
      </c>
      <c r="J582" t="s">
        <v>6985</v>
      </c>
      <c r="AC582">
        <v>1</v>
      </c>
      <c r="AN582">
        <v>1</v>
      </c>
      <c r="AO582" t="s">
        <v>7052</v>
      </c>
      <c r="AV582">
        <v>3.5</v>
      </c>
      <c r="AX582" t="s">
        <v>7064</v>
      </c>
      <c r="AZ582">
        <v>1</v>
      </c>
      <c r="BD582">
        <v>1</v>
      </c>
      <c r="BS582">
        <v>4</v>
      </c>
      <c r="BT582">
        <v>0.1</v>
      </c>
      <c r="BV582" s="9">
        <v>0</v>
      </c>
      <c r="BW582" s="9">
        <v>2</v>
      </c>
      <c r="BX582" s="9">
        <v>1</v>
      </c>
      <c r="BY582" s="9" t="s">
        <v>7142</v>
      </c>
      <c r="CB582" t="s">
        <v>140</v>
      </c>
      <c r="CG582" t="s">
        <v>7057</v>
      </c>
      <c r="CH582" t="s">
        <v>7071</v>
      </c>
      <c r="CN582" s="10" t="s">
        <v>6957</v>
      </c>
      <c r="CR582">
        <v>5</v>
      </c>
    </row>
    <row r="583" spans="1:96">
      <c r="A583" t="s">
        <v>8438</v>
      </c>
      <c r="C583" t="s">
        <v>4994</v>
      </c>
      <c r="J583" t="s">
        <v>6985</v>
      </c>
      <c r="AC583">
        <v>1</v>
      </c>
      <c r="AN583">
        <v>1</v>
      </c>
      <c r="AO583" t="s">
        <v>7052</v>
      </c>
      <c r="AX583" t="s">
        <v>7064</v>
      </c>
      <c r="AZ583">
        <v>1</v>
      </c>
      <c r="BD583">
        <v>1</v>
      </c>
      <c r="BT583">
        <v>0.1</v>
      </c>
      <c r="BV583" s="9">
        <v>0</v>
      </c>
      <c r="BW583" s="9">
        <v>2</v>
      </c>
      <c r="BX583" s="9">
        <v>1</v>
      </c>
      <c r="BY583" s="9" t="s">
        <v>7142</v>
      </c>
      <c r="CB583" t="s">
        <v>140</v>
      </c>
      <c r="CG583" t="s">
        <v>7057</v>
      </c>
      <c r="CN583" s="10" t="s">
        <v>6957</v>
      </c>
      <c r="CR583">
        <v>7</v>
      </c>
    </row>
    <row r="584" spans="1:96">
      <c r="A584" t="s">
        <v>8439</v>
      </c>
      <c r="C584" t="s">
        <v>6968</v>
      </c>
      <c r="U584" s="6">
        <v>0.5</v>
      </c>
      <c r="AC584">
        <v>2</v>
      </c>
      <c r="AG584" t="s">
        <v>6955</v>
      </c>
      <c r="AN584">
        <v>1</v>
      </c>
      <c r="BD584">
        <v>1</v>
      </c>
      <c r="CN584" s="10" t="s">
        <v>6988</v>
      </c>
      <c r="CO584">
        <v>1</v>
      </c>
      <c r="CR584">
        <v>9999</v>
      </c>
    </row>
    <row r="585" spans="1:96">
      <c r="A585" t="s">
        <v>8440</v>
      </c>
      <c r="C585" t="s">
        <v>6968</v>
      </c>
      <c r="U585" s="6">
        <v>0.5</v>
      </c>
      <c r="AC585">
        <v>2</v>
      </c>
      <c r="AG585" t="s">
        <v>6955</v>
      </c>
      <c r="AN585">
        <v>1</v>
      </c>
      <c r="BD585">
        <v>1</v>
      </c>
      <c r="CN585" s="10" t="s">
        <v>6988</v>
      </c>
      <c r="CO585">
        <v>1.8</v>
      </c>
      <c r="CR585">
        <v>9999</v>
      </c>
    </row>
    <row r="586" spans="1:87">
      <c r="A586" t="s">
        <v>331</v>
      </c>
      <c r="C586" t="s">
        <v>6968</v>
      </c>
      <c r="AC586">
        <v>1</v>
      </c>
      <c r="AN586">
        <v>1</v>
      </c>
      <c r="AO586" t="s">
        <v>7052</v>
      </c>
      <c r="AP586" t="s">
        <v>8393</v>
      </c>
      <c r="AV586">
        <v>1.7</v>
      </c>
      <c r="AX586" t="s">
        <v>7064</v>
      </c>
      <c r="AZ586">
        <v>1</v>
      </c>
      <c r="BD586">
        <v>1</v>
      </c>
      <c r="BE586">
        <v>2</v>
      </c>
      <c r="BF586">
        <v>0.01</v>
      </c>
      <c r="BS586">
        <v>3</v>
      </c>
      <c r="CB586" t="s">
        <v>140</v>
      </c>
      <c r="CG586" t="s">
        <v>7057</v>
      </c>
      <c r="CH586" t="s">
        <v>7071</v>
      </c>
      <c r="CI586" t="s">
        <v>8436</v>
      </c>
    </row>
    <row r="587" spans="40:40">
      <c r="AN587">
        <v>1</v>
      </c>
    </row>
    <row r="588" spans="1:96">
      <c r="A588" t="s">
        <v>923</v>
      </c>
      <c r="C588" t="s">
        <v>6968</v>
      </c>
      <c r="AC588">
        <v>1</v>
      </c>
      <c r="AN588">
        <v>1</v>
      </c>
      <c r="AO588" t="s">
        <v>7052</v>
      </c>
      <c r="AP588" t="s">
        <v>8393</v>
      </c>
      <c r="AV588">
        <v>1.8</v>
      </c>
      <c r="AX588" t="s">
        <v>7064</v>
      </c>
      <c r="AZ588">
        <v>1</v>
      </c>
      <c r="BD588">
        <v>1</v>
      </c>
      <c r="BS588">
        <v>3</v>
      </c>
      <c r="CB588" t="s">
        <v>140</v>
      </c>
      <c r="CG588" t="s">
        <v>7057</v>
      </c>
      <c r="CH588" t="s">
        <v>7071</v>
      </c>
      <c r="CN588" s="10" t="s">
        <v>8441</v>
      </c>
      <c r="CO588">
        <v>-10</v>
      </c>
      <c r="CR588">
        <v>99999</v>
      </c>
    </row>
    <row r="589" spans="1:96">
      <c r="A589" t="s">
        <v>929</v>
      </c>
      <c r="C589" t="s">
        <v>6968</v>
      </c>
      <c r="AC589">
        <v>1</v>
      </c>
      <c r="AN589">
        <v>1</v>
      </c>
      <c r="AO589" t="s">
        <v>7052</v>
      </c>
      <c r="AP589" t="s">
        <v>8393</v>
      </c>
      <c r="AV589">
        <v>1.8</v>
      </c>
      <c r="AX589" t="s">
        <v>7064</v>
      </c>
      <c r="AZ589">
        <v>1</v>
      </c>
      <c r="BD589">
        <v>1</v>
      </c>
      <c r="BS589">
        <v>3</v>
      </c>
      <c r="CB589" t="s">
        <v>140</v>
      </c>
      <c r="CG589" t="s">
        <v>7057</v>
      </c>
      <c r="CH589" t="s">
        <v>7071</v>
      </c>
      <c r="CN589" s="10" t="s">
        <v>8441</v>
      </c>
      <c r="CO589">
        <v>-15</v>
      </c>
      <c r="CR589">
        <v>99999</v>
      </c>
    </row>
    <row r="590" spans="1:109">
      <c r="A590" t="s">
        <v>8442</v>
      </c>
      <c r="C590" t="s">
        <v>6968</v>
      </c>
      <c r="K590" s="6" t="s">
        <v>6953</v>
      </c>
      <c r="L590" s="6" t="s">
        <v>8068</v>
      </c>
      <c r="X590" s="6">
        <v>1</v>
      </c>
      <c r="AB590">
        <v>1</v>
      </c>
      <c r="AC590">
        <v>1</v>
      </c>
      <c r="AN590">
        <v>1</v>
      </c>
      <c r="AO590" t="s">
        <v>7052</v>
      </c>
      <c r="AV590">
        <v>1.25</v>
      </c>
      <c r="AX590" t="s">
        <v>7064</v>
      </c>
      <c r="AZ590">
        <v>4</v>
      </c>
      <c r="BD590">
        <v>99</v>
      </c>
      <c r="BS590">
        <v>0.2</v>
      </c>
      <c r="DE590">
        <v>1</v>
      </c>
    </row>
    <row r="591" spans="1:86">
      <c r="A591" t="s">
        <v>8443</v>
      </c>
      <c r="C591" t="s">
        <v>6968</v>
      </c>
      <c r="AC591">
        <v>1</v>
      </c>
      <c r="AN591">
        <v>1</v>
      </c>
      <c r="AO591" t="s">
        <v>7052</v>
      </c>
      <c r="AV591">
        <v>1.9</v>
      </c>
      <c r="AX591" t="s">
        <v>7064</v>
      </c>
      <c r="AZ591">
        <v>1</v>
      </c>
      <c r="BD591">
        <v>1</v>
      </c>
      <c r="CB591" t="s">
        <v>140</v>
      </c>
      <c r="CG591" t="s">
        <v>7057</v>
      </c>
      <c r="CH591" t="s">
        <v>7071</v>
      </c>
    </row>
    <row r="592" spans="1:87">
      <c r="A592" t="s">
        <v>969</v>
      </c>
      <c r="C592" t="s">
        <v>6968</v>
      </c>
      <c r="AC592">
        <v>1</v>
      </c>
      <c r="AN592">
        <v>1</v>
      </c>
      <c r="AO592" t="s">
        <v>7052</v>
      </c>
      <c r="AP592" t="s">
        <v>8393</v>
      </c>
      <c r="AV592">
        <v>1.8</v>
      </c>
      <c r="AX592" t="s">
        <v>7077</v>
      </c>
      <c r="AZ592">
        <v>1</v>
      </c>
      <c r="BD592">
        <v>1</v>
      </c>
      <c r="CB592" t="s">
        <v>140</v>
      </c>
      <c r="CG592" t="s">
        <v>7057</v>
      </c>
      <c r="CH592" t="s">
        <v>7078</v>
      </c>
      <c r="CI592" t="s">
        <v>4277</v>
      </c>
    </row>
    <row r="593" spans="1:87">
      <c r="A593" t="s">
        <v>974</v>
      </c>
      <c r="C593" t="s">
        <v>6968</v>
      </c>
      <c r="AC593">
        <v>1</v>
      </c>
      <c r="AN593">
        <v>1</v>
      </c>
      <c r="AO593" t="s">
        <v>7052</v>
      </c>
      <c r="AP593" t="s">
        <v>8393</v>
      </c>
      <c r="AV593">
        <v>2</v>
      </c>
      <c r="AX593" t="s">
        <v>7077</v>
      </c>
      <c r="AZ593">
        <v>1</v>
      </c>
      <c r="BD593">
        <v>1</v>
      </c>
      <c r="CB593" t="s">
        <v>140</v>
      </c>
      <c r="CG593" t="s">
        <v>7057</v>
      </c>
      <c r="CH593" t="s">
        <v>7078</v>
      </c>
      <c r="CI593" t="s">
        <v>4277</v>
      </c>
    </row>
    <row r="594" spans="1:103">
      <c r="A594" t="s">
        <v>979</v>
      </c>
      <c r="C594" t="s">
        <v>6968</v>
      </c>
      <c r="AC594">
        <v>1</v>
      </c>
      <c r="AN594">
        <v>1</v>
      </c>
      <c r="AO594" t="s">
        <v>7052</v>
      </c>
      <c r="AP594" t="s">
        <v>8393</v>
      </c>
      <c r="AV594">
        <v>2.2</v>
      </c>
      <c r="AX594" t="s">
        <v>7077</v>
      </c>
      <c r="AZ594">
        <v>1</v>
      </c>
      <c r="BD594">
        <v>1</v>
      </c>
      <c r="BJ594">
        <v>1</v>
      </c>
      <c r="BK594">
        <v>1</v>
      </c>
      <c r="BL594">
        <v>1</v>
      </c>
      <c r="CB594" t="s">
        <v>140</v>
      </c>
      <c r="CG594" t="s">
        <v>7057</v>
      </c>
      <c r="CY594" t="s">
        <v>7122</v>
      </c>
    </row>
    <row r="595" spans="1:85">
      <c r="A595" t="s">
        <v>1049</v>
      </c>
      <c r="C595" t="s">
        <v>6968</v>
      </c>
      <c r="AC595">
        <v>1</v>
      </c>
      <c r="AN595">
        <v>1</v>
      </c>
      <c r="AO595" t="s">
        <v>7052</v>
      </c>
      <c r="AV595">
        <v>1.9</v>
      </c>
      <c r="AX595" t="s">
        <v>7064</v>
      </c>
      <c r="AZ595">
        <v>1</v>
      </c>
      <c r="BD595">
        <v>2</v>
      </c>
      <c r="CB595" t="s">
        <v>140</v>
      </c>
      <c r="CG595" t="s">
        <v>7057</v>
      </c>
    </row>
    <row r="596" spans="1:109">
      <c r="A596" t="s">
        <v>1060</v>
      </c>
      <c r="C596" t="s">
        <v>6968</v>
      </c>
      <c r="AC596">
        <v>2</v>
      </c>
      <c r="AD596">
        <v>1</v>
      </c>
      <c r="AG596" t="s">
        <v>7481</v>
      </c>
      <c r="AN596">
        <v>1</v>
      </c>
      <c r="AV596">
        <v>2.5</v>
      </c>
      <c r="BD596">
        <v>99</v>
      </c>
      <c r="BS596">
        <v>0.1</v>
      </c>
      <c r="CN596" s="10" t="s">
        <v>1060</v>
      </c>
      <c r="CO596">
        <v>300</v>
      </c>
      <c r="CR596">
        <v>0.1</v>
      </c>
      <c r="DE596">
        <v>1</v>
      </c>
    </row>
    <row r="597" spans="1:96">
      <c r="A597" t="s">
        <v>8444</v>
      </c>
      <c r="C597" t="s">
        <v>6968</v>
      </c>
      <c r="AC597">
        <v>1</v>
      </c>
      <c r="AN597">
        <v>1</v>
      </c>
      <c r="AV597">
        <v>3.3</v>
      </c>
      <c r="BD597">
        <v>99</v>
      </c>
      <c r="BS597">
        <v>0.1</v>
      </c>
      <c r="CN597" s="10" t="s">
        <v>6821</v>
      </c>
      <c r="CR597">
        <v>0.1</v>
      </c>
    </row>
    <row r="598" spans="1:86">
      <c r="A598" t="s">
        <v>1095</v>
      </c>
      <c r="C598" t="s">
        <v>6968</v>
      </c>
      <c r="AC598">
        <v>1</v>
      </c>
      <c r="AN598">
        <v>1</v>
      </c>
      <c r="AO598" t="s">
        <v>7052</v>
      </c>
      <c r="AP598" t="s">
        <v>8393</v>
      </c>
      <c r="AV598">
        <v>2.2</v>
      </c>
      <c r="AX598" t="s">
        <v>7064</v>
      </c>
      <c r="AZ598">
        <v>1</v>
      </c>
      <c r="BD598">
        <v>1</v>
      </c>
      <c r="CB598" t="s">
        <v>140</v>
      </c>
      <c r="CG598" t="s">
        <v>7057</v>
      </c>
      <c r="CH598" t="s">
        <v>7071</v>
      </c>
    </row>
    <row r="599" spans="1:87">
      <c r="A599" t="s">
        <v>8445</v>
      </c>
      <c r="C599" t="s">
        <v>6968</v>
      </c>
      <c r="AC599">
        <v>1</v>
      </c>
      <c r="AN599">
        <v>1</v>
      </c>
      <c r="AO599" t="s">
        <v>7052</v>
      </c>
      <c r="AP599" t="s">
        <v>8393</v>
      </c>
      <c r="AV599">
        <v>2.5</v>
      </c>
      <c r="AX599" t="s">
        <v>7077</v>
      </c>
      <c r="AZ599">
        <v>1</v>
      </c>
      <c r="BD599">
        <v>1</v>
      </c>
      <c r="CB599" t="s">
        <v>140</v>
      </c>
      <c r="CG599" t="s">
        <v>7057</v>
      </c>
      <c r="CH599" t="s">
        <v>7078</v>
      </c>
      <c r="CI599" t="s">
        <v>8446</v>
      </c>
    </row>
    <row r="600" spans="1:96">
      <c r="A600" t="s">
        <v>8447</v>
      </c>
      <c r="C600" t="s">
        <v>6968</v>
      </c>
      <c r="N600" s="6">
        <v>1</v>
      </c>
      <c r="AC600">
        <v>1</v>
      </c>
      <c r="AN600">
        <v>1</v>
      </c>
      <c r="AO600" t="s">
        <v>7052</v>
      </c>
      <c r="AP600" t="s">
        <v>8393</v>
      </c>
      <c r="AV600">
        <v>3</v>
      </c>
      <c r="AX600" t="s">
        <v>7077</v>
      </c>
      <c r="AZ600">
        <v>0.35</v>
      </c>
      <c r="BD600">
        <v>1</v>
      </c>
      <c r="BS600">
        <v>1</v>
      </c>
      <c r="CB600" t="s">
        <v>813</v>
      </c>
      <c r="CE600" t="s">
        <v>813</v>
      </c>
      <c r="CG600" t="s">
        <v>7057</v>
      </c>
      <c r="CH600" t="s">
        <v>8448</v>
      </c>
      <c r="CI600" t="s">
        <v>8446</v>
      </c>
      <c r="CN600" s="10" t="s">
        <v>6957</v>
      </c>
      <c r="CR600">
        <v>1.1</v>
      </c>
    </row>
    <row r="601" spans="1:86">
      <c r="A601" t="s">
        <v>1113</v>
      </c>
      <c r="C601" t="s">
        <v>6968</v>
      </c>
      <c r="AC601">
        <v>1</v>
      </c>
      <c r="AN601">
        <v>1</v>
      </c>
      <c r="AO601" t="s">
        <v>7052</v>
      </c>
      <c r="AV601">
        <v>2.35</v>
      </c>
      <c r="AX601" t="s">
        <v>7064</v>
      </c>
      <c r="AZ601">
        <v>1</v>
      </c>
      <c r="BD601">
        <v>2</v>
      </c>
      <c r="CB601" t="s">
        <v>140</v>
      </c>
      <c r="CG601" t="s">
        <v>7057</v>
      </c>
      <c r="CH601" t="s">
        <v>7071</v>
      </c>
    </row>
    <row r="602" spans="1:86">
      <c r="A602" t="s">
        <v>1130</v>
      </c>
      <c r="C602" t="s">
        <v>6968</v>
      </c>
      <c r="AC602">
        <v>1</v>
      </c>
      <c r="AN602">
        <v>1</v>
      </c>
      <c r="AO602" t="s">
        <v>7052</v>
      </c>
      <c r="AP602" t="s">
        <v>8393</v>
      </c>
      <c r="AV602">
        <v>1.75</v>
      </c>
      <c r="AX602" t="s">
        <v>7064</v>
      </c>
      <c r="AZ602">
        <v>1</v>
      </c>
      <c r="BD602">
        <v>1</v>
      </c>
      <c r="CB602" t="s">
        <v>140</v>
      </c>
      <c r="CG602" t="s">
        <v>7057</v>
      </c>
      <c r="CH602" t="s">
        <v>8195</v>
      </c>
    </row>
    <row r="603" spans="1:87">
      <c r="A603" t="s">
        <v>1207</v>
      </c>
      <c r="C603" t="s">
        <v>6968</v>
      </c>
      <c r="AC603">
        <v>1</v>
      </c>
      <c r="AN603">
        <v>1</v>
      </c>
      <c r="AO603" t="s">
        <v>7052</v>
      </c>
      <c r="AP603" t="s">
        <v>8393</v>
      </c>
      <c r="AV603">
        <v>2.4</v>
      </c>
      <c r="AX603" t="s">
        <v>7077</v>
      </c>
      <c r="AZ603">
        <v>1</v>
      </c>
      <c r="BD603">
        <v>2</v>
      </c>
      <c r="CB603" t="s">
        <v>140</v>
      </c>
      <c r="CG603" t="s">
        <v>7057</v>
      </c>
      <c r="CH603" t="s">
        <v>7078</v>
      </c>
      <c r="CI603" t="s">
        <v>4277</v>
      </c>
    </row>
    <row r="604" spans="1:103">
      <c r="A604" t="s">
        <v>1219</v>
      </c>
      <c r="C604" t="s">
        <v>6968</v>
      </c>
      <c r="N604" s="6">
        <v>1</v>
      </c>
      <c r="AC604">
        <v>1</v>
      </c>
      <c r="AN604">
        <v>1</v>
      </c>
      <c r="AV604">
        <v>2</v>
      </c>
      <c r="AX604" t="s">
        <v>7064</v>
      </c>
      <c r="AZ604">
        <v>1</v>
      </c>
      <c r="BD604">
        <v>1</v>
      </c>
      <c r="BJ604">
        <v>1.4</v>
      </c>
      <c r="BK604">
        <v>1</v>
      </c>
      <c r="BL604">
        <v>1</v>
      </c>
      <c r="BP604" s="8" t="s">
        <v>8449</v>
      </c>
      <c r="CB604" t="s">
        <v>140</v>
      </c>
      <c r="CG604" t="s">
        <v>7057</v>
      </c>
      <c r="CH604" t="s">
        <v>8450</v>
      </c>
      <c r="CI604" t="s">
        <v>4277</v>
      </c>
      <c r="CY604" t="s">
        <v>7603</v>
      </c>
    </row>
    <row r="605" spans="1:96">
      <c r="A605" t="s">
        <v>8449</v>
      </c>
      <c r="C605" t="s">
        <v>6968</v>
      </c>
      <c r="K605" s="6" t="s">
        <v>6953</v>
      </c>
      <c r="AC605">
        <v>2</v>
      </c>
      <c r="AD605">
        <v>1</v>
      </c>
      <c r="AG605" t="s">
        <v>6955</v>
      </c>
      <c r="AN605">
        <v>1</v>
      </c>
      <c r="BD605">
        <v>1</v>
      </c>
      <c r="CN605" s="10" t="s">
        <v>8451</v>
      </c>
      <c r="CO605">
        <v>1</v>
      </c>
      <c r="CR605">
        <v>99999</v>
      </c>
    </row>
    <row r="606" spans="1:87">
      <c r="A606" t="s">
        <v>1228</v>
      </c>
      <c r="C606" t="s">
        <v>6968</v>
      </c>
      <c r="AC606">
        <v>1</v>
      </c>
      <c r="AN606">
        <v>1</v>
      </c>
      <c r="AO606" t="s">
        <v>7052</v>
      </c>
      <c r="AP606" t="s">
        <v>8393</v>
      </c>
      <c r="AV606">
        <v>1.8</v>
      </c>
      <c r="AX606" t="s">
        <v>7077</v>
      </c>
      <c r="AZ606">
        <v>1</v>
      </c>
      <c r="BD606">
        <v>1</v>
      </c>
      <c r="CB606" t="s">
        <v>140</v>
      </c>
      <c r="CG606" t="s">
        <v>7057</v>
      </c>
      <c r="CH606" t="s">
        <v>7078</v>
      </c>
      <c r="CI606" t="s">
        <v>4277</v>
      </c>
    </row>
    <row r="607" spans="1:87">
      <c r="A607" t="s">
        <v>1233</v>
      </c>
      <c r="C607" t="s">
        <v>6968</v>
      </c>
      <c r="AC607">
        <v>1</v>
      </c>
      <c r="AN607">
        <v>1</v>
      </c>
      <c r="AO607" t="s">
        <v>7052</v>
      </c>
      <c r="AP607" t="s">
        <v>8393</v>
      </c>
      <c r="AV607">
        <v>3</v>
      </c>
      <c r="AX607" t="s">
        <v>7077</v>
      </c>
      <c r="AZ607">
        <v>1</v>
      </c>
      <c r="BD607">
        <v>1</v>
      </c>
      <c r="CB607" t="s">
        <v>140</v>
      </c>
      <c r="CG607" t="s">
        <v>7057</v>
      </c>
      <c r="CH607" t="s">
        <v>7078</v>
      </c>
      <c r="CI607" t="s">
        <v>4277</v>
      </c>
    </row>
    <row r="608" spans="1:109">
      <c r="A608" t="s">
        <v>1238</v>
      </c>
      <c r="C608" t="s">
        <v>6968</v>
      </c>
      <c r="AC608">
        <v>1</v>
      </c>
      <c r="AN608">
        <v>1</v>
      </c>
      <c r="AV608">
        <v>2.5</v>
      </c>
      <c r="BD608">
        <v>99</v>
      </c>
      <c r="BS608">
        <v>0.1</v>
      </c>
      <c r="CN608" s="10" t="s">
        <v>1238</v>
      </c>
      <c r="CO608">
        <v>-50</v>
      </c>
      <c r="CR608">
        <v>0.15</v>
      </c>
      <c r="DE608">
        <v>1</v>
      </c>
    </row>
    <row r="609" spans="1:96">
      <c r="A609" t="s">
        <v>8452</v>
      </c>
      <c r="C609" t="s">
        <v>6968</v>
      </c>
      <c r="K609" s="6" t="s">
        <v>6953</v>
      </c>
      <c r="L609" s="6" t="s">
        <v>7060</v>
      </c>
      <c r="AC609">
        <v>2</v>
      </c>
      <c r="AG609" t="s">
        <v>6955</v>
      </c>
      <c r="AN609">
        <v>1</v>
      </c>
      <c r="AY609" s="6"/>
      <c r="BD609">
        <v>1</v>
      </c>
      <c r="BV609"/>
      <c r="BW609"/>
      <c r="BX609"/>
      <c r="BY609"/>
      <c r="BZ609"/>
      <c r="CA609"/>
      <c r="CB609" s="6"/>
      <c r="CC609" s="6"/>
      <c r="CD609" s="6"/>
      <c r="CE609" s="6"/>
      <c r="CF609" s="6"/>
      <c r="CH609" s="6"/>
      <c r="CI609" s="6"/>
      <c r="CJ609" s="6"/>
      <c r="CK609" s="6"/>
      <c r="CL609" s="6"/>
      <c r="CM609" s="6"/>
      <c r="CN609" s="10" t="s">
        <v>8453</v>
      </c>
      <c r="CO609">
        <v>40</v>
      </c>
      <c r="CR609">
        <v>99999</v>
      </c>
    </row>
    <row r="610" spans="1:96">
      <c r="A610" t="s">
        <v>8454</v>
      </c>
      <c r="C610" t="s">
        <v>6968</v>
      </c>
      <c r="K610" s="6" t="s">
        <v>6953</v>
      </c>
      <c r="L610" s="6" t="s">
        <v>7060</v>
      </c>
      <c r="AC610">
        <v>2</v>
      </c>
      <c r="AG610" t="s">
        <v>6955</v>
      </c>
      <c r="AN610">
        <v>1</v>
      </c>
      <c r="AY610" s="6"/>
      <c r="BD610">
        <v>1</v>
      </c>
      <c r="BV610"/>
      <c r="BW610"/>
      <c r="BX610"/>
      <c r="BY610"/>
      <c r="BZ610"/>
      <c r="CA610"/>
      <c r="CB610" s="6"/>
      <c r="CC610" s="6"/>
      <c r="CD610" s="6"/>
      <c r="CE610" s="6"/>
      <c r="CF610" s="6"/>
      <c r="CH610" s="6"/>
      <c r="CI610" s="6"/>
      <c r="CJ610" s="6"/>
      <c r="CK610" s="6"/>
      <c r="CL610" s="6"/>
      <c r="CM610" s="6"/>
      <c r="CN610" s="10" t="s">
        <v>8453</v>
      </c>
      <c r="CO610">
        <v>50</v>
      </c>
      <c r="CR610">
        <v>99999</v>
      </c>
    </row>
    <row r="611" spans="1:96">
      <c r="A611" t="s">
        <v>8455</v>
      </c>
      <c r="C611" t="s">
        <v>4994</v>
      </c>
      <c r="AC611">
        <v>1</v>
      </c>
      <c r="AN611">
        <v>1</v>
      </c>
      <c r="AO611" t="s">
        <v>7052</v>
      </c>
      <c r="AV611">
        <v>0</v>
      </c>
      <c r="AX611" t="s">
        <v>7064</v>
      </c>
      <c r="AZ611">
        <v>1</v>
      </c>
      <c r="BD611">
        <v>1</v>
      </c>
      <c r="CB611" t="s">
        <v>140</v>
      </c>
      <c r="CG611" t="s">
        <v>7057</v>
      </c>
      <c r="CN611" s="10" t="s">
        <v>8456</v>
      </c>
      <c r="CO611">
        <v>-1</v>
      </c>
      <c r="CR611">
        <v>5</v>
      </c>
    </row>
    <row r="612" spans="1:96">
      <c r="A612" t="s">
        <v>8457</v>
      </c>
      <c r="C612" t="s">
        <v>4994</v>
      </c>
      <c r="AC612">
        <v>1</v>
      </c>
      <c r="AN612">
        <v>1</v>
      </c>
      <c r="AO612" t="s">
        <v>7052</v>
      </c>
      <c r="AV612">
        <v>0</v>
      </c>
      <c r="AX612" t="s">
        <v>7064</v>
      </c>
      <c r="AZ612">
        <v>1</v>
      </c>
      <c r="BD612">
        <v>1</v>
      </c>
      <c r="CB612" t="s">
        <v>140</v>
      </c>
      <c r="CG612" t="s">
        <v>7057</v>
      </c>
      <c r="CN612" s="10" t="s">
        <v>8456</v>
      </c>
      <c r="CO612">
        <v>-1</v>
      </c>
      <c r="CR612">
        <v>10</v>
      </c>
    </row>
    <row r="613" spans="1:87">
      <c r="A613" t="s">
        <v>1310</v>
      </c>
      <c r="C613" t="s">
        <v>6968</v>
      </c>
      <c r="AC613">
        <v>1</v>
      </c>
      <c r="AN613">
        <v>1</v>
      </c>
      <c r="AO613" t="s">
        <v>7052</v>
      </c>
      <c r="AP613" t="s">
        <v>8393</v>
      </c>
      <c r="AV613">
        <v>1.8</v>
      </c>
      <c r="AX613" t="s">
        <v>7077</v>
      </c>
      <c r="AZ613">
        <v>1</v>
      </c>
      <c r="BD613">
        <v>1</v>
      </c>
      <c r="CB613" t="s">
        <v>140</v>
      </c>
      <c r="CG613" t="s">
        <v>7057</v>
      </c>
      <c r="CH613" t="s">
        <v>7078</v>
      </c>
      <c r="CI613" t="s">
        <v>4277</v>
      </c>
    </row>
    <row r="614" spans="40:40">
      <c r="AN614">
        <v>1</v>
      </c>
    </row>
    <row r="615" spans="1:96">
      <c r="A615" t="s">
        <v>8458</v>
      </c>
      <c r="C615" t="s">
        <v>6968</v>
      </c>
      <c r="AC615">
        <v>1</v>
      </c>
      <c r="AN615">
        <v>1</v>
      </c>
      <c r="AO615" t="s">
        <v>7052</v>
      </c>
      <c r="AP615" t="s">
        <v>8393</v>
      </c>
      <c r="AV615">
        <v>3.5</v>
      </c>
      <c r="AX615" t="s">
        <v>7077</v>
      </c>
      <c r="AZ615">
        <v>1</v>
      </c>
      <c r="BD615">
        <v>4</v>
      </c>
      <c r="CB615" t="s">
        <v>140</v>
      </c>
      <c r="CG615" t="s">
        <v>7057</v>
      </c>
      <c r="CH615" t="s">
        <v>8195</v>
      </c>
      <c r="CI615" t="s">
        <v>4277</v>
      </c>
      <c r="CN615" s="10" t="s">
        <v>8459</v>
      </c>
      <c r="CO615">
        <v>60</v>
      </c>
      <c r="CR615">
        <v>10</v>
      </c>
    </row>
    <row r="616" spans="1:102">
      <c r="A616" t="s">
        <v>8460</v>
      </c>
      <c r="C616" t="s">
        <v>6968</v>
      </c>
      <c r="J616" t="s">
        <v>6985</v>
      </c>
      <c r="AC616">
        <v>1</v>
      </c>
      <c r="AN616">
        <v>1</v>
      </c>
      <c r="AO616" t="s">
        <v>7052</v>
      </c>
      <c r="AP616" t="s">
        <v>8393</v>
      </c>
      <c r="AV616">
        <v>1.4</v>
      </c>
      <c r="AX616" t="s">
        <v>7077</v>
      </c>
      <c r="AZ616">
        <v>1000</v>
      </c>
      <c r="BB616">
        <v>2</v>
      </c>
      <c r="BD616">
        <v>99</v>
      </c>
      <c r="BV616" s="9">
        <v>0</v>
      </c>
      <c r="BW616" s="9">
        <v>10</v>
      </c>
      <c r="BX616" s="9">
        <v>1</v>
      </c>
      <c r="BY616" s="9" t="s">
        <v>6987</v>
      </c>
      <c r="BZ616" s="9">
        <v>1</v>
      </c>
      <c r="CB616" t="s">
        <v>638</v>
      </c>
      <c r="CG616" t="s">
        <v>7057</v>
      </c>
      <c r="CX616" t="s">
        <v>7603</v>
      </c>
    </row>
    <row r="617" spans="1:96">
      <c r="A617" t="s">
        <v>8461</v>
      </c>
      <c r="C617" t="s">
        <v>6968</v>
      </c>
      <c r="U617" s="6">
        <v>0.5</v>
      </c>
      <c r="AC617">
        <v>2</v>
      </c>
      <c r="AG617" t="s">
        <v>6955</v>
      </c>
      <c r="AN617">
        <v>1</v>
      </c>
      <c r="BD617">
        <v>1</v>
      </c>
      <c r="CN617" s="10" t="s">
        <v>7009</v>
      </c>
      <c r="CO617">
        <v>40</v>
      </c>
      <c r="CR617">
        <v>9999</v>
      </c>
    </row>
    <row r="618" spans="1:103">
      <c r="A618" t="s">
        <v>8462</v>
      </c>
      <c r="C618" t="s">
        <v>6968</v>
      </c>
      <c r="AC618">
        <v>1</v>
      </c>
      <c r="AN618">
        <v>1</v>
      </c>
      <c r="AO618" t="s">
        <v>7052</v>
      </c>
      <c r="AP618" t="s">
        <v>8393</v>
      </c>
      <c r="AV618">
        <v>2.6</v>
      </c>
      <c r="AX618" t="s">
        <v>7064</v>
      </c>
      <c r="AZ618">
        <v>1</v>
      </c>
      <c r="BD618">
        <v>1</v>
      </c>
      <c r="BJ618">
        <v>1.4</v>
      </c>
      <c r="BK618">
        <v>0.26</v>
      </c>
      <c r="BL618">
        <v>0.26</v>
      </c>
      <c r="CB618" t="s">
        <v>140</v>
      </c>
      <c r="CG618" t="s">
        <v>7057</v>
      </c>
      <c r="CH618" t="s">
        <v>7593</v>
      </c>
      <c r="CI618" t="s">
        <v>4277</v>
      </c>
      <c r="CN618" s="10" t="s">
        <v>8463</v>
      </c>
      <c r="CO618">
        <v>-0.5</v>
      </c>
      <c r="CR618">
        <v>5</v>
      </c>
      <c r="CY618" t="s">
        <v>7588</v>
      </c>
    </row>
    <row r="619" spans="1:85">
      <c r="A619" t="s">
        <v>8464</v>
      </c>
      <c r="C619" t="s">
        <v>4994</v>
      </c>
      <c r="AC619">
        <v>1</v>
      </c>
      <c r="AN619">
        <v>1</v>
      </c>
      <c r="AO619" t="s">
        <v>7052</v>
      </c>
      <c r="AV619">
        <v>0</v>
      </c>
      <c r="AX619" t="s">
        <v>7064</v>
      </c>
      <c r="AZ619">
        <v>1</v>
      </c>
      <c r="BD619">
        <v>1</v>
      </c>
      <c r="CB619" t="s">
        <v>8465</v>
      </c>
      <c r="CG619" t="s">
        <v>7057</v>
      </c>
    </row>
    <row r="620" spans="1:96">
      <c r="A620" t="s">
        <v>8466</v>
      </c>
      <c r="C620" t="s">
        <v>6968</v>
      </c>
      <c r="U620" s="6">
        <v>0.5</v>
      </c>
      <c r="AC620">
        <v>2</v>
      </c>
      <c r="AG620" t="s">
        <v>6955</v>
      </c>
      <c r="AN620">
        <v>1</v>
      </c>
      <c r="BD620">
        <v>1</v>
      </c>
      <c r="CN620" s="10" t="s">
        <v>6988</v>
      </c>
      <c r="CO620">
        <v>0.5</v>
      </c>
      <c r="CR620">
        <v>9999</v>
      </c>
    </row>
    <row r="621" spans="1:87">
      <c r="A621" t="s">
        <v>8467</v>
      </c>
      <c r="C621" t="s">
        <v>6968</v>
      </c>
      <c r="AC621">
        <v>1</v>
      </c>
      <c r="AN621">
        <v>1</v>
      </c>
      <c r="AO621" t="s">
        <v>7052</v>
      </c>
      <c r="AP621" t="s">
        <v>8393</v>
      </c>
      <c r="AV621">
        <v>2.5</v>
      </c>
      <c r="AX621" t="s">
        <v>7064</v>
      </c>
      <c r="AZ621">
        <v>1</v>
      </c>
      <c r="BD621">
        <v>1</v>
      </c>
      <c r="CB621" t="s">
        <v>140</v>
      </c>
      <c r="CG621" t="s">
        <v>7057</v>
      </c>
      <c r="CH621" t="s">
        <v>7593</v>
      </c>
      <c r="CI621" t="s">
        <v>4277</v>
      </c>
    </row>
    <row r="622" spans="1:103">
      <c r="A622" t="s">
        <v>8468</v>
      </c>
      <c r="C622" t="s">
        <v>8469</v>
      </c>
      <c r="J622" t="s">
        <v>6985</v>
      </c>
      <c r="AC622">
        <v>1</v>
      </c>
      <c r="AN622">
        <v>1</v>
      </c>
      <c r="AO622" t="s">
        <v>7052</v>
      </c>
      <c r="AV622">
        <v>2.5</v>
      </c>
      <c r="AX622" t="s">
        <v>7064</v>
      </c>
      <c r="AZ622">
        <v>1.8</v>
      </c>
      <c r="BD622">
        <v>1</v>
      </c>
      <c r="BV622" s="9">
        <v>12</v>
      </c>
      <c r="BW622" s="9">
        <v>21</v>
      </c>
      <c r="BX622" s="9">
        <v>1</v>
      </c>
      <c r="BY622" s="9" t="s">
        <v>6987</v>
      </c>
      <c r="CB622" t="s">
        <v>638</v>
      </c>
      <c r="CG622" t="s">
        <v>7057</v>
      </c>
      <c r="CY622" t="s">
        <v>7209</v>
      </c>
    </row>
    <row r="623" spans="1:99">
      <c r="A623" t="s">
        <v>8470</v>
      </c>
      <c r="C623" t="s">
        <v>7799</v>
      </c>
      <c r="N623" s="6">
        <v>1</v>
      </c>
      <c r="U623" s="6">
        <v>0.5</v>
      </c>
      <c r="AC623">
        <v>2</v>
      </c>
      <c r="AG623" t="s">
        <v>6955</v>
      </c>
      <c r="AN623">
        <v>1</v>
      </c>
      <c r="BP623" s="8" t="s">
        <v>8471</v>
      </c>
      <c r="CG623" t="s">
        <v>7057</v>
      </c>
      <c r="CK623" t="s">
        <v>8472</v>
      </c>
      <c r="CU623" t="s">
        <v>8473</v>
      </c>
    </row>
    <row r="624" spans="1:99">
      <c r="A624" t="s">
        <v>8471</v>
      </c>
      <c r="C624" t="s">
        <v>7157</v>
      </c>
      <c r="N624" s="6">
        <v>1</v>
      </c>
      <c r="U624" s="6">
        <v>0.5</v>
      </c>
      <c r="AC624">
        <v>2</v>
      </c>
      <c r="AG624" t="s">
        <v>6955</v>
      </c>
      <c r="AN624">
        <v>1</v>
      </c>
      <c r="CU624" t="s">
        <v>8474</v>
      </c>
    </row>
    <row r="625" spans="40:40">
      <c r="AN625">
        <v>1</v>
      </c>
    </row>
    <row r="626" spans="1:108">
      <c r="A626" t="s">
        <v>8475</v>
      </c>
      <c r="C626" t="s">
        <v>6968</v>
      </c>
      <c r="K626" s="6" t="s">
        <v>6987</v>
      </c>
      <c r="AC626">
        <v>2</v>
      </c>
      <c r="AN626">
        <v>1</v>
      </c>
      <c r="AO626" t="s">
        <v>7055</v>
      </c>
      <c r="AV626">
        <v>20</v>
      </c>
      <c r="AY626">
        <v>1</v>
      </c>
      <c r="AZ626">
        <v>1</v>
      </c>
      <c r="BD626">
        <v>3</v>
      </c>
      <c r="CB626" t="s">
        <v>140</v>
      </c>
      <c r="CG626" t="s">
        <v>7057</v>
      </c>
      <c r="CY626" t="s">
        <v>8258</v>
      </c>
      <c r="DD626">
        <v>1</v>
      </c>
    </row>
    <row r="627" spans="1:98">
      <c r="A627" t="s">
        <v>8476</v>
      </c>
      <c r="C627" t="s">
        <v>6968</v>
      </c>
      <c r="K627" s="6" t="s">
        <v>6953</v>
      </c>
      <c r="L627" s="6" t="s">
        <v>7060</v>
      </c>
      <c r="AC627">
        <v>2</v>
      </c>
      <c r="AN627">
        <v>1</v>
      </c>
      <c r="AY627" s="6"/>
      <c r="BD627">
        <v>99</v>
      </c>
      <c r="BV627"/>
      <c r="BW627"/>
      <c r="BX627"/>
      <c r="BY627"/>
      <c r="BZ627"/>
      <c r="CA627"/>
      <c r="CB627" s="6"/>
      <c r="CC627" s="6"/>
      <c r="CD627" s="6"/>
      <c r="CE627" s="6"/>
      <c r="CF627" s="6"/>
      <c r="CH627" s="6"/>
      <c r="CI627" s="6"/>
      <c r="CJ627" s="6"/>
      <c r="CK627" s="6"/>
      <c r="CL627" s="6"/>
      <c r="CM627" s="6"/>
      <c r="CN627" s="10" t="s">
        <v>8477</v>
      </c>
      <c r="CO627">
        <v>1</v>
      </c>
      <c r="CR627">
        <v>9999</v>
      </c>
      <c r="CT627">
        <v>1</v>
      </c>
    </row>
    <row r="628" spans="1:96">
      <c r="A628" t="s">
        <v>8477</v>
      </c>
      <c r="C628" t="s">
        <v>6968</v>
      </c>
      <c r="K628" s="6" t="s">
        <v>6953</v>
      </c>
      <c r="L628" s="6" t="s">
        <v>6972</v>
      </c>
      <c r="AC628">
        <v>2</v>
      </c>
      <c r="AD628">
        <v>1</v>
      </c>
      <c r="AF628">
        <v>1</v>
      </c>
      <c r="AH628">
        <v>1</v>
      </c>
      <c r="AN628">
        <v>1</v>
      </c>
      <c r="BD628">
        <v>1</v>
      </c>
      <c r="CN628" s="10" t="s">
        <v>8477</v>
      </c>
      <c r="CO628">
        <v>1</v>
      </c>
      <c r="CR628">
        <v>9999</v>
      </c>
    </row>
    <row r="629" spans="1:68">
      <c r="A629" t="s">
        <v>8478</v>
      </c>
      <c r="C629" t="s">
        <v>6968</v>
      </c>
      <c r="K629" s="6" t="s">
        <v>6953</v>
      </c>
      <c r="L629" s="6" t="s">
        <v>7315</v>
      </c>
      <c r="AC629">
        <v>2</v>
      </c>
      <c r="AF629">
        <v>1</v>
      </c>
      <c r="AG629" t="s">
        <v>6955</v>
      </c>
      <c r="AH629">
        <v>1</v>
      </c>
      <c r="AN629">
        <v>1</v>
      </c>
      <c r="BP629" s="8" t="s">
        <v>8479</v>
      </c>
    </row>
    <row r="630" spans="1:91">
      <c r="A630" t="s">
        <v>8479</v>
      </c>
      <c r="C630" t="s">
        <v>6968</v>
      </c>
      <c r="K630" s="6" t="s">
        <v>6953</v>
      </c>
      <c r="AC630">
        <v>2</v>
      </c>
      <c r="AD630">
        <v>1</v>
      </c>
      <c r="AN630">
        <v>1</v>
      </c>
      <c r="AV630">
        <v>99</v>
      </c>
      <c r="CM630" t="s">
        <v>8477</v>
      </c>
    </row>
    <row r="631" spans="40:40">
      <c r="AN631">
        <v>1</v>
      </c>
    </row>
    <row r="632" spans="1:87">
      <c r="A632" t="s">
        <v>8480</v>
      </c>
      <c r="C632" t="s">
        <v>6968</v>
      </c>
      <c r="AC632">
        <v>1</v>
      </c>
      <c r="AN632">
        <v>1</v>
      </c>
      <c r="AO632" t="s">
        <v>7052</v>
      </c>
      <c r="AP632" t="s">
        <v>8393</v>
      </c>
      <c r="AV632">
        <v>20</v>
      </c>
      <c r="AX632" t="s">
        <v>7064</v>
      </c>
      <c r="AZ632">
        <v>1</v>
      </c>
      <c r="BD632">
        <v>1</v>
      </c>
      <c r="CB632" t="s">
        <v>140</v>
      </c>
      <c r="CG632" t="s">
        <v>7057</v>
      </c>
      <c r="CH632" t="s">
        <v>8481</v>
      </c>
      <c r="CI632" t="s">
        <v>4277</v>
      </c>
    </row>
    <row r="633" spans="1:87">
      <c r="A633" t="s">
        <v>8482</v>
      </c>
      <c r="C633" t="s">
        <v>6968</v>
      </c>
      <c r="J633" t="s">
        <v>6985</v>
      </c>
      <c r="AC633">
        <v>1</v>
      </c>
      <c r="AN633">
        <v>1</v>
      </c>
      <c r="AO633" t="s">
        <v>7052</v>
      </c>
      <c r="AP633" t="s">
        <v>8393</v>
      </c>
      <c r="AV633">
        <v>20</v>
      </c>
      <c r="AX633" t="s">
        <v>7064</v>
      </c>
      <c r="AZ633">
        <v>2</v>
      </c>
      <c r="BD633">
        <v>1</v>
      </c>
      <c r="BV633" s="9">
        <v>0</v>
      </c>
      <c r="BW633" s="9">
        <v>17</v>
      </c>
      <c r="BX633" s="9">
        <v>1</v>
      </c>
      <c r="BY633" s="9" t="s">
        <v>6987</v>
      </c>
      <c r="CB633" t="s">
        <v>8410</v>
      </c>
      <c r="CG633" t="s">
        <v>7057</v>
      </c>
      <c r="CH633" t="s">
        <v>8483</v>
      </c>
      <c r="CI633" t="s">
        <v>4277</v>
      </c>
    </row>
    <row r="634" spans="1:96">
      <c r="A634" t="s">
        <v>8484</v>
      </c>
      <c r="C634" t="s">
        <v>6968</v>
      </c>
      <c r="K634" s="6" t="s">
        <v>6953</v>
      </c>
      <c r="L634" s="6" t="s">
        <v>7060</v>
      </c>
      <c r="AC634">
        <v>2</v>
      </c>
      <c r="AF634">
        <v>1</v>
      </c>
      <c r="AG634" t="s">
        <v>6955</v>
      </c>
      <c r="AN634">
        <v>1</v>
      </c>
      <c r="AY634" s="6"/>
      <c r="BD634">
        <v>1</v>
      </c>
      <c r="BV634"/>
      <c r="BW634"/>
      <c r="BX634"/>
      <c r="BY634"/>
      <c r="BZ634"/>
      <c r="CA634"/>
      <c r="CB634" s="6"/>
      <c r="CC634" s="6"/>
      <c r="CD634" s="6"/>
      <c r="CE634" s="6"/>
      <c r="CF634" s="6"/>
      <c r="CH634" s="6"/>
      <c r="CI634" s="6"/>
      <c r="CJ634" s="6"/>
      <c r="CK634" s="6"/>
      <c r="CL634" s="6"/>
      <c r="CM634" s="6"/>
      <c r="CN634" s="10" t="s">
        <v>8423</v>
      </c>
      <c r="CR634">
        <v>150</v>
      </c>
    </row>
    <row r="635" spans="1:91">
      <c r="A635" t="s">
        <v>8485</v>
      </c>
      <c r="C635" t="s">
        <v>8425</v>
      </c>
      <c r="J635" t="s">
        <v>6985</v>
      </c>
      <c r="AC635">
        <v>2</v>
      </c>
      <c r="AG635" t="s">
        <v>6955</v>
      </c>
      <c r="AN635">
        <v>1</v>
      </c>
      <c r="AY635" s="6"/>
      <c r="BD635">
        <v>1</v>
      </c>
      <c r="BV635">
        <v>15</v>
      </c>
      <c r="BW635">
        <v>30</v>
      </c>
      <c r="BX635">
        <v>1</v>
      </c>
      <c r="BY635" t="s">
        <v>6987</v>
      </c>
      <c r="BZ635"/>
      <c r="CA635"/>
      <c r="CB635" s="6" t="s">
        <v>8001</v>
      </c>
      <c r="CC635" s="6"/>
      <c r="CD635" s="6"/>
      <c r="CE635" s="6"/>
      <c r="CF635" s="6"/>
      <c r="CG635" t="s">
        <v>7057</v>
      </c>
      <c r="CH635" s="6"/>
      <c r="CI635" s="6"/>
      <c r="CJ635" s="6"/>
      <c r="CK635" s="6"/>
      <c r="CL635" s="6"/>
      <c r="CM635" s="6"/>
    </row>
    <row r="636" spans="40:40">
      <c r="AN636">
        <v>1</v>
      </c>
    </row>
    <row r="637" spans="1:87">
      <c r="A637" t="s">
        <v>8486</v>
      </c>
      <c r="C637" t="s">
        <v>6968</v>
      </c>
      <c r="AC637">
        <v>1</v>
      </c>
      <c r="AN637">
        <v>1</v>
      </c>
      <c r="AO637" t="s">
        <v>7052</v>
      </c>
      <c r="AP637" t="s">
        <v>8393</v>
      </c>
      <c r="AV637">
        <v>1.7</v>
      </c>
      <c r="AX637" t="s">
        <v>7064</v>
      </c>
      <c r="AZ637">
        <v>1</v>
      </c>
      <c r="BD637">
        <v>1</v>
      </c>
      <c r="CB637" t="s">
        <v>140</v>
      </c>
      <c r="CG637" t="s">
        <v>7057</v>
      </c>
      <c r="CH637" t="s">
        <v>7071</v>
      </c>
      <c r="CI637" t="s">
        <v>4277</v>
      </c>
    </row>
    <row r="638" spans="1:87">
      <c r="A638" t="s">
        <v>8487</v>
      </c>
      <c r="C638" t="s">
        <v>6968</v>
      </c>
      <c r="Z638">
        <v>1</v>
      </c>
      <c r="AC638">
        <v>1</v>
      </c>
      <c r="AJ638" t="s">
        <v>873</v>
      </c>
      <c r="AN638">
        <v>1</v>
      </c>
      <c r="AO638" t="s">
        <v>7052</v>
      </c>
      <c r="AP638" t="s">
        <v>8393</v>
      </c>
      <c r="AV638">
        <v>1.7</v>
      </c>
      <c r="AX638" t="s">
        <v>7064</v>
      </c>
      <c r="AZ638">
        <v>1</v>
      </c>
      <c r="BD638">
        <v>1</v>
      </c>
      <c r="CB638" t="s">
        <v>140</v>
      </c>
      <c r="CG638" t="s">
        <v>7057</v>
      </c>
      <c r="CH638" t="s">
        <v>7071</v>
      </c>
      <c r="CI638" t="s">
        <v>4277</v>
      </c>
    </row>
    <row r="639" spans="1:85">
      <c r="A639" t="s">
        <v>8488</v>
      </c>
      <c r="C639" t="s">
        <v>6968</v>
      </c>
      <c r="AC639">
        <v>1</v>
      </c>
      <c r="AN639">
        <v>1</v>
      </c>
      <c r="AO639" t="s">
        <v>7052</v>
      </c>
      <c r="AP639" t="s">
        <v>8393</v>
      </c>
      <c r="AV639">
        <v>1.3</v>
      </c>
      <c r="AX639" t="s">
        <v>7064</v>
      </c>
      <c r="AZ639">
        <v>1</v>
      </c>
      <c r="BD639">
        <v>1</v>
      </c>
      <c r="CB639" t="s">
        <v>140</v>
      </c>
      <c r="CG639" t="s">
        <v>7057</v>
      </c>
    </row>
    <row r="640" spans="1:85">
      <c r="A640" t="s">
        <v>8489</v>
      </c>
      <c r="C640" t="s">
        <v>6968</v>
      </c>
      <c r="Z640">
        <v>1</v>
      </c>
      <c r="AC640">
        <v>1</v>
      </c>
      <c r="AJ640" t="s">
        <v>873</v>
      </c>
      <c r="AN640">
        <v>1</v>
      </c>
      <c r="AO640" t="s">
        <v>7052</v>
      </c>
      <c r="AP640" t="s">
        <v>8393</v>
      </c>
      <c r="AV640">
        <v>1.3</v>
      </c>
      <c r="AX640" t="s">
        <v>7064</v>
      </c>
      <c r="AZ640">
        <v>1</v>
      </c>
      <c r="BD640">
        <v>1</v>
      </c>
      <c r="CB640" t="s">
        <v>140</v>
      </c>
      <c r="CG640" t="s">
        <v>7057</v>
      </c>
    </row>
    <row r="641" spans="1:96">
      <c r="A641" t="s">
        <v>8490</v>
      </c>
      <c r="C641" t="s">
        <v>6968</v>
      </c>
      <c r="K641" s="6" t="s">
        <v>6953</v>
      </c>
      <c r="L641" s="6" t="s">
        <v>7060</v>
      </c>
      <c r="AC641">
        <v>2</v>
      </c>
      <c r="AF641">
        <v>1</v>
      </c>
      <c r="AG641" t="s">
        <v>6955</v>
      </c>
      <c r="AN641">
        <v>1</v>
      </c>
      <c r="AY641" s="6"/>
      <c r="BD641">
        <v>1</v>
      </c>
      <c r="BV641"/>
      <c r="BW641"/>
      <c r="BX641"/>
      <c r="BY641"/>
      <c r="BZ641"/>
      <c r="CA641"/>
      <c r="CB641" s="6"/>
      <c r="CC641" s="6"/>
      <c r="CD641" s="6"/>
      <c r="CE641" s="6"/>
      <c r="CF641" s="6"/>
      <c r="CH641" s="6"/>
      <c r="CI641" s="6"/>
      <c r="CJ641" s="6"/>
      <c r="CK641" s="6"/>
      <c r="CL641" s="6"/>
      <c r="CM641" s="6"/>
      <c r="CN641" s="10" t="s">
        <v>8490</v>
      </c>
      <c r="CO641">
        <v>1250</v>
      </c>
      <c r="CR641">
        <v>9999</v>
      </c>
    </row>
    <row r="642" spans="1:96">
      <c r="A642" t="s">
        <v>8491</v>
      </c>
      <c r="C642" t="s">
        <v>6968</v>
      </c>
      <c r="K642" s="6" t="s">
        <v>6953</v>
      </c>
      <c r="L642" s="6" t="s">
        <v>7060</v>
      </c>
      <c r="AC642">
        <v>2</v>
      </c>
      <c r="AF642">
        <v>1</v>
      </c>
      <c r="AG642" t="s">
        <v>6955</v>
      </c>
      <c r="AN642">
        <v>1</v>
      </c>
      <c r="AY642" s="6"/>
      <c r="BD642">
        <v>1</v>
      </c>
      <c r="BV642"/>
      <c r="BW642"/>
      <c r="BX642"/>
      <c r="BY642"/>
      <c r="BZ642"/>
      <c r="CA642"/>
      <c r="CB642" s="6"/>
      <c r="CC642" s="6"/>
      <c r="CD642" s="6"/>
      <c r="CE642" s="6"/>
      <c r="CF642" s="6"/>
      <c r="CH642" s="6"/>
      <c r="CI642" s="6"/>
      <c r="CJ642" s="6"/>
      <c r="CK642" s="6"/>
      <c r="CL642" s="6"/>
      <c r="CM642" s="6"/>
      <c r="CN642" s="10" t="s">
        <v>8492</v>
      </c>
      <c r="CO642">
        <v>6000</v>
      </c>
      <c r="CR642">
        <v>9999</v>
      </c>
    </row>
    <row r="643" spans="1:96">
      <c r="A643" t="s">
        <v>8493</v>
      </c>
      <c r="C643" t="s">
        <v>6968</v>
      </c>
      <c r="P643" s="6" t="s">
        <v>8492</v>
      </c>
      <c r="AC643">
        <v>2</v>
      </c>
      <c r="AG643" t="s">
        <v>6955</v>
      </c>
      <c r="AN643">
        <v>1</v>
      </c>
      <c r="AY643" s="6"/>
      <c r="BD643">
        <v>1</v>
      </c>
      <c r="BV643"/>
      <c r="BW643"/>
      <c r="BX643"/>
      <c r="BY643"/>
      <c r="BZ643"/>
      <c r="CA643"/>
      <c r="CB643" s="6"/>
      <c r="CC643" s="6"/>
      <c r="CD643" s="6"/>
      <c r="CE643" s="6"/>
      <c r="CF643" s="6"/>
      <c r="CH643" s="6"/>
      <c r="CI643" s="6"/>
      <c r="CJ643" s="6"/>
      <c r="CK643" s="6"/>
      <c r="CL643" s="6"/>
      <c r="CM643" s="6"/>
      <c r="CN643" s="10" t="s">
        <v>7244</v>
      </c>
      <c r="CO643">
        <v>1</v>
      </c>
      <c r="CR643">
        <v>9999</v>
      </c>
    </row>
    <row r="644" spans="1:96">
      <c r="A644" t="s">
        <v>8494</v>
      </c>
      <c r="C644" t="s">
        <v>6968</v>
      </c>
      <c r="K644" s="6" t="s">
        <v>6953</v>
      </c>
      <c r="L644" s="6" t="s">
        <v>7060</v>
      </c>
      <c r="AC644">
        <v>2</v>
      </c>
      <c r="AF644">
        <v>1</v>
      </c>
      <c r="AG644" t="s">
        <v>6955</v>
      </c>
      <c r="AN644">
        <v>1</v>
      </c>
      <c r="AY644" s="6"/>
      <c r="BD644">
        <v>1</v>
      </c>
      <c r="BV644"/>
      <c r="BW644"/>
      <c r="BX644"/>
      <c r="BY644"/>
      <c r="BZ644"/>
      <c r="CA644"/>
      <c r="CB644" s="6"/>
      <c r="CC644" s="6"/>
      <c r="CD644" s="6"/>
      <c r="CE644" s="6"/>
      <c r="CF644" s="6"/>
      <c r="CH644" s="6"/>
      <c r="CI644" s="6"/>
      <c r="CJ644" s="6"/>
      <c r="CK644" s="6"/>
      <c r="CL644" s="6"/>
      <c r="CM644" s="6"/>
      <c r="CN644" s="10" t="s">
        <v>8490</v>
      </c>
      <c r="CO644">
        <v>1750</v>
      </c>
      <c r="CR644">
        <v>9999</v>
      </c>
    </row>
    <row r="645" spans="1:96">
      <c r="A645" t="s">
        <v>8495</v>
      </c>
      <c r="C645" t="s">
        <v>6968</v>
      </c>
      <c r="K645" s="6" t="s">
        <v>6953</v>
      </c>
      <c r="L645" s="6" t="s">
        <v>7060</v>
      </c>
      <c r="AC645">
        <v>2</v>
      </c>
      <c r="AF645">
        <v>1</v>
      </c>
      <c r="AG645" t="s">
        <v>6955</v>
      </c>
      <c r="AN645">
        <v>1</v>
      </c>
      <c r="AY645" s="6"/>
      <c r="BD645">
        <v>1</v>
      </c>
      <c r="BV645"/>
      <c r="BW645"/>
      <c r="BX645"/>
      <c r="BY645"/>
      <c r="BZ645"/>
      <c r="CA645"/>
      <c r="CB645" s="6"/>
      <c r="CC645" s="6"/>
      <c r="CD645" s="6"/>
      <c r="CE645" s="6"/>
      <c r="CF645" s="6"/>
      <c r="CH645" s="6"/>
      <c r="CI645" s="6"/>
      <c r="CJ645" s="6"/>
      <c r="CK645" s="6"/>
      <c r="CL645" s="6"/>
      <c r="CM645" s="6"/>
      <c r="CN645" s="10" t="s">
        <v>8492</v>
      </c>
      <c r="CO645">
        <v>10002</v>
      </c>
      <c r="CR645">
        <v>9999</v>
      </c>
    </row>
    <row r="646" spans="1:96">
      <c r="A646" t="s">
        <v>8496</v>
      </c>
      <c r="C646" t="s">
        <v>6968</v>
      </c>
      <c r="K646" s="6" t="s">
        <v>6953</v>
      </c>
      <c r="L646" s="6" t="s">
        <v>7060</v>
      </c>
      <c r="AC646">
        <v>2</v>
      </c>
      <c r="AF646">
        <v>1</v>
      </c>
      <c r="AG646" t="s">
        <v>6955</v>
      </c>
      <c r="AN646">
        <v>1</v>
      </c>
      <c r="AY646" s="6"/>
      <c r="BD646">
        <v>1</v>
      </c>
      <c r="BV646"/>
      <c r="BW646"/>
      <c r="BX646"/>
      <c r="BY646"/>
      <c r="BZ646"/>
      <c r="CA646"/>
      <c r="CB646" s="6"/>
      <c r="CC646" s="6"/>
      <c r="CD646" s="6"/>
      <c r="CE646" s="6"/>
      <c r="CF646" s="6"/>
      <c r="CH646" s="6"/>
      <c r="CI646" s="6"/>
      <c r="CJ646" s="6"/>
      <c r="CK646" s="6"/>
      <c r="CL646" s="6"/>
      <c r="CM646" s="6"/>
      <c r="CN646" s="10" t="s">
        <v>8490</v>
      </c>
      <c r="CO646">
        <v>3000</v>
      </c>
      <c r="CR646">
        <v>9999</v>
      </c>
    </row>
    <row r="647" spans="1:96">
      <c r="A647" t="s">
        <v>8497</v>
      </c>
      <c r="C647" t="s">
        <v>6968</v>
      </c>
      <c r="K647" s="6" t="s">
        <v>6953</v>
      </c>
      <c r="L647" s="6" t="s">
        <v>7060</v>
      </c>
      <c r="AC647">
        <v>2</v>
      </c>
      <c r="AF647">
        <v>1</v>
      </c>
      <c r="AG647" t="s">
        <v>6955</v>
      </c>
      <c r="AN647">
        <v>1</v>
      </c>
      <c r="AY647" s="6"/>
      <c r="BD647">
        <v>1</v>
      </c>
      <c r="BV647"/>
      <c r="BW647"/>
      <c r="BX647"/>
      <c r="BY647"/>
      <c r="BZ647"/>
      <c r="CA647"/>
      <c r="CB647" s="6"/>
      <c r="CC647" s="6"/>
      <c r="CD647" s="6"/>
      <c r="CE647" s="6"/>
      <c r="CF647" s="6"/>
      <c r="CH647" s="6"/>
      <c r="CI647" s="6"/>
      <c r="CJ647" s="6"/>
      <c r="CK647" s="6"/>
      <c r="CL647" s="6"/>
      <c r="CM647" s="6"/>
      <c r="CN647" s="10" t="s">
        <v>8492</v>
      </c>
      <c r="CO647">
        <v>14001</v>
      </c>
      <c r="CR647">
        <v>9999</v>
      </c>
    </row>
    <row r="648" spans="1:103">
      <c r="A648" t="s">
        <v>8498</v>
      </c>
      <c r="C648" t="s">
        <v>6968</v>
      </c>
      <c r="J648" t="s">
        <v>6985</v>
      </c>
      <c r="AC648">
        <v>1</v>
      </c>
      <c r="AO648" t="s">
        <v>8499</v>
      </c>
      <c r="AV648">
        <v>99</v>
      </c>
      <c r="AX648" t="s">
        <v>7064</v>
      </c>
      <c r="AY648" s="6"/>
      <c r="AZ648">
        <v>800</v>
      </c>
      <c r="BB648">
        <v>2</v>
      </c>
      <c r="BD648">
        <v>1</v>
      </c>
      <c r="BH648" t="s">
        <v>8500</v>
      </c>
      <c r="BK648">
        <v>1</v>
      </c>
      <c r="BL648">
        <v>1</v>
      </c>
      <c r="BV648">
        <v>15</v>
      </c>
      <c r="BW648">
        <v>15</v>
      </c>
      <c r="BX648">
        <v>1</v>
      </c>
      <c r="BY648"/>
      <c r="BZ648"/>
      <c r="CA648"/>
      <c r="CB648" s="6" t="s">
        <v>8410</v>
      </c>
      <c r="CC648" s="6"/>
      <c r="CD648" s="6"/>
      <c r="CE648" s="6"/>
      <c r="CF648" s="6"/>
      <c r="CG648" t="s">
        <v>7057</v>
      </c>
      <c r="CH648" s="6"/>
      <c r="CI648" s="6"/>
      <c r="CJ648" s="6"/>
      <c r="CK648" s="6"/>
      <c r="CL648" s="6"/>
      <c r="CM648" s="6"/>
      <c r="CY648" t="s">
        <v>8498</v>
      </c>
    </row>
    <row r="649" spans="1:96">
      <c r="A649" t="s">
        <v>8501</v>
      </c>
      <c r="C649" t="s">
        <v>6968</v>
      </c>
      <c r="J649" t="s">
        <v>6985</v>
      </c>
      <c r="AC649">
        <v>1</v>
      </c>
      <c r="AO649" t="s">
        <v>8502</v>
      </c>
      <c r="AV649">
        <v>99</v>
      </c>
      <c r="AX649" t="s">
        <v>7077</v>
      </c>
      <c r="AY649" s="6"/>
      <c r="AZ649">
        <v>70</v>
      </c>
      <c r="BB649">
        <v>2</v>
      </c>
      <c r="BD649">
        <v>1</v>
      </c>
      <c r="BJ649">
        <v>1.4</v>
      </c>
      <c r="BK649">
        <v>1</v>
      </c>
      <c r="BL649">
        <v>1</v>
      </c>
      <c r="BV649">
        <v>20</v>
      </c>
      <c r="BW649">
        <v>25</v>
      </c>
      <c r="BX649">
        <v>1</v>
      </c>
      <c r="BY649"/>
      <c r="BZ649"/>
      <c r="CA649"/>
      <c r="CB649" s="6" t="s">
        <v>8001</v>
      </c>
      <c r="CC649" s="6"/>
      <c r="CD649" s="6"/>
      <c r="CE649" s="6"/>
      <c r="CF649" s="6"/>
      <c r="CG649" t="s">
        <v>7057</v>
      </c>
      <c r="CH649" t="s">
        <v>8503</v>
      </c>
      <c r="CI649" s="6"/>
      <c r="CJ649" s="6"/>
      <c r="CK649" s="6"/>
      <c r="CL649" s="6"/>
      <c r="CM649" s="6"/>
      <c r="CN649" s="10" t="s">
        <v>7182</v>
      </c>
      <c r="CO649">
        <v>-0.7</v>
      </c>
      <c r="CR649">
        <v>1</v>
      </c>
    </row>
    <row r="650" spans="1:96">
      <c r="A650" t="s">
        <v>8504</v>
      </c>
      <c r="C650" t="s">
        <v>6968</v>
      </c>
      <c r="AC650">
        <v>1</v>
      </c>
      <c r="AO650" t="s">
        <v>8499</v>
      </c>
      <c r="AV650">
        <v>99</v>
      </c>
      <c r="AY650" s="6"/>
      <c r="BD650">
        <v>1</v>
      </c>
      <c r="BS650">
        <v>0.1</v>
      </c>
      <c r="BV650"/>
      <c r="BW650"/>
      <c r="BX650"/>
      <c r="BY650"/>
      <c r="BZ650"/>
      <c r="CA650"/>
      <c r="CB650" s="6"/>
      <c r="CC650" s="6"/>
      <c r="CD650" s="6"/>
      <c r="CE650" s="6"/>
      <c r="CF650" s="6"/>
      <c r="CI650" s="6"/>
      <c r="CJ650" s="6"/>
      <c r="CK650" s="6"/>
      <c r="CL650" s="6"/>
      <c r="CM650" s="6"/>
      <c r="CN650" s="10" t="s">
        <v>8505</v>
      </c>
      <c r="CR650">
        <v>0.1</v>
      </c>
    </row>
    <row r="651" spans="1:96">
      <c r="A651" t="s">
        <v>8505</v>
      </c>
      <c r="C651" t="s">
        <v>6968</v>
      </c>
      <c r="AC651">
        <v>1</v>
      </c>
      <c r="AO651" t="s">
        <v>8502</v>
      </c>
      <c r="AV651">
        <v>99</v>
      </c>
      <c r="AY651" s="6"/>
      <c r="BD651">
        <v>1</v>
      </c>
      <c r="BS651">
        <v>0.1</v>
      </c>
      <c r="BV651"/>
      <c r="BW651"/>
      <c r="BX651"/>
      <c r="BY651"/>
      <c r="BZ651"/>
      <c r="CA651"/>
      <c r="CB651" s="6"/>
      <c r="CC651" s="6"/>
      <c r="CD651" s="6"/>
      <c r="CE651" s="6"/>
      <c r="CF651" s="6"/>
      <c r="CI651" s="6"/>
      <c r="CJ651" s="6"/>
      <c r="CK651" s="6"/>
      <c r="CL651" s="6"/>
      <c r="CM651" s="6"/>
      <c r="CN651" s="10" t="s">
        <v>8504</v>
      </c>
      <c r="CR651">
        <v>0.1</v>
      </c>
    </row>
    <row r="652" spans="1:96">
      <c r="A652" t="s">
        <v>8506</v>
      </c>
      <c r="C652" t="s">
        <v>6968</v>
      </c>
      <c r="K652" s="6" t="s">
        <v>6953</v>
      </c>
      <c r="L652" s="6" t="s">
        <v>7060</v>
      </c>
      <c r="AC652">
        <v>2</v>
      </c>
      <c r="AF652">
        <v>1</v>
      </c>
      <c r="AG652" t="s">
        <v>6955</v>
      </c>
      <c r="AN652">
        <v>1</v>
      </c>
      <c r="AY652" s="6"/>
      <c r="BD652">
        <v>1</v>
      </c>
      <c r="BV652"/>
      <c r="BW652"/>
      <c r="BX652"/>
      <c r="BY652"/>
      <c r="BZ652"/>
      <c r="CA652"/>
      <c r="CB652" s="6"/>
      <c r="CC652" s="6"/>
      <c r="CD652" s="6"/>
      <c r="CE652" s="6"/>
      <c r="CF652" s="6"/>
      <c r="CH652" s="6"/>
      <c r="CI652" s="6"/>
      <c r="CJ652" s="6"/>
      <c r="CK652" s="6"/>
      <c r="CL652" s="6"/>
      <c r="CM652" s="6"/>
      <c r="CN652" s="10" t="s">
        <v>8507</v>
      </c>
      <c r="CO652" t="s">
        <v>8508</v>
      </c>
      <c r="CR652">
        <v>9999</v>
      </c>
    </row>
    <row r="653" spans="1:96">
      <c r="A653" t="s">
        <v>8509</v>
      </c>
      <c r="C653" t="s">
        <v>6968</v>
      </c>
      <c r="K653" s="6" t="s">
        <v>6953</v>
      </c>
      <c r="L653" s="6" t="s">
        <v>7060</v>
      </c>
      <c r="AC653">
        <v>2</v>
      </c>
      <c r="AF653">
        <v>1</v>
      </c>
      <c r="AG653" t="s">
        <v>6955</v>
      </c>
      <c r="AN653">
        <v>1</v>
      </c>
      <c r="AY653" s="6"/>
      <c r="BD653">
        <v>1</v>
      </c>
      <c r="BV653"/>
      <c r="BW653"/>
      <c r="BX653"/>
      <c r="BY653"/>
      <c r="BZ653"/>
      <c r="CA653"/>
      <c r="CB653" s="6"/>
      <c r="CC653" s="6"/>
      <c r="CD653" s="6"/>
      <c r="CE653" s="6"/>
      <c r="CF653" s="6"/>
      <c r="CH653" s="6"/>
      <c r="CI653" s="6"/>
      <c r="CJ653" s="6"/>
      <c r="CK653" s="6"/>
      <c r="CL653" s="6"/>
      <c r="CM653" s="6"/>
      <c r="CN653" s="10" t="s">
        <v>8492</v>
      </c>
      <c r="CO653">
        <v>6000</v>
      </c>
      <c r="CR653">
        <v>9999</v>
      </c>
    </row>
    <row r="654" spans="1:96">
      <c r="A654" t="s">
        <v>8510</v>
      </c>
      <c r="C654" t="s">
        <v>6968</v>
      </c>
      <c r="K654" s="6" t="s">
        <v>6953</v>
      </c>
      <c r="L654" s="6" t="s">
        <v>7060</v>
      </c>
      <c r="AC654">
        <v>2</v>
      </c>
      <c r="AF654">
        <v>1</v>
      </c>
      <c r="AG654" t="s">
        <v>6955</v>
      </c>
      <c r="AN654">
        <v>1</v>
      </c>
      <c r="AY654" s="6"/>
      <c r="BD654">
        <v>1</v>
      </c>
      <c r="BV654"/>
      <c r="BW654"/>
      <c r="BX654"/>
      <c r="BY654"/>
      <c r="BZ654"/>
      <c r="CA654"/>
      <c r="CB654" s="6"/>
      <c r="CC654" s="6"/>
      <c r="CD654" s="6"/>
      <c r="CE654" s="6"/>
      <c r="CF654" s="6"/>
      <c r="CH654" s="6"/>
      <c r="CI654" s="6"/>
      <c r="CJ654" s="6"/>
      <c r="CK654" s="6"/>
      <c r="CL654" s="6"/>
      <c r="CM654" s="6"/>
      <c r="CN654" s="10" t="s">
        <v>8492</v>
      </c>
      <c r="CO654">
        <v>10002</v>
      </c>
      <c r="CR654">
        <v>9999</v>
      </c>
    </row>
    <row r="655" spans="1:96">
      <c r="A655" t="s">
        <v>8511</v>
      </c>
      <c r="C655" t="s">
        <v>6968</v>
      </c>
      <c r="K655" s="6" t="s">
        <v>6953</v>
      </c>
      <c r="L655" s="6" t="s">
        <v>7060</v>
      </c>
      <c r="AC655">
        <v>2</v>
      </c>
      <c r="AG655" t="s">
        <v>6955</v>
      </c>
      <c r="AN655">
        <v>1</v>
      </c>
      <c r="AY655" s="6"/>
      <c r="BD655">
        <v>1</v>
      </c>
      <c r="BV655"/>
      <c r="BW655"/>
      <c r="BX655"/>
      <c r="BY655"/>
      <c r="BZ655"/>
      <c r="CA655"/>
      <c r="CB655" s="6"/>
      <c r="CC655" s="6"/>
      <c r="CD655" s="6"/>
      <c r="CE655" s="6"/>
      <c r="CF655" s="6"/>
      <c r="CH655" s="6"/>
      <c r="CI655" s="6"/>
      <c r="CJ655" s="6"/>
      <c r="CK655" s="6"/>
      <c r="CL655" s="6"/>
      <c r="CM655" s="6"/>
      <c r="CN655" s="10" t="s">
        <v>8512</v>
      </c>
      <c r="CO655">
        <v>130</v>
      </c>
      <c r="CR655">
        <v>99999</v>
      </c>
    </row>
    <row r="656" spans="1:96">
      <c r="A656" t="s">
        <v>8513</v>
      </c>
      <c r="C656" t="s">
        <v>6968</v>
      </c>
      <c r="K656" s="6" t="s">
        <v>6953</v>
      </c>
      <c r="L656" s="6" t="s">
        <v>7060</v>
      </c>
      <c r="AC656">
        <v>2</v>
      </c>
      <c r="AG656" t="s">
        <v>6955</v>
      </c>
      <c r="AN656">
        <v>1</v>
      </c>
      <c r="AY656" s="6"/>
      <c r="BD656">
        <v>1</v>
      </c>
      <c r="BV656"/>
      <c r="BW656"/>
      <c r="BX656"/>
      <c r="BY656"/>
      <c r="BZ656"/>
      <c r="CA656"/>
      <c r="CB656" s="6"/>
      <c r="CC656" s="6"/>
      <c r="CD656" s="6"/>
      <c r="CE656" s="6"/>
      <c r="CF656" s="6"/>
      <c r="CH656" s="6"/>
      <c r="CI656" s="6"/>
      <c r="CJ656" s="6"/>
      <c r="CK656" s="6"/>
      <c r="CL656" s="6"/>
      <c r="CM656" s="6"/>
      <c r="CN656" s="10" t="s">
        <v>8512</v>
      </c>
      <c r="CO656">
        <v>180</v>
      </c>
      <c r="CR656">
        <v>99999</v>
      </c>
    </row>
    <row r="657" spans="1:87">
      <c r="A657" t="s">
        <v>1712</v>
      </c>
      <c r="C657" t="s">
        <v>6968</v>
      </c>
      <c r="AC657">
        <v>1</v>
      </c>
      <c r="AN657">
        <v>1</v>
      </c>
      <c r="AO657" t="s">
        <v>7052</v>
      </c>
      <c r="AP657" t="s">
        <v>8393</v>
      </c>
      <c r="AV657">
        <v>1.4</v>
      </c>
      <c r="AX657" t="s">
        <v>7064</v>
      </c>
      <c r="AZ657">
        <v>1</v>
      </c>
      <c r="BD657">
        <v>1</v>
      </c>
      <c r="BE657">
        <v>2</v>
      </c>
      <c r="BF657">
        <v>0.01</v>
      </c>
      <c r="BS657">
        <v>3</v>
      </c>
      <c r="CB657" t="s">
        <v>140</v>
      </c>
      <c r="CG657" t="s">
        <v>7057</v>
      </c>
      <c r="CH657" t="s">
        <v>7071</v>
      </c>
      <c r="CI657" t="s">
        <v>8436</v>
      </c>
    </row>
    <row r="658" spans="1:96">
      <c r="A658" t="s">
        <v>1721</v>
      </c>
      <c r="C658" t="s">
        <v>4994</v>
      </c>
      <c r="AC658">
        <v>1</v>
      </c>
      <c r="AN658">
        <v>1</v>
      </c>
      <c r="AO658" t="s">
        <v>7052</v>
      </c>
      <c r="AV658">
        <v>0</v>
      </c>
      <c r="AX658" t="s">
        <v>7064</v>
      </c>
      <c r="AZ658">
        <v>1</v>
      </c>
      <c r="BD658">
        <v>1</v>
      </c>
      <c r="CB658" t="s">
        <v>140</v>
      </c>
      <c r="CG658" t="s">
        <v>7057</v>
      </c>
      <c r="CN658" s="10" t="s">
        <v>8441</v>
      </c>
      <c r="CO658">
        <v>-10</v>
      </c>
      <c r="CR658">
        <v>99999</v>
      </c>
    </row>
    <row r="659" spans="1:96">
      <c r="A659" t="s">
        <v>1726</v>
      </c>
      <c r="C659" t="s">
        <v>4994</v>
      </c>
      <c r="AC659">
        <v>1</v>
      </c>
      <c r="AN659">
        <v>1</v>
      </c>
      <c r="AO659" t="s">
        <v>7052</v>
      </c>
      <c r="AV659">
        <v>0</v>
      </c>
      <c r="AX659" t="s">
        <v>7064</v>
      </c>
      <c r="AZ659">
        <v>1</v>
      </c>
      <c r="BD659">
        <v>1</v>
      </c>
      <c r="CB659" t="s">
        <v>140</v>
      </c>
      <c r="CG659" t="s">
        <v>7057</v>
      </c>
      <c r="CN659" s="10" t="s">
        <v>8441</v>
      </c>
      <c r="CO659">
        <v>-15</v>
      </c>
      <c r="CR659">
        <v>99999</v>
      </c>
    </row>
    <row r="660" spans="1:85">
      <c r="A660" t="s">
        <v>8514</v>
      </c>
      <c r="C660" t="s">
        <v>6968</v>
      </c>
      <c r="AC660">
        <v>1</v>
      </c>
      <c r="AN660">
        <v>1</v>
      </c>
      <c r="AO660" t="s">
        <v>7052</v>
      </c>
      <c r="AP660" t="s">
        <v>8393</v>
      </c>
      <c r="AV660">
        <v>2.5</v>
      </c>
      <c r="AX660" t="s">
        <v>7077</v>
      </c>
      <c r="AZ660">
        <v>1</v>
      </c>
      <c r="BD660">
        <v>1</v>
      </c>
      <c r="CB660" t="s">
        <v>8515</v>
      </c>
      <c r="CG660" t="s">
        <v>7057</v>
      </c>
    </row>
    <row r="661" spans="1:96">
      <c r="A661" t="s">
        <v>8516</v>
      </c>
      <c r="C661" t="s">
        <v>6968</v>
      </c>
      <c r="K661" s="6" t="s">
        <v>6953</v>
      </c>
      <c r="L661" s="6" t="s">
        <v>7060</v>
      </c>
      <c r="AC661">
        <v>2</v>
      </c>
      <c r="AG661" t="s">
        <v>6955</v>
      </c>
      <c r="AN661">
        <v>1</v>
      </c>
      <c r="AY661" s="6"/>
      <c r="BD661">
        <v>1</v>
      </c>
      <c r="BV661"/>
      <c r="BW661"/>
      <c r="BX661"/>
      <c r="BY661"/>
      <c r="BZ661"/>
      <c r="CA661"/>
      <c r="CB661" s="6"/>
      <c r="CC661" s="6"/>
      <c r="CD661" s="6"/>
      <c r="CE661" s="6"/>
      <c r="CF661" s="6"/>
      <c r="CH661" s="6"/>
      <c r="CI661" s="6"/>
      <c r="CJ661" s="6"/>
      <c r="CK661" s="6"/>
      <c r="CL661" s="6"/>
      <c r="CM661" s="6"/>
      <c r="CN661" s="10" t="s">
        <v>8512</v>
      </c>
      <c r="CO661">
        <v>200</v>
      </c>
      <c r="CR661">
        <v>99999</v>
      </c>
    </row>
    <row r="662" spans="1:96">
      <c r="A662" t="s">
        <v>8517</v>
      </c>
      <c r="C662" t="s">
        <v>6968</v>
      </c>
      <c r="K662" s="6" t="s">
        <v>6953</v>
      </c>
      <c r="L662" s="6" t="s">
        <v>7060</v>
      </c>
      <c r="AC662">
        <v>2</v>
      </c>
      <c r="AG662" t="s">
        <v>6955</v>
      </c>
      <c r="AN662">
        <v>1</v>
      </c>
      <c r="AY662" s="6"/>
      <c r="BD662">
        <v>1</v>
      </c>
      <c r="BV662"/>
      <c r="BW662"/>
      <c r="BX662"/>
      <c r="BY662"/>
      <c r="BZ662"/>
      <c r="CA662"/>
      <c r="CB662" s="6"/>
      <c r="CC662" s="6"/>
      <c r="CD662" s="6"/>
      <c r="CE662" s="6"/>
      <c r="CF662" s="6"/>
      <c r="CH662" s="6"/>
      <c r="CI662" s="6"/>
      <c r="CJ662" s="6"/>
      <c r="CK662" s="6"/>
      <c r="CL662" s="6"/>
      <c r="CM662" s="6"/>
      <c r="CN662" s="10" t="s">
        <v>8512</v>
      </c>
      <c r="CO662">
        <v>200</v>
      </c>
      <c r="CR662">
        <v>99999</v>
      </c>
    </row>
    <row r="663" spans="1:85">
      <c r="A663" t="s">
        <v>8518</v>
      </c>
      <c r="C663" t="s">
        <v>4994</v>
      </c>
      <c r="AC663">
        <v>1</v>
      </c>
      <c r="AN663">
        <v>1</v>
      </c>
      <c r="AO663" t="s">
        <v>7052</v>
      </c>
      <c r="AV663">
        <v>0</v>
      </c>
      <c r="AX663" t="s">
        <v>7064</v>
      </c>
      <c r="AZ663">
        <v>4</v>
      </c>
      <c r="BD663">
        <v>1</v>
      </c>
      <c r="CB663" t="s">
        <v>8519</v>
      </c>
      <c r="CG663" t="s">
        <v>7057</v>
      </c>
    </row>
    <row r="664" spans="1:96">
      <c r="A664" t="s">
        <v>8520</v>
      </c>
      <c r="C664" t="s">
        <v>6968</v>
      </c>
      <c r="K664" s="6" t="s">
        <v>6953</v>
      </c>
      <c r="L664" s="6" t="s">
        <v>7060</v>
      </c>
      <c r="AC664">
        <v>2</v>
      </c>
      <c r="AF664">
        <v>1</v>
      </c>
      <c r="AG664" t="s">
        <v>6955</v>
      </c>
      <c r="AN664">
        <v>1</v>
      </c>
      <c r="AY664" s="6"/>
      <c r="BD664">
        <v>1</v>
      </c>
      <c r="BV664"/>
      <c r="BW664"/>
      <c r="BX664"/>
      <c r="BY664"/>
      <c r="BZ664"/>
      <c r="CA664"/>
      <c r="CB664" s="6"/>
      <c r="CC664" s="6"/>
      <c r="CD664" s="6"/>
      <c r="CE664" s="6"/>
      <c r="CF664" s="6"/>
      <c r="CH664" s="6"/>
      <c r="CI664" s="6"/>
      <c r="CJ664" s="6"/>
      <c r="CK664" s="6"/>
      <c r="CL664" s="6"/>
      <c r="CM664" s="6"/>
      <c r="CN664" s="10" t="s">
        <v>8521</v>
      </c>
      <c r="CO664">
        <v>-0.7</v>
      </c>
      <c r="CP664">
        <v>-1</v>
      </c>
      <c r="CR664">
        <v>99999</v>
      </c>
    </row>
    <row r="665" spans="1:96">
      <c r="A665" t="s">
        <v>8522</v>
      </c>
      <c r="C665" t="s">
        <v>4994</v>
      </c>
      <c r="AC665">
        <v>1</v>
      </c>
      <c r="AN665">
        <v>1</v>
      </c>
      <c r="AO665" t="s">
        <v>7052</v>
      </c>
      <c r="AV665">
        <v>0</v>
      </c>
      <c r="AX665" t="s">
        <v>7064</v>
      </c>
      <c r="BD665">
        <v>1</v>
      </c>
      <c r="BS665">
        <v>0.05</v>
      </c>
      <c r="CN665" s="10" t="s">
        <v>8523</v>
      </c>
      <c r="CO665">
        <v>-0.7</v>
      </c>
      <c r="CR665">
        <v>0.1</v>
      </c>
    </row>
    <row r="667" spans="1:87">
      <c r="A667" t="s">
        <v>8524</v>
      </c>
      <c r="C667" t="s">
        <v>6968</v>
      </c>
      <c r="AC667">
        <v>1</v>
      </c>
      <c r="AN667">
        <v>1</v>
      </c>
      <c r="AO667" t="s">
        <v>7052</v>
      </c>
      <c r="AP667" t="s">
        <v>8393</v>
      </c>
      <c r="AV667">
        <v>2</v>
      </c>
      <c r="AX667" t="s">
        <v>7064</v>
      </c>
      <c r="AZ667">
        <v>1</v>
      </c>
      <c r="BD667">
        <v>1</v>
      </c>
      <c r="CB667" t="s">
        <v>140</v>
      </c>
      <c r="CG667" t="s">
        <v>7057</v>
      </c>
      <c r="CH667" t="s">
        <v>7071</v>
      </c>
      <c r="CI667" t="s">
        <v>4277</v>
      </c>
    </row>
    <row r="668" spans="1:96">
      <c r="A668" t="s">
        <v>8525</v>
      </c>
      <c r="C668" t="s">
        <v>6968</v>
      </c>
      <c r="K668" s="6" t="s">
        <v>6953</v>
      </c>
      <c r="L668" s="6" t="s">
        <v>7060</v>
      </c>
      <c r="AC668">
        <v>2</v>
      </c>
      <c r="AG668" t="s">
        <v>6955</v>
      </c>
      <c r="AN668">
        <v>1</v>
      </c>
      <c r="AY668" s="6"/>
      <c r="BD668">
        <v>1</v>
      </c>
      <c r="BV668"/>
      <c r="BW668"/>
      <c r="BX668"/>
      <c r="BY668"/>
      <c r="BZ668"/>
      <c r="CA668"/>
      <c r="CB668" s="6"/>
      <c r="CC668" s="6"/>
      <c r="CD668" s="6"/>
      <c r="CE668" s="6"/>
      <c r="CF668" s="6"/>
      <c r="CH668" s="6"/>
      <c r="CI668" s="6"/>
      <c r="CJ668" s="6"/>
      <c r="CK668" s="6"/>
      <c r="CL668" s="6"/>
      <c r="CM668" s="6"/>
      <c r="CN668" s="10" t="s">
        <v>8526</v>
      </c>
      <c r="CO668" t="s">
        <v>8527</v>
      </c>
      <c r="CR668">
        <v>30</v>
      </c>
    </row>
    <row r="669" spans="1:96">
      <c r="A669" t="s">
        <v>8528</v>
      </c>
      <c r="C669" t="s">
        <v>6968</v>
      </c>
      <c r="K669" s="6" t="s">
        <v>6953</v>
      </c>
      <c r="L669" s="6" t="s">
        <v>7060</v>
      </c>
      <c r="AC669">
        <v>2</v>
      </c>
      <c r="AG669" t="s">
        <v>6955</v>
      </c>
      <c r="AN669">
        <v>1</v>
      </c>
      <c r="AY669" s="6"/>
      <c r="BD669">
        <v>1</v>
      </c>
      <c r="BV669"/>
      <c r="BW669"/>
      <c r="BX669"/>
      <c r="BY669"/>
      <c r="BZ669"/>
      <c r="CA669"/>
      <c r="CB669" s="6"/>
      <c r="CC669" s="6"/>
      <c r="CD669" s="6"/>
      <c r="CE669" s="6"/>
      <c r="CF669" s="6"/>
      <c r="CH669" s="6"/>
      <c r="CI669" s="6"/>
      <c r="CJ669" s="6"/>
      <c r="CK669" s="6"/>
      <c r="CL669" s="6"/>
      <c r="CM669" s="6"/>
      <c r="CN669" s="10" t="s">
        <v>8526</v>
      </c>
      <c r="CO669" t="s">
        <v>8527</v>
      </c>
      <c r="CR669">
        <v>60</v>
      </c>
    </row>
    <row r="670" spans="1:96">
      <c r="A670" t="s">
        <v>8529</v>
      </c>
      <c r="C670" t="s">
        <v>6968</v>
      </c>
      <c r="K670" s="6" t="s">
        <v>6953</v>
      </c>
      <c r="L670" s="6" t="s">
        <v>7315</v>
      </c>
      <c r="AC670">
        <v>2</v>
      </c>
      <c r="AG670" t="s">
        <v>6955</v>
      </c>
      <c r="AN670">
        <v>1</v>
      </c>
      <c r="BD670">
        <v>1</v>
      </c>
      <c r="CN670" s="10" t="s">
        <v>8529</v>
      </c>
      <c r="CO670" t="s">
        <v>8530</v>
      </c>
      <c r="CR670">
        <v>99999</v>
      </c>
    </row>
    <row r="671" spans="1:85">
      <c r="A671" t="s">
        <v>8531</v>
      </c>
      <c r="C671" t="s">
        <v>6968</v>
      </c>
      <c r="AC671">
        <v>1</v>
      </c>
      <c r="AN671">
        <v>1</v>
      </c>
      <c r="AO671" t="s">
        <v>7052</v>
      </c>
      <c r="AP671" t="s">
        <v>8393</v>
      </c>
      <c r="AV671">
        <v>1.3</v>
      </c>
      <c r="AX671" t="s">
        <v>7077</v>
      </c>
      <c r="AZ671">
        <v>1</v>
      </c>
      <c r="BD671">
        <v>1</v>
      </c>
      <c r="CB671" t="s">
        <v>140</v>
      </c>
      <c r="CG671" t="s">
        <v>7057</v>
      </c>
    </row>
    <row r="672" spans="1:96">
      <c r="A672" t="s">
        <v>8532</v>
      </c>
      <c r="C672" t="s">
        <v>6968</v>
      </c>
      <c r="J672" t="s">
        <v>6985</v>
      </c>
      <c r="R672" t="s">
        <v>8532</v>
      </c>
      <c r="AC672">
        <v>1</v>
      </c>
      <c r="AN672">
        <v>1</v>
      </c>
      <c r="AV672">
        <v>99</v>
      </c>
      <c r="AZ672">
        <v>0</v>
      </c>
      <c r="BD672">
        <v>1</v>
      </c>
      <c r="BV672" s="9">
        <v>0</v>
      </c>
      <c r="BW672" s="9">
        <v>25</v>
      </c>
      <c r="BX672" s="9">
        <v>1</v>
      </c>
      <c r="BY672" s="9" t="s">
        <v>6987</v>
      </c>
      <c r="CB672" t="s">
        <v>8410</v>
      </c>
      <c r="CG672" t="s">
        <v>7057</v>
      </c>
      <c r="CN672" s="10" t="s">
        <v>8532</v>
      </c>
      <c r="CO672">
        <v>-0.5</v>
      </c>
      <c r="CR672">
        <v>25</v>
      </c>
    </row>
    <row r="673" spans="1:96">
      <c r="A673" t="s">
        <v>8533</v>
      </c>
      <c r="C673" t="s">
        <v>6968</v>
      </c>
      <c r="J673" t="s">
        <v>6985</v>
      </c>
      <c r="R673" t="s">
        <v>8532</v>
      </c>
      <c r="AC673">
        <v>1</v>
      </c>
      <c r="AN673">
        <v>1</v>
      </c>
      <c r="AV673">
        <v>99</v>
      </c>
      <c r="AZ673">
        <v>0</v>
      </c>
      <c r="BD673">
        <v>1</v>
      </c>
      <c r="BV673" s="9">
        <v>0</v>
      </c>
      <c r="BW673" s="9">
        <v>15</v>
      </c>
      <c r="BX673" s="9">
        <v>1</v>
      </c>
      <c r="BY673" s="9" t="s">
        <v>6987</v>
      </c>
      <c r="CB673" t="s">
        <v>8410</v>
      </c>
      <c r="CG673" t="s">
        <v>7057</v>
      </c>
      <c r="CN673" s="10" t="s">
        <v>8532</v>
      </c>
      <c r="CO673">
        <v>-0.5</v>
      </c>
      <c r="CR673">
        <v>25</v>
      </c>
    </row>
    <row r="674" spans="1:96">
      <c r="A674" t="s">
        <v>8534</v>
      </c>
      <c r="C674" t="s">
        <v>6968</v>
      </c>
      <c r="J674" t="s">
        <v>6985</v>
      </c>
      <c r="R674" t="s">
        <v>8532</v>
      </c>
      <c r="AC674">
        <v>1</v>
      </c>
      <c r="AN674">
        <v>1</v>
      </c>
      <c r="AV674">
        <v>99</v>
      </c>
      <c r="AZ674">
        <v>0</v>
      </c>
      <c r="BD674">
        <v>1</v>
      </c>
      <c r="BV674" s="9">
        <v>0</v>
      </c>
      <c r="BW674" s="9">
        <v>10</v>
      </c>
      <c r="BX674" s="9">
        <v>1</v>
      </c>
      <c r="BY674" s="9" t="s">
        <v>6987</v>
      </c>
      <c r="CB674" t="s">
        <v>8410</v>
      </c>
      <c r="CG674" t="s">
        <v>7057</v>
      </c>
      <c r="CN674" s="10" t="s">
        <v>8532</v>
      </c>
      <c r="CO674">
        <v>-0.5</v>
      </c>
      <c r="CR674">
        <v>25</v>
      </c>
    </row>
    <row r="675" spans="1:99">
      <c r="A675" t="s">
        <v>8535</v>
      </c>
      <c r="C675" t="s">
        <v>7549</v>
      </c>
      <c r="K675" s="6" t="s">
        <v>6953</v>
      </c>
      <c r="L675" s="6" t="s">
        <v>7550</v>
      </c>
      <c r="N675" s="6">
        <v>1</v>
      </c>
      <c r="AC675">
        <v>2</v>
      </c>
      <c r="AG675" t="s">
        <v>6955</v>
      </c>
      <c r="AH675">
        <v>1</v>
      </c>
      <c r="AN675">
        <v>1</v>
      </c>
      <c r="AY675">
        <v>1</v>
      </c>
      <c r="BD675">
        <v>1</v>
      </c>
      <c r="BP675" s="8" t="s">
        <v>8536</v>
      </c>
      <c r="BS675">
        <v>5</v>
      </c>
      <c r="CU675" t="s">
        <v>8537</v>
      </c>
    </row>
    <row r="676" spans="1:85">
      <c r="A676" t="s">
        <v>8538</v>
      </c>
      <c r="C676" t="s">
        <v>6968</v>
      </c>
      <c r="K676" s="6" t="s">
        <v>6953</v>
      </c>
      <c r="Y676">
        <v>1</v>
      </c>
      <c r="AB676">
        <v>1</v>
      </c>
      <c r="AC676">
        <v>2</v>
      </c>
      <c r="AG676" t="s">
        <v>6955</v>
      </c>
      <c r="AN676">
        <v>1</v>
      </c>
      <c r="BD676">
        <v>1</v>
      </c>
      <c r="BS676">
        <v>5</v>
      </c>
      <c r="CB676" t="s">
        <v>8001</v>
      </c>
      <c r="CG676" t="s">
        <v>7475</v>
      </c>
    </row>
    <row r="677" spans="1:96">
      <c r="A677" t="s">
        <v>8539</v>
      </c>
      <c r="C677" t="s">
        <v>6968</v>
      </c>
      <c r="K677" s="6" t="s">
        <v>6953</v>
      </c>
      <c r="AC677">
        <v>2</v>
      </c>
      <c r="AG677" t="s">
        <v>6955</v>
      </c>
      <c r="AN677">
        <v>1</v>
      </c>
      <c r="AO677" t="s">
        <v>7052</v>
      </c>
      <c r="BD677">
        <v>1</v>
      </c>
      <c r="CN677" s="10" t="s">
        <v>8420</v>
      </c>
      <c r="CR677">
        <v>5</v>
      </c>
    </row>
    <row r="678" spans="1:96">
      <c r="A678" t="s">
        <v>8540</v>
      </c>
      <c r="C678" t="s">
        <v>6968</v>
      </c>
      <c r="K678" s="6" t="s">
        <v>6953</v>
      </c>
      <c r="AC678">
        <v>2</v>
      </c>
      <c r="AG678" t="s">
        <v>6955</v>
      </c>
      <c r="AN678">
        <v>1</v>
      </c>
      <c r="AO678" t="s">
        <v>7052</v>
      </c>
      <c r="BD678">
        <v>1</v>
      </c>
      <c r="CN678" s="10" t="s">
        <v>8423</v>
      </c>
      <c r="CR678">
        <v>6</v>
      </c>
    </row>
    <row r="685" spans="1:87">
      <c r="A685" t="s">
        <v>1441</v>
      </c>
      <c r="C685" t="s">
        <v>6968</v>
      </c>
      <c r="AC685">
        <v>1</v>
      </c>
      <c r="AN685">
        <v>1</v>
      </c>
      <c r="AO685" t="s">
        <v>7052</v>
      </c>
      <c r="AP685" t="s">
        <v>8393</v>
      </c>
      <c r="AV685">
        <v>2.6</v>
      </c>
      <c r="AX685" t="s">
        <v>7064</v>
      </c>
      <c r="AZ685">
        <v>1</v>
      </c>
      <c r="BD685">
        <v>1</v>
      </c>
      <c r="CB685" t="s">
        <v>140</v>
      </c>
      <c r="CG685" t="s">
        <v>7057</v>
      </c>
      <c r="CH685" t="s">
        <v>7573</v>
      </c>
      <c r="CI685" t="s">
        <v>4277</v>
      </c>
    </row>
    <row r="686" spans="40:40">
      <c r="AN686">
        <v>1</v>
      </c>
    </row>
    <row r="687" spans="1:87">
      <c r="A687" t="s">
        <v>8541</v>
      </c>
      <c r="C687" t="s">
        <v>6968</v>
      </c>
      <c r="AC687">
        <v>1</v>
      </c>
      <c r="AN687">
        <v>1</v>
      </c>
      <c r="AO687" t="s">
        <v>7052</v>
      </c>
      <c r="AP687" t="s">
        <v>8393</v>
      </c>
      <c r="AV687">
        <v>2.2</v>
      </c>
      <c r="AX687" t="s">
        <v>7077</v>
      </c>
      <c r="AZ687">
        <v>1</v>
      </c>
      <c r="BD687">
        <v>1</v>
      </c>
      <c r="BS687">
        <v>4</v>
      </c>
      <c r="CB687" t="s">
        <v>140</v>
      </c>
      <c r="CG687" t="s">
        <v>7057</v>
      </c>
      <c r="CH687" t="s">
        <v>7078</v>
      </c>
      <c r="CI687" t="s">
        <v>8403</v>
      </c>
    </row>
    <row r="688" spans="1:100">
      <c r="A688" t="s">
        <v>8542</v>
      </c>
      <c r="C688" t="s">
        <v>6968</v>
      </c>
      <c r="J688" t="s">
        <v>6985</v>
      </c>
      <c r="K688" s="6" t="s">
        <v>6987</v>
      </c>
      <c r="AC688">
        <v>1</v>
      </c>
      <c r="AN688">
        <v>1</v>
      </c>
      <c r="AO688" t="s">
        <v>7052</v>
      </c>
      <c r="AP688" t="s">
        <v>8393</v>
      </c>
      <c r="AV688">
        <v>2.2</v>
      </c>
      <c r="AX688" t="s">
        <v>7077</v>
      </c>
      <c r="AZ688">
        <v>1</v>
      </c>
      <c r="BD688">
        <v>1</v>
      </c>
      <c r="BS688">
        <v>4</v>
      </c>
      <c r="BT688">
        <v>0.2</v>
      </c>
      <c r="BV688" s="9">
        <v>0</v>
      </c>
      <c r="BW688" s="9">
        <v>1</v>
      </c>
      <c r="BX688" s="9">
        <v>1</v>
      </c>
      <c r="BY688" s="9" t="s">
        <v>7142</v>
      </c>
      <c r="CB688" t="s">
        <v>140</v>
      </c>
      <c r="CG688" t="s">
        <v>7057</v>
      </c>
      <c r="CH688" t="s">
        <v>7078</v>
      </c>
      <c r="CI688" t="s">
        <v>8403</v>
      </c>
      <c r="CN688" s="10" t="s">
        <v>8404</v>
      </c>
      <c r="CO688">
        <v>-30</v>
      </c>
      <c r="CR688">
        <v>10</v>
      </c>
      <c r="CV688" t="s">
        <v>8543</v>
      </c>
    </row>
    <row r="689" spans="1:88">
      <c r="A689" t="s">
        <v>248</v>
      </c>
      <c r="C689" t="s">
        <v>4994</v>
      </c>
      <c r="AC689">
        <v>1</v>
      </c>
      <c r="AN689">
        <v>1</v>
      </c>
      <c r="AO689" t="s">
        <v>7052</v>
      </c>
      <c r="AV689">
        <v>0</v>
      </c>
      <c r="AX689" t="s">
        <v>7064</v>
      </c>
      <c r="AZ689">
        <v>1</v>
      </c>
      <c r="BD689">
        <v>1</v>
      </c>
      <c r="CB689" t="s">
        <v>140</v>
      </c>
      <c r="CG689" t="s">
        <v>7057</v>
      </c>
      <c r="CJ689" t="s">
        <v>8544</v>
      </c>
    </row>
    <row r="690" spans="1:88">
      <c r="A690" t="s">
        <v>8545</v>
      </c>
      <c r="C690" t="s">
        <v>4994</v>
      </c>
      <c r="AC690">
        <v>1</v>
      </c>
      <c r="AN690">
        <v>1</v>
      </c>
      <c r="AO690" t="s">
        <v>7052</v>
      </c>
      <c r="AV690">
        <v>0</v>
      </c>
      <c r="AX690" t="s">
        <v>7064</v>
      </c>
      <c r="AZ690">
        <v>1</v>
      </c>
      <c r="BD690">
        <v>1</v>
      </c>
      <c r="BS690">
        <v>1</v>
      </c>
      <c r="CB690" t="s">
        <v>140</v>
      </c>
      <c r="CG690" t="s">
        <v>7057</v>
      </c>
      <c r="CJ690" t="s">
        <v>8544</v>
      </c>
    </row>
    <row r="691" spans="40:40">
      <c r="AN691">
        <v>1</v>
      </c>
    </row>
    <row r="692" spans="1:88">
      <c r="A692" t="s">
        <v>270</v>
      </c>
      <c r="C692" t="s">
        <v>6968</v>
      </c>
      <c r="AC692">
        <v>1</v>
      </c>
      <c r="AN692">
        <v>1</v>
      </c>
      <c r="AO692" t="s">
        <v>7052</v>
      </c>
      <c r="AP692" t="s">
        <v>8393</v>
      </c>
      <c r="AV692">
        <v>1.9</v>
      </c>
      <c r="AX692" t="s">
        <v>7064</v>
      </c>
      <c r="AZ692">
        <v>1</v>
      </c>
      <c r="BD692">
        <v>1</v>
      </c>
      <c r="BS692">
        <v>2.4</v>
      </c>
      <c r="CB692" t="s">
        <v>140</v>
      </c>
      <c r="CG692" t="s">
        <v>7057</v>
      </c>
      <c r="CH692" t="s">
        <v>7071</v>
      </c>
      <c r="CI692" t="s">
        <v>8436</v>
      </c>
      <c r="CJ692" t="s">
        <v>8544</v>
      </c>
    </row>
    <row r="693" spans="40:40">
      <c r="AN693">
        <v>1</v>
      </c>
    </row>
    <row r="694" spans="1:88">
      <c r="A694" t="s">
        <v>276</v>
      </c>
      <c r="C694" t="s">
        <v>4994</v>
      </c>
      <c r="AC694">
        <v>1</v>
      </c>
      <c r="AN694">
        <v>1</v>
      </c>
      <c r="AO694" t="s">
        <v>7052</v>
      </c>
      <c r="AV694">
        <v>0</v>
      </c>
      <c r="AX694" t="s">
        <v>7064</v>
      </c>
      <c r="AZ694">
        <v>1</v>
      </c>
      <c r="BD694">
        <v>1</v>
      </c>
      <c r="BS694">
        <v>3</v>
      </c>
      <c r="CB694" t="s">
        <v>140</v>
      </c>
      <c r="CG694" t="s">
        <v>7057</v>
      </c>
      <c r="CJ694" t="s">
        <v>8546</v>
      </c>
    </row>
    <row r="695" spans="1:88">
      <c r="A695" t="s">
        <v>1479</v>
      </c>
      <c r="C695" t="s">
        <v>4994</v>
      </c>
      <c r="AC695">
        <v>1</v>
      </c>
      <c r="AN695">
        <v>1</v>
      </c>
      <c r="AO695" t="s">
        <v>7052</v>
      </c>
      <c r="AV695">
        <v>0</v>
      </c>
      <c r="AX695" t="s">
        <v>7064</v>
      </c>
      <c r="AZ695">
        <v>1</v>
      </c>
      <c r="BD695">
        <v>1</v>
      </c>
      <c r="BS695">
        <v>3</v>
      </c>
      <c r="CB695" t="s">
        <v>140</v>
      </c>
      <c r="CG695" t="s">
        <v>7057</v>
      </c>
      <c r="CJ695" t="s">
        <v>8547</v>
      </c>
    </row>
    <row r="696" spans="1:85">
      <c r="A696" t="s">
        <v>8548</v>
      </c>
      <c r="C696" t="s">
        <v>4994</v>
      </c>
      <c r="AC696">
        <v>1</v>
      </c>
      <c r="AN696">
        <v>1</v>
      </c>
      <c r="AO696" t="s">
        <v>7052</v>
      </c>
      <c r="AV696">
        <v>0</v>
      </c>
      <c r="AX696" t="s">
        <v>7064</v>
      </c>
      <c r="AZ696">
        <v>1</v>
      </c>
      <c r="BD696">
        <v>1</v>
      </c>
      <c r="BS696">
        <v>1.7</v>
      </c>
      <c r="CB696" t="s">
        <v>140</v>
      </c>
      <c r="CG696" t="s">
        <v>7057</v>
      </c>
    </row>
    <row r="697" spans="1:109">
      <c r="A697" t="s">
        <v>8549</v>
      </c>
      <c r="C697" t="s">
        <v>6968</v>
      </c>
      <c r="K697" s="6" t="s">
        <v>6953</v>
      </c>
      <c r="L697" s="6" t="s">
        <v>8068</v>
      </c>
      <c r="X697" s="6">
        <v>1</v>
      </c>
      <c r="AB697">
        <v>1</v>
      </c>
      <c r="AC697">
        <v>1</v>
      </c>
      <c r="AN697">
        <v>1</v>
      </c>
      <c r="AO697" t="s">
        <v>7052</v>
      </c>
      <c r="AV697">
        <v>1.65</v>
      </c>
      <c r="AX697" t="s">
        <v>7064</v>
      </c>
      <c r="AZ697">
        <v>2</v>
      </c>
      <c r="BD697">
        <v>99</v>
      </c>
      <c r="BS697">
        <v>0.2</v>
      </c>
      <c r="CN697" s="10" t="s">
        <v>8404</v>
      </c>
      <c r="CO697">
        <v>-30</v>
      </c>
      <c r="CR697">
        <v>10</v>
      </c>
      <c r="DE697">
        <v>1</v>
      </c>
    </row>
    <row r="698" spans="1:103">
      <c r="A698" t="s">
        <v>1484</v>
      </c>
      <c r="C698" t="s">
        <v>6968</v>
      </c>
      <c r="N698" s="6">
        <v>1</v>
      </c>
      <c r="AC698">
        <v>1</v>
      </c>
      <c r="AN698">
        <v>1</v>
      </c>
      <c r="AV698">
        <v>2</v>
      </c>
      <c r="AX698" t="s">
        <v>7064</v>
      </c>
      <c r="AZ698">
        <v>1</v>
      </c>
      <c r="BD698">
        <v>1</v>
      </c>
      <c r="BJ698">
        <v>1.4</v>
      </c>
      <c r="BK698">
        <v>1</v>
      </c>
      <c r="BL698">
        <v>1</v>
      </c>
      <c r="BP698" s="8" t="s">
        <v>8449</v>
      </c>
      <c r="CB698" t="s">
        <v>140</v>
      </c>
      <c r="CG698" t="s">
        <v>7057</v>
      </c>
      <c r="CH698" t="s">
        <v>8450</v>
      </c>
      <c r="CI698" t="s">
        <v>4277</v>
      </c>
      <c r="CN698" s="10" t="s">
        <v>8404</v>
      </c>
      <c r="CO698">
        <v>-30</v>
      </c>
      <c r="CR698">
        <v>10</v>
      </c>
      <c r="CY698" t="s">
        <v>7603</v>
      </c>
    </row>
    <row r="699" spans="1:96">
      <c r="A699" t="s">
        <v>8550</v>
      </c>
      <c r="C699" t="s">
        <v>6968</v>
      </c>
      <c r="K699" s="6" t="s">
        <v>6953</v>
      </c>
      <c r="AC699">
        <v>2</v>
      </c>
      <c r="AD699">
        <v>1</v>
      </c>
      <c r="AG699" t="s">
        <v>6955</v>
      </c>
      <c r="AN699">
        <v>1</v>
      </c>
      <c r="BD699">
        <v>1</v>
      </c>
      <c r="CN699" s="10" t="s">
        <v>8451</v>
      </c>
      <c r="CO699">
        <v>1</v>
      </c>
      <c r="CR699">
        <v>99999</v>
      </c>
    </row>
    <row r="701" spans="1:96">
      <c r="A701" t="s">
        <v>8551</v>
      </c>
      <c r="C701" t="s">
        <v>6968</v>
      </c>
      <c r="K701" s="6" t="s">
        <v>6953</v>
      </c>
      <c r="L701" s="6" t="s">
        <v>7060</v>
      </c>
      <c r="AC701">
        <v>2</v>
      </c>
      <c r="AG701" t="s">
        <v>6955</v>
      </c>
      <c r="AN701">
        <v>1</v>
      </c>
      <c r="AY701" s="6"/>
      <c r="BD701">
        <v>1</v>
      </c>
      <c r="BV701"/>
      <c r="BW701"/>
      <c r="BX701"/>
      <c r="BY701"/>
      <c r="BZ701"/>
      <c r="CA701"/>
      <c r="CB701" s="6"/>
      <c r="CC701" s="6"/>
      <c r="CD701" s="6"/>
      <c r="CE701" s="6"/>
      <c r="CF701" s="6"/>
      <c r="CH701" s="6"/>
      <c r="CI701" s="6"/>
      <c r="CJ701" s="6"/>
      <c r="CK701" s="6"/>
      <c r="CL701" s="6"/>
      <c r="CM701" s="6"/>
      <c r="CN701" s="10" t="s">
        <v>8551</v>
      </c>
      <c r="CR701">
        <v>9999</v>
      </c>
    </row>
    <row r="702" spans="1:96">
      <c r="A702" t="s">
        <v>8552</v>
      </c>
      <c r="C702" t="s">
        <v>6968</v>
      </c>
      <c r="K702" s="6" t="s">
        <v>6953</v>
      </c>
      <c r="L702" s="6" t="s">
        <v>7060</v>
      </c>
      <c r="AC702">
        <v>2</v>
      </c>
      <c r="AG702" t="s">
        <v>6955</v>
      </c>
      <c r="AN702">
        <v>1</v>
      </c>
      <c r="AY702" s="6"/>
      <c r="BD702">
        <v>1</v>
      </c>
      <c r="BV702"/>
      <c r="BW702"/>
      <c r="BX702"/>
      <c r="BY702"/>
      <c r="BZ702"/>
      <c r="CA702"/>
      <c r="CB702" s="6"/>
      <c r="CC702" s="6"/>
      <c r="CD702" s="6"/>
      <c r="CE702" s="6"/>
      <c r="CF702" s="6"/>
      <c r="CH702" s="6"/>
      <c r="CI702" s="6"/>
      <c r="CJ702" s="6"/>
      <c r="CK702" s="6"/>
      <c r="CL702" s="6"/>
      <c r="CM702" s="6"/>
      <c r="CN702" s="10" t="s">
        <v>8552</v>
      </c>
      <c r="CR702">
        <v>9999</v>
      </c>
    </row>
    <row r="703" spans="1:91">
      <c r="A703" t="s">
        <v>8553</v>
      </c>
      <c r="C703" t="s">
        <v>6968</v>
      </c>
      <c r="K703" s="6" t="s">
        <v>6953</v>
      </c>
      <c r="L703" s="6" t="s">
        <v>8554</v>
      </c>
      <c r="AC703">
        <v>1</v>
      </c>
      <c r="AE703">
        <v>1</v>
      </c>
      <c r="AN703">
        <v>1</v>
      </c>
      <c r="AX703" t="s">
        <v>7064</v>
      </c>
      <c r="AY703" s="6"/>
      <c r="AZ703">
        <v>1</v>
      </c>
      <c r="BD703">
        <v>1</v>
      </c>
      <c r="BV703"/>
      <c r="BW703"/>
      <c r="BX703"/>
      <c r="BY703"/>
      <c r="BZ703"/>
      <c r="CA703"/>
      <c r="CB703" t="s">
        <v>140</v>
      </c>
      <c r="CC703" s="6">
        <v>0</v>
      </c>
      <c r="CD703" s="6"/>
      <c r="CE703" s="6"/>
      <c r="CF703" s="6"/>
      <c r="CG703" t="s">
        <v>7057</v>
      </c>
      <c r="CH703" s="6"/>
      <c r="CI703" s="6"/>
      <c r="CJ703" s="6"/>
      <c r="CK703" s="6"/>
      <c r="CL703" s="6"/>
      <c r="CM703" s="6"/>
    </row>
    <row r="704" spans="1:96">
      <c r="A704" t="s">
        <v>8555</v>
      </c>
      <c r="C704" t="s">
        <v>6968</v>
      </c>
      <c r="K704" s="6" t="s">
        <v>6953</v>
      </c>
      <c r="L704" s="6" t="s">
        <v>7060</v>
      </c>
      <c r="AC704">
        <v>2</v>
      </c>
      <c r="AF704">
        <v>1</v>
      </c>
      <c r="AG704" t="s">
        <v>6955</v>
      </c>
      <c r="AN704">
        <v>1</v>
      </c>
      <c r="AY704" s="6"/>
      <c r="BD704">
        <v>1</v>
      </c>
      <c r="BV704"/>
      <c r="BW704"/>
      <c r="BX704"/>
      <c r="BY704"/>
      <c r="BZ704"/>
      <c r="CA704"/>
      <c r="CB704" s="6"/>
      <c r="CC704" s="6"/>
      <c r="CD704" s="6"/>
      <c r="CE704" s="6"/>
      <c r="CF704" s="6"/>
      <c r="CH704" s="6"/>
      <c r="CI704" s="6"/>
      <c r="CJ704" s="6"/>
      <c r="CK704" s="6"/>
      <c r="CL704" s="6"/>
      <c r="CM704" s="6"/>
      <c r="CN704" s="10" t="s">
        <v>8556</v>
      </c>
      <c r="CR704">
        <v>9999</v>
      </c>
    </row>
    <row r="705" spans="1:96">
      <c r="A705" t="s">
        <v>1515</v>
      </c>
      <c r="C705" t="s">
        <v>6968</v>
      </c>
      <c r="N705" s="6">
        <v>1</v>
      </c>
      <c r="T705" s="6">
        <v>0.99999</v>
      </c>
      <c r="AC705">
        <v>2</v>
      </c>
      <c r="AN705">
        <v>1</v>
      </c>
      <c r="AV705">
        <v>99</v>
      </c>
      <c r="AY705" s="6"/>
      <c r="BD705">
        <v>99</v>
      </c>
      <c r="BP705" s="8" t="s">
        <v>8557</v>
      </c>
      <c r="BV705"/>
      <c r="BW705"/>
      <c r="BX705"/>
      <c r="BY705"/>
      <c r="BZ705"/>
      <c r="CA705"/>
      <c r="CB705" t="s">
        <v>8558</v>
      </c>
      <c r="CC705" s="6"/>
      <c r="CD705" s="6"/>
      <c r="CE705" s="6"/>
      <c r="CF705" s="6"/>
      <c r="CG705" t="s">
        <v>7057</v>
      </c>
      <c r="CH705" s="6"/>
      <c r="CI705" s="6"/>
      <c r="CJ705" s="6"/>
      <c r="CK705" s="6"/>
      <c r="CL705" s="6"/>
      <c r="CM705" s="6"/>
      <c r="CN705" s="10" t="s">
        <v>8559</v>
      </c>
      <c r="CP705" t="s">
        <v>8560</v>
      </c>
      <c r="CR705">
        <v>9999</v>
      </c>
    </row>
    <row r="706" spans="1:96">
      <c r="A706" t="s">
        <v>8557</v>
      </c>
      <c r="C706" t="s">
        <v>6968</v>
      </c>
      <c r="K706" s="6" t="s">
        <v>6953</v>
      </c>
      <c r="AC706">
        <v>2</v>
      </c>
      <c r="AG706" t="s">
        <v>6955</v>
      </c>
      <c r="AN706">
        <v>1</v>
      </c>
      <c r="AY706" s="6"/>
      <c r="AZ706">
        <v>1</v>
      </c>
      <c r="BD706">
        <v>1</v>
      </c>
      <c r="BV706"/>
      <c r="BW706"/>
      <c r="BX706"/>
      <c r="BY706"/>
      <c r="BZ706"/>
      <c r="CA706"/>
      <c r="CC706" s="6"/>
      <c r="CD706" s="6"/>
      <c r="CE706" s="6"/>
      <c r="CF706" s="6"/>
      <c r="CH706" s="6"/>
      <c r="CI706" s="6"/>
      <c r="CJ706" s="6"/>
      <c r="CK706" s="6"/>
      <c r="CL706" s="6"/>
      <c r="CM706" s="6"/>
      <c r="CN706" s="10" t="s">
        <v>8561</v>
      </c>
      <c r="CQ706" t="s">
        <v>8560</v>
      </c>
      <c r="CR706">
        <v>9999</v>
      </c>
    </row>
    <row r="707" spans="1:96">
      <c r="A707" t="s">
        <v>8562</v>
      </c>
      <c r="C707" t="s">
        <v>6968</v>
      </c>
      <c r="N707" s="6">
        <v>1</v>
      </c>
      <c r="P707" s="6" t="s">
        <v>1542</v>
      </c>
      <c r="T707" s="6">
        <v>0.99999</v>
      </c>
      <c r="AC707">
        <v>2</v>
      </c>
      <c r="AG707" t="s">
        <v>6955</v>
      </c>
      <c r="AN707">
        <v>1</v>
      </c>
      <c r="AY707" s="6"/>
      <c r="BD707">
        <v>1</v>
      </c>
      <c r="BV707"/>
      <c r="BW707"/>
      <c r="BX707"/>
      <c r="BY707"/>
      <c r="BZ707"/>
      <c r="CA707"/>
      <c r="CC707" s="6"/>
      <c r="CD707" s="6"/>
      <c r="CE707" s="6"/>
      <c r="CF707" s="6"/>
      <c r="CH707" s="6"/>
      <c r="CI707" s="6"/>
      <c r="CJ707" s="6"/>
      <c r="CK707" s="6"/>
      <c r="CL707" s="6"/>
      <c r="CM707" s="6"/>
      <c r="CN707" s="10" t="s">
        <v>1542</v>
      </c>
      <c r="CR707">
        <v>9999</v>
      </c>
    </row>
    <row r="708" spans="1:96">
      <c r="A708" t="s">
        <v>8563</v>
      </c>
      <c r="C708" t="s">
        <v>6968</v>
      </c>
      <c r="N708" s="6">
        <v>1</v>
      </c>
      <c r="P708" s="6" t="s">
        <v>8564</v>
      </c>
      <c r="T708" s="6">
        <v>0.99999</v>
      </c>
      <c r="AC708">
        <v>2</v>
      </c>
      <c r="AG708" t="s">
        <v>6955</v>
      </c>
      <c r="AN708">
        <v>1</v>
      </c>
      <c r="AY708" s="6"/>
      <c r="BD708">
        <v>1</v>
      </c>
      <c r="BV708"/>
      <c r="BW708"/>
      <c r="BX708"/>
      <c r="BY708"/>
      <c r="BZ708"/>
      <c r="CA708"/>
      <c r="CC708" s="6"/>
      <c r="CD708" s="6"/>
      <c r="CE708" s="6"/>
      <c r="CF708" s="6"/>
      <c r="CH708" s="6"/>
      <c r="CI708" s="6"/>
      <c r="CJ708" s="6"/>
      <c r="CK708" s="6"/>
      <c r="CL708" s="6"/>
      <c r="CM708" s="6"/>
      <c r="CN708" s="10" t="s">
        <v>8564</v>
      </c>
      <c r="CR708">
        <v>9999</v>
      </c>
    </row>
    <row r="709" spans="1:103">
      <c r="A709" t="s">
        <v>8565</v>
      </c>
      <c r="C709" t="s">
        <v>6968</v>
      </c>
      <c r="O709" s="6" t="s">
        <v>1542</v>
      </c>
      <c r="AC709">
        <v>1</v>
      </c>
      <c r="AN709">
        <v>1</v>
      </c>
      <c r="AO709" t="s">
        <v>7052</v>
      </c>
      <c r="AP709" t="s">
        <v>8393</v>
      </c>
      <c r="AV709">
        <v>3</v>
      </c>
      <c r="AX709" t="s">
        <v>7077</v>
      </c>
      <c r="AZ709">
        <v>1</v>
      </c>
      <c r="BD709">
        <v>2</v>
      </c>
      <c r="CB709" t="s">
        <v>8566</v>
      </c>
      <c r="CG709" t="s">
        <v>7057</v>
      </c>
      <c r="CY709" t="s">
        <v>7138</v>
      </c>
    </row>
    <row r="710" spans="1:85">
      <c r="A710" t="s">
        <v>8567</v>
      </c>
      <c r="C710" t="s">
        <v>4994</v>
      </c>
      <c r="O710" s="6" t="s">
        <v>8564</v>
      </c>
      <c r="AC710">
        <v>1</v>
      </c>
      <c r="AN710">
        <v>1</v>
      </c>
      <c r="AO710" t="s">
        <v>7052</v>
      </c>
      <c r="AV710">
        <v>0</v>
      </c>
      <c r="AX710" t="s">
        <v>7077</v>
      </c>
      <c r="AZ710">
        <v>1</v>
      </c>
      <c r="BD710">
        <v>1</v>
      </c>
      <c r="CB710" t="s">
        <v>140</v>
      </c>
      <c r="CG710" t="s">
        <v>7057</v>
      </c>
    </row>
    <row r="711" spans="1:96">
      <c r="A711" t="s">
        <v>8568</v>
      </c>
      <c r="C711" t="s">
        <v>6968</v>
      </c>
      <c r="N711" s="6">
        <v>1</v>
      </c>
      <c r="O711" s="6" t="s">
        <v>8564</v>
      </c>
      <c r="AC711">
        <v>2</v>
      </c>
      <c r="AG711" t="s">
        <v>6955</v>
      </c>
      <c r="AN711">
        <v>1</v>
      </c>
      <c r="AY711" s="6"/>
      <c r="BD711">
        <v>1</v>
      </c>
      <c r="BS711">
        <v>1</v>
      </c>
      <c r="BV711"/>
      <c r="BW711"/>
      <c r="BX711"/>
      <c r="BY711"/>
      <c r="BZ711"/>
      <c r="CA711"/>
      <c r="CC711" s="6"/>
      <c r="CD711" s="6"/>
      <c r="CE711" s="6"/>
      <c r="CF711" s="6"/>
      <c r="CH711" s="6"/>
      <c r="CI711" s="6"/>
      <c r="CJ711" s="6"/>
      <c r="CK711" s="6"/>
      <c r="CL711" s="6"/>
      <c r="CM711" s="6"/>
      <c r="CN711" s="10" t="s">
        <v>8569</v>
      </c>
      <c r="CO711">
        <v>99999</v>
      </c>
      <c r="CP711">
        <v>2</v>
      </c>
      <c r="CR711">
        <v>9999</v>
      </c>
    </row>
    <row r="713" spans="1:85">
      <c r="A713" t="s">
        <v>1541</v>
      </c>
      <c r="C713" t="s">
        <v>4994</v>
      </c>
      <c r="AC713">
        <v>1</v>
      </c>
      <c r="AN713">
        <v>1</v>
      </c>
      <c r="AO713" t="s">
        <v>7052</v>
      </c>
      <c r="AV713">
        <v>0</v>
      </c>
      <c r="AX713" t="s">
        <v>7064</v>
      </c>
      <c r="AZ713">
        <v>1</v>
      </c>
      <c r="BD713">
        <v>1</v>
      </c>
      <c r="BJ713">
        <v>1</v>
      </c>
      <c r="BK713">
        <v>1</v>
      </c>
      <c r="BL713">
        <v>1</v>
      </c>
      <c r="CB713" t="s">
        <v>140</v>
      </c>
      <c r="CG713" t="s">
        <v>7057</v>
      </c>
    </row>
    <row r="714" spans="1:98">
      <c r="A714" t="s">
        <v>8570</v>
      </c>
      <c r="C714" t="s">
        <v>6968</v>
      </c>
      <c r="K714" s="6" t="s">
        <v>6953</v>
      </c>
      <c r="L714" s="6" t="s">
        <v>7060</v>
      </c>
      <c r="AC714">
        <v>2</v>
      </c>
      <c r="AN714">
        <v>1</v>
      </c>
      <c r="AV714">
        <v>99</v>
      </c>
      <c r="BD714">
        <v>99</v>
      </c>
      <c r="BO714" s="8" t="s">
        <v>8571</v>
      </c>
      <c r="CN714" s="10" t="s">
        <v>8572</v>
      </c>
      <c r="CO714" t="s">
        <v>8573</v>
      </c>
      <c r="CR714">
        <v>9999</v>
      </c>
      <c r="CT714">
        <v>1</v>
      </c>
    </row>
    <row r="715" spans="1:98">
      <c r="A715" t="s">
        <v>8571</v>
      </c>
      <c r="C715" t="s">
        <v>6968</v>
      </c>
      <c r="K715" s="6" t="s">
        <v>6953</v>
      </c>
      <c r="L715" s="6" t="s">
        <v>6972</v>
      </c>
      <c r="AC715">
        <v>2</v>
      </c>
      <c r="AF715">
        <v>1</v>
      </c>
      <c r="AN715">
        <v>1</v>
      </c>
      <c r="BD715">
        <v>1</v>
      </c>
      <c r="CN715" s="10" t="s">
        <v>8572</v>
      </c>
      <c r="CO715" t="s">
        <v>8573</v>
      </c>
      <c r="CR715">
        <v>9999</v>
      </c>
      <c r="CT715">
        <v>1</v>
      </c>
    </row>
    <row r="716" spans="1:96">
      <c r="A716" t="s">
        <v>8574</v>
      </c>
      <c r="C716" t="s">
        <v>6968</v>
      </c>
      <c r="K716" s="6" t="s">
        <v>6953</v>
      </c>
      <c r="L716" s="6" t="s">
        <v>7060</v>
      </c>
      <c r="AC716">
        <v>2</v>
      </c>
      <c r="AG716" t="s">
        <v>6955</v>
      </c>
      <c r="AN716">
        <v>1</v>
      </c>
      <c r="AY716" s="6"/>
      <c r="BD716">
        <v>1</v>
      </c>
      <c r="BV716"/>
      <c r="BW716"/>
      <c r="BX716"/>
      <c r="BY716"/>
      <c r="BZ716"/>
      <c r="CA716"/>
      <c r="CB716" s="6"/>
      <c r="CC716" s="6"/>
      <c r="CD716" s="6"/>
      <c r="CE716" s="6"/>
      <c r="CF716" s="6"/>
      <c r="CH716" s="6"/>
      <c r="CI716" s="6"/>
      <c r="CJ716" s="6"/>
      <c r="CK716" s="6"/>
      <c r="CL716" s="6"/>
      <c r="CM716" s="6"/>
      <c r="CN716" s="10" t="s">
        <v>8574</v>
      </c>
      <c r="CO716">
        <v>0.3</v>
      </c>
      <c r="CR716">
        <v>9999</v>
      </c>
    </row>
    <row r="717" spans="1:87">
      <c r="A717" t="s">
        <v>8575</v>
      </c>
      <c r="C717" t="s">
        <v>6968</v>
      </c>
      <c r="AC717">
        <v>1</v>
      </c>
      <c r="AN717">
        <v>1</v>
      </c>
      <c r="AO717" t="s">
        <v>7052</v>
      </c>
      <c r="AP717" t="s">
        <v>8393</v>
      </c>
      <c r="AV717">
        <v>2.2</v>
      </c>
      <c r="AX717" t="s">
        <v>7064</v>
      </c>
      <c r="AZ717">
        <v>1</v>
      </c>
      <c r="BD717">
        <v>1</v>
      </c>
      <c r="CB717" t="s">
        <v>140</v>
      </c>
      <c r="CG717" t="s">
        <v>7057</v>
      </c>
      <c r="CH717" t="s">
        <v>7071</v>
      </c>
      <c r="CI717" t="s">
        <v>4277</v>
      </c>
    </row>
    <row r="718" spans="1:87">
      <c r="A718" t="s">
        <v>8576</v>
      </c>
      <c r="C718" t="s">
        <v>6968</v>
      </c>
      <c r="O718" t="s">
        <v>8572</v>
      </c>
      <c r="AC718">
        <v>1</v>
      </c>
      <c r="AN718">
        <v>1</v>
      </c>
      <c r="AO718" t="s">
        <v>7052</v>
      </c>
      <c r="AP718" t="s">
        <v>8393</v>
      </c>
      <c r="AV718">
        <v>2.2</v>
      </c>
      <c r="AX718" t="s">
        <v>7064</v>
      </c>
      <c r="AZ718">
        <v>1</v>
      </c>
      <c r="BD718">
        <v>2</v>
      </c>
      <c r="CB718" t="s">
        <v>140</v>
      </c>
      <c r="CG718" t="s">
        <v>7057</v>
      </c>
      <c r="CH718" t="s">
        <v>7071</v>
      </c>
      <c r="CI718" t="s">
        <v>4277</v>
      </c>
    </row>
    <row r="719" spans="1:87">
      <c r="A719" t="s">
        <v>8577</v>
      </c>
      <c r="C719" t="s">
        <v>6968</v>
      </c>
      <c r="AC719">
        <v>1</v>
      </c>
      <c r="AN719">
        <v>1</v>
      </c>
      <c r="AO719" t="s">
        <v>7052</v>
      </c>
      <c r="AP719" t="s">
        <v>8393</v>
      </c>
      <c r="AV719">
        <v>15</v>
      </c>
      <c r="AX719" t="s">
        <v>7064</v>
      </c>
      <c r="AZ719">
        <v>1</v>
      </c>
      <c r="BD719">
        <v>1</v>
      </c>
      <c r="BJ719">
        <v>1.4</v>
      </c>
      <c r="BK719">
        <v>1</v>
      </c>
      <c r="BL719">
        <v>1</v>
      </c>
      <c r="BS719">
        <v>4.5</v>
      </c>
      <c r="CB719" t="s">
        <v>140</v>
      </c>
      <c r="CG719" t="s">
        <v>7057</v>
      </c>
      <c r="CH719" t="s">
        <v>8400</v>
      </c>
      <c r="CI719" t="s">
        <v>8401</v>
      </c>
    </row>
    <row r="720" spans="1:96">
      <c r="A720" t="s">
        <v>8578</v>
      </c>
      <c r="C720" t="s">
        <v>6968</v>
      </c>
      <c r="K720" s="6" t="s">
        <v>6953</v>
      </c>
      <c r="L720" s="6" t="s">
        <v>7060</v>
      </c>
      <c r="AC720">
        <v>2</v>
      </c>
      <c r="AG720" t="s">
        <v>6955</v>
      </c>
      <c r="AN720">
        <v>1</v>
      </c>
      <c r="AY720" s="6"/>
      <c r="BD720">
        <v>1</v>
      </c>
      <c r="BV720"/>
      <c r="BW720"/>
      <c r="BX720"/>
      <c r="BY720"/>
      <c r="BZ720"/>
      <c r="CA720"/>
      <c r="CB720" s="6"/>
      <c r="CC720" s="6"/>
      <c r="CD720" s="6"/>
      <c r="CE720" s="6"/>
      <c r="CF720" s="6"/>
      <c r="CH720" s="6"/>
      <c r="CI720" s="6"/>
      <c r="CJ720" s="6"/>
      <c r="CK720" s="6"/>
      <c r="CL720" s="6"/>
      <c r="CM720" s="6"/>
      <c r="CN720" s="10" t="s">
        <v>8578</v>
      </c>
      <c r="CO720">
        <v>50</v>
      </c>
      <c r="CR720">
        <v>9999</v>
      </c>
    </row>
    <row r="721" spans="1:96">
      <c r="A721" t="s">
        <v>8579</v>
      </c>
      <c r="C721" t="s">
        <v>6968</v>
      </c>
      <c r="K721" s="6" t="s">
        <v>6953</v>
      </c>
      <c r="L721" s="6" t="s">
        <v>7060</v>
      </c>
      <c r="AC721">
        <v>2</v>
      </c>
      <c r="AG721" t="s">
        <v>6955</v>
      </c>
      <c r="AN721">
        <v>1</v>
      </c>
      <c r="AY721" s="6"/>
      <c r="BD721">
        <v>1</v>
      </c>
      <c r="BV721"/>
      <c r="BW721"/>
      <c r="BX721"/>
      <c r="BY721"/>
      <c r="BZ721"/>
      <c r="CA721"/>
      <c r="CB721" s="6"/>
      <c r="CC721" s="6"/>
      <c r="CD721" s="6"/>
      <c r="CE721" s="6"/>
      <c r="CF721" s="6"/>
      <c r="CH721" s="6"/>
      <c r="CI721" s="6"/>
      <c r="CJ721" s="6"/>
      <c r="CK721" s="6"/>
      <c r="CL721" s="6"/>
      <c r="CM721" s="6"/>
      <c r="CN721" s="10" t="s">
        <v>8579</v>
      </c>
      <c r="CO721">
        <v>0.5</v>
      </c>
      <c r="CR721">
        <v>9999</v>
      </c>
    </row>
    <row r="722" spans="1:96">
      <c r="A722" t="s">
        <v>8580</v>
      </c>
      <c r="C722" t="s">
        <v>6968</v>
      </c>
      <c r="K722" s="6" t="s">
        <v>6953</v>
      </c>
      <c r="L722" s="6" t="s">
        <v>7060</v>
      </c>
      <c r="AC722">
        <v>2</v>
      </c>
      <c r="AG722" t="s">
        <v>6955</v>
      </c>
      <c r="AN722">
        <v>1</v>
      </c>
      <c r="AY722" s="6"/>
      <c r="BD722">
        <v>1</v>
      </c>
      <c r="BV722"/>
      <c r="BW722"/>
      <c r="BX722"/>
      <c r="BY722"/>
      <c r="BZ722"/>
      <c r="CA722"/>
      <c r="CB722" s="6"/>
      <c r="CC722" s="6"/>
      <c r="CD722" s="6"/>
      <c r="CE722" s="6"/>
      <c r="CF722" s="6"/>
      <c r="CH722" s="6"/>
      <c r="CI722" s="6"/>
      <c r="CJ722" s="6"/>
      <c r="CK722" s="6"/>
      <c r="CL722" s="6"/>
      <c r="CM722" s="6"/>
      <c r="CN722" s="10" t="s">
        <v>8579</v>
      </c>
      <c r="CO722">
        <v>0.8</v>
      </c>
      <c r="CR722">
        <v>9999</v>
      </c>
    </row>
    <row r="723" spans="1:96">
      <c r="A723" t="s">
        <v>8581</v>
      </c>
      <c r="C723" t="s">
        <v>6968</v>
      </c>
      <c r="K723" s="6" t="s">
        <v>6953</v>
      </c>
      <c r="L723" s="6" t="s">
        <v>7060</v>
      </c>
      <c r="AC723">
        <v>2</v>
      </c>
      <c r="AG723" t="s">
        <v>6955</v>
      </c>
      <c r="AN723">
        <v>1</v>
      </c>
      <c r="AY723" s="6"/>
      <c r="BD723">
        <v>1</v>
      </c>
      <c r="BV723"/>
      <c r="BW723"/>
      <c r="BX723"/>
      <c r="BY723"/>
      <c r="BZ723"/>
      <c r="CA723"/>
      <c r="CB723" s="6"/>
      <c r="CC723" s="6"/>
      <c r="CD723" s="6"/>
      <c r="CE723" s="6"/>
      <c r="CF723" s="6"/>
      <c r="CH723" s="6"/>
      <c r="CI723" s="6"/>
      <c r="CJ723" s="6"/>
      <c r="CK723" s="6"/>
      <c r="CL723" s="6"/>
      <c r="CM723" s="6"/>
      <c r="CN723" s="10" t="s">
        <v>8581</v>
      </c>
      <c r="CR723">
        <v>9999</v>
      </c>
    </row>
    <row r="724" spans="1:85">
      <c r="A724" t="s">
        <v>8582</v>
      </c>
      <c r="C724" t="s">
        <v>4994</v>
      </c>
      <c r="O724" t="s">
        <v>8583</v>
      </c>
      <c r="AC724">
        <v>1</v>
      </c>
      <c r="AN724">
        <v>1</v>
      </c>
      <c r="AO724" t="s">
        <v>7052</v>
      </c>
      <c r="AV724">
        <v>0</v>
      </c>
      <c r="AX724" t="s">
        <v>7077</v>
      </c>
      <c r="AZ724">
        <v>1</v>
      </c>
      <c r="BD724">
        <v>1</v>
      </c>
      <c r="CB724" t="s">
        <v>7273</v>
      </c>
      <c r="CG724" t="s">
        <v>7057</v>
      </c>
    </row>
    <row r="725" spans="1:101">
      <c r="A725" t="s">
        <v>8584</v>
      </c>
      <c r="C725" t="s">
        <v>6968</v>
      </c>
      <c r="J725" t="s">
        <v>6985</v>
      </c>
      <c r="X725" s="6">
        <v>1</v>
      </c>
      <c r="Y725">
        <v>1</v>
      </c>
      <c r="AC725">
        <v>1</v>
      </c>
      <c r="AN725">
        <v>1</v>
      </c>
      <c r="AO725" t="s">
        <v>7052</v>
      </c>
      <c r="AV725">
        <v>1.5</v>
      </c>
      <c r="AX725" t="s">
        <v>7077</v>
      </c>
      <c r="AZ725">
        <v>1</v>
      </c>
      <c r="BD725">
        <v>99</v>
      </c>
      <c r="BS725">
        <v>5</v>
      </c>
      <c r="BT725">
        <v>0.2</v>
      </c>
      <c r="BV725" s="9">
        <v>0</v>
      </c>
      <c r="BW725" s="9">
        <v>5</v>
      </c>
      <c r="BX725" s="9">
        <v>1</v>
      </c>
      <c r="BY725" s="9" t="s">
        <v>6987</v>
      </c>
      <c r="CG725" t="s">
        <v>7057</v>
      </c>
      <c r="CR725">
        <v>10</v>
      </c>
      <c r="CW725" t="s">
        <v>7189</v>
      </c>
    </row>
    <row r="726" spans="1:96">
      <c r="A726" t="s">
        <v>8585</v>
      </c>
      <c r="C726" t="s">
        <v>6968</v>
      </c>
      <c r="N726" s="6">
        <v>1</v>
      </c>
      <c r="O726" t="s">
        <v>8583</v>
      </c>
      <c r="AC726">
        <v>2</v>
      </c>
      <c r="AG726" t="s">
        <v>6955</v>
      </c>
      <c r="AN726">
        <v>1</v>
      </c>
      <c r="BD726">
        <v>1</v>
      </c>
      <c r="CN726" s="10" t="s">
        <v>8586</v>
      </c>
      <c r="CO726">
        <v>1.6667</v>
      </c>
      <c r="CR726">
        <v>9999</v>
      </c>
    </row>
    <row r="727" spans="15:15">
      <c r="O727"/>
    </row>
    <row r="728" spans="1:85">
      <c r="A728" t="s">
        <v>8587</v>
      </c>
      <c r="C728" t="s">
        <v>4994</v>
      </c>
      <c r="AC728">
        <v>1</v>
      </c>
      <c r="AN728">
        <v>1</v>
      </c>
      <c r="AO728" t="s">
        <v>7052</v>
      </c>
      <c r="AV728">
        <v>0</v>
      </c>
      <c r="AX728" t="s">
        <v>7064</v>
      </c>
      <c r="AZ728">
        <v>1</v>
      </c>
      <c r="BD728">
        <v>1</v>
      </c>
      <c r="BE728">
        <v>3</v>
      </c>
      <c r="BF728">
        <v>0.01</v>
      </c>
      <c r="CB728" t="s">
        <v>8072</v>
      </c>
      <c r="CG728" t="s">
        <v>7057</v>
      </c>
    </row>
    <row r="729" spans="1:98">
      <c r="A729" t="s">
        <v>8588</v>
      </c>
      <c r="C729" t="s">
        <v>6968</v>
      </c>
      <c r="K729" s="6" t="s">
        <v>6953</v>
      </c>
      <c r="L729" s="6" t="s">
        <v>7060</v>
      </c>
      <c r="AC729">
        <v>2</v>
      </c>
      <c r="AN729">
        <v>1</v>
      </c>
      <c r="AV729">
        <v>99</v>
      </c>
      <c r="BD729">
        <v>99</v>
      </c>
      <c r="BO729" s="8" t="s">
        <v>8589</v>
      </c>
      <c r="CN729" s="10" t="s">
        <v>8572</v>
      </c>
      <c r="CO729" t="s">
        <v>8590</v>
      </c>
      <c r="CR729">
        <v>9999</v>
      </c>
      <c r="CT729">
        <v>1</v>
      </c>
    </row>
    <row r="730" spans="1:98">
      <c r="A730" t="s">
        <v>8589</v>
      </c>
      <c r="C730" t="s">
        <v>6968</v>
      </c>
      <c r="K730" s="6" t="s">
        <v>6953</v>
      </c>
      <c r="L730" s="6" t="s">
        <v>6972</v>
      </c>
      <c r="AC730">
        <v>2</v>
      </c>
      <c r="AF730">
        <v>1</v>
      </c>
      <c r="AN730">
        <v>1</v>
      </c>
      <c r="BD730">
        <v>1</v>
      </c>
      <c r="CN730" s="10" t="s">
        <v>8572</v>
      </c>
      <c r="CO730" t="s">
        <v>8590</v>
      </c>
      <c r="CR730">
        <v>9999</v>
      </c>
      <c r="CT730">
        <v>1</v>
      </c>
    </row>
    <row r="731" spans="1:96">
      <c r="A731" t="s">
        <v>8591</v>
      </c>
      <c r="C731" t="s">
        <v>6968</v>
      </c>
      <c r="K731" s="6" t="s">
        <v>6953</v>
      </c>
      <c r="L731" s="6" t="s">
        <v>7060</v>
      </c>
      <c r="AC731">
        <v>2</v>
      </c>
      <c r="AG731" t="s">
        <v>6955</v>
      </c>
      <c r="AN731">
        <v>1</v>
      </c>
      <c r="AY731" s="6"/>
      <c r="BD731">
        <v>1</v>
      </c>
      <c r="BV731"/>
      <c r="BW731"/>
      <c r="BX731"/>
      <c r="BY731"/>
      <c r="BZ731"/>
      <c r="CA731"/>
      <c r="CB731" s="6"/>
      <c r="CC731" s="6"/>
      <c r="CD731" s="6"/>
      <c r="CE731" s="6"/>
      <c r="CF731" s="6"/>
      <c r="CH731" s="6"/>
      <c r="CI731" s="6"/>
      <c r="CJ731" s="6"/>
      <c r="CK731" s="6"/>
      <c r="CL731" s="6"/>
      <c r="CM731" s="6"/>
      <c r="CN731" s="10" t="s">
        <v>8591</v>
      </c>
      <c r="CO731" t="s">
        <v>8592</v>
      </c>
      <c r="CR731">
        <v>9999</v>
      </c>
    </row>
    <row r="732" spans="1:99">
      <c r="A732" t="s">
        <v>8593</v>
      </c>
      <c r="C732" t="s">
        <v>7549</v>
      </c>
      <c r="K732" s="6" t="s">
        <v>6953</v>
      </c>
      <c r="L732" s="6" t="s">
        <v>7550</v>
      </c>
      <c r="N732" s="6">
        <v>1</v>
      </c>
      <c r="AC732">
        <v>2</v>
      </c>
      <c r="AG732" t="s">
        <v>6955</v>
      </c>
      <c r="AH732">
        <v>1</v>
      </c>
      <c r="AN732">
        <v>1</v>
      </c>
      <c r="AY732">
        <v>1</v>
      </c>
      <c r="BD732">
        <v>1</v>
      </c>
      <c r="BP732" s="8" t="s">
        <v>8594</v>
      </c>
      <c r="CU732" t="s">
        <v>8595</v>
      </c>
    </row>
    <row r="733" spans="1:85">
      <c r="A733" t="s">
        <v>8596</v>
      </c>
      <c r="C733" t="s">
        <v>6968</v>
      </c>
      <c r="K733" s="6" t="s">
        <v>6953</v>
      </c>
      <c r="Y733">
        <v>1</v>
      </c>
      <c r="AB733">
        <v>1</v>
      </c>
      <c r="AC733">
        <v>2</v>
      </c>
      <c r="AG733" t="s">
        <v>6955</v>
      </c>
      <c r="AN733">
        <v>1</v>
      </c>
      <c r="BD733">
        <v>1</v>
      </c>
      <c r="BS733">
        <v>62</v>
      </c>
      <c r="CB733" t="s">
        <v>8597</v>
      </c>
      <c r="CC733">
        <v>62</v>
      </c>
      <c r="CE733" t="s">
        <v>8597</v>
      </c>
      <c r="CG733" t="s">
        <v>7475</v>
      </c>
    </row>
    <row r="734" spans="1:96">
      <c r="A734" t="s">
        <v>8598</v>
      </c>
      <c r="C734" t="s">
        <v>6968</v>
      </c>
      <c r="K734" s="6" t="s">
        <v>6953</v>
      </c>
      <c r="AC734">
        <v>2</v>
      </c>
      <c r="AG734" t="s">
        <v>6955</v>
      </c>
      <c r="AN734">
        <v>1</v>
      </c>
      <c r="AO734" t="s">
        <v>7052</v>
      </c>
      <c r="BD734">
        <v>1</v>
      </c>
      <c r="CN734" s="10" t="s">
        <v>8423</v>
      </c>
      <c r="CR734">
        <v>75</v>
      </c>
    </row>
    <row r="735" spans="1:96">
      <c r="A735" t="s">
        <v>8599</v>
      </c>
      <c r="C735" t="s">
        <v>6968</v>
      </c>
      <c r="K735" s="6" t="s">
        <v>6953</v>
      </c>
      <c r="AC735">
        <v>2</v>
      </c>
      <c r="AG735" t="s">
        <v>6955</v>
      </c>
      <c r="AN735">
        <v>1</v>
      </c>
      <c r="AY735" s="6"/>
      <c r="BD735">
        <v>1</v>
      </c>
      <c r="BV735"/>
      <c r="BW735"/>
      <c r="BX735"/>
      <c r="BY735"/>
      <c r="BZ735"/>
      <c r="CA735"/>
      <c r="CB735" s="6"/>
      <c r="CC735" s="6"/>
      <c r="CD735" s="6"/>
      <c r="CE735" s="6"/>
      <c r="CF735" s="6"/>
      <c r="CH735" s="6"/>
      <c r="CI735" s="6"/>
      <c r="CJ735" s="6"/>
      <c r="CK735" s="6"/>
      <c r="CL735" s="6"/>
      <c r="CM735" t="s">
        <v>8591</v>
      </c>
      <c r="CN735" s="10" t="s">
        <v>8600</v>
      </c>
      <c r="CQ735" s="3" t="s">
        <v>8601</v>
      </c>
      <c r="CR735">
        <v>9999</v>
      </c>
    </row>
    <row r="736" spans="1:99">
      <c r="A736" t="s">
        <v>8602</v>
      </c>
      <c r="C736" t="s">
        <v>8425</v>
      </c>
      <c r="K736" s="6" t="s">
        <v>6953</v>
      </c>
      <c r="AC736">
        <v>2</v>
      </c>
      <c r="AG736" t="s">
        <v>6955</v>
      </c>
      <c r="AN736">
        <v>1</v>
      </c>
      <c r="AY736" s="6"/>
      <c r="BD736">
        <v>1</v>
      </c>
      <c r="BV736"/>
      <c r="BW736"/>
      <c r="BX736"/>
      <c r="BY736"/>
      <c r="BZ736"/>
      <c r="CA736"/>
      <c r="CB736" s="6"/>
      <c r="CC736" s="6"/>
      <c r="CD736" s="6"/>
      <c r="CE736" s="6"/>
      <c r="CF736" s="6"/>
      <c r="CH736" s="6"/>
      <c r="CI736" s="6"/>
      <c r="CJ736" s="6"/>
      <c r="CK736" s="6"/>
      <c r="CL736" s="6"/>
      <c r="CM736" s="6"/>
      <c r="CU736" t="s">
        <v>8603</v>
      </c>
    </row>
    <row r="737" spans="1:99">
      <c r="A737" t="s">
        <v>8604</v>
      </c>
      <c r="C737" t="s">
        <v>6785</v>
      </c>
      <c r="K737" s="6" t="s">
        <v>6953</v>
      </c>
      <c r="P737"/>
      <c r="AC737">
        <v>2</v>
      </c>
      <c r="AG737" t="s">
        <v>6955</v>
      </c>
      <c r="AY737" s="6"/>
      <c r="BD737">
        <v>1</v>
      </c>
      <c r="BV737"/>
      <c r="BW737"/>
      <c r="BX737"/>
      <c r="BY737"/>
      <c r="BZ737"/>
      <c r="CA737"/>
      <c r="CB737" s="6"/>
      <c r="CC737" s="6"/>
      <c r="CD737" s="6"/>
      <c r="CE737" s="6"/>
      <c r="CF737" s="6"/>
      <c r="CH737" s="6"/>
      <c r="CI737" s="6"/>
      <c r="CJ737" s="6"/>
      <c r="CK737" s="6"/>
      <c r="CL737" s="6"/>
      <c r="CU737" t="s">
        <v>8605</v>
      </c>
    </row>
    <row r="738" spans="1:95">
      <c r="A738" t="s">
        <v>8606</v>
      </c>
      <c r="C738" t="s">
        <v>6968</v>
      </c>
      <c r="O738" t="s">
        <v>8607</v>
      </c>
      <c r="X738" s="6">
        <v>1</v>
      </c>
      <c r="AC738">
        <v>1</v>
      </c>
      <c r="AV738">
        <v>1.75</v>
      </c>
      <c r="AX738" t="s">
        <v>7631</v>
      </c>
      <c r="AY738" s="6"/>
      <c r="AZ738">
        <v>0.05</v>
      </c>
      <c r="BD738">
        <v>99</v>
      </c>
      <c r="BS738">
        <v>0.8</v>
      </c>
      <c r="BV738"/>
      <c r="BW738"/>
      <c r="BX738"/>
      <c r="BY738"/>
      <c r="BZ738"/>
      <c r="CA738"/>
      <c r="CB738" s="6"/>
      <c r="CC738" s="6"/>
      <c r="CD738" s="6"/>
      <c r="CE738" s="6"/>
      <c r="CF738" s="6"/>
      <c r="CH738" s="6"/>
      <c r="CI738" s="6"/>
      <c r="CJ738" s="6"/>
      <c r="CK738" s="6"/>
      <c r="CL738" s="6"/>
      <c r="CQ738" s="3"/>
    </row>
    <row r="739" spans="1:102">
      <c r="A739" t="s">
        <v>8608</v>
      </c>
      <c r="C739" t="s">
        <v>6968</v>
      </c>
      <c r="O739" t="s">
        <v>8607</v>
      </c>
      <c r="AC739">
        <v>1</v>
      </c>
      <c r="AN739">
        <v>1</v>
      </c>
      <c r="AO739" t="s">
        <v>7052</v>
      </c>
      <c r="AV739">
        <v>0.85</v>
      </c>
      <c r="AX739" t="s">
        <v>7064</v>
      </c>
      <c r="AZ739">
        <v>1</v>
      </c>
      <c r="BD739">
        <v>99</v>
      </c>
      <c r="CB739" t="s">
        <v>7273</v>
      </c>
      <c r="CG739" t="s">
        <v>7057</v>
      </c>
      <c r="CR739">
        <v>10</v>
      </c>
      <c r="CX739" t="s">
        <v>7189</v>
      </c>
    </row>
    <row r="740" spans="1:112">
      <c r="A740" t="s">
        <v>8609</v>
      </c>
      <c r="C740" t="s">
        <v>6968</v>
      </c>
      <c r="J740" t="s">
        <v>6985</v>
      </c>
      <c r="O740" t="s">
        <v>8607</v>
      </c>
      <c r="AC740">
        <v>1</v>
      </c>
      <c r="AL740">
        <v>2</v>
      </c>
      <c r="AO740" t="s">
        <v>7349</v>
      </c>
      <c r="AV740">
        <v>20</v>
      </c>
      <c r="AX740" t="s">
        <v>7064</v>
      </c>
      <c r="AZ740">
        <v>1.35</v>
      </c>
      <c r="BD740">
        <v>1</v>
      </c>
      <c r="BT740">
        <v>0.2</v>
      </c>
      <c r="BV740" s="9">
        <v>-57</v>
      </c>
      <c r="BW740" s="9">
        <v>20</v>
      </c>
      <c r="BX740" s="9">
        <v>1</v>
      </c>
      <c r="BY740" s="9" t="s">
        <v>6987</v>
      </c>
      <c r="CB740" t="s">
        <v>638</v>
      </c>
      <c r="CG740" t="s">
        <v>7057</v>
      </c>
      <c r="CH740" t="s">
        <v>7652</v>
      </c>
      <c r="CI740" t="s">
        <v>4277</v>
      </c>
      <c r="DH740">
        <v>1</v>
      </c>
    </row>
    <row r="741" spans="1:112">
      <c r="A741" t="s">
        <v>8610</v>
      </c>
      <c r="C741" t="s">
        <v>6968</v>
      </c>
      <c r="N741" s="6">
        <v>1</v>
      </c>
      <c r="O741" t="s">
        <v>8607</v>
      </c>
      <c r="AC741">
        <v>2</v>
      </c>
      <c r="AG741" t="s">
        <v>6955</v>
      </c>
      <c r="AY741" s="6"/>
      <c r="BD741">
        <v>1</v>
      </c>
      <c r="BV741"/>
      <c r="BW741"/>
      <c r="BX741"/>
      <c r="BY741"/>
      <c r="BZ741"/>
      <c r="CA741"/>
      <c r="CB741" s="6" t="s">
        <v>8611</v>
      </c>
      <c r="CC741" s="6"/>
      <c r="CD741" s="6"/>
      <c r="CE741" s="6"/>
      <c r="CF741" s="6"/>
      <c r="CG741" t="s">
        <v>7057</v>
      </c>
      <c r="CI741" s="6"/>
      <c r="CJ741" s="6"/>
      <c r="CK741" s="6"/>
      <c r="CL741" s="6"/>
      <c r="CM741" s="6"/>
      <c r="DH741">
        <v>1</v>
      </c>
    </row>
    <row r="742" spans="15:91">
      <c r="O742"/>
      <c r="AY742" s="6"/>
      <c r="BV742"/>
      <c r="BW742"/>
      <c r="BX742"/>
      <c r="BY742"/>
      <c r="BZ742"/>
      <c r="CA742"/>
      <c r="CB742" s="6"/>
      <c r="CC742" s="6"/>
      <c r="CD742" s="6"/>
      <c r="CE742" s="6"/>
      <c r="CF742" s="6"/>
      <c r="CI742" s="6"/>
      <c r="CJ742" s="6"/>
      <c r="CK742" s="6"/>
      <c r="CL742" s="6"/>
      <c r="CM742" s="6"/>
    </row>
    <row r="743" spans="1:90">
      <c r="A743" t="s">
        <v>2284</v>
      </c>
      <c r="C743" t="s">
        <v>4994</v>
      </c>
      <c r="AC743">
        <v>1</v>
      </c>
      <c r="AN743">
        <v>1</v>
      </c>
      <c r="AO743" t="s">
        <v>7052</v>
      </c>
      <c r="AV743">
        <v>0</v>
      </c>
      <c r="AX743" t="s">
        <v>7064</v>
      </c>
      <c r="AZ743">
        <v>1</v>
      </c>
      <c r="BD743">
        <v>1</v>
      </c>
      <c r="CB743" t="s">
        <v>140</v>
      </c>
      <c r="CG743" t="s">
        <v>7057</v>
      </c>
      <c r="CL743" t="s">
        <v>8612</v>
      </c>
    </row>
    <row r="744" spans="1:87">
      <c r="A744" t="s">
        <v>2293</v>
      </c>
      <c r="C744" t="s">
        <v>6968</v>
      </c>
      <c r="AC744">
        <v>1</v>
      </c>
      <c r="AN744">
        <v>1</v>
      </c>
      <c r="AO744" t="s">
        <v>7052</v>
      </c>
      <c r="AV744">
        <v>2.5</v>
      </c>
      <c r="AX744" t="s">
        <v>7064</v>
      </c>
      <c r="AZ744">
        <v>1</v>
      </c>
      <c r="BD744">
        <v>1</v>
      </c>
      <c r="CB744" t="s">
        <v>140</v>
      </c>
      <c r="CG744" t="s">
        <v>7057</v>
      </c>
      <c r="CH744" t="s">
        <v>7071</v>
      </c>
      <c r="CI744" t="s">
        <v>4277</v>
      </c>
    </row>
    <row r="745" spans="1:90">
      <c r="A745" t="s">
        <v>2303</v>
      </c>
      <c r="C745" t="s">
        <v>6968</v>
      </c>
      <c r="AC745">
        <v>1</v>
      </c>
      <c r="AN745">
        <v>1</v>
      </c>
      <c r="AO745" t="s">
        <v>7052</v>
      </c>
      <c r="AV745">
        <v>2.5</v>
      </c>
      <c r="AX745" t="s">
        <v>7064</v>
      </c>
      <c r="AZ745">
        <v>1</v>
      </c>
      <c r="BD745">
        <v>1</v>
      </c>
      <c r="CB745" t="s">
        <v>140</v>
      </c>
      <c r="CG745" t="s">
        <v>7057</v>
      </c>
      <c r="CH745" t="s">
        <v>7071</v>
      </c>
      <c r="CI745" t="s">
        <v>4277</v>
      </c>
      <c r="CL745" t="s">
        <v>8613</v>
      </c>
    </row>
    <row r="746" spans="1:90">
      <c r="A746" t="s">
        <v>8614</v>
      </c>
      <c r="C746" t="s">
        <v>4994</v>
      </c>
      <c r="O746" s="6" t="s">
        <v>1542</v>
      </c>
      <c r="AC746">
        <v>1</v>
      </c>
      <c r="AN746">
        <v>1</v>
      </c>
      <c r="AO746" t="s">
        <v>7052</v>
      </c>
      <c r="AV746">
        <v>0</v>
      </c>
      <c r="AX746" t="s">
        <v>7064</v>
      </c>
      <c r="AZ746">
        <v>1</v>
      </c>
      <c r="BD746">
        <v>1</v>
      </c>
      <c r="CB746" t="s">
        <v>8566</v>
      </c>
      <c r="CG746" t="s">
        <v>7057</v>
      </c>
      <c r="CL746" t="s">
        <v>8615</v>
      </c>
    </row>
    <row r="747" spans="1:96">
      <c r="A747" t="s">
        <v>8616</v>
      </c>
      <c r="C747" t="s">
        <v>6968</v>
      </c>
      <c r="N747" s="6">
        <v>1</v>
      </c>
      <c r="O747" s="6" t="s">
        <v>1542</v>
      </c>
      <c r="AC747">
        <v>2</v>
      </c>
      <c r="AG747" t="s">
        <v>6955</v>
      </c>
      <c r="BD747">
        <v>1</v>
      </c>
      <c r="CN747" s="10" t="s">
        <v>8617</v>
      </c>
      <c r="CO747">
        <v>5</v>
      </c>
      <c r="CP747">
        <v>0.04</v>
      </c>
      <c r="CR747">
        <v>9999</v>
      </c>
    </row>
    <row r="748" spans="1:90">
      <c r="A748" t="s">
        <v>8618</v>
      </c>
      <c r="C748" t="s">
        <v>6968</v>
      </c>
      <c r="I748">
        <v>1</v>
      </c>
      <c r="O748" t="s">
        <v>1542</v>
      </c>
      <c r="AC748">
        <v>1</v>
      </c>
      <c r="AV748">
        <v>2.5</v>
      </c>
      <c r="BD748">
        <v>99</v>
      </c>
      <c r="BS748">
        <v>1</v>
      </c>
      <c r="CL748" t="s">
        <v>8613</v>
      </c>
    </row>
    <row r="749" spans="1:68">
      <c r="A749" t="s">
        <v>8619</v>
      </c>
      <c r="C749" t="s">
        <v>6968</v>
      </c>
      <c r="I749">
        <v>1</v>
      </c>
      <c r="N749" s="6">
        <v>1</v>
      </c>
      <c r="O749"/>
      <c r="T749" s="6">
        <v>0.85</v>
      </c>
      <c r="AC749">
        <v>2</v>
      </c>
      <c r="AG749" t="s">
        <v>6955</v>
      </c>
      <c r="BD749">
        <v>1</v>
      </c>
      <c r="BP749" s="8" t="s">
        <v>8620</v>
      </c>
    </row>
    <row r="750" spans="1:68">
      <c r="A750" t="s">
        <v>8621</v>
      </c>
      <c r="C750" t="s">
        <v>6968</v>
      </c>
      <c r="I750">
        <v>1</v>
      </c>
      <c r="N750" s="6">
        <v>1</v>
      </c>
      <c r="O750"/>
      <c r="T750" s="6">
        <v>0.7</v>
      </c>
      <c r="AC750">
        <v>2</v>
      </c>
      <c r="AG750" t="s">
        <v>6955</v>
      </c>
      <c r="BD750">
        <v>1</v>
      </c>
      <c r="BP750" s="8" t="s">
        <v>8620</v>
      </c>
    </row>
    <row r="751" spans="1:68">
      <c r="A751" t="s">
        <v>8622</v>
      </c>
      <c r="C751" t="s">
        <v>6968</v>
      </c>
      <c r="I751">
        <v>1</v>
      </c>
      <c r="N751" s="6">
        <v>1</v>
      </c>
      <c r="O751"/>
      <c r="T751" s="6">
        <v>0.55</v>
      </c>
      <c r="AC751">
        <v>2</v>
      </c>
      <c r="AG751" t="s">
        <v>6955</v>
      </c>
      <c r="BD751">
        <v>1</v>
      </c>
      <c r="BP751" s="8" t="s">
        <v>8620</v>
      </c>
    </row>
    <row r="752" spans="1:68">
      <c r="A752" t="s">
        <v>8623</v>
      </c>
      <c r="C752" t="s">
        <v>6968</v>
      </c>
      <c r="I752">
        <v>1</v>
      </c>
      <c r="N752" s="6">
        <v>1</v>
      </c>
      <c r="O752"/>
      <c r="T752" s="6">
        <v>0.4</v>
      </c>
      <c r="AC752">
        <v>2</v>
      </c>
      <c r="AG752" t="s">
        <v>6955</v>
      </c>
      <c r="BD752">
        <v>1</v>
      </c>
      <c r="BP752" s="8" t="s">
        <v>8620</v>
      </c>
    </row>
    <row r="753" spans="1:68">
      <c r="A753" t="s">
        <v>8624</v>
      </c>
      <c r="C753" t="s">
        <v>6968</v>
      </c>
      <c r="I753">
        <v>1</v>
      </c>
      <c r="N753" s="6">
        <v>1</v>
      </c>
      <c r="O753"/>
      <c r="T753" s="6">
        <v>0.25</v>
      </c>
      <c r="AC753">
        <v>2</v>
      </c>
      <c r="AG753" t="s">
        <v>6955</v>
      </c>
      <c r="BD753">
        <v>1</v>
      </c>
      <c r="BP753" s="8" t="s">
        <v>8620</v>
      </c>
    </row>
    <row r="754" spans="1:68">
      <c r="A754" t="s">
        <v>8625</v>
      </c>
      <c r="C754" t="s">
        <v>6968</v>
      </c>
      <c r="I754">
        <v>1</v>
      </c>
      <c r="N754" s="6">
        <v>1</v>
      </c>
      <c r="O754"/>
      <c r="T754" s="6">
        <v>0.1</v>
      </c>
      <c r="AC754">
        <v>2</v>
      </c>
      <c r="AG754" t="s">
        <v>6955</v>
      </c>
      <c r="BD754">
        <v>1</v>
      </c>
      <c r="BP754" s="8" t="s">
        <v>8620</v>
      </c>
    </row>
    <row r="755" spans="1:90">
      <c r="A755" t="s">
        <v>8620</v>
      </c>
      <c r="C755" t="s">
        <v>6968</v>
      </c>
      <c r="K755" s="6" t="s">
        <v>6953</v>
      </c>
      <c r="O755"/>
      <c r="X755" s="6">
        <v>1</v>
      </c>
      <c r="AC755">
        <v>1</v>
      </c>
      <c r="AV755">
        <v>1.75</v>
      </c>
      <c r="BD755">
        <v>1</v>
      </c>
      <c r="CL755" t="s">
        <v>8626</v>
      </c>
    </row>
    <row r="756" spans="1:85">
      <c r="A756" t="s">
        <v>2331</v>
      </c>
      <c r="C756" t="s">
        <v>6968</v>
      </c>
      <c r="AC756">
        <v>1</v>
      </c>
      <c r="AN756">
        <v>1</v>
      </c>
      <c r="AO756" t="s">
        <v>7055</v>
      </c>
      <c r="AV756">
        <v>1.7</v>
      </c>
      <c r="AX756" t="s">
        <v>7064</v>
      </c>
      <c r="AZ756">
        <v>1</v>
      </c>
      <c r="BD756">
        <v>1</v>
      </c>
      <c r="CB756" t="s">
        <v>140</v>
      </c>
      <c r="CG756" t="s">
        <v>7057</v>
      </c>
    </row>
    <row r="757" spans="1:90">
      <c r="A757" t="s">
        <v>8627</v>
      </c>
      <c r="C757" t="s">
        <v>6968</v>
      </c>
      <c r="AC757">
        <v>1</v>
      </c>
      <c r="AN757">
        <v>1</v>
      </c>
      <c r="AO757" t="s">
        <v>7052</v>
      </c>
      <c r="AP757" t="s">
        <v>8393</v>
      </c>
      <c r="AV757">
        <v>2.5</v>
      </c>
      <c r="AX757" t="s">
        <v>7064</v>
      </c>
      <c r="AZ757">
        <v>1</v>
      </c>
      <c r="BD757">
        <v>1</v>
      </c>
      <c r="CB757" t="s">
        <v>8072</v>
      </c>
      <c r="CG757" t="s">
        <v>7057</v>
      </c>
      <c r="CH757" t="s">
        <v>7078</v>
      </c>
      <c r="CI757" t="s">
        <v>4277</v>
      </c>
      <c r="CL757" t="s">
        <v>8628</v>
      </c>
    </row>
    <row r="758" spans="1:90">
      <c r="A758" t="s">
        <v>8629</v>
      </c>
      <c r="C758" t="s">
        <v>6968</v>
      </c>
      <c r="J758" s="6" t="s">
        <v>7091</v>
      </c>
      <c r="K758"/>
      <c r="W758" s="6">
        <v>1</v>
      </c>
      <c r="AC758">
        <v>1</v>
      </c>
      <c r="AN758">
        <v>1</v>
      </c>
      <c r="AV758">
        <v>2.5</v>
      </c>
      <c r="AX758" t="s">
        <v>7064</v>
      </c>
      <c r="AZ758">
        <v>0.6</v>
      </c>
      <c r="BD758">
        <v>1</v>
      </c>
      <c r="BS758">
        <v>0.5</v>
      </c>
      <c r="BT758">
        <v>5</v>
      </c>
      <c r="BV758" s="9">
        <v>10</v>
      </c>
      <c r="BW758" s="9">
        <v>20</v>
      </c>
      <c r="BX758" s="9">
        <v>1</v>
      </c>
      <c r="BY758" s="9" t="s">
        <v>6987</v>
      </c>
      <c r="CB758" t="s">
        <v>218</v>
      </c>
      <c r="CE758" t="s">
        <v>813</v>
      </c>
      <c r="CG758" t="s">
        <v>7057</v>
      </c>
      <c r="CH758" t="s">
        <v>7078</v>
      </c>
      <c r="CI758" t="s">
        <v>4277</v>
      </c>
      <c r="CL758" t="s">
        <v>8630</v>
      </c>
    </row>
    <row r="759" spans="10:11">
      <c r="J759" s="6"/>
      <c r="K759"/>
    </row>
    <row r="760" spans="1:113">
      <c r="A760" t="s">
        <v>8631</v>
      </c>
      <c r="C760" t="s">
        <v>6968</v>
      </c>
      <c r="AC760">
        <v>1</v>
      </c>
      <c r="AN760">
        <v>1</v>
      </c>
      <c r="AO760" t="s">
        <v>7136</v>
      </c>
      <c r="AV760">
        <v>99</v>
      </c>
      <c r="AX760" t="s">
        <v>7064</v>
      </c>
      <c r="AZ760">
        <v>1</v>
      </c>
      <c r="BD760">
        <v>2</v>
      </c>
      <c r="CB760" t="s">
        <v>140</v>
      </c>
      <c r="CG760" t="s">
        <v>7057</v>
      </c>
      <c r="DI760">
        <v>1</v>
      </c>
    </row>
    <row r="761" spans="1:113">
      <c r="A761" t="s">
        <v>8632</v>
      </c>
      <c r="C761" t="s">
        <v>6968</v>
      </c>
      <c r="J761" s="6" t="s">
        <v>6985</v>
      </c>
      <c r="K761"/>
      <c r="AC761">
        <v>1</v>
      </c>
      <c r="AV761">
        <v>99</v>
      </c>
      <c r="AX761" t="s">
        <v>7077</v>
      </c>
      <c r="AZ761">
        <v>0.5</v>
      </c>
      <c r="BD761">
        <v>99</v>
      </c>
      <c r="BV761" s="9">
        <v>-5</v>
      </c>
      <c r="BW761" s="9">
        <v>40</v>
      </c>
      <c r="BX761" s="9">
        <v>1</v>
      </c>
      <c r="BY761" s="9" t="s">
        <v>6987</v>
      </c>
      <c r="CB761" t="s">
        <v>8633</v>
      </c>
      <c r="CG761" t="s">
        <v>7057</v>
      </c>
      <c r="CL761" t="s">
        <v>8634</v>
      </c>
      <c r="CX761" t="s">
        <v>8635</v>
      </c>
      <c r="DI761">
        <v>1</v>
      </c>
    </row>
    <row r="762" spans="1:113">
      <c r="A762" t="s">
        <v>8636</v>
      </c>
      <c r="C762" t="s">
        <v>6968</v>
      </c>
      <c r="J762" s="6" t="s">
        <v>6985</v>
      </c>
      <c r="K762"/>
      <c r="AC762">
        <v>1</v>
      </c>
      <c r="AV762">
        <v>99</v>
      </c>
      <c r="AX762" t="s">
        <v>7077</v>
      </c>
      <c r="AZ762">
        <v>0.5</v>
      </c>
      <c r="BD762">
        <v>99</v>
      </c>
      <c r="BV762" s="9">
        <v>20</v>
      </c>
      <c r="BW762" s="9">
        <v>35</v>
      </c>
      <c r="BX762" s="9">
        <v>1</v>
      </c>
      <c r="BY762" s="9" t="s">
        <v>6987</v>
      </c>
      <c r="CB762" t="s">
        <v>8633</v>
      </c>
      <c r="CG762" t="s">
        <v>7057</v>
      </c>
      <c r="CL762" t="s">
        <v>8637</v>
      </c>
      <c r="CX762" t="s">
        <v>8635</v>
      </c>
      <c r="DI762">
        <v>1</v>
      </c>
    </row>
    <row r="763" spans="1:113">
      <c r="A763" t="s">
        <v>8638</v>
      </c>
      <c r="C763" t="s">
        <v>6968</v>
      </c>
      <c r="J763" s="6" t="s">
        <v>6985</v>
      </c>
      <c r="K763"/>
      <c r="AC763">
        <v>1</v>
      </c>
      <c r="AV763">
        <v>99</v>
      </c>
      <c r="AX763" t="s">
        <v>7077</v>
      </c>
      <c r="AZ763">
        <v>0.2</v>
      </c>
      <c r="BD763">
        <v>99</v>
      </c>
      <c r="BV763" s="9">
        <v>2.5</v>
      </c>
      <c r="BW763" s="9">
        <v>3.5</v>
      </c>
      <c r="BX763" s="9">
        <v>1</v>
      </c>
      <c r="BY763" s="9" t="s">
        <v>6987</v>
      </c>
      <c r="CB763" t="s">
        <v>8633</v>
      </c>
      <c r="CG763" t="s">
        <v>7057</v>
      </c>
      <c r="CL763" t="s">
        <v>8613</v>
      </c>
      <c r="CX763" t="s">
        <v>8635</v>
      </c>
      <c r="DI763">
        <v>1</v>
      </c>
    </row>
    <row r="764" spans="1:113">
      <c r="A764" t="s">
        <v>8639</v>
      </c>
      <c r="C764" t="s">
        <v>6968</v>
      </c>
      <c r="J764" s="6" t="s">
        <v>6985</v>
      </c>
      <c r="K764"/>
      <c r="AC764">
        <v>1</v>
      </c>
      <c r="AO764" t="s">
        <v>7136</v>
      </c>
      <c r="AV764">
        <v>99</v>
      </c>
      <c r="AX764" t="s">
        <v>7064</v>
      </c>
      <c r="AZ764">
        <v>1.4</v>
      </c>
      <c r="BD764">
        <v>2</v>
      </c>
      <c r="BV764" s="9">
        <v>3</v>
      </c>
      <c r="BW764" s="9">
        <v>40</v>
      </c>
      <c r="BX764" s="9">
        <v>1</v>
      </c>
      <c r="BY764" s="9" t="s">
        <v>6987</v>
      </c>
      <c r="CB764" t="s">
        <v>8640</v>
      </c>
      <c r="CG764" t="s">
        <v>7057</v>
      </c>
      <c r="CH764" t="s">
        <v>7652</v>
      </c>
      <c r="DI764">
        <v>1</v>
      </c>
    </row>
    <row r="765" spans="1:113">
      <c r="A765" t="s">
        <v>8641</v>
      </c>
      <c r="C765" t="s">
        <v>6968</v>
      </c>
      <c r="J765" s="6" t="s">
        <v>6985</v>
      </c>
      <c r="K765"/>
      <c r="AC765">
        <v>1</v>
      </c>
      <c r="AO765" t="s">
        <v>7136</v>
      </c>
      <c r="AV765">
        <v>99</v>
      </c>
      <c r="AX765" t="s">
        <v>7064</v>
      </c>
      <c r="AZ765">
        <v>1.4</v>
      </c>
      <c r="BD765">
        <v>4</v>
      </c>
      <c r="BV765" s="9">
        <v>36</v>
      </c>
      <c r="BW765" s="9">
        <v>40</v>
      </c>
      <c r="BX765" s="9">
        <v>1</v>
      </c>
      <c r="BY765" s="9" t="s">
        <v>6987</v>
      </c>
      <c r="CB765" t="s">
        <v>8640</v>
      </c>
      <c r="CG765" t="s">
        <v>7057</v>
      </c>
      <c r="CH765" t="s">
        <v>7652</v>
      </c>
      <c r="DI765">
        <v>1</v>
      </c>
    </row>
    <row r="766" spans="1:113">
      <c r="A766" t="s">
        <v>8642</v>
      </c>
      <c r="C766" t="s">
        <v>6968</v>
      </c>
      <c r="J766" s="6" t="s">
        <v>6985</v>
      </c>
      <c r="K766"/>
      <c r="AC766">
        <v>1</v>
      </c>
      <c r="AO766" t="s">
        <v>7136</v>
      </c>
      <c r="AV766">
        <v>99</v>
      </c>
      <c r="AX766" t="s">
        <v>7064</v>
      </c>
      <c r="AZ766">
        <v>1.4</v>
      </c>
      <c r="BD766">
        <v>8</v>
      </c>
      <c r="BV766" s="9">
        <v>27</v>
      </c>
      <c r="BW766" s="9">
        <v>40</v>
      </c>
      <c r="BX766" s="9">
        <v>1</v>
      </c>
      <c r="BY766" s="9" t="s">
        <v>6987</v>
      </c>
      <c r="CB766" t="s">
        <v>8640</v>
      </c>
      <c r="CG766" t="s">
        <v>7057</v>
      </c>
      <c r="CH766" t="s">
        <v>7652</v>
      </c>
      <c r="DI766">
        <v>1</v>
      </c>
    </row>
    <row r="767" spans="1:99">
      <c r="A767" t="s">
        <v>8643</v>
      </c>
      <c r="C767" t="s">
        <v>8425</v>
      </c>
      <c r="J767" t="s">
        <v>6985</v>
      </c>
      <c r="AC767">
        <v>2</v>
      </c>
      <c r="AG767" t="s">
        <v>6955</v>
      </c>
      <c r="AN767">
        <v>1</v>
      </c>
      <c r="AY767" s="6"/>
      <c r="BD767">
        <v>1</v>
      </c>
      <c r="BV767">
        <v>-10</v>
      </c>
      <c r="BW767">
        <v>40</v>
      </c>
      <c r="BX767">
        <v>1</v>
      </c>
      <c r="BY767" t="s">
        <v>6987</v>
      </c>
      <c r="BZ767"/>
      <c r="CA767"/>
      <c r="CB767" s="6" t="s">
        <v>8644</v>
      </c>
      <c r="CC767" s="6"/>
      <c r="CD767" s="6"/>
      <c r="CE767" s="6"/>
      <c r="CF767" s="6"/>
      <c r="CG767" t="s">
        <v>7057</v>
      </c>
      <c r="CH767" s="6"/>
      <c r="CI767" s="6"/>
      <c r="CJ767" s="6"/>
      <c r="CK767" s="6"/>
      <c r="CL767" s="6"/>
      <c r="CM767" s="6"/>
      <c r="CU767" t="s">
        <v>8645</v>
      </c>
    </row>
    <row r="768" spans="1:99">
      <c r="A768" t="s">
        <v>8646</v>
      </c>
      <c r="C768" t="s">
        <v>8425</v>
      </c>
      <c r="J768" t="s">
        <v>6985</v>
      </c>
      <c r="AC768">
        <v>2</v>
      </c>
      <c r="AG768" t="s">
        <v>6955</v>
      </c>
      <c r="AN768">
        <v>1</v>
      </c>
      <c r="AY768" s="6"/>
      <c r="BD768">
        <v>1</v>
      </c>
      <c r="BV768">
        <v>25</v>
      </c>
      <c r="BW768">
        <v>35</v>
      </c>
      <c r="BX768">
        <v>1</v>
      </c>
      <c r="BY768" t="s">
        <v>6987</v>
      </c>
      <c r="BZ768"/>
      <c r="CA768"/>
      <c r="CB768" s="6" t="s">
        <v>8644</v>
      </c>
      <c r="CC768" s="6"/>
      <c r="CD768" s="6"/>
      <c r="CE768" s="6"/>
      <c r="CF768" s="6"/>
      <c r="CG768" t="s">
        <v>7057</v>
      </c>
      <c r="CH768" s="6"/>
      <c r="CI768" s="6"/>
      <c r="CJ768" s="6"/>
      <c r="CK768" s="6"/>
      <c r="CL768" s="6"/>
      <c r="CM768" s="6"/>
      <c r="CU768" t="s">
        <v>8645</v>
      </c>
    </row>
    <row r="769" spans="1:99">
      <c r="A769" t="s">
        <v>8647</v>
      </c>
      <c r="C769" t="s">
        <v>8425</v>
      </c>
      <c r="J769" t="s">
        <v>6985</v>
      </c>
      <c r="AC769">
        <v>2</v>
      </c>
      <c r="AG769" t="s">
        <v>6955</v>
      </c>
      <c r="AN769">
        <v>1</v>
      </c>
      <c r="AY769" s="6"/>
      <c r="BD769">
        <v>1</v>
      </c>
      <c r="BV769">
        <v>3</v>
      </c>
      <c r="BW769">
        <v>18</v>
      </c>
      <c r="BX769">
        <v>1</v>
      </c>
      <c r="BY769" t="s">
        <v>6987</v>
      </c>
      <c r="BZ769"/>
      <c r="CA769"/>
      <c r="CB769" s="6" t="s">
        <v>8644</v>
      </c>
      <c r="CC769" s="6"/>
      <c r="CD769" s="6"/>
      <c r="CE769" s="6"/>
      <c r="CF769" s="6"/>
      <c r="CG769" t="s">
        <v>7057</v>
      </c>
      <c r="CH769" s="6"/>
      <c r="CI769" s="6"/>
      <c r="CJ769" s="6"/>
      <c r="CK769" s="6"/>
      <c r="CL769" s="6"/>
      <c r="CM769" s="6"/>
      <c r="CU769" t="s">
        <v>8645</v>
      </c>
    </row>
    <row r="770" spans="1:99">
      <c r="A770" t="s">
        <v>8648</v>
      </c>
      <c r="C770" t="s">
        <v>8649</v>
      </c>
      <c r="J770" t="s">
        <v>6985</v>
      </c>
      <c r="AC770">
        <v>2</v>
      </c>
      <c r="AG770" t="s">
        <v>6955</v>
      </c>
      <c r="AY770" s="6"/>
      <c r="BD770">
        <v>1</v>
      </c>
      <c r="BV770">
        <v>-100</v>
      </c>
      <c r="BW770">
        <v>100</v>
      </c>
      <c r="BX770">
        <v>1</v>
      </c>
      <c r="BY770" t="s">
        <v>6987</v>
      </c>
      <c r="BZ770"/>
      <c r="CA770"/>
      <c r="CB770" s="6" t="s">
        <v>8650</v>
      </c>
      <c r="CC770" s="6"/>
      <c r="CD770" s="6"/>
      <c r="CE770" s="6"/>
      <c r="CF770" s="6"/>
      <c r="CG770" t="s">
        <v>7057</v>
      </c>
      <c r="CH770" s="6"/>
      <c r="CI770" s="6"/>
      <c r="CJ770" s="6"/>
      <c r="CK770" s="6"/>
      <c r="CL770" s="6"/>
      <c r="CM770" s="6"/>
      <c r="CU770" t="s">
        <v>8651</v>
      </c>
    </row>
    <row r="771" spans="1:99">
      <c r="A771" t="s">
        <v>8652</v>
      </c>
      <c r="C771" t="s">
        <v>6785</v>
      </c>
      <c r="J771" t="s">
        <v>6985</v>
      </c>
      <c r="P771" t="s">
        <v>8653</v>
      </c>
      <c r="AC771">
        <v>2</v>
      </c>
      <c r="AG771" t="s">
        <v>6955</v>
      </c>
      <c r="AY771" s="6"/>
      <c r="BD771">
        <v>1</v>
      </c>
      <c r="BO771" s="8" t="s">
        <v>8654</v>
      </c>
      <c r="BV771">
        <v>0</v>
      </c>
      <c r="BW771">
        <v>200</v>
      </c>
      <c r="BX771">
        <v>1</v>
      </c>
      <c r="BY771" t="s">
        <v>6987</v>
      </c>
      <c r="BZ771"/>
      <c r="CA771"/>
      <c r="CB771" s="6"/>
      <c r="CC771" s="6"/>
      <c r="CD771" s="6"/>
      <c r="CE771" s="6"/>
      <c r="CF771" s="6"/>
      <c r="CH771" s="6"/>
      <c r="CI771" s="6"/>
      <c r="CJ771" s="6"/>
      <c r="CK771" s="6"/>
      <c r="CL771" s="6"/>
      <c r="CN771" s="10" t="s">
        <v>8653</v>
      </c>
      <c r="CO771">
        <v>0.3</v>
      </c>
      <c r="CR771">
        <v>9999</v>
      </c>
      <c r="CU771" t="s">
        <v>8655</v>
      </c>
    </row>
    <row r="772" spans="1:99">
      <c r="A772" t="s">
        <v>8654</v>
      </c>
      <c r="C772" t="s">
        <v>6785</v>
      </c>
      <c r="P772" t="s">
        <v>8653</v>
      </c>
      <c r="T772" s="6">
        <v>0.33</v>
      </c>
      <c r="U772"/>
      <c r="AC772">
        <v>2</v>
      </c>
      <c r="AG772" t="s">
        <v>6955</v>
      </c>
      <c r="AY772" s="6"/>
      <c r="BD772">
        <v>1</v>
      </c>
      <c r="BV772"/>
      <c r="BW772"/>
      <c r="BX772"/>
      <c r="BY772"/>
      <c r="BZ772"/>
      <c r="CA772"/>
      <c r="CB772" s="6"/>
      <c r="CC772" s="6"/>
      <c r="CD772" s="6"/>
      <c r="CE772" s="6"/>
      <c r="CF772" s="6"/>
      <c r="CH772" s="6"/>
      <c r="CI772" s="6"/>
      <c r="CJ772" s="6"/>
      <c r="CK772" s="6"/>
      <c r="CL772" s="6"/>
      <c r="CN772" s="10" t="s">
        <v>8653</v>
      </c>
      <c r="CO772">
        <v>0.3</v>
      </c>
      <c r="CR772">
        <v>9999</v>
      </c>
      <c r="CU772" t="s">
        <v>8655</v>
      </c>
    </row>
    <row r="773" spans="1:99">
      <c r="A773" t="s">
        <v>8656</v>
      </c>
      <c r="C773" t="s">
        <v>6785</v>
      </c>
      <c r="J773" t="s">
        <v>6985</v>
      </c>
      <c r="P773" t="s">
        <v>8657</v>
      </c>
      <c r="AC773">
        <v>2</v>
      </c>
      <c r="AG773" t="s">
        <v>6955</v>
      </c>
      <c r="AY773" s="6"/>
      <c r="BD773">
        <v>1</v>
      </c>
      <c r="BO773" s="8" t="s">
        <v>8658</v>
      </c>
      <c r="BV773">
        <v>0</v>
      </c>
      <c r="BW773">
        <v>75</v>
      </c>
      <c r="BX773">
        <v>1</v>
      </c>
      <c r="BY773" t="s">
        <v>6987</v>
      </c>
      <c r="BZ773"/>
      <c r="CA773"/>
      <c r="CB773" s="6"/>
      <c r="CC773" s="6"/>
      <c r="CD773" s="6"/>
      <c r="CE773" s="6"/>
      <c r="CF773" s="6"/>
      <c r="CH773" s="6"/>
      <c r="CI773" s="6"/>
      <c r="CJ773" s="6"/>
      <c r="CK773" s="6"/>
      <c r="CL773" s="6"/>
      <c r="CM773" s="6"/>
      <c r="CN773" s="10" t="s">
        <v>8657</v>
      </c>
      <c r="CO773">
        <v>0.4</v>
      </c>
      <c r="CR773">
        <v>9999</v>
      </c>
      <c r="CU773" t="s">
        <v>8659</v>
      </c>
    </row>
    <row r="774" spans="1:99">
      <c r="A774" t="s">
        <v>8658</v>
      </c>
      <c r="C774" t="s">
        <v>6785</v>
      </c>
      <c r="P774" t="s">
        <v>8657</v>
      </c>
      <c r="T774" s="6">
        <v>0.67</v>
      </c>
      <c r="AC774">
        <v>2</v>
      </c>
      <c r="AG774" t="s">
        <v>6955</v>
      </c>
      <c r="AY774" s="6"/>
      <c r="BD774">
        <v>1</v>
      </c>
      <c r="BV774"/>
      <c r="BW774"/>
      <c r="BX774"/>
      <c r="BY774"/>
      <c r="BZ774"/>
      <c r="CA774"/>
      <c r="CB774" s="6"/>
      <c r="CC774" s="6"/>
      <c r="CD774" s="6"/>
      <c r="CE774" s="6"/>
      <c r="CF774" s="6"/>
      <c r="CH774" s="6"/>
      <c r="CI774" s="6"/>
      <c r="CJ774" s="6"/>
      <c r="CK774" s="6"/>
      <c r="CL774" s="6"/>
      <c r="CM774" s="6"/>
      <c r="CN774" s="10" t="s">
        <v>8657</v>
      </c>
      <c r="CO774">
        <v>0.4</v>
      </c>
      <c r="CR774">
        <v>9999</v>
      </c>
      <c r="CU774" t="s">
        <v>8659</v>
      </c>
    </row>
    <row r="775" spans="16:91">
      <c r="P775"/>
      <c r="AY775" s="6"/>
      <c r="BV775"/>
      <c r="BW775"/>
      <c r="BX775"/>
      <c r="BY775"/>
      <c r="BZ775"/>
      <c r="CA775"/>
      <c r="CB775" s="6"/>
      <c r="CC775" s="6"/>
      <c r="CD775" s="6"/>
      <c r="CE775" s="6"/>
      <c r="CF775" s="6"/>
      <c r="CH775" s="6"/>
      <c r="CI775" s="6"/>
      <c r="CJ775" s="6"/>
      <c r="CK775" s="6"/>
      <c r="CL775" s="6"/>
      <c r="CM775" s="6"/>
    </row>
    <row r="776" spans="1:85">
      <c r="A776" t="s">
        <v>8660</v>
      </c>
      <c r="C776" t="s">
        <v>4994</v>
      </c>
      <c r="AC776">
        <v>1</v>
      </c>
      <c r="AN776">
        <v>1</v>
      </c>
      <c r="AO776" t="s">
        <v>7052</v>
      </c>
      <c r="AV776">
        <v>0</v>
      </c>
      <c r="AX776" t="s">
        <v>7064</v>
      </c>
      <c r="AZ776">
        <v>1</v>
      </c>
      <c r="BD776">
        <v>1</v>
      </c>
      <c r="CB776" t="s">
        <v>4335</v>
      </c>
      <c r="CG776" t="s">
        <v>7057</v>
      </c>
    </row>
    <row r="777" spans="1:91">
      <c r="A777" t="s">
        <v>8661</v>
      </c>
      <c r="C777" t="s">
        <v>6968</v>
      </c>
      <c r="Z777">
        <v>1</v>
      </c>
      <c r="AC777">
        <v>1</v>
      </c>
      <c r="AJ777" t="s">
        <v>8662</v>
      </c>
      <c r="AN777">
        <v>1</v>
      </c>
      <c r="AO777" t="s">
        <v>7052</v>
      </c>
      <c r="AP777" t="s">
        <v>8393</v>
      </c>
      <c r="AQ777" t="s">
        <v>8663</v>
      </c>
      <c r="AV777">
        <v>1.2</v>
      </c>
      <c r="AX777" t="s">
        <v>7064</v>
      </c>
      <c r="AY777" s="6"/>
      <c r="AZ777">
        <v>1</v>
      </c>
      <c r="BD777">
        <v>1</v>
      </c>
      <c r="BV777"/>
      <c r="BW777"/>
      <c r="BX777"/>
      <c r="BY777"/>
      <c r="BZ777"/>
      <c r="CA777"/>
      <c r="CB777" s="6" t="s">
        <v>140</v>
      </c>
      <c r="CC777" s="6"/>
      <c r="CD777" s="6"/>
      <c r="CE777" s="6"/>
      <c r="CF777" s="6"/>
      <c r="CG777" t="s">
        <v>7057</v>
      </c>
      <c r="CH777" t="s">
        <v>7110</v>
      </c>
      <c r="CI777" s="6" t="s">
        <v>4277</v>
      </c>
      <c r="CJ777" s="6"/>
      <c r="CK777" s="6"/>
      <c r="CL777" s="6"/>
      <c r="CM777" s="6"/>
    </row>
    <row r="778" spans="1:87">
      <c r="A778" t="s">
        <v>8664</v>
      </c>
      <c r="C778" t="s">
        <v>6968</v>
      </c>
      <c r="AC778">
        <v>1</v>
      </c>
      <c r="AN778">
        <v>1</v>
      </c>
      <c r="AO778" t="s">
        <v>7052</v>
      </c>
      <c r="AP778" t="s">
        <v>8393</v>
      </c>
      <c r="AQ778" t="s">
        <v>8663</v>
      </c>
      <c r="AV778">
        <v>2.4</v>
      </c>
      <c r="AX778" t="s">
        <v>7064</v>
      </c>
      <c r="AZ778">
        <v>1</v>
      </c>
      <c r="BD778">
        <v>1</v>
      </c>
      <c r="CB778" t="s">
        <v>140</v>
      </c>
      <c r="CG778" t="s">
        <v>7057</v>
      </c>
      <c r="CH778" t="s">
        <v>7071</v>
      </c>
      <c r="CI778" t="s">
        <v>4277</v>
      </c>
    </row>
    <row r="779" spans="1:87">
      <c r="A779" t="s">
        <v>1900</v>
      </c>
      <c r="C779" t="s">
        <v>6968</v>
      </c>
      <c r="AC779">
        <v>1</v>
      </c>
      <c r="AN779">
        <v>1</v>
      </c>
      <c r="AO779" t="s">
        <v>7052</v>
      </c>
      <c r="AP779" t="s">
        <v>8393</v>
      </c>
      <c r="AQ779" t="s">
        <v>8663</v>
      </c>
      <c r="AV779">
        <v>2.2</v>
      </c>
      <c r="AX779" t="s">
        <v>7077</v>
      </c>
      <c r="AZ779">
        <v>1</v>
      </c>
      <c r="BD779">
        <v>1</v>
      </c>
      <c r="CB779" t="s">
        <v>140</v>
      </c>
      <c r="CG779" t="s">
        <v>7057</v>
      </c>
      <c r="CH779" t="s">
        <v>7078</v>
      </c>
      <c r="CI779" t="s">
        <v>4277</v>
      </c>
    </row>
    <row r="780" spans="1:103">
      <c r="A780" t="s">
        <v>1917</v>
      </c>
      <c r="C780" t="s">
        <v>6968</v>
      </c>
      <c r="AC780">
        <v>1</v>
      </c>
      <c r="AN780">
        <v>1</v>
      </c>
      <c r="AO780" t="s">
        <v>7052</v>
      </c>
      <c r="AP780" t="s">
        <v>8393</v>
      </c>
      <c r="AV780">
        <v>2</v>
      </c>
      <c r="AX780" t="s">
        <v>7064</v>
      </c>
      <c r="AZ780">
        <v>1</v>
      </c>
      <c r="BD780">
        <v>1</v>
      </c>
      <c r="BJ780">
        <v>1.2</v>
      </c>
      <c r="BK780">
        <v>1</v>
      </c>
      <c r="BL780">
        <v>1</v>
      </c>
      <c r="CB780" t="s">
        <v>140</v>
      </c>
      <c r="CG780" t="s">
        <v>7057</v>
      </c>
      <c r="CH780" t="s">
        <v>8665</v>
      </c>
      <c r="CI780" t="s">
        <v>4277</v>
      </c>
      <c r="CY780" t="s">
        <v>8635</v>
      </c>
    </row>
    <row r="781" spans="1:87">
      <c r="A781" t="s">
        <v>8666</v>
      </c>
      <c r="C781" t="s">
        <v>6968</v>
      </c>
      <c r="AC781">
        <v>1</v>
      </c>
      <c r="AN781">
        <v>1</v>
      </c>
      <c r="AO781" t="s">
        <v>7052</v>
      </c>
      <c r="AQ781" t="s">
        <v>8663</v>
      </c>
      <c r="AV781">
        <v>1.5</v>
      </c>
      <c r="AX781" t="s">
        <v>7064</v>
      </c>
      <c r="AZ781">
        <v>0.5</v>
      </c>
      <c r="BD781">
        <v>1</v>
      </c>
      <c r="CB781" t="s">
        <v>7273</v>
      </c>
      <c r="CG781" t="s">
        <v>7057</v>
      </c>
      <c r="CH781" t="s">
        <v>7071</v>
      </c>
      <c r="CI781" t="s">
        <v>4277</v>
      </c>
    </row>
    <row r="782" spans="1:85">
      <c r="A782" t="s">
        <v>8667</v>
      </c>
      <c r="C782" t="s">
        <v>4994</v>
      </c>
      <c r="AC782">
        <v>1</v>
      </c>
      <c r="AN782">
        <v>1</v>
      </c>
      <c r="AO782" t="s">
        <v>7052</v>
      </c>
      <c r="AV782">
        <v>0</v>
      </c>
      <c r="AX782" t="s">
        <v>7064</v>
      </c>
      <c r="AZ782">
        <v>1</v>
      </c>
      <c r="BD782">
        <v>1</v>
      </c>
      <c r="CB782" t="s">
        <v>8668</v>
      </c>
      <c r="CG782" t="s">
        <v>7057</v>
      </c>
    </row>
    <row r="783" spans="1:96">
      <c r="A783" t="s">
        <v>8669</v>
      </c>
      <c r="C783" t="s">
        <v>6968</v>
      </c>
      <c r="U783" s="6">
        <v>0.5</v>
      </c>
      <c r="AC783">
        <v>2</v>
      </c>
      <c r="AG783" t="s">
        <v>6955</v>
      </c>
      <c r="AN783">
        <v>1</v>
      </c>
      <c r="BD783">
        <v>1</v>
      </c>
      <c r="CN783" s="10" t="s">
        <v>6988</v>
      </c>
      <c r="CO783">
        <v>1</v>
      </c>
      <c r="CR783">
        <v>9999</v>
      </c>
    </row>
    <row r="784" spans="1:85">
      <c r="A784" t="s">
        <v>1935</v>
      </c>
      <c r="C784" t="s">
        <v>6968</v>
      </c>
      <c r="AC784">
        <v>1</v>
      </c>
      <c r="AN784">
        <v>1</v>
      </c>
      <c r="AO784" t="s">
        <v>7052</v>
      </c>
      <c r="AP784" t="s">
        <v>8393</v>
      </c>
      <c r="AV784">
        <v>1.6</v>
      </c>
      <c r="AX784" t="s">
        <v>7064</v>
      </c>
      <c r="AZ784">
        <v>1</v>
      </c>
      <c r="BC784">
        <v>1.5</v>
      </c>
      <c r="BD784">
        <v>3</v>
      </c>
      <c r="CB784" t="s">
        <v>140</v>
      </c>
      <c r="CG784" t="s">
        <v>7057</v>
      </c>
    </row>
    <row r="786" spans="1:87">
      <c r="A786" t="s">
        <v>8670</v>
      </c>
      <c r="C786" t="s">
        <v>6968</v>
      </c>
      <c r="AC786">
        <v>1</v>
      </c>
      <c r="AN786">
        <v>1</v>
      </c>
      <c r="AO786" t="s">
        <v>7052</v>
      </c>
      <c r="AP786" t="s">
        <v>8393</v>
      </c>
      <c r="AV786">
        <v>2</v>
      </c>
      <c r="AX786" t="s">
        <v>7064</v>
      </c>
      <c r="AZ786">
        <v>1</v>
      </c>
      <c r="BD786">
        <v>1</v>
      </c>
      <c r="CB786" t="s">
        <v>140</v>
      </c>
      <c r="CG786" t="s">
        <v>7057</v>
      </c>
      <c r="CH786" t="s">
        <v>7071</v>
      </c>
      <c r="CI786" t="s">
        <v>4277</v>
      </c>
    </row>
    <row r="787" spans="1:99">
      <c r="A787" t="s">
        <v>8671</v>
      </c>
      <c r="C787" t="s">
        <v>8672</v>
      </c>
      <c r="J787" t="s">
        <v>6985</v>
      </c>
      <c r="AC787">
        <v>2</v>
      </c>
      <c r="AG787" t="s">
        <v>6955</v>
      </c>
      <c r="AH787">
        <v>1</v>
      </c>
      <c r="AY787" s="6"/>
      <c r="BD787">
        <v>1</v>
      </c>
      <c r="BV787">
        <v>0</v>
      </c>
      <c r="BW787">
        <v>5</v>
      </c>
      <c r="BX787">
        <v>1</v>
      </c>
      <c r="BY787" t="s">
        <v>6987</v>
      </c>
      <c r="BZ787"/>
      <c r="CA787"/>
      <c r="CB787" s="6" t="s">
        <v>638</v>
      </c>
      <c r="CC787" s="6"/>
      <c r="CD787" s="6"/>
      <c r="CE787" s="6"/>
      <c r="CF787" s="6"/>
      <c r="CG787" t="s">
        <v>7057</v>
      </c>
      <c r="CH787" s="6"/>
      <c r="CI787" s="6"/>
      <c r="CJ787" s="6"/>
      <c r="CK787" s="6"/>
      <c r="CL787" s="6"/>
      <c r="CM787" s="6"/>
      <c r="CU787" t="s">
        <v>8673</v>
      </c>
    </row>
    <row r="788" spans="1:99">
      <c r="A788" t="s">
        <v>8674</v>
      </c>
      <c r="C788" t="s">
        <v>8672</v>
      </c>
      <c r="J788" t="s">
        <v>6985</v>
      </c>
      <c r="AC788">
        <v>2</v>
      </c>
      <c r="AG788" t="s">
        <v>6955</v>
      </c>
      <c r="AH788">
        <v>1</v>
      </c>
      <c r="AY788" s="6"/>
      <c r="BD788">
        <v>1</v>
      </c>
      <c r="BV788">
        <v>0</v>
      </c>
      <c r="BW788">
        <v>5</v>
      </c>
      <c r="BX788">
        <v>1</v>
      </c>
      <c r="BY788" t="s">
        <v>6987</v>
      </c>
      <c r="BZ788"/>
      <c r="CA788"/>
      <c r="CB788" s="6" t="s">
        <v>638</v>
      </c>
      <c r="CC788" s="6"/>
      <c r="CD788" s="6"/>
      <c r="CE788" s="6"/>
      <c r="CF788" s="6"/>
      <c r="CG788" t="s">
        <v>7057</v>
      </c>
      <c r="CH788" s="6"/>
      <c r="CI788" s="6"/>
      <c r="CJ788" s="6"/>
      <c r="CK788" s="6"/>
      <c r="CL788" s="6"/>
      <c r="CM788" s="6"/>
      <c r="CU788" t="s">
        <v>8675</v>
      </c>
    </row>
    <row r="789" spans="1:109">
      <c r="A789" t="s">
        <v>8676</v>
      </c>
      <c r="C789" t="s">
        <v>8672</v>
      </c>
      <c r="K789" s="6" t="s">
        <v>6953</v>
      </c>
      <c r="L789" s="6" t="s">
        <v>7315</v>
      </c>
      <c r="AC789">
        <v>2</v>
      </c>
      <c r="AF789">
        <v>1</v>
      </c>
      <c r="AG789" t="s">
        <v>6955</v>
      </c>
      <c r="AH789">
        <v>1</v>
      </c>
      <c r="AY789" s="6"/>
      <c r="BD789">
        <v>1</v>
      </c>
      <c r="BV789"/>
      <c r="BW789"/>
      <c r="BX789"/>
      <c r="BY789"/>
      <c r="BZ789"/>
      <c r="CA789"/>
      <c r="CB789" s="6"/>
      <c r="CC789" s="6"/>
      <c r="CD789" s="6"/>
      <c r="CE789" s="6"/>
      <c r="CF789" s="6"/>
      <c r="CH789" s="6"/>
      <c r="CI789" s="6"/>
      <c r="CJ789" s="6"/>
      <c r="CK789" s="6"/>
      <c r="CL789" s="6"/>
      <c r="CM789" s="6"/>
      <c r="CU789" t="s">
        <v>8677</v>
      </c>
      <c r="DE789">
        <v>1</v>
      </c>
    </row>
    <row r="790" spans="1:109">
      <c r="A790" t="s">
        <v>8678</v>
      </c>
      <c r="C790" t="s">
        <v>8672</v>
      </c>
      <c r="K790" s="6" t="s">
        <v>6953</v>
      </c>
      <c r="L790" s="6" t="s">
        <v>7315</v>
      </c>
      <c r="AC790">
        <v>2</v>
      </c>
      <c r="AF790">
        <v>1</v>
      </c>
      <c r="AG790" t="s">
        <v>6955</v>
      </c>
      <c r="AH790">
        <v>1</v>
      </c>
      <c r="AY790" s="6"/>
      <c r="BD790">
        <v>1</v>
      </c>
      <c r="BV790"/>
      <c r="BW790"/>
      <c r="BX790"/>
      <c r="BY790"/>
      <c r="BZ790"/>
      <c r="CA790"/>
      <c r="CB790" s="6"/>
      <c r="CC790" s="6"/>
      <c r="CD790" s="6"/>
      <c r="CE790" s="6"/>
      <c r="CF790" s="6"/>
      <c r="CH790" s="6"/>
      <c r="CI790" s="6"/>
      <c r="CJ790" s="6"/>
      <c r="CK790" s="6"/>
      <c r="CL790" s="6"/>
      <c r="CM790" s="6"/>
      <c r="CU790" t="s">
        <v>8679</v>
      </c>
      <c r="DE790">
        <v>1</v>
      </c>
    </row>
    <row r="791" spans="1:109">
      <c r="A791" t="s">
        <v>8680</v>
      </c>
      <c r="C791" t="s">
        <v>8672</v>
      </c>
      <c r="K791" s="6" t="s">
        <v>6953</v>
      </c>
      <c r="L791" s="6" t="s">
        <v>7315</v>
      </c>
      <c r="AC791">
        <v>2</v>
      </c>
      <c r="AF791">
        <v>1</v>
      </c>
      <c r="AG791" t="s">
        <v>6955</v>
      </c>
      <c r="AH791">
        <v>1</v>
      </c>
      <c r="AY791" s="6"/>
      <c r="BD791">
        <v>1</v>
      </c>
      <c r="BV791"/>
      <c r="BW791"/>
      <c r="BX791"/>
      <c r="BY791"/>
      <c r="BZ791"/>
      <c r="CA791"/>
      <c r="CB791" s="6"/>
      <c r="CC791" s="6"/>
      <c r="CD791" s="6"/>
      <c r="CE791" s="6"/>
      <c r="CF791" s="6"/>
      <c r="CH791" s="6"/>
      <c r="CI791" s="6"/>
      <c r="CJ791" s="6"/>
      <c r="CK791" s="6"/>
      <c r="CL791" s="6"/>
      <c r="CM791" s="6"/>
      <c r="CU791" t="s">
        <v>8681</v>
      </c>
      <c r="DE791">
        <v>1</v>
      </c>
    </row>
    <row r="792" spans="1:109">
      <c r="A792" t="s">
        <v>8682</v>
      </c>
      <c r="C792" t="s">
        <v>8672</v>
      </c>
      <c r="K792" s="6" t="s">
        <v>6953</v>
      </c>
      <c r="L792" s="6" t="s">
        <v>7315</v>
      </c>
      <c r="AC792">
        <v>2</v>
      </c>
      <c r="AF792">
        <v>1</v>
      </c>
      <c r="AG792" t="s">
        <v>6955</v>
      </c>
      <c r="AH792">
        <v>1</v>
      </c>
      <c r="AY792" s="6"/>
      <c r="BD792">
        <v>1</v>
      </c>
      <c r="BV792"/>
      <c r="BW792"/>
      <c r="BX792"/>
      <c r="BY792"/>
      <c r="BZ792"/>
      <c r="CA792"/>
      <c r="CB792" s="6"/>
      <c r="CC792" s="6"/>
      <c r="CD792" s="6"/>
      <c r="CE792" s="6"/>
      <c r="CF792" s="6"/>
      <c r="CH792" s="6"/>
      <c r="CI792" s="6"/>
      <c r="CJ792" s="6"/>
      <c r="CK792" s="6"/>
      <c r="CL792" s="6"/>
      <c r="CM792" s="6"/>
      <c r="CU792" t="s">
        <v>8683</v>
      </c>
      <c r="DE792">
        <v>1</v>
      </c>
    </row>
    <row r="793" spans="1:109">
      <c r="A793" t="s">
        <v>8684</v>
      </c>
      <c r="C793" t="s">
        <v>8672</v>
      </c>
      <c r="K793" s="6" t="s">
        <v>6953</v>
      </c>
      <c r="L793" s="6" t="s">
        <v>7315</v>
      </c>
      <c r="AC793">
        <v>2</v>
      </c>
      <c r="AF793">
        <v>1</v>
      </c>
      <c r="AG793" t="s">
        <v>6955</v>
      </c>
      <c r="AH793">
        <v>1</v>
      </c>
      <c r="AY793" s="6"/>
      <c r="BD793">
        <v>1</v>
      </c>
      <c r="BV793"/>
      <c r="BW793"/>
      <c r="BX793"/>
      <c r="BY793"/>
      <c r="BZ793"/>
      <c r="CA793"/>
      <c r="CB793" s="6"/>
      <c r="CC793" s="6"/>
      <c r="CD793" s="6"/>
      <c r="CE793" s="6"/>
      <c r="CF793" s="6"/>
      <c r="CH793" s="6"/>
      <c r="CI793" s="6"/>
      <c r="CJ793" s="6"/>
      <c r="CK793" s="6"/>
      <c r="CL793" s="6"/>
      <c r="CM793" s="6"/>
      <c r="CU793" t="s">
        <v>8685</v>
      </c>
      <c r="DE793">
        <v>1</v>
      </c>
    </row>
    <row r="794" spans="1:109">
      <c r="A794" t="s">
        <v>8686</v>
      </c>
      <c r="C794" t="s">
        <v>8672</v>
      </c>
      <c r="K794" s="6" t="s">
        <v>6953</v>
      </c>
      <c r="L794" s="6" t="s">
        <v>7315</v>
      </c>
      <c r="AC794">
        <v>2</v>
      </c>
      <c r="AF794">
        <v>1</v>
      </c>
      <c r="AG794" t="s">
        <v>6955</v>
      </c>
      <c r="AH794">
        <v>1</v>
      </c>
      <c r="AY794" s="6"/>
      <c r="BD794">
        <v>1</v>
      </c>
      <c r="BV794"/>
      <c r="BW794"/>
      <c r="BX794"/>
      <c r="BY794"/>
      <c r="BZ794"/>
      <c r="CA794"/>
      <c r="CB794" s="6"/>
      <c r="CC794" s="6"/>
      <c r="CD794" s="6"/>
      <c r="CE794" s="6"/>
      <c r="CF794" s="6"/>
      <c r="CH794" s="6"/>
      <c r="CI794" s="6"/>
      <c r="CJ794" s="6"/>
      <c r="CK794" s="6"/>
      <c r="CL794" s="6"/>
      <c r="CM794" s="6"/>
      <c r="CU794" t="s">
        <v>8687</v>
      </c>
      <c r="DE794">
        <v>1</v>
      </c>
    </row>
    <row r="795" spans="1:109">
      <c r="A795" t="s">
        <v>8688</v>
      </c>
      <c r="C795" t="s">
        <v>8689</v>
      </c>
      <c r="K795" s="6" t="s">
        <v>6953</v>
      </c>
      <c r="L795" s="6" t="s">
        <v>7315</v>
      </c>
      <c r="AC795">
        <v>2</v>
      </c>
      <c r="AF795">
        <v>1</v>
      </c>
      <c r="AG795" t="s">
        <v>6955</v>
      </c>
      <c r="AH795">
        <v>1</v>
      </c>
      <c r="AY795" s="6"/>
      <c r="BD795">
        <v>1</v>
      </c>
      <c r="BV795"/>
      <c r="BW795"/>
      <c r="BX795"/>
      <c r="BY795"/>
      <c r="BZ795"/>
      <c r="CA795"/>
      <c r="CB795" s="6"/>
      <c r="CC795" s="6"/>
      <c r="CD795" s="6"/>
      <c r="CE795" s="6"/>
      <c r="CF795" s="6"/>
      <c r="CH795" s="6"/>
      <c r="CI795" s="6"/>
      <c r="CJ795" s="6"/>
      <c r="CK795" s="6"/>
      <c r="CL795" s="6"/>
      <c r="CM795" s="6"/>
      <c r="CU795" t="s">
        <v>8690</v>
      </c>
      <c r="DE795">
        <v>1</v>
      </c>
    </row>
    <row r="796" ht="15" customHeight="1" spans="1:96">
      <c r="A796" t="s">
        <v>8691</v>
      </c>
      <c r="C796" t="s">
        <v>4994</v>
      </c>
      <c r="K796" s="22" t="s">
        <v>6953</v>
      </c>
      <c r="AC796">
        <v>1</v>
      </c>
      <c r="AN796">
        <v>1</v>
      </c>
      <c r="AO796" t="s">
        <v>7052</v>
      </c>
      <c r="AV796">
        <v>0</v>
      </c>
      <c r="AX796" t="s">
        <v>7064</v>
      </c>
      <c r="BD796">
        <v>1</v>
      </c>
      <c r="BS796">
        <v>0.05</v>
      </c>
      <c r="CN796" s="10" t="s">
        <v>8692</v>
      </c>
      <c r="CO796">
        <v>-80</v>
      </c>
      <c r="CR796">
        <v>0.1</v>
      </c>
    </row>
    <row r="797" spans="1:96">
      <c r="A797" t="s">
        <v>8693</v>
      </c>
      <c r="C797" t="s">
        <v>6968</v>
      </c>
      <c r="K797" s="6" t="s">
        <v>6953</v>
      </c>
      <c r="L797" s="6" t="s">
        <v>7060</v>
      </c>
      <c r="AC797">
        <v>2</v>
      </c>
      <c r="AF797">
        <v>1</v>
      </c>
      <c r="AG797" t="s">
        <v>6955</v>
      </c>
      <c r="AN797">
        <v>1</v>
      </c>
      <c r="AY797" s="6"/>
      <c r="BD797">
        <v>1</v>
      </c>
      <c r="BV797"/>
      <c r="BW797"/>
      <c r="BX797"/>
      <c r="BY797"/>
      <c r="BZ797"/>
      <c r="CA797"/>
      <c r="CB797" s="6"/>
      <c r="CC797" s="6"/>
      <c r="CD797" s="6"/>
      <c r="CE797" s="6"/>
      <c r="CF797" s="6"/>
      <c r="CH797" s="6"/>
      <c r="CI797" s="6"/>
      <c r="CJ797" s="6"/>
      <c r="CK797" s="6"/>
      <c r="CL797" s="6"/>
      <c r="CM797" s="6"/>
      <c r="CN797" s="10" t="s">
        <v>8694</v>
      </c>
      <c r="CO797">
        <v>99999</v>
      </c>
      <c r="CR797">
        <v>9999</v>
      </c>
    </row>
    <row r="799" spans="1:96">
      <c r="A799" t="s">
        <v>8695</v>
      </c>
      <c r="C799" t="s">
        <v>6968</v>
      </c>
      <c r="AC799">
        <v>1</v>
      </c>
      <c r="AN799">
        <v>1</v>
      </c>
      <c r="AO799" t="s">
        <v>7052</v>
      </c>
      <c r="AV799">
        <v>2.5</v>
      </c>
      <c r="AX799" t="s">
        <v>7077</v>
      </c>
      <c r="AZ799">
        <v>0.4</v>
      </c>
      <c r="BD799">
        <v>1</v>
      </c>
      <c r="CB799" t="s">
        <v>8072</v>
      </c>
      <c r="CG799" t="s">
        <v>7057</v>
      </c>
      <c r="CN799" s="10" t="s">
        <v>8696</v>
      </c>
      <c r="CO799">
        <v>1</v>
      </c>
      <c r="CR799">
        <v>30.5</v>
      </c>
    </row>
    <row r="800" spans="1:96">
      <c r="A800" t="s">
        <v>8697</v>
      </c>
      <c r="C800" t="s">
        <v>4994</v>
      </c>
      <c r="AC800">
        <v>1</v>
      </c>
      <c r="AN800">
        <v>1</v>
      </c>
      <c r="AO800" t="s">
        <v>7052</v>
      </c>
      <c r="AV800">
        <v>0</v>
      </c>
      <c r="AX800" t="s">
        <v>7631</v>
      </c>
      <c r="AZ800">
        <v>1</v>
      </c>
      <c r="BD800">
        <v>1</v>
      </c>
      <c r="CB800" t="s">
        <v>7273</v>
      </c>
      <c r="CG800" t="s">
        <v>7057</v>
      </c>
      <c r="CN800" s="10" t="s">
        <v>8696</v>
      </c>
      <c r="CO800">
        <v>1</v>
      </c>
      <c r="CR800">
        <v>30.5</v>
      </c>
    </row>
    <row r="801" spans="1:101">
      <c r="A801" t="s">
        <v>8698</v>
      </c>
      <c r="C801" t="s">
        <v>6968</v>
      </c>
      <c r="J801" t="s">
        <v>6985</v>
      </c>
      <c r="Y801">
        <v>1</v>
      </c>
      <c r="AC801">
        <v>1</v>
      </c>
      <c r="AN801">
        <v>1</v>
      </c>
      <c r="AO801" t="s">
        <v>7052</v>
      </c>
      <c r="AV801">
        <v>2.5</v>
      </c>
      <c r="AX801" t="s">
        <v>7077</v>
      </c>
      <c r="AZ801">
        <v>1</v>
      </c>
      <c r="BD801">
        <v>99</v>
      </c>
      <c r="BT801">
        <v>0.2</v>
      </c>
      <c r="BV801" s="9">
        <v>0</v>
      </c>
      <c r="BW801" s="9">
        <v>40</v>
      </c>
      <c r="BX801" s="9">
        <v>1</v>
      </c>
      <c r="BY801" s="9" t="s">
        <v>6987</v>
      </c>
      <c r="CB801" t="s">
        <v>8001</v>
      </c>
      <c r="CG801" t="s">
        <v>7057</v>
      </c>
      <c r="CW801" t="s">
        <v>8368</v>
      </c>
    </row>
    <row r="802" spans="1:101">
      <c r="A802" t="s">
        <v>8699</v>
      </c>
      <c r="C802" t="s">
        <v>6968</v>
      </c>
      <c r="J802" t="s">
        <v>6985</v>
      </c>
      <c r="Y802">
        <v>1</v>
      </c>
      <c r="AC802">
        <v>1</v>
      </c>
      <c r="AN802">
        <v>1</v>
      </c>
      <c r="AO802" t="s">
        <v>7052</v>
      </c>
      <c r="AV802">
        <v>2.5</v>
      </c>
      <c r="AX802" t="s">
        <v>7077</v>
      </c>
      <c r="AZ802">
        <v>1</v>
      </c>
      <c r="BD802">
        <v>99</v>
      </c>
      <c r="BT802">
        <v>0.2</v>
      </c>
      <c r="BV802" s="9">
        <v>0</v>
      </c>
      <c r="BW802" s="9">
        <v>15</v>
      </c>
      <c r="BX802" s="9">
        <v>1</v>
      </c>
      <c r="BY802" s="9" t="s">
        <v>6987</v>
      </c>
      <c r="CB802" t="s">
        <v>8001</v>
      </c>
      <c r="CG802" t="s">
        <v>7057</v>
      </c>
      <c r="CW802" t="s">
        <v>8368</v>
      </c>
    </row>
    <row r="803" spans="1:96">
      <c r="A803" t="s">
        <v>8700</v>
      </c>
      <c r="C803" t="s">
        <v>6968</v>
      </c>
      <c r="J803" t="s">
        <v>6985</v>
      </c>
      <c r="R803" t="s">
        <v>8696</v>
      </c>
      <c r="AC803">
        <v>1</v>
      </c>
      <c r="AN803">
        <v>1</v>
      </c>
      <c r="AO803" t="s">
        <v>7052</v>
      </c>
      <c r="AV803">
        <v>99</v>
      </c>
      <c r="AY803" s="6"/>
      <c r="BD803">
        <v>1</v>
      </c>
      <c r="BT803">
        <v>0.2</v>
      </c>
      <c r="BV803">
        <v>0</v>
      </c>
      <c r="BW803">
        <v>19</v>
      </c>
      <c r="BX803">
        <v>1</v>
      </c>
      <c r="BY803" s="9" t="s">
        <v>6987</v>
      </c>
      <c r="BZ803"/>
      <c r="CA803"/>
      <c r="CB803" t="s">
        <v>8410</v>
      </c>
      <c r="CC803" s="6"/>
      <c r="CD803" s="6"/>
      <c r="CE803" s="6"/>
      <c r="CF803" s="6"/>
      <c r="CG803" t="s">
        <v>7057</v>
      </c>
      <c r="CI803" s="6"/>
      <c r="CJ803" s="6"/>
      <c r="CK803" s="6"/>
      <c r="CL803" s="6"/>
      <c r="CM803" s="6"/>
      <c r="CN803" s="10" t="s">
        <v>8696</v>
      </c>
      <c r="CO803">
        <v>1</v>
      </c>
      <c r="CR803">
        <v>30.5</v>
      </c>
    </row>
    <row r="804" spans="1:96">
      <c r="A804" t="s">
        <v>8701</v>
      </c>
      <c r="C804" t="s">
        <v>6968</v>
      </c>
      <c r="J804" t="s">
        <v>6985</v>
      </c>
      <c r="R804" t="s">
        <v>8696</v>
      </c>
      <c r="AC804">
        <v>1</v>
      </c>
      <c r="AN804">
        <v>1</v>
      </c>
      <c r="AO804" t="s">
        <v>7052</v>
      </c>
      <c r="AV804">
        <v>99</v>
      </c>
      <c r="AY804" s="6"/>
      <c r="BD804">
        <v>1</v>
      </c>
      <c r="BT804">
        <v>0.2</v>
      </c>
      <c r="BV804">
        <v>0</v>
      </c>
      <c r="BW804">
        <v>7</v>
      </c>
      <c r="BX804">
        <v>1</v>
      </c>
      <c r="BY804" s="9" t="s">
        <v>6987</v>
      </c>
      <c r="BZ804"/>
      <c r="CA804"/>
      <c r="CB804" t="s">
        <v>8410</v>
      </c>
      <c r="CC804" s="6"/>
      <c r="CD804" s="6"/>
      <c r="CE804" s="6"/>
      <c r="CF804" s="6"/>
      <c r="CG804" t="s">
        <v>7057</v>
      </c>
      <c r="CI804" s="6"/>
      <c r="CJ804" s="6"/>
      <c r="CK804" s="6"/>
      <c r="CL804" s="6"/>
      <c r="CM804" s="6"/>
      <c r="CN804" s="10" t="s">
        <v>8696</v>
      </c>
      <c r="CO804">
        <v>1</v>
      </c>
      <c r="CR804">
        <v>30.5</v>
      </c>
    </row>
    <row r="805" spans="1:96">
      <c r="A805" t="s">
        <v>8702</v>
      </c>
      <c r="C805" t="s">
        <v>6968</v>
      </c>
      <c r="N805" s="6">
        <v>1</v>
      </c>
      <c r="T805" s="6">
        <v>0.5</v>
      </c>
      <c r="U805"/>
      <c r="AC805">
        <v>2</v>
      </c>
      <c r="AG805" t="s">
        <v>6955</v>
      </c>
      <c r="AN805">
        <v>1</v>
      </c>
      <c r="BD805">
        <v>1</v>
      </c>
      <c r="BP805" s="8" t="s">
        <v>8703</v>
      </c>
      <c r="CN805" s="10" t="s">
        <v>8704</v>
      </c>
      <c r="CO805" t="s">
        <v>8705</v>
      </c>
      <c r="CR805">
        <v>9999</v>
      </c>
    </row>
    <row r="806" spans="1:99">
      <c r="A806" t="s">
        <v>8703</v>
      </c>
      <c r="C806" t="s">
        <v>6785</v>
      </c>
      <c r="K806" s="6" t="s">
        <v>6953</v>
      </c>
      <c r="P806"/>
      <c r="AC806">
        <v>2</v>
      </c>
      <c r="AG806" t="s">
        <v>6955</v>
      </c>
      <c r="AY806" s="6"/>
      <c r="BD806">
        <v>1</v>
      </c>
      <c r="BV806"/>
      <c r="BW806"/>
      <c r="BX806"/>
      <c r="BY806"/>
      <c r="BZ806"/>
      <c r="CA806"/>
      <c r="CB806" s="6"/>
      <c r="CC806" s="6"/>
      <c r="CD806" s="6"/>
      <c r="CE806" s="6"/>
      <c r="CF806" s="6"/>
      <c r="CH806" s="6"/>
      <c r="CI806" s="6"/>
      <c r="CJ806" s="6"/>
      <c r="CK806" s="6"/>
      <c r="CL806" s="6"/>
      <c r="CU806" t="s">
        <v>8706</v>
      </c>
    </row>
    <row r="807" spans="51:91">
      <c r="AY807" s="6"/>
      <c r="BV807"/>
      <c r="BW807"/>
      <c r="BX807"/>
      <c r="BY807"/>
      <c r="BZ807"/>
      <c r="CA807"/>
      <c r="CB807" s="6"/>
      <c r="CC807" s="6"/>
      <c r="CD807" s="6"/>
      <c r="CE807" s="6"/>
      <c r="CF807" s="6"/>
      <c r="CI807" s="6"/>
      <c r="CJ807" s="6"/>
      <c r="CK807" s="6"/>
      <c r="CL807" s="6"/>
      <c r="CM807" s="6"/>
    </row>
    <row r="808" spans="1:96">
      <c r="A808" t="s">
        <v>8707</v>
      </c>
      <c r="C808" t="s">
        <v>6968</v>
      </c>
      <c r="AC808">
        <v>1</v>
      </c>
      <c r="AN808">
        <v>1</v>
      </c>
      <c r="AO808" t="s">
        <v>7052</v>
      </c>
      <c r="AP808" t="s">
        <v>8393</v>
      </c>
      <c r="AV808">
        <v>2</v>
      </c>
      <c r="AX808" t="s">
        <v>7631</v>
      </c>
      <c r="AZ808">
        <v>1</v>
      </c>
      <c r="BD808">
        <v>1</v>
      </c>
      <c r="CB808" t="s">
        <v>8333</v>
      </c>
      <c r="CG808" t="s">
        <v>7057</v>
      </c>
      <c r="CN808" s="10" t="s">
        <v>8696</v>
      </c>
      <c r="CO808">
        <v>1</v>
      </c>
      <c r="CR808">
        <v>30.5</v>
      </c>
    </row>
    <row r="809" spans="1:96">
      <c r="A809" t="s">
        <v>8704</v>
      </c>
      <c r="C809" t="s">
        <v>6968</v>
      </c>
      <c r="K809" s="6" t="s">
        <v>6953</v>
      </c>
      <c r="L809" s="6" t="s">
        <v>7060</v>
      </c>
      <c r="AC809">
        <v>2</v>
      </c>
      <c r="AF809">
        <v>1</v>
      </c>
      <c r="AG809" t="s">
        <v>6955</v>
      </c>
      <c r="AN809">
        <v>1</v>
      </c>
      <c r="AY809" s="6"/>
      <c r="BD809">
        <v>1</v>
      </c>
      <c r="BV809"/>
      <c r="BW809"/>
      <c r="BX809"/>
      <c r="BY809"/>
      <c r="BZ809"/>
      <c r="CA809"/>
      <c r="CB809" s="6"/>
      <c r="CC809" s="6"/>
      <c r="CD809" s="6"/>
      <c r="CE809" s="6"/>
      <c r="CF809" s="6"/>
      <c r="CH809" s="6"/>
      <c r="CI809" s="6"/>
      <c r="CJ809" s="6"/>
      <c r="CK809" s="6"/>
      <c r="CL809" s="6"/>
      <c r="CM809" s="6"/>
      <c r="CN809" s="10" t="s">
        <v>8704</v>
      </c>
      <c r="CR809">
        <v>9999</v>
      </c>
    </row>
    <row r="810" spans="1:96">
      <c r="A810" t="s">
        <v>8696</v>
      </c>
      <c r="C810" t="s">
        <v>6968</v>
      </c>
      <c r="J810" t="s">
        <v>6985</v>
      </c>
      <c r="R810" t="s">
        <v>8696</v>
      </c>
      <c r="AC810">
        <v>1</v>
      </c>
      <c r="AN810">
        <v>1</v>
      </c>
      <c r="AO810" t="s">
        <v>7052</v>
      </c>
      <c r="AV810">
        <v>99</v>
      </c>
      <c r="AY810" s="6"/>
      <c r="BD810">
        <v>2</v>
      </c>
      <c r="BT810">
        <v>0.2</v>
      </c>
      <c r="BV810">
        <v>0</v>
      </c>
      <c r="BW810">
        <v>19</v>
      </c>
      <c r="BX810">
        <v>1</v>
      </c>
      <c r="BY810" s="9" t="s">
        <v>6987</v>
      </c>
      <c r="BZ810"/>
      <c r="CA810"/>
      <c r="CB810" t="s">
        <v>8708</v>
      </c>
      <c r="CC810" s="6"/>
      <c r="CD810" s="6"/>
      <c r="CE810" s="6"/>
      <c r="CF810" s="6"/>
      <c r="CG810" t="s">
        <v>7057</v>
      </c>
      <c r="CI810" s="6"/>
      <c r="CJ810" s="6"/>
      <c r="CK810" s="6"/>
      <c r="CL810" s="6"/>
      <c r="CM810" s="6"/>
      <c r="CN810" s="10" t="s">
        <v>8696</v>
      </c>
      <c r="CO810">
        <v>1</v>
      </c>
      <c r="CR810">
        <v>30.5</v>
      </c>
    </row>
    <row r="811" spans="1:103">
      <c r="A811" t="s">
        <v>8709</v>
      </c>
      <c r="C811" t="s">
        <v>6968</v>
      </c>
      <c r="J811" t="s">
        <v>6985</v>
      </c>
      <c r="Q811" t="s">
        <v>8696</v>
      </c>
      <c r="AC811">
        <v>1</v>
      </c>
      <c r="AN811">
        <v>1</v>
      </c>
      <c r="AV811">
        <v>99</v>
      </c>
      <c r="AX811" t="s">
        <v>7077</v>
      </c>
      <c r="AY811" s="6"/>
      <c r="AZ811">
        <v>1</v>
      </c>
      <c r="BD811">
        <v>99</v>
      </c>
      <c r="BH811" t="s">
        <v>8710</v>
      </c>
      <c r="BI811">
        <v>1</v>
      </c>
      <c r="BK811">
        <v>1</v>
      </c>
      <c r="BL811">
        <v>1</v>
      </c>
      <c r="BT811">
        <v>0.2</v>
      </c>
      <c r="BV811">
        <v>0</v>
      </c>
      <c r="BW811">
        <v>35</v>
      </c>
      <c r="BX811">
        <v>1</v>
      </c>
      <c r="BY811" t="s">
        <v>6987</v>
      </c>
      <c r="BZ811"/>
      <c r="CA811"/>
      <c r="CB811" t="s">
        <v>8711</v>
      </c>
      <c r="CC811" s="6"/>
      <c r="CD811" s="6"/>
      <c r="CE811" s="6"/>
      <c r="CF811" s="6"/>
      <c r="CG811" t="s">
        <v>7057</v>
      </c>
      <c r="CI811" s="6"/>
      <c r="CJ811" s="6"/>
      <c r="CK811" s="6"/>
      <c r="CL811" s="6"/>
      <c r="CM811" t="s">
        <v>8696</v>
      </c>
      <c r="CN811" s="10" t="s">
        <v>8696</v>
      </c>
      <c r="CO811">
        <v>1</v>
      </c>
      <c r="CR811">
        <v>30.5</v>
      </c>
      <c r="CY811" t="s">
        <v>8712</v>
      </c>
    </row>
    <row r="812" spans="1:99">
      <c r="A812" t="s">
        <v>8713</v>
      </c>
      <c r="C812" t="s">
        <v>8425</v>
      </c>
      <c r="J812" t="s">
        <v>6985</v>
      </c>
      <c r="O812" t="s">
        <v>8407</v>
      </c>
      <c r="AC812">
        <v>2</v>
      </c>
      <c r="AG812" t="s">
        <v>6955</v>
      </c>
      <c r="AN812">
        <v>1</v>
      </c>
      <c r="AY812" s="6"/>
      <c r="BD812">
        <v>1</v>
      </c>
      <c r="BV812">
        <v>-25</v>
      </c>
      <c r="BW812">
        <v>50</v>
      </c>
      <c r="BX812">
        <v>1</v>
      </c>
      <c r="BY812" t="s">
        <v>6987</v>
      </c>
      <c r="BZ812"/>
      <c r="CA812"/>
      <c r="CB812" s="6" t="s">
        <v>8428</v>
      </c>
      <c r="CC812" s="6"/>
      <c r="CD812" s="6"/>
      <c r="CE812" s="6"/>
      <c r="CF812" s="6"/>
      <c r="CG812" t="s">
        <v>7057</v>
      </c>
      <c r="CH812" s="6"/>
      <c r="CI812" s="6"/>
      <c r="CJ812" s="6"/>
      <c r="CK812" s="6"/>
      <c r="CL812" s="6"/>
      <c r="CM812" s="6"/>
      <c r="CU812" t="s">
        <v>8714</v>
      </c>
    </row>
    <row r="813" spans="1:99">
      <c r="A813" t="s">
        <v>8715</v>
      </c>
      <c r="C813" t="s">
        <v>7549</v>
      </c>
      <c r="K813" s="6" t="s">
        <v>6953</v>
      </c>
      <c r="L813" s="6" t="s">
        <v>7550</v>
      </c>
      <c r="N813" s="6">
        <v>1</v>
      </c>
      <c r="AC813">
        <v>2</v>
      </c>
      <c r="AG813" t="s">
        <v>6955</v>
      </c>
      <c r="AH813">
        <v>1</v>
      </c>
      <c r="AN813">
        <v>1</v>
      </c>
      <c r="AY813">
        <v>1</v>
      </c>
      <c r="BD813">
        <v>1</v>
      </c>
      <c r="BP813" s="8" t="s">
        <v>8716</v>
      </c>
      <c r="CN813" s="10" t="s">
        <v>8717</v>
      </c>
      <c r="CP813" t="s">
        <v>8718</v>
      </c>
      <c r="CR813">
        <v>9999</v>
      </c>
      <c r="CU813" t="s">
        <v>8719</v>
      </c>
    </row>
    <row r="814" spans="1:85">
      <c r="A814" t="s">
        <v>8720</v>
      </c>
      <c r="C814" t="s">
        <v>6968</v>
      </c>
      <c r="K814" s="6" t="s">
        <v>6953</v>
      </c>
      <c r="Y814">
        <v>1</v>
      </c>
      <c r="AB814">
        <v>1</v>
      </c>
      <c r="AC814">
        <v>2</v>
      </c>
      <c r="AG814" t="s">
        <v>6955</v>
      </c>
      <c r="AN814">
        <v>1</v>
      </c>
      <c r="BD814">
        <v>1</v>
      </c>
      <c r="BS814">
        <v>30</v>
      </c>
      <c r="CB814" t="s">
        <v>8721</v>
      </c>
      <c r="CC814">
        <v>30</v>
      </c>
      <c r="CE814" t="s">
        <v>8721</v>
      </c>
      <c r="CG814" t="s">
        <v>7475</v>
      </c>
    </row>
    <row r="815" spans="1:96">
      <c r="A815" t="s">
        <v>8722</v>
      </c>
      <c r="C815" t="s">
        <v>6968</v>
      </c>
      <c r="K815" s="6" t="s">
        <v>6953</v>
      </c>
      <c r="AC815">
        <v>2</v>
      </c>
      <c r="AG815" t="s">
        <v>6955</v>
      </c>
      <c r="AN815">
        <v>1</v>
      </c>
      <c r="AO815" t="s">
        <v>7052</v>
      </c>
      <c r="BD815">
        <v>1</v>
      </c>
      <c r="CN815" s="10" t="s">
        <v>8423</v>
      </c>
      <c r="CR815">
        <v>43</v>
      </c>
    </row>
    <row r="816" spans="1:99">
      <c r="A816" t="s">
        <v>8723</v>
      </c>
      <c r="C816" t="s">
        <v>7549</v>
      </c>
      <c r="K816" s="6" t="s">
        <v>6953</v>
      </c>
      <c r="L816" s="6" t="s">
        <v>7550</v>
      </c>
      <c r="N816" s="6">
        <v>1</v>
      </c>
      <c r="O816" t="s">
        <v>8407</v>
      </c>
      <c r="AC816">
        <v>2</v>
      </c>
      <c r="AG816" t="s">
        <v>6955</v>
      </c>
      <c r="AH816">
        <v>1</v>
      </c>
      <c r="AN816">
        <v>1</v>
      </c>
      <c r="AY816">
        <v>1</v>
      </c>
      <c r="BD816">
        <v>1</v>
      </c>
      <c r="BP816" s="8" t="s">
        <v>8716</v>
      </c>
      <c r="CN816" s="10" t="s">
        <v>8724</v>
      </c>
      <c r="CR816">
        <v>9999</v>
      </c>
      <c r="CU816" t="s">
        <v>8725</v>
      </c>
    </row>
    <row r="817" spans="1:99">
      <c r="A817" t="s">
        <v>8726</v>
      </c>
      <c r="C817" t="s">
        <v>8727</v>
      </c>
      <c r="J817" t="s">
        <v>6985</v>
      </c>
      <c r="K817" s="6" t="s">
        <v>6953</v>
      </c>
      <c r="AC817">
        <v>1</v>
      </c>
      <c r="AX817" t="s">
        <v>7077</v>
      </c>
      <c r="AY817" s="6"/>
      <c r="AZ817">
        <v>1</v>
      </c>
      <c r="BD817">
        <v>1</v>
      </c>
      <c r="BE817">
        <v>9</v>
      </c>
      <c r="BF817">
        <v>2</v>
      </c>
      <c r="BV817"/>
      <c r="BW817"/>
      <c r="BX817"/>
      <c r="BY817"/>
      <c r="BZ817"/>
      <c r="CA817"/>
      <c r="CB817" s="6"/>
      <c r="CC817" s="6">
        <v>5</v>
      </c>
      <c r="CD817" s="6"/>
      <c r="CE817" s="6"/>
      <c r="CF817" s="6"/>
      <c r="CH817" t="s">
        <v>8726</v>
      </c>
      <c r="CI817" s="6"/>
      <c r="CJ817" s="6"/>
      <c r="CK817" s="6"/>
      <c r="CL817" s="6"/>
      <c r="CM817" s="6"/>
      <c r="CU817" t="s">
        <v>8728</v>
      </c>
    </row>
    <row r="818" spans="1:112">
      <c r="A818" t="s">
        <v>8729</v>
      </c>
      <c r="C818" t="s">
        <v>6968</v>
      </c>
      <c r="N818" s="6">
        <v>1</v>
      </c>
      <c r="O818" t="s">
        <v>8407</v>
      </c>
      <c r="AC818">
        <v>2</v>
      </c>
      <c r="AG818" t="s">
        <v>6955</v>
      </c>
      <c r="AY818" s="6"/>
      <c r="BD818">
        <v>1</v>
      </c>
      <c r="BV818"/>
      <c r="BW818"/>
      <c r="BX818"/>
      <c r="BY818"/>
      <c r="BZ818"/>
      <c r="CA818"/>
      <c r="CB818" s="6" t="s">
        <v>8730</v>
      </c>
      <c r="CC818" s="6"/>
      <c r="CD818" s="6"/>
      <c r="CE818" s="6"/>
      <c r="CF818" s="6"/>
      <c r="CG818" t="s">
        <v>7057</v>
      </c>
      <c r="CI818" s="6"/>
      <c r="CJ818" s="6"/>
      <c r="CK818" s="6"/>
      <c r="CL818" s="6"/>
      <c r="CM818" s="6"/>
      <c r="DH818">
        <v>1</v>
      </c>
    </row>
    <row r="819" spans="1:112">
      <c r="A819" t="s">
        <v>8731</v>
      </c>
      <c r="C819" t="s">
        <v>8026</v>
      </c>
      <c r="N819" s="6">
        <v>1</v>
      </c>
      <c r="O819" t="s">
        <v>8724</v>
      </c>
      <c r="AC819">
        <v>2</v>
      </c>
      <c r="AG819" t="s">
        <v>6955</v>
      </c>
      <c r="AY819" s="6"/>
      <c r="BD819">
        <v>1</v>
      </c>
      <c r="BV819"/>
      <c r="BW819"/>
      <c r="BX819"/>
      <c r="BY819"/>
      <c r="BZ819"/>
      <c r="CA819"/>
      <c r="CB819" s="6"/>
      <c r="CC819" s="6"/>
      <c r="CD819" s="6"/>
      <c r="CE819" s="6"/>
      <c r="CF819" s="6"/>
      <c r="CG819" t="s">
        <v>7057</v>
      </c>
      <c r="CI819" s="6"/>
      <c r="CJ819" s="6"/>
      <c r="CK819" s="6"/>
      <c r="CL819" s="6"/>
      <c r="CM819" s="6"/>
      <c r="CU819" t="s">
        <v>8732</v>
      </c>
      <c r="DH819">
        <v>1</v>
      </c>
    </row>
    <row r="820" spans="15:91">
      <c r="O820"/>
      <c r="AY820" s="6"/>
      <c r="BV820"/>
      <c r="BW820"/>
      <c r="BX820"/>
      <c r="BY820"/>
      <c r="BZ820"/>
      <c r="CA820"/>
      <c r="CB820" s="6"/>
      <c r="CC820" s="6"/>
      <c r="CD820" s="6"/>
      <c r="CE820" s="6"/>
      <c r="CF820" s="6"/>
      <c r="CI820" s="6"/>
      <c r="CJ820" s="6"/>
      <c r="CK820" s="6"/>
      <c r="CL820" s="6"/>
      <c r="CM820" s="6"/>
    </row>
    <row r="821" spans="1:99">
      <c r="A821" t="s">
        <v>8733</v>
      </c>
      <c r="C821" t="s">
        <v>7549</v>
      </c>
      <c r="K821" t="s">
        <v>6953</v>
      </c>
      <c r="L821" t="s">
        <v>7550</v>
      </c>
      <c r="N821">
        <v>1</v>
      </c>
      <c r="O821"/>
      <c r="AC821">
        <v>2</v>
      </c>
      <c r="AG821" t="s">
        <v>6955</v>
      </c>
      <c r="AH821">
        <v>1</v>
      </c>
      <c r="AN821">
        <v>1</v>
      </c>
      <c r="AY821" s="6">
        <v>1</v>
      </c>
      <c r="BD821">
        <v>1</v>
      </c>
      <c r="BP821" t="s">
        <v>8734</v>
      </c>
      <c r="BV821"/>
      <c r="BW821"/>
      <c r="BX821"/>
      <c r="BY821"/>
      <c r="BZ821"/>
      <c r="CA821"/>
      <c r="CB821" s="6"/>
      <c r="CC821" s="6"/>
      <c r="CD821" s="6"/>
      <c r="CE821" s="6"/>
      <c r="CF821" s="6"/>
      <c r="CI821" s="6"/>
      <c r="CJ821" s="6"/>
      <c r="CK821" s="6"/>
      <c r="CL821" s="6"/>
      <c r="CM821" s="6"/>
      <c r="CN821" t="s">
        <v>8407</v>
      </c>
      <c r="CR821">
        <v>9999</v>
      </c>
      <c r="CU821" t="s">
        <v>8719</v>
      </c>
    </row>
    <row r="822" spans="1:91">
      <c r="A822" t="s">
        <v>8735</v>
      </c>
      <c r="C822" t="s">
        <v>6968</v>
      </c>
      <c r="K822" t="s">
        <v>6953</v>
      </c>
      <c r="O822"/>
      <c r="Y822">
        <v>1</v>
      </c>
      <c r="AB822">
        <v>1</v>
      </c>
      <c r="AC822">
        <v>2</v>
      </c>
      <c r="AG822" t="s">
        <v>6955</v>
      </c>
      <c r="AN822">
        <v>1</v>
      </c>
      <c r="AY822" s="6"/>
      <c r="BD822">
        <v>1</v>
      </c>
      <c r="BS822">
        <v>3.56</v>
      </c>
      <c r="BV822"/>
      <c r="BW822"/>
      <c r="BX822"/>
      <c r="BY822"/>
      <c r="BZ822"/>
      <c r="CA822"/>
      <c r="CB822" s="6" t="s">
        <v>8736</v>
      </c>
      <c r="CC822" s="6">
        <v>3.56</v>
      </c>
      <c r="CD822" s="6"/>
      <c r="CE822" s="6" t="s">
        <v>8736</v>
      </c>
      <c r="CF822" s="6"/>
      <c r="CG822" t="s">
        <v>7475</v>
      </c>
      <c r="CI822" s="6"/>
      <c r="CJ822" s="6"/>
      <c r="CK822" s="6"/>
      <c r="CL822" s="6"/>
      <c r="CM822" s="6"/>
    </row>
    <row r="823" spans="1:96">
      <c r="A823" t="s">
        <v>8737</v>
      </c>
      <c r="C823" t="s">
        <v>6968</v>
      </c>
      <c r="K823" t="s">
        <v>6953</v>
      </c>
      <c r="O823"/>
      <c r="AC823">
        <v>2</v>
      </c>
      <c r="AG823" t="s">
        <v>6955</v>
      </c>
      <c r="AN823">
        <v>1</v>
      </c>
      <c r="AO823" t="s">
        <v>7052</v>
      </c>
      <c r="AY823" s="6"/>
      <c r="BD823">
        <v>1</v>
      </c>
      <c r="BV823"/>
      <c r="BW823"/>
      <c r="BX823"/>
      <c r="BY823"/>
      <c r="BZ823"/>
      <c r="CA823"/>
      <c r="CB823" s="6"/>
      <c r="CC823" s="6"/>
      <c r="CD823" s="6"/>
      <c r="CE823" s="6"/>
      <c r="CF823" s="6"/>
      <c r="CI823" s="6"/>
      <c r="CJ823" s="6"/>
      <c r="CK823" s="6"/>
      <c r="CL823" s="6"/>
      <c r="CM823" s="6"/>
      <c r="CN823" t="s">
        <v>8423</v>
      </c>
      <c r="CR823">
        <v>43</v>
      </c>
    </row>
    <row r="824" spans="1:99">
      <c r="A824" t="s">
        <v>8738</v>
      </c>
      <c r="C824" t="s">
        <v>7549</v>
      </c>
      <c r="K824" t="s">
        <v>6953</v>
      </c>
      <c r="L824" t="s">
        <v>7550</v>
      </c>
      <c r="N824">
        <v>1</v>
      </c>
      <c r="O824" t="s">
        <v>8407</v>
      </c>
      <c r="AC824">
        <v>2</v>
      </c>
      <c r="AG824" t="s">
        <v>6955</v>
      </c>
      <c r="AH824">
        <v>1</v>
      </c>
      <c r="AN824">
        <v>1</v>
      </c>
      <c r="AY824" s="6">
        <v>1</v>
      </c>
      <c r="BD824">
        <v>1</v>
      </c>
      <c r="BP824" t="s">
        <v>8734</v>
      </c>
      <c r="BV824"/>
      <c r="BW824"/>
      <c r="BX824"/>
      <c r="BY824"/>
      <c r="BZ824"/>
      <c r="CA824"/>
      <c r="CB824" s="6"/>
      <c r="CC824" s="6"/>
      <c r="CD824" s="6"/>
      <c r="CE824" s="6"/>
      <c r="CF824" s="6"/>
      <c r="CI824" s="6"/>
      <c r="CJ824" s="6"/>
      <c r="CK824" s="6"/>
      <c r="CL824" s="6"/>
      <c r="CM824" s="6"/>
      <c r="CN824" t="s">
        <v>8724</v>
      </c>
      <c r="CR824">
        <v>9999</v>
      </c>
      <c r="CU824" t="s">
        <v>8725</v>
      </c>
    </row>
    <row r="825" spans="1:96">
      <c r="A825" t="s">
        <v>8739</v>
      </c>
      <c r="C825" t="s">
        <v>6968</v>
      </c>
      <c r="K825" t="s">
        <v>6953</v>
      </c>
      <c r="O825"/>
      <c r="AC825">
        <v>2</v>
      </c>
      <c r="AG825" t="s">
        <v>6955</v>
      </c>
      <c r="AN825">
        <v>1</v>
      </c>
      <c r="AY825" s="6"/>
      <c r="BD825">
        <v>1</v>
      </c>
      <c r="BV825"/>
      <c r="BW825"/>
      <c r="BX825"/>
      <c r="BY825"/>
      <c r="BZ825"/>
      <c r="CA825"/>
      <c r="CB825" s="6"/>
      <c r="CC825" s="6"/>
      <c r="CD825" s="6"/>
      <c r="CE825" s="6"/>
      <c r="CF825" s="6"/>
      <c r="CI825" s="6"/>
      <c r="CJ825" s="6"/>
      <c r="CK825" s="6"/>
      <c r="CL825" s="6"/>
      <c r="CM825" s="6"/>
      <c r="CN825" t="s">
        <v>8420</v>
      </c>
      <c r="CR825">
        <v>5.2</v>
      </c>
    </row>
    <row r="826" spans="1:112">
      <c r="A826" t="s">
        <v>8740</v>
      </c>
      <c r="C826" t="s">
        <v>6968</v>
      </c>
      <c r="K826" t="s">
        <v>6953</v>
      </c>
      <c r="N826"/>
      <c r="O826"/>
      <c r="AC826">
        <v>2</v>
      </c>
      <c r="AG826" t="s">
        <v>6955</v>
      </c>
      <c r="AY826" s="6"/>
      <c r="BD826">
        <v>1</v>
      </c>
      <c r="BV826"/>
      <c r="BW826"/>
      <c r="BX826"/>
      <c r="BY826"/>
      <c r="BZ826"/>
      <c r="CA826"/>
      <c r="CB826" s="6"/>
      <c r="CC826" s="6"/>
      <c r="CD826" s="6"/>
      <c r="CE826" s="6"/>
      <c r="CF826" s="6"/>
      <c r="CG826"/>
      <c r="CI826" s="6"/>
      <c r="CJ826" s="6"/>
      <c r="CK826" s="6"/>
      <c r="CL826" s="6"/>
      <c r="CM826" s="6"/>
      <c r="CN826" t="s">
        <v>8741</v>
      </c>
      <c r="DH826">
        <v>0</v>
      </c>
    </row>
    <row r="827" spans="1:112">
      <c r="A827" t="s">
        <v>8742</v>
      </c>
      <c r="C827" t="s">
        <v>6968</v>
      </c>
      <c r="K827" t="s">
        <v>6953</v>
      </c>
      <c r="N827"/>
      <c r="O827"/>
      <c r="AC827">
        <v>2</v>
      </c>
      <c r="AJ827" t="s">
        <v>8743</v>
      </c>
      <c r="AN827">
        <v>1</v>
      </c>
      <c r="AV827">
        <v>99</v>
      </c>
      <c r="AX827" t="s">
        <v>7631</v>
      </c>
      <c r="AY827" s="6"/>
      <c r="AZ827">
        <v>9999</v>
      </c>
      <c r="BD827">
        <v>99</v>
      </c>
      <c r="BV827"/>
      <c r="BW827"/>
      <c r="BX827"/>
      <c r="BY827"/>
      <c r="BZ827"/>
      <c r="CA827"/>
      <c r="CB827" s="6"/>
      <c r="CC827" s="6"/>
      <c r="CD827" s="6"/>
      <c r="CE827" s="6"/>
      <c r="CF827" s="6"/>
      <c r="CG827" t="s">
        <v>7057</v>
      </c>
      <c r="CI827" s="6"/>
      <c r="CJ827" s="6"/>
      <c r="CK827" s="6"/>
      <c r="CL827" s="6"/>
      <c r="CM827" s="6"/>
      <c r="CU827"/>
      <c r="DH827">
        <v>1</v>
      </c>
    </row>
    <row r="828" spans="1:99">
      <c r="A828" t="s">
        <v>8744</v>
      </c>
      <c r="C828" t="s">
        <v>6968</v>
      </c>
      <c r="K828"/>
      <c r="L828" s="6" t="s">
        <v>7060</v>
      </c>
      <c r="N828"/>
      <c r="O828"/>
      <c r="AC828"/>
      <c r="AJ828"/>
      <c r="AN828"/>
      <c r="AV828"/>
      <c r="AX828"/>
      <c r="AY828" s="6"/>
      <c r="AZ828"/>
      <c r="BD828"/>
      <c r="BV828"/>
      <c r="BW828"/>
      <c r="BX828"/>
      <c r="BY828"/>
      <c r="BZ828"/>
      <c r="CA828"/>
      <c r="CB828" s="6"/>
      <c r="CC828" s="6"/>
      <c r="CD828" s="6"/>
      <c r="CE828" s="6"/>
      <c r="CF828" s="6"/>
      <c r="CG828"/>
      <c r="CI828" s="6"/>
      <c r="CJ828" s="6"/>
      <c r="CK828" s="6"/>
      <c r="CL828" s="6"/>
      <c r="CM828" s="6"/>
      <c r="CN828" t="s">
        <v>8745</v>
      </c>
      <c r="CU828"/>
    </row>
    <row r="829" spans="1:99">
      <c r="A829"/>
      <c r="C829"/>
      <c r="K829"/>
      <c r="N829"/>
      <c r="O829"/>
      <c r="AC829"/>
      <c r="AJ829"/>
      <c r="AN829"/>
      <c r="AV829"/>
      <c r="AX829"/>
      <c r="AY829" s="6"/>
      <c r="AZ829"/>
      <c r="BD829"/>
      <c r="BV829"/>
      <c r="BW829"/>
      <c r="BX829"/>
      <c r="BY829"/>
      <c r="BZ829"/>
      <c r="CA829"/>
      <c r="CB829" s="6"/>
      <c r="CC829" s="6"/>
      <c r="CD829" s="6"/>
      <c r="CE829" s="6"/>
      <c r="CF829" s="6"/>
      <c r="CG829"/>
      <c r="CI829" s="6"/>
      <c r="CJ829" s="6"/>
      <c r="CK829" s="6"/>
      <c r="CL829" s="6"/>
      <c r="CM829" s="6"/>
      <c r="CU829"/>
    </row>
    <row r="830" spans="1:99">
      <c r="A830"/>
      <c r="C830"/>
      <c r="K830"/>
      <c r="N830"/>
      <c r="O830"/>
      <c r="AC830"/>
      <c r="AJ830"/>
      <c r="AN830"/>
      <c r="AV830"/>
      <c r="AX830"/>
      <c r="AY830" s="6"/>
      <c r="AZ830"/>
      <c r="BD830"/>
      <c r="BV830"/>
      <c r="BW830"/>
      <c r="BX830"/>
      <c r="BY830"/>
      <c r="BZ830"/>
      <c r="CA830"/>
      <c r="CB830" s="6"/>
      <c r="CC830" s="6"/>
      <c r="CD830" s="6"/>
      <c r="CE830" s="6"/>
      <c r="CF830" s="6"/>
      <c r="CG830"/>
      <c r="CI830" s="6"/>
      <c r="CJ830" s="6"/>
      <c r="CK830" s="6"/>
      <c r="CL830" s="6"/>
      <c r="CM830" s="6"/>
      <c r="CU830"/>
    </row>
    <row r="831" spans="1:99">
      <c r="A831"/>
      <c r="C831"/>
      <c r="K831"/>
      <c r="N831"/>
      <c r="O831"/>
      <c r="AC831"/>
      <c r="AJ831"/>
      <c r="AN831"/>
      <c r="AV831"/>
      <c r="AX831"/>
      <c r="AY831" s="6"/>
      <c r="AZ831"/>
      <c r="BD831"/>
      <c r="BV831"/>
      <c r="BW831"/>
      <c r="BX831"/>
      <c r="BY831"/>
      <c r="BZ831"/>
      <c r="CA831"/>
      <c r="CB831" s="6"/>
      <c r="CC831" s="6"/>
      <c r="CD831" s="6"/>
      <c r="CE831" s="6"/>
      <c r="CF831" s="6"/>
      <c r="CG831"/>
      <c r="CI831" s="6"/>
      <c r="CJ831" s="6"/>
      <c r="CK831" s="6"/>
      <c r="CL831" s="6"/>
      <c r="CM831" s="6"/>
      <c r="CU831"/>
    </row>
    <row r="832" spans="1:99">
      <c r="A832"/>
      <c r="C832"/>
      <c r="K832"/>
      <c r="N832"/>
      <c r="O832"/>
      <c r="AC832"/>
      <c r="AJ832"/>
      <c r="AN832"/>
      <c r="AV832"/>
      <c r="AX832"/>
      <c r="AY832" s="6"/>
      <c r="AZ832"/>
      <c r="BD832"/>
      <c r="BV832"/>
      <c r="BW832"/>
      <c r="BX832"/>
      <c r="BY832"/>
      <c r="BZ832"/>
      <c r="CA832"/>
      <c r="CB832" s="6"/>
      <c r="CC832" s="6"/>
      <c r="CD832" s="6"/>
      <c r="CE832" s="6"/>
      <c r="CF832" s="6"/>
      <c r="CG832"/>
      <c r="CI832" s="6"/>
      <c r="CJ832" s="6"/>
      <c r="CK832" s="6"/>
      <c r="CL832" s="6"/>
      <c r="CM832" s="6"/>
      <c r="CU832"/>
    </row>
    <row r="833" spans="15:15">
      <c r="O833"/>
    </row>
    <row r="834" spans="1:96">
      <c r="A834" t="s">
        <v>8694</v>
      </c>
      <c r="C834" t="s">
        <v>6968</v>
      </c>
      <c r="N834" s="6">
        <v>1</v>
      </c>
      <c r="O834" s="6" t="s">
        <v>1542</v>
      </c>
      <c r="AC834">
        <v>2</v>
      </c>
      <c r="AG834" t="s">
        <v>6955</v>
      </c>
      <c r="AN834">
        <v>1</v>
      </c>
      <c r="AY834" s="6"/>
      <c r="BD834">
        <v>1</v>
      </c>
      <c r="BS834">
        <v>1</v>
      </c>
      <c r="BV834"/>
      <c r="BW834"/>
      <c r="BX834"/>
      <c r="BY834"/>
      <c r="BZ834"/>
      <c r="CA834"/>
      <c r="CB834" t="s">
        <v>8558</v>
      </c>
      <c r="CC834" s="6"/>
      <c r="CD834" s="6"/>
      <c r="CE834" s="6"/>
      <c r="CF834" s="6"/>
      <c r="CG834" t="s">
        <v>7057</v>
      </c>
      <c r="CH834" s="6"/>
      <c r="CI834" s="6"/>
      <c r="CJ834" s="6"/>
      <c r="CK834" s="6"/>
      <c r="CL834" s="6"/>
      <c r="CM834" s="6"/>
      <c r="CN834" s="10" t="s">
        <v>8569</v>
      </c>
      <c r="CO834">
        <v>99999</v>
      </c>
      <c r="CP834">
        <v>2</v>
      </c>
      <c r="CR834">
        <v>9999</v>
      </c>
    </row>
    <row r="835" spans="1:85">
      <c r="A835" t="s">
        <v>8746</v>
      </c>
      <c r="C835" t="s">
        <v>4994</v>
      </c>
      <c r="AC835">
        <v>1</v>
      </c>
      <c r="AN835">
        <v>1</v>
      </c>
      <c r="AO835" t="s">
        <v>7052</v>
      </c>
      <c r="AV835">
        <v>0</v>
      </c>
      <c r="AX835" t="s">
        <v>7064</v>
      </c>
      <c r="AZ835">
        <v>1</v>
      </c>
      <c r="BD835">
        <v>1</v>
      </c>
      <c r="CB835" t="s">
        <v>4335</v>
      </c>
      <c r="CG835" t="s">
        <v>7057</v>
      </c>
    </row>
    <row r="836" s="5" customFormat="1" spans="1:92">
      <c r="A836" s="5" t="s">
        <v>8747</v>
      </c>
      <c r="K836" s="20"/>
      <c r="L836" s="20"/>
      <c r="M836" s="20"/>
      <c r="N836" s="20"/>
      <c r="O836" s="20"/>
      <c r="P836" s="20"/>
      <c r="Q836" s="20"/>
      <c r="R836" s="20"/>
      <c r="S836" s="20"/>
      <c r="T836" s="20"/>
      <c r="U836" s="20"/>
      <c r="V836" s="20"/>
      <c r="W836" s="20"/>
      <c r="X836" s="20"/>
      <c r="AR836"/>
      <c r="AS836"/>
      <c r="AW836" s="7"/>
      <c r="BO836" s="8"/>
      <c r="BP836" s="8"/>
      <c r="BV836" s="21"/>
      <c r="BW836" s="21"/>
      <c r="BX836" s="21"/>
      <c r="BY836" s="21"/>
      <c r="BZ836" s="21"/>
      <c r="CA836" s="21"/>
      <c r="CN836" s="10"/>
    </row>
    <row r="837" spans="1:112">
      <c r="A837" t="s">
        <v>843</v>
      </c>
      <c r="C837" t="s">
        <v>8748</v>
      </c>
      <c r="K837" s="6" t="s">
        <v>6987</v>
      </c>
      <c r="AC837">
        <v>2</v>
      </c>
      <c r="AH837">
        <v>1</v>
      </c>
      <c r="AN837">
        <v>1</v>
      </c>
      <c r="AT837" t="s">
        <v>7087</v>
      </c>
      <c r="CU837" t="s">
        <v>8749</v>
      </c>
      <c r="DD837">
        <v>1</v>
      </c>
      <c r="DH837">
        <v>1</v>
      </c>
    </row>
    <row r="838" spans="1:99">
      <c r="A838" t="s">
        <v>8750</v>
      </c>
      <c r="C838" t="s">
        <v>8751</v>
      </c>
      <c r="K838" s="6" t="s">
        <v>6953</v>
      </c>
      <c r="L838" s="6" t="s">
        <v>7060</v>
      </c>
      <c r="AC838">
        <v>2</v>
      </c>
      <c r="AN838">
        <v>1</v>
      </c>
      <c r="AV838">
        <v>99</v>
      </c>
      <c r="AZ838">
        <v>0</v>
      </c>
      <c r="BD838">
        <v>99</v>
      </c>
      <c r="CU838" t="s">
        <v>8752</v>
      </c>
    </row>
    <row r="839" spans="1:46">
      <c r="A839" t="s">
        <v>846</v>
      </c>
      <c r="B839" t="s">
        <v>8753</v>
      </c>
      <c r="C839" t="s">
        <v>6968</v>
      </c>
      <c r="J839" t="s">
        <v>7051</v>
      </c>
      <c r="AC839">
        <v>3</v>
      </c>
      <c r="AG839" t="s">
        <v>6955</v>
      </c>
      <c r="AN839">
        <v>1</v>
      </c>
      <c r="AO839" t="s">
        <v>8069</v>
      </c>
      <c r="AT839" t="s">
        <v>7888</v>
      </c>
    </row>
    <row r="840" spans="1:46">
      <c r="A840" t="s">
        <v>8754</v>
      </c>
      <c r="B840" t="s">
        <v>8753</v>
      </c>
      <c r="C840" t="s">
        <v>6968</v>
      </c>
      <c r="J840" t="s">
        <v>7051</v>
      </c>
      <c r="AC840">
        <v>3</v>
      </c>
      <c r="AG840" t="s">
        <v>6955</v>
      </c>
      <c r="AN840">
        <v>1</v>
      </c>
      <c r="AO840" t="s">
        <v>8069</v>
      </c>
      <c r="AT840" t="s">
        <v>7092</v>
      </c>
    </row>
    <row r="841" spans="1:108">
      <c r="A841" t="s">
        <v>847</v>
      </c>
      <c r="C841" t="s">
        <v>6968</v>
      </c>
      <c r="J841" t="s">
        <v>6985</v>
      </c>
      <c r="W841" s="6">
        <v>1</v>
      </c>
      <c r="X841" s="6">
        <v>1</v>
      </c>
      <c r="Y841">
        <v>1</v>
      </c>
      <c r="AC841">
        <v>3</v>
      </c>
      <c r="AN841">
        <v>1</v>
      </c>
      <c r="AO841" t="s">
        <v>8069</v>
      </c>
      <c r="AT841" t="s">
        <v>7888</v>
      </c>
      <c r="AX841" t="s">
        <v>7631</v>
      </c>
      <c r="AZ841">
        <v>1</v>
      </c>
      <c r="BD841">
        <v>99</v>
      </c>
      <c r="BS841">
        <v>1</v>
      </c>
      <c r="BT841">
        <v>0.2</v>
      </c>
      <c r="BV841" s="9">
        <v>0</v>
      </c>
      <c r="BW841" s="9">
        <v>2</v>
      </c>
      <c r="BX841" s="9">
        <v>1</v>
      </c>
      <c r="BY841" s="9" t="s">
        <v>6987</v>
      </c>
      <c r="CB841" t="s">
        <v>140</v>
      </c>
      <c r="DD841">
        <v>1</v>
      </c>
    </row>
    <row r="842" spans="1:108">
      <c r="A842" t="s">
        <v>851</v>
      </c>
      <c r="C842" t="s">
        <v>6968</v>
      </c>
      <c r="J842" t="s">
        <v>6985</v>
      </c>
      <c r="W842" s="6">
        <v>1</v>
      </c>
      <c r="X842" s="6">
        <v>1</v>
      </c>
      <c r="Y842">
        <v>1</v>
      </c>
      <c r="AC842">
        <v>1</v>
      </c>
      <c r="AN842">
        <v>1</v>
      </c>
      <c r="AO842" t="s">
        <v>8069</v>
      </c>
      <c r="AT842" t="s">
        <v>7888</v>
      </c>
      <c r="AX842" t="s">
        <v>7631</v>
      </c>
      <c r="AZ842">
        <v>0</v>
      </c>
      <c r="BD842">
        <v>99</v>
      </c>
      <c r="BS842">
        <v>1</v>
      </c>
      <c r="BT842">
        <v>0.2</v>
      </c>
      <c r="BV842" s="9">
        <v>0</v>
      </c>
      <c r="BW842" s="9">
        <v>15</v>
      </c>
      <c r="BX842" s="9">
        <v>1</v>
      </c>
      <c r="BY842" s="9" t="s">
        <v>6987</v>
      </c>
      <c r="CB842" t="s">
        <v>140</v>
      </c>
      <c r="CN842" s="10" t="s">
        <v>8404</v>
      </c>
      <c r="CO842">
        <v>-30</v>
      </c>
      <c r="CR842">
        <v>10</v>
      </c>
      <c r="DD842">
        <v>1</v>
      </c>
    </row>
    <row r="843" spans="1:108">
      <c r="A843" t="s">
        <v>855</v>
      </c>
      <c r="C843" t="s">
        <v>8727</v>
      </c>
      <c r="J843" t="s">
        <v>6985</v>
      </c>
      <c r="W843" s="6">
        <v>1</v>
      </c>
      <c r="AC843">
        <v>1</v>
      </c>
      <c r="AN843">
        <v>1</v>
      </c>
      <c r="AO843" t="s">
        <v>8069</v>
      </c>
      <c r="AX843" t="s">
        <v>7064</v>
      </c>
      <c r="AZ843">
        <v>1</v>
      </c>
      <c r="BS843">
        <v>1</v>
      </c>
      <c r="BT843">
        <v>0.2</v>
      </c>
      <c r="BV843" s="9">
        <v>0</v>
      </c>
      <c r="BW843" s="9">
        <v>5</v>
      </c>
      <c r="BX843" s="9">
        <v>1</v>
      </c>
      <c r="BY843" s="9" t="s">
        <v>6987</v>
      </c>
      <c r="CB843" t="s">
        <v>140</v>
      </c>
      <c r="CH843" t="s">
        <v>8727</v>
      </c>
      <c r="DD843">
        <v>1</v>
      </c>
    </row>
    <row r="844" spans="1:99">
      <c r="A844" t="s">
        <v>8755</v>
      </c>
      <c r="C844" t="s">
        <v>8751</v>
      </c>
      <c r="K844" s="6" t="s">
        <v>6953</v>
      </c>
      <c r="L844" s="6" t="s">
        <v>7315</v>
      </c>
      <c r="AC844">
        <v>7</v>
      </c>
      <c r="AF844">
        <v>1</v>
      </c>
      <c r="AG844" t="s">
        <v>6955</v>
      </c>
      <c r="AH844">
        <v>1</v>
      </c>
      <c r="AN844">
        <v>1</v>
      </c>
      <c r="AT844" t="s">
        <v>7087</v>
      </c>
      <c r="AZ844">
        <v>0</v>
      </c>
      <c r="BD844">
        <v>1</v>
      </c>
      <c r="CU844" t="s">
        <v>8752</v>
      </c>
    </row>
    <row r="845" spans="1:108">
      <c r="A845" t="s">
        <v>8756</v>
      </c>
      <c r="C845" t="s">
        <v>6968</v>
      </c>
      <c r="K845" s="6" t="s">
        <v>6953</v>
      </c>
      <c r="AC845">
        <v>4</v>
      </c>
      <c r="AG845" t="s">
        <v>6955</v>
      </c>
      <c r="AN845">
        <v>1</v>
      </c>
      <c r="AZ845">
        <v>1</v>
      </c>
      <c r="BD845">
        <v>1</v>
      </c>
      <c r="DD845">
        <v>1</v>
      </c>
    </row>
    <row r="846" spans="1:108">
      <c r="A846" t="s">
        <v>860</v>
      </c>
      <c r="C846" t="s">
        <v>6968</v>
      </c>
      <c r="J846" t="s">
        <v>6985</v>
      </c>
      <c r="K846" s="6" t="s">
        <v>6986</v>
      </c>
      <c r="X846" s="6">
        <v>1</v>
      </c>
      <c r="AC846">
        <v>2</v>
      </c>
      <c r="AN846">
        <v>1</v>
      </c>
      <c r="AO846" t="s">
        <v>8069</v>
      </c>
      <c r="AT846" t="s">
        <v>7092</v>
      </c>
      <c r="AX846" t="s">
        <v>7631</v>
      </c>
      <c r="AZ846">
        <v>1</v>
      </c>
      <c r="BD846">
        <v>99</v>
      </c>
      <c r="BP846" s="8" t="s">
        <v>8756</v>
      </c>
      <c r="BS846">
        <v>1</v>
      </c>
      <c r="BT846">
        <v>0.2</v>
      </c>
      <c r="BV846" s="9">
        <v>0</v>
      </c>
      <c r="BW846" s="9">
        <v>2</v>
      </c>
      <c r="BX846" s="9">
        <v>1</v>
      </c>
      <c r="BY846" s="9" t="s">
        <v>6987</v>
      </c>
      <c r="CB846" t="s">
        <v>140</v>
      </c>
      <c r="DD846">
        <v>1</v>
      </c>
    </row>
    <row r="847" spans="1:108">
      <c r="A847" t="s">
        <v>863</v>
      </c>
      <c r="C847" t="s">
        <v>6968</v>
      </c>
      <c r="K847" s="6" t="s">
        <v>6987</v>
      </c>
      <c r="AC847">
        <v>3</v>
      </c>
      <c r="AN847">
        <v>1</v>
      </c>
      <c r="AO847" t="s">
        <v>8069</v>
      </c>
      <c r="AV847">
        <v>0.25</v>
      </c>
      <c r="AZ847">
        <v>0</v>
      </c>
      <c r="BD847">
        <v>99</v>
      </c>
      <c r="CN847" s="10" t="s">
        <v>8757</v>
      </c>
      <c r="CO847" t="s">
        <v>8508</v>
      </c>
      <c r="CP847">
        <v>60</v>
      </c>
      <c r="CR847">
        <v>300</v>
      </c>
      <c r="DD847">
        <v>1</v>
      </c>
    </row>
    <row r="848" spans="1:108">
      <c r="A848" t="s">
        <v>868</v>
      </c>
      <c r="C848" t="s">
        <v>6968</v>
      </c>
      <c r="K848" s="6" t="s">
        <v>6953</v>
      </c>
      <c r="L848" s="6" t="s">
        <v>6969</v>
      </c>
      <c r="AC848">
        <v>1</v>
      </c>
      <c r="AN848">
        <v>1</v>
      </c>
      <c r="AO848" t="s">
        <v>8069</v>
      </c>
      <c r="AT848" t="s">
        <v>7087</v>
      </c>
      <c r="AZ848">
        <v>0</v>
      </c>
      <c r="BD848">
        <v>99</v>
      </c>
      <c r="CN848" s="10" t="s">
        <v>8758</v>
      </c>
      <c r="CO848">
        <v>1</v>
      </c>
      <c r="CR848">
        <v>9999</v>
      </c>
      <c r="DD848">
        <v>1</v>
      </c>
    </row>
    <row r="849" spans="1:99">
      <c r="A849" t="s">
        <v>873</v>
      </c>
      <c r="C849" t="s">
        <v>8759</v>
      </c>
      <c r="J849" t="s">
        <v>6985</v>
      </c>
      <c r="K849" s="6" t="s">
        <v>6986</v>
      </c>
      <c r="M849" s="6">
        <v>20</v>
      </c>
      <c r="AC849">
        <v>1</v>
      </c>
      <c r="AG849" t="s">
        <v>6955</v>
      </c>
      <c r="AN849">
        <v>1</v>
      </c>
      <c r="AT849" t="s">
        <v>7087</v>
      </c>
      <c r="AZ849">
        <v>1</v>
      </c>
      <c r="BD849">
        <v>1</v>
      </c>
      <c r="BT849">
        <v>3600</v>
      </c>
      <c r="BV849" s="9">
        <v>0</v>
      </c>
      <c r="BW849" s="9">
        <v>120</v>
      </c>
      <c r="BX849" s="9">
        <v>1</v>
      </c>
      <c r="BY849" s="9" t="s">
        <v>6987</v>
      </c>
      <c r="CN849" s="10" t="s">
        <v>8760</v>
      </c>
      <c r="CO849" t="s">
        <v>8761</v>
      </c>
      <c r="CR849">
        <v>9999</v>
      </c>
      <c r="CU849" t="s">
        <v>8762</v>
      </c>
    </row>
    <row r="850" spans="1:99">
      <c r="A850" t="s">
        <v>8763</v>
      </c>
      <c r="C850" t="s">
        <v>8649</v>
      </c>
      <c r="K850" s="6" t="s">
        <v>6953</v>
      </c>
      <c r="L850" s="6" t="s">
        <v>7315</v>
      </c>
      <c r="AC850">
        <v>1</v>
      </c>
      <c r="AF850">
        <v>1</v>
      </c>
      <c r="AG850" t="s">
        <v>6955</v>
      </c>
      <c r="AH850">
        <v>1</v>
      </c>
      <c r="AN850">
        <v>1</v>
      </c>
      <c r="BD850">
        <v>1</v>
      </c>
      <c r="CU850" t="s">
        <v>8764</v>
      </c>
    </row>
    <row r="851" spans="1:108">
      <c r="A851" t="s">
        <v>877</v>
      </c>
      <c r="C851" t="s">
        <v>6968</v>
      </c>
      <c r="J851" t="s">
        <v>6985</v>
      </c>
      <c r="R851" t="s">
        <v>8581</v>
      </c>
      <c r="W851" s="6">
        <v>1</v>
      </c>
      <c r="X851" s="6">
        <v>1</v>
      </c>
      <c r="Y851">
        <v>1</v>
      </c>
      <c r="AC851">
        <v>3</v>
      </c>
      <c r="AN851">
        <v>1</v>
      </c>
      <c r="AO851" t="s">
        <v>8069</v>
      </c>
      <c r="AT851" t="s">
        <v>7888</v>
      </c>
      <c r="AX851" t="s">
        <v>7631</v>
      </c>
      <c r="AZ851">
        <v>500</v>
      </c>
      <c r="BB851">
        <v>2</v>
      </c>
      <c r="BD851">
        <v>99</v>
      </c>
      <c r="BP851" s="8" t="s">
        <v>8765</v>
      </c>
      <c r="BS851">
        <v>1</v>
      </c>
      <c r="BT851">
        <v>0.2</v>
      </c>
      <c r="BV851" s="9">
        <v>0</v>
      </c>
      <c r="BW851" s="9">
        <v>7</v>
      </c>
      <c r="BX851" s="9">
        <v>1</v>
      </c>
      <c r="BY851" s="9" t="s">
        <v>6987</v>
      </c>
      <c r="CB851" t="s">
        <v>140</v>
      </c>
      <c r="DD851">
        <v>1</v>
      </c>
    </row>
    <row r="852" spans="1:108">
      <c r="A852" t="s">
        <v>8765</v>
      </c>
      <c r="C852" t="s">
        <v>6968</v>
      </c>
      <c r="K852" s="6" t="s">
        <v>6953</v>
      </c>
      <c r="Q852" t="s">
        <v>8581</v>
      </c>
      <c r="W852" s="6">
        <v>1</v>
      </c>
      <c r="X852" s="6">
        <v>1</v>
      </c>
      <c r="Y852">
        <v>1</v>
      </c>
      <c r="AC852">
        <v>3</v>
      </c>
      <c r="AN852">
        <v>1</v>
      </c>
      <c r="AO852" t="s">
        <v>8069</v>
      </c>
      <c r="AT852" t="s">
        <v>7087</v>
      </c>
      <c r="BD852">
        <v>99</v>
      </c>
      <c r="CN852" s="10" t="s">
        <v>8583</v>
      </c>
      <c r="CR852">
        <v>9999</v>
      </c>
      <c r="DD852">
        <v>1</v>
      </c>
    </row>
    <row r="853" spans="1:108">
      <c r="A853" t="s">
        <v>880</v>
      </c>
      <c r="C853" t="s">
        <v>6968</v>
      </c>
      <c r="K853" s="6" t="s">
        <v>6953</v>
      </c>
      <c r="L853" s="6" t="s">
        <v>6969</v>
      </c>
      <c r="AC853">
        <v>1</v>
      </c>
      <c r="AN853">
        <v>1</v>
      </c>
      <c r="AO853" t="s">
        <v>8069</v>
      </c>
      <c r="AT853" t="s">
        <v>7087</v>
      </c>
      <c r="AZ853">
        <v>0</v>
      </c>
      <c r="BD853">
        <v>99</v>
      </c>
      <c r="CN853" s="10" t="s">
        <v>8766</v>
      </c>
      <c r="CO853">
        <v>0.02</v>
      </c>
      <c r="CR853">
        <v>9999</v>
      </c>
      <c r="DD853">
        <v>1</v>
      </c>
    </row>
    <row r="854" spans="1:108">
      <c r="A854" t="s">
        <v>883</v>
      </c>
      <c r="C854" t="s">
        <v>6968</v>
      </c>
      <c r="K854" s="6" t="s">
        <v>6953</v>
      </c>
      <c r="L854" s="6" t="s">
        <v>6969</v>
      </c>
      <c r="AC854">
        <v>1</v>
      </c>
      <c r="AN854">
        <v>1</v>
      </c>
      <c r="AO854" t="s">
        <v>8069</v>
      </c>
      <c r="AT854" t="s">
        <v>7087</v>
      </c>
      <c r="AY854" s="6"/>
      <c r="AZ854">
        <v>1</v>
      </c>
      <c r="BD854">
        <v>1</v>
      </c>
      <c r="BV854"/>
      <c r="BW854"/>
      <c r="BX854"/>
      <c r="BY854"/>
      <c r="BZ854"/>
      <c r="CA854"/>
      <c r="CB854" s="6"/>
      <c r="CC854" s="6"/>
      <c r="CD854" s="6"/>
      <c r="CE854" s="6"/>
      <c r="CF854" s="6"/>
      <c r="CH854" s="6"/>
      <c r="CI854" s="6"/>
      <c r="CJ854" s="6"/>
      <c r="CK854" s="6"/>
      <c r="CL854" s="6"/>
      <c r="CM854" s="6"/>
      <c r="CN854" s="10" t="s">
        <v>8767</v>
      </c>
      <c r="CO854">
        <v>200</v>
      </c>
      <c r="CR854">
        <v>9999</v>
      </c>
      <c r="DD854">
        <v>1</v>
      </c>
    </row>
    <row r="855" ht="14.25" customHeight="1" spans="1:108">
      <c r="A855" t="s">
        <v>887</v>
      </c>
      <c r="C855" t="s">
        <v>6968</v>
      </c>
      <c r="K855" s="6" t="s">
        <v>6953</v>
      </c>
      <c r="L855" s="6" t="s">
        <v>6969</v>
      </c>
      <c r="AC855">
        <v>1</v>
      </c>
      <c r="AN855">
        <v>1</v>
      </c>
      <c r="AO855" t="s">
        <v>8069</v>
      </c>
      <c r="AT855" t="s">
        <v>7087</v>
      </c>
      <c r="AY855" s="6"/>
      <c r="AZ855">
        <v>1</v>
      </c>
      <c r="BD855">
        <v>1</v>
      </c>
      <c r="BV855"/>
      <c r="BW855"/>
      <c r="BX855"/>
      <c r="BY855"/>
      <c r="BZ855"/>
      <c r="CA855"/>
      <c r="CB855" s="6"/>
      <c r="CC855" s="6"/>
      <c r="CD855" s="6"/>
      <c r="CE855" s="6"/>
      <c r="CF855" s="6"/>
      <c r="CH855" s="6"/>
      <c r="CI855" s="6"/>
      <c r="CJ855" s="6"/>
      <c r="CK855" s="6"/>
      <c r="CL855" s="6"/>
      <c r="CM855" s="6"/>
      <c r="CN855" s="10" t="s">
        <v>8768</v>
      </c>
      <c r="CO855">
        <v>-0.5</v>
      </c>
      <c r="CR855">
        <v>9999</v>
      </c>
      <c r="DD855">
        <v>1</v>
      </c>
    </row>
    <row r="856" ht="14.25" customHeight="1" spans="1:108">
      <c r="A856" t="s">
        <v>891</v>
      </c>
      <c r="C856" t="s">
        <v>6968</v>
      </c>
      <c r="K856" s="6" t="s">
        <v>6953</v>
      </c>
      <c r="L856" s="6" t="s">
        <v>6969</v>
      </c>
      <c r="AC856">
        <v>1</v>
      </c>
      <c r="AN856">
        <v>1</v>
      </c>
      <c r="AO856" t="s">
        <v>8069</v>
      </c>
      <c r="AT856" t="s">
        <v>7087</v>
      </c>
      <c r="AY856" s="6"/>
      <c r="AZ856">
        <v>1</v>
      </c>
      <c r="BD856">
        <v>1</v>
      </c>
      <c r="BV856"/>
      <c r="BW856"/>
      <c r="BX856"/>
      <c r="BY856"/>
      <c r="BZ856"/>
      <c r="CA856"/>
      <c r="CB856" s="6"/>
      <c r="CC856" s="6"/>
      <c r="CD856" s="6"/>
      <c r="CE856" s="6"/>
      <c r="CF856" s="6"/>
      <c r="CH856" s="6"/>
      <c r="CI856" s="6"/>
      <c r="CJ856" s="6"/>
      <c r="CK856" s="6"/>
      <c r="CL856" s="6"/>
      <c r="CM856" s="6"/>
      <c r="CN856" s="10" t="s">
        <v>8768</v>
      </c>
      <c r="CO856">
        <v>-0.5</v>
      </c>
      <c r="CR856">
        <v>9999</v>
      </c>
      <c r="DD856">
        <v>1</v>
      </c>
    </row>
    <row r="857" ht="14.25" customHeight="1" spans="1:108">
      <c r="A857" t="s">
        <v>894</v>
      </c>
      <c r="C857" t="s">
        <v>6968</v>
      </c>
      <c r="K857" s="6" t="s">
        <v>6987</v>
      </c>
      <c r="AC857">
        <v>3</v>
      </c>
      <c r="AN857">
        <v>1</v>
      </c>
      <c r="AO857" t="s">
        <v>8069</v>
      </c>
      <c r="AV857">
        <v>0.25</v>
      </c>
      <c r="AY857" s="6"/>
      <c r="AZ857">
        <v>0</v>
      </c>
      <c r="BD857">
        <v>99</v>
      </c>
      <c r="BV857"/>
      <c r="BW857"/>
      <c r="BX857"/>
      <c r="BY857"/>
      <c r="BZ857"/>
      <c r="CA857"/>
      <c r="CB857" s="6"/>
      <c r="CC857" s="6"/>
      <c r="CD857" s="6"/>
      <c r="CE857" s="6"/>
      <c r="CF857" s="6"/>
      <c r="CH857" s="6"/>
      <c r="CI857" s="6"/>
      <c r="CJ857" s="6"/>
      <c r="CK857" s="6"/>
      <c r="CL857" s="6"/>
      <c r="CM857" s="6"/>
      <c r="CN857" s="10" t="s">
        <v>8769</v>
      </c>
      <c r="CO857">
        <v>-0.6</v>
      </c>
      <c r="CR857">
        <v>0.1</v>
      </c>
      <c r="DD857">
        <v>1</v>
      </c>
    </row>
    <row r="858" spans="1:108">
      <c r="A858" t="s">
        <v>897</v>
      </c>
      <c r="C858" t="s">
        <v>6968</v>
      </c>
      <c r="K858" s="6" t="s">
        <v>6953</v>
      </c>
      <c r="L858" s="6" t="s">
        <v>6969</v>
      </c>
      <c r="AC858">
        <v>1</v>
      </c>
      <c r="AN858">
        <v>1</v>
      </c>
      <c r="AO858" t="s">
        <v>8069</v>
      </c>
      <c r="AT858" t="s">
        <v>7087</v>
      </c>
      <c r="AZ858">
        <v>0</v>
      </c>
      <c r="BD858">
        <v>99</v>
      </c>
      <c r="CN858" s="10" t="s">
        <v>7705</v>
      </c>
      <c r="CR858">
        <v>9999</v>
      </c>
      <c r="DD858">
        <v>1</v>
      </c>
    </row>
    <row r="859" ht="14.25" customHeight="1" spans="1:108">
      <c r="A859" t="s">
        <v>8770</v>
      </c>
      <c r="C859" t="s">
        <v>6968</v>
      </c>
      <c r="K859" s="6" t="s">
        <v>6987</v>
      </c>
      <c r="Q859" s="6" t="s">
        <v>8771</v>
      </c>
      <c r="AC859">
        <v>3</v>
      </c>
      <c r="AN859">
        <v>1</v>
      </c>
      <c r="AO859" t="s">
        <v>8069</v>
      </c>
      <c r="AV859">
        <v>0.25</v>
      </c>
      <c r="AY859" s="6"/>
      <c r="AZ859">
        <v>0</v>
      </c>
      <c r="BD859">
        <v>99</v>
      </c>
      <c r="BV859"/>
      <c r="BW859"/>
      <c r="BX859"/>
      <c r="BY859"/>
      <c r="BZ859"/>
      <c r="CA859"/>
      <c r="CB859" s="6"/>
      <c r="CC859" s="6"/>
      <c r="CD859" s="6"/>
      <c r="CE859" s="6"/>
      <c r="CF859" s="6"/>
      <c r="CH859" s="6"/>
      <c r="CI859" s="6"/>
      <c r="CJ859" s="6"/>
      <c r="CK859" s="6"/>
      <c r="CL859" s="6"/>
      <c r="CM859" s="6"/>
      <c r="CN859" s="10" t="s">
        <v>6957</v>
      </c>
      <c r="CO859">
        <v>1</v>
      </c>
      <c r="CR859">
        <v>0.1</v>
      </c>
      <c r="DD859">
        <v>1</v>
      </c>
    </row>
    <row r="860" ht="14.25" customHeight="1" spans="51:91">
      <c r="AY860" s="6"/>
      <c r="BV860"/>
      <c r="BW860"/>
      <c r="BX860"/>
      <c r="BY860"/>
      <c r="BZ860"/>
      <c r="CA860"/>
      <c r="CB860" s="6"/>
      <c r="CC860" s="6"/>
      <c r="CD860" s="6"/>
      <c r="CE860" s="6"/>
      <c r="CF860" s="6"/>
      <c r="CH860" s="6"/>
      <c r="CI860" s="6"/>
      <c r="CJ860" s="6"/>
      <c r="CK860" s="6"/>
      <c r="CL860" s="6"/>
      <c r="CM860" s="6"/>
    </row>
    <row r="861" s="5" customFormat="1" spans="1:92">
      <c r="A861" s="5" t="s">
        <v>8772</v>
      </c>
      <c r="K861" s="20"/>
      <c r="L861" s="20"/>
      <c r="M861" s="20"/>
      <c r="N861" s="20"/>
      <c r="O861" s="20"/>
      <c r="P861" s="20"/>
      <c r="Q861" s="20"/>
      <c r="R861" s="20"/>
      <c r="S861" s="20"/>
      <c r="T861" s="20"/>
      <c r="U861" s="20"/>
      <c r="V861" s="20"/>
      <c r="W861" s="20"/>
      <c r="X861" s="20"/>
      <c r="AR861"/>
      <c r="AS861"/>
      <c r="AW861" s="7"/>
      <c r="BO861" s="8"/>
      <c r="BP861" s="8"/>
      <c r="BV861" s="21"/>
      <c r="BW861" s="21"/>
      <c r="BX861" s="21"/>
      <c r="BY861" s="21"/>
      <c r="BZ861" s="21"/>
      <c r="CA861" s="21"/>
      <c r="CN861" s="10"/>
    </row>
    <row r="865" spans="1:96">
      <c r="A865" t="s">
        <v>8773</v>
      </c>
      <c r="C865" t="s">
        <v>6968</v>
      </c>
      <c r="K865" s="6" t="s">
        <v>6953</v>
      </c>
      <c r="L865" s="6" t="s">
        <v>6972</v>
      </c>
      <c r="AC865">
        <v>1</v>
      </c>
      <c r="AF865">
        <v>1</v>
      </c>
      <c r="AY865" s="6"/>
      <c r="BD865">
        <v>1</v>
      </c>
      <c r="BV865"/>
      <c r="BW865"/>
      <c r="BX865"/>
      <c r="BY865"/>
      <c r="BZ865"/>
      <c r="CA865"/>
      <c r="CB865" s="6"/>
      <c r="CC865" s="6"/>
      <c r="CD865" s="6"/>
      <c r="CE865" s="6"/>
      <c r="CF865" s="6"/>
      <c r="CH865" s="6"/>
      <c r="CI865" s="6"/>
      <c r="CJ865" s="6"/>
      <c r="CK865" s="6"/>
      <c r="CL865" s="6"/>
      <c r="CM865" s="6"/>
      <c r="CN865" s="10" t="s">
        <v>8774</v>
      </c>
      <c r="CO865">
        <v>-0.5</v>
      </c>
      <c r="CR865">
        <v>99999</v>
      </c>
    </row>
    <row r="866" spans="1:96">
      <c r="A866" t="s">
        <v>8775</v>
      </c>
      <c r="C866" t="s">
        <v>6968</v>
      </c>
      <c r="K866" s="6" t="s">
        <v>6953</v>
      </c>
      <c r="L866" s="6" t="s">
        <v>6972</v>
      </c>
      <c r="AC866">
        <v>1</v>
      </c>
      <c r="AF866">
        <v>1</v>
      </c>
      <c r="AY866" s="6"/>
      <c r="BD866">
        <v>1</v>
      </c>
      <c r="BV866"/>
      <c r="BW866"/>
      <c r="BX866"/>
      <c r="BY866"/>
      <c r="BZ866"/>
      <c r="CA866"/>
      <c r="CB866" s="6"/>
      <c r="CC866" s="6"/>
      <c r="CD866" s="6"/>
      <c r="CE866" s="6"/>
      <c r="CF866" s="6"/>
      <c r="CH866" s="6"/>
      <c r="CI866" s="6"/>
      <c r="CJ866" s="6"/>
      <c r="CK866" s="6"/>
      <c r="CL866" s="6"/>
      <c r="CM866" s="6"/>
      <c r="CN866" s="10" t="s">
        <v>8776</v>
      </c>
      <c r="CO866">
        <v>0.25</v>
      </c>
      <c r="CR866">
        <v>99999</v>
      </c>
    </row>
    <row r="867" spans="1:96">
      <c r="A867" t="s">
        <v>8777</v>
      </c>
      <c r="C867" t="s">
        <v>6968</v>
      </c>
      <c r="K867" s="6" t="s">
        <v>6953</v>
      </c>
      <c r="L867" s="6" t="s">
        <v>6972</v>
      </c>
      <c r="AC867">
        <v>1</v>
      </c>
      <c r="AF867">
        <v>1</v>
      </c>
      <c r="AY867" s="6"/>
      <c r="BD867">
        <v>1</v>
      </c>
      <c r="BV867"/>
      <c r="BW867"/>
      <c r="BX867"/>
      <c r="BY867"/>
      <c r="BZ867"/>
      <c r="CA867"/>
      <c r="CB867" s="6"/>
      <c r="CC867" s="6"/>
      <c r="CD867" s="6"/>
      <c r="CE867" s="6"/>
      <c r="CF867" s="6"/>
      <c r="CH867" s="6"/>
      <c r="CI867" s="6"/>
      <c r="CJ867" s="6"/>
      <c r="CK867" s="6"/>
      <c r="CL867" s="6"/>
      <c r="CM867" s="6"/>
      <c r="CN867" s="10" t="s">
        <v>8778</v>
      </c>
      <c r="CO867">
        <v>-0.25</v>
      </c>
      <c r="CR867">
        <v>99999</v>
      </c>
    </row>
    <row r="868" spans="1:96">
      <c r="A868" t="s">
        <v>8779</v>
      </c>
      <c r="C868" t="s">
        <v>6968</v>
      </c>
      <c r="K868" s="6" t="s">
        <v>6953</v>
      </c>
      <c r="L868" s="6" t="s">
        <v>6972</v>
      </c>
      <c r="AC868">
        <v>1</v>
      </c>
      <c r="AF868">
        <v>1</v>
      </c>
      <c r="AY868" s="6"/>
      <c r="BD868">
        <v>1</v>
      </c>
      <c r="BV868"/>
      <c r="BW868"/>
      <c r="BX868"/>
      <c r="BY868"/>
      <c r="BZ868"/>
      <c r="CA868"/>
      <c r="CB868" s="6"/>
      <c r="CC868" s="6"/>
      <c r="CD868" s="6"/>
      <c r="CE868" s="6"/>
      <c r="CF868" s="6"/>
      <c r="CH868" s="6"/>
      <c r="CI868" s="6"/>
      <c r="CJ868" s="6"/>
      <c r="CK868" s="6"/>
      <c r="CL868" s="6"/>
      <c r="CM868" s="6"/>
      <c r="CN868" s="10" t="s">
        <v>8780</v>
      </c>
      <c r="CO868">
        <v>0.25</v>
      </c>
      <c r="CR868">
        <v>99999</v>
      </c>
    </row>
    <row r="869" spans="1:96">
      <c r="A869" t="s">
        <v>8781</v>
      </c>
      <c r="C869" t="s">
        <v>6968</v>
      </c>
      <c r="K869" s="6" t="s">
        <v>6953</v>
      </c>
      <c r="L869" s="6" t="s">
        <v>6972</v>
      </c>
      <c r="AC869">
        <v>1</v>
      </c>
      <c r="AF869">
        <v>1</v>
      </c>
      <c r="AY869" s="6"/>
      <c r="BD869">
        <v>1</v>
      </c>
      <c r="BV869"/>
      <c r="BW869"/>
      <c r="BX869"/>
      <c r="BY869"/>
      <c r="BZ869"/>
      <c r="CA869"/>
      <c r="CB869" s="6"/>
      <c r="CC869" s="6"/>
      <c r="CD869" s="6"/>
      <c r="CE869" s="6"/>
      <c r="CF869" s="6"/>
      <c r="CH869" s="6"/>
      <c r="CI869" s="6"/>
      <c r="CJ869" s="6"/>
      <c r="CK869" s="6"/>
      <c r="CL869" s="6"/>
      <c r="CM869" s="6"/>
      <c r="CN869" s="10" t="s">
        <v>8782</v>
      </c>
      <c r="CO869">
        <v>-0.5</v>
      </c>
      <c r="CR869">
        <v>99999</v>
      </c>
    </row>
    <row r="870" spans="1:96">
      <c r="A870" t="s">
        <v>8783</v>
      </c>
      <c r="C870" t="s">
        <v>6968</v>
      </c>
      <c r="K870" s="6" t="s">
        <v>6953</v>
      </c>
      <c r="L870" s="6" t="s">
        <v>6972</v>
      </c>
      <c r="AC870">
        <v>1</v>
      </c>
      <c r="AF870">
        <v>1</v>
      </c>
      <c r="AY870" s="6"/>
      <c r="BD870">
        <v>1</v>
      </c>
      <c r="BV870"/>
      <c r="BW870"/>
      <c r="BX870"/>
      <c r="BY870"/>
      <c r="BZ870"/>
      <c r="CA870"/>
      <c r="CB870" s="6"/>
      <c r="CC870" s="6"/>
      <c r="CD870" s="6"/>
      <c r="CE870" s="6"/>
      <c r="CF870" s="6"/>
      <c r="CH870" s="6"/>
      <c r="CI870" s="6"/>
      <c r="CJ870" s="6"/>
      <c r="CK870" s="6"/>
      <c r="CL870" s="6"/>
      <c r="CM870" s="6"/>
      <c r="CN870" s="10" t="s">
        <v>8784</v>
      </c>
      <c r="CO870">
        <v>0.33</v>
      </c>
      <c r="CR870">
        <v>99999</v>
      </c>
    </row>
    <row r="871" spans="1:99">
      <c r="A871" t="s">
        <v>8785</v>
      </c>
      <c r="C871" t="s">
        <v>8759</v>
      </c>
      <c r="K871" s="6" t="s">
        <v>6953</v>
      </c>
      <c r="L871" s="6" t="s">
        <v>8786</v>
      </c>
      <c r="AY871" s="6"/>
      <c r="BV871"/>
      <c r="BW871"/>
      <c r="BX871"/>
      <c r="BY871"/>
      <c r="BZ871"/>
      <c r="CA871"/>
      <c r="CB871" s="6"/>
      <c r="CC871" s="6"/>
      <c r="CD871" s="6"/>
      <c r="CE871" s="6"/>
      <c r="CF871" s="6"/>
      <c r="CH871" s="6"/>
      <c r="CI871" s="6"/>
      <c r="CJ871" s="6"/>
      <c r="CK871" s="6"/>
      <c r="CL871" s="6"/>
      <c r="CM871" s="6"/>
      <c r="CU871" t="s">
        <v>8787</v>
      </c>
    </row>
    <row r="872" spans="1:99">
      <c r="A872" t="s">
        <v>8788</v>
      </c>
      <c r="C872" t="s">
        <v>8789</v>
      </c>
      <c r="K872" s="6" t="s">
        <v>6953</v>
      </c>
      <c r="L872" s="6" t="s">
        <v>8786</v>
      </c>
      <c r="AY872" s="6"/>
      <c r="BV872"/>
      <c r="BW872"/>
      <c r="BX872"/>
      <c r="BY872"/>
      <c r="BZ872"/>
      <c r="CA872"/>
      <c r="CB872" s="6"/>
      <c r="CC872" s="6"/>
      <c r="CD872" s="6"/>
      <c r="CE872" s="6"/>
      <c r="CF872" s="6"/>
      <c r="CH872" s="6"/>
      <c r="CI872" s="6"/>
      <c r="CJ872" s="6"/>
      <c r="CK872" s="6"/>
      <c r="CL872" s="6"/>
      <c r="CM872" s="6"/>
      <c r="CU872" t="s">
        <v>8790</v>
      </c>
    </row>
    <row r="873" spans="1:56">
      <c r="A873" t="s">
        <v>8791</v>
      </c>
      <c r="C873" t="s">
        <v>6968</v>
      </c>
      <c r="K873" s="6" t="s">
        <v>6953</v>
      </c>
      <c r="L873" s="6" t="s">
        <v>6969</v>
      </c>
      <c r="AC873">
        <v>1</v>
      </c>
      <c r="AF873">
        <v>1</v>
      </c>
      <c r="AX873" t="s">
        <v>7631</v>
      </c>
      <c r="AZ873">
        <v>0.5</v>
      </c>
      <c r="BB873">
        <v>1</v>
      </c>
      <c r="BD873">
        <v>1</v>
      </c>
    </row>
    <row r="875" spans="1:96">
      <c r="A875" t="s">
        <v>8792</v>
      </c>
      <c r="C875" t="s">
        <v>6968</v>
      </c>
      <c r="K875" s="6" t="s">
        <v>6953</v>
      </c>
      <c r="L875" s="6" t="s">
        <v>6972</v>
      </c>
      <c r="AC875">
        <v>1</v>
      </c>
      <c r="AF875">
        <v>1</v>
      </c>
      <c r="AH875">
        <v>1</v>
      </c>
      <c r="AY875" s="6"/>
      <c r="BD875">
        <v>1</v>
      </c>
      <c r="BV875"/>
      <c r="BW875"/>
      <c r="BX875"/>
      <c r="BY875"/>
      <c r="BZ875"/>
      <c r="CA875"/>
      <c r="CB875" s="6"/>
      <c r="CC875" s="6"/>
      <c r="CD875" s="6"/>
      <c r="CE875" s="6"/>
      <c r="CF875" s="6"/>
      <c r="CH875" s="6"/>
      <c r="CI875" s="6"/>
      <c r="CJ875" s="6"/>
      <c r="CK875" s="6"/>
      <c r="CL875" s="6"/>
      <c r="CM875" s="6"/>
      <c r="CN875" s="10" t="s">
        <v>8793</v>
      </c>
      <c r="CO875">
        <v>1</v>
      </c>
      <c r="CR875">
        <v>99999</v>
      </c>
    </row>
    <row r="876" spans="1:96">
      <c r="A876" t="s">
        <v>8794</v>
      </c>
      <c r="C876" t="s">
        <v>6968</v>
      </c>
      <c r="K876" s="6" t="s">
        <v>6953</v>
      </c>
      <c r="L876" s="6" t="s">
        <v>6972</v>
      </c>
      <c r="AC876">
        <v>1</v>
      </c>
      <c r="AF876">
        <v>1</v>
      </c>
      <c r="AH876">
        <v>1</v>
      </c>
      <c r="AY876" s="6"/>
      <c r="BD876">
        <v>1</v>
      </c>
      <c r="BV876"/>
      <c r="BW876"/>
      <c r="BX876"/>
      <c r="BY876"/>
      <c r="BZ876"/>
      <c r="CA876"/>
      <c r="CB876" s="6"/>
      <c r="CC876" s="6"/>
      <c r="CD876" s="6"/>
      <c r="CE876" s="6"/>
      <c r="CF876" s="6"/>
      <c r="CH876" s="6"/>
      <c r="CI876" s="6"/>
      <c r="CJ876" s="6"/>
      <c r="CK876" s="6"/>
      <c r="CL876" s="6"/>
      <c r="CM876" s="6"/>
      <c r="CN876" s="10" t="s">
        <v>8795</v>
      </c>
      <c r="CO876">
        <v>0.5</v>
      </c>
      <c r="CP876">
        <v>1</v>
      </c>
      <c r="CR876">
        <v>99999</v>
      </c>
    </row>
    <row r="877" spans="1:96">
      <c r="A877" t="s">
        <v>8796</v>
      </c>
      <c r="C877" t="s">
        <v>6968</v>
      </c>
      <c r="K877" s="6" t="s">
        <v>6953</v>
      </c>
      <c r="L877" s="6" t="s">
        <v>6972</v>
      </c>
      <c r="AC877">
        <v>1</v>
      </c>
      <c r="AF877">
        <v>1</v>
      </c>
      <c r="AH877">
        <v>1</v>
      </c>
      <c r="AY877" s="6"/>
      <c r="BD877">
        <v>1</v>
      </c>
      <c r="BV877"/>
      <c r="BW877"/>
      <c r="BX877"/>
      <c r="BY877"/>
      <c r="BZ877"/>
      <c r="CA877"/>
      <c r="CB877" s="6"/>
      <c r="CC877" s="6"/>
      <c r="CD877" s="6"/>
      <c r="CE877" s="6"/>
      <c r="CF877" s="6"/>
      <c r="CH877" s="6"/>
      <c r="CI877" s="6"/>
      <c r="CJ877" s="6"/>
      <c r="CK877" s="6"/>
      <c r="CL877" s="6"/>
      <c r="CM877" s="6"/>
      <c r="CN877" s="10" t="s">
        <v>8782</v>
      </c>
      <c r="CO877">
        <v>100</v>
      </c>
      <c r="CR877">
        <v>99999</v>
      </c>
    </row>
    <row r="878" spans="1:96">
      <c r="A878" t="s">
        <v>8797</v>
      </c>
      <c r="C878" t="s">
        <v>6968</v>
      </c>
      <c r="K878" s="6" t="s">
        <v>6953</v>
      </c>
      <c r="L878" s="6" t="s">
        <v>6972</v>
      </c>
      <c r="AC878">
        <v>1</v>
      </c>
      <c r="AF878">
        <v>1</v>
      </c>
      <c r="AH878">
        <v>1</v>
      </c>
      <c r="AY878" s="6"/>
      <c r="BD878">
        <v>1</v>
      </c>
      <c r="BV878"/>
      <c r="BW878"/>
      <c r="BX878"/>
      <c r="BY878"/>
      <c r="BZ878"/>
      <c r="CA878"/>
      <c r="CB878" s="6"/>
      <c r="CC878" s="6"/>
      <c r="CD878" s="6"/>
      <c r="CE878" s="6"/>
      <c r="CF878" s="6"/>
      <c r="CH878" s="6"/>
      <c r="CI878" s="6"/>
      <c r="CJ878" s="6"/>
      <c r="CK878" s="6"/>
      <c r="CL878" s="6"/>
      <c r="CM878" s="6"/>
      <c r="CN878" s="10" t="s">
        <v>8798</v>
      </c>
      <c r="CO878">
        <v>-0.5</v>
      </c>
      <c r="CR878">
        <v>99999</v>
      </c>
    </row>
    <row r="879" spans="1:96">
      <c r="A879" t="s">
        <v>8799</v>
      </c>
      <c r="C879" t="s">
        <v>6968</v>
      </c>
      <c r="K879" s="6" t="s">
        <v>6953</v>
      </c>
      <c r="L879" s="6" t="s">
        <v>6972</v>
      </c>
      <c r="AC879">
        <v>1</v>
      </c>
      <c r="AF879">
        <v>1</v>
      </c>
      <c r="AH879">
        <v>1</v>
      </c>
      <c r="AY879" s="6"/>
      <c r="BD879">
        <v>1</v>
      </c>
      <c r="BV879"/>
      <c r="BW879"/>
      <c r="BX879"/>
      <c r="BY879"/>
      <c r="BZ879"/>
      <c r="CA879"/>
      <c r="CB879" s="6"/>
      <c r="CC879" s="6"/>
      <c r="CD879" s="6"/>
      <c r="CE879" s="6"/>
      <c r="CF879" s="6"/>
      <c r="CH879" s="6"/>
      <c r="CI879" s="6"/>
      <c r="CJ879" s="6"/>
      <c r="CK879" s="6"/>
      <c r="CL879" s="6"/>
      <c r="CM879" s="6"/>
      <c r="CN879" s="10" t="s">
        <v>8784</v>
      </c>
      <c r="CO879">
        <v>-0.65</v>
      </c>
      <c r="CR879">
        <v>99999</v>
      </c>
    </row>
    <row r="880" spans="1:108">
      <c r="A880" t="s">
        <v>8800</v>
      </c>
      <c r="C880" t="s">
        <v>7157</v>
      </c>
      <c r="K880" s="6" t="s">
        <v>6953</v>
      </c>
      <c r="L880" s="6" t="s">
        <v>6969</v>
      </c>
      <c r="AC880">
        <v>1</v>
      </c>
      <c r="AF880">
        <v>1</v>
      </c>
      <c r="AH880">
        <v>1</v>
      </c>
      <c r="AY880" s="6"/>
      <c r="BD880">
        <v>1</v>
      </c>
      <c r="BV880"/>
      <c r="BW880"/>
      <c r="BX880"/>
      <c r="BY880"/>
      <c r="BZ880"/>
      <c r="CA880"/>
      <c r="CB880" s="6"/>
      <c r="CC880" s="6"/>
      <c r="CD880" s="6"/>
      <c r="CE880" s="6"/>
      <c r="CF880" s="6"/>
      <c r="CH880" s="6"/>
      <c r="CI880" s="6"/>
      <c r="CJ880" s="6"/>
      <c r="CK880" s="6"/>
      <c r="CL880" s="6"/>
      <c r="CM880" s="6"/>
      <c r="CU880" t="s">
        <v>8801</v>
      </c>
      <c r="DD880">
        <v>1</v>
      </c>
    </row>
    <row r="882" spans="1:96">
      <c r="A882" t="s">
        <v>8802</v>
      </c>
      <c r="C882" t="s">
        <v>6968</v>
      </c>
      <c r="K882" s="6" t="s">
        <v>6953</v>
      </c>
      <c r="L882" s="6" t="s">
        <v>6969</v>
      </c>
      <c r="AC882">
        <v>2</v>
      </c>
      <c r="AF882">
        <v>1</v>
      </c>
      <c r="AY882" s="6"/>
      <c r="BD882">
        <v>1</v>
      </c>
      <c r="BV882"/>
      <c r="BW882"/>
      <c r="BX882"/>
      <c r="BY882"/>
      <c r="BZ882"/>
      <c r="CA882"/>
      <c r="CB882" s="6"/>
      <c r="CC882" s="6"/>
      <c r="CD882" s="6"/>
      <c r="CE882" s="6"/>
      <c r="CF882" s="6"/>
      <c r="CH882" s="6"/>
      <c r="CI882" s="6"/>
      <c r="CJ882" s="6"/>
      <c r="CK882" s="6"/>
      <c r="CL882" s="6"/>
      <c r="CM882" s="6"/>
      <c r="CN882" s="10" t="s">
        <v>8793</v>
      </c>
      <c r="CO882">
        <v>0.15</v>
      </c>
      <c r="CR882">
        <v>99999</v>
      </c>
    </row>
    <row r="883" spans="1:96">
      <c r="A883" t="s">
        <v>8803</v>
      </c>
      <c r="C883" t="s">
        <v>6968</v>
      </c>
      <c r="K883" s="6" t="s">
        <v>6953</v>
      </c>
      <c r="L883" s="6" t="s">
        <v>6969</v>
      </c>
      <c r="AC883">
        <v>2</v>
      </c>
      <c r="AF883">
        <v>1</v>
      </c>
      <c r="AY883" s="6"/>
      <c r="BD883">
        <v>1</v>
      </c>
      <c r="BV883"/>
      <c r="BW883"/>
      <c r="BX883"/>
      <c r="BY883"/>
      <c r="BZ883"/>
      <c r="CA883"/>
      <c r="CB883" s="6"/>
      <c r="CC883" s="6"/>
      <c r="CD883" s="6"/>
      <c r="CE883" s="6"/>
      <c r="CF883" s="6"/>
      <c r="CH883" s="6"/>
      <c r="CI883" s="6"/>
      <c r="CJ883" s="6"/>
      <c r="CK883" s="6"/>
      <c r="CL883" s="6"/>
      <c r="CM883" s="6"/>
      <c r="CN883" s="10" t="s">
        <v>8793</v>
      </c>
      <c r="CO883">
        <v>0.35</v>
      </c>
      <c r="CR883">
        <v>99999</v>
      </c>
    </row>
    <row r="884" spans="1:96">
      <c r="A884" t="s">
        <v>8804</v>
      </c>
      <c r="C884" t="s">
        <v>6968</v>
      </c>
      <c r="K884" s="6" t="s">
        <v>6953</v>
      </c>
      <c r="L884" s="6" t="s">
        <v>6969</v>
      </c>
      <c r="AC884">
        <v>2</v>
      </c>
      <c r="AF884">
        <v>1</v>
      </c>
      <c r="AY884" s="6"/>
      <c r="BD884">
        <v>1</v>
      </c>
      <c r="BV884"/>
      <c r="BW884"/>
      <c r="BX884"/>
      <c r="BY884"/>
      <c r="BZ884"/>
      <c r="CA884"/>
      <c r="CB884" s="6"/>
      <c r="CC884" s="6"/>
      <c r="CD884" s="6"/>
      <c r="CE884" s="6"/>
      <c r="CF884" s="6"/>
      <c r="CH884" s="6"/>
      <c r="CI884" s="6"/>
      <c r="CJ884" s="6"/>
      <c r="CK884" s="6"/>
      <c r="CL884" s="6"/>
      <c r="CM884" s="6"/>
      <c r="CN884" s="10" t="s">
        <v>8793</v>
      </c>
      <c r="CO884">
        <v>0.8</v>
      </c>
      <c r="CR884">
        <v>99999</v>
      </c>
    </row>
    <row r="885" spans="1:96">
      <c r="A885" t="s">
        <v>8805</v>
      </c>
      <c r="C885" t="s">
        <v>6968</v>
      </c>
      <c r="K885" s="6" t="s">
        <v>6953</v>
      </c>
      <c r="L885" s="6" t="s">
        <v>6969</v>
      </c>
      <c r="AC885">
        <v>2</v>
      </c>
      <c r="AF885">
        <v>1</v>
      </c>
      <c r="AY885" s="6"/>
      <c r="BD885">
        <v>1</v>
      </c>
      <c r="BV885"/>
      <c r="BW885"/>
      <c r="BX885"/>
      <c r="BY885"/>
      <c r="BZ885"/>
      <c r="CA885"/>
      <c r="CB885" s="6"/>
      <c r="CC885" s="6"/>
      <c r="CD885" s="6"/>
      <c r="CE885" s="6"/>
      <c r="CF885" s="6"/>
      <c r="CH885" s="6"/>
      <c r="CI885" s="6"/>
      <c r="CJ885" s="6"/>
      <c r="CK885" s="6"/>
      <c r="CL885" s="6"/>
      <c r="CM885" s="6"/>
      <c r="CN885" s="10" t="s">
        <v>8806</v>
      </c>
      <c r="CO885">
        <v>0.25</v>
      </c>
      <c r="CR885">
        <v>99999</v>
      </c>
    </row>
    <row r="886" spans="1:96">
      <c r="A886" t="s">
        <v>8807</v>
      </c>
      <c r="C886" t="s">
        <v>6968</v>
      </c>
      <c r="K886" s="6" t="s">
        <v>6953</v>
      </c>
      <c r="L886" s="6" t="s">
        <v>6969</v>
      </c>
      <c r="AC886">
        <v>2</v>
      </c>
      <c r="AF886">
        <v>1</v>
      </c>
      <c r="AY886" s="6"/>
      <c r="BD886">
        <v>1</v>
      </c>
      <c r="BV886"/>
      <c r="BW886"/>
      <c r="BX886"/>
      <c r="BY886"/>
      <c r="BZ886"/>
      <c r="CA886"/>
      <c r="CB886" s="6"/>
      <c r="CC886" s="6"/>
      <c r="CD886" s="6"/>
      <c r="CE886" s="6"/>
      <c r="CF886" s="6"/>
      <c r="CH886" s="6"/>
      <c r="CI886" s="6"/>
      <c r="CJ886" s="6"/>
      <c r="CK886" s="6"/>
      <c r="CL886" s="6"/>
      <c r="CM886" s="6"/>
      <c r="CN886" s="10" t="s">
        <v>8806</v>
      </c>
      <c r="CO886">
        <v>0.6</v>
      </c>
      <c r="CR886">
        <v>99999</v>
      </c>
    </row>
    <row r="887" spans="1:96">
      <c r="A887" t="s">
        <v>8808</v>
      </c>
      <c r="C887" t="s">
        <v>6968</v>
      </c>
      <c r="K887" s="6" t="s">
        <v>6953</v>
      </c>
      <c r="L887" s="6" t="s">
        <v>6969</v>
      </c>
      <c r="AC887">
        <v>2</v>
      </c>
      <c r="AF887">
        <v>1</v>
      </c>
      <c r="AY887" s="6"/>
      <c r="BD887">
        <v>1</v>
      </c>
      <c r="BV887"/>
      <c r="BW887"/>
      <c r="BX887"/>
      <c r="BY887"/>
      <c r="BZ887"/>
      <c r="CA887"/>
      <c r="CB887" s="6"/>
      <c r="CC887" s="6"/>
      <c r="CD887" s="6"/>
      <c r="CE887" s="6"/>
      <c r="CF887" s="6"/>
      <c r="CH887" s="6"/>
      <c r="CI887" s="6"/>
      <c r="CJ887" s="6"/>
      <c r="CK887" s="6"/>
      <c r="CL887" s="6"/>
      <c r="CM887" s="6"/>
      <c r="CN887" s="10" t="s">
        <v>8806</v>
      </c>
      <c r="CO887">
        <v>1.5</v>
      </c>
      <c r="CR887">
        <v>99999</v>
      </c>
    </row>
    <row r="888" spans="1:96">
      <c r="A888" t="s">
        <v>8809</v>
      </c>
      <c r="C888" t="s">
        <v>6968</v>
      </c>
      <c r="K888" s="6" t="s">
        <v>6953</v>
      </c>
      <c r="L888" s="6" t="s">
        <v>6972</v>
      </c>
      <c r="AC888">
        <v>1</v>
      </c>
      <c r="AF888">
        <v>1</v>
      </c>
      <c r="AH888">
        <v>1</v>
      </c>
      <c r="AY888" s="6"/>
      <c r="BD888">
        <v>1</v>
      </c>
      <c r="BV888"/>
      <c r="BW888"/>
      <c r="BX888"/>
      <c r="BY888"/>
      <c r="BZ888"/>
      <c r="CA888"/>
      <c r="CB888" s="6"/>
      <c r="CC888" s="6"/>
      <c r="CD888" s="6"/>
      <c r="CE888" s="6"/>
      <c r="CF888" s="6"/>
      <c r="CH888" s="6"/>
      <c r="CI888" s="6"/>
      <c r="CJ888" s="6"/>
      <c r="CK888" s="6"/>
      <c r="CL888" s="6"/>
      <c r="CM888" s="6"/>
      <c r="CN888" s="10" t="s">
        <v>8806</v>
      </c>
      <c r="CO888">
        <v>-0.3</v>
      </c>
      <c r="CR888">
        <v>99999</v>
      </c>
    </row>
    <row r="889" spans="1:96">
      <c r="A889" t="s">
        <v>8810</v>
      </c>
      <c r="C889" t="s">
        <v>6968</v>
      </c>
      <c r="K889" s="6" t="s">
        <v>6953</v>
      </c>
      <c r="L889" s="6" t="s">
        <v>6972</v>
      </c>
      <c r="AC889">
        <v>1</v>
      </c>
      <c r="AF889">
        <v>1</v>
      </c>
      <c r="AH889">
        <v>1</v>
      </c>
      <c r="AY889" s="6"/>
      <c r="BD889">
        <v>1</v>
      </c>
      <c r="BV889"/>
      <c r="BW889"/>
      <c r="BX889"/>
      <c r="BY889"/>
      <c r="BZ889"/>
      <c r="CA889"/>
      <c r="CB889" s="6"/>
      <c r="CC889" s="6"/>
      <c r="CD889" s="6"/>
      <c r="CE889" s="6"/>
      <c r="CF889" s="6"/>
      <c r="CH889" s="6"/>
      <c r="CI889" s="6"/>
      <c r="CJ889" s="6"/>
      <c r="CK889" s="6"/>
      <c r="CL889" s="6"/>
      <c r="CM889" s="6"/>
      <c r="CN889" s="10" t="s">
        <v>8806</v>
      </c>
      <c r="CO889">
        <v>-0.5</v>
      </c>
      <c r="CR889">
        <v>99999</v>
      </c>
    </row>
    <row r="890" spans="1:96">
      <c r="A890" t="s">
        <v>8811</v>
      </c>
      <c r="C890" t="s">
        <v>6968</v>
      </c>
      <c r="K890" s="6" t="s">
        <v>6953</v>
      </c>
      <c r="L890" s="6" t="s">
        <v>6972</v>
      </c>
      <c r="AC890">
        <v>1</v>
      </c>
      <c r="AF890">
        <v>1</v>
      </c>
      <c r="AH890">
        <v>1</v>
      </c>
      <c r="AY890" s="6"/>
      <c r="BD890">
        <v>1</v>
      </c>
      <c r="BV890"/>
      <c r="BW890"/>
      <c r="BX890"/>
      <c r="BY890"/>
      <c r="BZ890"/>
      <c r="CA890"/>
      <c r="CB890" s="6"/>
      <c r="CC890" s="6"/>
      <c r="CD890" s="6"/>
      <c r="CE890" s="6"/>
      <c r="CF890" s="6"/>
      <c r="CH890" s="6"/>
      <c r="CI890" s="6"/>
      <c r="CJ890" s="6"/>
      <c r="CK890" s="6"/>
      <c r="CL890" s="6"/>
      <c r="CM890" s="6"/>
      <c r="CN890" s="10" t="s">
        <v>8806</v>
      </c>
      <c r="CO890">
        <v>-0.75</v>
      </c>
      <c r="CR890">
        <v>99999</v>
      </c>
    </row>
    <row r="891" spans="1:96">
      <c r="A891" t="s">
        <v>8812</v>
      </c>
      <c r="C891" t="s">
        <v>6968</v>
      </c>
      <c r="K891" s="6" t="s">
        <v>6953</v>
      </c>
      <c r="L891" s="6" t="s">
        <v>6972</v>
      </c>
      <c r="AC891">
        <v>2</v>
      </c>
      <c r="AF891">
        <v>1</v>
      </c>
      <c r="AY891" s="6"/>
      <c r="BD891">
        <v>1</v>
      </c>
      <c r="BV891"/>
      <c r="BW891"/>
      <c r="BX891"/>
      <c r="BY891"/>
      <c r="BZ891"/>
      <c r="CA891"/>
      <c r="CB891" s="6"/>
      <c r="CC891" s="6"/>
      <c r="CD891" s="6"/>
      <c r="CE891" s="6"/>
      <c r="CF891" s="6"/>
      <c r="CH891" s="6"/>
      <c r="CI891" s="6"/>
      <c r="CJ891" s="6"/>
      <c r="CK891" s="6"/>
      <c r="CL891" s="6"/>
      <c r="CM891" s="6"/>
      <c r="CN891" s="10" t="s">
        <v>8782</v>
      </c>
      <c r="CO891">
        <v>0.5</v>
      </c>
      <c r="CR891">
        <v>99999</v>
      </c>
    </row>
    <row r="892" spans="1:96">
      <c r="A892" t="s">
        <v>8813</v>
      </c>
      <c r="C892" t="s">
        <v>6968</v>
      </c>
      <c r="K892" s="6" t="s">
        <v>6953</v>
      </c>
      <c r="L892" s="6" t="s">
        <v>6972</v>
      </c>
      <c r="AC892">
        <v>2</v>
      </c>
      <c r="AF892">
        <v>1</v>
      </c>
      <c r="AY892" s="6"/>
      <c r="BD892">
        <v>1</v>
      </c>
      <c r="BV892"/>
      <c r="BW892"/>
      <c r="BX892"/>
      <c r="BY892"/>
      <c r="BZ892"/>
      <c r="CA892"/>
      <c r="CB892" s="6"/>
      <c r="CC892" s="6"/>
      <c r="CD892" s="6"/>
      <c r="CE892" s="6"/>
      <c r="CF892" s="6"/>
      <c r="CH892" s="6"/>
      <c r="CI892" s="6"/>
      <c r="CJ892" s="6"/>
      <c r="CK892" s="6"/>
      <c r="CL892" s="6"/>
      <c r="CM892" s="6"/>
      <c r="CN892" s="10" t="s">
        <v>8814</v>
      </c>
      <c r="CO892">
        <v>0.5</v>
      </c>
      <c r="CR892">
        <v>99999</v>
      </c>
    </row>
    <row r="893" spans="1:96">
      <c r="A893" t="s">
        <v>8815</v>
      </c>
      <c r="C893" t="s">
        <v>6968</v>
      </c>
      <c r="K893" s="6" t="s">
        <v>6953</v>
      </c>
      <c r="L893" s="6" t="s">
        <v>6972</v>
      </c>
      <c r="AC893">
        <v>2</v>
      </c>
      <c r="AF893">
        <v>1</v>
      </c>
      <c r="AY893" s="6"/>
      <c r="BD893">
        <v>1</v>
      </c>
      <c r="BV893"/>
      <c r="BW893"/>
      <c r="BX893"/>
      <c r="BY893"/>
      <c r="BZ893"/>
      <c r="CA893"/>
      <c r="CB893" s="6"/>
      <c r="CC893" s="6"/>
      <c r="CD893" s="6"/>
      <c r="CE893" s="6"/>
      <c r="CF893" s="6"/>
      <c r="CH893" s="6"/>
      <c r="CI893" s="6"/>
      <c r="CJ893" s="6"/>
      <c r="CK893" s="6"/>
      <c r="CL893" s="6"/>
      <c r="CM893" s="6"/>
      <c r="CN893" s="10" t="s">
        <v>8814</v>
      </c>
      <c r="CO893">
        <v>1</v>
      </c>
      <c r="CR893">
        <v>99999</v>
      </c>
    </row>
    <row r="894" spans="1:96">
      <c r="A894" t="s">
        <v>8816</v>
      </c>
      <c r="C894" t="s">
        <v>6968</v>
      </c>
      <c r="K894" s="6" t="s">
        <v>6953</v>
      </c>
      <c r="L894" s="6" t="s">
        <v>6972</v>
      </c>
      <c r="AC894">
        <v>2</v>
      </c>
      <c r="AF894">
        <v>1</v>
      </c>
      <c r="AY894" s="6"/>
      <c r="BD894">
        <v>1</v>
      </c>
      <c r="BV894"/>
      <c r="BW894"/>
      <c r="BX894"/>
      <c r="BY894"/>
      <c r="BZ894"/>
      <c r="CA894"/>
      <c r="CB894" s="6"/>
      <c r="CC894" s="6"/>
      <c r="CD894" s="6"/>
      <c r="CE894" s="6"/>
      <c r="CF894" s="6"/>
      <c r="CH894" s="6"/>
      <c r="CI894" s="6"/>
      <c r="CJ894" s="6"/>
      <c r="CK894" s="6"/>
      <c r="CL894" s="6"/>
      <c r="CM894" s="6"/>
      <c r="CN894" s="10" t="s">
        <v>8817</v>
      </c>
      <c r="CO894">
        <v>0.5</v>
      </c>
      <c r="CR894">
        <v>99999</v>
      </c>
    </row>
    <row r="895" spans="1:96">
      <c r="A895" t="s">
        <v>8818</v>
      </c>
      <c r="C895" t="s">
        <v>6968</v>
      </c>
      <c r="K895" s="6" t="s">
        <v>6953</v>
      </c>
      <c r="L895" s="6" t="s">
        <v>6972</v>
      </c>
      <c r="AC895">
        <v>2</v>
      </c>
      <c r="AF895">
        <v>1</v>
      </c>
      <c r="AY895" s="6"/>
      <c r="BD895">
        <v>1</v>
      </c>
      <c r="BV895"/>
      <c r="BW895"/>
      <c r="BX895"/>
      <c r="BY895"/>
      <c r="BZ895"/>
      <c r="CA895"/>
      <c r="CB895" s="6"/>
      <c r="CC895" s="6"/>
      <c r="CD895" s="6"/>
      <c r="CE895" s="6"/>
      <c r="CF895" s="6"/>
      <c r="CH895" s="6"/>
      <c r="CI895" s="6"/>
      <c r="CJ895" s="6"/>
      <c r="CK895" s="6"/>
      <c r="CL895" s="6"/>
      <c r="CM895" s="6"/>
      <c r="CN895" s="10" t="s">
        <v>7244</v>
      </c>
      <c r="CO895">
        <v>0.5</v>
      </c>
      <c r="CR895">
        <v>99999</v>
      </c>
    </row>
    <row r="896" spans="1:96">
      <c r="A896" t="s">
        <v>8819</v>
      </c>
      <c r="C896" t="s">
        <v>6968</v>
      </c>
      <c r="K896" s="6" t="s">
        <v>6953</v>
      </c>
      <c r="L896" s="6" t="s">
        <v>6972</v>
      </c>
      <c r="AC896">
        <v>2</v>
      </c>
      <c r="AF896">
        <v>1</v>
      </c>
      <c r="AY896" s="6"/>
      <c r="BD896">
        <v>1</v>
      </c>
      <c r="BV896"/>
      <c r="BW896"/>
      <c r="BX896"/>
      <c r="BY896"/>
      <c r="BZ896"/>
      <c r="CA896"/>
      <c r="CB896" s="6"/>
      <c r="CC896" s="6"/>
      <c r="CD896" s="6"/>
      <c r="CE896" s="6"/>
      <c r="CF896" s="6"/>
      <c r="CH896" s="6"/>
      <c r="CI896" s="6"/>
      <c r="CJ896" s="6"/>
      <c r="CK896" s="6"/>
      <c r="CL896" s="6"/>
      <c r="CM896" s="6"/>
      <c r="CN896" s="10" t="s">
        <v>7244</v>
      </c>
      <c r="CO896">
        <v>1</v>
      </c>
      <c r="CR896">
        <v>99999</v>
      </c>
    </row>
    <row r="897" spans="1:96">
      <c r="A897" t="s">
        <v>8820</v>
      </c>
      <c r="C897" t="s">
        <v>6968</v>
      </c>
      <c r="K897" s="6" t="s">
        <v>6953</v>
      </c>
      <c r="L897" s="6" t="s">
        <v>6972</v>
      </c>
      <c r="AC897">
        <v>2</v>
      </c>
      <c r="AF897">
        <v>1</v>
      </c>
      <c r="AJ897" t="s">
        <v>8821</v>
      </c>
      <c r="AY897" s="6"/>
      <c r="BD897">
        <v>1</v>
      </c>
      <c r="BV897"/>
      <c r="BW897"/>
      <c r="BX897"/>
      <c r="BY897"/>
      <c r="BZ897"/>
      <c r="CA897"/>
      <c r="CB897" s="6"/>
      <c r="CC897" s="6"/>
      <c r="CD897" s="6"/>
      <c r="CE897" s="6"/>
      <c r="CF897" s="6"/>
      <c r="CH897" s="6"/>
      <c r="CI897" s="6"/>
      <c r="CJ897" s="6"/>
      <c r="CK897" s="6"/>
      <c r="CL897" s="6"/>
      <c r="CM897" s="6"/>
      <c r="CN897" s="10" t="s">
        <v>8795</v>
      </c>
      <c r="CO897">
        <v>0.5</v>
      </c>
      <c r="CP897">
        <v>0.4</v>
      </c>
      <c r="CR897">
        <v>99999</v>
      </c>
    </row>
    <row r="898" spans="1:96">
      <c r="A898" t="s">
        <v>8822</v>
      </c>
      <c r="C898" t="s">
        <v>6968</v>
      </c>
      <c r="K898" s="6" t="s">
        <v>6953</v>
      </c>
      <c r="L898" s="6" t="s">
        <v>6972</v>
      </c>
      <c r="AC898">
        <v>2</v>
      </c>
      <c r="AF898">
        <v>1</v>
      </c>
      <c r="AJ898" t="s">
        <v>8821</v>
      </c>
      <c r="AY898" s="6"/>
      <c r="BD898">
        <v>1</v>
      </c>
      <c r="BV898"/>
      <c r="BW898"/>
      <c r="BX898"/>
      <c r="BY898"/>
      <c r="BZ898"/>
      <c r="CA898"/>
      <c r="CB898" s="6"/>
      <c r="CC898" s="6"/>
      <c r="CD898" s="6"/>
      <c r="CE898" s="6"/>
      <c r="CF898" s="6"/>
      <c r="CH898" s="6"/>
      <c r="CI898" s="6"/>
      <c r="CJ898" s="6"/>
      <c r="CK898" s="6"/>
      <c r="CL898" s="6"/>
      <c r="CM898" s="6"/>
      <c r="CN898" s="10" t="s">
        <v>8795</v>
      </c>
      <c r="CO898">
        <v>1</v>
      </c>
      <c r="CP898">
        <v>0.8</v>
      </c>
      <c r="CR898">
        <v>99999</v>
      </c>
    </row>
    <row r="899" spans="1:96">
      <c r="A899" t="s">
        <v>8823</v>
      </c>
      <c r="C899" t="s">
        <v>6968</v>
      </c>
      <c r="K899" s="6" t="s">
        <v>6953</v>
      </c>
      <c r="L899" s="6" t="s">
        <v>6972</v>
      </c>
      <c r="AC899">
        <v>2</v>
      </c>
      <c r="AF899">
        <v>1</v>
      </c>
      <c r="AJ899" t="s">
        <v>8821</v>
      </c>
      <c r="AY899" s="6"/>
      <c r="BD899">
        <v>1</v>
      </c>
      <c r="BV899"/>
      <c r="BW899"/>
      <c r="BX899"/>
      <c r="BY899"/>
      <c r="BZ899"/>
      <c r="CA899"/>
      <c r="CB899" s="6"/>
      <c r="CC899" s="6"/>
      <c r="CD899" s="6"/>
      <c r="CE899" s="6"/>
      <c r="CF899" s="6"/>
      <c r="CH899" s="6"/>
      <c r="CI899" s="6"/>
      <c r="CJ899" s="6"/>
      <c r="CK899" s="6"/>
      <c r="CL899" s="6"/>
      <c r="CM899" s="6"/>
      <c r="CN899" s="10" t="s">
        <v>8824</v>
      </c>
      <c r="CO899">
        <v>2</v>
      </c>
      <c r="CP899">
        <v>1.2</v>
      </c>
      <c r="CQ899">
        <v>0.8</v>
      </c>
      <c r="CR899">
        <v>99999</v>
      </c>
    </row>
    <row r="900" spans="1:96">
      <c r="A900" t="s">
        <v>8825</v>
      </c>
      <c r="C900" t="s">
        <v>6968</v>
      </c>
      <c r="K900" s="6" t="s">
        <v>6953</v>
      </c>
      <c r="L900" s="6" t="s">
        <v>6972</v>
      </c>
      <c r="AC900">
        <v>2</v>
      </c>
      <c r="AF900">
        <v>1</v>
      </c>
      <c r="AJ900" t="s">
        <v>295</v>
      </c>
      <c r="AY900" s="6"/>
      <c r="BD900">
        <v>1</v>
      </c>
      <c r="BV900"/>
      <c r="BW900"/>
      <c r="BX900"/>
      <c r="BY900"/>
      <c r="BZ900"/>
      <c r="CA900"/>
      <c r="CB900" s="6"/>
      <c r="CC900" s="6"/>
      <c r="CD900" s="6"/>
      <c r="CE900" s="6"/>
      <c r="CF900" s="6"/>
      <c r="CH900" s="6"/>
      <c r="CI900" s="6"/>
      <c r="CJ900" s="6"/>
      <c r="CK900" s="6"/>
      <c r="CL900" s="6"/>
      <c r="CM900" s="6"/>
      <c r="CN900" s="10" t="s">
        <v>8826</v>
      </c>
      <c r="CO900" t="s">
        <v>8827</v>
      </c>
      <c r="CR900">
        <v>99999</v>
      </c>
    </row>
    <row r="901" spans="1:96">
      <c r="A901" t="s">
        <v>8828</v>
      </c>
      <c r="C901" t="s">
        <v>6968</v>
      </c>
      <c r="K901" s="6" t="s">
        <v>6953</v>
      </c>
      <c r="L901" s="6" t="s">
        <v>6972</v>
      </c>
      <c r="AC901">
        <v>2</v>
      </c>
      <c r="AF901">
        <v>1</v>
      </c>
      <c r="AJ901" t="s">
        <v>295</v>
      </c>
      <c r="AY901" s="6"/>
      <c r="BD901">
        <v>1</v>
      </c>
      <c r="BV901"/>
      <c r="BW901"/>
      <c r="BX901"/>
      <c r="BY901"/>
      <c r="BZ901"/>
      <c r="CA901"/>
      <c r="CB901" s="6"/>
      <c r="CC901" s="6"/>
      <c r="CD901" s="6"/>
      <c r="CE901" s="6"/>
      <c r="CF901" s="6"/>
      <c r="CH901" s="6"/>
      <c r="CI901" s="6"/>
      <c r="CJ901" s="6"/>
      <c r="CK901" s="6"/>
      <c r="CL901" s="6"/>
      <c r="CM901" s="6"/>
      <c r="CN901" s="10" t="s">
        <v>8826</v>
      </c>
      <c r="CO901" t="s">
        <v>8829</v>
      </c>
      <c r="CR901">
        <v>99999</v>
      </c>
    </row>
    <row r="902" spans="1:96">
      <c r="A902" t="s">
        <v>8830</v>
      </c>
      <c r="C902" t="s">
        <v>6968</v>
      </c>
      <c r="K902" s="6" t="s">
        <v>6953</v>
      </c>
      <c r="L902" s="6" t="s">
        <v>6972</v>
      </c>
      <c r="AC902">
        <v>2</v>
      </c>
      <c r="AF902">
        <v>1</v>
      </c>
      <c r="AJ902" t="s">
        <v>295</v>
      </c>
      <c r="AY902" s="6"/>
      <c r="BD902">
        <v>1</v>
      </c>
      <c r="BV902"/>
      <c r="BW902"/>
      <c r="BX902"/>
      <c r="BY902"/>
      <c r="BZ902"/>
      <c r="CA902"/>
      <c r="CB902" s="6"/>
      <c r="CC902" s="6"/>
      <c r="CD902" s="6"/>
      <c r="CE902" s="6"/>
      <c r="CF902" s="6"/>
      <c r="CH902" s="6"/>
      <c r="CI902" s="6"/>
      <c r="CJ902" s="6"/>
      <c r="CK902" s="6"/>
      <c r="CL902" s="6"/>
      <c r="CM902" s="6"/>
      <c r="CN902" s="10" t="s">
        <v>8826</v>
      </c>
      <c r="CO902" t="s">
        <v>8831</v>
      </c>
      <c r="CR902">
        <v>99999</v>
      </c>
    </row>
    <row r="903" spans="1:99">
      <c r="A903" t="s">
        <v>8832</v>
      </c>
      <c r="C903" t="s">
        <v>8789</v>
      </c>
      <c r="K903" s="6" t="s">
        <v>6953</v>
      </c>
      <c r="L903" s="6" t="s">
        <v>8786</v>
      </c>
      <c r="AY903" s="6"/>
      <c r="BV903"/>
      <c r="BW903"/>
      <c r="BX903"/>
      <c r="BY903"/>
      <c r="BZ903"/>
      <c r="CA903"/>
      <c r="CB903" s="6"/>
      <c r="CC903" s="6"/>
      <c r="CD903" s="6"/>
      <c r="CE903" s="6"/>
      <c r="CF903" s="6"/>
      <c r="CH903" s="6"/>
      <c r="CI903" s="6"/>
      <c r="CJ903" s="6"/>
      <c r="CK903" s="6"/>
      <c r="CL903" s="6"/>
      <c r="CM903" s="6"/>
      <c r="CU903" t="s">
        <v>8833</v>
      </c>
    </row>
    <row r="904" spans="1:99">
      <c r="A904" t="s">
        <v>8834</v>
      </c>
      <c r="C904" t="s">
        <v>8789</v>
      </c>
      <c r="K904" s="6" t="s">
        <v>6953</v>
      </c>
      <c r="L904" s="6" t="s">
        <v>8786</v>
      </c>
      <c r="AY904" s="6"/>
      <c r="BV904"/>
      <c r="BW904"/>
      <c r="BX904"/>
      <c r="BY904"/>
      <c r="BZ904"/>
      <c r="CA904"/>
      <c r="CB904" s="6"/>
      <c r="CC904" s="6"/>
      <c r="CD904" s="6"/>
      <c r="CE904" s="6"/>
      <c r="CF904" s="6"/>
      <c r="CH904" s="6"/>
      <c r="CI904" s="6"/>
      <c r="CJ904" s="6"/>
      <c r="CK904" s="6"/>
      <c r="CL904" s="6"/>
      <c r="CM904" s="6"/>
      <c r="CU904" t="s">
        <v>8835</v>
      </c>
    </row>
    <row r="905" spans="1:99">
      <c r="A905" t="s">
        <v>8836</v>
      </c>
      <c r="C905" t="s">
        <v>8789</v>
      </c>
      <c r="K905" s="6" t="s">
        <v>6953</v>
      </c>
      <c r="L905" s="6" t="s">
        <v>8786</v>
      </c>
      <c r="AY905" s="6"/>
      <c r="BV905"/>
      <c r="BW905"/>
      <c r="BX905"/>
      <c r="BY905"/>
      <c r="BZ905"/>
      <c r="CA905"/>
      <c r="CB905" s="6"/>
      <c r="CC905" s="6"/>
      <c r="CD905" s="6"/>
      <c r="CE905" s="6"/>
      <c r="CF905" s="6"/>
      <c r="CH905" s="6"/>
      <c r="CI905" s="6"/>
      <c r="CJ905" s="6"/>
      <c r="CK905" s="6"/>
      <c r="CL905" s="6"/>
      <c r="CM905" s="6"/>
      <c r="CU905" t="s">
        <v>8837</v>
      </c>
    </row>
    <row r="906" spans="1:96">
      <c r="A906" t="s">
        <v>8838</v>
      </c>
      <c r="C906" t="s">
        <v>6968</v>
      </c>
      <c r="K906" s="6" t="s">
        <v>6953</v>
      </c>
      <c r="L906" s="6" t="s">
        <v>6972</v>
      </c>
      <c r="AC906">
        <v>1</v>
      </c>
      <c r="AF906">
        <v>1</v>
      </c>
      <c r="AH906">
        <v>1</v>
      </c>
      <c r="AY906" s="6"/>
      <c r="BD906">
        <v>1</v>
      </c>
      <c r="BV906"/>
      <c r="BW906"/>
      <c r="BX906"/>
      <c r="BY906"/>
      <c r="BZ906"/>
      <c r="CA906"/>
      <c r="CB906" s="6"/>
      <c r="CC906" s="6"/>
      <c r="CD906" s="6"/>
      <c r="CE906" s="6"/>
      <c r="CF906" s="6"/>
      <c r="CH906" s="6"/>
      <c r="CI906" s="6"/>
      <c r="CJ906" s="6"/>
      <c r="CK906" s="6"/>
      <c r="CL906" s="6"/>
      <c r="CM906" s="6"/>
      <c r="CN906" s="10" t="s">
        <v>8817</v>
      </c>
      <c r="CO906">
        <v>-0.35</v>
      </c>
      <c r="CR906">
        <v>99999</v>
      </c>
    </row>
    <row r="907" spans="1:96">
      <c r="A907" t="s">
        <v>8839</v>
      </c>
      <c r="C907" t="s">
        <v>6968</v>
      </c>
      <c r="K907" s="6" t="s">
        <v>6953</v>
      </c>
      <c r="L907" s="6" t="s">
        <v>6972</v>
      </c>
      <c r="AC907">
        <v>1</v>
      </c>
      <c r="AF907">
        <v>1</v>
      </c>
      <c r="AH907">
        <v>1</v>
      </c>
      <c r="AY907" s="6"/>
      <c r="BD907">
        <v>1</v>
      </c>
      <c r="BV907"/>
      <c r="BW907"/>
      <c r="BX907"/>
      <c r="BY907"/>
      <c r="BZ907"/>
      <c r="CA907"/>
      <c r="CB907" s="6"/>
      <c r="CC907" s="6"/>
      <c r="CD907" s="6"/>
      <c r="CE907" s="6"/>
      <c r="CF907" s="6"/>
      <c r="CH907" s="6"/>
      <c r="CI907" s="6"/>
      <c r="CJ907" s="6"/>
      <c r="CK907" s="6"/>
      <c r="CL907" s="6"/>
      <c r="CM907" s="6"/>
      <c r="CN907" s="10" t="s">
        <v>8817</v>
      </c>
      <c r="CO907">
        <v>-0.7</v>
      </c>
      <c r="CR907">
        <v>99999</v>
      </c>
    </row>
    <row r="908" spans="1:96">
      <c r="A908" t="s">
        <v>8840</v>
      </c>
      <c r="C908" t="s">
        <v>6968</v>
      </c>
      <c r="K908" s="6" t="s">
        <v>6953</v>
      </c>
      <c r="L908" s="6" t="s">
        <v>6972</v>
      </c>
      <c r="AC908">
        <v>1</v>
      </c>
      <c r="AF908">
        <v>1</v>
      </c>
      <c r="AH908">
        <v>1</v>
      </c>
      <c r="AY908" s="6"/>
      <c r="BD908">
        <v>1</v>
      </c>
      <c r="BV908"/>
      <c r="BW908"/>
      <c r="BX908"/>
      <c r="BY908"/>
      <c r="BZ908"/>
      <c r="CA908"/>
      <c r="CB908" s="6"/>
      <c r="CC908" s="6"/>
      <c r="CD908" s="6"/>
      <c r="CE908" s="6"/>
      <c r="CF908" s="6"/>
      <c r="CH908" s="6"/>
      <c r="CI908" s="6"/>
      <c r="CJ908" s="6"/>
      <c r="CK908" s="6"/>
      <c r="CL908" s="6"/>
      <c r="CM908" s="6"/>
      <c r="CN908" s="10" t="s">
        <v>8817</v>
      </c>
      <c r="CO908">
        <v>-1</v>
      </c>
      <c r="CR908">
        <v>99999</v>
      </c>
    </row>
    <row r="909" spans="1:99">
      <c r="A909" t="s">
        <v>8841</v>
      </c>
      <c r="C909" t="s">
        <v>8759</v>
      </c>
      <c r="K909" s="6" t="s">
        <v>6953</v>
      </c>
      <c r="L909" s="6" t="s">
        <v>8786</v>
      </c>
      <c r="AY909" s="6"/>
      <c r="BV909"/>
      <c r="BW909"/>
      <c r="BX909"/>
      <c r="BY909"/>
      <c r="BZ909"/>
      <c r="CA909"/>
      <c r="CB909" s="6"/>
      <c r="CC909" s="6"/>
      <c r="CD909" s="6"/>
      <c r="CE909" s="6"/>
      <c r="CF909" s="6"/>
      <c r="CH909" s="6"/>
      <c r="CI909" s="6"/>
      <c r="CJ909" s="6"/>
      <c r="CK909" s="6"/>
      <c r="CL909" s="6"/>
      <c r="CM909" s="6"/>
      <c r="CU909" t="s">
        <v>8842</v>
      </c>
    </row>
    <row r="910" spans="1:99">
      <c r="A910" t="s">
        <v>8843</v>
      </c>
      <c r="C910" t="s">
        <v>8759</v>
      </c>
      <c r="K910" s="6" t="s">
        <v>6953</v>
      </c>
      <c r="L910" s="6" t="s">
        <v>8786</v>
      </c>
      <c r="AY910" s="6"/>
      <c r="BV910"/>
      <c r="BW910"/>
      <c r="BX910"/>
      <c r="BY910"/>
      <c r="BZ910"/>
      <c r="CA910"/>
      <c r="CB910" s="6"/>
      <c r="CC910" s="6"/>
      <c r="CD910" s="6"/>
      <c r="CE910" s="6"/>
      <c r="CF910" s="6"/>
      <c r="CH910" s="6"/>
      <c r="CI910" s="6"/>
      <c r="CJ910" s="6"/>
      <c r="CK910" s="6"/>
      <c r="CL910" s="6"/>
      <c r="CM910" s="6"/>
      <c r="CU910" t="s">
        <v>8787</v>
      </c>
    </row>
    <row r="911" spans="1:99">
      <c r="A911" t="s">
        <v>8844</v>
      </c>
      <c r="C911" t="s">
        <v>8759</v>
      </c>
      <c r="K911" s="6" t="s">
        <v>6953</v>
      </c>
      <c r="L911" s="6" t="s">
        <v>8786</v>
      </c>
      <c r="AY911" s="6"/>
      <c r="BV911"/>
      <c r="BW911"/>
      <c r="BX911"/>
      <c r="BY911"/>
      <c r="BZ911"/>
      <c r="CA911"/>
      <c r="CB911" s="6"/>
      <c r="CC911" s="6"/>
      <c r="CD911" s="6"/>
      <c r="CE911" s="6"/>
      <c r="CF911" s="6"/>
      <c r="CH911" s="6"/>
      <c r="CI911" s="6"/>
      <c r="CJ911" s="6"/>
      <c r="CK911" s="6"/>
      <c r="CL911" s="6"/>
      <c r="CM911" s="6"/>
      <c r="CU911" t="s">
        <v>8845</v>
      </c>
    </row>
    <row r="912" spans="1:99">
      <c r="A912" t="s">
        <v>8846</v>
      </c>
      <c r="C912" t="s">
        <v>8425</v>
      </c>
      <c r="K912" s="6" t="s">
        <v>6953</v>
      </c>
      <c r="L912" s="6" t="s">
        <v>8786</v>
      </c>
      <c r="X912" s="6">
        <v>1</v>
      </c>
      <c r="CU912" t="s">
        <v>8847</v>
      </c>
    </row>
    <row r="913" spans="1:96">
      <c r="A913" t="s">
        <v>8848</v>
      </c>
      <c r="C913" t="s">
        <v>6968</v>
      </c>
      <c r="K913" s="6" t="s">
        <v>6953</v>
      </c>
      <c r="L913" s="6" t="s">
        <v>6972</v>
      </c>
      <c r="AC913">
        <v>1</v>
      </c>
      <c r="AF913">
        <v>1</v>
      </c>
      <c r="AH913">
        <v>1</v>
      </c>
      <c r="AY913" s="6"/>
      <c r="BD913">
        <v>1</v>
      </c>
      <c r="BV913"/>
      <c r="BW913"/>
      <c r="BX913"/>
      <c r="BY913"/>
      <c r="BZ913"/>
      <c r="CA913"/>
      <c r="CB913" s="6"/>
      <c r="CC913" s="6"/>
      <c r="CD913" s="6"/>
      <c r="CE913" s="6"/>
      <c r="CF913" s="6"/>
      <c r="CH913" s="6"/>
      <c r="CI913" s="6"/>
      <c r="CJ913" s="6"/>
      <c r="CK913" s="6"/>
      <c r="CL913" s="6"/>
      <c r="CM913" s="6"/>
      <c r="CN913" s="10" t="s">
        <v>8793</v>
      </c>
      <c r="CO913">
        <v>-0.1</v>
      </c>
      <c r="CR913">
        <v>99999</v>
      </c>
    </row>
    <row r="914" spans="1:96">
      <c r="A914" t="s">
        <v>8849</v>
      </c>
      <c r="C914" t="s">
        <v>6968</v>
      </c>
      <c r="K914" s="6" t="s">
        <v>6953</v>
      </c>
      <c r="L914" s="6" t="s">
        <v>6972</v>
      </c>
      <c r="AC914">
        <v>1</v>
      </c>
      <c r="AF914">
        <v>1</v>
      </c>
      <c r="AH914">
        <v>1</v>
      </c>
      <c r="AY914" s="6"/>
      <c r="BD914">
        <v>1</v>
      </c>
      <c r="BV914"/>
      <c r="BW914"/>
      <c r="BX914"/>
      <c r="BY914"/>
      <c r="BZ914"/>
      <c r="CA914"/>
      <c r="CB914" s="6"/>
      <c r="CC914" s="6"/>
      <c r="CD914" s="6"/>
      <c r="CE914" s="6"/>
      <c r="CF914" s="6"/>
      <c r="CH914" s="6"/>
      <c r="CI914" s="6"/>
      <c r="CJ914" s="6"/>
      <c r="CK914" s="6"/>
      <c r="CL914" s="6"/>
      <c r="CM914" s="6"/>
      <c r="CN914" s="10" t="s">
        <v>8793</v>
      </c>
      <c r="CO914">
        <v>-0.25</v>
      </c>
      <c r="CR914">
        <v>99999</v>
      </c>
    </row>
    <row r="915" spans="1:96">
      <c r="A915" t="s">
        <v>8850</v>
      </c>
      <c r="C915" t="s">
        <v>6968</v>
      </c>
      <c r="K915" s="6" t="s">
        <v>6953</v>
      </c>
      <c r="L915" s="6" t="s">
        <v>6972</v>
      </c>
      <c r="AC915">
        <v>1</v>
      </c>
      <c r="AF915">
        <v>1</v>
      </c>
      <c r="AH915">
        <v>1</v>
      </c>
      <c r="AY915" s="6"/>
      <c r="BD915">
        <v>1</v>
      </c>
      <c r="BV915"/>
      <c r="BW915"/>
      <c r="BX915"/>
      <c r="BY915"/>
      <c r="BZ915"/>
      <c r="CA915"/>
      <c r="CB915" s="6"/>
      <c r="CC915" s="6"/>
      <c r="CD915" s="6"/>
      <c r="CE915" s="6"/>
      <c r="CF915" s="6"/>
      <c r="CH915" s="6"/>
      <c r="CI915" s="6"/>
      <c r="CJ915" s="6"/>
      <c r="CK915" s="6"/>
      <c r="CL915" s="6"/>
      <c r="CM915" s="6"/>
      <c r="CN915" s="10" t="s">
        <v>8793</v>
      </c>
      <c r="CO915">
        <v>-0.5</v>
      </c>
      <c r="CR915">
        <v>99999</v>
      </c>
    </row>
    <row r="917" spans="1:96">
      <c r="A917" t="s">
        <v>8851</v>
      </c>
      <c r="C917" t="s">
        <v>6968</v>
      </c>
      <c r="K917" s="6" t="s">
        <v>6953</v>
      </c>
      <c r="L917" s="6" t="s">
        <v>7060</v>
      </c>
      <c r="AC917">
        <v>1</v>
      </c>
      <c r="AG917" t="s">
        <v>6955</v>
      </c>
      <c r="AH917">
        <v>1</v>
      </c>
      <c r="AY917" s="6"/>
      <c r="BD917">
        <v>1</v>
      </c>
      <c r="BV917"/>
      <c r="BW917"/>
      <c r="BX917"/>
      <c r="BY917"/>
      <c r="BZ917"/>
      <c r="CA917"/>
      <c r="CB917" s="6"/>
      <c r="CC917" s="6"/>
      <c r="CD917" s="6"/>
      <c r="CE917" s="6"/>
      <c r="CF917" s="6"/>
      <c r="CH917" s="6"/>
      <c r="CI917" s="6"/>
      <c r="CJ917" s="6"/>
      <c r="CK917" s="6"/>
      <c r="CL917" s="6"/>
      <c r="CM917" s="6"/>
      <c r="CN917" s="10" t="s">
        <v>8852</v>
      </c>
      <c r="CR917">
        <v>10</v>
      </c>
    </row>
    <row r="918" spans="1:96">
      <c r="A918" t="s">
        <v>8853</v>
      </c>
      <c r="C918" t="s">
        <v>6968</v>
      </c>
      <c r="K918" s="6" t="s">
        <v>6953</v>
      </c>
      <c r="L918" s="6" t="s">
        <v>7060</v>
      </c>
      <c r="AC918">
        <v>2</v>
      </c>
      <c r="AG918" t="s">
        <v>6955</v>
      </c>
      <c r="AH918">
        <v>1</v>
      </c>
      <c r="AY918" s="6"/>
      <c r="BD918">
        <v>1</v>
      </c>
      <c r="BV918"/>
      <c r="BW918"/>
      <c r="BX918"/>
      <c r="BY918"/>
      <c r="BZ918"/>
      <c r="CA918"/>
      <c r="CB918" s="6"/>
      <c r="CC918" s="6"/>
      <c r="CD918" s="6"/>
      <c r="CE918" s="6"/>
      <c r="CF918" s="6"/>
      <c r="CH918" s="6"/>
      <c r="CI918" s="6"/>
      <c r="CJ918" s="6"/>
      <c r="CK918" s="6"/>
      <c r="CL918" s="6"/>
      <c r="CM918" s="6"/>
      <c r="CN918" s="10" t="s">
        <v>8854</v>
      </c>
      <c r="CR918">
        <v>10</v>
      </c>
    </row>
    <row r="919" spans="1:96">
      <c r="A919" t="s">
        <v>8855</v>
      </c>
      <c r="C919" t="s">
        <v>6968</v>
      </c>
      <c r="J919" t="s">
        <v>6985</v>
      </c>
      <c r="N919" s="6">
        <v>2</v>
      </c>
      <c r="AC919">
        <v>2</v>
      </c>
      <c r="AG919" t="s">
        <v>6955</v>
      </c>
      <c r="AH919">
        <v>1</v>
      </c>
      <c r="AY919" s="6"/>
      <c r="BD919">
        <v>1</v>
      </c>
      <c r="BV919" s="9">
        <v>0</v>
      </c>
      <c r="BW919" s="9">
        <v>5</v>
      </c>
      <c r="BX919" s="9">
        <v>1</v>
      </c>
      <c r="BY919" s="9" t="s">
        <v>6987</v>
      </c>
      <c r="BZ919"/>
      <c r="CA919"/>
      <c r="CB919" s="6"/>
      <c r="CC919" s="6"/>
      <c r="CD919" s="6"/>
      <c r="CE919" s="6"/>
      <c r="CF919" s="6"/>
      <c r="CH919" s="6"/>
      <c r="CI919" s="6"/>
      <c r="CJ919" s="6"/>
      <c r="CK919" s="6"/>
      <c r="CL919" s="6"/>
      <c r="CM919" s="6"/>
      <c r="CN919" s="10" t="s">
        <v>7601</v>
      </c>
      <c r="CO919">
        <v>100000</v>
      </c>
      <c r="CR919">
        <v>10</v>
      </c>
    </row>
    <row r="920" spans="1:99">
      <c r="A920" t="s">
        <v>8856</v>
      </c>
      <c r="C920" t="s">
        <v>7549</v>
      </c>
      <c r="K920" t="s">
        <v>6953</v>
      </c>
      <c r="L920" t="s">
        <v>7550</v>
      </c>
      <c r="N920">
        <v>1</v>
      </c>
      <c r="AC920">
        <v>2</v>
      </c>
      <c r="AG920" t="s">
        <v>6955</v>
      </c>
      <c r="AH920">
        <v>1</v>
      </c>
      <c r="AN920">
        <v>1</v>
      </c>
      <c r="AY920">
        <v>1</v>
      </c>
      <c r="BD920">
        <v>1</v>
      </c>
      <c r="CN920" t="s">
        <v>8857</v>
      </c>
      <c r="CU920" t="s">
        <v>8858</v>
      </c>
    </row>
    <row r="921" spans="1:96">
      <c r="A921" t="s">
        <v>8859</v>
      </c>
      <c r="C921" t="s">
        <v>6968</v>
      </c>
      <c r="K921" t="s">
        <v>6953</v>
      </c>
      <c r="L921" t="s">
        <v>6972</v>
      </c>
      <c r="AC921">
        <v>1</v>
      </c>
      <c r="AG921" t="s">
        <v>6955</v>
      </c>
      <c r="AH921">
        <v>1</v>
      </c>
      <c r="BD921">
        <v>1</v>
      </c>
      <c r="CN921" t="s">
        <v>8860</v>
      </c>
      <c r="CR921">
        <v>99999</v>
      </c>
    </row>
  </sheetData>
  <autoFilter ref="C1:C915">
    <extLst/>
  </autoFilter>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39"/>
  <sheetViews>
    <sheetView workbookViewId="0">
      <pane xSplit="1" ySplit="2" topLeftCell="B312" activePane="bottomRight" state="frozen"/>
      <selection/>
      <selection pane="topRight"/>
      <selection pane="bottomLeft"/>
      <selection pane="bottomRight" activeCell="A339" sqref="A339"/>
    </sheetView>
  </sheetViews>
  <sheetFormatPr defaultColWidth="9" defaultRowHeight="14"/>
  <cols>
    <col min="1" max="1" width="13" style="2" customWidth="1"/>
    <col min="2" max="2" width="31.2727272727273" style="2" customWidth="1"/>
    <col min="7" max="7" width="18.7272727272727" style="2" customWidth="1"/>
    <col min="8" max="8" width="15" style="2" customWidth="1"/>
    <col min="14" max="14" width="16.0909090909091" style="2" customWidth="1"/>
    <col min="15" max="15" width="9.45454545454546" style="2" customWidth="1"/>
    <col min="16" max="16" width="22.1818181818182" style="2" customWidth="1"/>
    <col min="17" max="17" width="12.8181818181818" style="2" customWidth="1"/>
    <col min="20" max="20" width="9" style="2" customWidth="1"/>
  </cols>
  <sheetData>
    <row r="1" spans="1:16">
      <c r="A1" t="s">
        <v>0</v>
      </c>
      <c r="B1" t="s">
        <v>86</v>
      </c>
      <c r="E1" t="s">
        <v>8861</v>
      </c>
      <c r="F1" t="s">
        <v>8862</v>
      </c>
      <c r="G1" t="s">
        <v>8863</v>
      </c>
      <c r="H1" t="s">
        <v>8864</v>
      </c>
      <c r="I1" t="s">
        <v>8865</v>
      </c>
      <c r="J1" t="s">
        <v>8866</v>
      </c>
      <c r="L1" t="s">
        <v>8867</v>
      </c>
      <c r="M1" t="s">
        <v>8868</v>
      </c>
      <c r="N1" t="s">
        <v>8869</v>
      </c>
      <c r="O1" t="s">
        <v>8870</v>
      </c>
      <c r="P1" t="s">
        <v>8871</v>
      </c>
    </row>
    <row r="2" spans="1:17">
      <c r="A2" t="s">
        <v>0</v>
      </c>
      <c r="C2" t="s">
        <v>131</v>
      </c>
      <c r="D2" t="s">
        <v>162</v>
      </c>
      <c r="E2" t="s">
        <v>8872</v>
      </c>
      <c r="F2" t="s">
        <v>8873</v>
      </c>
      <c r="G2" t="s">
        <v>8874</v>
      </c>
      <c r="H2" t="s">
        <v>8875</v>
      </c>
      <c r="I2" t="s">
        <v>8876</v>
      </c>
      <c r="J2" t="s">
        <v>8877</v>
      </c>
      <c r="K2" t="s">
        <v>8878</v>
      </c>
      <c r="L2" t="s">
        <v>136</v>
      </c>
      <c r="M2" t="s">
        <v>8879</v>
      </c>
      <c r="N2" t="s">
        <v>8880</v>
      </c>
      <c r="O2" t="s">
        <v>8881</v>
      </c>
      <c r="P2" t="s">
        <v>8882</v>
      </c>
      <c r="Q2" t="s">
        <v>6918</v>
      </c>
    </row>
    <row r="3" spans="1:17">
      <c r="A3" t="s">
        <v>2</v>
      </c>
      <c r="C3" t="s">
        <v>2</v>
      </c>
      <c r="D3" t="s">
        <v>2</v>
      </c>
      <c r="E3" t="s">
        <v>202</v>
      </c>
      <c r="F3" t="s">
        <v>202</v>
      </c>
      <c r="G3" t="s">
        <v>202</v>
      </c>
      <c r="H3" t="s">
        <v>200</v>
      </c>
      <c r="I3" t="s">
        <v>200</v>
      </c>
      <c r="J3" t="s">
        <v>6948</v>
      </c>
      <c r="K3" t="s">
        <v>201</v>
      </c>
      <c r="L3" t="s">
        <v>6912</v>
      </c>
      <c r="M3" t="s">
        <v>200</v>
      </c>
      <c r="N3" t="s">
        <v>200</v>
      </c>
      <c r="O3" t="s">
        <v>6912</v>
      </c>
      <c r="P3" t="s">
        <v>200</v>
      </c>
      <c r="Q3" t="s">
        <v>209</v>
      </c>
    </row>
    <row r="4" spans="1:3">
      <c r="A4" t="s">
        <v>8883</v>
      </c>
      <c r="C4" t="s">
        <v>8883</v>
      </c>
    </row>
    <row r="5" spans="1:17">
      <c r="A5" t="s">
        <v>7184</v>
      </c>
      <c r="C5" t="s">
        <v>8884</v>
      </c>
      <c r="K5">
        <v>5</v>
      </c>
      <c r="Q5" t="s">
        <v>8885</v>
      </c>
    </row>
    <row r="6" spans="1:17">
      <c r="A6" t="s">
        <v>7131</v>
      </c>
      <c r="C6" t="s">
        <v>8884</v>
      </c>
      <c r="K6">
        <v>0.3</v>
      </c>
      <c r="Q6" t="s">
        <v>8886</v>
      </c>
    </row>
    <row r="7" spans="1:17">
      <c r="A7" t="s">
        <v>7182</v>
      </c>
      <c r="C7" t="s">
        <v>8884</v>
      </c>
      <c r="K7">
        <v>5</v>
      </c>
      <c r="Q7" t="s">
        <v>8887</v>
      </c>
    </row>
    <row r="8" spans="1:17">
      <c r="A8" t="s">
        <v>7186</v>
      </c>
      <c r="C8" t="s">
        <v>8884</v>
      </c>
      <c r="Q8" t="s">
        <v>8888</v>
      </c>
    </row>
    <row r="9" spans="1:17">
      <c r="A9" t="s">
        <v>7601</v>
      </c>
      <c r="C9" t="s">
        <v>8884</v>
      </c>
      <c r="J9" t="s">
        <v>8889</v>
      </c>
      <c r="K9">
        <v>0.01</v>
      </c>
      <c r="Q9" t="s">
        <v>8890</v>
      </c>
    </row>
    <row r="10" spans="1:17">
      <c r="A10" t="s">
        <v>7327</v>
      </c>
      <c r="C10" t="s">
        <v>8884</v>
      </c>
      <c r="K10">
        <v>0.01</v>
      </c>
      <c r="Q10" t="s">
        <v>8891</v>
      </c>
    </row>
    <row r="11" spans="1:17">
      <c r="A11" t="s">
        <v>8384</v>
      </c>
      <c r="C11" t="s">
        <v>8884</v>
      </c>
      <c r="K11">
        <v>9999</v>
      </c>
      <c r="Q11" t="s">
        <v>8892</v>
      </c>
    </row>
    <row r="12" spans="1:17">
      <c r="A12" t="s">
        <v>8893</v>
      </c>
      <c r="C12" t="s">
        <v>8884</v>
      </c>
      <c r="K12">
        <v>9999</v>
      </c>
      <c r="Q12" t="s">
        <v>8894</v>
      </c>
    </row>
    <row r="13" spans="1:17">
      <c r="A13" t="s">
        <v>8284</v>
      </c>
      <c r="C13" t="s">
        <v>8884</v>
      </c>
      <c r="K13">
        <v>9999</v>
      </c>
      <c r="Q13" t="s">
        <v>8895</v>
      </c>
    </row>
    <row r="14" spans="1:17">
      <c r="A14" t="s">
        <v>7343</v>
      </c>
      <c r="C14" t="s">
        <v>8884</v>
      </c>
      <c r="K14">
        <v>9999</v>
      </c>
      <c r="Q14" t="s">
        <v>8895</v>
      </c>
    </row>
    <row r="15" spans="1:17">
      <c r="A15" t="s">
        <v>8896</v>
      </c>
      <c r="C15" t="s">
        <v>8884</v>
      </c>
      <c r="K15">
        <v>9999</v>
      </c>
      <c r="Q15" t="s">
        <v>8897</v>
      </c>
    </row>
    <row r="16" spans="1:17">
      <c r="A16" t="s">
        <v>7244</v>
      </c>
      <c r="C16" t="s">
        <v>8884</v>
      </c>
      <c r="Q16" t="s">
        <v>8886</v>
      </c>
    </row>
    <row r="17" spans="1:17">
      <c r="A17" t="s">
        <v>8898</v>
      </c>
      <c r="C17" t="s">
        <v>8884</v>
      </c>
      <c r="Q17" t="s">
        <v>8899</v>
      </c>
    </row>
    <row r="18" spans="1:17">
      <c r="A18" t="s">
        <v>8900</v>
      </c>
      <c r="C18" t="s">
        <v>8884</v>
      </c>
      <c r="Q18" t="s">
        <v>8901</v>
      </c>
    </row>
    <row r="19" spans="1:17">
      <c r="A19" t="s">
        <v>8902</v>
      </c>
      <c r="C19" t="s">
        <v>8884</v>
      </c>
      <c r="Q19" t="s">
        <v>8903</v>
      </c>
    </row>
    <row r="20" spans="1:17">
      <c r="A20" t="s">
        <v>7480</v>
      </c>
      <c r="C20" t="s">
        <v>8904</v>
      </c>
      <c r="Q20" t="s">
        <v>8903</v>
      </c>
    </row>
    <row r="21" spans="1:17">
      <c r="A21" t="s">
        <v>8905</v>
      </c>
      <c r="C21" t="s">
        <v>8884</v>
      </c>
      <c r="Q21" t="s">
        <v>8906</v>
      </c>
    </row>
    <row r="22" spans="1:17">
      <c r="A22" t="s">
        <v>8907</v>
      </c>
      <c r="C22" t="s">
        <v>8884</v>
      </c>
      <c r="Q22" t="s">
        <v>8908</v>
      </c>
    </row>
    <row r="23" spans="1:17">
      <c r="A23" t="s">
        <v>8909</v>
      </c>
      <c r="C23" t="s">
        <v>8884</v>
      </c>
      <c r="Q23" t="s">
        <v>8910</v>
      </c>
    </row>
    <row r="24" spans="1:17">
      <c r="A24" t="s">
        <v>8218</v>
      </c>
      <c r="C24" t="s">
        <v>8884</v>
      </c>
      <c r="Q24" t="s">
        <v>8911</v>
      </c>
    </row>
    <row r="25" spans="1:17">
      <c r="A25" t="s">
        <v>7170</v>
      </c>
      <c r="C25" t="s">
        <v>8884</v>
      </c>
      <c r="Q25" t="s">
        <v>8912</v>
      </c>
    </row>
    <row r="26" spans="1:17">
      <c r="A26" t="s">
        <v>8232</v>
      </c>
      <c r="C26" t="s">
        <v>8884</v>
      </c>
      <c r="Q26" t="s">
        <v>8913</v>
      </c>
    </row>
    <row r="27" spans="1:17">
      <c r="A27" t="s">
        <v>7856</v>
      </c>
      <c r="C27" t="s">
        <v>8904</v>
      </c>
      <c r="Q27" t="s">
        <v>8914</v>
      </c>
    </row>
    <row r="28" spans="1:17">
      <c r="A28" t="s">
        <v>7646</v>
      </c>
      <c r="C28" t="s">
        <v>8884</v>
      </c>
      <c r="Q28" t="s">
        <v>8915</v>
      </c>
    </row>
    <row r="29" spans="1:17">
      <c r="A29" t="s">
        <v>8916</v>
      </c>
      <c r="C29" t="s">
        <v>8884</v>
      </c>
      <c r="Q29" t="s">
        <v>8917</v>
      </c>
    </row>
    <row r="30" spans="1:17">
      <c r="A30" t="s">
        <v>7680</v>
      </c>
      <c r="C30" t="s">
        <v>8884</v>
      </c>
      <c r="Q30" t="s">
        <v>8918</v>
      </c>
    </row>
    <row r="31" spans="1:17">
      <c r="A31" t="s">
        <v>8919</v>
      </c>
      <c r="C31" t="s">
        <v>8884</v>
      </c>
      <c r="Q31" t="s">
        <v>8920</v>
      </c>
    </row>
    <row r="32" spans="1:17">
      <c r="A32" t="s">
        <v>8586</v>
      </c>
      <c r="C32" t="s">
        <v>8884</v>
      </c>
      <c r="Q32" t="s">
        <v>8908</v>
      </c>
    </row>
    <row r="33" spans="1:17">
      <c r="A33" t="s">
        <v>8758</v>
      </c>
      <c r="C33" t="s">
        <v>8884</v>
      </c>
      <c r="Q33" t="s">
        <v>8921</v>
      </c>
    </row>
    <row r="35" spans="1:17">
      <c r="A35" t="s">
        <v>7134</v>
      </c>
      <c r="C35" t="s">
        <v>8884</v>
      </c>
      <c r="K35">
        <v>5</v>
      </c>
      <c r="N35">
        <v>1</v>
      </c>
      <c r="Q35" t="s">
        <v>8885</v>
      </c>
    </row>
    <row r="36" spans="1:17">
      <c r="A36" t="s">
        <v>8922</v>
      </c>
      <c r="C36" t="s">
        <v>8884</v>
      </c>
      <c r="K36">
        <v>0.3</v>
      </c>
      <c r="N36">
        <v>1</v>
      </c>
      <c r="Q36" t="s">
        <v>8886</v>
      </c>
    </row>
    <row r="37" spans="1:17">
      <c r="A37" t="s">
        <v>6973</v>
      </c>
      <c r="C37" t="s">
        <v>8884</v>
      </c>
      <c r="K37">
        <v>5</v>
      </c>
      <c r="N37">
        <v>1</v>
      </c>
      <c r="Q37" t="s">
        <v>8887</v>
      </c>
    </row>
    <row r="38" spans="1:17">
      <c r="A38" t="s">
        <v>6975</v>
      </c>
      <c r="C38" t="s">
        <v>8884</v>
      </c>
      <c r="N38">
        <v>1</v>
      </c>
      <c r="Q38" t="s">
        <v>8888</v>
      </c>
    </row>
    <row r="39" spans="1:17">
      <c r="A39" t="s">
        <v>6977</v>
      </c>
      <c r="C39" t="s">
        <v>8884</v>
      </c>
      <c r="K39">
        <v>0.01</v>
      </c>
      <c r="N39">
        <v>1</v>
      </c>
      <c r="Q39" t="s">
        <v>8891</v>
      </c>
    </row>
    <row r="40" spans="1:17">
      <c r="A40" t="s">
        <v>6979</v>
      </c>
      <c r="C40" t="s">
        <v>8884</v>
      </c>
      <c r="K40">
        <v>9999</v>
      </c>
      <c r="N40">
        <v>1</v>
      </c>
      <c r="Q40" t="s">
        <v>8892</v>
      </c>
    </row>
    <row r="41" spans="1:17">
      <c r="A41" t="s">
        <v>7980</v>
      </c>
      <c r="C41" t="s">
        <v>8884</v>
      </c>
      <c r="K41">
        <v>9999</v>
      </c>
      <c r="N41">
        <v>1</v>
      </c>
      <c r="Q41" t="s">
        <v>8894</v>
      </c>
    </row>
    <row r="42" spans="1:17">
      <c r="A42" t="s">
        <v>8923</v>
      </c>
      <c r="C42" t="s">
        <v>8884</v>
      </c>
      <c r="N42">
        <v>1</v>
      </c>
      <c r="Q42" t="s">
        <v>8899</v>
      </c>
    </row>
    <row r="43" spans="1:17">
      <c r="A43" t="s">
        <v>8776</v>
      </c>
      <c r="C43" t="s">
        <v>8884</v>
      </c>
      <c r="N43">
        <v>1</v>
      </c>
      <c r="Q43" t="s">
        <v>8901</v>
      </c>
    </row>
    <row r="44" spans="1:17">
      <c r="A44" t="s">
        <v>8778</v>
      </c>
      <c r="C44" t="s">
        <v>8884</v>
      </c>
      <c r="N44">
        <v>1</v>
      </c>
      <c r="Q44" t="s">
        <v>8903</v>
      </c>
    </row>
    <row r="45" spans="1:17">
      <c r="A45" t="s">
        <v>8780</v>
      </c>
      <c r="C45" t="s">
        <v>8884</v>
      </c>
      <c r="N45">
        <v>1</v>
      </c>
      <c r="Q45" t="s">
        <v>8906</v>
      </c>
    </row>
    <row r="46" spans="1:17">
      <c r="A46" t="s">
        <v>8814</v>
      </c>
      <c r="C46" t="s">
        <v>8884</v>
      </c>
      <c r="N46">
        <v>1</v>
      </c>
      <c r="Q46" t="s">
        <v>8908</v>
      </c>
    </row>
    <row r="48" spans="1:17">
      <c r="A48" t="s">
        <v>8793</v>
      </c>
      <c r="C48" t="s">
        <v>8884</v>
      </c>
      <c r="N48">
        <v>1</v>
      </c>
      <c r="Q48" t="s">
        <v>8924</v>
      </c>
    </row>
    <row r="49" spans="1:17">
      <c r="A49" t="s">
        <v>8817</v>
      </c>
      <c r="C49" t="s">
        <v>8884</v>
      </c>
      <c r="N49">
        <v>1</v>
      </c>
      <c r="Q49" t="s">
        <v>8925</v>
      </c>
    </row>
    <row r="50" spans="1:17">
      <c r="A50" t="s">
        <v>8774</v>
      </c>
      <c r="C50" t="s">
        <v>8884</v>
      </c>
      <c r="N50">
        <v>1</v>
      </c>
      <c r="Q50" t="s">
        <v>8926</v>
      </c>
    </row>
    <row r="51" spans="1:17">
      <c r="A51" t="s">
        <v>8782</v>
      </c>
      <c r="C51" t="s">
        <v>8884</v>
      </c>
      <c r="N51">
        <v>1</v>
      </c>
      <c r="Q51" t="s">
        <v>8927</v>
      </c>
    </row>
    <row r="52" spans="1:17">
      <c r="A52" t="s">
        <v>8806</v>
      </c>
      <c r="C52" t="s">
        <v>8884</v>
      </c>
      <c r="N52">
        <v>1</v>
      </c>
      <c r="Q52" t="s">
        <v>8928</v>
      </c>
    </row>
    <row r="53" spans="1:2">
      <c r="A53" t="s">
        <v>8929</v>
      </c>
      <c r="B53" t="s">
        <v>8930</v>
      </c>
    </row>
    <row r="54" spans="1:17">
      <c r="A54" t="s">
        <v>8784</v>
      </c>
      <c r="C54" t="s">
        <v>8884</v>
      </c>
      <c r="K54">
        <v>9999</v>
      </c>
      <c r="N54">
        <v>1</v>
      </c>
      <c r="Q54" t="s">
        <v>8894</v>
      </c>
    </row>
    <row r="55" spans="1:17">
      <c r="A55" t="s">
        <v>8798</v>
      </c>
      <c r="C55" t="s">
        <v>8884</v>
      </c>
      <c r="N55">
        <v>1</v>
      </c>
      <c r="Q55" t="s">
        <v>8901</v>
      </c>
    </row>
    <row r="57" spans="1:17">
      <c r="A57" t="s">
        <v>8931</v>
      </c>
      <c r="C57" t="s">
        <v>8884</v>
      </c>
      <c r="Q57" t="s">
        <v>8932</v>
      </c>
    </row>
    <row r="58" spans="1:17">
      <c r="A58" t="s">
        <v>6962</v>
      </c>
      <c r="C58" t="s">
        <v>8884</v>
      </c>
      <c r="K58">
        <v>10</v>
      </c>
      <c r="Q58" t="s">
        <v>8932</v>
      </c>
    </row>
    <row r="60" spans="1:17">
      <c r="A60" t="s">
        <v>8933</v>
      </c>
      <c r="C60" t="s">
        <v>8934</v>
      </c>
      <c r="H60">
        <v>1</v>
      </c>
      <c r="Q60" t="s">
        <v>8935</v>
      </c>
    </row>
    <row r="61" spans="1:17">
      <c r="A61" t="s">
        <v>8936</v>
      </c>
      <c r="C61" t="s">
        <v>8937</v>
      </c>
      <c r="H61">
        <v>1</v>
      </c>
      <c r="Q61" t="s">
        <v>8924</v>
      </c>
    </row>
    <row r="63" spans="1:17">
      <c r="A63" t="s">
        <v>8938</v>
      </c>
      <c r="C63" t="s">
        <v>8939</v>
      </c>
      <c r="Q63" t="s">
        <v>8940</v>
      </c>
    </row>
    <row r="65" spans="1:17">
      <c r="A65" t="s">
        <v>8941</v>
      </c>
      <c r="C65" t="s">
        <v>8884</v>
      </c>
      <c r="K65">
        <v>9999</v>
      </c>
      <c r="N65">
        <v>1</v>
      </c>
      <c r="Q65" t="s">
        <v>8895</v>
      </c>
    </row>
    <row r="66" spans="1:17">
      <c r="A66" t="s">
        <v>8942</v>
      </c>
      <c r="C66" t="s">
        <v>8884</v>
      </c>
      <c r="K66">
        <v>9999</v>
      </c>
      <c r="N66">
        <v>1</v>
      </c>
      <c r="Q66" t="s">
        <v>8895</v>
      </c>
    </row>
    <row r="67" spans="1:17">
      <c r="A67" t="s">
        <v>8943</v>
      </c>
      <c r="C67" t="s">
        <v>8884</v>
      </c>
      <c r="K67">
        <v>9999</v>
      </c>
      <c r="N67">
        <v>1</v>
      </c>
      <c r="Q67" t="s">
        <v>8897</v>
      </c>
    </row>
    <row r="68" spans="1:3">
      <c r="A68" t="s">
        <v>8944</v>
      </c>
      <c r="C68" t="s">
        <v>8944</v>
      </c>
    </row>
    <row r="69" spans="1:14">
      <c r="A69" t="s">
        <v>6970</v>
      </c>
      <c r="C69" t="s">
        <v>8944</v>
      </c>
      <c r="N69">
        <v>1</v>
      </c>
    </row>
    <row r="70" spans="1:17">
      <c r="A70" t="s">
        <v>7705</v>
      </c>
      <c r="C70" t="s">
        <v>7705</v>
      </c>
      <c r="J70" t="s">
        <v>7705</v>
      </c>
      <c r="Q70" t="s">
        <v>8945</v>
      </c>
    </row>
    <row r="71" spans="1:3">
      <c r="A71" t="s">
        <v>6821</v>
      </c>
      <c r="C71" t="s">
        <v>6821</v>
      </c>
    </row>
    <row r="72" spans="1:3">
      <c r="A72" t="s">
        <v>8946</v>
      </c>
      <c r="C72" t="s">
        <v>8947</v>
      </c>
    </row>
    <row r="73" spans="1:3">
      <c r="A73" t="s">
        <v>7100</v>
      </c>
      <c r="C73" t="s">
        <v>7100</v>
      </c>
    </row>
    <row r="74" spans="1:17">
      <c r="A74" t="s">
        <v>6957</v>
      </c>
      <c r="C74" t="s">
        <v>6957</v>
      </c>
      <c r="J74" t="s">
        <v>6957</v>
      </c>
      <c r="Q74" t="s">
        <v>8948</v>
      </c>
    </row>
    <row r="75" spans="1:3">
      <c r="A75" t="s">
        <v>8420</v>
      </c>
      <c r="B75" t="s">
        <v>8949</v>
      </c>
      <c r="C75" t="s">
        <v>6957</v>
      </c>
    </row>
    <row r="76" spans="1:10">
      <c r="A76" t="s">
        <v>8423</v>
      </c>
      <c r="C76" t="s">
        <v>8423</v>
      </c>
      <c r="J76" t="s">
        <v>8423</v>
      </c>
    </row>
    <row r="77" spans="1:3">
      <c r="A77" t="s">
        <v>8950</v>
      </c>
      <c r="C77" t="s">
        <v>8423</v>
      </c>
    </row>
    <row r="78" spans="1:17">
      <c r="A78" t="s">
        <v>8404</v>
      </c>
      <c r="C78" t="s">
        <v>8884</v>
      </c>
      <c r="H78">
        <v>1</v>
      </c>
      <c r="J78" t="s">
        <v>8404</v>
      </c>
      <c r="L78" t="s">
        <v>8951</v>
      </c>
      <c r="Q78" t="s">
        <v>8885</v>
      </c>
    </row>
    <row r="79" spans="1:10">
      <c r="A79" t="s">
        <v>8951</v>
      </c>
      <c r="C79" t="s">
        <v>8951</v>
      </c>
      <c r="H79">
        <v>1</v>
      </c>
      <c r="J79" t="s">
        <v>8951</v>
      </c>
    </row>
    <row r="80" spans="1:3">
      <c r="A80" t="s">
        <v>8396</v>
      </c>
      <c r="C80" t="s">
        <v>8396</v>
      </c>
    </row>
    <row r="81" spans="1:17">
      <c r="A81" t="s">
        <v>8952</v>
      </c>
      <c r="C81" t="s">
        <v>8953</v>
      </c>
      <c r="Q81" t="s">
        <v>8954</v>
      </c>
    </row>
    <row r="82" spans="1:10">
      <c r="A82" t="s">
        <v>7524</v>
      </c>
      <c r="C82" t="s">
        <v>7524</v>
      </c>
      <c r="J82" t="s">
        <v>8955</v>
      </c>
    </row>
    <row r="83" spans="1:3">
      <c r="A83" t="s">
        <v>7898</v>
      </c>
      <c r="C83" t="s">
        <v>7898</v>
      </c>
    </row>
    <row r="84" spans="1:10">
      <c r="A84" t="s">
        <v>8956</v>
      </c>
      <c r="C84" t="s">
        <v>7100</v>
      </c>
      <c r="J84" t="s">
        <v>8956</v>
      </c>
    </row>
    <row r="85" spans="1:17">
      <c r="A85" t="s">
        <v>8957</v>
      </c>
      <c r="C85" t="s">
        <v>8939</v>
      </c>
      <c r="J85" t="s">
        <v>8958</v>
      </c>
      <c r="Q85" t="s">
        <v>8959</v>
      </c>
    </row>
    <row r="86" spans="1:17">
      <c r="A86" t="s">
        <v>6960</v>
      </c>
      <c r="C86" t="s">
        <v>8960</v>
      </c>
      <c r="J86" t="s">
        <v>8955</v>
      </c>
      <c r="K86">
        <v>9999</v>
      </c>
      <c r="Q86" t="s">
        <v>8961</v>
      </c>
    </row>
    <row r="87" spans="1:3">
      <c r="A87" t="s">
        <v>8962</v>
      </c>
      <c r="C87" t="s">
        <v>8963</v>
      </c>
    </row>
    <row r="89" spans="1:3">
      <c r="A89" t="s">
        <v>8771</v>
      </c>
      <c r="C89" t="s">
        <v>8964</v>
      </c>
    </row>
    <row r="90" spans="1:3">
      <c r="A90" t="s">
        <v>8407</v>
      </c>
      <c r="C90" t="s">
        <v>8964</v>
      </c>
    </row>
    <row r="91" spans="1:17">
      <c r="A91" t="s">
        <v>863</v>
      </c>
      <c r="C91" t="s">
        <v>8884</v>
      </c>
      <c r="J91" t="s">
        <v>7182</v>
      </c>
      <c r="Q91" t="s">
        <v>8965</v>
      </c>
    </row>
    <row r="92" spans="1:17">
      <c r="A92" t="s">
        <v>8966</v>
      </c>
      <c r="C92" t="s">
        <v>8934</v>
      </c>
      <c r="H92">
        <v>1</v>
      </c>
      <c r="K92">
        <v>3</v>
      </c>
      <c r="Q92" t="s">
        <v>8967</v>
      </c>
    </row>
    <row r="94" spans="1:17">
      <c r="A94" t="s">
        <v>8826</v>
      </c>
      <c r="C94" t="s">
        <v>8884</v>
      </c>
      <c r="Q94" t="s">
        <v>8968</v>
      </c>
    </row>
    <row r="96" spans="1:17">
      <c r="A96" t="s">
        <v>8969</v>
      </c>
      <c r="C96" t="s">
        <v>8884</v>
      </c>
      <c r="J96" t="s">
        <v>8970</v>
      </c>
      <c r="K96">
        <v>0.01</v>
      </c>
      <c r="Q96" t="s">
        <v>8890</v>
      </c>
    </row>
    <row r="97" spans="1:17">
      <c r="A97" t="s">
        <v>7221</v>
      </c>
      <c r="C97" t="s">
        <v>8884</v>
      </c>
      <c r="J97" t="s">
        <v>8970</v>
      </c>
      <c r="K97">
        <v>0.01</v>
      </c>
      <c r="Q97" t="s">
        <v>8891</v>
      </c>
    </row>
    <row r="98" spans="1:17">
      <c r="A98" t="s">
        <v>8971</v>
      </c>
      <c r="C98" t="s">
        <v>7507</v>
      </c>
      <c r="K98">
        <v>3</v>
      </c>
      <c r="Q98" t="s">
        <v>8972</v>
      </c>
    </row>
    <row r="99" spans="1:17">
      <c r="A99" t="s">
        <v>7467</v>
      </c>
      <c r="C99" t="s">
        <v>7507</v>
      </c>
      <c r="K99">
        <v>3</v>
      </c>
      <c r="Q99" t="s">
        <v>8973</v>
      </c>
    </row>
    <row r="101" spans="1:17">
      <c r="A101" t="s">
        <v>7018</v>
      </c>
      <c r="C101" t="s">
        <v>8884</v>
      </c>
      <c r="J101" t="s">
        <v>8974</v>
      </c>
      <c r="K101">
        <v>5</v>
      </c>
      <c r="Q101" t="s">
        <v>8965</v>
      </c>
    </row>
    <row r="102" spans="1:17">
      <c r="A102" t="s">
        <v>8975</v>
      </c>
      <c r="C102" t="s">
        <v>7507</v>
      </c>
      <c r="J102" t="s">
        <v>7705</v>
      </c>
      <c r="K102">
        <v>3</v>
      </c>
      <c r="Q102" t="s">
        <v>8976</v>
      </c>
    </row>
    <row r="103" spans="1:10">
      <c r="A103" t="s">
        <v>8977</v>
      </c>
      <c r="C103" t="s">
        <v>8978</v>
      </c>
      <c r="J103" t="s">
        <v>8504</v>
      </c>
    </row>
    <row r="105" spans="1:3">
      <c r="A105" t="s">
        <v>8979</v>
      </c>
      <c r="C105" t="s">
        <v>8423</v>
      </c>
    </row>
    <row r="106" spans="1:3">
      <c r="A106" t="s">
        <v>8980</v>
      </c>
      <c r="C106" t="s">
        <v>8964</v>
      </c>
    </row>
    <row r="107" spans="1:17">
      <c r="A107" t="s">
        <v>8981</v>
      </c>
      <c r="C107" t="s">
        <v>8884</v>
      </c>
      <c r="Q107" t="s">
        <v>8903</v>
      </c>
    </row>
    <row r="108" spans="1:3">
      <c r="A108" t="s">
        <v>8982</v>
      </c>
      <c r="C108" t="s">
        <v>8964</v>
      </c>
    </row>
    <row r="109" spans="1:17">
      <c r="A109" t="s">
        <v>8983</v>
      </c>
      <c r="C109" t="s">
        <v>8884</v>
      </c>
      <c r="Q109" t="s">
        <v>8888</v>
      </c>
    </row>
    <row r="110" spans="1:17">
      <c r="A110" t="s">
        <v>8984</v>
      </c>
      <c r="C110" t="s">
        <v>8884</v>
      </c>
      <c r="Q110" t="s">
        <v>8985</v>
      </c>
    </row>
    <row r="111" spans="1:17">
      <c r="A111" t="s">
        <v>8986</v>
      </c>
      <c r="C111" t="s">
        <v>8904</v>
      </c>
      <c r="H111">
        <v>1</v>
      </c>
      <c r="Q111" t="s">
        <v>8915</v>
      </c>
    </row>
    <row r="112" spans="1:17">
      <c r="A112" t="s">
        <v>8987</v>
      </c>
      <c r="C112" t="s">
        <v>8884</v>
      </c>
      <c r="H112">
        <v>1</v>
      </c>
      <c r="Q112" t="s">
        <v>8887</v>
      </c>
    </row>
    <row r="114" spans="1:17">
      <c r="A114" t="s">
        <v>7022</v>
      </c>
      <c r="C114" t="s">
        <v>8884</v>
      </c>
      <c r="J114" t="s">
        <v>8988</v>
      </c>
      <c r="K114">
        <v>5</v>
      </c>
      <c r="Q114" t="s">
        <v>8887</v>
      </c>
    </row>
    <row r="115" spans="1:17">
      <c r="A115" t="s">
        <v>7095</v>
      </c>
      <c r="C115" t="s">
        <v>7507</v>
      </c>
      <c r="J115" t="s">
        <v>8989</v>
      </c>
      <c r="K115">
        <v>3</v>
      </c>
      <c r="Q115" t="s">
        <v>8990</v>
      </c>
    </row>
    <row r="116" spans="1:17">
      <c r="A116" t="s">
        <v>6988</v>
      </c>
      <c r="C116" t="s">
        <v>8884</v>
      </c>
      <c r="J116" t="s">
        <v>8974</v>
      </c>
      <c r="K116">
        <v>5</v>
      </c>
      <c r="Q116" t="s">
        <v>8887</v>
      </c>
    </row>
    <row r="117" spans="1:17">
      <c r="A117" t="s">
        <v>7000</v>
      </c>
      <c r="C117" t="s">
        <v>8884</v>
      </c>
      <c r="J117" t="s">
        <v>8974</v>
      </c>
      <c r="K117">
        <v>5</v>
      </c>
      <c r="Q117" t="s">
        <v>8885</v>
      </c>
    </row>
    <row r="118" spans="1:17">
      <c r="A118" t="s">
        <v>7042</v>
      </c>
      <c r="C118" t="s">
        <v>8884</v>
      </c>
      <c r="J118" t="s">
        <v>8991</v>
      </c>
      <c r="K118">
        <v>0.01</v>
      </c>
      <c r="Q118" t="s">
        <v>8891</v>
      </c>
    </row>
    <row r="119" spans="1:17">
      <c r="A119" t="s">
        <v>7199</v>
      </c>
      <c r="C119" t="s">
        <v>8884</v>
      </c>
      <c r="J119" t="s">
        <v>7199</v>
      </c>
      <c r="K119">
        <v>5</v>
      </c>
      <c r="Q119" t="s">
        <v>8887</v>
      </c>
    </row>
    <row r="120" spans="1:17">
      <c r="A120" t="s">
        <v>8992</v>
      </c>
      <c r="C120" t="s">
        <v>7507</v>
      </c>
      <c r="J120" t="s">
        <v>8993</v>
      </c>
      <c r="K120">
        <v>3</v>
      </c>
      <c r="Q120" t="s">
        <v>8994</v>
      </c>
    </row>
    <row r="121" spans="1:17">
      <c r="A121" t="s">
        <v>7228</v>
      </c>
      <c r="C121" t="s">
        <v>8884</v>
      </c>
      <c r="K121">
        <v>9999</v>
      </c>
      <c r="N121">
        <v>1</v>
      </c>
      <c r="Q121" t="s">
        <v>8995</v>
      </c>
    </row>
    <row r="122" spans="1:17">
      <c r="A122" t="s">
        <v>8996</v>
      </c>
      <c r="C122" t="s">
        <v>8884</v>
      </c>
      <c r="E122">
        <v>2</v>
      </c>
      <c r="F122">
        <v>2</v>
      </c>
      <c r="K122">
        <v>0.01</v>
      </c>
      <c r="N122">
        <v>1</v>
      </c>
      <c r="Q122" t="s">
        <v>8891</v>
      </c>
    </row>
    <row r="123" spans="1:17">
      <c r="A123" t="s">
        <v>8997</v>
      </c>
      <c r="C123" t="s">
        <v>8884</v>
      </c>
      <c r="J123" t="s">
        <v>8988</v>
      </c>
      <c r="K123">
        <v>0.01</v>
      </c>
      <c r="Q123" t="s">
        <v>8891</v>
      </c>
    </row>
    <row r="124" spans="1:17">
      <c r="A124" t="s">
        <v>7285</v>
      </c>
      <c r="C124" t="s">
        <v>8884</v>
      </c>
      <c r="G124">
        <v>1</v>
      </c>
      <c r="K124">
        <v>0.01</v>
      </c>
      <c r="Q124" t="s">
        <v>8998</v>
      </c>
    </row>
    <row r="125" spans="1:17">
      <c r="A125" t="s">
        <v>8999</v>
      </c>
      <c r="C125" t="s">
        <v>8884</v>
      </c>
      <c r="K125">
        <v>9999</v>
      </c>
      <c r="N125">
        <v>1</v>
      </c>
      <c r="Q125" t="s">
        <v>8995</v>
      </c>
    </row>
    <row r="126" spans="1:3">
      <c r="A126" t="s">
        <v>9000</v>
      </c>
      <c r="C126" t="s">
        <v>8964</v>
      </c>
    </row>
    <row r="127" spans="1:17">
      <c r="A127" t="s">
        <v>7261</v>
      </c>
      <c r="C127" t="s">
        <v>8884</v>
      </c>
      <c r="K127">
        <v>0.01</v>
      </c>
      <c r="Q127" t="s">
        <v>9001</v>
      </c>
    </row>
    <row r="128" spans="1:17">
      <c r="A128" t="s">
        <v>7267</v>
      </c>
      <c r="C128" t="s">
        <v>8884</v>
      </c>
      <c r="J128" t="s">
        <v>9002</v>
      </c>
      <c r="K128">
        <v>0.01</v>
      </c>
      <c r="Q128" t="s">
        <v>9003</v>
      </c>
    </row>
    <row r="129" spans="1:17">
      <c r="A129" t="s">
        <v>9004</v>
      </c>
      <c r="C129" t="s">
        <v>8884</v>
      </c>
      <c r="J129" t="s">
        <v>9004</v>
      </c>
      <c r="K129">
        <v>0.01</v>
      </c>
      <c r="Q129" t="s">
        <v>8885</v>
      </c>
    </row>
    <row r="130" spans="1:17">
      <c r="A130" t="s">
        <v>7299</v>
      </c>
      <c r="C130" t="s">
        <v>8884</v>
      </c>
      <c r="J130" t="s">
        <v>7299</v>
      </c>
      <c r="Q130" t="s">
        <v>8886</v>
      </c>
    </row>
    <row r="131" spans="1:17">
      <c r="A131" t="s">
        <v>9005</v>
      </c>
      <c r="C131" t="s">
        <v>8884</v>
      </c>
      <c r="J131" t="s">
        <v>9006</v>
      </c>
      <c r="K131">
        <v>5</v>
      </c>
      <c r="Q131" t="s">
        <v>8887</v>
      </c>
    </row>
    <row r="132" spans="1:17">
      <c r="A132" t="s">
        <v>7332</v>
      </c>
      <c r="C132" t="s">
        <v>8937</v>
      </c>
      <c r="J132" t="s">
        <v>9007</v>
      </c>
      <c r="K132">
        <v>0.01</v>
      </c>
      <c r="Q132" t="s">
        <v>8891</v>
      </c>
    </row>
    <row r="133" spans="1:17">
      <c r="A133" t="s">
        <v>7337</v>
      </c>
      <c r="C133" t="s">
        <v>9008</v>
      </c>
      <c r="J133" t="s">
        <v>9009</v>
      </c>
      <c r="Q133" t="s">
        <v>9010</v>
      </c>
    </row>
    <row r="134" spans="1:17">
      <c r="A134" t="s">
        <v>7384</v>
      </c>
      <c r="C134" t="s">
        <v>8884</v>
      </c>
      <c r="K134">
        <v>0.01</v>
      </c>
      <c r="Q134" t="s">
        <v>9011</v>
      </c>
    </row>
    <row r="135" spans="1:17">
      <c r="A135" t="s">
        <v>7390</v>
      </c>
      <c r="C135" t="s">
        <v>9012</v>
      </c>
      <c r="J135" t="s">
        <v>9013</v>
      </c>
      <c r="Q135" t="s">
        <v>9014</v>
      </c>
    </row>
    <row r="136" spans="1:17">
      <c r="A136" t="s">
        <v>9015</v>
      </c>
      <c r="C136" t="s">
        <v>9012</v>
      </c>
      <c r="J136" t="s">
        <v>9013</v>
      </c>
      <c r="Q136" t="s">
        <v>9016</v>
      </c>
    </row>
    <row r="137" spans="1:10">
      <c r="A137" t="s">
        <v>7399</v>
      </c>
      <c r="C137" t="s">
        <v>8964</v>
      </c>
      <c r="J137" t="s">
        <v>7400</v>
      </c>
    </row>
    <row r="138" spans="1:17">
      <c r="A138" t="s">
        <v>7401</v>
      </c>
      <c r="C138" t="s">
        <v>8884</v>
      </c>
      <c r="K138">
        <v>0.01</v>
      </c>
      <c r="Q138" t="s">
        <v>9017</v>
      </c>
    </row>
    <row r="139" spans="1:17">
      <c r="A139" t="s">
        <v>7410</v>
      </c>
      <c r="C139" t="s">
        <v>9012</v>
      </c>
      <c r="Q139" t="s">
        <v>9018</v>
      </c>
    </row>
    <row r="140" spans="1:17">
      <c r="A140" t="s">
        <v>7415</v>
      </c>
      <c r="C140" t="s">
        <v>8884</v>
      </c>
      <c r="J140" t="s">
        <v>9019</v>
      </c>
      <c r="Q140" t="s">
        <v>9020</v>
      </c>
    </row>
    <row r="141" spans="1:17">
      <c r="A141" t="s">
        <v>7422</v>
      </c>
      <c r="C141" t="s">
        <v>8884</v>
      </c>
      <c r="J141" t="s">
        <v>8991</v>
      </c>
      <c r="Q141" t="s">
        <v>9021</v>
      </c>
    </row>
    <row r="142" spans="1:17">
      <c r="A142" t="s">
        <v>9022</v>
      </c>
      <c r="C142" t="s">
        <v>9012</v>
      </c>
      <c r="Q142" t="s">
        <v>9023</v>
      </c>
    </row>
    <row r="143" spans="1:17">
      <c r="A143" t="s">
        <v>7439</v>
      </c>
      <c r="C143" t="s">
        <v>8884</v>
      </c>
      <c r="J143" t="s">
        <v>7443</v>
      </c>
      <c r="Q143" t="s">
        <v>8891</v>
      </c>
    </row>
    <row r="144" spans="1:17">
      <c r="A144" t="s">
        <v>9024</v>
      </c>
      <c r="C144" t="s">
        <v>6798</v>
      </c>
      <c r="K144">
        <v>5</v>
      </c>
      <c r="Q144" t="s">
        <v>9025</v>
      </c>
    </row>
    <row r="145" spans="1:17">
      <c r="A145" t="s">
        <v>7443</v>
      </c>
      <c r="C145" t="s">
        <v>8884</v>
      </c>
      <c r="Q145" t="s">
        <v>9026</v>
      </c>
    </row>
    <row r="146" spans="1:17">
      <c r="A146" t="s">
        <v>7453</v>
      </c>
      <c r="C146" t="s">
        <v>8884</v>
      </c>
      <c r="K146">
        <v>0.01</v>
      </c>
      <c r="Q146" t="s">
        <v>9011</v>
      </c>
    </row>
    <row r="147" spans="1:17">
      <c r="A147" t="s">
        <v>9027</v>
      </c>
      <c r="C147" t="s">
        <v>9012</v>
      </c>
      <c r="Q147" t="s">
        <v>9018</v>
      </c>
    </row>
    <row r="148" spans="1:17">
      <c r="A148" t="s">
        <v>7488</v>
      </c>
      <c r="C148" t="s">
        <v>8884</v>
      </c>
      <c r="J148" t="s">
        <v>7488</v>
      </c>
      <c r="K148">
        <v>5</v>
      </c>
      <c r="Q148" t="s">
        <v>8910</v>
      </c>
    </row>
    <row r="149" spans="1:17">
      <c r="A149" t="s">
        <v>9028</v>
      </c>
      <c r="C149" t="s">
        <v>8884</v>
      </c>
      <c r="J149" t="s">
        <v>8974</v>
      </c>
      <c r="K149">
        <v>0.01</v>
      </c>
      <c r="Q149" t="s">
        <v>9011</v>
      </c>
    </row>
    <row r="150" spans="1:17">
      <c r="A150" t="s">
        <v>7492</v>
      </c>
      <c r="C150" t="s">
        <v>9029</v>
      </c>
      <c r="Q150" t="s">
        <v>9030</v>
      </c>
    </row>
    <row r="151" spans="1:17">
      <c r="A151" t="s">
        <v>9031</v>
      </c>
      <c r="C151" t="s">
        <v>9029</v>
      </c>
      <c r="J151" t="s">
        <v>9032</v>
      </c>
      <c r="Q151" t="s">
        <v>9033</v>
      </c>
    </row>
    <row r="152" spans="1:17">
      <c r="A152" t="s">
        <v>7497</v>
      </c>
      <c r="C152" t="s">
        <v>8884</v>
      </c>
      <c r="J152" t="s">
        <v>8974</v>
      </c>
      <c r="K152">
        <v>0.01</v>
      </c>
      <c r="Q152" t="s">
        <v>9003</v>
      </c>
    </row>
    <row r="153" spans="1:17">
      <c r="A153" t="s">
        <v>9034</v>
      </c>
      <c r="C153" t="s">
        <v>9012</v>
      </c>
      <c r="Q153" t="s">
        <v>9023</v>
      </c>
    </row>
    <row r="154" spans="1:17">
      <c r="A154" t="s">
        <v>7561</v>
      </c>
      <c r="C154" t="s">
        <v>8934</v>
      </c>
      <c r="K154">
        <v>3</v>
      </c>
      <c r="Q154" t="s">
        <v>9035</v>
      </c>
    </row>
    <row r="155" spans="1:17">
      <c r="A155" t="s">
        <v>7581</v>
      </c>
      <c r="C155" t="s">
        <v>8884</v>
      </c>
      <c r="J155" t="s">
        <v>9036</v>
      </c>
      <c r="K155">
        <v>0.01</v>
      </c>
      <c r="Q155" t="s">
        <v>8965</v>
      </c>
    </row>
    <row r="156" spans="1:17">
      <c r="A156" t="s">
        <v>7522</v>
      </c>
      <c r="C156" t="s">
        <v>8884</v>
      </c>
      <c r="J156" t="s">
        <v>9037</v>
      </c>
      <c r="K156">
        <v>5</v>
      </c>
      <c r="Q156" t="s">
        <v>8887</v>
      </c>
    </row>
    <row r="157" spans="1:17">
      <c r="A157" t="s">
        <v>9038</v>
      </c>
      <c r="C157" t="s">
        <v>8884</v>
      </c>
      <c r="J157" t="s">
        <v>9039</v>
      </c>
      <c r="K157">
        <v>5</v>
      </c>
      <c r="Q157" t="s">
        <v>8887</v>
      </c>
    </row>
    <row r="158" spans="1:10">
      <c r="A158" t="s">
        <v>9040</v>
      </c>
      <c r="C158" t="s">
        <v>8964</v>
      </c>
      <c r="J158" t="s">
        <v>9041</v>
      </c>
    </row>
    <row r="159" spans="1:10">
      <c r="A159" t="s">
        <v>9042</v>
      </c>
      <c r="C159" t="s">
        <v>8964</v>
      </c>
      <c r="J159" t="s">
        <v>9043</v>
      </c>
    </row>
    <row r="160" spans="1:17">
      <c r="A160" t="s">
        <v>9044</v>
      </c>
      <c r="C160" t="s">
        <v>8884</v>
      </c>
      <c r="J160" t="s">
        <v>7538</v>
      </c>
      <c r="K160">
        <v>5</v>
      </c>
      <c r="Q160" t="s">
        <v>8887</v>
      </c>
    </row>
    <row r="161" spans="1:10">
      <c r="A161" t="s">
        <v>9045</v>
      </c>
      <c r="C161" t="s">
        <v>8964</v>
      </c>
      <c r="J161" t="s">
        <v>9046</v>
      </c>
    </row>
    <row r="162" spans="1:17">
      <c r="A162" t="s">
        <v>7551</v>
      </c>
      <c r="C162" t="s">
        <v>8884</v>
      </c>
      <c r="J162" t="s">
        <v>9047</v>
      </c>
      <c r="K162">
        <v>5</v>
      </c>
      <c r="Q162" t="s">
        <v>8887</v>
      </c>
    </row>
    <row r="163" spans="1:17">
      <c r="A163" t="s">
        <v>7009</v>
      </c>
      <c r="C163" t="s">
        <v>8884</v>
      </c>
      <c r="J163" t="s">
        <v>8974</v>
      </c>
      <c r="Q163" t="s">
        <v>8885</v>
      </c>
    </row>
    <row r="164" spans="1:10">
      <c r="A164" t="s">
        <v>7625</v>
      </c>
      <c r="C164" t="s">
        <v>8964</v>
      </c>
      <c r="J164" t="s">
        <v>7624</v>
      </c>
    </row>
    <row r="165" spans="1:17">
      <c r="A165" t="s">
        <v>7639</v>
      </c>
      <c r="C165" t="s">
        <v>8884</v>
      </c>
      <c r="J165" t="s">
        <v>7624</v>
      </c>
      <c r="Q165" t="s">
        <v>9048</v>
      </c>
    </row>
    <row r="166" spans="1:17">
      <c r="A166" t="s">
        <v>7651</v>
      </c>
      <c r="C166" t="s">
        <v>8884</v>
      </c>
      <c r="J166" t="s">
        <v>8974</v>
      </c>
      <c r="Q166" t="s">
        <v>8911</v>
      </c>
    </row>
    <row r="167" spans="1:17">
      <c r="A167" t="s">
        <v>7666</v>
      </c>
      <c r="C167" t="s">
        <v>7507</v>
      </c>
      <c r="H167">
        <v>1</v>
      </c>
      <c r="J167" t="s">
        <v>7705</v>
      </c>
      <c r="K167">
        <v>3</v>
      </c>
      <c r="Q167" t="s">
        <v>9049</v>
      </c>
    </row>
    <row r="168" spans="1:17">
      <c r="A168" t="s">
        <v>7692</v>
      </c>
      <c r="C168" t="s">
        <v>8884</v>
      </c>
      <c r="J168" t="s">
        <v>9050</v>
      </c>
      <c r="Q168" t="s">
        <v>9026</v>
      </c>
    </row>
    <row r="169" spans="1:17">
      <c r="A169" t="s">
        <v>9051</v>
      </c>
      <c r="C169" t="s">
        <v>8934</v>
      </c>
      <c r="J169" t="s">
        <v>9052</v>
      </c>
      <c r="K169">
        <v>3</v>
      </c>
      <c r="Q169" t="s">
        <v>9053</v>
      </c>
    </row>
    <row r="170" spans="1:17">
      <c r="A170" t="s">
        <v>9054</v>
      </c>
      <c r="C170" t="s">
        <v>7507</v>
      </c>
      <c r="J170" t="s">
        <v>9055</v>
      </c>
      <c r="K170">
        <v>3</v>
      </c>
      <c r="Q170" t="s">
        <v>9056</v>
      </c>
    </row>
    <row r="171" spans="1:17">
      <c r="A171" t="s">
        <v>9057</v>
      </c>
      <c r="C171" t="s">
        <v>9058</v>
      </c>
      <c r="Q171" t="s">
        <v>9059</v>
      </c>
    </row>
    <row r="172" spans="1:17">
      <c r="A172" t="s">
        <v>7757</v>
      </c>
      <c r="C172" t="s">
        <v>8884</v>
      </c>
      <c r="J172" t="s">
        <v>7757</v>
      </c>
      <c r="Q172" t="s">
        <v>9026</v>
      </c>
    </row>
    <row r="173" spans="1:17">
      <c r="A173" t="s">
        <v>7765</v>
      </c>
      <c r="C173" t="s">
        <v>7507</v>
      </c>
      <c r="K173">
        <v>3</v>
      </c>
      <c r="Q173" t="s">
        <v>9060</v>
      </c>
    </row>
    <row r="174" spans="1:17">
      <c r="A174" t="s">
        <v>7766</v>
      </c>
      <c r="C174" t="s">
        <v>7507</v>
      </c>
      <c r="K174">
        <v>3</v>
      </c>
      <c r="Q174" t="s">
        <v>9061</v>
      </c>
    </row>
    <row r="175" spans="1:17">
      <c r="A175" t="s">
        <v>7767</v>
      </c>
      <c r="C175" t="s">
        <v>8884</v>
      </c>
      <c r="J175" t="s">
        <v>9062</v>
      </c>
      <c r="K175">
        <v>0.01</v>
      </c>
      <c r="Q175" t="s">
        <v>8891</v>
      </c>
    </row>
    <row r="176" spans="1:17">
      <c r="A176" t="s">
        <v>9063</v>
      </c>
      <c r="C176" t="s">
        <v>9012</v>
      </c>
      <c r="Q176" t="s">
        <v>9023</v>
      </c>
    </row>
    <row r="177" spans="1:17">
      <c r="A177" t="s">
        <v>7787</v>
      </c>
      <c r="C177" t="s">
        <v>8884</v>
      </c>
      <c r="J177" t="s">
        <v>9050</v>
      </c>
      <c r="Q177" t="s">
        <v>9064</v>
      </c>
    </row>
    <row r="178" spans="1:17">
      <c r="A178" t="s">
        <v>7792</v>
      </c>
      <c r="C178" t="s">
        <v>8884</v>
      </c>
      <c r="J178" t="s">
        <v>9065</v>
      </c>
      <c r="K178">
        <v>5</v>
      </c>
      <c r="Q178" t="s">
        <v>8887</v>
      </c>
    </row>
    <row r="179" spans="1:17">
      <c r="A179" t="s">
        <v>7834</v>
      </c>
      <c r="C179" t="s">
        <v>8884</v>
      </c>
      <c r="E179">
        <v>1</v>
      </c>
      <c r="K179">
        <v>0.01</v>
      </c>
      <c r="Q179" t="s">
        <v>8998</v>
      </c>
    </row>
    <row r="180" spans="1:17">
      <c r="A180" t="s">
        <v>7868</v>
      </c>
      <c r="C180" t="s">
        <v>8884</v>
      </c>
      <c r="Q180" t="s">
        <v>9066</v>
      </c>
    </row>
    <row r="181" spans="1:17">
      <c r="A181" t="s">
        <v>7874</v>
      </c>
      <c r="C181" t="s">
        <v>8884</v>
      </c>
      <c r="K181">
        <v>0.01</v>
      </c>
      <c r="Q181" t="s">
        <v>9067</v>
      </c>
    </row>
    <row r="182" spans="1:17">
      <c r="A182" t="s">
        <v>7876</v>
      </c>
      <c r="C182" t="s">
        <v>8884</v>
      </c>
      <c r="Q182" t="s">
        <v>8910</v>
      </c>
    </row>
    <row r="183" spans="1:17">
      <c r="A183" t="s">
        <v>7903</v>
      </c>
      <c r="C183" t="s">
        <v>9068</v>
      </c>
      <c r="Q183" t="s">
        <v>9069</v>
      </c>
    </row>
    <row r="184" spans="1:17">
      <c r="A184" t="s">
        <v>9070</v>
      </c>
      <c r="C184" t="s">
        <v>8884</v>
      </c>
      <c r="K184">
        <v>5</v>
      </c>
      <c r="Q184" t="s">
        <v>8887</v>
      </c>
    </row>
    <row r="185" spans="1:17">
      <c r="A185" t="s">
        <v>7910</v>
      </c>
      <c r="C185" t="s">
        <v>7507</v>
      </c>
      <c r="K185">
        <v>3</v>
      </c>
      <c r="Q185" t="s">
        <v>9056</v>
      </c>
    </row>
    <row r="186" spans="1:3">
      <c r="A186" t="s">
        <v>7912</v>
      </c>
      <c r="C186" t="s">
        <v>8964</v>
      </c>
    </row>
    <row r="187" spans="1:17">
      <c r="A187" t="s">
        <v>7924</v>
      </c>
      <c r="C187" t="s">
        <v>8884</v>
      </c>
      <c r="Q187" t="s">
        <v>9064</v>
      </c>
    </row>
    <row r="188" spans="1:17">
      <c r="A188" t="s">
        <v>9071</v>
      </c>
      <c r="C188" t="s">
        <v>7507</v>
      </c>
      <c r="Q188" t="s">
        <v>9072</v>
      </c>
    </row>
    <row r="192" spans="1:17">
      <c r="A192" t="s">
        <v>7947</v>
      </c>
      <c r="C192" t="s">
        <v>8884</v>
      </c>
      <c r="I192">
        <v>1</v>
      </c>
      <c r="J192" t="s">
        <v>9073</v>
      </c>
      <c r="K192">
        <v>9999</v>
      </c>
      <c r="Q192" t="s">
        <v>9074</v>
      </c>
    </row>
    <row r="193" spans="1:17">
      <c r="A193" t="s">
        <v>7975</v>
      </c>
      <c r="C193" t="s">
        <v>8884</v>
      </c>
      <c r="J193" t="s">
        <v>9075</v>
      </c>
      <c r="K193">
        <v>5</v>
      </c>
      <c r="Q193" t="s">
        <v>8887</v>
      </c>
    </row>
    <row r="194" spans="1:10">
      <c r="A194" t="s">
        <v>8025</v>
      </c>
      <c r="C194" t="s">
        <v>8944</v>
      </c>
      <c r="J194" t="s">
        <v>9076</v>
      </c>
    </row>
    <row r="195" spans="1:17">
      <c r="A195" t="s">
        <v>8006</v>
      </c>
      <c r="C195" t="s">
        <v>8884</v>
      </c>
      <c r="J195" t="s">
        <v>9077</v>
      </c>
      <c r="K195">
        <v>5</v>
      </c>
      <c r="Q195" t="s">
        <v>8887</v>
      </c>
    </row>
    <row r="196" spans="1:17">
      <c r="A196" t="s">
        <v>9078</v>
      </c>
      <c r="C196" t="s">
        <v>8884</v>
      </c>
      <c r="J196" t="s">
        <v>9079</v>
      </c>
      <c r="Q196" t="s">
        <v>9080</v>
      </c>
    </row>
    <row r="197" spans="1:10">
      <c r="A197" t="s">
        <v>9081</v>
      </c>
      <c r="C197" t="s">
        <v>8964</v>
      </c>
      <c r="J197" t="s">
        <v>9082</v>
      </c>
    </row>
    <row r="198" spans="1:10">
      <c r="A198" t="s">
        <v>9083</v>
      </c>
      <c r="C198" t="s">
        <v>8964</v>
      </c>
      <c r="J198" t="s">
        <v>9084</v>
      </c>
    </row>
    <row r="199" spans="1:17">
      <c r="A199" t="s">
        <v>8022</v>
      </c>
      <c r="C199" t="s">
        <v>9085</v>
      </c>
      <c r="Q199" t="s">
        <v>9086</v>
      </c>
    </row>
    <row r="200" spans="1:17">
      <c r="A200" t="s">
        <v>8013</v>
      </c>
      <c r="C200" t="s">
        <v>6798</v>
      </c>
      <c r="K200">
        <v>5</v>
      </c>
      <c r="Q200" t="s">
        <v>9087</v>
      </c>
    </row>
    <row r="201" spans="1:17">
      <c r="A201" t="s">
        <v>8062</v>
      </c>
      <c r="C201" t="s">
        <v>8944</v>
      </c>
      <c r="Q201" t="s">
        <v>9088</v>
      </c>
    </row>
    <row r="202" spans="1:17">
      <c r="A202" t="s">
        <v>8041</v>
      </c>
      <c r="C202" t="s">
        <v>8884</v>
      </c>
      <c r="J202" t="s">
        <v>9089</v>
      </c>
      <c r="K202">
        <v>0.01</v>
      </c>
      <c r="Q202" t="s">
        <v>8891</v>
      </c>
    </row>
    <row r="203" spans="1:17">
      <c r="A203" t="s">
        <v>8048</v>
      </c>
      <c r="C203" t="s">
        <v>8884</v>
      </c>
      <c r="J203" t="s">
        <v>9090</v>
      </c>
      <c r="K203">
        <v>5</v>
      </c>
      <c r="Q203" t="s">
        <v>8885</v>
      </c>
    </row>
    <row r="204" spans="1:17">
      <c r="A204" t="s">
        <v>8041</v>
      </c>
      <c r="C204" t="s">
        <v>8884</v>
      </c>
      <c r="J204" t="s">
        <v>9091</v>
      </c>
      <c r="K204">
        <v>0.01</v>
      </c>
      <c r="Q204" t="s">
        <v>8891</v>
      </c>
    </row>
    <row r="206" spans="1:17">
      <c r="A206" t="s">
        <v>8066</v>
      </c>
      <c r="C206" t="s">
        <v>8884</v>
      </c>
      <c r="K206">
        <v>0.01</v>
      </c>
      <c r="Q206" t="s">
        <v>8925</v>
      </c>
    </row>
    <row r="207" spans="1:3">
      <c r="A207" t="s">
        <v>8035</v>
      </c>
      <c r="C207" t="s">
        <v>8964</v>
      </c>
    </row>
    <row r="208" spans="1:3">
      <c r="A208" t="s">
        <v>8064</v>
      </c>
      <c r="C208" t="s">
        <v>9092</v>
      </c>
    </row>
    <row r="209" spans="1:3">
      <c r="A209" t="s">
        <v>8055</v>
      </c>
      <c r="C209" t="s">
        <v>8055</v>
      </c>
    </row>
    <row r="210" spans="1:3">
      <c r="A210" t="s">
        <v>8058</v>
      </c>
      <c r="C210" t="s">
        <v>8964</v>
      </c>
    </row>
    <row r="212" spans="1:17">
      <c r="A212" t="s">
        <v>8073</v>
      </c>
      <c r="C212" t="s">
        <v>8934</v>
      </c>
      <c r="J212" t="s">
        <v>9093</v>
      </c>
      <c r="K212">
        <v>3</v>
      </c>
      <c r="Q212" t="s">
        <v>9094</v>
      </c>
    </row>
    <row r="213" spans="1:3">
      <c r="A213" t="s">
        <v>8071</v>
      </c>
      <c r="C213" t="s">
        <v>8964</v>
      </c>
    </row>
    <row r="214" spans="1:10">
      <c r="A214" t="s">
        <v>8087</v>
      </c>
      <c r="C214" t="s">
        <v>7100</v>
      </c>
      <c r="J214" t="s">
        <v>9095</v>
      </c>
    </row>
    <row r="215" spans="1:17">
      <c r="A215" t="s">
        <v>8089</v>
      </c>
      <c r="C215" t="s">
        <v>8884</v>
      </c>
      <c r="Q215" t="s">
        <v>8998</v>
      </c>
    </row>
    <row r="216" spans="1:17">
      <c r="A216" t="s">
        <v>8096</v>
      </c>
      <c r="C216" t="s">
        <v>8884</v>
      </c>
      <c r="J216" t="s">
        <v>9096</v>
      </c>
      <c r="Q216" t="s">
        <v>8965</v>
      </c>
    </row>
    <row r="217" spans="1:17">
      <c r="A217" t="s">
        <v>8109</v>
      </c>
      <c r="C217" t="s">
        <v>8884</v>
      </c>
      <c r="J217" t="s">
        <v>9096</v>
      </c>
      <c r="Q217" t="s">
        <v>8965</v>
      </c>
    </row>
    <row r="218" spans="1:10">
      <c r="A218" t="s">
        <v>9097</v>
      </c>
      <c r="C218" t="s">
        <v>8964</v>
      </c>
      <c r="J218" t="s">
        <v>9098</v>
      </c>
    </row>
    <row r="220" spans="1:17">
      <c r="A220" t="s">
        <v>8124</v>
      </c>
      <c r="C220" t="s">
        <v>8884</v>
      </c>
      <c r="J220" t="s">
        <v>8124</v>
      </c>
      <c r="Q220" t="s">
        <v>9048</v>
      </c>
    </row>
    <row r="221" spans="1:10">
      <c r="A221" t="s">
        <v>8132</v>
      </c>
      <c r="C221" t="s">
        <v>8964</v>
      </c>
      <c r="J221" t="s">
        <v>9099</v>
      </c>
    </row>
    <row r="222" spans="1:17">
      <c r="A222" t="s">
        <v>8138</v>
      </c>
      <c r="C222" t="s">
        <v>8884</v>
      </c>
      <c r="J222" t="s">
        <v>9100</v>
      </c>
      <c r="Q222" t="s">
        <v>8910</v>
      </c>
    </row>
    <row r="223" spans="1:17">
      <c r="A223" t="s">
        <v>9101</v>
      </c>
      <c r="C223" t="s">
        <v>8884</v>
      </c>
      <c r="N223">
        <v>1</v>
      </c>
      <c r="Q223" t="s">
        <v>8998</v>
      </c>
    </row>
    <row r="224" spans="1:17">
      <c r="A224" t="s">
        <v>9102</v>
      </c>
      <c r="C224" t="s">
        <v>8884</v>
      </c>
      <c r="J224" t="s">
        <v>9103</v>
      </c>
      <c r="Q224" t="s">
        <v>8910</v>
      </c>
    </row>
    <row r="226" spans="1:17">
      <c r="A226" t="s">
        <v>8146</v>
      </c>
      <c r="C226" t="s">
        <v>8884</v>
      </c>
      <c r="J226" t="s">
        <v>8974</v>
      </c>
      <c r="Q226" t="s">
        <v>8965</v>
      </c>
    </row>
    <row r="227" spans="1:21">
      <c r="A227" t="s">
        <v>9104</v>
      </c>
      <c r="C227" t="s">
        <v>8934</v>
      </c>
      <c r="J227" t="s">
        <v>8889</v>
      </c>
      <c r="Q227" t="s">
        <v>9105</v>
      </c>
      <c r="U227" t="s">
        <v>9106</v>
      </c>
    </row>
    <row r="228" spans="1:10">
      <c r="A228" t="s">
        <v>8168</v>
      </c>
      <c r="C228" t="s">
        <v>8964</v>
      </c>
      <c r="J228" t="s">
        <v>9107</v>
      </c>
    </row>
    <row r="230" spans="1:17">
      <c r="A230" t="s">
        <v>8177</v>
      </c>
      <c r="C230" t="s">
        <v>8884</v>
      </c>
      <c r="J230" t="s">
        <v>8974</v>
      </c>
      <c r="Q230" t="s">
        <v>8965</v>
      </c>
    </row>
    <row r="231" spans="1:17">
      <c r="A231" t="s">
        <v>8194</v>
      </c>
      <c r="C231" t="s">
        <v>8884</v>
      </c>
      <c r="J231" t="s">
        <v>9108</v>
      </c>
      <c r="Q231" t="s">
        <v>9064</v>
      </c>
    </row>
    <row r="233" spans="1:17">
      <c r="A233" t="s">
        <v>9109</v>
      </c>
      <c r="C233" t="s">
        <v>6798</v>
      </c>
      <c r="Q233" t="s">
        <v>9110</v>
      </c>
    </row>
    <row r="234" spans="1:3">
      <c r="A234" t="s">
        <v>8231</v>
      </c>
      <c r="C234" t="s">
        <v>8964</v>
      </c>
    </row>
    <row r="235" spans="1:10">
      <c r="A235" t="s">
        <v>9111</v>
      </c>
      <c r="C235" t="s">
        <v>7100</v>
      </c>
      <c r="J235" t="s">
        <v>9112</v>
      </c>
    </row>
    <row r="237" spans="1:17">
      <c r="A237" t="s">
        <v>8243</v>
      </c>
      <c r="C237" t="s">
        <v>8884</v>
      </c>
      <c r="J237" t="s">
        <v>9113</v>
      </c>
      <c r="Q237" t="s">
        <v>8965</v>
      </c>
    </row>
    <row r="238" spans="1:17">
      <c r="A238" t="s">
        <v>9114</v>
      </c>
      <c r="C238" t="s">
        <v>9008</v>
      </c>
      <c r="J238" t="s">
        <v>9115</v>
      </c>
      <c r="Q238" t="s">
        <v>9116</v>
      </c>
    </row>
    <row r="239" spans="1:17">
      <c r="A239" t="s">
        <v>9117</v>
      </c>
      <c r="C239" t="s">
        <v>8884</v>
      </c>
      <c r="K239">
        <v>0.01</v>
      </c>
      <c r="O239" t="s">
        <v>9114</v>
      </c>
      <c r="Q239" t="s">
        <v>8891</v>
      </c>
    </row>
    <row r="240" spans="1:17">
      <c r="A240" t="s">
        <v>8255</v>
      </c>
      <c r="C240" t="s">
        <v>8884</v>
      </c>
      <c r="J240" t="s">
        <v>9118</v>
      </c>
      <c r="K240">
        <v>5</v>
      </c>
      <c r="Q240" t="s">
        <v>8887</v>
      </c>
    </row>
    <row r="242" spans="1:17">
      <c r="A242" t="s">
        <v>9119</v>
      </c>
      <c r="C242" t="s">
        <v>8884</v>
      </c>
      <c r="J242" t="s">
        <v>9120</v>
      </c>
      <c r="K242">
        <v>5</v>
      </c>
      <c r="Q242" t="s">
        <v>8887</v>
      </c>
    </row>
    <row r="243" spans="1:17">
      <c r="A243" t="s">
        <v>9121</v>
      </c>
      <c r="C243" t="s">
        <v>9008</v>
      </c>
      <c r="J243" t="s">
        <v>9122</v>
      </c>
      <c r="Q243" t="s">
        <v>9123</v>
      </c>
    </row>
    <row r="244" spans="1:17">
      <c r="A244" t="s">
        <v>9124</v>
      </c>
      <c r="C244" t="s">
        <v>8884</v>
      </c>
      <c r="K244">
        <v>0.01</v>
      </c>
      <c r="O244" t="s">
        <v>9121</v>
      </c>
      <c r="Q244" t="s">
        <v>8912</v>
      </c>
    </row>
    <row r="245" spans="1:17">
      <c r="A245" t="s">
        <v>8273</v>
      </c>
      <c r="C245" t="s">
        <v>8884</v>
      </c>
      <c r="Q245" t="s">
        <v>9125</v>
      </c>
    </row>
    <row r="246" spans="1:17">
      <c r="A246" t="s">
        <v>8276</v>
      </c>
      <c r="C246" t="s">
        <v>8884</v>
      </c>
      <c r="J246" t="s">
        <v>9126</v>
      </c>
      <c r="K246">
        <v>5</v>
      </c>
      <c r="Q246" t="s">
        <v>8887</v>
      </c>
    </row>
    <row r="248" spans="1:17">
      <c r="A248" t="s">
        <v>8298</v>
      </c>
      <c r="C248" t="s">
        <v>8884</v>
      </c>
      <c r="J248" t="s">
        <v>9127</v>
      </c>
      <c r="Q248" t="s">
        <v>8891</v>
      </c>
    </row>
    <row r="249" spans="1:10">
      <c r="A249" t="s">
        <v>9128</v>
      </c>
      <c r="C249" t="s">
        <v>8964</v>
      </c>
      <c r="J249" t="s">
        <v>9129</v>
      </c>
    </row>
    <row r="250" spans="1:17">
      <c r="A250" t="s">
        <v>8291</v>
      </c>
      <c r="C250" t="s">
        <v>8884</v>
      </c>
      <c r="J250" t="s">
        <v>8974</v>
      </c>
      <c r="Q250" t="s">
        <v>8998</v>
      </c>
    </row>
    <row r="251" spans="1:17">
      <c r="A251" t="s">
        <v>9130</v>
      </c>
      <c r="C251" t="s">
        <v>8884</v>
      </c>
      <c r="J251" t="s">
        <v>9131</v>
      </c>
      <c r="Q251" t="s">
        <v>8998</v>
      </c>
    </row>
    <row r="253" spans="1:17">
      <c r="A253" t="s">
        <v>8311</v>
      </c>
      <c r="C253" t="s">
        <v>9132</v>
      </c>
      <c r="J253" t="s">
        <v>9133</v>
      </c>
      <c r="Q253" t="s">
        <v>8998</v>
      </c>
    </row>
    <row r="254" spans="1:17">
      <c r="A254" t="s">
        <v>8329</v>
      </c>
      <c r="C254" t="s">
        <v>8884</v>
      </c>
      <c r="J254" t="s">
        <v>9134</v>
      </c>
      <c r="Q254" t="s">
        <v>9135</v>
      </c>
    </row>
    <row r="255" spans="1:10">
      <c r="A255" t="s">
        <v>8331</v>
      </c>
      <c r="C255" t="s">
        <v>8964</v>
      </c>
      <c r="J255" t="s">
        <v>9136</v>
      </c>
    </row>
    <row r="257" spans="1:17">
      <c r="A257" t="s">
        <v>9137</v>
      </c>
      <c r="C257" t="s">
        <v>8884</v>
      </c>
      <c r="J257" t="s">
        <v>8974</v>
      </c>
      <c r="Q257" t="s">
        <v>9138</v>
      </c>
    </row>
    <row r="258" spans="1:17">
      <c r="A258" t="s">
        <v>8350</v>
      </c>
      <c r="C258" t="s">
        <v>8884</v>
      </c>
      <c r="I258">
        <v>1</v>
      </c>
      <c r="J258" t="s">
        <v>9073</v>
      </c>
      <c r="K258">
        <v>9999</v>
      </c>
      <c r="Q258" t="s">
        <v>9139</v>
      </c>
    </row>
    <row r="259" spans="1:17">
      <c r="A259" t="s">
        <v>9140</v>
      </c>
      <c r="C259" t="s">
        <v>6798</v>
      </c>
      <c r="O259" t="s">
        <v>8350</v>
      </c>
      <c r="Q259" t="s">
        <v>9141</v>
      </c>
    </row>
    <row r="260" spans="1:17">
      <c r="A260" t="s">
        <v>8360</v>
      </c>
      <c r="C260" t="s">
        <v>8884</v>
      </c>
      <c r="I260">
        <v>1</v>
      </c>
      <c r="J260" t="s">
        <v>9073</v>
      </c>
      <c r="K260">
        <v>9999</v>
      </c>
      <c r="Q260" t="s">
        <v>9026</v>
      </c>
    </row>
    <row r="261" spans="1:17">
      <c r="A261" t="s">
        <v>9142</v>
      </c>
      <c r="C261" t="s">
        <v>6798</v>
      </c>
      <c r="Q261" t="s">
        <v>9087</v>
      </c>
    </row>
    <row r="263" spans="1:17">
      <c r="A263" t="s">
        <v>8441</v>
      </c>
      <c r="C263" t="s">
        <v>9132</v>
      </c>
      <c r="J263" t="s">
        <v>8970</v>
      </c>
      <c r="Q263" t="s">
        <v>8890</v>
      </c>
    </row>
    <row r="264" spans="1:17">
      <c r="A264" t="s">
        <v>9143</v>
      </c>
      <c r="C264" t="s">
        <v>6798</v>
      </c>
      <c r="K264">
        <v>5</v>
      </c>
      <c r="Q264" t="s">
        <v>9144</v>
      </c>
    </row>
    <row r="265" spans="1:17">
      <c r="A265" t="s">
        <v>1060</v>
      </c>
      <c r="C265" t="s">
        <v>8884</v>
      </c>
      <c r="J265" t="s">
        <v>9145</v>
      </c>
      <c r="K265">
        <v>0.01</v>
      </c>
      <c r="Q265" t="s">
        <v>8890</v>
      </c>
    </row>
    <row r="266" spans="1:17">
      <c r="A266" t="s">
        <v>9146</v>
      </c>
      <c r="C266" t="s">
        <v>6798</v>
      </c>
      <c r="K266">
        <v>5</v>
      </c>
      <c r="Q266" t="s">
        <v>9147</v>
      </c>
    </row>
    <row r="267" spans="1:17">
      <c r="A267" t="s">
        <v>8453</v>
      </c>
      <c r="C267" t="s">
        <v>8884</v>
      </c>
      <c r="F267">
        <v>1</v>
      </c>
      <c r="Q267" t="s">
        <v>8912</v>
      </c>
    </row>
    <row r="268" spans="1:17">
      <c r="A268" t="s">
        <v>8512</v>
      </c>
      <c r="C268" t="s">
        <v>8884</v>
      </c>
      <c r="F268">
        <v>1</v>
      </c>
      <c r="Q268" t="s">
        <v>8890</v>
      </c>
    </row>
    <row r="269" spans="1:25">
      <c r="A269" t="s">
        <v>8459</v>
      </c>
      <c r="C269" t="s">
        <v>8934</v>
      </c>
      <c r="J269" t="s">
        <v>8889</v>
      </c>
      <c r="Q269" t="s">
        <v>9148</v>
      </c>
      <c r="Y269" t="s">
        <v>9106</v>
      </c>
    </row>
    <row r="270" spans="1:17">
      <c r="A270" t="s">
        <v>8463</v>
      </c>
      <c r="C270" t="s">
        <v>8884</v>
      </c>
      <c r="J270" t="s">
        <v>8970</v>
      </c>
      <c r="K270">
        <v>0.01</v>
      </c>
      <c r="Q270" t="s">
        <v>8891</v>
      </c>
    </row>
    <row r="271" spans="1:17">
      <c r="A271" t="s">
        <v>8760</v>
      </c>
      <c r="C271" t="s">
        <v>8884</v>
      </c>
      <c r="Q271" t="s">
        <v>9149</v>
      </c>
    </row>
    <row r="272" spans="1:17">
      <c r="A272" t="s">
        <v>8477</v>
      </c>
      <c r="C272" t="s">
        <v>8884</v>
      </c>
      <c r="Q272" t="s">
        <v>9150</v>
      </c>
    </row>
    <row r="273" spans="1:17">
      <c r="A273" t="s">
        <v>8490</v>
      </c>
      <c r="C273" t="s">
        <v>8884</v>
      </c>
      <c r="O273" t="s">
        <v>8492</v>
      </c>
      <c r="Q273" t="s">
        <v>8890</v>
      </c>
    </row>
    <row r="274" spans="1:17">
      <c r="A274" t="s">
        <v>8507</v>
      </c>
      <c r="C274" t="s">
        <v>8884</v>
      </c>
      <c r="O274" t="s">
        <v>8492</v>
      </c>
      <c r="Q274" t="s">
        <v>9151</v>
      </c>
    </row>
    <row r="275" spans="1:10">
      <c r="A275" t="s">
        <v>8504</v>
      </c>
      <c r="C275" t="s">
        <v>8964</v>
      </c>
      <c r="J275" t="s">
        <v>8504</v>
      </c>
    </row>
    <row r="276" spans="1:10">
      <c r="A276" t="s">
        <v>8505</v>
      </c>
      <c r="C276" t="s">
        <v>8964</v>
      </c>
      <c r="J276" t="s">
        <v>8505</v>
      </c>
    </row>
    <row r="277" spans="1:17">
      <c r="A277" t="s">
        <v>8492</v>
      </c>
      <c r="C277" t="s">
        <v>9008</v>
      </c>
      <c r="J277" t="s">
        <v>8991</v>
      </c>
      <c r="Q277" t="s">
        <v>9152</v>
      </c>
    </row>
    <row r="278" spans="1:17">
      <c r="A278" t="s">
        <v>8551</v>
      </c>
      <c r="C278" t="s">
        <v>9153</v>
      </c>
      <c r="Q278" t="s">
        <v>9154</v>
      </c>
    </row>
    <row r="279" spans="1:17">
      <c r="A279" t="s">
        <v>8552</v>
      </c>
      <c r="C279" t="s">
        <v>9153</v>
      </c>
      <c r="Q279" t="s">
        <v>9155</v>
      </c>
    </row>
    <row r="280" spans="1:17">
      <c r="A280" t="s">
        <v>8456</v>
      </c>
      <c r="C280" t="s">
        <v>8884</v>
      </c>
      <c r="H280">
        <v>1</v>
      </c>
      <c r="Q280" t="s">
        <v>8899</v>
      </c>
    </row>
    <row r="281" spans="1:17">
      <c r="A281" t="s">
        <v>1542</v>
      </c>
      <c r="C281" t="s">
        <v>6798</v>
      </c>
      <c r="O281" t="s">
        <v>8556</v>
      </c>
      <c r="Q281" t="s">
        <v>9156</v>
      </c>
    </row>
    <row r="282" spans="1:3">
      <c r="A282" t="s">
        <v>8564</v>
      </c>
      <c r="C282" t="s">
        <v>8964</v>
      </c>
    </row>
    <row r="283" spans="1:3">
      <c r="A283" t="s">
        <v>8556</v>
      </c>
      <c r="C283" t="s">
        <v>8964</v>
      </c>
    </row>
    <row r="284" spans="1:17">
      <c r="A284" t="s">
        <v>9157</v>
      </c>
      <c r="C284" t="s">
        <v>8884</v>
      </c>
      <c r="K284">
        <v>0.01</v>
      </c>
      <c r="Q284" t="s">
        <v>8998</v>
      </c>
    </row>
    <row r="285" spans="1:17">
      <c r="A285" t="s">
        <v>8694</v>
      </c>
      <c r="C285" t="s">
        <v>8884</v>
      </c>
      <c r="Q285" t="s">
        <v>9158</v>
      </c>
    </row>
    <row r="286" spans="1:17">
      <c r="A286" t="s">
        <v>8572</v>
      </c>
      <c r="C286" t="s">
        <v>8884</v>
      </c>
      <c r="K286">
        <v>0.01</v>
      </c>
      <c r="Q286" t="s">
        <v>9011</v>
      </c>
    </row>
    <row r="287" spans="1:17">
      <c r="A287" t="s">
        <v>8574</v>
      </c>
      <c r="C287" t="s">
        <v>8884</v>
      </c>
      <c r="O287" t="s">
        <v>8572</v>
      </c>
      <c r="Q287" t="s">
        <v>8886</v>
      </c>
    </row>
    <row r="288" spans="1:17">
      <c r="A288" t="s">
        <v>8578</v>
      </c>
      <c r="C288" t="s">
        <v>8884</v>
      </c>
      <c r="O288" t="s">
        <v>8572</v>
      </c>
      <c r="Q288" t="s">
        <v>8885</v>
      </c>
    </row>
    <row r="289" spans="1:17">
      <c r="A289" t="s">
        <v>8579</v>
      </c>
      <c r="C289" t="s">
        <v>8884</v>
      </c>
      <c r="O289" t="s">
        <v>8572</v>
      </c>
      <c r="Q289" t="s">
        <v>8887</v>
      </c>
    </row>
    <row r="290" spans="1:17">
      <c r="A290" t="s">
        <v>8583</v>
      </c>
      <c r="C290" t="s">
        <v>6798</v>
      </c>
      <c r="Q290" t="s">
        <v>9159</v>
      </c>
    </row>
    <row r="291" spans="1:3">
      <c r="A291" t="s">
        <v>8581</v>
      </c>
      <c r="C291" t="s">
        <v>8964</v>
      </c>
    </row>
    <row r="292" spans="1:17">
      <c r="A292" t="s">
        <v>8591</v>
      </c>
      <c r="C292" t="s">
        <v>8884</v>
      </c>
      <c r="Q292" t="s">
        <v>9160</v>
      </c>
    </row>
    <row r="293" spans="1:17">
      <c r="A293" t="s">
        <v>8607</v>
      </c>
      <c r="C293" t="s">
        <v>6798</v>
      </c>
      <c r="Q293" t="s">
        <v>9161</v>
      </c>
    </row>
    <row r="294" spans="1:17">
      <c r="A294" t="s">
        <v>9162</v>
      </c>
      <c r="C294" t="s">
        <v>9163</v>
      </c>
      <c r="Q294" t="s">
        <v>9164</v>
      </c>
    </row>
    <row r="295" spans="1:17">
      <c r="A295" t="s">
        <v>9165</v>
      </c>
      <c r="C295" t="s">
        <v>8884</v>
      </c>
      <c r="Q295" t="s">
        <v>9166</v>
      </c>
    </row>
    <row r="296" spans="1:17">
      <c r="A296" t="s">
        <v>9167</v>
      </c>
      <c r="C296" t="s">
        <v>8934</v>
      </c>
      <c r="Q296" t="s">
        <v>9168</v>
      </c>
    </row>
    <row r="297" spans="1:17">
      <c r="A297" t="s">
        <v>8657</v>
      </c>
      <c r="C297" t="s">
        <v>8884</v>
      </c>
      <c r="Q297" t="s">
        <v>8887</v>
      </c>
    </row>
    <row r="298" spans="1:17">
      <c r="A298" t="s">
        <v>8653</v>
      </c>
      <c r="C298" t="s">
        <v>8884</v>
      </c>
      <c r="Q298" t="s">
        <v>8887</v>
      </c>
    </row>
    <row r="299" spans="1:21">
      <c r="A299" t="s">
        <v>8696</v>
      </c>
      <c r="C299" t="s">
        <v>9169</v>
      </c>
      <c r="J299" t="s">
        <v>8889</v>
      </c>
      <c r="Q299" t="s">
        <v>9170</v>
      </c>
      <c r="U299" t="s">
        <v>9106</v>
      </c>
    </row>
    <row r="300" spans="1:17">
      <c r="A300" t="s">
        <v>9171</v>
      </c>
      <c r="C300" t="s">
        <v>8884</v>
      </c>
      <c r="J300" t="s">
        <v>8974</v>
      </c>
      <c r="Q300" t="s">
        <v>9172</v>
      </c>
    </row>
    <row r="301" spans="1:17">
      <c r="A301" t="s">
        <v>8704</v>
      </c>
      <c r="C301" t="s">
        <v>9173</v>
      </c>
      <c r="Q301" t="s">
        <v>9174</v>
      </c>
    </row>
    <row r="302" spans="1:17">
      <c r="A302" t="s">
        <v>9175</v>
      </c>
      <c r="C302" t="s">
        <v>8884</v>
      </c>
      <c r="J302" t="s">
        <v>8974</v>
      </c>
      <c r="Q302" t="s">
        <v>9176</v>
      </c>
    </row>
    <row r="303" spans="1:3">
      <c r="A303" t="s">
        <v>8724</v>
      </c>
      <c r="C303" t="s">
        <v>8964</v>
      </c>
    </row>
    <row r="304" spans="1:17">
      <c r="A304" t="s">
        <v>1238</v>
      </c>
      <c r="C304" t="s">
        <v>8884</v>
      </c>
      <c r="H304">
        <v>1</v>
      </c>
      <c r="K304">
        <v>5</v>
      </c>
      <c r="Q304" t="s">
        <v>8885</v>
      </c>
    </row>
    <row r="305" spans="1:17">
      <c r="A305" t="s">
        <v>9177</v>
      </c>
      <c r="C305" t="s">
        <v>8884</v>
      </c>
      <c r="F305">
        <v>1</v>
      </c>
      <c r="Q305" t="s">
        <v>8985</v>
      </c>
    </row>
    <row r="306" spans="1:17">
      <c r="A306" t="s">
        <v>8523</v>
      </c>
      <c r="C306" t="s">
        <v>8884</v>
      </c>
      <c r="F306">
        <v>1</v>
      </c>
      <c r="H306">
        <v>1</v>
      </c>
      <c r="Q306" t="s">
        <v>8925</v>
      </c>
    </row>
    <row r="307" spans="1:17">
      <c r="A307" t="s">
        <v>9178</v>
      </c>
      <c r="C307" t="s">
        <v>8953</v>
      </c>
      <c r="F307">
        <v>1</v>
      </c>
      <c r="Q307" t="s">
        <v>9179</v>
      </c>
    </row>
    <row r="308" spans="1:17">
      <c r="A308" t="s">
        <v>8526</v>
      </c>
      <c r="C308" t="s">
        <v>8884</v>
      </c>
      <c r="J308" t="s">
        <v>8991</v>
      </c>
      <c r="Q308" t="s">
        <v>9180</v>
      </c>
    </row>
    <row r="309" spans="1:17">
      <c r="A309" t="s">
        <v>8529</v>
      </c>
      <c r="C309" t="s">
        <v>9132</v>
      </c>
      <c r="J309" t="s">
        <v>8974</v>
      </c>
      <c r="Q309" t="s">
        <v>9181</v>
      </c>
    </row>
    <row r="310" spans="1:17">
      <c r="A310" t="s">
        <v>8532</v>
      </c>
      <c r="C310" t="s">
        <v>8884</v>
      </c>
      <c r="J310" t="s">
        <v>7100</v>
      </c>
      <c r="Q310" t="s">
        <v>8924</v>
      </c>
    </row>
    <row r="311" spans="1:17">
      <c r="A311" t="s">
        <v>8692</v>
      </c>
      <c r="C311" t="s">
        <v>8884</v>
      </c>
      <c r="H311">
        <v>1</v>
      </c>
      <c r="K311">
        <v>5</v>
      </c>
      <c r="Q311" t="s">
        <v>8885</v>
      </c>
    </row>
    <row r="312" spans="1:17">
      <c r="A312" t="s">
        <v>8766</v>
      </c>
      <c r="C312" t="s">
        <v>8884</v>
      </c>
      <c r="H312">
        <v>1</v>
      </c>
      <c r="J312" t="s">
        <v>8989</v>
      </c>
      <c r="Q312" t="s">
        <v>9182</v>
      </c>
    </row>
    <row r="313" spans="1:17">
      <c r="A313" t="s">
        <v>8767</v>
      </c>
      <c r="C313" t="s">
        <v>8884</v>
      </c>
      <c r="H313">
        <v>1</v>
      </c>
      <c r="J313" t="s">
        <v>8991</v>
      </c>
      <c r="K313">
        <v>9999</v>
      </c>
      <c r="Q313" t="s">
        <v>8890</v>
      </c>
    </row>
    <row r="314" spans="1:17">
      <c r="A314" t="s">
        <v>8768</v>
      </c>
      <c r="C314" t="s">
        <v>8884</v>
      </c>
      <c r="H314">
        <v>1</v>
      </c>
      <c r="J314" t="s">
        <v>8970</v>
      </c>
      <c r="K314">
        <v>9999</v>
      </c>
      <c r="Q314" t="s">
        <v>8925</v>
      </c>
    </row>
    <row r="315" spans="1:17">
      <c r="A315" t="s">
        <v>8769</v>
      </c>
      <c r="C315" t="s">
        <v>8884</v>
      </c>
      <c r="H315">
        <v>1</v>
      </c>
      <c r="K315">
        <v>0.1</v>
      </c>
      <c r="Q315" t="s">
        <v>8886</v>
      </c>
    </row>
    <row r="316" spans="1:17">
      <c r="A316" t="s">
        <v>9183</v>
      </c>
      <c r="C316" t="s">
        <v>8884</v>
      </c>
      <c r="H316">
        <v>1</v>
      </c>
      <c r="J316" t="s">
        <v>8991</v>
      </c>
      <c r="K316">
        <v>0.2</v>
      </c>
      <c r="Q316" t="s">
        <v>8886</v>
      </c>
    </row>
    <row r="317" spans="1:3">
      <c r="A317" t="s">
        <v>9184</v>
      </c>
      <c r="C317" t="s">
        <v>9184</v>
      </c>
    </row>
    <row r="318" spans="1:17">
      <c r="A318" t="s">
        <v>9185</v>
      </c>
      <c r="C318" t="s">
        <v>9186</v>
      </c>
      <c r="Q318" t="s">
        <v>9187</v>
      </c>
    </row>
    <row r="319" spans="1:16">
      <c r="A319" t="s">
        <v>8854</v>
      </c>
      <c r="C319" t="s">
        <v>8854</v>
      </c>
      <c r="J319" t="s">
        <v>8889</v>
      </c>
      <c r="P319">
        <v>1</v>
      </c>
    </row>
    <row r="320" spans="1:16">
      <c r="A320" t="s">
        <v>8852</v>
      </c>
      <c r="C320" t="s">
        <v>8852</v>
      </c>
      <c r="J320" t="s">
        <v>8889</v>
      </c>
      <c r="P320">
        <v>1</v>
      </c>
    </row>
    <row r="321" spans="1:17">
      <c r="A321" t="s">
        <v>9188</v>
      </c>
      <c r="C321" t="s">
        <v>9189</v>
      </c>
      <c r="Q321" t="s">
        <v>9190</v>
      </c>
    </row>
    <row r="322" ht="13.75" customHeight="1" spans="1:17">
      <c r="A322" t="s">
        <v>9191</v>
      </c>
      <c r="C322" t="s">
        <v>9192</v>
      </c>
      <c r="Q322" t="s">
        <v>9193</v>
      </c>
    </row>
    <row r="323" spans="1:17">
      <c r="A323" t="s">
        <v>9194</v>
      </c>
      <c r="C323" t="s">
        <v>9195</v>
      </c>
      <c r="Q323" t="s">
        <v>9196</v>
      </c>
    </row>
    <row r="324" spans="1:3">
      <c r="A324" t="s">
        <v>9197</v>
      </c>
      <c r="C324" t="s">
        <v>9198</v>
      </c>
    </row>
    <row r="326" spans="1:17">
      <c r="A326" t="s">
        <v>9199</v>
      </c>
      <c r="C326" t="s">
        <v>9200</v>
      </c>
      <c r="J326" t="s">
        <v>8991</v>
      </c>
      <c r="Q326" t="s">
        <v>9201</v>
      </c>
    </row>
    <row r="327" spans="1:17">
      <c r="A327" t="s">
        <v>8741</v>
      </c>
      <c r="B327" t="s">
        <v>9202</v>
      </c>
      <c r="C327" t="s">
        <v>9189</v>
      </c>
      <c r="K327">
        <v>5</v>
      </c>
      <c r="Q327" t="s">
        <v>9203</v>
      </c>
    </row>
    <row r="328" spans="1:17">
      <c r="A328" t="s">
        <v>9204</v>
      </c>
      <c r="B328" t="s">
        <v>9205</v>
      </c>
      <c r="C328" t="s">
        <v>6798</v>
      </c>
      <c r="K328">
        <v>1.7</v>
      </c>
      <c r="Q328" t="s">
        <v>9206</v>
      </c>
    </row>
    <row r="329" spans="1:17">
      <c r="A329" t="s">
        <v>9207</v>
      </c>
      <c r="B329" t="s">
        <v>9208</v>
      </c>
      <c r="C329" t="s">
        <v>6798</v>
      </c>
      <c r="K329">
        <v>6.28</v>
      </c>
      <c r="Q329" t="s">
        <v>9209</v>
      </c>
    </row>
    <row r="330" spans="1:17">
      <c r="A330" t="s">
        <v>9210</v>
      </c>
      <c r="B330" t="s">
        <v>9211</v>
      </c>
      <c r="C330" t="s">
        <v>9189</v>
      </c>
      <c r="K330">
        <v>6.45</v>
      </c>
      <c r="Q330" t="s">
        <v>9212</v>
      </c>
    </row>
    <row r="331" spans="1:17">
      <c r="A331" t="s">
        <v>9213</v>
      </c>
      <c r="B331" t="s">
        <v>9214</v>
      </c>
      <c r="C331" t="s">
        <v>6798</v>
      </c>
      <c r="K331">
        <v>3.95</v>
      </c>
      <c r="Q331" t="s">
        <v>9215</v>
      </c>
    </row>
    <row r="332" spans="1:17">
      <c r="A332" t="s">
        <v>9216</v>
      </c>
      <c r="B332" t="s">
        <v>9217</v>
      </c>
      <c r="C332" t="s">
        <v>9189</v>
      </c>
      <c r="K332">
        <v>4.15</v>
      </c>
      <c r="Q332" t="s">
        <v>9218</v>
      </c>
    </row>
    <row r="333" spans="1:17">
      <c r="A333" t="s">
        <v>9219</v>
      </c>
      <c r="B333" t="s">
        <v>9220</v>
      </c>
      <c r="C333" t="s">
        <v>6798</v>
      </c>
      <c r="K333">
        <v>0.45</v>
      </c>
      <c r="Q333" t="s">
        <v>9221</v>
      </c>
    </row>
    <row r="334" spans="1:11">
      <c r="A334" t="s">
        <v>9222</v>
      </c>
      <c r="B334" t="s">
        <v>9223</v>
      </c>
      <c r="C334" t="s">
        <v>8423</v>
      </c>
      <c r="K334">
        <v>11.5</v>
      </c>
    </row>
    <row r="337" spans="1:17">
      <c r="A337" t="s">
        <v>9224</v>
      </c>
      <c r="B337" t="s">
        <v>9225</v>
      </c>
      <c r="C337" t="s">
        <v>6957</v>
      </c>
      <c r="K337">
        <v>10.6668</v>
      </c>
      <c r="Q337" t="s">
        <v>8948</v>
      </c>
    </row>
    <row r="338" spans="1:10">
      <c r="A338" t="s">
        <v>9226</v>
      </c>
      <c r="C338" t="s">
        <v>8964</v>
      </c>
      <c r="J338" t="s">
        <v>9227</v>
      </c>
    </row>
    <row r="339" spans="1:10">
      <c r="A339" t="s">
        <v>8860</v>
      </c>
      <c r="C339" t="s">
        <v>8964</v>
      </c>
      <c r="J339" t="s">
        <v>9228</v>
      </c>
    </row>
  </sheetData>
  <autoFilter ref="C1:C324">
    <extLst/>
  </autoFilter>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BL1823" sqref="BL1823"/>
    </sheetView>
  </sheetViews>
  <sheetFormatPr defaultColWidth="9" defaultRowHeight="14" outlineLevelCol="3"/>
  <cols>
    <col min="1" max="1" width="11.3636363636364" style="2" customWidth="1"/>
    <col min="2" max="2" width="11.2727272727273" style="2" customWidth="1"/>
    <col min="4" max="4" width="27.4545454545455" style="2" customWidth="1"/>
  </cols>
  <sheetData>
    <row r="1" spans="1:3">
      <c r="A1" t="s">
        <v>0</v>
      </c>
      <c r="C1" t="s">
        <v>9229</v>
      </c>
    </row>
    <row r="2" spans="1:4">
      <c r="A2" t="s">
        <v>0</v>
      </c>
      <c r="B2" t="s">
        <v>131</v>
      </c>
      <c r="C2" t="s">
        <v>9230</v>
      </c>
      <c r="D2" t="s">
        <v>6918</v>
      </c>
    </row>
    <row r="3" spans="1:4">
      <c r="A3" t="s">
        <v>2</v>
      </c>
      <c r="B3" t="s">
        <v>2</v>
      </c>
      <c r="C3" t="s">
        <v>6912</v>
      </c>
      <c r="D3" t="s">
        <v>209</v>
      </c>
    </row>
    <row r="4" spans="1:4">
      <c r="A4" t="s">
        <v>7105</v>
      </c>
      <c r="B4" t="s">
        <v>9231</v>
      </c>
      <c r="D4" t="s">
        <v>9232</v>
      </c>
    </row>
    <row r="5" spans="1:4">
      <c r="A5" t="s">
        <v>9233</v>
      </c>
      <c r="B5" t="s">
        <v>9231</v>
      </c>
      <c r="D5" t="s">
        <v>9234</v>
      </c>
    </row>
    <row r="6" spans="1:4">
      <c r="A6" t="s">
        <v>7147</v>
      </c>
      <c r="B6" t="s">
        <v>9235</v>
      </c>
      <c r="D6" t="s">
        <v>9236</v>
      </c>
    </row>
    <row r="7" spans="1:4">
      <c r="A7" t="s">
        <v>9237</v>
      </c>
      <c r="B7" t="s">
        <v>9235</v>
      </c>
      <c r="D7" t="s">
        <v>9059</v>
      </c>
    </row>
    <row r="8" spans="1:4">
      <c r="A8" t="s">
        <v>8472</v>
      </c>
      <c r="B8" t="s">
        <v>9235</v>
      </c>
      <c r="D8" t="s">
        <v>9238</v>
      </c>
    </row>
    <row r="9" spans="1:4">
      <c r="A9" t="s">
        <v>7072</v>
      </c>
      <c r="B9" t="s">
        <v>9239</v>
      </c>
      <c r="D9" t="s">
        <v>9240</v>
      </c>
    </row>
    <row r="10" spans="1:4">
      <c r="A10" t="s">
        <v>7215</v>
      </c>
      <c r="B10" t="s">
        <v>9239</v>
      </c>
      <c r="D10" t="s">
        <v>9241</v>
      </c>
    </row>
    <row r="11" spans="1:4">
      <c r="A11" t="s">
        <v>8544</v>
      </c>
      <c r="B11" t="s">
        <v>9242</v>
      </c>
      <c r="C11" t="s">
        <v>8951</v>
      </c>
      <c r="D11" t="s">
        <v>9240</v>
      </c>
    </row>
    <row r="12" spans="1:4">
      <c r="A12" t="s">
        <v>8391</v>
      </c>
      <c r="B12" t="s">
        <v>9242</v>
      </c>
      <c r="C12" t="s">
        <v>8951</v>
      </c>
      <c r="D12" t="s">
        <v>9243</v>
      </c>
    </row>
    <row r="13" spans="1:4">
      <c r="A13" t="s">
        <v>8546</v>
      </c>
      <c r="B13" t="s">
        <v>9242</v>
      </c>
      <c r="C13" t="s">
        <v>8951</v>
      </c>
      <c r="D13" t="s">
        <v>9244</v>
      </c>
    </row>
    <row r="14" spans="1:4">
      <c r="A14" t="s">
        <v>8547</v>
      </c>
      <c r="B14" t="s">
        <v>9242</v>
      </c>
      <c r="C14" t="s">
        <v>8951</v>
      </c>
      <c r="D14" t="s">
        <v>9245</v>
      </c>
    </row>
    <row r="15" spans="1:4">
      <c r="A15" t="s">
        <v>7985</v>
      </c>
      <c r="B15" t="s">
        <v>9246</v>
      </c>
      <c r="D15" t="s">
        <v>9247</v>
      </c>
    </row>
    <row r="16" spans="1:4">
      <c r="A16" t="s">
        <v>9248</v>
      </c>
      <c r="B16" t="s">
        <v>9249</v>
      </c>
      <c r="D16" t="s">
        <v>9250</v>
      </c>
    </row>
    <row r="17" spans="1:4">
      <c r="A17" t="s">
        <v>7248</v>
      </c>
      <c r="B17" t="s">
        <v>8953</v>
      </c>
      <c r="D17" t="s">
        <v>9251</v>
      </c>
    </row>
    <row r="18" spans="1:4">
      <c r="A18" t="s">
        <v>7512</v>
      </c>
      <c r="B18" t="s">
        <v>9246</v>
      </c>
      <c r="D18" t="s">
        <v>9252</v>
      </c>
    </row>
    <row r="19" spans="1:4">
      <c r="A19" t="s">
        <v>7574</v>
      </c>
      <c r="B19" t="s">
        <v>7574</v>
      </c>
      <c r="D19" t="s">
        <v>9253</v>
      </c>
    </row>
    <row r="20" spans="1:4">
      <c r="A20" t="s">
        <v>7587</v>
      </c>
      <c r="B20" t="s">
        <v>9254</v>
      </c>
      <c r="D20" t="s">
        <v>9255</v>
      </c>
    </row>
    <row r="21" spans="1:4">
      <c r="A21" t="s">
        <v>7718</v>
      </c>
      <c r="B21" t="s">
        <v>9256</v>
      </c>
      <c r="D21" t="s">
        <v>9257</v>
      </c>
    </row>
    <row r="22" spans="1:4">
      <c r="A22" t="s">
        <v>7794</v>
      </c>
      <c r="B22" t="s">
        <v>9231</v>
      </c>
      <c r="D22" t="s">
        <v>9258</v>
      </c>
    </row>
    <row r="23" spans="1:4">
      <c r="A23" t="s">
        <v>7797</v>
      </c>
      <c r="B23" t="s">
        <v>9231</v>
      </c>
      <c r="D23" t="s">
        <v>9259</v>
      </c>
    </row>
    <row r="24" spans="1:4">
      <c r="A24" t="s">
        <v>7798</v>
      </c>
      <c r="B24" t="s">
        <v>9260</v>
      </c>
      <c r="D24" t="s">
        <v>9261</v>
      </c>
    </row>
    <row r="25" spans="1:4">
      <c r="A25" t="s">
        <v>7815</v>
      </c>
      <c r="B25" t="s">
        <v>9262</v>
      </c>
      <c r="D25" t="s">
        <v>9263</v>
      </c>
    </row>
    <row r="26" spans="1:4">
      <c r="A26" t="s">
        <v>9264</v>
      </c>
      <c r="B26" t="s">
        <v>9265</v>
      </c>
      <c r="D26" t="s">
        <v>9266</v>
      </c>
    </row>
    <row r="27" spans="1:2">
      <c r="A27" t="s">
        <v>7079</v>
      </c>
      <c r="B27" t="s">
        <v>9267</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8"/>
  <sheetViews>
    <sheetView workbookViewId="0">
      <pane xSplit="1" ySplit="3" topLeftCell="B4" activePane="bottomRight" state="frozen"/>
      <selection/>
      <selection pane="topRight"/>
      <selection pane="bottomLeft"/>
      <selection pane="bottomRight" activeCell="BL1823" sqref="BL1823"/>
    </sheetView>
  </sheetViews>
  <sheetFormatPr defaultColWidth="9" defaultRowHeight="14"/>
  <cols>
    <col min="1" max="1" width="15.2727272727273" style="2" customWidth="1"/>
    <col min="3" max="3" width="27.2727272727273" style="2" customWidth="1"/>
    <col min="4" max="4" width="10.8181818181818" style="2" customWidth="1"/>
    <col min="10" max="10" width="9" style="2" customWidth="1"/>
  </cols>
  <sheetData>
    <row r="1" spans="9:9">
      <c r="I1" t="s">
        <v>6803</v>
      </c>
    </row>
    <row r="2" spans="1:10">
      <c r="A2" t="s">
        <v>0</v>
      </c>
      <c r="B2" t="s">
        <v>131</v>
      </c>
      <c r="C2" t="s">
        <v>133</v>
      </c>
      <c r="D2" t="s">
        <v>9268</v>
      </c>
      <c r="E2" t="s">
        <v>155</v>
      </c>
      <c r="F2" t="s">
        <v>9269</v>
      </c>
      <c r="G2" t="s">
        <v>9270</v>
      </c>
      <c r="H2" t="s">
        <v>9271</v>
      </c>
      <c r="I2" t="s">
        <v>6907</v>
      </c>
      <c r="J2" t="s">
        <v>6918</v>
      </c>
    </row>
    <row r="3" spans="1:10">
      <c r="A3" t="s">
        <v>2</v>
      </c>
      <c r="B3" t="s">
        <v>2</v>
      </c>
      <c r="C3" t="s">
        <v>2</v>
      </c>
      <c r="D3" t="s">
        <v>2</v>
      </c>
      <c r="E3" t="s">
        <v>201</v>
      </c>
      <c r="F3" t="s">
        <v>202</v>
      </c>
      <c r="G3" t="s">
        <v>202</v>
      </c>
      <c r="H3" t="s">
        <v>202</v>
      </c>
      <c r="I3" t="s">
        <v>6947</v>
      </c>
      <c r="J3" t="s">
        <v>209</v>
      </c>
    </row>
    <row r="4" spans="1:10">
      <c r="A4" t="s">
        <v>9272</v>
      </c>
      <c r="B4" t="s">
        <v>9273</v>
      </c>
      <c r="C4" t="s">
        <v>9274</v>
      </c>
      <c r="E4">
        <v>10</v>
      </c>
      <c r="H4">
        <v>1</v>
      </c>
      <c r="I4" t="s">
        <v>9264</v>
      </c>
      <c r="J4" t="s">
        <v>9275</v>
      </c>
    </row>
    <row r="6" spans="1:6">
      <c r="A6" t="s">
        <v>8367</v>
      </c>
      <c r="B6" t="s">
        <v>6801</v>
      </c>
      <c r="C6" t="s">
        <v>9276</v>
      </c>
      <c r="E6">
        <v>10</v>
      </c>
      <c r="F6">
        <v>2</v>
      </c>
    </row>
    <row r="7" spans="1:10">
      <c r="A7" t="s">
        <v>9277</v>
      </c>
      <c r="B7" t="s">
        <v>6801</v>
      </c>
      <c r="C7" t="s">
        <v>9278</v>
      </c>
      <c r="E7">
        <v>3</v>
      </c>
      <c r="J7" t="s">
        <v>9279</v>
      </c>
    </row>
    <row r="8" spans="1:5">
      <c r="A8" t="s">
        <v>8377</v>
      </c>
      <c r="B8" t="s">
        <v>6801</v>
      </c>
      <c r="C8" t="s">
        <v>9278</v>
      </c>
      <c r="E8">
        <v>10</v>
      </c>
    </row>
    <row r="9" spans="1:5">
      <c r="A9" t="s">
        <v>8727</v>
      </c>
      <c r="B9" t="s">
        <v>9280</v>
      </c>
      <c r="C9" t="s">
        <v>9281</v>
      </c>
      <c r="E9">
        <v>10</v>
      </c>
    </row>
    <row r="10" spans="1:10">
      <c r="A10" t="s">
        <v>9282</v>
      </c>
      <c r="B10" t="s">
        <v>9282</v>
      </c>
      <c r="C10" t="s">
        <v>9283</v>
      </c>
      <c r="J10" t="s">
        <v>9284</v>
      </c>
    </row>
    <row r="11" spans="1:10">
      <c r="A11" t="s">
        <v>9285</v>
      </c>
      <c r="B11" t="s">
        <v>9285</v>
      </c>
      <c r="E11">
        <v>10</v>
      </c>
      <c r="J11" t="s">
        <v>9286</v>
      </c>
    </row>
    <row r="13" spans="1:5">
      <c r="A13" t="s">
        <v>7071</v>
      </c>
      <c r="B13" t="s">
        <v>6801</v>
      </c>
      <c r="C13" t="s">
        <v>9281</v>
      </c>
      <c r="E13">
        <v>10</v>
      </c>
    </row>
    <row r="14" spans="1:6">
      <c r="A14" t="s">
        <v>7078</v>
      </c>
      <c r="B14" t="s">
        <v>6801</v>
      </c>
      <c r="C14" t="s">
        <v>9287</v>
      </c>
      <c r="E14">
        <v>10</v>
      </c>
      <c r="F14">
        <v>2</v>
      </c>
    </row>
    <row r="15" spans="1:6">
      <c r="A15" t="s">
        <v>9288</v>
      </c>
      <c r="B15" t="s">
        <v>6801</v>
      </c>
      <c r="C15" t="s">
        <v>9289</v>
      </c>
      <c r="E15">
        <v>10</v>
      </c>
      <c r="F15">
        <v>2</v>
      </c>
    </row>
    <row r="17" spans="1:6">
      <c r="A17" t="s">
        <v>7094</v>
      </c>
      <c r="B17" t="s">
        <v>6801</v>
      </c>
      <c r="C17" t="s">
        <v>9290</v>
      </c>
      <c r="E17">
        <v>10</v>
      </c>
      <c r="F17">
        <v>2</v>
      </c>
    </row>
    <row r="18" spans="1:6">
      <c r="A18" t="s">
        <v>7110</v>
      </c>
      <c r="B18" t="s">
        <v>6801</v>
      </c>
      <c r="C18" t="s">
        <v>9291</v>
      </c>
      <c r="E18">
        <v>10</v>
      </c>
      <c r="F18">
        <v>2</v>
      </c>
    </row>
    <row r="19" spans="1:6">
      <c r="A19" t="s">
        <v>7117</v>
      </c>
      <c r="B19" t="s">
        <v>6801</v>
      </c>
      <c r="C19" t="s">
        <v>9292</v>
      </c>
      <c r="E19">
        <v>10</v>
      </c>
      <c r="F19">
        <v>2</v>
      </c>
    </row>
    <row r="20" spans="1:10">
      <c r="A20" t="s">
        <v>7120</v>
      </c>
      <c r="B20" t="s">
        <v>6801</v>
      </c>
      <c r="C20" t="s">
        <v>9293</v>
      </c>
      <c r="E20">
        <v>10</v>
      </c>
      <c r="F20">
        <v>2</v>
      </c>
      <c r="J20" t="s">
        <v>9294</v>
      </c>
    </row>
    <row r="21" spans="1:6">
      <c r="A21" t="s">
        <v>7129</v>
      </c>
      <c r="B21" t="s">
        <v>6801</v>
      </c>
      <c r="C21" t="s">
        <v>9295</v>
      </c>
      <c r="E21">
        <v>10</v>
      </c>
      <c r="F21">
        <v>2</v>
      </c>
    </row>
    <row r="22" spans="1:6">
      <c r="A22" t="s">
        <v>7137</v>
      </c>
      <c r="B22" t="s">
        <v>6801</v>
      </c>
      <c r="C22" t="s">
        <v>9296</v>
      </c>
      <c r="E22">
        <v>10</v>
      </c>
      <c r="F22">
        <v>2</v>
      </c>
    </row>
    <row r="23" spans="1:10">
      <c r="A23" t="s">
        <v>7146</v>
      </c>
      <c r="B23" t="s">
        <v>6801</v>
      </c>
      <c r="C23" t="s">
        <v>9297</v>
      </c>
      <c r="E23">
        <v>10</v>
      </c>
      <c r="F23">
        <v>2</v>
      </c>
      <c r="J23" t="s">
        <v>9294</v>
      </c>
    </row>
    <row r="24" spans="1:10">
      <c r="A24" t="s">
        <v>7948</v>
      </c>
      <c r="B24" t="s">
        <v>6801</v>
      </c>
      <c r="C24" t="s">
        <v>9298</v>
      </c>
      <c r="E24">
        <v>10</v>
      </c>
      <c r="F24">
        <v>1</v>
      </c>
      <c r="G24">
        <v>2</v>
      </c>
      <c r="J24" t="s">
        <v>9284</v>
      </c>
    </row>
    <row r="25" spans="1:10">
      <c r="A25" t="s">
        <v>7058</v>
      </c>
      <c r="B25" t="s">
        <v>6801</v>
      </c>
      <c r="C25" t="s">
        <v>9299</v>
      </c>
      <c r="E25">
        <v>6</v>
      </c>
      <c r="F25">
        <v>2</v>
      </c>
      <c r="J25" t="s">
        <v>9300</v>
      </c>
    </row>
    <row r="26" spans="1:6">
      <c r="A26" t="s">
        <v>8077</v>
      </c>
      <c r="B26" t="s">
        <v>6801</v>
      </c>
      <c r="C26" t="s">
        <v>9301</v>
      </c>
      <c r="E26">
        <v>10</v>
      </c>
      <c r="F26">
        <v>2</v>
      </c>
    </row>
    <row r="27" spans="1:6">
      <c r="A27" t="s">
        <v>8097</v>
      </c>
      <c r="B27" t="s">
        <v>6801</v>
      </c>
      <c r="C27" t="s">
        <v>9302</v>
      </c>
      <c r="E27">
        <v>10</v>
      </c>
      <c r="F27">
        <v>2</v>
      </c>
    </row>
    <row r="28" spans="1:6">
      <c r="A28" t="s">
        <v>8113</v>
      </c>
      <c r="B28" t="s">
        <v>6801</v>
      </c>
      <c r="C28" t="s">
        <v>9303</v>
      </c>
      <c r="E28">
        <v>100</v>
      </c>
      <c r="F28">
        <v>2</v>
      </c>
    </row>
    <row r="29" spans="1:6">
      <c r="A29" t="s">
        <v>8170</v>
      </c>
      <c r="B29" t="s">
        <v>6801</v>
      </c>
      <c r="C29" t="s">
        <v>9304</v>
      </c>
      <c r="E29">
        <v>10</v>
      </c>
      <c r="F29">
        <v>2</v>
      </c>
    </row>
    <row r="30" spans="1:6">
      <c r="A30" t="s">
        <v>8186</v>
      </c>
      <c r="B30" t="s">
        <v>6801</v>
      </c>
      <c r="C30" t="s">
        <v>9305</v>
      </c>
      <c r="E30">
        <v>10</v>
      </c>
      <c r="F30">
        <v>2</v>
      </c>
    </row>
    <row r="31" spans="1:10">
      <c r="A31" t="s">
        <v>8195</v>
      </c>
      <c r="B31" t="s">
        <v>6801</v>
      </c>
      <c r="C31" t="s">
        <v>9306</v>
      </c>
      <c r="E31">
        <v>10</v>
      </c>
      <c r="F31">
        <v>2</v>
      </c>
      <c r="J31" t="s">
        <v>9307</v>
      </c>
    </row>
    <row r="32" spans="1:6">
      <c r="A32" t="s">
        <v>8198</v>
      </c>
      <c r="B32" t="s">
        <v>6801</v>
      </c>
      <c r="C32" t="s">
        <v>9308</v>
      </c>
      <c r="E32">
        <v>10</v>
      </c>
      <c r="F32">
        <v>2</v>
      </c>
    </row>
    <row r="33" spans="1:6">
      <c r="A33" t="s">
        <v>8214</v>
      </c>
      <c r="B33" t="s">
        <v>6801</v>
      </c>
      <c r="C33" t="s">
        <v>9309</v>
      </c>
      <c r="E33">
        <v>10</v>
      </c>
      <c r="F33">
        <v>2</v>
      </c>
    </row>
    <row r="34" spans="1:10">
      <c r="A34" t="s">
        <v>8226</v>
      </c>
      <c r="B34" t="s">
        <v>6801</v>
      </c>
      <c r="C34" t="s">
        <v>9308</v>
      </c>
      <c r="E34">
        <v>10</v>
      </c>
      <c r="F34">
        <v>2</v>
      </c>
      <c r="J34" t="s">
        <v>9294</v>
      </c>
    </row>
    <row r="35" spans="1:6">
      <c r="A35" t="s">
        <v>9310</v>
      </c>
      <c r="B35" t="s">
        <v>6801</v>
      </c>
      <c r="C35" t="s">
        <v>9311</v>
      </c>
      <c r="E35">
        <v>10</v>
      </c>
      <c r="F35">
        <v>2</v>
      </c>
    </row>
    <row r="36" spans="1:6">
      <c r="A36" t="s">
        <v>7169</v>
      </c>
      <c r="B36" t="s">
        <v>6801</v>
      </c>
      <c r="C36" t="s">
        <v>9312</v>
      </c>
      <c r="E36">
        <v>10</v>
      </c>
      <c r="F36">
        <v>2</v>
      </c>
    </row>
    <row r="37" spans="1:10">
      <c r="A37" t="s">
        <v>7220</v>
      </c>
      <c r="B37" t="s">
        <v>6801</v>
      </c>
      <c r="C37" t="s">
        <v>9313</v>
      </c>
      <c r="E37">
        <v>10</v>
      </c>
      <c r="F37">
        <v>2</v>
      </c>
      <c r="J37" t="s">
        <v>9294</v>
      </c>
    </row>
    <row r="38" spans="1:10">
      <c r="A38" t="s">
        <v>7227</v>
      </c>
      <c r="B38" t="s">
        <v>6801</v>
      </c>
      <c r="C38" t="s">
        <v>9314</v>
      </c>
      <c r="E38">
        <v>10</v>
      </c>
      <c r="F38">
        <v>2</v>
      </c>
      <c r="J38" t="s">
        <v>9294</v>
      </c>
    </row>
    <row r="39" spans="1:6">
      <c r="A39" t="s">
        <v>7232</v>
      </c>
      <c r="B39" t="s">
        <v>6801</v>
      </c>
      <c r="C39" t="s">
        <v>9315</v>
      </c>
      <c r="E39">
        <v>10</v>
      </c>
      <c r="F39">
        <v>2</v>
      </c>
    </row>
    <row r="40" spans="1:10">
      <c r="A40" t="s">
        <v>7243</v>
      </c>
      <c r="B40" t="s">
        <v>9285</v>
      </c>
      <c r="C40" t="s">
        <v>9315</v>
      </c>
      <c r="E40">
        <v>10</v>
      </c>
      <c r="J40" t="s">
        <v>9316</v>
      </c>
    </row>
    <row r="41" spans="1:6">
      <c r="A41" t="s">
        <v>7291</v>
      </c>
      <c r="B41" t="s">
        <v>6801</v>
      </c>
      <c r="C41" t="s">
        <v>9274</v>
      </c>
      <c r="E41">
        <v>10</v>
      </c>
      <c r="F41">
        <v>2</v>
      </c>
    </row>
    <row r="42" spans="1:6">
      <c r="A42" t="s">
        <v>7298</v>
      </c>
      <c r="B42" t="s">
        <v>6801</v>
      </c>
      <c r="C42" t="s">
        <v>9317</v>
      </c>
      <c r="E42">
        <v>10</v>
      </c>
      <c r="F42">
        <v>2</v>
      </c>
    </row>
    <row r="43" spans="1:10">
      <c r="A43" t="s">
        <v>7371</v>
      </c>
      <c r="B43" t="s">
        <v>6801</v>
      </c>
      <c r="C43" t="s">
        <v>9318</v>
      </c>
      <c r="E43">
        <v>10</v>
      </c>
      <c r="F43">
        <v>2</v>
      </c>
      <c r="J43" t="s">
        <v>9300</v>
      </c>
    </row>
    <row r="44" spans="1:6">
      <c r="A44" t="s">
        <v>7433</v>
      </c>
      <c r="B44" t="s">
        <v>6801</v>
      </c>
      <c r="C44" t="s">
        <v>9319</v>
      </c>
      <c r="E44">
        <v>10</v>
      </c>
      <c r="F44">
        <v>2</v>
      </c>
    </row>
    <row r="45" spans="1:6">
      <c r="A45" t="s">
        <v>7468</v>
      </c>
      <c r="B45" t="s">
        <v>6801</v>
      </c>
      <c r="C45" t="s">
        <v>9320</v>
      </c>
      <c r="E45">
        <v>10</v>
      </c>
      <c r="F45">
        <v>2</v>
      </c>
    </row>
    <row r="46" spans="1:6">
      <c r="A46" t="s">
        <v>7539</v>
      </c>
      <c r="B46" t="s">
        <v>6801</v>
      </c>
      <c r="C46" t="s">
        <v>9321</v>
      </c>
      <c r="E46">
        <v>10</v>
      </c>
      <c r="F46">
        <v>2</v>
      </c>
    </row>
    <row r="47" spans="1:10">
      <c r="A47" t="s">
        <v>7560</v>
      </c>
      <c r="B47" t="s">
        <v>6801</v>
      </c>
      <c r="C47" t="s">
        <v>9322</v>
      </c>
      <c r="E47">
        <v>10</v>
      </c>
      <c r="F47">
        <v>2</v>
      </c>
      <c r="J47" t="s">
        <v>9300</v>
      </c>
    </row>
    <row r="48" spans="1:10">
      <c r="A48" t="s">
        <v>7573</v>
      </c>
      <c r="B48" t="s">
        <v>6801</v>
      </c>
      <c r="C48" t="s">
        <v>9323</v>
      </c>
      <c r="E48">
        <v>10</v>
      </c>
      <c r="F48">
        <v>2</v>
      </c>
      <c r="J48" t="s">
        <v>9300</v>
      </c>
    </row>
    <row r="49" spans="1:10">
      <c r="A49" t="s">
        <v>7582</v>
      </c>
      <c r="B49" t="s">
        <v>6801</v>
      </c>
      <c r="C49" t="s">
        <v>9324</v>
      </c>
      <c r="E49">
        <v>10</v>
      </c>
      <c r="F49">
        <v>2</v>
      </c>
      <c r="J49" t="s">
        <v>9300</v>
      </c>
    </row>
    <row r="50" spans="1:10">
      <c r="A50" t="s">
        <v>7586</v>
      </c>
      <c r="B50" t="s">
        <v>6801</v>
      </c>
      <c r="C50" t="s">
        <v>9325</v>
      </c>
      <c r="E50">
        <v>10</v>
      </c>
      <c r="F50">
        <v>2</v>
      </c>
      <c r="J50" t="s">
        <v>9300</v>
      </c>
    </row>
    <row r="51" spans="1:10">
      <c r="A51" t="s">
        <v>7593</v>
      </c>
      <c r="B51" t="s">
        <v>6801</v>
      </c>
      <c r="C51" t="s">
        <v>9326</v>
      </c>
      <c r="E51">
        <v>10</v>
      </c>
      <c r="F51">
        <v>2</v>
      </c>
      <c r="J51" t="s">
        <v>9300</v>
      </c>
    </row>
    <row r="52" spans="1:10">
      <c r="A52" t="s">
        <v>7600</v>
      </c>
      <c r="B52" t="s">
        <v>6801</v>
      </c>
      <c r="C52" t="s">
        <v>9327</v>
      </c>
      <c r="E52">
        <v>10</v>
      </c>
      <c r="F52">
        <v>2</v>
      </c>
      <c r="J52" t="s">
        <v>9300</v>
      </c>
    </row>
    <row r="53" spans="1:6">
      <c r="A53" t="s">
        <v>7606</v>
      </c>
      <c r="B53" t="s">
        <v>6801</v>
      </c>
      <c r="C53" t="s">
        <v>9328</v>
      </c>
      <c r="E53">
        <v>10</v>
      </c>
      <c r="F53">
        <v>2</v>
      </c>
    </row>
    <row r="54" spans="1:6">
      <c r="A54" t="s">
        <v>7622</v>
      </c>
      <c r="B54" t="s">
        <v>6801</v>
      </c>
      <c r="C54" t="s">
        <v>9329</v>
      </c>
      <c r="E54">
        <v>10</v>
      </c>
      <c r="F54">
        <v>2</v>
      </c>
    </row>
    <row r="55" spans="1:6">
      <c r="A55" t="s">
        <v>7634</v>
      </c>
      <c r="B55" t="s">
        <v>6801</v>
      </c>
      <c r="C55" t="s">
        <v>9330</v>
      </c>
      <c r="E55">
        <v>10</v>
      </c>
      <c r="F55">
        <v>2</v>
      </c>
    </row>
    <row r="56" spans="1:10">
      <c r="A56" t="s">
        <v>7652</v>
      </c>
      <c r="B56" t="s">
        <v>9282</v>
      </c>
      <c r="C56" t="s">
        <v>9331</v>
      </c>
      <c r="H56">
        <v>1</v>
      </c>
      <c r="J56" t="s">
        <v>9332</v>
      </c>
    </row>
    <row r="57" spans="1:6">
      <c r="A57" t="s">
        <v>7657</v>
      </c>
      <c r="B57" t="s">
        <v>6801</v>
      </c>
      <c r="C57" t="s">
        <v>9333</v>
      </c>
      <c r="E57">
        <v>10</v>
      </c>
      <c r="F57">
        <v>2</v>
      </c>
    </row>
    <row r="58" spans="1:10">
      <c r="A58" t="s">
        <v>7695</v>
      </c>
      <c r="B58" t="s">
        <v>6801</v>
      </c>
      <c r="C58" t="s">
        <v>9334</v>
      </c>
      <c r="E58">
        <v>10</v>
      </c>
      <c r="F58">
        <v>2</v>
      </c>
      <c r="J58" t="s">
        <v>9300</v>
      </c>
    </row>
    <row r="59" spans="1:6">
      <c r="A59" t="s">
        <v>9335</v>
      </c>
      <c r="B59" t="s">
        <v>6801</v>
      </c>
      <c r="C59" t="s">
        <v>9336</v>
      </c>
      <c r="E59">
        <v>10</v>
      </c>
      <c r="F59">
        <v>2</v>
      </c>
    </row>
    <row r="60" spans="1:6">
      <c r="A60" t="s">
        <v>7814</v>
      </c>
      <c r="B60" t="s">
        <v>6801</v>
      </c>
      <c r="C60" t="s">
        <v>9337</v>
      </c>
      <c r="E60">
        <v>10</v>
      </c>
      <c r="F60">
        <v>2</v>
      </c>
    </row>
    <row r="61" spans="1:10">
      <c r="A61" t="s">
        <v>7827</v>
      </c>
      <c r="B61" t="s">
        <v>9282</v>
      </c>
      <c r="C61" t="s">
        <v>9338</v>
      </c>
      <c r="E61">
        <v>10</v>
      </c>
      <c r="F61">
        <v>2</v>
      </c>
      <c r="J61" t="s">
        <v>9332</v>
      </c>
    </row>
    <row r="62" spans="1:6">
      <c r="A62" t="s">
        <v>7832</v>
      </c>
      <c r="B62" t="s">
        <v>6801</v>
      </c>
      <c r="C62" t="s">
        <v>9339</v>
      </c>
      <c r="E62">
        <v>10</v>
      </c>
      <c r="F62">
        <v>2</v>
      </c>
    </row>
    <row r="63" spans="1:6">
      <c r="A63" t="s">
        <v>7840</v>
      </c>
      <c r="B63" t="s">
        <v>9340</v>
      </c>
      <c r="C63" t="s">
        <v>9341</v>
      </c>
      <c r="D63" t="s">
        <v>9342</v>
      </c>
      <c r="E63">
        <v>10</v>
      </c>
      <c r="F63">
        <v>2</v>
      </c>
    </row>
    <row r="64" spans="1:6">
      <c r="A64" t="s">
        <v>7849</v>
      </c>
      <c r="B64" t="s">
        <v>9340</v>
      </c>
      <c r="C64" t="s">
        <v>9341</v>
      </c>
      <c r="D64" t="s">
        <v>9343</v>
      </c>
      <c r="E64">
        <v>10</v>
      </c>
      <c r="F64">
        <v>2</v>
      </c>
    </row>
    <row r="65" spans="1:6">
      <c r="A65" t="s">
        <v>7853</v>
      </c>
      <c r="B65" t="s">
        <v>6801</v>
      </c>
      <c r="C65" t="s">
        <v>9344</v>
      </c>
      <c r="E65">
        <v>10</v>
      </c>
      <c r="F65">
        <v>2</v>
      </c>
    </row>
    <row r="66" spans="1:6">
      <c r="A66" t="s">
        <v>7340</v>
      </c>
      <c r="B66" t="s">
        <v>6801</v>
      </c>
      <c r="C66" t="s">
        <v>9345</v>
      </c>
      <c r="E66">
        <v>10</v>
      </c>
      <c r="F66">
        <v>2</v>
      </c>
    </row>
    <row r="67" spans="1:6">
      <c r="A67" t="s">
        <v>7350</v>
      </c>
      <c r="B67" t="s">
        <v>9340</v>
      </c>
      <c r="C67" t="s">
        <v>9345</v>
      </c>
      <c r="D67" t="s">
        <v>9346</v>
      </c>
      <c r="E67">
        <v>10</v>
      </c>
      <c r="F67">
        <v>2</v>
      </c>
    </row>
    <row r="68" spans="1:6">
      <c r="A68" t="s">
        <v>7357</v>
      </c>
      <c r="B68" t="s">
        <v>9340</v>
      </c>
      <c r="C68" t="s">
        <v>9347</v>
      </c>
      <c r="D68" t="s">
        <v>9346</v>
      </c>
      <c r="E68">
        <v>10</v>
      </c>
      <c r="F68">
        <v>2</v>
      </c>
    </row>
    <row r="69" spans="1:6">
      <c r="A69" t="s">
        <v>8450</v>
      </c>
      <c r="B69" t="s">
        <v>6801</v>
      </c>
      <c r="C69" t="s">
        <v>9327</v>
      </c>
      <c r="E69">
        <v>5</v>
      </c>
      <c r="F69">
        <v>2</v>
      </c>
    </row>
    <row r="70" spans="1:10">
      <c r="A70" t="s">
        <v>8400</v>
      </c>
      <c r="B70" t="s">
        <v>6801</v>
      </c>
      <c r="C70" t="s">
        <v>9327</v>
      </c>
      <c r="E70">
        <v>5</v>
      </c>
      <c r="F70">
        <v>2</v>
      </c>
      <c r="J70" t="s">
        <v>9279</v>
      </c>
    </row>
    <row r="71" spans="1:6">
      <c r="A71" t="s">
        <v>8483</v>
      </c>
      <c r="B71" t="s">
        <v>6801</v>
      </c>
      <c r="C71" t="s">
        <v>9322</v>
      </c>
      <c r="E71">
        <v>10</v>
      </c>
      <c r="F71">
        <v>2</v>
      </c>
    </row>
    <row r="72" spans="1:6">
      <c r="A72" t="s">
        <v>8481</v>
      </c>
      <c r="B72" t="s">
        <v>6801</v>
      </c>
      <c r="C72" t="s">
        <v>9323</v>
      </c>
      <c r="E72">
        <v>10</v>
      </c>
      <c r="F72">
        <v>2</v>
      </c>
    </row>
    <row r="73" spans="1:10">
      <c r="A73" t="s">
        <v>8503</v>
      </c>
      <c r="B73" t="s">
        <v>9285</v>
      </c>
      <c r="C73" t="s">
        <v>9348</v>
      </c>
      <c r="E73">
        <v>999999</v>
      </c>
      <c r="F73">
        <v>2</v>
      </c>
      <c r="H73">
        <v>1</v>
      </c>
      <c r="J73" t="s">
        <v>9349</v>
      </c>
    </row>
    <row r="74" spans="1:10">
      <c r="A74" t="s">
        <v>8448</v>
      </c>
      <c r="B74" t="s">
        <v>9350</v>
      </c>
      <c r="C74" t="s">
        <v>9341</v>
      </c>
      <c r="D74" t="s">
        <v>9343</v>
      </c>
      <c r="E74">
        <v>10</v>
      </c>
      <c r="F74">
        <v>2</v>
      </c>
      <c r="J74" t="s">
        <v>9351</v>
      </c>
    </row>
    <row r="75" spans="1:5">
      <c r="A75" t="s">
        <v>8726</v>
      </c>
      <c r="B75" t="s">
        <v>9280</v>
      </c>
      <c r="C75" t="s">
        <v>9305</v>
      </c>
      <c r="E75">
        <v>2.5</v>
      </c>
    </row>
    <row r="76" spans="1:10">
      <c r="A76" t="s">
        <v>8665</v>
      </c>
      <c r="B76" t="s">
        <v>9282</v>
      </c>
      <c r="C76" t="s">
        <v>9352</v>
      </c>
      <c r="E76">
        <v>10</v>
      </c>
      <c r="F76">
        <v>2</v>
      </c>
      <c r="J76" t="s">
        <v>9353</v>
      </c>
    </row>
    <row r="77" spans="1:6">
      <c r="A77" t="s">
        <v>9354</v>
      </c>
      <c r="B77" t="s">
        <v>9355</v>
      </c>
      <c r="C77" t="s">
        <v>9328</v>
      </c>
      <c r="E77">
        <v>5</v>
      </c>
      <c r="F77">
        <v>2</v>
      </c>
    </row>
    <row r="78" spans="1:5">
      <c r="A78" t="s">
        <v>9356</v>
      </c>
      <c r="B78" t="s">
        <v>6801</v>
      </c>
      <c r="C78" t="s">
        <v>9227</v>
      </c>
      <c r="E78">
        <v>10</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73"/>
  <sheetViews>
    <sheetView workbookViewId="0">
      <pane xSplit="1" ySplit="3" topLeftCell="B351" activePane="bottomRight" state="frozen"/>
      <selection/>
      <selection pane="topRight"/>
      <selection pane="bottomLeft"/>
      <selection pane="bottomRight" activeCell="D360" sqref="D360"/>
    </sheetView>
  </sheetViews>
  <sheetFormatPr defaultColWidth="9" defaultRowHeight="14"/>
  <cols>
    <col min="1" max="1" width="15.2727272727273" style="2" customWidth="1"/>
    <col min="2" max="2" width="28" style="2" customWidth="1"/>
    <col min="3" max="4" width="10.0909090909091" style="2" customWidth="1"/>
    <col min="5" max="10" width="11.2727272727273" style="2" customWidth="1"/>
    <col min="11" max="11" width="6.36363636363636" style="2" customWidth="1"/>
  </cols>
  <sheetData>
    <row r="1" spans="1:12">
      <c r="A1" t="s">
        <v>0</v>
      </c>
      <c r="B1" t="s">
        <v>9357</v>
      </c>
      <c r="C1" t="s">
        <v>9358</v>
      </c>
      <c r="D1" t="s">
        <v>9359</v>
      </c>
      <c r="E1" t="s">
        <v>9360</v>
      </c>
      <c r="F1" t="s">
        <v>9361</v>
      </c>
      <c r="H1" t="s">
        <v>9362</v>
      </c>
      <c r="I1" t="s">
        <v>9363</v>
      </c>
      <c r="J1" t="s">
        <v>9364</v>
      </c>
      <c r="K1" t="s">
        <v>9365</v>
      </c>
      <c r="L1" t="s">
        <v>9366</v>
      </c>
    </row>
    <row r="2" spans="1:12">
      <c r="A2" t="s">
        <v>0</v>
      </c>
      <c r="B2" t="s">
        <v>9367</v>
      </c>
      <c r="C2" t="s">
        <v>9368</v>
      </c>
      <c r="D2" t="s">
        <v>9369</v>
      </c>
      <c r="E2" t="s">
        <v>9370</v>
      </c>
      <c r="F2" t="s">
        <v>9371</v>
      </c>
      <c r="G2" t="s">
        <v>9372</v>
      </c>
      <c r="H2" t="s">
        <v>9373</v>
      </c>
      <c r="I2" t="s">
        <v>9374</v>
      </c>
      <c r="J2" t="s">
        <v>9375</v>
      </c>
      <c r="K2" t="s">
        <v>9269</v>
      </c>
      <c r="L2" t="s">
        <v>181</v>
      </c>
    </row>
    <row r="3" spans="1:12">
      <c r="A3" t="s">
        <v>2</v>
      </c>
      <c r="B3" t="s">
        <v>2</v>
      </c>
      <c r="C3" t="s">
        <v>202</v>
      </c>
      <c r="D3" t="s">
        <v>9376</v>
      </c>
      <c r="E3" t="s">
        <v>2</v>
      </c>
      <c r="F3" t="s">
        <v>200</v>
      </c>
      <c r="G3" t="s">
        <v>200</v>
      </c>
      <c r="H3" t="s">
        <v>202</v>
      </c>
      <c r="I3" t="s">
        <v>202</v>
      </c>
      <c r="J3" t="s">
        <v>202</v>
      </c>
      <c r="K3" t="s">
        <v>201</v>
      </c>
      <c r="L3" t="s">
        <v>201</v>
      </c>
    </row>
    <row r="4" spans="1:12">
      <c r="A4" t="s">
        <v>8368</v>
      </c>
      <c r="B4" t="s">
        <v>8368</v>
      </c>
      <c r="L4">
        <v>5</v>
      </c>
    </row>
    <row r="5" spans="1:12">
      <c r="A5" t="s">
        <v>8369</v>
      </c>
      <c r="B5" t="s">
        <v>8369</v>
      </c>
      <c r="L5">
        <v>5</v>
      </c>
    </row>
    <row r="6" spans="1:12">
      <c r="A6" t="s">
        <v>9377</v>
      </c>
      <c r="B6" t="s">
        <v>9377</v>
      </c>
      <c r="L6">
        <v>5</v>
      </c>
    </row>
    <row r="7" spans="1:12">
      <c r="A7" t="s">
        <v>7705</v>
      </c>
      <c r="B7" t="s">
        <v>7705</v>
      </c>
      <c r="H7">
        <v>3</v>
      </c>
      <c r="L7">
        <v>5</v>
      </c>
    </row>
    <row r="10" spans="1:12">
      <c r="A10" t="s">
        <v>6957</v>
      </c>
      <c r="B10" t="s">
        <v>9378</v>
      </c>
      <c r="D10" t="s">
        <v>9379</v>
      </c>
      <c r="K10">
        <v>60</v>
      </c>
      <c r="L10">
        <v>5</v>
      </c>
    </row>
    <row r="11" spans="1:12">
      <c r="A11" t="s">
        <v>8411</v>
      </c>
      <c r="B11" t="s">
        <v>8411</v>
      </c>
      <c r="L11">
        <v>9999</v>
      </c>
    </row>
    <row r="12" spans="1:12">
      <c r="A12" t="s">
        <v>8543</v>
      </c>
      <c r="B12" t="s">
        <v>8543</v>
      </c>
      <c r="E12" t="s">
        <v>8403</v>
      </c>
      <c r="L12">
        <v>5</v>
      </c>
    </row>
    <row r="14" spans="1:2">
      <c r="A14" t="s">
        <v>9380</v>
      </c>
      <c r="B14" t="s">
        <v>9381</v>
      </c>
    </row>
    <row r="16" spans="1:12">
      <c r="A16" t="s">
        <v>9382</v>
      </c>
      <c r="B16" t="s">
        <v>9383</v>
      </c>
      <c r="L16">
        <v>5</v>
      </c>
    </row>
    <row r="17" spans="1:2">
      <c r="A17" t="s">
        <v>9384</v>
      </c>
      <c r="B17" t="s">
        <v>9385</v>
      </c>
    </row>
    <row r="18" spans="1:2">
      <c r="A18" t="s">
        <v>9386</v>
      </c>
      <c r="B18" t="s">
        <v>9387</v>
      </c>
    </row>
    <row r="19" spans="1:12">
      <c r="A19" t="s">
        <v>6969</v>
      </c>
      <c r="B19" t="s">
        <v>9388</v>
      </c>
      <c r="K19">
        <v>60</v>
      </c>
      <c r="L19">
        <v>5</v>
      </c>
    </row>
    <row r="20" spans="1:12">
      <c r="A20" t="s">
        <v>8068</v>
      </c>
      <c r="B20" t="s">
        <v>9389</v>
      </c>
      <c r="K20">
        <v>60</v>
      </c>
      <c r="L20">
        <v>5</v>
      </c>
    </row>
    <row r="21" spans="1:12">
      <c r="A21" t="s">
        <v>9390</v>
      </c>
      <c r="B21" t="s">
        <v>9391</v>
      </c>
      <c r="D21" t="s">
        <v>9392</v>
      </c>
      <c r="L21">
        <v>5</v>
      </c>
    </row>
    <row r="22" spans="1:12">
      <c r="A22" t="s">
        <v>9393</v>
      </c>
      <c r="B22" t="s">
        <v>9391</v>
      </c>
      <c r="L22">
        <v>5</v>
      </c>
    </row>
    <row r="23" spans="1:12">
      <c r="A23" t="s">
        <v>9394</v>
      </c>
      <c r="B23" t="s">
        <v>9395</v>
      </c>
      <c r="E23" t="s">
        <v>216</v>
      </c>
      <c r="L23">
        <v>5</v>
      </c>
    </row>
    <row r="24" spans="1:4">
      <c r="A24" t="s">
        <v>7100</v>
      </c>
      <c r="B24" t="s">
        <v>9396</v>
      </c>
      <c r="D24" t="s">
        <v>9397</v>
      </c>
    </row>
    <row r="25" spans="1:12">
      <c r="A25" t="s">
        <v>9398</v>
      </c>
      <c r="B25" t="s">
        <v>9399</v>
      </c>
      <c r="L25">
        <v>5</v>
      </c>
    </row>
    <row r="26" spans="1:12">
      <c r="A26" t="s">
        <v>9400</v>
      </c>
      <c r="B26" t="s">
        <v>9401</v>
      </c>
      <c r="L26">
        <v>5</v>
      </c>
    </row>
    <row r="27" spans="1:12">
      <c r="A27" t="s">
        <v>9402</v>
      </c>
      <c r="B27" t="s">
        <v>9403</v>
      </c>
      <c r="L27">
        <v>5</v>
      </c>
    </row>
    <row r="28" spans="1:12">
      <c r="A28" t="s">
        <v>7074</v>
      </c>
      <c r="B28" t="s">
        <v>9404</v>
      </c>
      <c r="L28">
        <v>5</v>
      </c>
    </row>
    <row r="29" spans="1:11">
      <c r="A29" t="s">
        <v>8974</v>
      </c>
      <c r="B29" t="s">
        <v>9405</v>
      </c>
      <c r="H29">
        <v>3</v>
      </c>
      <c r="K29">
        <v>60</v>
      </c>
    </row>
    <row r="30" spans="1:11">
      <c r="A30" t="s">
        <v>8991</v>
      </c>
      <c r="B30" t="s">
        <v>9406</v>
      </c>
      <c r="H30">
        <v>3</v>
      </c>
      <c r="K30">
        <v>60</v>
      </c>
    </row>
    <row r="31" spans="1:11">
      <c r="A31" t="s">
        <v>8988</v>
      </c>
      <c r="B31" t="s">
        <v>9407</v>
      </c>
      <c r="H31">
        <v>3</v>
      </c>
      <c r="K31">
        <v>60</v>
      </c>
    </row>
    <row r="32" spans="1:12">
      <c r="A32" t="s">
        <v>9408</v>
      </c>
      <c r="B32" t="s">
        <v>9409</v>
      </c>
      <c r="L32">
        <v>5</v>
      </c>
    </row>
    <row r="33" spans="1:2">
      <c r="A33" t="s">
        <v>9410</v>
      </c>
      <c r="B33" t="s">
        <v>9411</v>
      </c>
    </row>
    <row r="34" spans="1:2">
      <c r="A34" t="s">
        <v>7080</v>
      </c>
      <c r="B34" t="s">
        <v>9412</v>
      </c>
    </row>
    <row r="35" spans="1:2">
      <c r="A35" t="s">
        <v>9413</v>
      </c>
      <c r="B35" t="s">
        <v>9414</v>
      </c>
    </row>
    <row r="36" spans="1:2">
      <c r="A36" t="s">
        <v>9415</v>
      </c>
      <c r="B36" t="s">
        <v>9416</v>
      </c>
    </row>
    <row r="37" spans="1:11">
      <c r="A37" t="s">
        <v>7182</v>
      </c>
      <c r="B37" t="s">
        <v>9417</v>
      </c>
      <c r="D37" t="s">
        <v>9392</v>
      </c>
      <c r="H37">
        <v>3</v>
      </c>
      <c r="K37">
        <v>60</v>
      </c>
    </row>
    <row r="38" spans="1:2">
      <c r="A38" t="s">
        <v>9418</v>
      </c>
      <c r="B38" t="s">
        <v>9419</v>
      </c>
    </row>
    <row r="39" spans="1:2">
      <c r="A39" t="s">
        <v>9420</v>
      </c>
      <c r="B39" t="s">
        <v>9421</v>
      </c>
    </row>
    <row r="41" spans="1:11">
      <c r="A41" t="s">
        <v>7182</v>
      </c>
      <c r="B41" t="s">
        <v>9422</v>
      </c>
      <c r="D41" t="s">
        <v>9397</v>
      </c>
      <c r="H41">
        <v>3</v>
      </c>
      <c r="I41">
        <v>0</v>
      </c>
      <c r="K41">
        <v>60</v>
      </c>
    </row>
    <row r="42" spans="1:11">
      <c r="A42" t="s">
        <v>8958</v>
      </c>
      <c r="B42" t="s">
        <v>9423</v>
      </c>
      <c r="H42">
        <v>3</v>
      </c>
      <c r="I42">
        <v>0</v>
      </c>
      <c r="K42">
        <v>60</v>
      </c>
    </row>
    <row r="43" spans="1:11">
      <c r="A43" t="s">
        <v>8889</v>
      </c>
      <c r="B43" t="s">
        <v>9424</v>
      </c>
      <c r="H43">
        <v>3</v>
      </c>
      <c r="I43">
        <v>0</v>
      </c>
      <c r="K43">
        <v>60</v>
      </c>
    </row>
    <row r="44" spans="1:11">
      <c r="A44" t="s">
        <v>8404</v>
      </c>
      <c r="B44" t="s">
        <v>9425</v>
      </c>
      <c r="D44" t="s">
        <v>9397</v>
      </c>
      <c r="H44">
        <v>3</v>
      </c>
      <c r="I44">
        <v>0</v>
      </c>
      <c r="K44">
        <v>60</v>
      </c>
    </row>
    <row r="45" spans="1:11">
      <c r="A45" t="s">
        <v>9426</v>
      </c>
      <c r="B45" t="s">
        <v>9427</v>
      </c>
      <c r="H45">
        <v>3</v>
      </c>
      <c r="I45">
        <v>0</v>
      </c>
      <c r="K45">
        <v>60</v>
      </c>
    </row>
    <row r="46" spans="1:11">
      <c r="A46" t="s">
        <v>8970</v>
      </c>
      <c r="B46" t="s">
        <v>9428</v>
      </c>
      <c r="D46" t="s">
        <v>9397</v>
      </c>
      <c r="H46">
        <v>3</v>
      </c>
      <c r="I46">
        <v>0</v>
      </c>
      <c r="K46">
        <v>60</v>
      </c>
    </row>
    <row r="47" spans="1:11">
      <c r="A47" t="s">
        <v>9145</v>
      </c>
      <c r="B47" t="s">
        <v>9429</v>
      </c>
      <c r="D47" s="3" t="s">
        <v>9430</v>
      </c>
      <c r="H47">
        <v>3</v>
      </c>
      <c r="I47">
        <v>0</v>
      </c>
      <c r="K47">
        <v>90</v>
      </c>
    </row>
    <row r="48" spans="1:11">
      <c r="A48" t="s">
        <v>8663</v>
      </c>
      <c r="B48" t="s">
        <v>9431</v>
      </c>
      <c r="D48" t="s">
        <v>9397</v>
      </c>
      <c r="H48">
        <v>3</v>
      </c>
      <c r="I48">
        <v>0</v>
      </c>
      <c r="K48">
        <v>60</v>
      </c>
    </row>
    <row r="49" spans="1:11">
      <c r="A49" t="s">
        <v>8956</v>
      </c>
      <c r="B49" t="s">
        <v>9432</v>
      </c>
      <c r="D49" t="s">
        <v>9433</v>
      </c>
      <c r="H49">
        <v>3</v>
      </c>
      <c r="I49">
        <v>0</v>
      </c>
      <c r="K49">
        <v>60</v>
      </c>
    </row>
    <row r="50" spans="1:11">
      <c r="A50" t="s">
        <v>8951</v>
      </c>
      <c r="B50" t="s">
        <v>9434</v>
      </c>
      <c r="D50" t="s">
        <v>9435</v>
      </c>
      <c r="H50">
        <v>3</v>
      </c>
      <c r="I50">
        <v>0</v>
      </c>
      <c r="K50">
        <v>60</v>
      </c>
    </row>
    <row r="51" spans="1:11">
      <c r="A51" t="s">
        <v>9436</v>
      </c>
      <c r="B51" t="s">
        <v>9437</v>
      </c>
      <c r="H51">
        <v>3</v>
      </c>
      <c r="I51">
        <v>0</v>
      </c>
      <c r="K51">
        <v>60</v>
      </c>
    </row>
    <row r="52" spans="1:11">
      <c r="A52" t="s">
        <v>8934</v>
      </c>
      <c r="B52" t="s">
        <v>9438</v>
      </c>
      <c r="H52">
        <v>3</v>
      </c>
      <c r="I52">
        <v>0</v>
      </c>
      <c r="K52">
        <v>60</v>
      </c>
    </row>
    <row r="53" spans="1:11">
      <c r="A53" t="s">
        <v>8955</v>
      </c>
      <c r="B53" t="s">
        <v>9439</v>
      </c>
      <c r="D53" t="s">
        <v>9397</v>
      </c>
      <c r="H53">
        <v>3</v>
      </c>
      <c r="I53">
        <v>0</v>
      </c>
      <c r="K53">
        <v>60</v>
      </c>
    </row>
    <row r="54" spans="1:11">
      <c r="A54" t="s">
        <v>8960</v>
      </c>
      <c r="B54" t="s">
        <v>9440</v>
      </c>
      <c r="H54">
        <v>3</v>
      </c>
      <c r="I54">
        <v>0</v>
      </c>
      <c r="K54">
        <v>60</v>
      </c>
    </row>
    <row r="55" spans="1:11">
      <c r="A55" t="s">
        <v>6957</v>
      </c>
      <c r="B55" t="s">
        <v>9378</v>
      </c>
      <c r="D55" t="s">
        <v>9397</v>
      </c>
      <c r="H55">
        <v>3</v>
      </c>
      <c r="I55">
        <v>0</v>
      </c>
      <c r="K55">
        <v>60</v>
      </c>
    </row>
    <row r="56" spans="1:11">
      <c r="A56" t="s">
        <v>8987</v>
      </c>
      <c r="B56" t="s">
        <v>9441</v>
      </c>
      <c r="H56">
        <v>3</v>
      </c>
      <c r="I56">
        <v>0</v>
      </c>
      <c r="K56">
        <v>60</v>
      </c>
    </row>
    <row r="60" spans="1:12">
      <c r="A60" t="s">
        <v>7034</v>
      </c>
      <c r="B60" t="s">
        <v>9442</v>
      </c>
      <c r="L60">
        <v>5</v>
      </c>
    </row>
    <row r="61" spans="1:12">
      <c r="A61" t="s">
        <v>7065</v>
      </c>
      <c r="B61" t="s">
        <v>9443</v>
      </c>
      <c r="I61">
        <v>2</v>
      </c>
      <c r="L61">
        <v>0.3</v>
      </c>
    </row>
    <row r="62" spans="1:12">
      <c r="A62" t="s">
        <v>9444</v>
      </c>
      <c r="B62" t="s">
        <v>9445</v>
      </c>
      <c r="L62">
        <v>5</v>
      </c>
    </row>
    <row r="63" spans="1:12">
      <c r="A63" t="s">
        <v>9446</v>
      </c>
      <c r="B63" t="s">
        <v>9447</v>
      </c>
      <c r="L63">
        <v>5</v>
      </c>
    </row>
    <row r="64" spans="1:11">
      <c r="A64" t="s">
        <v>8423</v>
      </c>
      <c r="B64" t="s">
        <v>9448</v>
      </c>
      <c r="H64">
        <v>3</v>
      </c>
      <c r="I64">
        <v>0</v>
      </c>
      <c r="K64">
        <v>60</v>
      </c>
    </row>
    <row r="66" spans="1:12">
      <c r="A66" t="s">
        <v>7073</v>
      </c>
      <c r="B66" t="s">
        <v>9449</v>
      </c>
      <c r="E66" t="s">
        <v>4277</v>
      </c>
      <c r="J66">
        <v>1</v>
      </c>
      <c r="L66">
        <v>5</v>
      </c>
    </row>
    <row r="67" spans="1:12">
      <c r="A67" t="s">
        <v>7096</v>
      </c>
      <c r="B67" t="s">
        <v>9450</v>
      </c>
      <c r="I67">
        <v>2</v>
      </c>
      <c r="L67">
        <v>5</v>
      </c>
    </row>
    <row r="68" spans="1:11">
      <c r="A68" t="s">
        <v>8989</v>
      </c>
      <c r="B68" t="s">
        <v>9451</v>
      </c>
      <c r="C68">
        <v>1</v>
      </c>
      <c r="I68">
        <v>2</v>
      </c>
      <c r="K68">
        <v>60</v>
      </c>
    </row>
    <row r="69" spans="1:12">
      <c r="A69" t="s">
        <v>7103</v>
      </c>
      <c r="B69" t="s">
        <v>9452</v>
      </c>
      <c r="I69">
        <v>2</v>
      </c>
      <c r="L69">
        <v>5</v>
      </c>
    </row>
    <row r="70" spans="1:12">
      <c r="A70" t="s">
        <v>7106</v>
      </c>
      <c r="B70" t="s">
        <v>9453</v>
      </c>
      <c r="L70">
        <v>5</v>
      </c>
    </row>
    <row r="71" spans="1:12">
      <c r="A71" t="s">
        <v>7112</v>
      </c>
      <c r="B71" t="s">
        <v>9454</v>
      </c>
      <c r="L71">
        <v>5</v>
      </c>
    </row>
    <row r="72" spans="1:12">
      <c r="A72" t="s">
        <v>7122</v>
      </c>
      <c r="B72" t="s">
        <v>9455</v>
      </c>
      <c r="I72">
        <v>2</v>
      </c>
      <c r="L72">
        <v>5</v>
      </c>
    </row>
    <row r="73" spans="1:12">
      <c r="A73" t="s">
        <v>7121</v>
      </c>
      <c r="B73" t="s">
        <v>9456</v>
      </c>
      <c r="E73" t="s">
        <v>9457</v>
      </c>
      <c r="I73">
        <v>1</v>
      </c>
      <c r="L73">
        <v>5</v>
      </c>
    </row>
    <row r="74" spans="1:12">
      <c r="A74" t="s">
        <v>7132</v>
      </c>
      <c r="B74" t="s">
        <v>9458</v>
      </c>
      <c r="I74">
        <v>2</v>
      </c>
      <c r="L74">
        <v>5</v>
      </c>
    </row>
    <row r="75" spans="1:12">
      <c r="A75" t="s">
        <v>7138</v>
      </c>
      <c r="B75" t="s">
        <v>9459</v>
      </c>
      <c r="I75">
        <v>2</v>
      </c>
      <c r="L75">
        <v>5</v>
      </c>
    </row>
    <row r="76" spans="1:12">
      <c r="A76" t="s">
        <v>7143</v>
      </c>
      <c r="B76" t="s">
        <v>9460</v>
      </c>
      <c r="E76" t="s">
        <v>4277</v>
      </c>
      <c r="I76">
        <v>1</v>
      </c>
      <c r="L76">
        <v>5</v>
      </c>
    </row>
    <row r="77" spans="1:12">
      <c r="A77" t="s">
        <v>7155</v>
      </c>
      <c r="B77" t="s">
        <v>9461</v>
      </c>
      <c r="I77">
        <v>2</v>
      </c>
      <c r="L77">
        <v>5</v>
      </c>
    </row>
    <row r="79" spans="1:12">
      <c r="A79" t="s">
        <v>7949</v>
      </c>
      <c r="B79" t="s">
        <v>9462</v>
      </c>
      <c r="I79">
        <v>2</v>
      </c>
      <c r="L79">
        <v>5</v>
      </c>
    </row>
    <row r="80" spans="1:12">
      <c r="A80" t="s">
        <v>7945</v>
      </c>
      <c r="B80" t="s">
        <v>9463</v>
      </c>
      <c r="E80" t="s">
        <v>9464</v>
      </c>
      <c r="I80">
        <v>1</v>
      </c>
      <c r="L80">
        <v>5</v>
      </c>
    </row>
    <row r="81" spans="1:12">
      <c r="A81" t="s">
        <v>7954</v>
      </c>
      <c r="B81" t="s">
        <v>9465</v>
      </c>
      <c r="I81">
        <v>2</v>
      </c>
      <c r="L81">
        <v>5</v>
      </c>
    </row>
    <row r="82" spans="1:11">
      <c r="A82" t="s">
        <v>9073</v>
      </c>
      <c r="B82" t="s">
        <v>9466</v>
      </c>
      <c r="I82">
        <v>1</v>
      </c>
      <c r="K82">
        <v>60</v>
      </c>
    </row>
    <row r="83" spans="1:12">
      <c r="A83" t="s">
        <v>7971</v>
      </c>
      <c r="B83" t="s">
        <v>9467</v>
      </c>
      <c r="I83">
        <v>2</v>
      </c>
      <c r="L83">
        <v>5</v>
      </c>
    </row>
    <row r="84" spans="1:12">
      <c r="A84" t="s">
        <v>7970</v>
      </c>
      <c r="B84" t="s">
        <v>9468</v>
      </c>
      <c r="D84" t="s">
        <v>9469</v>
      </c>
      <c r="J84">
        <v>2</v>
      </c>
      <c r="L84">
        <v>5</v>
      </c>
    </row>
    <row r="85" spans="1:11">
      <c r="A85" t="s">
        <v>9075</v>
      </c>
      <c r="B85" t="s">
        <v>9470</v>
      </c>
      <c r="I85">
        <v>1</v>
      </c>
      <c r="K85">
        <v>60</v>
      </c>
    </row>
    <row r="87" spans="1:12">
      <c r="A87" t="s">
        <v>7987</v>
      </c>
      <c r="B87" t="s">
        <v>9471</v>
      </c>
      <c r="I87">
        <v>2</v>
      </c>
      <c r="L87">
        <v>5</v>
      </c>
    </row>
    <row r="88" spans="1:12">
      <c r="A88" t="s">
        <v>7986</v>
      </c>
      <c r="B88" t="s">
        <v>9472</v>
      </c>
      <c r="D88" t="s">
        <v>9473</v>
      </c>
      <c r="I88">
        <v>2</v>
      </c>
      <c r="K88">
        <v>60</v>
      </c>
      <c r="L88">
        <v>5</v>
      </c>
    </row>
    <row r="89" spans="1:9">
      <c r="A89" t="s">
        <v>9076</v>
      </c>
      <c r="B89" t="s">
        <v>9474</v>
      </c>
      <c r="I89">
        <v>1</v>
      </c>
    </row>
    <row r="90" spans="1:12">
      <c r="A90" t="s">
        <v>7994</v>
      </c>
      <c r="B90" t="s">
        <v>9475</v>
      </c>
      <c r="I90">
        <v>2</v>
      </c>
      <c r="L90">
        <v>5</v>
      </c>
    </row>
    <row r="91" spans="1:12">
      <c r="A91" t="s">
        <v>7993</v>
      </c>
      <c r="B91" t="s">
        <v>9476</v>
      </c>
      <c r="D91" t="s">
        <v>9473</v>
      </c>
      <c r="I91">
        <v>2</v>
      </c>
      <c r="K91">
        <v>60</v>
      </c>
      <c r="L91">
        <v>5</v>
      </c>
    </row>
    <row r="92" spans="1:9">
      <c r="A92" t="s">
        <v>9077</v>
      </c>
      <c r="B92" t="s">
        <v>9477</v>
      </c>
      <c r="I92">
        <v>1</v>
      </c>
    </row>
    <row r="93" spans="1:12">
      <c r="A93" t="s">
        <v>8005</v>
      </c>
      <c r="B93" t="s">
        <v>9478</v>
      </c>
      <c r="J93">
        <v>2</v>
      </c>
      <c r="L93">
        <v>5</v>
      </c>
    </row>
    <row r="94" spans="1:12">
      <c r="A94" t="s">
        <v>8004</v>
      </c>
      <c r="B94" t="s">
        <v>9479</v>
      </c>
      <c r="E94" t="s">
        <v>9480</v>
      </c>
      <c r="I94">
        <v>2</v>
      </c>
      <c r="L94">
        <v>5</v>
      </c>
    </row>
    <row r="95" spans="1:9">
      <c r="A95" t="s">
        <v>9079</v>
      </c>
      <c r="B95" t="s">
        <v>9481</v>
      </c>
      <c r="E95" t="s">
        <v>9482</v>
      </c>
      <c r="F95">
        <v>1</v>
      </c>
      <c r="H95">
        <v>1</v>
      </c>
      <c r="I95">
        <v>1</v>
      </c>
    </row>
    <row r="96" spans="1:9">
      <c r="A96" t="s">
        <v>9483</v>
      </c>
      <c r="B96" t="s">
        <v>9484</v>
      </c>
      <c r="I96">
        <v>1</v>
      </c>
    </row>
    <row r="97" spans="1:7">
      <c r="A97" t="s">
        <v>9082</v>
      </c>
      <c r="B97" t="s">
        <v>9485</v>
      </c>
      <c r="E97" t="s">
        <v>9486</v>
      </c>
      <c r="F97">
        <v>1</v>
      </c>
      <c r="G97">
        <v>1</v>
      </c>
    </row>
    <row r="98" spans="1:7">
      <c r="A98" t="s">
        <v>9084</v>
      </c>
      <c r="B98" t="s">
        <v>9487</v>
      </c>
      <c r="E98" t="s">
        <v>9488</v>
      </c>
      <c r="F98">
        <v>1</v>
      </c>
      <c r="G98">
        <v>1</v>
      </c>
    </row>
    <row r="99" spans="1:12">
      <c r="A99" t="s">
        <v>8016</v>
      </c>
      <c r="B99" t="s">
        <v>9489</v>
      </c>
      <c r="I99">
        <v>2</v>
      </c>
      <c r="L99">
        <v>5</v>
      </c>
    </row>
    <row r="100" spans="1:12">
      <c r="A100" t="s">
        <v>8007</v>
      </c>
      <c r="B100" t="s">
        <v>9490</v>
      </c>
      <c r="I100">
        <v>2</v>
      </c>
      <c r="L100">
        <v>5</v>
      </c>
    </row>
    <row r="101" spans="1:12">
      <c r="A101" t="s">
        <v>8031</v>
      </c>
      <c r="B101" t="s">
        <v>9491</v>
      </c>
      <c r="I101">
        <v>2</v>
      </c>
      <c r="L101">
        <v>5</v>
      </c>
    </row>
    <row r="102" spans="1:12">
      <c r="A102" t="s">
        <v>8030</v>
      </c>
      <c r="B102" t="s">
        <v>9492</v>
      </c>
      <c r="I102">
        <v>2</v>
      </c>
      <c r="L102">
        <v>5</v>
      </c>
    </row>
    <row r="103" spans="1:11">
      <c r="A103" t="s">
        <v>9089</v>
      </c>
      <c r="B103" t="s">
        <v>9493</v>
      </c>
      <c r="I103">
        <v>1</v>
      </c>
      <c r="K103">
        <v>60</v>
      </c>
    </row>
    <row r="104" spans="1:11">
      <c r="A104" t="s">
        <v>9090</v>
      </c>
      <c r="B104" t="s">
        <v>9494</v>
      </c>
      <c r="I104">
        <v>1</v>
      </c>
      <c r="K104">
        <v>60</v>
      </c>
    </row>
    <row r="105" spans="1:11">
      <c r="A105" t="s">
        <v>9091</v>
      </c>
      <c r="B105" t="s">
        <v>9495</v>
      </c>
      <c r="I105">
        <v>1</v>
      </c>
      <c r="K105">
        <v>60</v>
      </c>
    </row>
    <row r="106" spans="1:11">
      <c r="A106" t="s">
        <v>9093</v>
      </c>
      <c r="B106" t="s">
        <v>9496</v>
      </c>
      <c r="H106">
        <v>1</v>
      </c>
      <c r="I106">
        <v>1</v>
      </c>
      <c r="K106">
        <v>60</v>
      </c>
    </row>
    <row r="107" spans="1:12">
      <c r="A107" t="s">
        <v>8075</v>
      </c>
      <c r="B107" t="s">
        <v>9497</v>
      </c>
      <c r="I107">
        <v>2</v>
      </c>
      <c r="L107">
        <v>5</v>
      </c>
    </row>
    <row r="108" spans="1:12">
      <c r="A108" t="s">
        <v>8074</v>
      </c>
      <c r="B108" t="s">
        <v>9498</v>
      </c>
      <c r="I108">
        <v>2</v>
      </c>
      <c r="K108">
        <v>60</v>
      </c>
      <c r="L108">
        <v>0.2</v>
      </c>
    </row>
    <row r="109" spans="1:12">
      <c r="A109" t="s">
        <v>8079</v>
      </c>
      <c r="B109" t="s">
        <v>9499</v>
      </c>
      <c r="I109">
        <v>2</v>
      </c>
      <c r="L109">
        <v>5</v>
      </c>
    </row>
    <row r="110" spans="1:12">
      <c r="A110" t="s">
        <v>8078</v>
      </c>
      <c r="B110" t="s">
        <v>9500</v>
      </c>
      <c r="I110">
        <v>2</v>
      </c>
      <c r="K110">
        <v>60</v>
      </c>
      <c r="L110">
        <v>0.2</v>
      </c>
    </row>
    <row r="111" spans="1:11">
      <c r="A111" t="s">
        <v>9095</v>
      </c>
      <c r="B111" t="s">
        <v>9501</v>
      </c>
      <c r="I111">
        <v>1</v>
      </c>
      <c r="K111">
        <v>60</v>
      </c>
    </row>
    <row r="112" spans="1:12">
      <c r="A112" t="s">
        <v>8094</v>
      </c>
      <c r="B112" t="s">
        <v>9502</v>
      </c>
      <c r="I112">
        <v>2</v>
      </c>
      <c r="L112">
        <v>5</v>
      </c>
    </row>
    <row r="113" spans="1:12">
      <c r="A113" t="s">
        <v>8093</v>
      </c>
      <c r="B113" t="s">
        <v>9503</v>
      </c>
      <c r="I113">
        <v>2</v>
      </c>
      <c r="K113">
        <v>60</v>
      </c>
      <c r="L113">
        <v>5</v>
      </c>
    </row>
    <row r="114" spans="1:9">
      <c r="A114" t="s">
        <v>9098</v>
      </c>
      <c r="B114" t="s">
        <v>9504</v>
      </c>
      <c r="E114" t="s">
        <v>7130</v>
      </c>
      <c r="F114">
        <v>1</v>
      </c>
      <c r="H114">
        <v>2</v>
      </c>
      <c r="I114">
        <v>1</v>
      </c>
    </row>
    <row r="115" spans="1:11">
      <c r="A115" t="s">
        <v>9096</v>
      </c>
      <c r="B115" t="s">
        <v>9505</v>
      </c>
      <c r="I115">
        <v>1</v>
      </c>
      <c r="K115">
        <v>60</v>
      </c>
    </row>
    <row r="116" spans="1:12">
      <c r="A116" t="s">
        <v>8099</v>
      </c>
      <c r="B116" t="s">
        <v>9506</v>
      </c>
      <c r="I116">
        <v>2</v>
      </c>
      <c r="L116">
        <v>5</v>
      </c>
    </row>
    <row r="117" spans="1:12">
      <c r="A117" t="s">
        <v>8098</v>
      </c>
      <c r="B117" t="s">
        <v>9507</v>
      </c>
      <c r="I117">
        <v>2</v>
      </c>
      <c r="K117">
        <v>60</v>
      </c>
      <c r="L117">
        <v>0.2</v>
      </c>
    </row>
    <row r="118" spans="1:11">
      <c r="A118" t="s">
        <v>8124</v>
      </c>
      <c r="B118" t="s">
        <v>9508</v>
      </c>
      <c r="I118">
        <v>1</v>
      </c>
      <c r="K118">
        <v>60</v>
      </c>
    </row>
    <row r="119" spans="1:12">
      <c r="A119" t="s">
        <v>8121</v>
      </c>
      <c r="B119" t="s">
        <v>9509</v>
      </c>
      <c r="I119">
        <v>2</v>
      </c>
      <c r="K119">
        <v>60</v>
      </c>
      <c r="L119">
        <v>5</v>
      </c>
    </row>
    <row r="120" spans="1:12">
      <c r="A120" t="s">
        <v>8115</v>
      </c>
      <c r="B120" t="s">
        <v>9510</v>
      </c>
      <c r="I120">
        <v>2</v>
      </c>
      <c r="K120">
        <v>60</v>
      </c>
      <c r="L120">
        <v>5</v>
      </c>
    </row>
    <row r="121" spans="1:12">
      <c r="A121" t="s">
        <v>8120</v>
      </c>
      <c r="B121" t="s">
        <v>9511</v>
      </c>
      <c r="E121" t="s">
        <v>4277</v>
      </c>
      <c r="I121">
        <v>2</v>
      </c>
      <c r="K121">
        <v>60</v>
      </c>
      <c r="L121">
        <v>0.2</v>
      </c>
    </row>
    <row r="122" spans="1:12">
      <c r="A122" t="s">
        <v>8114</v>
      </c>
      <c r="B122" t="s">
        <v>9512</v>
      </c>
      <c r="E122" t="s">
        <v>4277</v>
      </c>
      <c r="I122">
        <v>2</v>
      </c>
      <c r="K122">
        <v>60</v>
      </c>
      <c r="L122">
        <v>0.2</v>
      </c>
    </row>
    <row r="123" spans="1:11">
      <c r="A123" t="s">
        <v>9099</v>
      </c>
      <c r="B123" t="s">
        <v>9513</v>
      </c>
      <c r="I123">
        <v>1</v>
      </c>
      <c r="K123">
        <v>60</v>
      </c>
    </row>
    <row r="124" spans="1:11">
      <c r="A124" t="s">
        <v>9100</v>
      </c>
      <c r="B124" t="s">
        <v>9514</v>
      </c>
      <c r="I124">
        <v>1</v>
      </c>
      <c r="K124">
        <v>60</v>
      </c>
    </row>
    <row r="125" spans="1:12">
      <c r="A125" t="s">
        <v>9515</v>
      </c>
      <c r="B125" t="s">
        <v>9516</v>
      </c>
      <c r="I125">
        <v>2</v>
      </c>
      <c r="K125">
        <v>60</v>
      </c>
      <c r="L125">
        <v>5</v>
      </c>
    </row>
    <row r="126" spans="1:12">
      <c r="A126" t="s">
        <v>9517</v>
      </c>
      <c r="B126" t="s">
        <v>9518</v>
      </c>
      <c r="I126">
        <v>2</v>
      </c>
      <c r="K126">
        <v>60</v>
      </c>
      <c r="L126">
        <v>5</v>
      </c>
    </row>
    <row r="127" spans="1:9">
      <c r="A127" t="s">
        <v>9103</v>
      </c>
      <c r="B127" t="s">
        <v>9519</v>
      </c>
      <c r="E127" t="s">
        <v>7130</v>
      </c>
      <c r="F127">
        <v>1</v>
      </c>
      <c r="H127">
        <v>2</v>
      </c>
      <c r="I127">
        <v>1</v>
      </c>
    </row>
    <row r="128" spans="1:12">
      <c r="A128" t="s">
        <v>9520</v>
      </c>
      <c r="B128" t="s">
        <v>9521</v>
      </c>
      <c r="I128">
        <v>2</v>
      </c>
      <c r="K128">
        <v>60</v>
      </c>
      <c r="L128">
        <v>5</v>
      </c>
    </row>
    <row r="129" spans="1:12">
      <c r="A129" t="s">
        <v>9522</v>
      </c>
      <c r="B129" t="s">
        <v>9523</v>
      </c>
      <c r="I129">
        <v>2</v>
      </c>
      <c r="K129">
        <v>60</v>
      </c>
      <c r="L129">
        <v>5</v>
      </c>
    </row>
    <row r="130" spans="1:12">
      <c r="A130" t="s">
        <v>8141</v>
      </c>
      <c r="B130" t="s">
        <v>9524</v>
      </c>
      <c r="E130" t="s">
        <v>4277</v>
      </c>
      <c r="J130">
        <v>2</v>
      </c>
      <c r="L130">
        <v>5</v>
      </c>
    </row>
    <row r="131" spans="1:12">
      <c r="A131" t="s">
        <v>8157</v>
      </c>
      <c r="B131" t="s">
        <v>9525</v>
      </c>
      <c r="J131">
        <v>2</v>
      </c>
      <c r="L131">
        <v>5</v>
      </c>
    </row>
    <row r="132" spans="1:12">
      <c r="A132" t="s">
        <v>8156</v>
      </c>
      <c r="B132" t="s">
        <v>9526</v>
      </c>
      <c r="E132" t="s">
        <v>4277</v>
      </c>
      <c r="I132">
        <v>2</v>
      </c>
      <c r="K132">
        <v>60</v>
      </c>
      <c r="L132">
        <v>5</v>
      </c>
    </row>
    <row r="133" spans="1:11">
      <c r="A133" t="s">
        <v>9107</v>
      </c>
      <c r="B133" t="s">
        <v>9527</v>
      </c>
      <c r="I133">
        <v>1</v>
      </c>
      <c r="K133">
        <v>60</v>
      </c>
    </row>
    <row r="134" spans="1:12">
      <c r="A134" t="s">
        <v>8164</v>
      </c>
      <c r="B134" t="s">
        <v>9528</v>
      </c>
      <c r="J134">
        <v>2</v>
      </c>
      <c r="L134">
        <v>20</v>
      </c>
    </row>
    <row r="135" spans="1:12">
      <c r="A135" t="s">
        <v>8165</v>
      </c>
      <c r="B135" t="s">
        <v>9529</v>
      </c>
      <c r="E135" t="s">
        <v>4277</v>
      </c>
      <c r="J135">
        <v>2</v>
      </c>
      <c r="L135">
        <v>20</v>
      </c>
    </row>
    <row r="136" spans="1:12">
      <c r="A136" t="s">
        <v>8172</v>
      </c>
      <c r="B136" t="s">
        <v>9530</v>
      </c>
      <c r="I136">
        <v>2</v>
      </c>
      <c r="K136">
        <v>60</v>
      </c>
      <c r="L136">
        <v>5</v>
      </c>
    </row>
    <row r="137" spans="1:12">
      <c r="A137" t="s">
        <v>8171</v>
      </c>
      <c r="B137" t="s">
        <v>9531</v>
      </c>
      <c r="E137" t="s">
        <v>4277</v>
      </c>
      <c r="I137">
        <v>2</v>
      </c>
      <c r="K137">
        <v>60</v>
      </c>
      <c r="L137">
        <v>5</v>
      </c>
    </row>
    <row r="138" spans="1:12">
      <c r="A138" t="s">
        <v>8188</v>
      </c>
      <c r="B138" t="s">
        <v>9532</v>
      </c>
      <c r="I138">
        <v>2</v>
      </c>
      <c r="K138">
        <v>60</v>
      </c>
      <c r="L138">
        <v>5</v>
      </c>
    </row>
    <row r="139" spans="1:12">
      <c r="A139" t="s">
        <v>8187</v>
      </c>
      <c r="B139" t="s">
        <v>9533</v>
      </c>
      <c r="I139">
        <v>1</v>
      </c>
      <c r="K139">
        <v>60</v>
      </c>
      <c r="L139">
        <v>5</v>
      </c>
    </row>
    <row r="140" spans="1:12">
      <c r="A140" t="s">
        <v>9108</v>
      </c>
      <c r="B140" t="s">
        <v>9534</v>
      </c>
      <c r="H140">
        <v>1</v>
      </c>
      <c r="I140">
        <v>2</v>
      </c>
      <c r="K140">
        <v>60</v>
      </c>
      <c r="L140">
        <v>30</v>
      </c>
    </row>
    <row r="141" spans="1:12">
      <c r="A141" t="s">
        <v>9535</v>
      </c>
      <c r="B141" t="s">
        <v>9536</v>
      </c>
      <c r="I141">
        <v>2</v>
      </c>
      <c r="K141">
        <v>60</v>
      </c>
      <c r="L141">
        <v>5</v>
      </c>
    </row>
    <row r="142" spans="1:12">
      <c r="A142" t="s">
        <v>8200</v>
      </c>
      <c r="B142" t="s">
        <v>9537</v>
      </c>
      <c r="I142">
        <v>2</v>
      </c>
      <c r="K142">
        <v>60</v>
      </c>
      <c r="L142">
        <v>5</v>
      </c>
    </row>
    <row r="143" spans="1:12">
      <c r="A143" t="s">
        <v>8199</v>
      </c>
      <c r="B143" t="s">
        <v>9538</v>
      </c>
      <c r="E143" t="s">
        <v>9539</v>
      </c>
      <c r="F143">
        <v>1</v>
      </c>
      <c r="I143">
        <v>2</v>
      </c>
      <c r="K143">
        <v>60</v>
      </c>
      <c r="L143">
        <v>5</v>
      </c>
    </row>
    <row r="144" spans="1:11">
      <c r="A144" t="s">
        <v>9112</v>
      </c>
      <c r="B144" t="s">
        <v>9540</v>
      </c>
      <c r="E144" t="s">
        <v>9539</v>
      </c>
      <c r="F144">
        <v>1</v>
      </c>
      <c r="I144">
        <v>1</v>
      </c>
      <c r="K144">
        <v>60</v>
      </c>
    </row>
    <row r="145" spans="1:12">
      <c r="A145" t="s">
        <v>8215</v>
      </c>
      <c r="B145" t="s">
        <v>9541</v>
      </c>
      <c r="I145">
        <v>2</v>
      </c>
      <c r="K145">
        <v>60</v>
      </c>
      <c r="L145">
        <v>5</v>
      </c>
    </row>
    <row r="146" spans="1:12">
      <c r="A146" t="s">
        <v>8216</v>
      </c>
      <c r="B146" t="s">
        <v>9542</v>
      </c>
      <c r="E146" t="s">
        <v>9539</v>
      </c>
      <c r="F146">
        <v>1</v>
      </c>
      <c r="I146">
        <v>2</v>
      </c>
      <c r="K146">
        <v>60</v>
      </c>
      <c r="L146">
        <v>30</v>
      </c>
    </row>
    <row r="147" spans="1:12">
      <c r="A147" t="s">
        <v>8227</v>
      </c>
      <c r="B147" t="s">
        <v>9543</v>
      </c>
      <c r="E147" t="s">
        <v>9539</v>
      </c>
      <c r="F147">
        <v>1</v>
      </c>
      <c r="I147">
        <v>2</v>
      </c>
      <c r="K147">
        <v>60</v>
      </c>
      <c r="L147">
        <v>25</v>
      </c>
    </row>
    <row r="148" spans="1:12">
      <c r="A148" t="s">
        <v>9544</v>
      </c>
      <c r="B148" t="s">
        <v>9545</v>
      </c>
      <c r="I148">
        <v>2</v>
      </c>
      <c r="K148">
        <v>60</v>
      </c>
      <c r="L148">
        <v>5</v>
      </c>
    </row>
    <row r="149" spans="1:12">
      <c r="A149" t="s">
        <v>9546</v>
      </c>
      <c r="B149" t="s">
        <v>9547</v>
      </c>
      <c r="E149" t="s">
        <v>7130</v>
      </c>
      <c r="I149">
        <v>2</v>
      </c>
      <c r="K149">
        <v>60</v>
      </c>
      <c r="L149">
        <v>5</v>
      </c>
    </row>
    <row r="150" spans="1:11">
      <c r="A150" t="s">
        <v>9113</v>
      </c>
      <c r="B150" t="s">
        <v>9548</v>
      </c>
      <c r="H150">
        <v>2</v>
      </c>
      <c r="I150">
        <v>1</v>
      </c>
      <c r="K150">
        <v>60</v>
      </c>
    </row>
    <row r="151" spans="1:9">
      <c r="A151" t="s">
        <v>9115</v>
      </c>
      <c r="B151" t="s">
        <v>9549</v>
      </c>
      <c r="I151">
        <v>1</v>
      </c>
    </row>
    <row r="152" spans="1:12">
      <c r="A152" t="s">
        <v>9550</v>
      </c>
      <c r="B152" t="s">
        <v>9551</v>
      </c>
      <c r="E152" t="s">
        <v>7130</v>
      </c>
      <c r="I152">
        <v>2</v>
      </c>
      <c r="K152">
        <v>60</v>
      </c>
      <c r="L152">
        <v>5</v>
      </c>
    </row>
    <row r="153" spans="1:11">
      <c r="A153" t="s">
        <v>9118</v>
      </c>
      <c r="B153" t="s">
        <v>9552</v>
      </c>
      <c r="I153">
        <v>1</v>
      </c>
      <c r="K153">
        <v>60</v>
      </c>
    </row>
    <row r="154" spans="1:12">
      <c r="A154" t="s">
        <v>8258</v>
      </c>
      <c r="B154" t="s">
        <v>9553</v>
      </c>
      <c r="I154">
        <v>2</v>
      </c>
      <c r="K154">
        <v>60</v>
      </c>
      <c r="L154">
        <v>5</v>
      </c>
    </row>
    <row r="155" spans="1:12">
      <c r="A155" t="s">
        <v>8257</v>
      </c>
      <c r="B155" t="s">
        <v>9554</v>
      </c>
      <c r="I155">
        <v>2</v>
      </c>
      <c r="K155">
        <v>60</v>
      </c>
      <c r="L155">
        <v>5</v>
      </c>
    </row>
    <row r="156" spans="1:11">
      <c r="A156" t="s">
        <v>9120</v>
      </c>
      <c r="B156" t="s">
        <v>9555</v>
      </c>
      <c r="I156">
        <v>1</v>
      </c>
      <c r="K156">
        <v>60</v>
      </c>
    </row>
    <row r="157" spans="1:11">
      <c r="A157" t="s">
        <v>9122</v>
      </c>
      <c r="B157" t="s">
        <v>9556</v>
      </c>
      <c r="H157">
        <v>3</v>
      </c>
      <c r="I157">
        <v>0</v>
      </c>
      <c r="K157">
        <v>60</v>
      </c>
    </row>
    <row r="158" spans="1:12">
      <c r="A158" t="s">
        <v>9126</v>
      </c>
      <c r="B158" t="s">
        <v>9557</v>
      </c>
      <c r="J158">
        <v>2</v>
      </c>
      <c r="L158">
        <v>60</v>
      </c>
    </row>
    <row r="159" spans="1:12">
      <c r="A159" t="s">
        <v>8282</v>
      </c>
      <c r="B159" t="s">
        <v>9558</v>
      </c>
      <c r="I159">
        <v>1</v>
      </c>
      <c r="K159">
        <v>60</v>
      </c>
      <c r="L159">
        <v>5</v>
      </c>
    </row>
    <row r="160" spans="1:12">
      <c r="A160" t="s">
        <v>8281</v>
      </c>
      <c r="B160" t="s">
        <v>9559</v>
      </c>
      <c r="E160" t="s">
        <v>9560</v>
      </c>
      <c r="I160">
        <v>1</v>
      </c>
      <c r="K160">
        <v>60</v>
      </c>
      <c r="L160">
        <v>5</v>
      </c>
    </row>
    <row r="161" spans="1:11">
      <c r="A161" t="s">
        <v>9127</v>
      </c>
      <c r="B161" t="s">
        <v>9561</v>
      </c>
      <c r="C161">
        <v>1</v>
      </c>
      <c r="D161" t="s">
        <v>9562</v>
      </c>
      <c r="H161">
        <v>1</v>
      </c>
      <c r="I161">
        <v>1</v>
      </c>
      <c r="K161">
        <v>100</v>
      </c>
    </row>
    <row r="162" spans="1:11">
      <c r="A162" t="s">
        <v>9131</v>
      </c>
      <c r="B162" t="s">
        <v>9563</v>
      </c>
      <c r="I162">
        <v>1</v>
      </c>
      <c r="K162">
        <v>60</v>
      </c>
    </row>
    <row r="163" spans="1:11">
      <c r="A163" t="s">
        <v>9129</v>
      </c>
      <c r="B163" t="s">
        <v>9564</v>
      </c>
      <c r="D163" t="s">
        <v>9469</v>
      </c>
      <c r="I163">
        <v>1</v>
      </c>
      <c r="K163">
        <v>60</v>
      </c>
    </row>
    <row r="164" spans="1:12">
      <c r="A164" t="s">
        <v>8304</v>
      </c>
      <c r="B164" t="s">
        <v>9565</v>
      </c>
      <c r="I164">
        <v>1</v>
      </c>
      <c r="K164">
        <v>60</v>
      </c>
      <c r="L164">
        <v>5</v>
      </c>
    </row>
    <row r="165" spans="1:12">
      <c r="A165" t="s">
        <v>8305</v>
      </c>
      <c r="B165" t="s">
        <v>9566</v>
      </c>
      <c r="E165" t="s">
        <v>9560</v>
      </c>
      <c r="I165">
        <v>1</v>
      </c>
      <c r="K165">
        <v>60</v>
      </c>
      <c r="L165">
        <v>25</v>
      </c>
    </row>
    <row r="166" spans="1:12">
      <c r="A166" t="s">
        <v>8309</v>
      </c>
      <c r="B166" t="s">
        <v>9567</v>
      </c>
      <c r="I166">
        <v>1</v>
      </c>
      <c r="K166">
        <v>60</v>
      </c>
      <c r="L166">
        <v>5</v>
      </c>
    </row>
    <row r="167" spans="1:11">
      <c r="A167" t="s">
        <v>9133</v>
      </c>
      <c r="B167" t="s">
        <v>9568</v>
      </c>
      <c r="E167" t="s">
        <v>9569</v>
      </c>
      <c r="F167">
        <v>1</v>
      </c>
      <c r="I167">
        <v>1</v>
      </c>
      <c r="K167">
        <v>60</v>
      </c>
    </row>
    <row r="168" spans="1:12">
      <c r="A168" t="s">
        <v>8316</v>
      </c>
      <c r="B168" t="s">
        <v>9570</v>
      </c>
      <c r="I168">
        <v>1</v>
      </c>
      <c r="K168">
        <v>60</v>
      </c>
      <c r="L168">
        <v>5</v>
      </c>
    </row>
    <row r="169" spans="1:12">
      <c r="A169" t="s">
        <v>8315</v>
      </c>
      <c r="B169" t="s">
        <v>9571</v>
      </c>
      <c r="I169">
        <v>1</v>
      </c>
      <c r="K169">
        <v>60</v>
      </c>
      <c r="L169">
        <v>5</v>
      </c>
    </row>
    <row r="170" spans="1:12">
      <c r="A170" t="s">
        <v>8321</v>
      </c>
      <c r="B170" t="s">
        <v>9572</v>
      </c>
      <c r="D170" t="s">
        <v>9573</v>
      </c>
      <c r="J170">
        <v>2</v>
      </c>
      <c r="L170">
        <v>5</v>
      </c>
    </row>
    <row r="171" spans="1:11">
      <c r="A171" t="s">
        <v>9134</v>
      </c>
      <c r="B171" t="s">
        <v>9574</v>
      </c>
      <c r="I171">
        <v>1</v>
      </c>
      <c r="K171">
        <v>60</v>
      </c>
    </row>
    <row r="172" spans="1:12">
      <c r="A172" t="s">
        <v>8327</v>
      </c>
      <c r="B172" t="s">
        <v>9575</v>
      </c>
      <c r="D172" t="s">
        <v>9573</v>
      </c>
      <c r="J172">
        <v>2</v>
      </c>
      <c r="L172">
        <v>60</v>
      </c>
    </row>
    <row r="173" spans="1:11">
      <c r="A173" t="s">
        <v>9136</v>
      </c>
      <c r="B173" t="s">
        <v>9576</v>
      </c>
      <c r="I173">
        <v>1</v>
      </c>
      <c r="K173">
        <v>60</v>
      </c>
    </row>
    <row r="174" spans="1:12">
      <c r="A174" t="s">
        <v>7172</v>
      </c>
      <c r="B174" t="s">
        <v>9577</v>
      </c>
      <c r="I174">
        <v>2</v>
      </c>
      <c r="L174">
        <v>5</v>
      </c>
    </row>
    <row r="175" spans="1:12">
      <c r="A175" t="s">
        <v>7171</v>
      </c>
      <c r="B175" t="s">
        <v>9578</v>
      </c>
      <c r="E175" t="s">
        <v>4277</v>
      </c>
      <c r="I175">
        <v>1</v>
      </c>
      <c r="L175">
        <v>5</v>
      </c>
    </row>
    <row r="176" spans="1:12">
      <c r="A176" t="s">
        <v>7189</v>
      </c>
      <c r="B176" t="s">
        <v>9579</v>
      </c>
      <c r="I176">
        <v>2</v>
      </c>
      <c r="K176">
        <v>60</v>
      </c>
      <c r="L176">
        <v>5</v>
      </c>
    </row>
    <row r="177" spans="1:12">
      <c r="A177" t="s">
        <v>7188</v>
      </c>
      <c r="B177" t="s">
        <v>9580</v>
      </c>
      <c r="E177" t="s">
        <v>4277</v>
      </c>
      <c r="H177">
        <v>2</v>
      </c>
      <c r="I177">
        <v>1</v>
      </c>
      <c r="K177">
        <v>60</v>
      </c>
      <c r="L177">
        <v>5</v>
      </c>
    </row>
    <row r="178" spans="1:11">
      <c r="A178" t="s">
        <v>7199</v>
      </c>
      <c r="B178" t="s">
        <v>9581</v>
      </c>
      <c r="I178">
        <v>1</v>
      </c>
      <c r="K178">
        <v>60</v>
      </c>
    </row>
    <row r="179" spans="1:12">
      <c r="A179" t="s">
        <v>7196</v>
      </c>
      <c r="B179" t="s">
        <v>9582</v>
      </c>
      <c r="I179">
        <v>2</v>
      </c>
      <c r="K179">
        <v>60</v>
      </c>
      <c r="L179">
        <v>5</v>
      </c>
    </row>
    <row r="180" spans="1:12">
      <c r="A180" t="s">
        <v>7195</v>
      </c>
      <c r="B180" t="s">
        <v>9583</v>
      </c>
      <c r="E180" t="s">
        <v>4277</v>
      </c>
      <c r="H180">
        <v>2</v>
      </c>
      <c r="I180">
        <v>1</v>
      </c>
      <c r="K180">
        <v>60</v>
      </c>
      <c r="L180">
        <v>5</v>
      </c>
    </row>
    <row r="181" spans="1:12">
      <c r="A181" t="s">
        <v>7197</v>
      </c>
      <c r="B181" t="s">
        <v>9584</v>
      </c>
      <c r="J181">
        <v>2</v>
      </c>
      <c r="L181">
        <v>5</v>
      </c>
    </row>
    <row r="182" spans="1:12">
      <c r="A182" t="s">
        <v>7203</v>
      </c>
      <c r="B182" t="s">
        <v>9585</v>
      </c>
      <c r="I182">
        <v>2</v>
      </c>
      <c r="K182">
        <v>60</v>
      </c>
      <c r="L182">
        <v>5</v>
      </c>
    </row>
    <row r="183" spans="1:12">
      <c r="A183" t="s">
        <v>7202</v>
      </c>
      <c r="B183" t="s">
        <v>9586</v>
      </c>
      <c r="D183" t="s">
        <v>9587</v>
      </c>
      <c r="H183">
        <v>2</v>
      </c>
      <c r="I183">
        <v>1</v>
      </c>
      <c r="K183">
        <v>60</v>
      </c>
      <c r="L183">
        <v>5</v>
      </c>
    </row>
    <row r="184" spans="1:12">
      <c r="A184" t="s">
        <v>7209</v>
      </c>
      <c r="B184" t="s">
        <v>9588</v>
      </c>
      <c r="I184">
        <v>2</v>
      </c>
      <c r="K184">
        <v>60</v>
      </c>
      <c r="L184">
        <v>5</v>
      </c>
    </row>
    <row r="185" spans="1:12">
      <c r="A185" t="s">
        <v>7208</v>
      </c>
      <c r="B185" t="s">
        <v>9589</v>
      </c>
      <c r="D185" t="s">
        <v>9587</v>
      </c>
      <c r="H185">
        <v>2</v>
      </c>
      <c r="I185">
        <v>1</v>
      </c>
      <c r="K185">
        <v>60</v>
      </c>
      <c r="L185">
        <v>5</v>
      </c>
    </row>
    <row r="186" spans="1:12">
      <c r="A186" t="s">
        <v>8993</v>
      </c>
      <c r="B186" t="s">
        <v>9590</v>
      </c>
      <c r="I186">
        <v>2</v>
      </c>
      <c r="K186">
        <v>60</v>
      </c>
      <c r="L186">
        <v>5</v>
      </c>
    </row>
    <row r="187" spans="1:12">
      <c r="A187" t="s">
        <v>7222</v>
      </c>
      <c r="B187" t="s">
        <v>9591</v>
      </c>
      <c r="I187">
        <v>2</v>
      </c>
      <c r="K187">
        <v>60</v>
      </c>
      <c r="L187">
        <v>5</v>
      </c>
    </row>
    <row r="188" spans="1:12">
      <c r="A188" t="s">
        <v>7233</v>
      </c>
      <c r="B188" t="s">
        <v>9592</v>
      </c>
      <c r="I188">
        <v>2</v>
      </c>
      <c r="K188">
        <v>60</v>
      </c>
      <c r="L188">
        <v>5</v>
      </c>
    </row>
    <row r="189" spans="1:12">
      <c r="A189" t="s">
        <v>7249</v>
      </c>
      <c r="B189" t="s">
        <v>9593</v>
      </c>
      <c r="I189">
        <v>2</v>
      </c>
      <c r="K189">
        <v>60</v>
      </c>
      <c r="L189">
        <v>5</v>
      </c>
    </row>
    <row r="190" spans="1:12">
      <c r="A190" t="s">
        <v>7252</v>
      </c>
      <c r="B190" t="s">
        <v>9594</v>
      </c>
      <c r="I190">
        <v>2</v>
      </c>
      <c r="K190">
        <v>60</v>
      </c>
      <c r="L190">
        <v>5</v>
      </c>
    </row>
    <row r="191" spans="1:12">
      <c r="A191" t="s">
        <v>7260</v>
      </c>
      <c r="B191" t="s">
        <v>9595</v>
      </c>
      <c r="I191">
        <v>2</v>
      </c>
      <c r="K191">
        <v>60</v>
      </c>
      <c r="L191">
        <v>5</v>
      </c>
    </row>
    <row r="192" spans="1:12">
      <c r="A192" t="s">
        <v>7259</v>
      </c>
      <c r="B192" t="s">
        <v>9596</v>
      </c>
      <c r="H192">
        <v>2</v>
      </c>
      <c r="I192">
        <v>1</v>
      </c>
      <c r="K192">
        <v>60</v>
      </c>
      <c r="L192">
        <v>5</v>
      </c>
    </row>
    <row r="193" spans="1:12">
      <c r="A193" t="s">
        <v>9002</v>
      </c>
      <c r="B193" t="s">
        <v>9597</v>
      </c>
      <c r="I193">
        <v>2</v>
      </c>
      <c r="K193">
        <v>60</v>
      </c>
      <c r="L193">
        <v>5</v>
      </c>
    </row>
    <row r="194" spans="1:12">
      <c r="A194" t="s">
        <v>7293</v>
      </c>
      <c r="B194" t="s">
        <v>9598</v>
      </c>
      <c r="I194">
        <v>2</v>
      </c>
      <c r="K194">
        <v>60</v>
      </c>
      <c r="L194">
        <v>5</v>
      </c>
    </row>
    <row r="195" spans="1:12">
      <c r="A195" t="s">
        <v>7292</v>
      </c>
      <c r="B195" t="s">
        <v>9599</v>
      </c>
      <c r="I195">
        <v>2</v>
      </c>
      <c r="K195">
        <v>60</v>
      </c>
      <c r="L195">
        <v>5</v>
      </c>
    </row>
    <row r="196" spans="1:12">
      <c r="A196" t="s">
        <v>7299</v>
      </c>
      <c r="B196" t="s">
        <v>9600</v>
      </c>
      <c r="I196">
        <v>2</v>
      </c>
      <c r="K196">
        <v>60</v>
      </c>
      <c r="L196">
        <v>5</v>
      </c>
    </row>
    <row r="197" spans="1:12">
      <c r="A197" t="s">
        <v>7301</v>
      </c>
      <c r="B197" t="s">
        <v>9601</v>
      </c>
      <c r="I197">
        <v>2</v>
      </c>
      <c r="K197">
        <v>60</v>
      </c>
      <c r="L197">
        <v>5</v>
      </c>
    </row>
    <row r="198" spans="1:12">
      <c r="A198" t="s">
        <v>7300</v>
      </c>
      <c r="B198" t="s">
        <v>9602</v>
      </c>
      <c r="I198">
        <v>2</v>
      </c>
      <c r="K198">
        <v>60</v>
      </c>
      <c r="L198">
        <v>5</v>
      </c>
    </row>
    <row r="199" spans="1:12">
      <c r="A199" t="s">
        <v>9004</v>
      </c>
      <c r="B199" t="s">
        <v>9603</v>
      </c>
      <c r="I199">
        <v>2</v>
      </c>
      <c r="K199">
        <v>60</v>
      </c>
      <c r="L199">
        <v>5</v>
      </c>
    </row>
    <row r="200" spans="1:12">
      <c r="A200" t="s">
        <v>7312</v>
      </c>
      <c r="B200" t="s">
        <v>9604</v>
      </c>
      <c r="I200">
        <v>2</v>
      </c>
      <c r="K200">
        <v>60</v>
      </c>
      <c r="L200">
        <v>5</v>
      </c>
    </row>
    <row r="201" spans="1:12">
      <c r="A201" t="s">
        <v>9006</v>
      </c>
      <c r="B201" t="s">
        <v>9605</v>
      </c>
      <c r="I201">
        <v>2</v>
      </c>
      <c r="K201">
        <v>60</v>
      </c>
      <c r="L201">
        <v>5</v>
      </c>
    </row>
    <row r="202" spans="1:12">
      <c r="A202" t="s">
        <v>7271</v>
      </c>
      <c r="B202" t="s">
        <v>9606</v>
      </c>
      <c r="I202">
        <v>2</v>
      </c>
      <c r="K202">
        <v>60</v>
      </c>
      <c r="L202">
        <v>5</v>
      </c>
    </row>
    <row r="203" spans="1:12">
      <c r="A203" t="s">
        <v>7270</v>
      </c>
      <c r="B203" t="s">
        <v>9607</v>
      </c>
      <c r="I203">
        <v>2</v>
      </c>
      <c r="K203">
        <v>60</v>
      </c>
      <c r="L203">
        <v>0.2</v>
      </c>
    </row>
    <row r="204" spans="1:12">
      <c r="A204" t="s">
        <v>7280</v>
      </c>
      <c r="B204" t="s">
        <v>9608</v>
      </c>
      <c r="I204">
        <v>2</v>
      </c>
      <c r="K204">
        <v>60</v>
      </c>
      <c r="L204">
        <v>5</v>
      </c>
    </row>
    <row r="205" spans="1:12">
      <c r="A205" t="s">
        <v>7279</v>
      </c>
      <c r="B205" t="s">
        <v>9609</v>
      </c>
      <c r="I205">
        <v>2</v>
      </c>
      <c r="K205">
        <v>60</v>
      </c>
      <c r="L205">
        <v>0.2</v>
      </c>
    </row>
    <row r="206" spans="1:12">
      <c r="A206" t="s">
        <v>7325</v>
      </c>
      <c r="B206" t="s">
        <v>9610</v>
      </c>
      <c r="I206">
        <v>2</v>
      </c>
      <c r="K206">
        <v>60</v>
      </c>
      <c r="L206">
        <v>5</v>
      </c>
    </row>
    <row r="207" spans="1:12">
      <c r="A207" t="s">
        <v>7324</v>
      </c>
      <c r="B207" t="s">
        <v>9611</v>
      </c>
      <c r="I207">
        <v>2</v>
      </c>
      <c r="K207">
        <v>60</v>
      </c>
      <c r="L207">
        <v>0.2</v>
      </c>
    </row>
    <row r="208" spans="1:12">
      <c r="A208" t="s">
        <v>9007</v>
      </c>
      <c r="B208" t="s">
        <v>9612</v>
      </c>
      <c r="I208">
        <v>2</v>
      </c>
      <c r="K208">
        <v>60</v>
      </c>
      <c r="L208">
        <v>5</v>
      </c>
    </row>
    <row r="209" spans="1:12">
      <c r="A209" t="s">
        <v>9009</v>
      </c>
      <c r="B209" t="s">
        <v>9613</v>
      </c>
      <c r="I209">
        <v>2</v>
      </c>
      <c r="K209">
        <v>60</v>
      </c>
      <c r="L209">
        <v>5</v>
      </c>
    </row>
    <row r="210" spans="1:12">
      <c r="A210" t="s">
        <v>7372</v>
      </c>
      <c r="B210" t="s">
        <v>9614</v>
      </c>
      <c r="I210">
        <v>2</v>
      </c>
      <c r="K210">
        <v>60</v>
      </c>
      <c r="L210">
        <v>5</v>
      </c>
    </row>
    <row r="211" spans="1:12">
      <c r="A211" t="s">
        <v>9013</v>
      </c>
      <c r="B211" t="s">
        <v>9615</v>
      </c>
      <c r="D211" t="s">
        <v>9573</v>
      </c>
      <c r="I211">
        <v>2</v>
      </c>
      <c r="K211">
        <v>60</v>
      </c>
      <c r="L211">
        <v>5</v>
      </c>
    </row>
    <row r="212" spans="1:12">
      <c r="A212" t="s">
        <v>7395</v>
      </c>
      <c r="B212" t="s">
        <v>9616</v>
      </c>
      <c r="I212">
        <v>2</v>
      </c>
      <c r="K212">
        <v>60</v>
      </c>
      <c r="L212">
        <v>5</v>
      </c>
    </row>
    <row r="213" spans="1:12">
      <c r="A213" t="s">
        <v>7397</v>
      </c>
      <c r="B213" t="s">
        <v>9617</v>
      </c>
      <c r="D213" t="s">
        <v>9618</v>
      </c>
      <c r="I213">
        <v>2</v>
      </c>
      <c r="K213">
        <v>60</v>
      </c>
      <c r="L213">
        <v>5</v>
      </c>
    </row>
    <row r="214" spans="1:12">
      <c r="A214" t="s">
        <v>7400</v>
      </c>
      <c r="B214" t="s">
        <v>9619</v>
      </c>
      <c r="H214">
        <v>2</v>
      </c>
      <c r="I214">
        <v>2</v>
      </c>
      <c r="K214">
        <v>60</v>
      </c>
      <c r="L214">
        <v>5</v>
      </c>
    </row>
    <row r="215" spans="1:12">
      <c r="A215" t="s">
        <v>7408</v>
      </c>
      <c r="B215" t="s">
        <v>9620</v>
      </c>
      <c r="I215">
        <v>2</v>
      </c>
      <c r="K215">
        <v>60</v>
      </c>
      <c r="L215">
        <v>5</v>
      </c>
    </row>
    <row r="216" spans="1:12">
      <c r="A216" t="s">
        <v>7407</v>
      </c>
      <c r="B216" t="s">
        <v>9621</v>
      </c>
      <c r="I216">
        <v>2</v>
      </c>
      <c r="K216">
        <v>60</v>
      </c>
      <c r="L216">
        <v>5</v>
      </c>
    </row>
    <row r="217" spans="1:12">
      <c r="A217" t="s">
        <v>9019</v>
      </c>
      <c r="B217" t="s">
        <v>9622</v>
      </c>
      <c r="I217">
        <v>2</v>
      </c>
      <c r="K217">
        <v>60</v>
      </c>
      <c r="L217">
        <v>5</v>
      </c>
    </row>
    <row r="218" spans="1:12">
      <c r="A218" t="s">
        <v>7434</v>
      </c>
      <c r="B218" t="s">
        <v>9623</v>
      </c>
      <c r="I218">
        <v>2</v>
      </c>
      <c r="K218">
        <v>60</v>
      </c>
      <c r="L218">
        <v>5</v>
      </c>
    </row>
    <row r="219" spans="1:12">
      <c r="A219" t="s">
        <v>7443</v>
      </c>
      <c r="B219" t="s">
        <v>9624</v>
      </c>
      <c r="I219">
        <v>2</v>
      </c>
      <c r="K219">
        <v>60</v>
      </c>
      <c r="L219">
        <v>5</v>
      </c>
    </row>
    <row r="220" spans="1:12">
      <c r="A220" t="s">
        <v>7448</v>
      </c>
      <c r="B220" t="s">
        <v>9625</v>
      </c>
      <c r="I220">
        <v>2</v>
      </c>
      <c r="K220">
        <v>60</v>
      </c>
      <c r="L220">
        <v>5</v>
      </c>
    </row>
    <row r="221" spans="1:12">
      <c r="A221" t="s">
        <v>7447</v>
      </c>
      <c r="B221" t="s">
        <v>9626</v>
      </c>
      <c r="I221">
        <v>2</v>
      </c>
      <c r="K221">
        <v>60</v>
      </c>
      <c r="L221">
        <v>5</v>
      </c>
    </row>
    <row r="222" spans="1:12">
      <c r="A222" t="s">
        <v>7466</v>
      </c>
      <c r="B222" t="s">
        <v>9627</v>
      </c>
      <c r="J222">
        <v>2</v>
      </c>
      <c r="L222">
        <v>60</v>
      </c>
    </row>
    <row r="223" spans="1:12">
      <c r="A223" t="s">
        <v>7469</v>
      </c>
      <c r="B223" t="s">
        <v>9628</v>
      </c>
      <c r="I223">
        <v>2</v>
      </c>
      <c r="K223">
        <v>60</v>
      </c>
      <c r="L223">
        <v>5</v>
      </c>
    </row>
    <row r="224" spans="1:12">
      <c r="A224" t="s">
        <v>7476</v>
      </c>
      <c r="B224" t="s">
        <v>9629</v>
      </c>
      <c r="J224">
        <v>2</v>
      </c>
      <c r="L224">
        <v>30</v>
      </c>
    </row>
    <row r="225" spans="1:12">
      <c r="A225" t="s">
        <v>7488</v>
      </c>
      <c r="B225" t="s">
        <v>9630</v>
      </c>
      <c r="I225">
        <v>2</v>
      </c>
      <c r="K225">
        <v>60</v>
      </c>
      <c r="L225">
        <v>40</v>
      </c>
    </row>
    <row r="226" spans="1:12">
      <c r="A226" t="s">
        <v>7491</v>
      </c>
      <c r="B226" t="s">
        <v>9631</v>
      </c>
      <c r="I226">
        <v>2</v>
      </c>
      <c r="K226">
        <v>60</v>
      </c>
      <c r="L226">
        <v>5</v>
      </c>
    </row>
    <row r="227" spans="1:12">
      <c r="A227" t="s">
        <v>7490</v>
      </c>
      <c r="B227" t="s">
        <v>9632</v>
      </c>
      <c r="I227">
        <v>2</v>
      </c>
      <c r="K227">
        <v>60</v>
      </c>
      <c r="L227">
        <v>0.2</v>
      </c>
    </row>
    <row r="228" spans="1:9">
      <c r="A228" t="s">
        <v>9032</v>
      </c>
      <c r="B228" t="s">
        <v>9633</v>
      </c>
      <c r="E228" t="s">
        <v>7130</v>
      </c>
      <c r="F228">
        <v>1</v>
      </c>
      <c r="H228">
        <v>2</v>
      </c>
      <c r="I228">
        <v>1</v>
      </c>
    </row>
    <row r="229" spans="1:12">
      <c r="A229" t="s">
        <v>7500</v>
      </c>
      <c r="B229" t="s">
        <v>9634</v>
      </c>
      <c r="I229">
        <v>2</v>
      </c>
      <c r="K229">
        <v>60</v>
      </c>
      <c r="L229">
        <v>5</v>
      </c>
    </row>
    <row r="230" spans="1:12">
      <c r="A230" t="s">
        <v>7499</v>
      </c>
      <c r="B230" t="s">
        <v>9635</v>
      </c>
      <c r="I230">
        <v>2</v>
      </c>
      <c r="K230">
        <v>60</v>
      </c>
      <c r="L230">
        <v>5</v>
      </c>
    </row>
    <row r="231" spans="1:12">
      <c r="A231" t="s">
        <v>7504</v>
      </c>
      <c r="B231" t="s">
        <v>9636</v>
      </c>
      <c r="I231">
        <v>2</v>
      </c>
      <c r="K231">
        <v>60</v>
      </c>
      <c r="L231">
        <v>5</v>
      </c>
    </row>
    <row r="232" spans="1:12">
      <c r="A232" t="s">
        <v>7514</v>
      </c>
      <c r="B232" t="s">
        <v>9637</v>
      </c>
      <c r="I232">
        <v>2</v>
      </c>
      <c r="K232">
        <v>60</v>
      </c>
      <c r="L232">
        <v>5</v>
      </c>
    </row>
    <row r="233" spans="1:12">
      <c r="A233" t="s">
        <v>7513</v>
      </c>
      <c r="B233" t="s">
        <v>9638</v>
      </c>
      <c r="I233">
        <v>2</v>
      </c>
      <c r="K233">
        <v>60</v>
      </c>
      <c r="L233">
        <v>5</v>
      </c>
    </row>
    <row r="234" spans="1:12">
      <c r="A234" t="s">
        <v>9037</v>
      </c>
      <c r="B234" t="s">
        <v>9639</v>
      </c>
      <c r="I234">
        <v>2</v>
      </c>
      <c r="K234">
        <v>60</v>
      </c>
      <c r="L234">
        <v>40</v>
      </c>
    </row>
    <row r="235" spans="1:12">
      <c r="A235" t="s">
        <v>7521</v>
      </c>
      <c r="B235" t="s">
        <v>9640</v>
      </c>
      <c r="I235">
        <v>2</v>
      </c>
      <c r="K235">
        <v>60</v>
      </c>
      <c r="L235">
        <v>5</v>
      </c>
    </row>
    <row r="236" spans="1:12">
      <c r="A236" t="s">
        <v>7520</v>
      </c>
      <c r="B236" t="s">
        <v>9641</v>
      </c>
      <c r="I236">
        <v>2</v>
      </c>
      <c r="K236">
        <v>60</v>
      </c>
      <c r="L236">
        <v>5</v>
      </c>
    </row>
    <row r="237" spans="1:12">
      <c r="A237" t="s">
        <v>7526</v>
      </c>
      <c r="B237" t="s">
        <v>9642</v>
      </c>
      <c r="I237">
        <v>2</v>
      </c>
      <c r="K237">
        <v>60</v>
      </c>
      <c r="L237">
        <v>5</v>
      </c>
    </row>
    <row r="238" spans="1:12">
      <c r="A238" t="s">
        <v>7525</v>
      </c>
      <c r="B238" t="s">
        <v>9643</v>
      </c>
      <c r="I238">
        <v>2</v>
      </c>
      <c r="K238">
        <v>60</v>
      </c>
      <c r="L238">
        <v>5</v>
      </c>
    </row>
    <row r="239" spans="1:12">
      <c r="A239" t="s">
        <v>7528</v>
      </c>
      <c r="B239" t="s">
        <v>9644</v>
      </c>
      <c r="I239">
        <v>2</v>
      </c>
      <c r="K239">
        <v>60</v>
      </c>
      <c r="L239">
        <v>5</v>
      </c>
    </row>
    <row r="240" spans="1:12">
      <c r="A240" t="s">
        <v>7527</v>
      </c>
      <c r="B240" t="s">
        <v>9645</v>
      </c>
      <c r="I240">
        <v>2</v>
      </c>
      <c r="K240">
        <v>60</v>
      </c>
      <c r="L240">
        <v>5</v>
      </c>
    </row>
    <row r="241" spans="1:12">
      <c r="A241" t="s">
        <v>9039</v>
      </c>
      <c r="B241" t="s">
        <v>9646</v>
      </c>
      <c r="I241">
        <v>2</v>
      </c>
      <c r="K241">
        <v>60</v>
      </c>
      <c r="L241">
        <v>40</v>
      </c>
    </row>
    <row r="242" spans="1:9">
      <c r="A242" t="s">
        <v>9041</v>
      </c>
      <c r="B242" t="s">
        <v>9647</v>
      </c>
      <c r="E242" t="s">
        <v>9648</v>
      </c>
      <c r="F242">
        <v>1</v>
      </c>
      <c r="H242">
        <v>2</v>
      </c>
      <c r="I242">
        <v>1</v>
      </c>
    </row>
    <row r="243" spans="1:9">
      <c r="A243" t="s">
        <v>9043</v>
      </c>
      <c r="B243" t="s">
        <v>9649</v>
      </c>
      <c r="E243" t="s">
        <v>9560</v>
      </c>
      <c r="F243">
        <v>1</v>
      </c>
      <c r="H243">
        <v>2</v>
      </c>
      <c r="I243">
        <v>1</v>
      </c>
    </row>
    <row r="244" spans="1:12">
      <c r="A244" t="s">
        <v>7538</v>
      </c>
      <c r="B244" t="s">
        <v>9650</v>
      </c>
      <c r="I244">
        <v>2</v>
      </c>
      <c r="K244">
        <v>60</v>
      </c>
      <c r="L244">
        <v>40</v>
      </c>
    </row>
    <row r="245" spans="1:12">
      <c r="A245" t="s">
        <v>7541</v>
      </c>
      <c r="B245" t="s">
        <v>9651</v>
      </c>
      <c r="I245">
        <v>2</v>
      </c>
      <c r="K245">
        <v>60</v>
      </c>
      <c r="L245">
        <v>5</v>
      </c>
    </row>
    <row r="246" spans="1:12">
      <c r="A246" t="s">
        <v>7540</v>
      </c>
      <c r="B246" t="s">
        <v>9652</v>
      </c>
      <c r="D246" t="s">
        <v>9573</v>
      </c>
      <c r="I246">
        <v>2</v>
      </c>
      <c r="K246">
        <v>60</v>
      </c>
      <c r="L246">
        <v>0.2</v>
      </c>
    </row>
    <row r="247" spans="1:12">
      <c r="A247" t="s">
        <v>7545</v>
      </c>
      <c r="B247" t="s">
        <v>9653</v>
      </c>
      <c r="I247">
        <v>2</v>
      </c>
      <c r="K247">
        <v>60</v>
      </c>
      <c r="L247">
        <v>5</v>
      </c>
    </row>
    <row r="248" spans="1:12">
      <c r="A248" t="s">
        <v>7544</v>
      </c>
      <c r="B248" t="s">
        <v>9654</v>
      </c>
      <c r="I248">
        <v>2</v>
      </c>
      <c r="K248">
        <v>60</v>
      </c>
      <c r="L248">
        <v>5</v>
      </c>
    </row>
    <row r="249" spans="1:9">
      <c r="A249" t="s">
        <v>9046</v>
      </c>
      <c r="B249" t="s">
        <v>9655</v>
      </c>
      <c r="E249" t="s">
        <v>9656</v>
      </c>
      <c r="F249">
        <v>1</v>
      </c>
      <c r="H249">
        <v>2</v>
      </c>
      <c r="I249">
        <v>1</v>
      </c>
    </row>
    <row r="250" spans="1:12">
      <c r="A250" t="s">
        <v>9047</v>
      </c>
      <c r="B250" t="s">
        <v>9657</v>
      </c>
      <c r="I250">
        <v>2</v>
      </c>
      <c r="K250">
        <v>60</v>
      </c>
      <c r="L250">
        <v>40</v>
      </c>
    </row>
    <row r="251" spans="1:12">
      <c r="A251" t="s">
        <v>7562</v>
      </c>
      <c r="B251" t="s">
        <v>9658</v>
      </c>
      <c r="E251" t="s">
        <v>4277</v>
      </c>
      <c r="I251">
        <v>2</v>
      </c>
      <c r="K251">
        <v>60</v>
      </c>
      <c r="L251">
        <v>5</v>
      </c>
    </row>
    <row r="252" spans="1:12">
      <c r="A252" t="s">
        <v>7575</v>
      </c>
      <c r="B252" t="s">
        <v>9659</v>
      </c>
      <c r="I252">
        <v>2</v>
      </c>
      <c r="K252">
        <v>60</v>
      </c>
      <c r="L252">
        <v>5</v>
      </c>
    </row>
    <row r="253" spans="1:9">
      <c r="A253" t="s">
        <v>9036</v>
      </c>
      <c r="B253" t="s">
        <v>9660</v>
      </c>
      <c r="E253" t="s">
        <v>9661</v>
      </c>
      <c r="F253">
        <v>1</v>
      </c>
      <c r="H253">
        <v>2</v>
      </c>
      <c r="I253">
        <v>1</v>
      </c>
    </row>
    <row r="254" spans="1:12">
      <c r="A254" t="s">
        <v>7584</v>
      </c>
      <c r="B254" t="s">
        <v>9662</v>
      </c>
      <c r="I254">
        <v>2</v>
      </c>
      <c r="K254">
        <v>60</v>
      </c>
      <c r="L254">
        <v>5</v>
      </c>
    </row>
    <row r="255" spans="1:12">
      <c r="A255" t="s">
        <v>7583</v>
      </c>
      <c r="B255" t="s">
        <v>9663</v>
      </c>
      <c r="I255">
        <v>2</v>
      </c>
      <c r="K255">
        <v>60</v>
      </c>
      <c r="L255">
        <v>5</v>
      </c>
    </row>
    <row r="256" spans="1:12">
      <c r="A256" t="s">
        <v>7588</v>
      </c>
      <c r="B256" t="s">
        <v>9664</v>
      </c>
      <c r="I256">
        <v>2</v>
      </c>
      <c r="K256">
        <v>60</v>
      </c>
      <c r="L256">
        <v>5</v>
      </c>
    </row>
    <row r="257" spans="1:12">
      <c r="A257" t="s">
        <v>7595</v>
      </c>
      <c r="B257" t="s">
        <v>9665</v>
      </c>
      <c r="I257">
        <v>2</v>
      </c>
      <c r="K257">
        <v>60</v>
      </c>
      <c r="L257">
        <v>5</v>
      </c>
    </row>
    <row r="258" spans="1:12">
      <c r="A258" t="s">
        <v>7594</v>
      </c>
      <c r="B258" t="s">
        <v>9666</v>
      </c>
      <c r="I258">
        <v>2</v>
      </c>
      <c r="K258">
        <v>60</v>
      </c>
      <c r="L258">
        <v>5</v>
      </c>
    </row>
    <row r="259" spans="1:12">
      <c r="A259" t="s">
        <v>7603</v>
      </c>
      <c r="B259" t="s">
        <v>9667</v>
      </c>
      <c r="I259">
        <v>2</v>
      </c>
      <c r="K259">
        <v>60</v>
      </c>
      <c r="L259">
        <v>5</v>
      </c>
    </row>
    <row r="260" spans="1:12">
      <c r="A260" t="s">
        <v>7602</v>
      </c>
      <c r="B260" t="s">
        <v>9668</v>
      </c>
      <c r="I260">
        <v>2</v>
      </c>
      <c r="K260">
        <v>60</v>
      </c>
      <c r="L260">
        <v>5</v>
      </c>
    </row>
    <row r="261" spans="1:12">
      <c r="A261" t="s">
        <v>7608</v>
      </c>
      <c r="B261" t="s">
        <v>9669</v>
      </c>
      <c r="I261">
        <v>2</v>
      </c>
      <c r="K261">
        <v>60</v>
      </c>
      <c r="L261">
        <v>5</v>
      </c>
    </row>
    <row r="262" spans="1:12">
      <c r="A262" t="s">
        <v>7607</v>
      </c>
      <c r="B262" t="s">
        <v>9670</v>
      </c>
      <c r="I262">
        <v>2</v>
      </c>
      <c r="K262">
        <v>60</v>
      </c>
      <c r="L262">
        <v>5</v>
      </c>
    </row>
    <row r="263" spans="1:12">
      <c r="A263" t="s">
        <v>7623</v>
      </c>
      <c r="B263" t="s">
        <v>9671</v>
      </c>
      <c r="I263">
        <v>2</v>
      </c>
      <c r="K263">
        <v>60</v>
      </c>
      <c r="L263">
        <v>5</v>
      </c>
    </row>
    <row r="264" spans="1:12">
      <c r="A264" t="s">
        <v>7624</v>
      </c>
      <c r="B264" t="s">
        <v>9672</v>
      </c>
      <c r="I264">
        <v>2</v>
      </c>
      <c r="K264">
        <v>60</v>
      </c>
      <c r="L264">
        <v>5</v>
      </c>
    </row>
    <row r="265" spans="1:12">
      <c r="A265" t="s">
        <v>7636</v>
      </c>
      <c r="B265" t="s">
        <v>9673</v>
      </c>
      <c r="I265">
        <v>2</v>
      </c>
      <c r="K265">
        <v>60</v>
      </c>
      <c r="L265">
        <v>5</v>
      </c>
    </row>
    <row r="266" spans="1:12">
      <c r="A266" t="s">
        <v>7635</v>
      </c>
      <c r="B266" t="s">
        <v>9674</v>
      </c>
      <c r="I266">
        <v>2</v>
      </c>
      <c r="K266">
        <v>60</v>
      </c>
      <c r="L266">
        <v>0.5</v>
      </c>
    </row>
    <row r="267" spans="1:12">
      <c r="A267" t="s">
        <v>7638</v>
      </c>
      <c r="B267" t="s">
        <v>9675</v>
      </c>
      <c r="I267">
        <v>2</v>
      </c>
      <c r="K267">
        <v>60</v>
      </c>
      <c r="L267">
        <v>30</v>
      </c>
    </row>
    <row r="268" spans="1:12">
      <c r="A268" t="s">
        <v>7637</v>
      </c>
      <c r="B268" t="s">
        <v>9676</v>
      </c>
      <c r="I268">
        <v>2</v>
      </c>
      <c r="K268">
        <v>60</v>
      </c>
      <c r="L268">
        <v>5</v>
      </c>
    </row>
    <row r="269" spans="1:12">
      <c r="A269" t="s">
        <v>7643</v>
      </c>
      <c r="B269" t="s">
        <v>9677</v>
      </c>
      <c r="I269">
        <v>2</v>
      </c>
      <c r="K269">
        <v>60</v>
      </c>
      <c r="L269">
        <v>5</v>
      </c>
    </row>
    <row r="270" spans="1:12">
      <c r="A270" t="s">
        <v>7653</v>
      </c>
      <c r="B270" t="s">
        <v>9678</v>
      </c>
      <c r="D270" t="s">
        <v>9469</v>
      </c>
      <c r="I270">
        <v>2</v>
      </c>
      <c r="K270">
        <v>60</v>
      </c>
      <c r="L270">
        <v>5</v>
      </c>
    </row>
    <row r="271" spans="1:12">
      <c r="A271" t="s">
        <v>7654</v>
      </c>
      <c r="B271" t="s">
        <v>9679</v>
      </c>
      <c r="I271">
        <v>2</v>
      </c>
      <c r="K271">
        <v>60</v>
      </c>
      <c r="L271">
        <v>5</v>
      </c>
    </row>
    <row r="272" spans="1:12">
      <c r="A272" t="s">
        <v>7655</v>
      </c>
      <c r="B272" t="s">
        <v>9680</v>
      </c>
      <c r="I272">
        <v>2</v>
      </c>
      <c r="K272">
        <v>90</v>
      </c>
      <c r="L272">
        <v>1.5</v>
      </c>
    </row>
    <row r="273" spans="1:12">
      <c r="A273" t="s">
        <v>7659</v>
      </c>
      <c r="B273" t="s">
        <v>9681</v>
      </c>
      <c r="I273">
        <v>2</v>
      </c>
      <c r="K273">
        <v>60</v>
      </c>
      <c r="L273">
        <v>5</v>
      </c>
    </row>
    <row r="274" spans="1:12">
      <c r="A274" t="s">
        <v>7658</v>
      </c>
      <c r="B274" t="s">
        <v>9682</v>
      </c>
      <c r="I274">
        <v>2</v>
      </c>
      <c r="K274">
        <v>60</v>
      </c>
      <c r="L274">
        <v>5</v>
      </c>
    </row>
    <row r="275" spans="1:12">
      <c r="A275" t="s">
        <v>7672</v>
      </c>
      <c r="B275" t="s">
        <v>9683</v>
      </c>
      <c r="I275">
        <v>2</v>
      </c>
      <c r="K275">
        <v>60</v>
      </c>
      <c r="L275">
        <v>2</v>
      </c>
    </row>
    <row r="276" spans="1:12">
      <c r="A276" t="s">
        <v>7677</v>
      </c>
      <c r="B276" t="s">
        <v>9684</v>
      </c>
      <c r="I276">
        <v>2</v>
      </c>
      <c r="K276">
        <v>60</v>
      </c>
      <c r="L276">
        <v>5</v>
      </c>
    </row>
    <row r="277" spans="1:12">
      <c r="A277" t="s">
        <v>7685</v>
      </c>
      <c r="B277" t="s">
        <v>9685</v>
      </c>
      <c r="I277">
        <v>2</v>
      </c>
      <c r="K277">
        <v>60</v>
      </c>
      <c r="L277">
        <v>5</v>
      </c>
    </row>
    <row r="278" spans="1:12">
      <c r="A278" t="s">
        <v>7686</v>
      </c>
      <c r="B278" t="s">
        <v>9686</v>
      </c>
      <c r="I278">
        <v>2</v>
      </c>
      <c r="K278">
        <v>60</v>
      </c>
      <c r="L278">
        <v>5</v>
      </c>
    </row>
    <row r="279" spans="1:12">
      <c r="A279" t="s">
        <v>9050</v>
      </c>
      <c r="B279" t="s">
        <v>9687</v>
      </c>
      <c r="I279">
        <v>2</v>
      </c>
      <c r="K279">
        <v>60</v>
      </c>
      <c r="L279">
        <v>40</v>
      </c>
    </row>
    <row r="280" spans="1:12">
      <c r="A280" t="s">
        <v>7708</v>
      </c>
      <c r="B280" t="s">
        <v>9688</v>
      </c>
      <c r="I280">
        <v>2</v>
      </c>
      <c r="K280">
        <v>60</v>
      </c>
      <c r="L280">
        <v>5</v>
      </c>
    </row>
    <row r="281" spans="1:12">
      <c r="A281" t="s">
        <v>7707</v>
      </c>
      <c r="B281" t="s">
        <v>9689</v>
      </c>
      <c r="I281">
        <v>2</v>
      </c>
      <c r="K281">
        <v>60</v>
      </c>
      <c r="L281">
        <v>5</v>
      </c>
    </row>
    <row r="282" spans="1:12">
      <c r="A282" t="s">
        <v>7720</v>
      </c>
      <c r="B282" t="s">
        <v>9690</v>
      </c>
      <c r="I282">
        <v>2</v>
      </c>
      <c r="K282">
        <v>60</v>
      </c>
      <c r="L282">
        <v>5</v>
      </c>
    </row>
    <row r="283" spans="1:12">
      <c r="A283" t="s">
        <v>7719</v>
      </c>
      <c r="B283" t="s">
        <v>9691</v>
      </c>
      <c r="I283">
        <v>2</v>
      </c>
      <c r="K283">
        <v>60</v>
      </c>
      <c r="L283">
        <v>5</v>
      </c>
    </row>
    <row r="284" spans="1:12">
      <c r="A284" t="s">
        <v>9052</v>
      </c>
      <c r="B284" t="s">
        <v>9692</v>
      </c>
      <c r="D284" t="s">
        <v>9573</v>
      </c>
      <c r="I284">
        <v>2</v>
      </c>
      <c r="K284">
        <v>60</v>
      </c>
      <c r="L284">
        <v>40</v>
      </c>
    </row>
    <row r="285" spans="1:12">
      <c r="A285" t="s">
        <v>7729</v>
      </c>
      <c r="B285" t="s">
        <v>9693</v>
      </c>
      <c r="I285">
        <v>2</v>
      </c>
      <c r="K285">
        <v>60</v>
      </c>
      <c r="L285">
        <v>5</v>
      </c>
    </row>
    <row r="286" spans="1:12">
      <c r="A286" t="s">
        <v>7728</v>
      </c>
      <c r="B286" t="s">
        <v>9694</v>
      </c>
      <c r="I286">
        <v>2</v>
      </c>
      <c r="K286">
        <v>60</v>
      </c>
      <c r="L286">
        <v>5</v>
      </c>
    </row>
    <row r="287" spans="1:12">
      <c r="A287" t="s">
        <v>9055</v>
      </c>
      <c r="B287" t="s">
        <v>9695</v>
      </c>
      <c r="E287" t="s">
        <v>3410</v>
      </c>
      <c r="I287">
        <v>2</v>
      </c>
      <c r="K287">
        <v>60</v>
      </c>
      <c r="L287">
        <v>40</v>
      </c>
    </row>
    <row r="288" spans="1:12">
      <c r="A288" t="s">
        <v>7739</v>
      </c>
      <c r="B288" t="s">
        <v>9696</v>
      </c>
      <c r="I288">
        <v>0</v>
      </c>
      <c r="K288">
        <v>60</v>
      </c>
      <c r="L288">
        <v>5</v>
      </c>
    </row>
    <row r="289" spans="1:12">
      <c r="A289" t="s">
        <v>7741</v>
      </c>
      <c r="B289" t="s">
        <v>9697</v>
      </c>
      <c r="I289">
        <v>2</v>
      </c>
      <c r="K289">
        <v>60</v>
      </c>
      <c r="L289">
        <v>5</v>
      </c>
    </row>
    <row r="290" spans="1:12">
      <c r="A290" t="s">
        <v>7757</v>
      </c>
      <c r="B290" t="s">
        <v>9698</v>
      </c>
      <c r="I290">
        <v>2</v>
      </c>
      <c r="K290">
        <v>60</v>
      </c>
      <c r="L290">
        <v>40</v>
      </c>
    </row>
    <row r="291" spans="1:12">
      <c r="A291" t="s">
        <v>7755</v>
      </c>
      <c r="B291" t="s">
        <v>9699</v>
      </c>
      <c r="I291">
        <v>2</v>
      </c>
      <c r="K291">
        <v>60</v>
      </c>
      <c r="L291">
        <v>5</v>
      </c>
    </row>
    <row r="292" spans="1:12">
      <c r="A292" t="s">
        <v>7756</v>
      </c>
      <c r="B292" t="s">
        <v>9700</v>
      </c>
      <c r="I292">
        <v>2</v>
      </c>
      <c r="K292">
        <v>60</v>
      </c>
      <c r="L292">
        <v>5</v>
      </c>
    </row>
    <row r="293" spans="1:12">
      <c r="A293" t="s">
        <v>7762</v>
      </c>
      <c r="B293" t="s">
        <v>9701</v>
      </c>
      <c r="I293">
        <v>2</v>
      </c>
      <c r="K293">
        <v>60</v>
      </c>
      <c r="L293">
        <v>5</v>
      </c>
    </row>
    <row r="294" spans="1:12">
      <c r="A294" t="s">
        <v>7761</v>
      </c>
      <c r="B294" t="s">
        <v>9702</v>
      </c>
      <c r="I294">
        <v>2</v>
      </c>
      <c r="K294">
        <v>60</v>
      </c>
      <c r="L294">
        <v>5</v>
      </c>
    </row>
    <row r="295" spans="1:12">
      <c r="A295" t="s">
        <v>9062</v>
      </c>
      <c r="B295" t="s">
        <v>9703</v>
      </c>
      <c r="J295">
        <v>2</v>
      </c>
      <c r="L295">
        <v>40</v>
      </c>
    </row>
    <row r="296" spans="1:12">
      <c r="A296" t="s">
        <v>7775</v>
      </c>
      <c r="B296" t="s">
        <v>9704</v>
      </c>
      <c r="I296">
        <v>2</v>
      </c>
      <c r="K296">
        <v>60</v>
      </c>
      <c r="L296">
        <v>5</v>
      </c>
    </row>
    <row r="297" spans="1:12">
      <c r="A297" t="s">
        <v>7777</v>
      </c>
      <c r="B297" t="s">
        <v>9705</v>
      </c>
      <c r="I297">
        <v>2</v>
      </c>
      <c r="K297">
        <v>60</v>
      </c>
      <c r="L297">
        <v>5</v>
      </c>
    </row>
    <row r="298" spans="1:12">
      <c r="A298" t="s">
        <v>9706</v>
      </c>
      <c r="B298" t="s">
        <v>9707</v>
      </c>
      <c r="I298">
        <v>2</v>
      </c>
      <c r="K298">
        <v>60</v>
      </c>
      <c r="L298">
        <v>5</v>
      </c>
    </row>
    <row r="299" spans="1:12">
      <c r="A299" t="s">
        <v>9708</v>
      </c>
      <c r="B299" t="s">
        <v>9709</v>
      </c>
      <c r="I299">
        <v>2</v>
      </c>
      <c r="K299">
        <v>60</v>
      </c>
      <c r="L299">
        <v>5</v>
      </c>
    </row>
    <row r="300" spans="1:12">
      <c r="A300" t="s">
        <v>7796</v>
      </c>
      <c r="B300" t="s">
        <v>9710</v>
      </c>
      <c r="I300">
        <v>2</v>
      </c>
      <c r="K300">
        <v>60</v>
      </c>
      <c r="L300">
        <v>5</v>
      </c>
    </row>
    <row r="301" spans="1:12">
      <c r="A301" t="s">
        <v>7795</v>
      </c>
      <c r="B301" t="s">
        <v>9711</v>
      </c>
      <c r="E301" t="s">
        <v>4277</v>
      </c>
      <c r="I301">
        <v>2</v>
      </c>
      <c r="K301">
        <v>60</v>
      </c>
      <c r="L301">
        <v>5</v>
      </c>
    </row>
    <row r="302" spans="1:12">
      <c r="A302" t="s">
        <v>9065</v>
      </c>
      <c r="B302" t="s">
        <v>9712</v>
      </c>
      <c r="D302" t="s">
        <v>9713</v>
      </c>
      <c r="E302" t="s">
        <v>9656</v>
      </c>
      <c r="F302">
        <v>1</v>
      </c>
      <c r="G302">
        <v>1</v>
      </c>
      <c r="H302">
        <v>2</v>
      </c>
      <c r="I302">
        <v>1</v>
      </c>
      <c r="K302">
        <v>60</v>
      </c>
      <c r="L302">
        <v>5</v>
      </c>
    </row>
    <row r="303" spans="1:12">
      <c r="A303" t="s">
        <v>7809</v>
      </c>
      <c r="B303" t="s">
        <v>9714</v>
      </c>
      <c r="I303">
        <v>2</v>
      </c>
      <c r="K303">
        <v>60</v>
      </c>
      <c r="L303">
        <v>5</v>
      </c>
    </row>
    <row r="304" spans="1:12">
      <c r="A304" t="s">
        <v>7817</v>
      </c>
      <c r="B304" t="s">
        <v>9715</v>
      </c>
      <c r="I304">
        <v>2</v>
      </c>
      <c r="K304">
        <v>60</v>
      </c>
      <c r="L304">
        <v>5</v>
      </c>
    </row>
    <row r="305" spans="1:12">
      <c r="A305" t="s">
        <v>7816</v>
      </c>
      <c r="B305" t="s">
        <v>9716</v>
      </c>
      <c r="I305">
        <v>2</v>
      </c>
      <c r="K305">
        <v>60</v>
      </c>
      <c r="L305">
        <v>5</v>
      </c>
    </row>
    <row r="306" spans="1:12">
      <c r="A306" t="s">
        <v>7829</v>
      </c>
      <c r="B306" t="s">
        <v>9717</v>
      </c>
      <c r="I306">
        <v>2</v>
      </c>
      <c r="K306">
        <v>60</v>
      </c>
      <c r="L306">
        <v>1</v>
      </c>
    </row>
    <row r="307" spans="1:12">
      <c r="A307" t="s">
        <v>7830</v>
      </c>
      <c r="B307" t="s">
        <v>9718</v>
      </c>
      <c r="I307">
        <v>2</v>
      </c>
      <c r="K307">
        <v>0</v>
      </c>
      <c r="L307">
        <v>5</v>
      </c>
    </row>
    <row r="308" spans="1:12">
      <c r="A308" t="s">
        <v>7833</v>
      </c>
      <c r="B308" t="s">
        <v>9719</v>
      </c>
      <c r="I308">
        <v>2</v>
      </c>
      <c r="K308">
        <v>60</v>
      </c>
      <c r="L308">
        <v>5</v>
      </c>
    </row>
    <row r="309" spans="1:12">
      <c r="A309" t="s">
        <v>9720</v>
      </c>
      <c r="B309" t="s">
        <v>9721</v>
      </c>
      <c r="H309">
        <v>2</v>
      </c>
      <c r="J309">
        <v>2</v>
      </c>
      <c r="K309">
        <v>60</v>
      </c>
      <c r="L309">
        <v>40</v>
      </c>
    </row>
    <row r="310" spans="1:12">
      <c r="A310" t="s">
        <v>7843</v>
      </c>
      <c r="B310" t="s">
        <v>9722</v>
      </c>
      <c r="I310">
        <v>2</v>
      </c>
      <c r="K310">
        <v>60</v>
      </c>
      <c r="L310">
        <v>0.5</v>
      </c>
    </row>
    <row r="311" spans="1:12">
      <c r="A311" t="s">
        <v>7842</v>
      </c>
      <c r="B311" t="s">
        <v>9723</v>
      </c>
      <c r="I311">
        <v>2</v>
      </c>
      <c r="K311">
        <v>60</v>
      </c>
      <c r="L311">
        <v>5</v>
      </c>
    </row>
    <row r="312" spans="1:12">
      <c r="A312" t="s">
        <v>7850</v>
      </c>
      <c r="B312" t="s">
        <v>9724</v>
      </c>
      <c r="I312">
        <v>2</v>
      </c>
      <c r="K312">
        <v>60</v>
      </c>
      <c r="L312">
        <v>0.5</v>
      </c>
    </row>
    <row r="313" spans="1:12">
      <c r="A313" t="s">
        <v>7854</v>
      </c>
      <c r="B313" t="s">
        <v>9725</v>
      </c>
      <c r="I313">
        <v>2</v>
      </c>
      <c r="K313">
        <v>60</v>
      </c>
      <c r="L313">
        <v>5</v>
      </c>
    </row>
    <row r="314" spans="1:12">
      <c r="A314" t="s">
        <v>7863</v>
      </c>
      <c r="B314" t="s">
        <v>9726</v>
      </c>
      <c r="J314">
        <v>2</v>
      </c>
      <c r="L314">
        <v>40</v>
      </c>
    </row>
    <row r="315" spans="1:12">
      <c r="A315" t="s">
        <v>7870</v>
      </c>
      <c r="B315" t="s">
        <v>9727</v>
      </c>
      <c r="J315">
        <v>2</v>
      </c>
      <c r="L315">
        <v>40</v>
      </c>
    </row>
    <row r="316" spans="1:12">
      <c r="A316" t="s">
        <v>7862</v>
      </c>
      <c r="B316" t="s">
        <v>9728</v>
      </c>
      <c r="I316">
        <v>2</v>
      </c>
      <c r="K316">
        <v>60</v>
      </c>
      <c r="L316">
        <v>1</v>
      </c>
    </row>
    <row r="317" spans="1:12">
      <c r="A317" t="s">
        <v>7873</v>
      </c>
      <c r="B317" t="s">
        <v>9729</v>
      </c>
      <c r="I317">
        <v>2</v>
      </c>
      <c r="K317">
        <v>60</v>
      </c>
      <c r="L317">
        <v>5</v>
      </c>
    </row>
    <row r="318" spans="1:12">
      <c r="A318" t="s">
        <v>7872</v>
      </c>
      <c r="B318" t="s">
        <v>9730</v>
      </c>
      <c r="I318">
        <v>2</v>
      </c>
      <c r="K318">
        <v>60</v>
      </c>
      <c r="L318">
        <v>5</v>
      </c>
    </row>
    <row r="319" spans="1:12">
      <c r="A319" t="s">
        <v>7886</v>
      </c>
      <c r="B319" t="s">
        <v>9731</v>
      </c>
      <c r="J319">
        <v>2</v>
      </c>
      <c r="L319">
        <v>40</v>
      </c>
    </row>
    <row r="320" spans="1:12">
      <c r="A320" t="s">
        <v>7889</v>
      </c>
      <c r="B320" t="s">
        <v>9732</v>
      </c>
      <c r="J320">
        <v>2</v>
      </c>
      <c r="L320">
        <v>9999</v>
      </c>
    </row>
    <row r="321" spans="1:12">
      <c r="A321" t="s">
        <v>7908</v>
      </c>
      <c r="B321" t="s">
        <v>9733</v>
      </c>
      <c r="I321">
        <v>2</v>
      </c>
      <c r="K321">
        <v>60</v>
      </c>
      <c r="L321">
        <v>5</v>
      </c>
    </row>
    <row r="322" spans="1:12">
      <c r="A322" t="s">
        <v>7907</v>
      </c>
      <c r="B322" t="s">
        <v>9734</v>
      </c>
      <c r="I322">
        <v>2</v>
      </c>
      <c r="K322">
        <v>60</v>
      </c>
      <c r="L322">
        <v>1.5</v>
      </c>
    </row>
    <row r="323" spans="1:12">
      <c r="A323" t="s">
        <v>7919</v>
      </c>
      <c r="B323" t="s">
        <v>9735</v>
      </c>
      <c r="I323">
        <v>2</v>
      </c>
      <c r="K323">
        <v>60</v>
      </c>
      <c r="L323">
        <v>5</v>
      </c>
    </row>
    <row r="324" spans="1:12">
      <c r="A324" t="s">
        <v>7918</v>
      </c>
      <c r="B324" t="s">
        <v>9736</v>
      </c>
      <c r="I324">
        <v>2</v>
      </c>
      <c r="K324">
        <v>60</v>
      </c>
      <c r="L324">
        <v>1.5</v>
      </c>
    </row>
    <row r="325" spans="1:12">
      <c r="A325" t="s">
        <v>7927</v>
      </c>
      <c r="B325" t="s">
        <v>9737</v>
      </c>
      <c r="I325">
        <v>2</v>
      </c>
      <c r="K325">
        <v>60</v>
      </c>
      <c r="L325">
        <v>5</v>
      </c>
    </row>
    <row r="326" spans="1:12">
      <c r="A326" t="s">
        <v>7925</v>
      </c>
      <c r="B326" t="s">
        <v>9738</v>
      </c>
      <c r="I326">
        <v>2</v>
      </c>
      <c r="K326">
        <v>60</v>
      </c>
      <c r="L326">
        <v>5</v>
      </c>
    </row>
    <row r="327" spans="1:12">
      <c r="A327" t="s">
        <v>7926</v>
      </c>
      <c r="B327" t="s">
        <v>9739</v>
      </c>
      <c r="I327">
        <v>2</v>
      </c>
      <c r="K327">
        <v>60</v>
      </c>
      <c r="L327">
        <v>1.5</v>
      </c>
    </row>
    <row r="328" spans="1:12">
      <c r="A328" t="s">
        <v>7930</v>
      </c>
      <c r="B328" t="s">
        <v>9740</v>
      </c>
      <c r="I328">
        <v>2</v>
      </c>
      <c r="K328">
        <v>60</v>
      </c>
      <c r="L328">
        <v>5</v>
      </c>
    </row>
    <row r="329" spans="1:12">
      <c r="A329" t="s">
        <v>7936</v>
      </c>
      <c r="B329" t="s">
        <v>9741</v>
      </c>
      <c r="I329">
        <v>2</v>
      </c>
      <c r="K329">
        <v>60</v>
      </c>
      <c r="L329">
        <v>5</v>
      </c>
    </row>
    <row r="330" spans="1:12">
      <c r="A330" t="s">
        <v>7943</v>
      </c>
      <c r="B330" t="s">
        <v>9742</v>
      </c>
      <c r="I330">
        <v>2</v>
      </c>
      <c r="K330">
        <v>60</v>
      </c>
      <c r="L330">
        <v>5</v>
      </c>
    </row>
    <row r="331" spans="1:12">
      <c r="A331" t="s">
        <v>7942</v>
      </c>
      <c r="B331" t="s">
        <v>9743</v>
      </c>
      <c r="I331">
        <v>2</v>
      </c>
      <c r="K331">
        <v>60</v>
      </c>
      <c r="L331">
        <v>5</v>
      </c>
    </row>
    <row r="332" spans="1:12">
      <c r="A332" t="s">
        <v>9744</v>
      </c>
      <c r="B332" t="s">
        <v>9745</v>
      </c>
      <c r="H332">
        <v>2</v>
      </c>
      <c r="J332">
        <v>2</v>
      </c>
      <c r="K332">
        <v>60</v>
      </c>
      <c r="L332">
        <v>40</v>
      </c>
    </row>
    <row r="333" spans="1:12">
      <c r="A333" t="s">
        <v>7341</v>
      </c>
      <c r="B333" t="s">
        <v>9746</v>
      </c>
      <c r="I333">
        <v>2</v>
      </c>
      <c r="K333">
        <v>60</v>
      </c>
      <c r="L333">
        <v>5</v>
      </c>
    </row>
    <row r="334" spans="1:12">
      <c r="A334" t="s">
        <v>8498</v>
      </c>
      <c r="B334" t="s">
        <v>9747</v>
      </c>
      <c r="C334">
        <v>1</v>
      </c>
      <c r="J334">
        <v>2</v>
      </c>
      <c r="L334">
        <v>5</v>
      </c>
    </row>
    <row r="335" spans="1:11">
      <c r="A335" t="s">
        <v>8504</v>
      </c>
      <c r="B335" t="s">
        <v>9748</v>
      </c>
      <c r="D335" t="s">
        <v>9397</v>
      </c>
      <c r="H335">
        <v>3</v>
      </c>
      <c r="I335">
        <v>0</v>
      </c>
      <c r="K335">
        <v>60</v>
      </c>
    </row>
    <row r="336" spans="1:11">
      <c r="A336" t="s">
        <v>8505</v>
      </c>
      <c r="B336" t="s">
        <v>9749</v>
      </c>
      <c r="D336" t="s">
        <v>9397</v>
      </c>
      <c r="H336">
        <v>3</v>
      </c>
      <c r="I336">
        <v>0</v>
      </c>
      <c r="K336">
        <v>60</v>
      </c>
    </row>
    <row r="337" spans="1:12">
      <c r="A337" t="s">
        <v>8635</v>
      </c>
      <c r="B337" t="s">
        <v>9750</v>
      </c>
      <c r="I337">
        <v>2</v>
      </c>
      <c r="K337">
        <v>60</v>
      </c>
      <c r="L337">
        <v>5</v>
      </c>
    </row>
    <row r="338" spans="1:12">
      <c r="A338" t="s">
        <v>8712</v>
      </c>
      <c r="B338" t="s">
        <v>9751</v>
      </c>
      <c r="C338">
        <v>1</v>
      </c>
      <c r="J338">
        <v>2</v>
      </c>
      <c r="L338">
        <v>1</v>
      </c>
    </row>
    <row r="339" spans="1:11">
      <c r="A339" t="s">
        <v>9752</v>
      </c>
      <c r="B339" t="s">
        <v>9752</v>
      </c>
      <c r="H339">
        <v>2</v>
      </c>
      <c r="I339">
        <v>2</v>
      </c>
      <c r="K339">
        <v>60</v>
      </c>
    </row>
    <row r="340" spans="1:11">
      <c r="A340" t="s">
        <v>9753</v>
      </c>
      <c r="B340" t="s">
        <v>9754</v>
      </c>
      <c r="H340">
        <v>2</v>
      </c>
      <c r="I340">
        <v>2</v>
      </c>
      <c r="K340">
        <v>60</v>
      </c>
    </row>
    <row r="341" spans="1:2">
      <c r="A341" t="s">
        <v>9755</v>
      </c>
      <c r="B341" t="s">
        <v>9755</v>
      </c>
    </row>
    <row r="342" spans="1:2">
      <c r="A342" t="s">
        <v>9756</v>
      </c>
      <c r="B342" t="s">
        <v>9756</v>
      </c>
    </row>
    <row r="343" spans="1:12">
      <c r="A343" t="s">
        <v>9757</v>
      </c>
      <c r="B343" t="s">
        <v>9757</v>
      </c>
      <c r="L343">
        <v>6</v>
      </c>
    </row>
    <row r="344" spans="1:2">
      <c r="A344" t="s">
        <v>9758</v>
      </c>
      <c r="B344" t="s">
        <v>9758</v>
      </c>
    </row>
    <row r="345" spans="1:12">
      <c r="A345" t="s">
        <v>9759</v>
      </c>
      <c r="B345" t="s">
        <v>9759</v>
      </c>
      <c r="L345">
        <v>6</v>
      </c>
    </row>
    <row r="346" spans="1:12">
      <c r="A346" t="s">
        <v>9760</v>
      </c>
      <c r="B346" t="s">
        <v>9760</v>
      </c>
      <c r="L346">
        <v>6</v>
      </c>
    </row>
    <row r="347" spans="1:12">
      <c r="A347" t="s">
        <v>9761</v>
      </c>
      <c r="B347" t="s">
        <v>9761</v>
      </c>
      <c r="L347">
        <v>6</v>
      </c>
    </row>
    <row r="348" spans="1:2">
      <c r="A348" t="s">
        <v>9762</v>
      </c>
      <c r="B348" t="s">
        <v>9762</v>
      </c>
    </row>
    <row r="349" spans="1:2">
      <c r="A349" t="s">
        <v>9763</v>
      </c>
      <c r="B349" t="s">
        <v>9763</v>
      </c>
    </row>
    <row r="350" spans="1:12">
      <c r="A350" t="s">
        <v>9764</v>
      </c>
      <c r="B350" t="s">
        <v>9764</v>
      </c>
      <c r="L350">
        <v>6</v>
      </c>
    </row>
    <row r="351" spans="1:12">
      <c r="A351" t="s">
        <v>9765</v>
      </c>
      <c r="B351" t="s">
        <v>9765</v>
      </c>
      <c r="L351">
        <v>6</v>
      </c>
    </row>
    <row r="352" spans="1:12">
      <c r="A352" t="s">
        <v>9766</v>
      </c>
      <c r="B352" t="s">
        <v>9766</v>
      </c>
      <c r="L352">
        <v>6</v>
      </c>
    </row>
    <row r="353" spans="1:12">
      <c r="A353" t="s">
        <v>9767</v>
      </c>
      <c r="B353" t="s">
        <v>9767</v>
      </c>
      <c r="L353">
        <v>6</v>
      </c>
    </row>
    <row r="354" spans="1:12">
      <c r="A354" t="s">
        <v>9768</v>
      </c>
      <c r="B354" t="s">
        <v>9768</v>
      </c>
      <c r="L354">
        <v>6</v>
      </c>
    </row>
    <row r="355" spans="1:2">
      <c r="A355" t="s">
        <v>9769</v>
      </c>
      <c r="B355" t="s">
        <v>9769</v>
      </c>
    </row>
    <row r="356" spans="1:12">
      <c r="A356" t="s">
        <v>9770</v>
      </c>
      <c r="B356" t="s">
        <v>9770</v>
      </c>
      <c r="L356">
        <v>6</v>
      </c>
    </row>
    <row r="357" spans="1:12">
      <c r="A357" t="s">
        <v>9771</v>
      </c>
      <c r="B357" t="s">
        <v>9771</v>
      </c>
      <c r="L357">
        <v>6</v>
      </c>
    </row>
    <row r="358" spans="1:12">
      <c r="A358" t="s">
        <v>9772</v>
      </c>
      <c r="B358" t="s">
        <v>9772</v>
      </c>
      <c r="L358">
        <v>6</v>
      </c>
    </row>
    <row r="359" spans="1:12">
      <c r="A359" t="s">
        <v>9773</v>
      </c>
      <c r="B359" t="s">
        <v>9773</v>
      </c>
      <c r="L359">
        <v>6</v>
      </c>
    </row>
    <row r="360" spans="1:12">
      <c r="A360" t="s">
        <v>9774</v>
      </c>
      <c r="B360" t="s">
        <v>9774</v>
      </c>
      <c r="L360">
        <v>6</v>
      </c>
    </row>
    <row r="361" spans="1:12">
      <c r="A361" t="s">
        <v>9775</v>
      </c>
      <c r="B361" t="s">
        <v>9775</v>
      </c>
      <c r="L361">
        <v>6</v>
      </c>
    </row>
    <row r="362" spans="1:12">
      <c r="A362" t="s">
        <v>9776</v>
      </c>
      <c r="B362" t="s">
        <v>9776</v>
      </c>
      <c r="L362">
        <v>6</v>
      </c>
    </row>
    <row r="363" spans="1:12">
      <c r="A363" t="s">
        <v>9777</v>
      </c>
      <c r="B363" t="s">
        <v>9777</v>
      </c>
      <c r="L363">
        <v>6</v>
      </c>
    </row>
    <row r="364" spans="1:2">
      <c r="A364" t="s">
        <v>9778</v>
      </c>
      <c r="B364" t="s">
        <v>9778</v>
      </c>
    </row>
    <row r="365" spans="1:2">
      <c r="A365" t="s">
        <v>9779</v>
      </c>
      <c r="B365" t="s">
        <v>9779</v>
      </c>
    </row>
    <row r="366" spans="1:12">
      <c r="A366" t="s">
        <v>9780</v>
      </c>
      <c r="B366" t="s">
        <v>9780</v>
      </c>
      <c r="L366">
        <v>6</v>
      </c>
    </row>
    <row r="367" spans="1:12">
      <c r="A367" t="s">
        <v>9781</v>
      </c>
      <c r="B367" t="s">
        <v>9781</v>
      </c>
      <c r="L367">
        <v>6</v>
      </c>
    </row>
    <row r="368" spans="1:12">
      <c r="A368" t="s">
        <v>9782</v>
      </c>
      <c r="B368" t="s">
        <v>9782</v>
      </c>
      <c r="L368">
        <v>6</v>
      </c>
    </row>
    <row r="369" spans="1:12">
      <c r="A369" t="s">
        <v>9783</v>
      </c>
      <c r="B369" t="s">
        <v>9783</v>
      </c>
      <c r="L369">
        <v>6</v>
      </c>
    </row>
    <row r="370" spans="1:12">
      <c r="A370" t="s">
        <v>9227</v>
      </c>
      <c r="B370" t="s">
        <v>9227</v>
      </c>
      <c r="H370">
        <v>1</v>
      </c>
      <c r="I370">
        <v>2</v>
      </c>
      <c r="K370">
        <v>90</v>
      </c>
      <c r="L370">
        <v>9999</v>
      </c>
    </row>
    <row r="371" spans="1:12">
      <c r="A371" t="s">
        <v>9228</v>
      </c>
      <c r="B371" t="s">
        <v>9228</v>
      </c>
      <c r="H371">
        <v>1</v>
      </c>
      <c r="I371">
        <v>2</v>
      </c>
      <c r="K371">
        <v>90</v>
      </c>
      <c r="L371">
        <v>9999</v>
      </c>
    </row>
    <row r="372" spans="1:12">
      <c r="A372" t="s">
        <v>9784</v>
      </c>
      <c r="B372" t="s">
        <v>9784</v>
      </c>
      <c r="L372">
        <v>6</v>
      </c>
    </row>
    <row r="373" spans="1:12">
      <c r="A373" t="s">
        <v>9785</v>
      </c>
      <c r="B373" t="s">
        <v>9785</v>
      </c>
      <c r="L373">
        <v>6</v>
      </c>
    </row>
  </sheetData>
  <pageMargins left="0.75" right="0.75" top="1" bottom="1" header="0.5" footer="0.5"/>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60"/>
  <sheetViews>
    <sheetView workbookViewId="0">
      <pane xSplit="1" ySplit="3" topLeftCell="B4" activePane="bottomRight" state="frozen"/>
      <selection/>
      <selection pane="topRight"/>
      <selection pane="bottomLeft"/>
      <selection pane="bottomRight" activeCell="BL1823" sqref="BL1823"/>
    </sheetView>
  </sheetViews>
  <sheetFormatPr defaultColWidth="9" defaultRowHeight="14"/>
  <cols>
    <col min="1" max="1" width="19.0909090909091" style="1" customWidth="1"/>
    <col min="2" max="2" width="16.2727272727273" style="1" customWidth="1"/>
    <col min="3" max="3" width="16.3636363636364" style="1" customWidth="1"/>
    <col min="4" max="4" width="47.8181818181818" style="1" customWidth="1"/>
    <col min="5" max="5" width="10.2727272727273" style="1" customWidth="1"/>
    <col min="6" max="6" width="12.8181818181818" style="1" customWidth="1"/>
    <col min="7" max="9" width="9" style="1" customWidth="1"/>
    <col min="10" max="10" width="11.8181818181818" style="1" customWidth="1"/>
    <col min="11" max="16384" width="9" style="1" customWidth="1"/>
  </cols>
  <sheetData>
    <row r="2" spans="1:10">
      <c r="A2" s="1" t="s">
        <v>0</v>
      </c>
      <c r="B2" s="1" t="s">
        <v>6828</v>
      </c>
      <c r="C2" s="1" t="s">
        <v>162</v>
      </c>
      <c r="D2" s="1" t="s">
        <v>9786</v>
      </c>
      <c r="E2" s="1" t="s">
        <v>9787</v>
      </c>
      <c r="F2" s="1" t="s">
        <v>164</v>
      </c>
      <c r="G2" s="1" t="s">
        <v>9788</v>
      </c>
      <c r="H2" s="1" t="s">
        <v>6856</v>
      </c>
      <c r="I2" s="1" t="s">
        <v>9789</v>
      </c>
      <c r="J2" s="1" t="s">
        <v>137</v>
      </c>
    </row>
    <row r="3" spans="1:10">
      <c r="A3" s="1" t="s">
        <v>2</v>
      </c>
      <c r="B3" s="1" t="s">
        <v>2</v>
      </c>
      <c r="C3" s="1" t="s">
        <v>2</v>
      </c>
      <c r="D3" s="1" t="s">
        <v>2</v>
      </c>
      <c r="E3" s="1" t="s">
        <v>202</v>
      </c>
      <c r="F3" s="1" t="s">
        <v>203</v>
      </c>
      <c r="G3" s="1" t="s">
        <v>202</v>
      </c>
      <c r="H3" s="1" t="s">
        <v>9790</v>
      </c>
      <c r="I3" s="1" t="s">
        <v>202</v>
      </c>
      <c r="J3" s="1" t="s">
        <v>202</v>
      </c>
    </row>
    <row r="4" spans="1:3">
      <c r="A4" s="1" t="s">
        <v>9791</v>
      </c>
      <c r="B4" s="1" t="s">
        <v>9792</v>
      </c>
      <c r="C4" s="1" t="s">
        <v>9792</v>
      </c>
    </row>
    <row r="5" spans="1:6">
      <c r="A5" s="1" t="s">
        <v>9793</v>
      </c>
      <c r="B5" s="1" t="s">
        <v>9794</v>
      </c>
      <c r="C5" s="1" t="s">
        <v>9794</v>
      </c>
      <c r="F5" s="1" t="s">
        <v>8791</v>
      </c>
    </row>
    <row r="6" spans="1:3">
      <c r="A6" s="1" t="s">
        <v>9795</v>
      </c>
      <c r="B6" s="1" t="s">
        <v>9796</v>
      </c>
      <c r="C6" s="1" t="s">
        <v>9796</v>
      </c>
    </row>
    <row r="8" spans="1:10">
      <c r="A8" s="1" t="s">
        <v>9797</v>
      </c>
      <c r="B8" s="1" t="s">
        <v>9797</v>
      </c>
      <c r="C8" s="1" t="s">
        <v>9797</v>
      </c>
      <c r="D8" s="1" t="s">
        <v>9798</v>
      </c>
      <c r="F8" s="1" t="s">
        <v>8792</v>
      </c>
      <c r="J8" s="1">
        <v>-1</v>
      </c>
    </row>
    <row r="9" spans="1:10">
      <c r="A9" s="1" t="s">
        <v>9799</v>
      </c>
      <c r="B9" s="1" t="s">
        <v>9799</v>
      </c>
      <c r="C9" s="1" t="s">
        <v>9799</v>
      </c>
      <c r="D9" s="1" t="s">
        <v>9800</v>
      </c>
      <c r="F9" s="1" t="s">
        <v>8794</v>
      </c>
      <c r="J9" s="1">
        <v>-1</v>
      </c>
    </row>
    <row r="10" spans="1:10">
      <c r="A10" s="1" t="s">
        <v>9801</v>
      </c>
      <c r="B10" s="1" t="s">
        <v>9801</v>
      </c>
      <c r="C10" s="1" t="s">
        <v>9801</v>
      </c>
      <c r="D10" s="1" t="s">
        <v>9802</v>
      </c>
      <c r="F10" s="1" t="s">
        <v>8796</v>
      </c>
      <c r="J10" s="1">
        <v>-1</v>
      </c>
    </row>
    <row r="11" spans="1:10">
      <c r="A11" s="1" t="s">
        <v>9803</v>
      </c>
      <c r="B11" s="1" t="s">
        <v>9803</v>
      </c>
      <c r="C11" s="1" t="s">
        <v>9803</v>
      </c>
      <c r="D11" s="1" t="s">
        <v>9804</v>
      </c>
      <c r="F11" s="1" t="s">
        <v>8797</v>
      </c>
      <c r="J11" s="1">
        <v>-1</v>
      </c>
    </row>
    <row r="12" spans="1:10">
      <c r="A12" s="1" t="s">
        <v>9805</v>
      </c>
      <c r="B12" s="1" t="s">
        <v>9805</v>
      </c>
      <c r="C12" s="1" t="s">
        <v>9805</v>
      </c>
      <c r="D12" s="1" t="s">
        <v>9806</v>
      </c>
      <c r="F12" s="1" t="s">
        <v>8799</v>
      </c>
      <c r="J12" s="1">
        <v>-1</v>
      </c>
    </row>
    <row r="13" spans="1:10">
      <c r="A13" s="1" t="s">
        <v>9807</v>
      </c>
      <c r="B13" s="1" t="s">
        <v>9805</v>
      </c>
      <c r="C13" s="1" t="s">
        <v>9807</v>
      </c>
      <c r="D13" s="1" t="s">
        <v>9808</v>
      </c>
      <c r="F13" s="1" t="s">
        <v>8800</v>
      </c>
      <c r="J13" s="1">
        <v>-1</v>
      </c>
    </row>
    <row r="17" spans="1:10">
      <c r="A17" s="1" t="s">
        <v>9809</v>
      </c>
      <c r="B17" s="1" t="s">
        <v>9809</v>
      </c>
      <c r="C17" s="1" t="s">
        <v>9809</v>
      </c>
      <c r="D17" s="1" t="s">
        <v>9810</v>
      </c>
      <c r="E17" s="1">
        <v>1</v>
      </c>
      <c r="F17" s="1" t="s">
        <v>8802</v>
      </c>
      <c r="J17" s="1">
        <v>1</v>
      </c>
    </row>
    <row r="18" spans="1:10">
      <c r="A18" s="1" t="s">
        <v>9811</v>
      </c>
      <c r="B18" s="1" t="s">
        <v>9811</v>
      </c>
      <c r="C18" s="1" t="s">
        <v>9811</v>
      </c>
      <c r="D18" s="1" t="s">
        <v>9812</v>
      </c>
      <c r="E18" s="1">
        <v>1</v>
      </c>
      <c r="F18" s="1" t="s">
        <v>8803</v>
      </c>
      <c r="J18" s="1">
        <v>2</v>
      </c>
    </row>
    <row r="19" spans="1:10">
      <c r="A19" s="1" t="s">
        <v>9813</v>
      </c>
      <c r="B19" s="1" t="s">
        <v>9813</v>
      </c>
      <c r="C19" s="1" t="s">
        <v>9813</v>
      </c>
      <c r="D19" s="1" t="s">
        <v>9814</v>
      </c>
      <c r="E19" s="1">
        <v>1</v>
      </c>
      <c r="F19" s="1" t="s">
        <v>8804</v>
      </c>
      <c r="J19" s="1">
        <v>3</v>
      </c>
    </row>
    <row r="20" spans="1:10">
      <c r="A20" s="1" t="s">
        <v>9815</v>
      </c>
      <c r="B20" s="1" t="s">
        <v>9815</v>
      </c>
      <c r="C20" s="1" t="s">
        <v>9815</v>
      </c>
      <c r="D20" s="1" t="s">
        <v>9816</v>
      </c>
      <c r="E20" s="1">
        <v>2</v>
      </c>
      <c r="F20" s="1" t="s">
        <v>8805</v>
      </c>
      <c r="J20" s="1">
        <v>1</v>
      </c>
    </row>
    <row r="21" spans="1:10">
      <c r="A21" s="1" t="s">
        <v>9817</v>
      </c>
      <c r="B21" s="1" t="s">
        <v>9817</v>
      </c>
      <c r="C21" s="1" t="s">
        <v>9817</v>
      </c>
      <c r="D21" s="1" t="s">
        <v>9818</v>
      </c>
      <c r="E21" s="1">
        <v>2</v>
      </c>
      <c r="F21" s="1" t="s">
        <v>8807</v>
      </c>
      <c r="J21" s="1">
        <v>2</v>
      </c>
    </row>
    <row r="22" spans="1:10">
      <c r="A22" s="1" t="s">
        <v>9819</v>
      </c>
      <c r="B22" s="1" t="s">
        <v>9819</v>
      </c>
      <c r="C22" s="1" t="s">
        <v>9819</v>
      </c>
      <c r="D22" s="1" t="s">
        <v>9820</v>
      </c>
      <c r="E22" s="1">
        <v>2</v>
      </c>
      <c r="F22" s="1" t="s">
        <v>8808</v>
      </c>
      <c r="J22" s="1">
        <v>3</v>
      </c>
    </row>
    <row r="23" spans="1:10">
      <c r="A23" s="1" t="s">
        <v>9821</v>
      </c>
      <c r="B23" s="1" t="s">
        <v>9821</v>
      </c>
      <c r="C23" s="1" t="s">
        <v>9821</v>
      </c>
      <c r="D23" s="1" t="s">
        <v>9822</v>
      </c>
      <c r="E23" s="1">
        <v>3</v>
      </c>
      <c r="F23" s="1" t="s">
        <v>8809</v>
      </c>
      <c r="J23" s="1">
        <v>1</v>
      </c>
    </row>
    <row r="24" spans="1:10">
      <c r="A24" s="1" t="s">
        <v>9823</v>
      </c>
      <c r="B24" s="1" t="s">
        <v>9823</v>
      </c>
      <c r="C24" s="1" t="s">
        <v>9823</v>
      </c>
      <c r="D24" s="1" t="s">
        <v>9824</v>
      </c>
      <c r="E24" s="1">
        <v>3</v>
      </c>
      <c r="F24" s="1" t="s">
        <v>8810</v>
      </c>
      <c r="J24" s="1">
        <v>2</v>
      </c>
    </row>
    <row r="25" spans="1:10">
      <c r="A25" s="1" t="s">
        <v>9825</v>
      </c>
      <c r="B25" s="1" t="s">
        <v>9825</v>
      </c>
      <c r="C25" s="1" t="s">
        <v>9825</v>
      </c>
      <c r="D25" s="1" t="s">
        <v>9826</v>
      </c>
      <c r="E25" s="1">
        <v>3</v>
      </c>
      <c r="F25" s="1" t="s">
        <v>8811</v>
      </c>
      <c r="J25" s="1">
        <v>3</v>
      </c>
    </row>
    <row r="26" spans="1:10">
      <c r="A26" s="1" t="s">
        <v>9827</v>
      </c>
      <c r="B26" s="1" t="s">
        <v>9827</v>
      </c>
      <c r="C26" s="1" t="s">
        <v>9827</v>
      </c>
      <c r="D26" s="1" t="s">
        <v>9828</v>
      </c>
      <c r="E26" s="1">
        <v>4</v>
      </c>
      <c r="F26" s="1" t="s">
        <v>8812</v>
      </c>
      <c r="J26" s="1">
        <v>2</v>
      </c>
    </row>
    <row r="27" spans="1:10">
      <c r="A27" s="1" t="s">
        <v>9794</v>
      </c>
      <c r="B27" s="1" t="s">
        <v>9794</v>
      </c>
      <c r="C27" s="1" t="s">
        <v>9794</v>
      </c>
      <c r="D27" s="1" t="s">
        <v>9829</v>
      </c>
      <c r="E27" s="1">
        <v>5</v>
      </c>
      <c r="F27" s="1" t="s">
        <v>8813</v>
      </c>
      <c r="J27" s="1">
        <v>1</v>
      </c>
    </row>
    <row r="28" spans="1:10">
      <c r="A28" s="1" t="s">
        <v>9830</v>
      </c>
      <c r="B28" s="1" t="s">
        <v>9830</v>
      </c>
      <c r="C28" s="1" t="s">
        <v>9830</v>
      </c>
      <c r="D28" s="1" t="s">
        <v>9831</v>
      </c>
      <c r="E28" s="1">
        <v>5</v>
      </c>
      <c r="F28" s="1" t="s">
        <v>8815</v>
      </c>
      <c r="J28" s="1">
        <v>2</v>
      </c>
    </row>
    <row r="29" spans="1:10">
      <c r="A29" s="1" t="s">
        <v>9832</v>
      </c>
      <c r="B29" s="1" t="s">
        <v>9832</v>
      </c>
      <c r="C29" s="1" t="s">
        <v>9832</v>
      </c>
      <c r="D29" s="1" t="s">
        <v>9833</v>
      </c>
      <c r="E29" s="1">
        <v>6</v>
      </c>
      <c r="F29" s="1" t="s">
        <v>8816</v>
      </c>
      <c r="J29" s="1">
        <v>1</v>
      </c>
    </row>
    <row r="30" spans="1:10">
      <c r="A30" s="1" t="s">
        <v>9792</v>
      </c>
      <c r="B30" s="1" t="s">
        <v>9792</v>
      </c>
      <c r="C30" s="1" t="s">
        <v>9792</v>
      </c>
      <c r="D30" s="1" t="s">
        <v>9834</v>
      </c>
      <c r="E30" s="1">
        <v>7</v>
      </c>
      <c r="F30" s="1" t="s">
        <v>8818</v>
      </c>
      <c r="J30" s="1">
        <v>1</v>
      </c>
    </row>
    <row r="31" spans="1:10">
      <c r="A31" s="1" t="s">
        <v>9835</v>
      </c>
      <c r="B31" s="1" t="s">
        <v>9792</v>
      </c>
      <c r="C31" s="1" t="s">
        <v>9835</v>
      </c>
      <c r="D31" s="1" t="s">
        <v>9836</v>
      </c>
      <c r="E31" s="1">
        <v>7</v>
      </c>
      <c r="F31" s="1" t="s">
        <v>8819</v>
      </c>
      <c r="J31" s="1">
        <v>2</v>
      </c>
    </row>
    <row r="32" spans="1:10">
      <c r="A32" s="1" t="s">
        <v>9837</v>
      </c>
      <c r="B32" s="1" t="s">
        <v>9837</v>
      </c>
      <c r="C32" s="1" t="s">
        <v>9837</v>
      </c>
      <c r="D32" s="1" t="s">
        <v>9838</v>
      </c>
      <c r="E32" s="1">
        <v>8</v>
      </c>
      <c r="F32" s="1" t="s">
        <v>8820</v>
      </c>
      <c r="J32" s="1">
        <v>1</v>
      </c>
    </row>
    <row r="33" spans="1:10">
      <c r="A33" s="1" t="s">
        <v>9839</v>
      </c>
      <c r="B33" s="1" t="s">
        <v>9839</v>
      </c>
      <c r="C33" s="1" t="s">
        <v>9839</v>
      </c>
      <c r="D33" s="1" t="s">
        <v>9840</v>
      </c>
      <c r="E33" s="1">
        <v>8</v>
      </c>
      <c r="F33" s="1" t="s">
        <v>8822</v>
      </c>
      <c r="J33" s="1">
        <v>2</v>
      </c>
    </row>
    <row r="34" spans="1:10">
      <c r="A34" s="1" t="s">
        <v>9841</v>
      </c>
      <c r="B34" s="1" t="s">
        <v>9841</v>
      </c>
      <c r="C34" s="1" t="s">
        <v>9841</v>
      </c>
      <c r="D34" s="1" t="s">
        <v>9842</v>
      </c>
      <c r="E34" s="1">
        <v>8</v>
      </c>
      <c r="F34" s="1" t="s">
        <v>8823</v>
      </c>
      <c r="J34" s="1">
        <v>3</v>
      </c>
    </row>
    <row r="35" spans="1:10">
      <c r="A35" s="1" t="s">
        <v>9843</v>
      </c>
      <c r="B35" s="1" t="s">
        <v>9843</v>
      </c>
      <c r="C35" s="1" t="s">
        <v>9843</v>
      </c>
      <c r="D35" s="1" t="s">
        <v>9844</v>
      </c>
      <c r="E35" s="1">
        <v>9</v>
      </c>
      <c r="F35" s="1" t="s">
        <v>8825</v>
      </c>
      <c r="J35" s="1">
        <v>1</v>
      </c>
    </row>
    <row r="36" spans="1:10">
      <c r="A36" s="1" t="s">
        <v>9845</v>
      </c>
      <c r="B36" s="1" t="s">
        <v>9845</v>
      </c>
      <c r="C36" s="1" t="s">
        <v>9845</v>
      </c>
      <c r="D36" s="1" t="s">
        <v>9846</v>
      </c>
      <c r="E36" s="1">
        <v>9</v>
      </c>
      <c r="F36" s="1" t="s">
        <v>8828</v>
      </c>
      <c r="J36" s="1">
        <v>2</v>
      </c>
    </row>
    <row r="37" spans="1:10">
      <c r="A37" s="1" t="s">
        <v>9847</v>
      </c>
      <c r="B37" s="1" t="s">
        <v>9847</v>
      </c>
      <c r="C37" s="1" t="s">
        <v>9847</v>
      </c>
      <c r="D37" s="1" t="s">
        <v>9848</v>
      </c>
      <c r="E37" s="1">
        <v>9</v>
      </c>
      <c r="F37" s="1" t="s">
        <v>8830</v>
      </c>
      <c r="J37" s="1">
        <v>3</v>
      </c>
    </row>
    <row r="38" spans="1:10">
      <c r="A38" s="1" t="s">
        <v>9849</v>
      </c>
      <c r="B38" s="1" t="s">
        <v>9849</v>
      </c>
      <c r="C38" s="1" t="s">
        <v>9849</v>
      </c>
      <c r="D38" s="1" t="s">
        <v>9850</v>
      </c>
      <c r="E38" s="1">
        <v>10</v>
      </c>
      <c r="G38" s="1">
        <v>10</v>
      </c>
      <c r="J38" s="1">
        <v>1</v>
      </c>
    </row>
    <row r="39" spans="1:10">
      <c r="A39" s="1" t="s">
        <v>9851</v>
      </c>
      <c r="B39" s="1" t="s">
        <v>9851</v>
      </c>
      <c r="C39" s="1" t="s">
        <v>9851</v>
      </c>
      <c r="D39" s="1" t="s">
        <v>9852</v>
      </c>
      <c r="E39" s="1">
        <v>10</v>
      </c>
      <c r="G39" s="1">
        <v>7</v>
      </c>
      <c r="J39" s="1">
        <v>2</v>
      </c>
    </row>
    <row r="40" spans="1:10">
      <c r="A40" s="1" t="s">
        <v>9853</v>
      </c>
      <c r="B40" s="1" t="s">
        <v>9853</v>
      </c>
      <c r="C40" s="1" t="s">
        <v>9853</v>
      </c>
      <c r="D40" s="1" t="s">
        <v>9854</v>
      </c>
      <c r="E40" s="1">
        <v>10</v>
      </c>
      <c r="G40" s="1">
        <v>4</v>
      </c>
      <c r="J40" s="1">
        <v>3</v>
      </c>
    </row>
    <row r="41" spans="1:10">
      <c r="A41" s="1" t="s">
        <v>9855</v>
      </c>
      <c r="B41" s="1" t="s">
        <v>9855</v>
      </c>
      <c r="C41" s="1" t="s">
        <v>9855</v>
      </c>
      <c r="D41" s="1" t="s">
        <v>9856</v>
      </c>
      <c r="E41" s="1">
        <v>11</v>
      </c>
      <c r="F41" s="1" t="s">
        <v>8832</v>
      </c>
      <c r="J41" s="1">
        <v>1</v>
      </c>
    </row>
    <row r="42" spans="1:10">
      <c r="A42" s="1" t="s">
        <v>9857</v>
      </c>
      <c r="B42" s="1" t="s">
        <v>9857</v>
      </c>
      <c r="C42" s="1" t="s">
        <v>9857</v>
      </c>
      <c r="D42" s="1" t="s">
        <v>9858</v>
      </c>
      <c r="E42" s="1">
        <v>11</v>
      </c>
      <c r="F42" s="1" t="s">
        <v>8834</v>
      </c>
      <c r="J42" s="1">
        <v>2</v>
      </c>
    </row>
    <row r="43" spans="1:10">
      <c r="A43" s="1" t="s">
        <v>9859</v>
      </c>
      <c r="B43" s="1" t="s">
        <v>9859</v>
      </c>
      <c r="C43" s="1" t="s">
        <v>9859</v>
      </c>
      <c r="D43" s="1" t="s">
        <v>9860</v>
      </c>
      <c r="E43" s="1">
        <v>11</v>
      </c>
      <c r="F43" s="1" t="s">
        <v>8836</v>
      </c>
      <c r="J43" s="1">
        <v>3</v>
      </c>
    </row>
    <row r="44" spans="1:10">
      <c r="A44" s="1" t="s">
        <v>9861</v>
      </c>
      <c r="B44" s="1" t="s">
        <v>9862</v>
      </c>
      <c r="C44" s="1" t="s">
        <v>9863</v>
      </c>
      <c r="D44" s="1" t="s">
        <v>9864</v>
      </c>
      <c r="E44" s="1">
        <v>12</v>
      </c>
      <c r="H44" s="1" t="s">
        <v>9865</v>
      </c>
      <c r="J44" s="1">
        <v>2</v>
      </c>
    </row>
    <row r="45" spans="1:10">
      <c r="A45" s="1" t="s">
        <v>9866</v>
      </c>
      <c r="B45" s="1" t="s">
        <v>9867</v>
      </c>
      <c r="C45" s="1" t="s">
        <v>9863</v>
      </c>
      <c r="D45" s="1" t="s">
        <v>9868</v>
      </c>
      <c r="E45" s="1">
        <v>12</v>
      </c>
      <c r="H45" s="1" t="s">
        <v>9869</v>
      </c>
      <c r="J45" s="1">
        <v>2</v>
      </c>
    </row>
    <row r="46" spans="1:10">
      <c r="A46" s="1" t="s">
        <v>9870</v>
      </c>
      <c r="B46" s="1" t="s">
        <v>9871</v>
      </c>
      <c r="C46" s="1" t="s">
        <v>9863</v>
      </c>
      <c r="D46" s="1" t="s">
        <v>9872</v>
      </c>
      <c r="E46" s="1">
        <v>12</v>
      </c>
      <c r="H46" s="1" t="s">
        <v>9873</v>
      </c>
      <c r="J46" s="1">
        <v>2</v>
      </c>
    </row>
    <row r="47" spans="1:10">
      <c r="A47" s="1" t="s">
        <v>9874</v>
      </c>
      <c r="B47" s="1" t="s">
        <v>9875</v>
      </c>
      <c r="C47" s="1" t="s">
        <v>9863</v>
      </c>
      <c r="D47" s="1" t="s">
        <v>9876</v>
      </c>
      <c r="E47" s="1">
        <v>12</v>
      </c>
      <c r="H47" s="1" t="s">
        <v>9877</v>
      </c>
      <c r="J47" s="1">
        <v>2</v>
      </c>
    </row>
    <row r="48" spans="1:10">
      <c r="A48" s="1" t="s">
        <v>9878</v>
      </c>
      <c r="B48" s="1" t="s">
        <v>9879</v>
      </c>
      <c r="C48" s="1" t="s">
        <v>9863</v>
      </c>
      <c r="D48" s="1" t="s">
        <v>9880</v>
      </c>
      <c r="E48" s="1">
        <v>12</v>
      </c>
      <c r="H48" s="1" t="s">
        <v>9881</v>
      </c>
      <c r="J48" s="1">
        <v>2</v>
      </c>
    </row>
    <row r="49" spans="1:10">
      <c r="A49" s="1" t="s">
        <v>9882</v>
      </c>
      <c r="B49" s="1" t="s">
        <v>9863</v>
      </c>
      <c r="C49" s="1" t="s">
        <v>9863</v>
      </c>
      <c r="D49" s="1" t="s">
        <v>9883</v>
      </c>
      <c r="E49" s="1">
        <v>12</v>
      </c>
      <c r="H49" s="1" t="s">
        <v>9884</v>
      </c>
      <c r="J49" s="1">
        <v>2</v>
      </c>
    </row>
    <row r="50" spans="1:10">
      <c r="A50" s="1" t="s">
        <v>9885</v>
      </c>
      <c r="B50" s="1" t="s">
        <v>9885</v>
      </c>
      <c r="C50" s="1" t="s">
        <v>9885</v>
      </c>
      <c r="D50" s="1" t="s">
        <v>9886</v>
      </c>
      <c r="E50" s="1">
        <v>13</v>
      </c>
      <c r="F50" s="1" t="s">
        <v>8838</v>
      </c>
      <c r="J50" s="1">
        <v>1</v>
      </c>
    </row>
    <row r="51" spans="1:10">
      <c r="A51" s="1" t="s">
        <v>9887</v>
      </c>
      <c r="B51" s="1" t="s">
        <v>9887</v>
      </c>
      <c r="C51" s="1" t="s">
        <v>9887</v>
      </c>
      <c r="D51" s="1" t="s">
        <v>9888</v>
      </c>
      <c r="E51" s="1">
        <v>13</v>
      </c>
      <c r="F51" s="1" t="s">
        <v>8839</v>
      </c>
      <c r="J51" s="1">
        <v>2</v>
      </c>
    </row>
    <row r="52" spans="1:10">
      <c r="A52" s="1" t="s">
        <v>9889</v>
      </c>
      <c r="B52" s="1" t="s">
        <v>9889</v>
      </c>
      <c r="C52" s="1" t="s">
        <v>9889</v>
      </c>
      <c r="D52" s="1" t="s">
        <v>9890</v>
      </c>
      <c r="E52" s="1">
        <v>13</v>
      </c>
      <c r="F52" s="1" t="s">
        <v>8840</v>
      </c>
      <c r="J52" s="1">
        <v>3</v>
      </c>
    </row>
    <row r="53" spans="1:10">
      <c r="A53" s="1" t="s">
        <v>9891</v>
      </c>
      <c r="B53" s="1" t="s">
        <v>9891</v>
      </c>
      <c r="C53" s="1" t="s">
        <v>9891</v>
      </c>
      <c r="D53" s="1" t="s">
        <v>9892</v>
      </c>
      <c r="E53" s="1">
        <v>14</v>
      </c>
      <c r="I53" s="1">
        <v>1</v>
      </c>
      <c r="J53" s="1">
        <v>1</v>
      </c>
    </row>
    <row r="54" spans="1:10">
      <c r="A54" s="1" t="s">
        <v>9893</v>
      </c>
      <c r="B54" s="1" t="s">
        <v>9893</v>
      </c>
      <c r="C54" s="1" t="s">
        <v>9893</v>
      </c>
      <c r="D54" s="1" t="s">
        <v>9894</v>
      </c>
      <c r="E54" s="1">
        <v>15</v>
      </c>
      <c r="F54" s="1" t="s">
        <v>8841</v>
      </c>
      <c r="J54" s="1">
        <v>1</v>
      </c>
    </row>
    <row r="55" spans="1:10">
      <c r="A55" s="1" t="s">
        <v>9895</v>
      </c>
      <c r="B55" s="1" t="s">
        <v>9895</v>
      </c>
      <c r="C55" s="1" t="s">
        <v>9895</v>
      </c>
      <c r="D55" s="1" t="s">
        <v>9896</v>
      </c>
      <c r="E55" s="1">
        <v>15</v>
      </c>
      <c r="F55" s="1" t="s">
        <v>8843</v>
      </c>
      <c r="J55" s="1">
        <v>2</v>
      </c>
    </row>
    <row r="56" spans="1:10">
      <c r="A56" s="1" t="s">
        <v>9897</v>
      </c>
      <c r="B56" s="1" t="s">
        <v>9897</v>
      </c>
      <c r="C56" s="1" t="s">
        <v>9897</v>
      </c>
      <c r="D56" s="1" t="s">
        <v>9898</v>
      </c>
      <c r="E56" s="1">
        <v>15</v>
      </c>
      <c r="F56" s="1" t="s">
        <v>8844</v>
      </c>
      <c r="J56" s="1">
        <v>3</v>
      </c>
    </row>
    <row r="57" spans="1:10">
      <c r="A57" s="1" t="s">
        <v>9899</v>
      </c>
      <c r="B57" s="1" t="s">
        <v>9899</v>
      </c>
      <c r="C57" s="1" t="s">
        <v>9899</v>
      </c>
      <c r="D57" s="1" t="s">
        <v>9900</v>
      </c>
      <c r="E57" s="1">
        <v>16</v>
      </c>
      <c r="F57" s="1" t="s">
        <v>8846</v>
      </c>
      <c r="J57" s="1">
        <v>3</v>
      </c>
    </row>
    <row r="58" spans="1:10">
      <c r="A58" s="1" t="s">
        <v>9901</v>
      </c>
      <c r="B58" s="1" t="s">
        <v>9901</v>
      </c>
      <c r="C58" s="1" t="s">
        <v>9901</v>
      </c>
      <c r="D58" s="1" t="s">
        <v>9902</v>
      </c>
      <c r="E58" s="1">
        <v>17</v>
      </c>
      <c r="F58" s="1" t="s">
        <v>8848</v>
      </c>
      <c r="J58" s="1">
        <v>1</v>
      </c>
    </row>
    <row r="59" spans="1:10">
      <c r="A59" s="1" t="s">
        <v>9903</v>
      </c>
      <c r="B59" s="1" t="s">
        <v>9903</v>
      </c>
      <c r="C59" s="1" t="s">
        <v>9903</v>
      </c>
      <c r="D59" s="1" t="s">
        <v>9904</v>
      </c>
      <c r="E59" s="1">
        <v>17</v>
      </c>
      <c r="F59" s="1" t="s">
        <v>8849</v>
      </c>
      <c r="J59" s="1">
        <v>2</v>
      </c>
    </row>
    <row r="60" spans="1:10">
      <c r="A60" s="1" t="s">
        <v>9905</v>
      </c>
      <c r="B60" s="1" t="s">
        <v>9905</v>
      </c>
      <c r="C60" s="1" t="s">
        <v>9905</v>
      </c>
      <c r="D60" s="1" t="s">
        <v>9906</v>
      </c>
      <c r="E60" s="1">
        <v>17</v>
      </c>
      <c r="F60" s="1" t="s">
        <v>8850</v>
      </c>
      <c r="J60" s="1">
        <v>3</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BL1823" sqref="BL1823"/>
    </sheetView>
  </sheetViews>
  <sheetFormatPr defaultColWidth="8.63636363636364" defaultRowHeight="14" outlineLevelRow="2"/>
  <cols>
    <col min="1" max="1" width="8.63636363636364" style="1" customWidth="1"/>
    <col min="2" max="2" width="13.8181818181818" style="1" customWidth="1"/>
    <col min="3" max="3" width="20.5454545454545" style="1" customWidth="1"/>
    <col min="4" max="4" width="39.6363636363636" style="1" customWidth="1"/>
    <col min="5" max="5" width="37.5454545454545" style="1" customWidth="1"/>
    <col min="6" max="6" width="39.4545454545455" style="1" customWidth="1"/>
    <col min="7" max="7" width="38.5454545454545" style="1" customWidth="1"/>
    <col min="8" max="8" width="32.2727272727273" style="1" customWidth="1"/>
    <col min="9" max="9" width="39.9090909090909" style="1" customWidth="1"/>
    <col min="10" max="16384" width="8.63636363636364" style="1" customWidth="1"/>
  </cols>
  <sheetData>
    <row r="1" spans="1:9">
      <c r="A1" s="1" t="s">
        <v>0</v>
      </c>
      <c r="B1" s="1" t="s">
        <v>9907</v>
      </c>
      <c r="C1" s="1" t="s">
        <v>9908</v>
      </c>
      <c r="D1" s="1" t="s">
        <v>9909</v>
      </c>
      <c r="E1" s="1" t="s">
        <v>9910</v>
      </c>
      <c r="F1" s="1" t="s">
        <v>9911</v>
      </c>
      <c r="G1" s="1" t="s">
        <v>9912</v>
      </c>
      <c r="H1" s="1" t="s">
        <v>9913</v>
      </c>
      <c r="I1" s="1" t="s">
        <v>9914</v>
      </c>
    </row>
    <row r="2" spans="1:9">
      <c r="A2" s="1" t="s">
        <v>0</v>
      </c>
      <c r="B2" s="1" t="s">
        <v>9915</v>
      </c>
      <c r="C2" s="1" t="s">
        <v>9916</v>
      </c>
      <c r="D2" s="1" t="s">
        <v>9917</v>
      </c>
      <c r="E2" s="1" t="s">
        <v>9918</v>
      </c>
      <c r="F2" s="1" t="s">
        <v>9919</v>
      </c>
      <c r="G2" s="1" t="s">
        <v>9920</v>
      </c>
      <c r="H2" s="1" t="s">
        <v>9921</v>
      </c>
      <c r="I2" s="1" t="s">
        <v>9922</v>
      </c>
    </row>
    <row r="3" spans="1:9">
      <c r="A3" s="1" t="s">
        <v>2</v>
      </c>
      <c r="B3" s="1" t="s">
        <v>200</v>
      </c>
      <c r="C3" s="1" t="s">
        <v>200</v>
      </c>
      <c r="D3" s="1" t="s">
        <v>2</v>
      </c>
      <c r="E3" s="1" t="s">
        <v>2</v>
      </c>
      <c r="F3" s="1" t="s">
        <v>2</v>
      </c>
      <c r="G3" s="1" t="s">
        <v>2</v>
      </c>
      <c r="H3" s="1" t="s">
        <v>2</v>
      </c>
      <c r="I3" s="1" t="s">
        <v>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CardData</vt:lpstr>
      <vt:lpstr>UnitData</vt:lpstr>
      <vt:lpstr>SkillData</vt:lpstr>
      <vt:lpstr>BuffData</vt:lpstr>
      <vt:lpstr>ModifyData</vt:lpstr>
      <vt:lpstr>BulletData</vt:lpstr>
      <vt:lpstr>EffectData</vt:lpstr>
      <vt:lpstr>ContractData</vt:lpstr>
      <vt:lpstr>SpineData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zht114514</cp:lastModifiedBy>
  <dcterms:created xsi:type="dcterms:W3CDTF">2021-01-13T06:40:00Z</dcterms:created>
  <dcterms:modified xsi:type="dcterms:W3CDTF">2026-09-19T17:41:20Z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y fmtid="{D5CDD505-2E9C-101B-9397-08002B2CF9AE}" pid="3" name="ICV">
    <vt:lpwstr>CB94523E41B44DAE99CC12982DC882B4</vt:lpwstr>
  </property>
  <property fmtid="{D5CDD505-2E9C-101B-9397-08002B2CF9AE}" pid="4" name="CalculationRule">
    <vt:i4>0</vt:i4>
  </property>
</Properties>
</file>